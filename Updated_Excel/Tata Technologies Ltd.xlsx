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28D7574-3C5A-4E7C-A9C9-8DD68C4B1C2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5" i="1" l="1"/>
  <c r="CK7" i="1"/>
  <c r="CJ7" i="1"/>
  <c r="CI7" i="1"/>
  <c r="CH7" i="1"/>
  <c r="CG7" i="1"/>
  <c r="CF7" i="1"/>
  <c r="CL7" i="1"/>
  <c r="CK6" i="1"/>
  <c r="CL6" i="1"/>
  <c r="CK9" i="1"/>
  <c r="CL9" i="1"/>
  <c r="CL245" i="1"/>
  <c r="AE8" i="1"/>
  <c r="AD8" i="1"/>
  <c r="AC8" i="1"/>
  <c r="AB8" i="1"/>
  <c r="AA8" i="1"/>
  <c r="Z8" i="1"/>
  <c r="Y8" i="1"/>
  <c r="X8" i="1"/>
  <c r="X9" i="1" s="1"/>
  <c r="AE5" i="1"/>
  <c r="AD5" i="1"/>
  <c r="AC5" i="1"/>
  <c r="AB5" i="1"/>
  <c r="AA5" i="1"/>
  <c r="Z5" i="1"/>
  <c r="Y5" i="1"/>
  <c r="X5" i="1"/>
  <c r="AE4" i="1"/>
  <c r="AD4" i="1"/>
  <c r="AC4" i="1"/>
  <c r="AB4" i="1"/>
  <c r="AA4" i="1"/>
  <c r="Z4" i="1"/>
  <c r="Y4" i="1"/>
  <c r="X4" i="1"/>
  <c r="CJ6" i="1"/>
  <c r="CI6" i="1"/>
  <c r="CH6" i="1"/>
  <c r="CG6" i="1"/>
  <c r="CF6" i="1"/>
  <c r="CD6" i="1"/>
  <c r="CC6" i="1"/>
  <c r="CB6" i="1"/>
  <c r="CA6" i="1"/>
  <c r="BZ6" i="1"/>
  <c r="CE6" i="1"/>
  <c r="CI9" i="1"/>
  <c r="CH9" i="1"/>
  <c r="CG9" i="1"/>
  <c r="CF9" i="1"/>
  <c r="CE9" i="1"/>
  <c r="CD9" i="1"/>
  <c r="CC9" i="1"/>
  <c r="CB9" i="1"/>
  <c r="CA9" i="1"/>
  <c r="BZ9" i="1"/>
  <c r="CJ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2" i="1"/>
  <c r="AB15" i="1"/>
  <c r="AC15" i="1"/>
  <c r="AD15" i="1"/>
  <c r="AE15" i="1"/>
  <c r="AB28" i="1"/>
  <c r="AC28" i="1"/>
  <c r="AD28" i="1"/>
  <c r="AE28" i="1"/>
  <c r="AE27" i="1"/>
  <c r="AD27" i="1"/>
  <c r="AC27" i="1"/>
  <c r="AB27" i="1"/>
  <c r="AJ215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3" i="2"/>
  <c r="AC107" i="2"/>
  <c r="AF70" i="2"/>
  <c r="AF86" i="2"/>
  <c r="AF106" i="2"/>
  <c r="AE61" i="2"/>
  <c r="AB74" i="2"/>
  <c r="AB90" i="2"/>
  <c r="AC70" i="2"/>
  <c r="AC94" i="2"/>
  <c r="AC24" i="2"/>
  <c r="AD82" i="2"/>
  <c r="AE80" i="2"/>
  <c r="AF78" i="2"/>
  <c r="AB66" i="2"/>
  <c r="AC82" i="2"/>
  <c r="AB40" i="2"/>
  <c r="AD68" i="2"/>
  <c r="AD104" i="2"/>
  <c r="AE98" i="2"/>
  <c r="AE35" i="2"/>
  <c r="AB70" i="2"/>
  <c r="AE65" i="2"/>
  <c r="AC40" i="2"/>
  <c r="AC34" i="2"/>
  <c r="AF30" i="2"/>
  <c r="AD83" i="2"/>
  <c r="AC9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D35" i="2"/>
  <c r="AD65" i="2"/>
  <c r="AC88" i="2"/>
  <c r="AC36" i="2"/>
  <c r="AB110" i="2"/>
  <c r="AF96" i="2"/>
  <c r="AC106" i="2"/>
  <c r="AE63" i="2"/>
  <c r="AE109" i="2"/>
  <c r="AB41" i="2"/>
  <c r="AD90" i="2"/>
  <c r="AF6" i="2"/>
  <c r="AB64" i="2"/>
  <c r="AB105" i="2"/>
  <c r="AC84" i="2"/>
  <c r="AF72" i="2"/>
  <c r="AF10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E73" i="2"/>
  <c r="AE97" i="2"/>
  <c r="AB72" i="2"/>
  <c r="AB108" i="2"/>
  <c r="AD93" i="2"/>
  <c r="AB109" i="2"/>
  <c r="AE90" i="2"/>
  <c r="AC96" i="2"/>
  <c r="AC60" i="2"/>
  <c r="AF80" i="2"/>
  <c r="AC78" i="2"/>
  <c r="AD81" i="2"/>
  <c r="AD97" i="2"/>
  <c r="AE81" i="2"/>
  <c r="AD74" i="2"/>
  <c r="AD110" i="2"/>
  <c r="AC53" i="2"/>
  <c r="AE92" i="2"/>
  <c r="AC16" i="2"/>
  <c r="AC43" i="2"/>
  <c r="AC32" i="2"/>
  <c r="AB29" i="2"/>
  <c r="AE24" i="2"/>
  <c r="AB10" i="2"/>
  <c r="AB45" i="2"/>
  <c r="AC59" i="2"/>
  <c r="AD27" i="2"/>
  <c r="AF66" i="2"/>
  <c r="AF21" i="2"/>
  <c r="AF56" i="2"/>
  <c r="AF12" i="2"/>
  <c r="AF47" i="2"/>
  <c r="AB77" i="2"/>
  <c r="AC93" i="2"/>
  <c r="AC5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43" i="2"/>
  <c r="AE15" i="2"/>
  <c r="AB88" i="2"/>
  <c r="AC68" i="2"/>
  <c r="AC92" i="2"/>
  <c r="AC55" i="2"/>
  <c r="AD77" i="2"/>
  <c r="AC8" i="2"/>
  <c r="AC74" i="2"/>
  <c r="AC98" i="2"/>
  <c r="AE58" i="2"/>
  <c r="AB78" i="2"/>
  <c r="AE11" i="2"/>
  <c r="AE77" i="2"/>
  <c r="AE105" i="2"/>
  <c r="AB89" i="2"/>
  <c r="AD31" i="2"/>
  <c r="AF62" i="2"/>
  <c r="AE66" i="2"/>
  <c r="AE78" i="2"/>
  <c r="AF14" i="2"/>
  <c r="AD75" i="2"/>
  <c r="AC72" i="2"/>
  <c r="AE27" i="2"/>
  <c r="AB57" i="2"/>
  <c r="AD98" i="2"/>
  <c r="AC104" i="2"/>
  <c r="AE79" i="2"/>
  <c r="AF84" i="2"/>
  <c r="AE46" i="2"/>
  <c r="AC108" i="2"/>
  <c r="AE12" i="2"/>
  <c r="AE36" i="2"/>
  <c r="AD92" i="2"/>
  <c r="AE89" i="2"/>
  <c r="AF13" i="2"/>
  <c r="AF40" i="2"/>
  <c r="AC25" i="2"/>
  <c r="AC5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B94" i="2"/>
  <c r="AB97" i="2"/>
  <c r="AC109" i="2"/>
  <c r="AC22" i="2"/>
  <c r="AC49" i="2"/>
  <c r="AF49" i="2"/>
  <c r="AE31" i="2"/>
  <c r="AD91" i="2"/>
  <c r="AE68" i="2"/>
  <c r="AD54" i="2"/>
  <c r="AF94" i="2"/>
  <c r="AB82" i="2"/>
  <c r="AC62" i="2"/>
  <c r="AB48" i="2"/>
  <c r="AD84" i="2"/>
  <c r="AF98" i="2"/>
  <c r="AE7" i="2"/>
  <c r="AB85" i="2"/>
  <c r="AC10" i="2"/>
  <c r="AE84" i="2"/>
  <c r="AB62" i="2"/>
  <c r="AD99" i="2"/>
  <c r="AC2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50" i="2"/>
  <c r="AB98" i="2"/>
  <c r="AC110" i="2"/>
  <c r="AF68" i="2"/>
  <c r="AE51" i="2"/>
  <c r="AB12" i="2"/>
  <c r="AE9" i="2"/>
  <c r="AC71" i="2"/>
  <c r="AC99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D66" i="2"/>
  <c r="AB36" i="2"/>
  <c r="AC26" i="2"/>
  <c r="AD19" i="2"/>
  <c r="AC76" i="2"/>
  <c r="AE19" i="2"/>
  <c r="AE107" i="2"/>
  <c r="AF104" i="2"/>
  <c r="AE85" i="2"/>
  <c r="AD105" i="2"/>
  <c r="AB13" i="2"/>
  <c r="AB26" i="2"/>
  <c r="AD76" i="2"/>
  <c r="AC83" i="2"/>
  <c r="AD61" i="2"/>
  <c r="AB86" i="2"/>
  <c r="AF5" i="2"/>
  <c r="AF28" i="2"/>
  <c r="AB69" i="2"/>
  <c r="AB93" i="2"/>
  <c r="AE60" i="2"/>
  <c r="AD6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D85" i="2"/>
  <c r="AC86" i="2"/>
  <c r="AB21" i="2"/>
  <c r="AF48" i="2"/>
  <c r="AB61" i="2"/>
  <c r="AD15" i="2"/>
  <c r="AD50" i="2"/>
  <c r="AE72" i="2"/>
  <c r="AC6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11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80" i="2"/>
  <c r="AD69" i="2"/>
  <c r="AB5" i="2"/>
  <c r="AB56" i="2"/>
  <c r="AD60" i="2"/>
  <c r="AB47" i="2"/>
  <c r="AE33" i="2"/>
  <c r="AF82" i="2"/>
  <c r="AE83" i="2"/>
  <c r="AB106" i="2"/>
  <c r="AF29" i="2"/>
  <c r="AC13" i="2"/>
  <c r="AF88" i="2"/>
  <c r="AF112" i="2"/>
  <c r="AA138" i="1" l="1"/>
  <c r="AA155" i="1"/>
  <c r="AA146" i="1"/>
  <c r="AA142" i="1"/>
  <c r="AA133" i="1"/>
  <c r="AA131" i="1"/>
  <c r="AA128" i="1"/>
  <c r="AA124" i="1"/>
  <c r="AA85" i="1"/>
  <c r="AA83" i="1"/>
  <c r="AA73" i="1"/>
  <c r="AA53" i="1"/>
  <c r="AA45" i="1"/>
  <c r="AA41" i="1"/>
  <c r="AA31" i="1"/>
  <c r="AA29" i="1"/>
  <c r="AA27" i="1"/>
  <c r="AA19" i="1"/>
  <c r="AA14" i="1"/>
  <c r="AA178" i="1"/>
  <c r="AA177" i="1"/>
  <c r="AA176" i="1"/>
  <c r="AA170" i="1"/>
  <c r="AA169" i="1"/>
  <c r="AA166" i="1"/>
  <c r="AA165" i="1"/>
  <c r="AA161" i="1"/>
  <c r="AA159" i="1"/>
  <c r="AA157" i="1"/>
  <c r="AA156" i="1"/>
  <c r="AA153" i="1"/>
  <c r="AA152" i="1"/>
  <c r="AA151" i="1"/>
  <c r="AA150" i="1"/>
  <c r="AA149" i="1"/>
  <c r="AA148" i="1"/>
  <c r="AA143" i="1"/>
  <c r="AA141" i="1"/>
  <c r="AA139" i="1"/>
  <c r="AA132" i="1"/>
  <c r="AA130" i="1"/>
  <c r="AA125" i="1"/>
  <c r="AA123" i="1"/>
  <c r="AA84" i="1"/>
  <c r="AA57" i="1"/>
  <c r="AA52" i="1"/>
  <c r="AA51" i="1"/>
  <c r="AA42" i="1"/>
  <c r="AA38" i="1"/>
  <c r="AA30" i="1"/>
  <c r="AA28" i="1"/>
  <c r="AA26" i="1"/>
  <c r="AA21" i="1"/>
  <c r="AA15" i="1"/>
  <c r="AA167" i="1"/>
  <c r="AA160" i="1"/>
  <c r="AA154" i="1"/>
  <c r="AA126" i="1"/>
  <c r="AA200" i="1"/>
  <c r="AA162" i="1"/>
  <c r="AC113" i="2"/>
  <c r="AF113" i="2"/>
  <c r="AB111" i="2"/>
  <c r="AB112" i="2"/>
  <c r="AA79" i="1" s="1"/>
  <c r="AE9" i="1"/>
  <c r="AD9" i="1"/>
  <c r="AC9" i="1"/>
  <c r="AB9" i="1"/>
  <c r="AA9" i="1"/>
  <c r="Z9" i="1"/>
  <c r="Y9" i="1"/>
  <c r="B1" i="9"/>
  <c r="AB113" i="2"/>
  <c r="AA80" i="1" s="1"/>
  <c r="AE111" i="2"/>
  <c r="AE112" i="2"/>
  <c r="AE113" i="2"/>
  <c r="AC111" i="2"/>
  <c r="AC112" i="2"/>
  <c r="AD113" i="2"/>
  <c r="AD112" i="2"/>
  <c r="A1" i="9"/>
  <c r="L1" i="9"/>
  <c r="AA137" i="1" l="1"/>
  <c r="AA259" i="1"/>
  <c r="AA258" i="1"/>
  <c r="AA186" i="1"/>
  <c r="AA140" i="1"/>
  <c r="AA134" i="1"/>
  <c r="AA43" i="1" s="1"/>
  <c r="AA32" i="1"/>
  <c r="AA16" i="1"/>
  <c r="AA237" i="1"/>
  <c r="AA189" i="1"/>
  <c r="AA185" i="1"/>
  <c r="AA179" i="1"/>
  <c r="AA254" i="1"/>
  <c r="AA163" i="1"/>
  <c r="AA188" i="1"/>
  <c r="AA135" i="1"/>
  <c r="AA174" i="1"/>
  <c r="AA115" i="1" s="1"/>
  <c r="AA22" i="1"/>
  <c r="AA104" i="1"/>
  <c r="AA191" i="1"/>
  <c r="AA190" i="1" s="1"/>
  <c r="AA181" i="1"/>
  <c r="AA33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K245" i="1"/>
  <c r="CK142" i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H158" i="1"/>
  <c r="CJ245" i="1"/>
  <c r="Z245" i="1"/>
  <c r="AA39" i="1" l="1"/>
  <c r="AA144" i="1"/>
  <c r="AA192" i="1"/>
  <c r="AA187" i="1"/>
  <c r="AA34" i="1"/>
  <c r="AA23" i="1"/>
  <c r="CI245" i="1"/>
  <c r="CG142" i="1"/>
  <c r="CG245" i="1"/>
  <c r="CH245" i="1"/>
  <c r="AB19" i="1"/>
  <c r="AC19" i="1"/>
  <c r="AD19" i="1"/>
  <c r="AE19" i="1"/>
  <c r="AB20" i="1"/>
  <c r="AC20" i="1"/>
  <c r="AD20" i="1"/>
  <c r="AE20" i="1"/>
  <c r="AB30" i="1"/>
  <c r="AC30" i="1"/>
  <c r="AD30" i="1"/>
  <c r="AE30" i="1"/>
  <c r="AB31" i="1"/>
  <c r="AC31" i="1"/>
  <c r="AD31" i="1"/>
  <c r="AE31" i="1"/>
  <c r="AB53" i="1"/>
  <c r="AC53" i="1"/>
  <c r="AD53" i="1"/>
  <c r="AE53" i="1"/>
  <c r="AB165" i="1"/>
  <c r="AC165" i="1"/>
  <c r="AD165" i="1"/>
  <c r="AE165" i="1"/>
  <c r="AB179" i="1"/>
  <c r="AC179" i="1"/>
  <c r="AD179" i="1"/>
  <c r="AE179" i="1"/>
  <c r="CE142" i="1"/>
  <c r="CE245" i="1"/>
  <c r="CF245" i="1"/>
  <c r="AI203" i="1"/>
  <c r="AI208" i="1"/>
  <c r="AI212" i="1"/>
  <c r="AI215" i="1"/>
  <c r="AI245" i="1"/>
  <c r="Y245" i="1"/>
  <c r="AM142" i="1"/>
  <c r="AO142" i="1"/>
  <c r="AQ142" i="1"/>
  <c r="AS142" i="1"/>
  <c r="AU142" i="1"/>
  <c r="AW142" i="1"/>
  <c r="AY142" i="1"/>
  <c r="BA142" i="1"/>
  <c r="BC142" i="1"/>
  <c r="BE142" i="1"/>
  <c r="BG142" i="1"/>
  <c r="BI142" i="1"/>
  <c r="BK142" i="1"/>
  <c r="BM142" i="1"/>
  <c r="BO142" i="1"/>
  <c r="BQ142" i="1"/>
  <c r="BS142" i="1"/>
  <c r="BU142" i="1"/>
  <c r="BW142" i="1"/>
  <c r="BY142" i="1"/>
  <c r="CA142" i="1"/>
  <c r="CC142" i="1"/>
  <c r="CD245" i="1"/>
  <c r="CC245" i="1"/>
  <c r="AJ245" i="1"/>
  <c r="AK245" i="1"/>
  <c r="AL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50" i="1" l="1"/>
  <c r="AA171" i="1"/>
  <c r="AA172" i="1" s="1"/>
  <c r="AA252" i="1"/>
  <c r="AA40" i="1"/>
  <c r="AA118" i="1"/>
  <c r="AA35" i="1"/>
  <c r="AA238" i="1"/>
  <c r="AA239" i="1" s="1"/>
  <c r="Y1" i="1"/>
  <c r="Z1" i="1" s="1"/>
  <c r="AA61" i="1" l="1"/>
  <c r="AA44" i="1"/>
  <c r="AA1" i="1"/>
  <c r="AB1" i="1" s="1"/>
  <c r="AC1" i="1" s="1"/>
  <c r="AD1" i="1" s="1"/>
  <c r="AE1" i="1" s="1"/>
  <c r="AA46" i="1" l="1"/>
  <c r="AA47" i="1"/>
  <c r="A1" i="3"/>
  <c r="AA48" i="1" l="1"/>
  <c r="AA251" i="1" s="1"/>
  <c r="AA54" i="1"/>
  <c r="AA240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CL15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0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27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Y26" i="2"/>
  <c r="Z9" i="2"/>
  <c r="BB20" i="3"/>
  <c r="BB22" i="3"/>
  <c r="Y6" i="2"/>
  <c r="Z53" i="2"/>
  <c r="Y50" i="2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4" i="1" s="1"/>
  <c r="BH25" i="3"/>
  <c r="BL45" i="3"/>
  <c r="BH27" i="3"/>
  <c r="BL41" i="3"/>
  <c r="BT8" i="3"/>
  <c r="BM25" i="3"/>
  <c r="BI41" i="3"/>
  <c r="BL18" i="3"/>
  <c r="BF35" i="3"/>
  <c r="CL52" i="1" s="1"/>
  <c r="BG11" i="3"/>
  <c r="BE28" i="3"/>
  <c r="BJ8" i="3"/>
  <c r="BF28" i="3"/>
  <c r="CL38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110" i="2"/>
  <c r="Z89" i="2"/>
  <c r="AA90" i="2"/>
  <c r="BB9" i="3"/>
  <c r="BA19" i="3"/>
  <c r="Z110" i="2"/>
  <c r="Y49" i="2"/>
  <c r="AA6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8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Y60" i="2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1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F39" i="3"/>
  <c r="BK45" i="3"/>
  <c r="AA24" i="2"/>
  <c r="AA72" i="2"/>
  <c r="Y68" i="2"/>
  <c r="Z109" i="2"/>
  <c r="AA93" i="2"/>
  <c r="Z47" i="2"/>
  <c r="Z96" i="2"/>
  <c r="BC14" i="3"/>
  <c r="BD45" i="3"/>
  <c r="AA108" i="2"/>
  <c r="Z18" i="2"/>
  <c r="Y11" i="2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1" i="1" s="1"/>
  <c r="BG5" i="3"/>
  <c r="BK25" i="3"/>
  <c r="BF18" i="3"/>
  <c r="CL31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7" i="1" s="1"/>
  <c r="BN10" i="3"/>
  <c r="BF30" i="3"/>
  <c r="BN12" i="3"/>
  <c r="BM46" i="3"/>
  <c r="BG45" i="3"/>
  <c r="BT42" i="3"/>
  <c r="BG30" i="3"/>
  <c r="BJ5" i="3"/>
  <c r="BH22" i="3"/>
  <c r="BK15" i="3"/>
  <c r="BK31" i="3"/>
  <c r="BN22" i="3"/>
  <c r="AA55" i="2"/>
  <c r="BD32" i="3"/>
  <c r="BA31" i="3"/>
  <c r="BA9" i="3"/>
  <c r="BA22" i="3"/>
  <c r="Y42" i="2"/>
  <c r="AA36" i="2"/>
  <c r="Y98" i="2"/>
  <c r="Y15" i="2"/>
  <c r="Z68" i="2"/>
  <c r="BA40" i="3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53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Q9" i="3"/>
  <c r="BQ15" i="3"/>
  <c r="BQ21" i="3"/>
  <c r="BQ27" i="3"/>
  <c r="BQ33" i="3"/>
  <c r="BQ39" i="3"/>
  <c r="BQ5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45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30" i="1" s="1"/>
  <c r="BH34" i="3"/>
  <c r="BM14" i="3"/>
  <c r="BG35" i="3"/>
  <c r="BH15" i="3"/>
  <c r="BF14" i="3"/>
  <c r="CL29" i="1" s="1"/>
  <c r="BH33" i="3"/>
  <c r="BL25" i="3"/>
  <c r="BF24" i="3"/>
  <c r="BT9" i="3"/>
  <c r="BP14" i="3"/>
  <c r="BG32" i="3"/>
  <c r="BL8" i="3"/>
  <c r="BF25" i="3"/>
  <c r="CL42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D38" i="3"/>
  <c r="Y27" i="2"/>
  <c r="Y105" i="2"/>
  <c r="Y63" i="2"/>
  <c r="Y53" i="2"/>
  <c r="FC14" i="4" a="1"/>
  <c r="EX9" i="4" a="1"/>
  <c r="BQ22" i="3"/>
  <c r="BR11" i="3"/>
  <c r="BS41" i="3"/>
  <c r="BH30" i="3"/>
  <c r="BM32" i="3"/>
  <c r="BR17" i="3"/>
  <c r="BR23" i="3"/>
  <c r="BR29" i="3"/>
  <c r="BR35" i="3"/>
  <c r="BO7" i="3"/>
  <c r="BS39" i="3"/>
  <c r="BM27" i="3"/>
  <c r="BF33" i="3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I33" i="3"/>
  <c r="BN9" i="3"/>
  <c r="BH26" i="3"/>
  <c r="BF45" i="3"/>
  <c r="CL69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Z27" i="2"/>
  <c r="Y79" i="2"/>
  <c r="BC40" i="3"/>
  <c r="FA7" i="4" a="1"/>
  <c r="EX13" i="4" a="1"/>
  <c r="FC16" i="4" a="1"/>
  <c r="EY15" i="4" a="1"/>
  <c r="FC15" i="4" a="1"/>
  <c r="FF5" i="4" a="1"/>
  <c r="BQ28" i="3"/>
  <c r="BO19" i="3"/>
  <c r="BT39" i="3"/>
  <c r="BI12" i="3"/>
  <c r="BN46" i="3"/>
  <c r="BQ10" i="3"/>
  <c r="BQ16" i="3"/>
  <c r="BQ34" i="3"/>
  <c r="BQ40" i="3"/>
  <c r="BR5" i="3"/>
  <c r="BT14" i="3"/>
  <c r="BM31" i="3"/>
  <c r="BL10" i="3"/>
  <c r="BE12" i="3"/>
  <c r="BF46" i="3"/>
  <c r="CL70" i="1" s="1"/>
  <c r="BR41" i="3"/>
  <c r="BO13" i="3"/>
  <c r="BO25" i="3"/>
  <c r="BO31" i="3"/>
  <c r="BJ9" i="3"/>
  <c r="BI32" i="3"/>
  <c r="BU10" i="3"/>
  <c r="BN31" i="3"/>
  <c r="BS25" i="3"/>
  <c r="BP37" i="3"/>
  <c r="BM39" i="3"/>
  <c r="BH17" i="3"/>
  <c r="BK34" i="3"/>
  <c r="BH45" i="3"/>
  <c r="Z108" i="2"/>
  <c r="BC41" i="3"/>
  <c r="Y108" i="2"/>
  <c r="Z21" i="2"/>
  <c r="BA5" i="3"/>
  <c r="AA85" i="2"/>
  <c r="AA32" i="2"/>
  <c r="BD46" i="3"/>
  <c r="Z87" i="2"/>
  <c r="BD31" i="3"/>
  <c r="BA46" i="3"/>
  <c r="AA107" i="2"/>
  <c r="Y87" i="2"/>
  <c r="EZ11" i="4" a="1"/>
  <c r="FB7" i="4" a="1"/>
  <c r="EZ15" i="4" a="1"/>
  <c r="FE11" i="4" a="1"/>
  <c r="BB36" i="3"/>
  <c r="BB34" i="3"/>
  <c r="FF15" i="4" a="1"/>
  <c r="EX15" i="4" a="1"/>
  <c r="FC6" i="4" a="1"/>
  <c r="FC11" i="4" a="1"/>
  <c r="BI29" i="3"/>
  <c r="BJ38" i="3"/>
  <c r="BB37" i="3"/>
  <c r="Y31" i="2"/>
  <c r="BB7" i="3"/>
  <c r="Y18" i="2"/>
  <c r="FB6" i="4" a="1"/>
  <c r="BD20" i="3"/>
  <c r="FF7" i="4" a="1"/>
  <c r="Z70" i="2"/>
  <c r="AA13" i="2"/>
  <c r="AA31" i="2"/>
  <c r="AA83" i="2"/>
  <c r="BB29" i="3"/>
  <c r="FD13" i="4" a="1"/>
  <c r="BV41" i="3"/>
  <c r="Y43" i="2"/>
  <c r="AA99" i="2"/>
  <c r="Z83" i="2"/>
  <c r="AA25" i="2"/>
  <c r="BB40" i="3"/>
  <c r="FC9" i="4" a="1"/>
  <c r="FE14" i="4" a="1"/>
  <c r="EY9" i="4" a="1"/>
  <c r="BT26" i="3"/>
  <c r="BT25" i="3"/>
  <c r="BU16" i="3"/>
  <c r="BK13" i="3"/>
  <c r="BS31" i="3"/>
  <c r="BP15" i="3"/>
  <c r="BK40" i="3"/>
  <c r="BN18" i="3"/>
  <c r="BM35" i="3"/>
  <c r="BH7" i="3"/>
  <c r="AA51" i="2"/>
  <c r="BD39" i="3"/>
  <c r="Z5" i="2"/>
  <c r="AA41" i="2"/>
  <c r="BD19" i="3"/>
  <c r="Z10" i="2"/>
  <c r="AA89" i="2"/>
  <c r="BC21" i="3"/>
  <c r="BC33" i="3"/>
  <c r="BD17" i="3"/>
  <c r="Z7" i="2"/>
  <c r="FD6" i="4" a="1"/>
  <c r="BE9" i="3"/>
  <c r="AA40" i="2"/>
  <c r="BC17" i="3"/>
  <c r="AA52" i="2"/>
  <c r="Y52" i="2"/>
  <c r="Z42" i="2"/>
  <c r="AA20" i="2"/>
  <c r="BA10" i="3"/>
  <c r="BE19" i="3"/>
  <c r="AA76" i="2"/>
  <c r="Y67" i="2"/>
  <c r="Z8" i="2"/>
  <c r="BS13" i="3"/>
  <c r="BU22" i="3"/>
  <c r="BE34" i="3"/>
  <c r="BO40" i="3"/>
  <c r="BP7" i="3"/>
  <c r="BH18" i="3"/>
  <c r="BJ36" i="3"/>
  <c r="BJ11" i="3"/>
  <c r="AA78" i="2"/>
  <c r="BA16" i="3"/>
  <c r="Y80" i="2"/>
  <c r="BC13" i="3"/>
  <c r="AA88" i="2"/>
  <c r="Z94" i="2"/>
  <c r="AA92" i="2"/>
  <c r="BB12" i="3"/>
  <c r="BC34" i="3"/>
  <c r="AA67" i="2"/>
  <c r="BD5" i="3"/>
  <c r="Z17" i="2"/>
  <c r="FF13" i="4" a="1"/>
  <c r="EX16" i="4" a="1"/>
  <c r="FE8" i="4" a="1"/>
  <c r="EX7" i="4" a="1"/>
  <c r="FF8" i="4" a="1"/>
  <c r="BU34" i="3"/>
  <c r="BN37" i="3"/>
  <c r="AA50" i="2"/>
  <c r="AA28" i="2"/>
  <c r="BA13" i="3"/>
  <c r="FC12" i="4" a="1"/>
  <c r="FF9" i="4" a="1"/>
  <c r="EX12" i="4" a="1"/>
  <c r="BA36" i="3"/>
  <c r="Z60" i="2"/>
  <c r="EY11" i="4" a="1"/>
  <c r="BC37" i="3"/>
  <c r="BL5" i="3"/>
  <c r="BE22" i="3"/>
  <c r="Y17" i="2"/>
  <c r="FF16" i="4" a="1"/>
  <c r="FB12" i="4" a="1"/>
  <c r="BK32" i="3"/>
  <c r="Y19" i="2"/>
  <c r="Z98" i="2"/>
  <c r="Z82" i="2"/>
  <c r="FD12" i="4" a="1"/>
  <c r="BU28" i="3"/>
  <c r="BJ10" i="3"/>
  <c r="BT10" i="3"/>
  <c r="BP23" i="3"/>
  <c r="BH20" i="3"/>
  <c r="BF38" i="3"/>
  <c r="BF13" i="3"/>
  <c r="Y99" i="2"/>
  <c r="BA29" i="3"/>
  <c r="Y33" i="2"/>
  <c r="BB16" i="3"/>
  <c r="Z6" i="2"/>
  <c r="Y5" i="2"/>
  <c r="Z99" i="2"/>
  <c r="BC36" i="3"/>
  <c r="BD25" i="3"/>
  <c r="Z28" i="2"/>
  <c r="BB28" i="3"/>
  <c r="Y29" i="2"/>
  <c r="FD14" i="4" a="1"/>
  <c r="EZ14" i="4" a="1"/>
  <c r="FB13" i="4" a="1"/>
  <c r="EZ13" i="4" a="1"/>
  <c r="BV17" i="3"/>
  <c r="BJ27" i="3"/>
  <c r="AA47" i="2"/>
  <c r="AA84" i="2"/>
  <c r="EX5" i="4" a="1"/>
  <c r="BD8" i="3"/>
  <c r="AA33" i="2"/>
  <c r="FE6" i="4" a="1"/>
  <c r="BM38" i="3"/>
  <c r="Z48" i="2"/>
  <c r="AA26" i="2"/>
  <c r="BA23" i="3"/>
  <c r="Z93" i="2"/>
  <c r="EY13" i="4" a="1"/>
  <c r="BS7" i="3"/>
  <c r="BI40" i="3"/>
  <c r="Y104" i="2"/>
  <c r="Z43" i="2"/>
  <c r="FD9" i="4" a="1"/>
  <c r="BB32" i="3"/>
  <c r="Y97" i="2"/>
  <c r="FD15" i="4" a="1"/>
  <c r="AA27" i="2"/>
  <c r="FD16" i="4" a="1"/>
  <c r="FA15" i="4" a="1"/>
  <c r="BS42" i="3"/>
  <c r="Z59" i="2"/>
  <c r="FE15" i="4" a="1"/>
  <c r="BA17" i="3"/>
  <c r="BA37" i="3"/>
  <c r="Y59" i="2"/>
  <c r="FF14" i="4" a="1"/>
  <c r="FE7" i="4" a="1"/>
  <c r="BT24" i="3"/>
  <c r="BL29" i="3"/>
  <c r="BG37" i="3"/>
  <c r="AA14" i="2"/>
  <c r="Y47" i="2"/>
  <c r="AV10" i="3"/>
  <c r="Z24" i="2"/>
  <c r="EX11" i="4" a="1"/>
  <c r="EX14" i="4" a="1"/>
  <c r="FB16" i="4" a="1"/>
  <c r="BU40" i="3"/>
  <c r="BV23" i="3"/>
  <c r="BF11" i="3"/>
  <c r="CL21" i="1" s="1"/>
  <c r="BI9" i="3"/>
  <c r="BJ39" i="3"/>
  <c r="BE46" i="3"/>
  <c r="BL28" i="3"/>
  <c r="Z66" i="2"/>
  <c r="Y35" i="2"/>
  <c r="BD29" i="3"/>
  <c r="AA81" i="2"/>
  <c r="BD11" i="3"/>
  <c r="AA16" i="2"/>
  <c r="AA71" i="2"/>
  <c r="AA82" i="2"/>
  <c r="BA24" i="3"/>
  <c r="BB35" i="3"/>
  <c r="Z52" i="2"/>
  <c r="AA75" i="2"/>
  <c r="Z69" i="2"/>
  <c r="FA8" i="4" a="1"/>
  <c r="FB8" i="4" a="1"/>
  <c r="FB9" i="4" a="1"/>
  <c r="EX6" i="4" a="1"/>
  <c r="FB15" i="4" a="1"/>
  <c r="Z72" i="2"/>
  <c r="BB38" i="3"/>
  <c r="AA35" i="2"/>
  <c r="X6" i="2"/>
  <c r="AA49" i="2"/>
  <c r="EZ16" i="4" a="1"/>
  <c r="Z76" i="2"/>
  <c r="AA42" i="2"/>
  <c r="BC6" i="3"/>
  <c r="FD7" i="4" a="1"/>
  <c r="BK18" i="3"/>
  <c r="BV5" i="3"/>
  <c r="BV29" i="3"/>
  <c r="BL34" i="3"/>
  <c r="BM13" i="3"/>
  <c r="BI18" i="3"/>
  <c r="BL9" i="3"/>
  <c r="BK5" i="3"/>
  <c r="Y94" i="2"/>
  <c r="AA65" i="2"/>
  <c r="BC31" i="3"/>
  <c r="AA15" i="2"/>
  <c r="BI23" i="3"/>
  <c r="Y61" i="2"/>
  <c r="Z88" i="2"/>
  <c r="BA25" i="3"/>
  <c r="EY12" i="4" a="1"/>
  <c r="BV11" i="3"/>
  <c r="BV35" i="3"/>
  <c r="BE14" i="3"/>
  <c r="BG14" i="3"/>
  <c r="BE20" i="3"/>
  <c r="BF16" i="3"/>
  <c r="CL26" i="1" s="1"/>
  <c r="BI6" i="3"/>
  <c r="Z20" i="2"/>
  <c r="BA30" i="3"/>
  <c r="FD5" i="4" a="1"/>
  <c r="BM34" i="3"/>
  <c r="BT19" i="3"/>
  <c r="BG21" i="3"/>
  <c r="BB45" i="3"/>
  <c r="BB19" i="3"/>
  <c r="BA12" i="3"/>
  <c r="AA5" i="2"/>
  <c r="BH12" i="3"/>
  <c r="BS19" i="3"/>
  <c r="BT28" i="3"/>
  <c r="BM23" i="3"/>
  <c r="BF36" i="3"/>
  <c r="BP28" i="3"/>
  <c r="BI38" i="3"/>
  <c r="Y64" i="2"/>
  <c r="BD21" i="3"/>
  <c r="W6" i="2"/>
  <c r="Z12" i="2"/>
  <c r="BA28" i="3"/>
  <c r="Z92" i="2"/>
  <c r="Y77" i="2"/>
  <c r="BD9" i="3"/>
  <c r="AA23" i="2"/>
  <c r="BC5" i="3"/>
  <c r="BB23" i="3"/>
  <c r="Y54" i="2"/>
  <c r="AA45" i="2"/>
  <c r="EZ8" i="4" a="1"/>
  <c r="FD8" i="4" a="1"/>
  <c r="FF12" i="4" a="1"/>
  <c r="FC13" i="4" a="1"/>
  <c r="EY6" i="4" a="1"/>
  <c r="BP26" i="3"/>
  <c r="BC42" i="3"/>
  <c r="BP50" i="3" l="1"/>
  <c r="AA58" i="1"/>
  <c r="AA60" i="1"/>
  <c r="AA199" i="1"/>
  <c r="AA201" i="1" s="1"/>
  <c r="BP57" i="3"/>
  <c r="BP60" i="3"/>
  <c r="CL16" i="1"/>
  <c r="CL237" i="1"/>
  <c r="CL259" i="1"/>
  <c r="CL200" i="1"/>
  <c r="CL258" i="1"/>
  <c r="CL71" i="1"/>
  <c r="CL32" i="1"/>
  <c r="CL33" i="1" s="1"/>
  <c r="CK15" i="1"/>
  <c r="CK29" i="1"/>
  <c r="CK70" i="1"/>
  <c r="CK51" i="1"/>
  <c r="CK20" i="1"/>
  <c r="CK41" i="1"/>
  <c r="CK31" i="1"/>
  <c r="CK52" i="1"/>
  <c r="CK69" i="1"/>
  <c r="CK71" i="1" s="1"/>
  <c r="CK27" i="1"/>
  <c r="CK53" i="1"/>
  <c r="CK45" i="1"/>
  <c r="CK19" i="1"/>
  <c r="CK28" i="1"/>
  <c r="CK38" i="1"/>
  <c r="CK14" i="1"/>
  <c r="CK21" i="1"/>
  <c r="CK42" i="1"/>
  <c r="CK30" i="1"/>
  <c r="CK57" i="1"/>
  <c r="CK26" i="1"/>
  <c r="CK16" i="1"/>
  <c r="CL18" i="1" s="1"/>
  <c r="Z53" i="1"/>
  <c r="CH51" i="1"/>
  <c r="CH21" i="1"/>
  <c r="X132" i="1"/>
  <c r="X160" i="1" s="1"/>
  <c r="Z128" i="1"/>
  <c r="CH128" i="1" s="1"/>
  <c r="CI128" i="1" s="1"/>
  <c r="Z29" i="1"/>
  <c r="Z161" i="1"/>
  <c r="CH161" i="1" s="1"/>
  <c r="CH45" i="1"/>
  <c r="CJ51" i="1"/>
  <c r="CJ15" i="1"/>
  <c r="X73" i="1"/>
  <c r="Y124" i="1"/>
  <c r="X53" i="1"/>
  <c r="Y27" i="1"/>
  <c r="X138" i="1"/>
  <c r="X123" i="1"/>
  <c r="Y123" i="1"/>
  <c r="Y15" i="1"/>
  <c r="Z177" i="1"/>
  <c r="Z84" i="1"/>
  <c r="Y156" i="1"/>
  <c r="Y138" i="1"/>
  <c r="X159" i="1"/>
  <c r="Y125" i="1"/>
  <c r="Y178" i="1"/>
  <c r="CI52" i="1"/>
  <c r="Y166" i="1"/>
  <c r="Z165" i="1"/>
  <c r="X31" i="1"/>
  <c r="CH38" i="1"/>
  <c r="CH200" i="1" s="1"/>
  <c r="CJ29" i="1"/>
  <c r="CI53" i="1"/>
  <c r="CJ30" i="1"/>
  <c r="CH41" i="1"/>
  <c r="CG42" i="1"/>
  <c r="X152" i="1"/>
  <c r="Y133" i="1"/>
  <c r="X84" i="1"/>
  <c r="Z42" i="1"/>
  <c r="Z170" i="1"/>
  <c r="CH170" i="1" s="1"/>
  <c r="CI170" i="1" s="1"/>
  <c r="X177" i="1"/>
  <c r="Y52" i="1"/>
  <c r="Z169" i="1"/>
  <c r="CH169" i="1" s="1"/>
  <c r="CI169" i="1" s="1"/>
  <c r="Y157" i="1"/>
  <c r="X157" i="1"/>
  <c r="X38" i="1"/>
  <c r="Z143" i="1"/>
  <c r="CH143" i="1" s="1"/>
  <c r="CI143" i="1" s="1"/>
  <c r="CH19" i="1"/>
  <c r="CG31" i="1"/>
  <c r="CJ27" i="1"/>
  <c r="Y38" i="1"/>
  <c r="Y146" i="1"/>
  <c r="Z125" i="1"/>
  <c r="CH125" i="1" s="1"/>
  <c r="CJ20" i="1"/>
  <c r="CG51" i="1"/>
  <c r="CG41" i="1"/>
  <c r="CI14" i="1"/>
  <c r="CG19" i="1"/>
  <c r="CG28" i="1"/>
  <c r="CH52" i="1"/>
  <c r="CH14" i="1"/>
  <c r="CH57" i="1"/>
  <c r="CG21" i="1"/>
  <c r="CJ42" i="1"/>
  <c r="CI51" i="1"/>
  <c r="CJ26" i="1"/>
  <c r="CN26" i="1" s="1"/>
  <c r="CR26" i="1" s="1"/>
  <c r="CV26" i="1" s="1"/>
  <c r="CZ26" i="1" s="1"/>
  <c r="X141" i="1"/>
  <c r="X137" i="1" s="1"/>
  <c r="Y132" i="1"/>
  <c r="Y160" i="1" s="1"/>
  <c r="Z41" i="1"/>
  <c r="Y51" i="1"/>
  <c r="X143" i="1"/>
  <c r="Y170" i="1"/>
  <c r="X15" i="1"/>
  <c r="X178" i="1"/>
  <c r="Z38" i="1"/>
  <c r="Z200" i="1" s="1"/>
  <c r="X133" i="1"/>
  <c r="X131" i="1"/>
  <c r="CI41" i="1"/>
  <c r="CH20" i="1"/>
  <c r="CI28" i="1"/>
  <c r="CH53" i="1"/>
  <c r="CJ70" i="1"/>
  <c r="CI70" i="1" s="1"/>
  <c r="CH70" i="1" s="1"/>
  <c r="CG70" i="1" s="1"/>
  <c r="CF70" i="1" s="1"/>
  <c r="CE70" i="1" s="1"/>
  <c r="CD70" i="1" s="1"/>
  <c r="CC70" i="1" s="1"/>
  <c r="CB70" i="1" s="1"/>
  <c r="CA70" i="1" s="1"/>
  <c r="BZ70" i="1" s="1"/>
  <c r="BY70" i="1" s="1"/>
  <c r="BX70" i="1" s="1"/>
  <c r="BW70" i="1" s="1"/>
  <c r="BV70" i="1" s="1"/>
  <c r="BU70" i="1" s="1"/>
  <c r="BT70" i="1" s="1"/>
  <c r="BS70" i="1" s="1"/>
  <c r="BR70" i="1" s="1"/>
  <c r="BQ70" i="1" s="1"/>
  <c r="BP70" i="1" s="1"/>
  <c r="BO70" i="1" s="1"/>
  <c r="BN70" i="1" s="1"/>
  <c r="BM70" i="1" s="1"/>
  <c r="BL70" i="1" s="1"/>
  <c r="BK70" i="1" s="1"/>
  <c r="BJ70" i="1" s="1"/>
  <c r="BI70" i="1" s="1"/>
  <c r="BH70" i="1" s="1"/>
  <c r="BG70" i="1" s="1"/>
  <c r="BF70" i="1" s="1"/>
  <c r="BE70" i="1" s="1"/>
  <c r="BD70" i="1" s="1"/>
  <c r="BC70" i="1" s="1"/>
  <c r="BB70" i="1" s="1"/>
  <c r="BA70" i="1" s="1"/>
  <c r="AZ70" i="1" s="1"/>
  <c r="AY70" i="1" s="1"/>
  <c r="AX70" i="1" s="1"/>
  <c r="AW70" i="1" s="1"/>
  <c r="AV70" i="1" s="1"/>
  <c r="AU70" i="1" s="1"/>
  <c r="AT70" i="1" s="1"/>
  <c r="AS70" i="1" s="1"/>
  <c r="AR70" i="1" s="1"/>
  <c r="AQ70" i="1" s="1"/>
  <c r="AP70" i="1" s="1"/>
  <c r="AO70" i="1" s="1"/>
  <c r="AN70" i="1" s="1"/>
  <c r="AM70" i="1" s="1"/>
  <c r="AL70" i="1" s="1"/>
  <c r="AK70" i="1" s="1"/>
  <c r="AJ70" i="1" s="1"/>
  <c r="AI70" i="1" s="1"/>
  <c r="CG29" i="1"/>
  <c r="CJ38" i="1"/>
  <c r="CG20" i="1"/>
  <c r="Z52" i="1"/>
  <c r="Z157" i="1"/>
  <c r="CH157" i="1" s="1"/>
  <c r="X45" i="1"/>
  <c r="Z51" i="1"/>
  <c r="X151" i="1"/>
  <c r="Y128" i="1"/>
  <c r="X161" i="1"/>
  <c r="Z30" i="1"/>
  <c r="X128" i="1"/>
  <c r="Z139" i="1"/>
  <c r="CH139" i="1" s="1"/>
  <c r="CI139" i="1" s="1"/>
  <c r="Z146" i="1"/>
  <c r="Z21" i="1"/>
  <c r="X19" i="1"/>
  <c r="Y83" i="1"/>
  <c r="Y176" i="1"/>
  <c r="Z176" i="1"/>
  <c r="X130" i="1"/>
  <c r="Y57" i="1"/>
  <c r="Y31" i="1"/>
  <c r="Y165" i="1"/>
  <c r="Z124" i="1"/>
  <c r="CH124" i="1" s="1"/>
  <c r="CI124" i="1" s="1"/>
  <c r="Y41" i="1"/>
  <c r="Y161" i="1"/>
  <c r="Z85" i="1"/>
  <c r="Z149" i="1"/>
  <c r="CH149" i="1" s="1"/>
  <c r="Z133" i="1"/>
  <c r="CH133" i="1" s="1"/>
  <c r="CI133" i="1" s="1"/>
  <c r="Y149" i="1"/>
  <c r="Y14" i="1"/>
  <c r="CG52" i="1"/>
  <c r="CJ69" i="1"/>
  <c r="CI69" i="1" s="1"/>
  <c r="CH69" i="1" s="1"/>
  <c r="CG69" i="1" s="1"/>
  <c r="CF69" i="1" s="1"/>
  <c r="CE69" i="1" s="1"/>
  <c r="CD69" i="1" s="1"/>
  <c r="CC69" i="1" s="1"/>
  <c r="CB69" i="1" s="1"/>
  <c r="CA69" i="1" s="1"/>
  <c r="BZ69" i="1" s="1"/>
  <c r="BY69" i="1" s="1"/>
  <c r="BX69" i="1" s="1"/>
  <c r="BW69" i="1" s="1"/>
  <c r="BV69" i="1" s="1"/>
  <c r="BU69" i="1" s="1"/>
  <c r="BT69" i="1" s="1"/>
  <c r="BS69" i="1" s="1"/>
  <c r="BR69" i="1" s="1"/>
  <c r="BQ69" i="1" s="1"/>
  <c r="BP69" i="1" s="1"/>
  <c r="BO69" i="1" s="1"/>
  <c r="BN69" i="1" s="1"/>
  <c r="BM69" i="1" s="1"/>
  <c r="BL69" i="1" s="1"/>
  <c r="BK69" i="1" s="1"/>
  <c r="BJ69" i="1" s="1"/>
  <c r="BI69" i="1" s="1"/>
  <c r="BH69" i="1" s="1"/>
  <c r="BG69" i="1" s="1"/>
  <c r="BF69" i="1" s="1"/>
  <c r="BE69" i="1" s="1"/>
  <c r="BD69" i="1" s="1"/>
  <c r="BC69" i="1" s="1"/>
  <c r="BB69" i="1" s="1"/>
  <c r="BA69" i="1" s="1"/>
  <c r="AZ69" i="1" s="1"/>
  <c r="AY69" i="1" s="1"/>
  <c r="AX69" i="1" s="1"/>
  <c r="AW69" i="1" s="1"/>
  <c r="AV69" i="1" s="1"/>
  <c r="AU69" i="1" s="1"/>
  <c r="AT69" i="1" s="1"/>
  <c r="AS69" i="1" s="1"/>
  <c r="AR69" i="1" s="1"/>
  <c r="AQ69" i="1" s="1"/>
  <c r="AP69" i="1" s="1"/>
  <c r="AO69" i="1" s="1"/>
  <c r="AN69" i="1" s="1"/>
  <c r="AM69" i="1" s="1"/>
  <c r="AL69" i="1" s="1"/>
  <c r="AK69" i="1" s="1"/>
  <c r="AJ69" i="1" s="1"/>
  <c r="AI69" i="1" s="1"/>
  <c r="CH31" i="1"/>
  <c r="CH28" i="1"/>
  <c r="CJ52" i="1"/>
  <c r="CG38" i="1"/>
  <c r="CI57" i="1"/>
  <c r="CI45" i="1"/>
  <c r="CG57" i="1"/>
  <c r="CH29" i="1"/>
  <c r="CJ14" i="1"/>
  <c r="CI29" i="1"/>
  <c r="CJ21" i="1"/>
  <c r="CJ19" i="1"/>
  <c r="CG14" i="1"/>
  <c r="CG237" i="1" s="1"/>
  <c r="CI27" i="1"/>
  <c r="CH26" i="1"/>
  <c r="CP26" i="1" s="1"/>
  <c r="CT26" i="1" s="1"/>
  <c r="CX26" i="1" s="1"/>
  <c r="DB26" i="1" s="1"/>
  <c r="CI38" i="1"/>
  <c r="CI200" i="1" s="1"/>
  <c r="CG30" i="1"/>
  <c r="X166" i="1"/>
  <c r="Y142" i="1"/>
  <c r="Y29" i="1"/>
  <c r="Z123" i="1"/>
  <c r="X42" i="1"/>
  <c r="Y141" i="1"/>
  <c r="Y137" i="1" s="1"/>
  <c r="Y53" i="1"/>
  <c r="Y21" i="1"/>
  <c r="X146" i="1"/>
  <c r="Y28" i="1"/>
  <c r="X29" i="1"/>
  <c r="X155" i="1"/>
  <c r="X83" i="1"/>
  <c r="Y153" i="1"/>
  <c r="Y177" i="1"/>
  <c r="Z150" i="1"/>
  <c r="Z138" i="1"/>
  <c r="CH138" i="1" s="1"/>
  <c r="Y152" i="1"/>
  <c r="Z19" i="1"/>
  <c r="Z14" i="1"/>
  <c r="Y151" i="1"/>
  <c r="Z57" i="1"/>
  <c r="Z155" i="1"/>
  <c r="CH155" i="1" s="1"/>
  <c r="Z141" i="1"/>
  <c r="Y19" i="1"/>
  <c r="Y169" i="1"/>
  <c r="X52" i="1"/>
  <c r="X153" i="1"/>
  <c r="Z152" i="1"/>
  <c r="CH152" i="1" s="1"/>
  <c r="Z45" i="1"/>
  <c r="Y26" i="1"/>
  <c r="X169" i="1"/>
  <c r="Z131" i="1"/>
  <c r="CH131" i="1" s="1"/>
  <c r="CI131" i="1" s="1"/>
  <c r="X85" i="1"/>
  <c r="X28" i="1"/>
  <c r="X124" i="1"/>
  <c r="Y73" i="1"/>
  <c r="Z83" i="1"/>
  <c r="X27" i="1"/>
  <c r="X125" i="1"/>
  <c r="Y84" i="1"/>
  <c r="Z132" i="1"/>
  <c r="CH132" i="1" s="1"/>
  <c r="CI132" i="1" s="1"/>
  <c r="Y42" i="1"/>
  <c r="Y130" i="1"/>
  <c r="X14" i="1"/>
  <c r="CI30" i="1"/>
  <c r="CJ45" i="1"/>
  <c r="CH30" i="1"/>
  <c r="CI20" i="1"/>
  <c r="CJ41" i="1"/>
  <c r="CI21" i="1"/>
  <c r="CI19" i="1"/>
  <c r="CG45" i="1"/>
  <c r="CG26" i="1"/>
  <c r="CH42" i="1"/>
  <c r="CI42" i="1"/>
  <c r="CI26" i="1"/>
  <c r="CM26" i="1" s="1"/>
  <c r="CQ26" i="1" s="1"/>
  <c r="CU26" i="1" s="1"/>
  <c r="CY26" i="1" s="1"/>
  <c r="CJ28" i="1"/>
  <c r="CJ31" i="1"/>
  <c r="CH27" i="1"/>
  <c r="CE45" i="1"/>
  <c r="CG53" i="1"/>
  <c r="CJ53" i="1"/>
  <c r="CG15" i="1"/>
  <c r="CG27" i="1"/>
  <c r="CI31" i="1"/>
  <c r="CJ57" i="1"/>
  <c r="CH15" i="1"/>
  <c r="CI15" i="1"/>
  <c r="Y148" i="1"/>
  <c r="X57" i="1"/>
  <c r="Z130" i="1"/>
  <c r="CH130" i="1" s="1"/>
  <c r="CI130" i="1" s="1"/>
  <c r="Y139" i="1"/>
  <c r="Y30" i="1"/>
  <c r="X51" i="1"/>
  <c r="Z178" i="1"/>
  <c r="X21" i="1"/>
  <c r="Y155" i="1"/>
  <c r="Z166" i="1"/>
  <c r="CH166" i="1" s="1"/>
  <c r="X148" i="1"/>
  <c r="Y159" i="1"/>
  <c r="Y45" i="1"/>
  <c r="Z15" i="1"/>
  <c r="Z156" i="1"/>
  <c r="CH156" i="1" s="1"/>
  <c r="Y85" i="1"/>
  <c r="X41" i="1"/>
  <c r="X142" i="1"/>
  <c r="Z142" i="1"/>
  <c r="CH142" i="1" s="1"/>
  <c r="CI142" i="1" s="1"/>
  <c r="Z153" i="1"/>
  <c r="CH153" i="1" s="1"/>
  <c r="X139" i="1"/>
  <c r="Z26" i="1"/>
  <c r="Z151" i="1"/>
  <c r="Z148" i="1"/>
  <c r="CH148" i="1" s="1"/>
  <c r="X165" i="1"/>
  <c r="X156" i="1"/>
  <c r="Y131" i="1"/>
  <c r="Z27" i="1"/>
  <c r="Z28" i="1"/>
  <c r="Z73" i="1"/>
  <c r="Z31" i="1"/>
  <c r="X150" i="1"/>
  <c r="Y143" i="1"/>
  <c r="Y150" i="1"/>
  <c r="X170" i="1"/>
  <c r="X30" i="1"/>
  <c r="X26" i="1"/>
  <c r="Z159" i="1"/>
  <c r="CH159" i="1" s="1"/>
  <c r="X149" i="1"/>
  <c r="X176" i="1"/>
  <c r="X237" i="1"/>
  <c r="CH151" i="1"/>
  <c r="JP9" i="4" s="1"/>
  <c r="JP16" i="4" s="1"/>
  <c r="JO16" i="4" s="1"/>
  <c r="JO9" i="4" s="1"/>
  <c r="JN9" i="4" s="1"/>
  <c r="JN16" i="4" s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1" i="1" s="1"/>
  <c r="BB92" i="3"/>
  <c r="BB85" i="3"/>
  <c r="BB89" i="3"/>
  <c r="BG93" i="3"/>
  <c r="BH76" i="3"/>
  <c r="BF90" i="3"/>
  <c r="CL132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1" i="1" s="1"/>
  <c r="BF85" i="3"/>
  <c r="CL153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25" i="1" s="1"/>
  <c r="BJ84" i="3"/>
  <c r="BJ95" i="3"/>
  <c r="BJ94" i="3"/>
  <c r="BJ79" i="3"/>
  <c r="BK75" i="3"/>
  <c r="BK86" i="3"/>
  <c r="BK47" i="3"/>
  <c r="FS5" i="4" a="1"/>
  <c r="GR5" i="4" a="1"/>
  <c r="FG6" i="4" a="1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8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55" i="1" s="1"/>
  <c r="BJ47" i="3"/>
  <c r="BJ89" i="3"/>
  <c r="BJ50" i="3"/>
  <c r="BJ81" i="3"/>
  <c r="BK59" i="3"/>
  <c r="BK84" i="3"/>
  <c r="BU66" i="3"/>
  <c r="BK70" i="3"/>
  <c r="BF87" i="3"/>
  <c r="CL158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0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0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BV48" i="3"/>
  <c r="BG59" i="3"/>
  <c r="BP67" i="3"/>
  <c r="BF79" i="3"/>
  <c r="CL149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0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24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BP92" i="3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G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8" i="1" s="1"/>
  <c r="BQ70" i="3"/>
  <c r="BQ67" i="3"/>
  <c r="BQ96" i="3"/>
  <c r="BR92" i="3"/>
  <c r="BV56" i="3"/>
  <c r="BT50" i="3"/>
  <c r="BN92" i="3"/>
  <c r="BO76" i="3"/>
  <c r="BO67" i="3"/>
  <c r="BS71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9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9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HH11" i="4" a="1"/>
  <c r="BH6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5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6" i="1" s="1"/>
  <c r="BB65" i="3"/>
  <c r="BB74" i="3"/>
  <c r="BB78" i="3"/>
  <c r="BG77" i="3"/>
  <c r="BH68" i="3"/>
  <c r="BF88" i="3"/>
  <c r="CL133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P80" i="3"/>
  <c r="BK68" i="3"/>
  <c r="BM84" i="3"/>
  <c r="BH55" i="3"/>
  <c r="BB77" i="3"/>
  <c r="BL47" i="3"/>
  <c r="BF89" i="3"/>
  <c r="CL159" i="1" s="1"/>
  <c r="CL189" i="1" s="1"/>
  <c r="BV47" i="3"/>
  <c r="BS65" i="3"/>
  <c r="BU97" i="3"/>
  <c r="BR83" i="3"/>
  <c r="BV92" i="3"/>
  <c r="BT56" i="3"/>
  <c r="BN64" i="3"/>
  <c r="BN91" i="3"/>
  <c r="BO47" i="3"/>
  <c r="BS87" i="3"/>
  <c r="BL50" i="3"/>
  <c r="BI91" i="3"/>
  <c r="BF56" i="3"/>
  <c r="CL123" i="1" s="1"/>
  <c r="BJ87" i="3"/>
  <c r="BJ75" i="3"/>
  <c r="BK60" i="3"/>
  <c r="BK96" i="3"/>
  <c r="GN6" i="4" a="1"/>
  <c r="HH6" i="4" a="1"/>
  <c r="GI9" i="4" a="1"/>
  <c r="FO5" i="4" a="1"/>
  <c r="HA7" i="4" a="1"/>
  <c r="FL11" i="4" a="1"/>
  <c r="GX8" i="4" a="1"/>
  <c r="HB6" i="4" a="1"/>
  <c r="GK9" i="4" a="1"/>
  <c r="FO15" i="4" a="1"/>
  <c r="HE5" i="4" a="1"/>
  <c r="HD8" i="4" a="1"/>
  <c r="FX14" i="4" a="1"/>
  <c r="HC7" i="4" a="1"/>
  <c r="FJ6" i="4" a="1"/>
  <c r="GZ12" i="4" a="1"/>
  <c r="FU6" i="4" a="1"/>
  <c r="GN5" i="4" a="1"/>
  <c r="GO6" i="4" a="1"/>
  <c r="HE9" i="4" a="1"/>
  <c r="HD11" i="4" a="1"/>
  <c r="HC12" i="4" a="1"/>
  <c r="HE6" i="4" a="1"/>
  <c r="GY11" i="4" a="1"/>
  <c r="GV12" i="4" a="1"/>
  <c r="GU13" i="4" a="1"/>
  <c r="GR14" i="4" a="1"/>
  <c r="GG11" i="4" a="1"/>
  <c r="GP14" i="4" a="1"/>
  <c r="GR15" i="4" a="1"/>
  <c r="FP16" i="4" a="1"/>
  <c r="GP16" i="4" a="1"/>
  <c r="FH13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C89" i="3"/>
  <c r="BC80" i="3"/>
  <c r="BD64" i="3"/>
  <c r="BD69" i="3"/>
  <c r="HF6" i="4" a="1"/>
  <c r="GW16" i="4" a="1"/>
  <c r="BC86" i="3"/>
  <c r="FI14" i="4" a="1"/>
  <c r="HB15" i="4" a="1"/>
  <c r="GZ16" i="4" a="1"/>
  <c r="HH8" i="4" a="1"/>
  <c r="HG15" i="4" a="1"/>
  <c r="GC16" i="4" a="1"/>
  <c r="HA16" i="4" a="1"/>
  <c r="BC84" i="3"/>
  <c r="BD95" i="3"/>
  <c r="FX13" i="4" a="1"/>
  <c r="GU9" i="4" a="1"/>
  <c r="BD59" i="3"/>
  <c r="GS12" i="4" a="1"/>
  <c r="GQ14" i="4" a="1"/>
  <c r="GC11" i="4" a="1"/>
  <c r="BD56" i="3"/>
  <c r="BG86" i="3"/>
  <c r="BC49" i="3"/>
  <c r="BM48" i="3"/>
  <c r="BH64" i="3"/>
  <c r="BB82" i="3"/>
  <c r="BL64" i="3"/>
  <c r="BF65" i="3"/>
  <c r="CL156" i="1" s="1"/>
  <c r="BV81" i="3"/>
  <c r="BS55" i="3"/>
  <c r="BU81" i="3"/>
  <c r="BR68" i="3"/>
  <c r="BV94" i="3"/>
  <c r="BT83" i="3"/>
  <c r="BN61" i="3"/>
  <c r="BN97" i="3"/>
  <c r="BO48" i="3"/>
  <c r="BS89" i="3"/>
  <c r="BE49" i="3"/>
  <c r="BI61" i="3"/>
  <c r="BF50" i="3"/>
  <c r="CL80" i="1" s="1"/>
  <c r="BJ91" i="3"/>
  <c r="BJ77" i="3"/>
  <c r="BK87" i="3"/>
  <c r="BK79" i="3"/>
  <c r="FJ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GV14" i="4" a="1"/>
  <c r="GZ5" i="4" a="1"/>
  <c r="GG7" i="4" a="1"/>
  <c r="GT13" i="4" a="1"/>
  <c r="GS6" i="4" a="1"/>
  <c r="GW6" i="4" a="1"/>
  <c r="FS7" i="4" a="1"/>
  <c r="FG11" i="4" a="1"/>
  <c r="FG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R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FR14" i="4" a="1"/>
  <c r="BC83" i="3"/>
  <c r="BD72" i="3"/>
  <c r="BD90" i="3"/>
  <c r="GB13" i="4" a="1"/>
  <c r="GS13" i="4" a="1"/>
  <c r="FI11" i="4" a="1"/>
  <c r="BD60" i="3"/>
  <c r="BB93" i="3"/>
  <c r="BE82" i="3"/>
  <c r="BU77" i="3"/>
  <c r="BR77" i="3"/>
  <c r="BN89" i="3"/>
  <c r="BN83" i="3"/>
  <c r="BL95" i="3"/>
  <c r="BK85" i="3"/>
  <c r="HG6" i="4" a="1"/>
  <c r="HA9" i="4" a="1"/>
  <c r="GS14" i="4" a="1"/>
  <c r="FZ7" i="4" a="1"/>
  <c r="HF5" i="4" a="1"/>
  <c r="GP15" i="4" a="1"/>
  <c r="FS16" i="4" a="1"/>
  <c r="BC92" i="3"/>
  <c r="BJ88" i="3"/>
  <c r="BU63" i="3"/>
  <c r="BM57" i="3"/>
  <c r="BM88" i="3"/>
  <c r="BA66" i="3"/>
  <c r="BL96" i="3"/>
  <c r="BF66" i="3"/>
  <c r="CL157" i="1" s="1"/>
  <c r="BT92" i="3"/>
  <c r="BS47" i="3"/>
  <c r="BU88" i="3"/>
  <c r="BR67" i="3"/>
  <c r="BV96" i="3"/>
  <c r="BT86" i="3"/>
  <c r="BN55" i="3"/>
  <c r="BP54" i="3"/>
  <c r="BO69" i="3"/>
  <c r="BS49" i="3"/>
  <c r="BE47" i="3"/>
  <c r="BI50" i="3"/>
  <c r="BJ49" i="3"/>
  <c r="BJ48" i="3"/>
  <c r="BK73" i="3"/>
  <c r="BK62" i="3"/>
  <c r="BK89" i="3"/>
  <c r="GH7" i="4" a="1"/>
  <c r="GH6" i="4" a="1"/>
  <c r="FT12" i="4" a="1"/>
  <c r="FH5" i="4" a="1"/>
  <c r="HC8" i="4" a="1"/>
  <c r="GJ6" i="4" a="1"/>
  <c r="FG5" i="4" a="1"/>
  <c r="GC8" i="4" a="1"/>
  <c r="FJ11" i="4" a="1"/>
  <c r="GP8" i="4" a="1"/>
  <c r="HD7" i="4" a="1"/>
  <c r="GT9" i="4" a="1"/>
  <c r="FZ15" i="4" a="1"/>
  <c r="GT6" i="4" a="1"/>
  <c r="FX8" i="4" a="1"/>
  <c r="FP14" i="4" a="1"/>
  <c r="FR7" i="4" a="1"/>
  <c r="HB7" i="4" a="1"/>
  <c r="GP11" i="4" a="1"/>
  <c r="FK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T16" i="4" a="1"/>
  <c r="GV16" i="4" a="1"/>
  <c r="GY14" i="4" a="1"/>
  <c r="GI12" i="4" a="1"/>
  <c r="FI15" i="4" a="1"/>
  <c r="GV13" i="4" a="1"/>
  <c r="GB15" i="4" a="1"/>
  <c r="HC15" i="4" a="1"/>
  <c r="FY16" i="4" a="1"/>
  <c r="GN13" i="4" a="1"/>
  <c r="BC63" i="3"/>
  <c r="BD47" i="3"/>
  <c r="BD91" i="3"/>
  <c r="BD68" i="3"/>
  <c r="GQ12" i="4" a="1"/>
  <c r="FZ16" i="4" a="1"/>
  <c r="GP6" i="4" a="1"/>
  <c r="FM13" i="4" a="1"/>
  <c r="FT15" i="4" a="1"/>
  <c r="FG14" i="4" a="1"/>
  <c r="BC55" i="3"/>
  <c r="BD84" i="3"/>
  <c r="FX15" i="4" a="1"/>
  <c r="GK15" i="4" a="1"/>
  <c r="FG16" i="4" a="1"/>
  <c r="GE16" i="4" a="1"/>
  <c r="BC54" i="3"/>
  <c r="BC74" i="3"/>
  <c r="FP9" i="4" a="1"/>
  <c r="FQ14" i="4" a="1"/>
  <c r="GD16" i="4" a="1"/>
  <c r="GA15" i="4" a="1"/>
  <c r="GG16" i="4" a="1"/>
  <c r="BC87" i="3"/>
  <c r="BD63" i="3"/>
  <c r="Y113" i="2"/>
  <c r="BI90" i="3"/>
  <c r="BV82" i="3"/>
  <c r="BI77" i="3"/>
  <c r="BJ71" i="3"/>
  <c r="FY9" i="4" a="1"/>
  <c r="FM9" i="4" a="1"/>
  <c r="FP8" i="4" a="1"/>
  <c r="HC6" i="4" a="1"/>
  <c r="FG7" i="4" a="1"/>
  <c r="FR5" i="4" a="1"/>
  <c r="FT11" i="4" a="1"/>
  <c r="GM13" i="4" a="1"/>
  <c r="FZ14" i="4" a="1"/>
  <c r="HE13" i="4" a="1"/>
  <c r="GU15" i="4" a="1"/>
  <c r="BD97" i="3"/>
  <c r="BD66" i="3"/>
  <c r="GO7" i="4" a="1"/>
  <c r="GW7" i="4" a="1"/>
  <c r="GX12" i="4" a="1"/>
  <c r="BA67" i="3"/>
  <c r="BR56" i="3"/>
  <c r="BF84" i="3"/>
  <c r="CL152" i="1" s="1"/>
  <c r="BF86" i="3"/>
  <c r="BA78" i="3"/>
  <c r="BL80" i="3"/>
  <c r="BF82" i="3"/>
  <c r="CL151" i="1" s="1"/>
  <c r="CL186" i="1" s="1"/>
  <c r="BT80" i="3"/>
  <c r="BS86" i="3"/>
  <c r="BU64" i="3"/>
  <c r="BV62" i="3"/>
  <c r="BV87" i="3"/>
  <c r="BT87" i="3"/>
  <c r="BN90" i="3"/>
  <c r="BP79" i="3"/>
  <c r="BO61" i="3"/>
  <c r="BP65" i="3"/>
  <c r="BE65" i="3"/>
  <c r="BM87" i="3"/>
  <c r="BJ74" i="3"/>
  <c r="BJ55" i="3"/>
  <c r="BK81" i="3"/>
  <c r="BK76" i="3"/>
  <c r="BK61" i="3"/>
  <c r="HF7" i="4" a="1"/>
  <c r="HH7" i="4" a="1"/>
  <c r="GJ12" i="4" a="1"/>
  <c r="FV5" i="4" a="1"/>
  <c r="FY6" i="4" a="1"/>
  <c r="GD7" i="4" a="1"/>
  <c r="FU5" i="4" a="1"/>
  <c r="GY8" i="4" a="1"/>
  <c r="FV11" i="4" a="1"/>
  <c r="GO9" i="4" a="1"/>
  <c r="GG8" i="4" a="1"/>
  <c r="HF9" i="4" a="1"/>
  <c r="GZ7" i="4" a="1"/>
  <c r="FM7" i="4" a="1"/>
  <c r="FU9" i="4" a="1"/>
  <c r="GN14" i="4" a="1"/>
  <c r="GM7" i="4" a="1"/>
  <c r="FT9" i="4" a="1"/>
  <c r="FL12" i="4" a="1"/>
  <c r="FS11" i="4" a="1"/>
  <c r="FR12" i="4" a="1"/>
  <c r="FQ13" i="4" a="1"/>
  <c r="GT7" i="4" a="1"/>
  <c r="FH12" i="4" a="1"/>
  <c r="FG13" i="4" a="1"/>
  <c r="HF13" i="4" a="1"/>
  <c r="HE14" i="4" a="1"/>
  <c r="FV12" i="4" a="1"/>
  <c r="FL15" i="4" a="1"/>
  <c r="GX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FP11" i="4" a="1"/>
  <c r="FQ5" i="4" a="1"/>
  <c r="GF7" i="4" a="1"/>
  <c r="GR9" i="4" a="1"/>
  <c r="FL7" i="4" a="1"/>
  <c r="GR12" i="4" a="1"/>
  <c r="FW11" i="4" a="1"/>
  <c r="FW12" i="4" a="1"/>
  <c r="FM8" i="4" a="1"/>
  <c r="FU12" i="4" a="1"/>
  <c r="FY7" i="4" a="1"/>
  <c r="GF13" i="4" a="1"/>
  <c r="HF15" i="4" a="1"/>
  <c r="HD16" i="4" a="1"/>
  <c r="FV8" i="4" a="1"/>
  <c r="FI16" i="4" a="1"/>
  <c r="BC96" i="3"/>
  <c r="BG64" i="3"/>
  <c r="GQ5" i="4" a="1"/>
  <c r="HC11" i="4" a="1"/>
  <c r="GL11" i="4" a="1"/>
  <c r="FL16" i="4" a="1"/>
  <c r="GA14" i="4" a="1"/>
  <c r="HC14" i="4" a="1"/>
  <c r="GY9" i="4" a="1"/>
  <c r="BC61" i="3"/>
  <c r="BA65" i="3"/>
  <c r="GP9" i="4" a="1"/>
  <c r="FQ11" i="4" a="1"/>
  <c r="BA96" i="3"/>
  <c r="BM73" i="3"/>
  <c r="BB50" i="3"/>
  <c r="BD82" i="3"/>
  <c r="BC56" i="3"/>
  <c r="BL59" i="3"/>
  <c r="BQ79" i="3"/>
  <c r="BO97" i="3"/>
  <c r="BS69" i="3"/>
  <c r="BR78" i="3"/>
  <c r="BV50" i="3"/>
  <c r="BT71" i="3"/>
  <c r="BT54" i="3"/>
  <c r="BN71" i="3"/>
  <c r="BP82" i="3"/>
  <c r="BO86" i="3"/>
  <c r="BG82" i="3"/>
  <c r="BE59" i="3"/>
  <c r="BM58" i="3"/>
  <c r="BJ82" i="3"/>
  <c r="BJ62" i="3"/>
  <c r="BK82" i="3"/>
  <c r="BK90" i="3"/>
  <c r="GT14" i="4" a="1"/>
  <c r="FN6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J15" i="4" a="1"/>
  <c r="FL8" i="4" a="1"/>
  <c r="FT13" i="4" a="1"/>
  <c r="FM12" i="4" a="1"/>
  <c r="FJ13" i="4" a="1"/>
  <c r="HH14" i="4" a="1"/>
  <c r="FP15" i="4" a="1"/>
  <c r="GI15" i="4" a="1"/>
  <c r="BC69" i="3"/>
  <c r="BD58" i="3"/>
  <c r="GJ7" i="4" a="1"/>
  <c r="HC16" i="4" a="1"/>
  <c r="BD67" i="3"/>
  <c r="GE11" i="4" a="1"/>
  <c r="FR13" i="4" a="1"/>
  <c r="GM15" i="4" a="1"/>
  <c r="HE16" i="4" a="1"/>
  <c r="BR50" i="3"/>
  <c r="BS76" i="3"/>
  <c r="FW6" i="4" a="1"/>
  <c r="FW15" i="4" a="1"/>
  <c r="FU14" i="4" a="1"/>
  <c r="GV11" i="4" a="1"/>
  <c r="GR13" i="4" a="1"/>
  <c r="GN12" i="4" a="1"/>
  <c r="HC9" i="4" a="1"/>
  <c r="GL16" i="4" a="1"/>
  <c r="GL12" i="4" a="1"/>
  <c r="GO16" i="4" a="1"/>
  <c r="BC95" i="3"/>
  <c r="FI6" i="4" a="1"/>
  <c r="HB13" i="4" a="1"/>
  <c r="GY5" i="4" a="1"/>
  <c r="HA11" i="4" a="1"/>
  <c r="GP13" i="4" a="1"/>
  <c r="FN15" i="4" a="1"/>
  <c r="BC97" i="3"/>
  <c r="BA70" i="3"/>
  <c r="BN49" i="3"/>
  <c r="BB55" i="3"/>
  <c r="BD70" i="3"/>
  <c r="BC57" i="3"/>
  <c r="BL87" i="3"/>
  <c r="BQ72" i="3"/>
  <c r="BO55" i="3"/>
  <c r="BS61" i="3"/>
  <c r="BR64" i="3"/>
  <c r="BV93" i="3"/>
  <c r="BT68" i="3"/>
  <c r="BT60" i="3"/>
  <c r="BN47" i="3"/>
  <c r="BF81" i="3"/>
  <c r="CL150" i="1" s="1"/>
  <c r="CL185" i="1" s="1"/>
  <c r="BO83" i="3"/>
  <c r="BG48" i="3"/>
  <c r="BE69" i="3"/>
  <c r="BM63" i="3"/>
  <c r="BJ66" i="3"/>
  <c r="BJ64" i="3"/>
  <c r="BK77" i="3"/>
  <c r="BK94" i="3"/>
  <c r="FK15" i="4" a="1"/>
  <c r="FU7" i="4" a="1"/>
  <c r="GZ8" i="4" a="1"/>
  <c r="GA13" i="4" a="1"/>
  <c r="HD6" i="4" a="1"/>
  <c r="GA7" i="4" a="1"/>
  <c r="GU11" i="4" a="1"/>
  <c r="FH6" i="4" a="1"/>
  <c r="FQ6" i="4" a="1"/>
  <c r="GK5" i="4" a="1"/>
  <c r="FT5" i="4" a="1"/>
  <c r="GP5" i="4" a="1"/>
  <c r="FX11" i="4" a="1"/>
  <c r="GE5" i="4" a="1"/>
  <c r="FW8" i="4" a="1"/>
  <c r="HD9" i="4" a="1"/>
  <c r="GE6" i="4" a="1"/>
  <c r="HH5" i="4" a="1"/>
  <c r="FK8" i="4" a="1"/>
  <c r="GL13" i="4" a="1"/>
  <c r="GA11" i="4" a="1"/>
  <c r="FZ12" i="4" a="1"/>
  <c r="FY13" i="4" a="1"/>
  <c r="FK9" i="4" a="1"/>
  <c r="FP12" i="4" a="1"/>
  <c r="FO13" i="4" a="1"/>
  <c r="FL14" i="4" a="1"/>
  <c r="FO6" i="4" a="1"/>
  <c r="HB12" i="4" a="1"/>
  <c r="GC15" i="4" a="1"/>
  <c r="HD15" i="4" a="1"/>
  <c r="GB16" i="4" a="1"/>
  <c r="HB16" i="4" a="1"/>
  <c r="BA71" i="3"/>
  <c r="BP89" i="3"/>
  <c r="BB71" i="3"/>
  <c r="BD93" i="3"/>
  <c r="BQ50" i="3"/>
  <c r="BE84" i="3"/>
  <c r="BQ71" i="3"/>
  <c r="BO84" i="3"/>
  <c r="BU49" i="3"/>
  <c r="BR74" i="3"/>
  <c r="BV91" i="3"/>
  <c r="BT63" i="3"/>
  <c r="BN57" i="3"/>
  <c r="BN56" i="3"/>
  <c r="BF67" i="3"/>
  <c r="BO78" i="3"/>
  <c r="BG62" i="3"/>
  <c r="BE73" i="3"/>
  <c r="BM89" i="3"/>
  <c r="BJ68" i="3"/>
  <c r="BJ92" i="3"/>
  <c r="BK55" i="3"/>
  <c r="BK56" i="3"/>
  <c r="GE15" i="4" a="1"/>
  <c r="GS7" i="4" a="1"/>
  <c r="FR9" i="4" a="1"/>
  <c r="GQ13" i="4" a="1"/>
  <c r="GX7" i="4" a="1"/>
  <c r="FL9" i="4" a="1"/>
  <c r="FQ12" i="4" a="1"/>
  <c r="HA6" i="4" a="1"/>
  <c r="GB6" i="4" a="1"/>
  <c r="FH8" i="4" a="1"/>
  <c r="GT5" i="4" a="1"/>
  <c r="FL6" i="4" a="1"/>
  <c r="HD5" i="4" a="1"/>
  <c r="FN5" i="4" a="1"/>
  <c r="GI8" i="4" a="1"/>
  <c r="FN11" i="4" a="1"/>
  <c r="FZ8" i="4" a="1"/>
  <c r="FP7" i="4" a="1"/>
  <c r="GJ8" i="4" a="1"/>
  <c r="FM14" i="4" a="1"/>
  <c r="GE12" i="4" a="1"/>
  <c r="GF15" i="4" a="1"/>
  <c r="FW14" i="4" a="1"/>
  <c r="BC78" i="3"/>
  <c r="BD79" i="3"/>
  <c r="BH92" i="3"/>
  <c r="BT57" i="3"/>
  <c r="AA113" i="2"/>
  <c r="BK65" i="3"/>
  <c r="FK6" i="4" a="1"/>
  <c r="GJ14" i="4" a="1"/>
  <c r="GO11" i="4" a="1"/>
  <c r="FQ16" i="4" a="1"/>
  <c r="GI6" i="4" a="1"/>
  <c r="FY12" i="4" a="1"/>
  <c r="GD11" i="4" a="1"/>
  <c r="GT11" i="4" a="1"/>
  <c r="GE14" i="4" a="1"/>
  <c r="GN16" i="4" a="1"/>
  <c r="FU11" i="4" a="1"/>
  <c r="GI14" i="4" a="1"/>
  <c r="GW15" i="4" a="1"/>
  <c r="GQ16" i="4" a="1"/>
  <c r="Z112" i="2"/>
  <c r="BA63" i="3"/>
  <c r="BG55" i="3"/>
  <c r="BB69" i="3"/>
  <c r="BU48" i="3"/>
  <c r="BQ55" i="3"/>
  <c r="BE72" i="3"/>
  <c r="BQ81" i="3"/>
  <c r="BO89" i="3"/>
  <c r="BU59" i="3"/>
  <c r="BR72" i="3"/>
  <c r="BV90" i="3"/>
  <c r="BT58" i="3"/>
  <c r="BN82" i="3"/>
  <c r="BN66" i="3"/>
  <c r="BF77" i="3"/>
  <c r="CL146" i="1" s="1"/>
  <c r="BO91" i="3"/>
  <c r="BG47" i="3"/>
  <c r="BE77" i="3"/>
  <c r="BM55" i="3"/>
  <c r="BJ72" i="3"/>
  <c r="BJ63" i="3"/>
  <c r="BK88" i="3"/>
  <c r="BK91" i="3"/>
  <c r="FM5" i="4" a="1"/>
  <c r="FY8" i="4" a="1"/>
  <c r="GH9" i="4" a="1"/>
  <c r="HA14" i="4" a="1"/>
  <c r="GW5" i="4" a="1"/>
  <c r="GJ9" i="4" a="1"/>
  <c r="GI13" i="4" a="1"/>
  <c r="FW7" i="4" a="1"/>
  <c r="FV7" i="4" a="1"/>
  <c r="GB12" i="4" a="1"/>
  <c r="FP6" i="4" a="1"/>
  <c r="FR6" i="4" a="1"/>
  <c r="GM11" i="4" a="1"/>
  <c r="GJ5" i="4" a="1"/>
  <c r="GW8" i="4" a="1"/>
  <c r="GF11" i="4" a="1"/>
  <c r="GD9" i="4" a="1"/>
  <c r="GN7" i="4" a="1"/>
  <c r="GC9" i="4" a="1"/>
  <c r="GK14" i="4" a="1"/>
  <c r="GK11" i="4" a="1"/>
  <c r="GH12" i="4" a="1"/>
  <c r="GG13" i="4" a="1"/>
  <c r="GA9" i="4" a="1"/>
  <c r="FX12" i="4" a="1"/>
  <c r="FW13" i="4" a="1"/>
  <c r="FT14" i="4" a="1"/>
  <c r="GT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48" i="3"/>
  <c r="FG15" i="4" a="1"/>
  <c r="GN11" i="4" a="1"/>
  <c r="GM12" i="4" a="1"/>
  <c r="GJ13" i="4" a="1"/>
  <c r="GF9" i="4" a="1"/>
  <c r="GC12" i="4" a="1"/>
  <c r="FZ13" i="4" a="1"/>
  <c r="FQ9" i="4" a="1"/>
  <c r="FJ14" i="4" a="1"/>
  <c r="GJ15" i="4" a="1"/>
  <c r="HH16" i="4" a="1"/>
  <c r="FV9" i="4" a="1"/>
  <c r="FK14" i="4" a="1"/>
  <c r="FM11" i="4" a="1"/>
  <c r="GW11" i="4" a="1"/>
  <c r="FM16" i="4" a="1"/>
  <c r="GK16" i="4" a="1"/>
  <c r="GL8" i="4" a="1"/>
  <c r="BC91" i="3"/>
  <c r="BF96" i="3"/>
  <c r="CL169" i="1" s="1"/>
  <c r="GR6" i="4" a="1"/>
  <c r="GU12" i="4" a="1"/>
  <c r="GN15" i="4" a="1"/>
  <c r="HG9" i="4" a="1"/>
  <c r="BC76" i="3"/>
  <c r="GC7" i="4" a="1"/>
  <c r="GO14" i="4" a="1"/>
  <c r="FS12" i="4" a="1"/>
  <c r="BD77" i="3"/>
  <c r="BQ61" i="3"/>
  <c r="BG96" i="3"/>
  <c r="BB94" i="3"/>
  <c r="BP59" i="3"/>
  <c r="BH60" i="3"/>
  <c r="BE61" i="3"/>
  <c r="BU72" i="3"/>
  <c r="BO74" i="3"/>
  <c r="BU62" i="3"/>
  <c r="BR66" i="3"/>
  <c r="BV88" i="3"/>
  <c r="BT96" i="3"/>
  <c r="BN77" i="3"/>
  <c r="BN68" i="3"/>
  <c r="BF73" i="3"/>
  <c r="BO93" i="3"/>
  <c r="BG84" i="3"/>
  <c r="BE81" i="3"/>
  <c r="BF68" i="3"/>
  <c r="CL140" i="1" s="1"/>
  <c r="BJ76" i="3"/>
  <c r="BJ65" i="3"/>
  <c r="BK83" i="3"/>
  <c r="BK54" i="3"/>
  <c r="GC5" i="4" a="1"/>
  <c r="GK8" i="4" a="1"/>
  <c r="GX9" i="4" a="1"/>
  <c r="FR15" i="4" a="1"/>
  <c r="FS6" i="4" a="1"/>
  <c r="GX6" i="4" a="1"/>
  <c r="HG13" i="4" a="1"/>
  <c r="GU7" i="4" a="1"/>
  <c r="HF8" i="4" a="1"/>
  <c r="GW12" i="4" a="1"/>
  <c r="GV6" i="4" a="1"/>
  <c r="FK7" i="4" a="1"/>
  <c r="FI12" i="4" a="1"/>
  <c r="FM6" i="4" a="1"/>
  <c r="GU5" i="4" a="1"/>
  <c r="GZ6" i="4" a="1"/>
  <c r="FW5" i="4" a="1"/>
  <c r="FJ8" i="4" a="1"/>
  <c r="GV9" i="4" a="1"/>
  <c r="GB14" i="4" a="1"/>
  <c r="FH16" i="4" a="1"/>
  <c r="GH16" i="4" a="1"/>
  <c r="GM14" i="4" a="1"/>
  <c r="GQ15" i="4" a="1"/>
  <c r="BC70" i="3"/>
  <c r="BC81" i="3"/>
  <c r="BD87" i="3"/>
  <c r="BD71" i="3"/>
  <c r="BH63" i="3"/>
  <c r="BS83" i="3"/>
  <c r="BJ80" i="3"/>
  <c r="GM5" i="4" a="1"/>
  <c r="GP7" i="4" a="1"/>
  <c r="GD13" i="4" a="1"/>
  <c r="HA8" i="4" a="1"/>
  <c r="FR8" i="4" a="1"/>
  <c r="BP56" i="3"/>
  <c r="BG83" i="3"/>
  <c r="BB87" i="3"/>
  <c r="BI69" i="3"/>
  <c r="BH71" i="3"/>
  <c r="BE70" i="3"/>
  <c r="BU75" i="3"/>
  <c r="BO79" i="3"/>
  <c r="BU86" i="3"/>
  <c r="BR80" i="3"/>
  <c r="BV84" i="3"/>
  <c r="BT70" i="3"/>
  <c r="BN79" i="3"/>
  <c r="BN81" i="3"/>
  <c r="AA111" i="2"/>
  <c r="BS74" i="3"/>
  <c r="BL54" i="3"/>
  <c r="BI79" i="3"/>
  <c r="BF74" i="3"/>
  <c r="CL143" i="1" s="1"/>
  <c r="BJ78" i="3"/>
  <c r="BJ69" i="3"/>
  <c r="BK48" i="3"/>
  <c r="BK49" i="3"/>
  <c r="GB5" i="4" a="1"/>
  <c r="GU8" i="4" a="1"/>
  <c r="HH9" i="4" a="1"/>
  <c r="GH8" i="4" a="1"/>
  <c r="GQ6" i="4" a="1"/>
  <c r="GR7" i="4" a="1"/>
  <c r="HD14" i="4" a="1"/>
  <c r="GO5" i="4" a="1"/>
  <c r="GB9" i="4" a="1"/>
  <c r="GY13" i="4" a="1"/>
  <c r="FO7" i="4" a="1"/>
  <c r="HG7" i="4" a="1"/>
  <c r="HH12" i="4" a="1"/>
  <c r="GK6" i="4" a="1"/>
  <c r="FT6" i="4" a="1"/>
  <c r="GY7" i="4" a="1"/>
  <c r="FJ5" i="4" a="1"/>
  <c r="GO8" i="4" a="1"/>
  <c r="FH11" i="4" a="1"/>
  <c r="GV5" i="4" a="1"/>
  <c r="GS11" i="4" a="1"/>
  <c r="GP12" i="4" a="1"/>
  <c r="GO13" i="4" a="1"/>
  <c r="GI11" i="4" a="1"/>
  <c r="GF12" i="4" a="1"/>
  <c r="GH13" i="4" a="1"/>
  <c r="GG14" i="4" a="1"/>
  <c r="GL9" i="4" a="1"/>
  <c r="FO14" i="4" a="1"/>
  <c r="GL15" i="4" a="1"/>
  <c r="FJ16" i="4" a="1"/>
  <c r="GJ16" i="4" a="1"/>
  <c r="HE7" i="4" a="1"/>
  <c r="GQ9" i="4" a="1"/>
  <c r="FV14" i="4" a="1"/>
  <c r="GD12" i="4" a="1"/>
  <c r="GA12" i="4" a="1"/>
  <c r="GX14" i="4" a="1"/>
  <c r="GS15" i="4" a="1"/>
  <c r="FO16" i="4" a="1"/>
  <c r="GM16" i="4" a="1"/>
  <c r="GG9" i="4" a="1"/>
  <c r="BC67" i="3"/>
  <c r="BC77" i="3"/>
  <c r="BC68" i="3"/>
  <c r="BI92" i="3"/>
  <c r="GL7" i="4" a="1"/>
  <c r="FN16" i="4" a="1"/>
  <c r="BC59" i="3"/>
  <c r="BH96" i="3"/>
  <c r="BE62" i="3"/>
  <c r="BG94" i="3"/>
  <c r="BI74" i="3"/>
  <c r="BH80" i="3"/>
  <c r="BI47" i="3"/>
  <c r="BR63" i="3"/>
  <c r="BS85" i="3"/>
  <c r="BU89" i="3"/>
  <c r="BR69" i="3"/>
  <c r="BV89" i="3"/>
  <c r="BT47" i="3"/>
  <c r="BN93" i="3"/>
  <c r="BN87" i="3"/>
  <c r="Y111" i="2"/>
  <c r="BS81" i="3"/>
  <c r="BL73" i="3"/>
  <c r="BI87" i="3"/>
  <c r="BF72" i="3"/>
  <c r="CL141" i="1" s="1"/>
  <c r="BJ96" i="3"/>
  <c r="BJ73" i="3"/>
  <c r="BK66" i="3"/>
  <c r="BK97" i="3"/>
  <c r="FX6" i="4" a="1"/>
  <c r="FZ6" i="4" a="1"/>
  <c r="GN8" i="4" a="1"/>
  <c r="FI8" i="4" a="1"/>
  <c r="FN9" i="4" a="1"/>
  <c r="GW13" i="4" a="1"/>
  <c r="HG12" i="4" a="1"/>
  <c r="CL126" i="1" l="1"/>
  <c r="CH146" i="1"/>
  <c r="CI146" i="1" s="1"/>
  <c r="AA208" i="1"/>
  <c r="CL104" i="1"/>
  <c r="CL105" i="1" s="1"/>
  <c r="X16" i="1"/>
  <c r="CL22" i="1"/>
  <c r="Y154" i="1"/>
  <c r="X154" i="1"/>
  <c r="CL167" i="1"/>
  <c r="CL98" i="1"/>
  <c r="CL144" i="1"/>
  <c r="CL162" i="1"/>
  <c r="CL191" i="1" s="1"/>
  <c r="CL190" i="1" s="1"/>
  <c r="CL134" i="1"/>
  <c r="CL154" i="1"/>
  <c r="CK32" i="1"/>
  <c r="X185" i="1"/>
  <c r="CO26" i="1"/>
  <c r="CS26" i="1" s="1"/>
  <c r="X186" i="1"/>
  <c r="JY9" i="4" s="1"/>
  <c r="KA16" i="4" s="1"/>
  <c r="JS16" i="4" s="1"/>
  <c r="JZ16" i="4" s="1"/>
  <c r="KH9" i="4" s="1"/>
  <c r="CJ158" i="1"/>
  <c r="KD9" i="4" s="1"/>
  <c r="CJ146" i="1"/>
  <c r="KH16" i="4" s="1"/>
  <c r="CJ169" i="1"/>
  <c r="CK169" i="1" s="1"/>
  <c r="CM169" i="1" s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JW9" i="4" s="1"/>
  <c r="JX9" i="4" s="1"/>
  <c r="JZ9" i="4" s="1"/>
  <c r="Z80" i="1"/>
  <c r="CJ149" i="1"/>
  <c r="JR9" i="4" s="1"/>
  <c r="JT9" i="4" s="1"/>
  <c r="KF16" i="4" s="1"/>
  <c r="CJ139" i="1"/>
  <c r="CK139" i="1" s="1"/>
  <c r="KG16" i="4" s="1"/>
  <c r="CJ125" i="1"/>
  <c r="JV9" i="4" s="1"/>
  <c r="CJ151" i="1"/>
  <c r="CJ186" i="1" s="1"/>
  <c r="CK186" i="1" s="1"/>
  <c r="CH80" i="1"/>
  <c r="KB9" i="4" s="1"/>
  <c r="KE9" i="4" s="1"/>
  <c r="JR16" i="4" s="1"/>
  <c r="CJ150" i="1"/>
  <c r="CJ185" i="1" s="1"/>
  <c r="CK185" i="1" s="1"/>
  <c r="CJ124" i="1"/>
  <c r="CK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KE16" i="4" s="1"/>
  <c r="JW16" i="4" s="1"/>
  <c r="JV16" i="4" s="1"/>
  <c r="JU9" i="4" s="1"/>
  <c r="KE8" i="4" s="1"/>
  <c r="CJ157" i="1"/>
  <c r="CJ131" i="1"/>
  <c r="CK131" i="1" s="1"/>
  <c r="JY16" i="4" s="1"/>
  <c r="JY21" i="4" s="1"/>
  <c r="JX16" i="4" s="1"/>
  <c r="CJ152" i="1"/>
  <c r="JU15" i="4" s="1"/>
  <c r="CJ140" i="1"/>
  <c r="CK39" i="1" s="1"/>
  <c r="CJ160" i="1"/>
  <c r="KD16" i="4" s="1"/>
  <c r="JZ7" i="4" s="1"/>
  <c r="JW15" i="4" s="1"/>
  <c r="KG7" i="4" s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JT16" i="4" s="1"/>
  <c r="KC9" i="4" s="1"/>
  <c r="CK79" i="1"/>
  <c r="CI79" i="1"/>
  <c r="CJ123" i="1"/>
  <c r="CJ170" i="1"/>
  <c r="CK170" i="1" s="1"/>
  <c r="CM170" i="1" s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DB170" i="1" s="1"/>
  <c r="CJ155" i="1"/>
  <c r="CJ165" i="1"/>
  <c r="CJ156" i="1"/>
  <c r="KC16" i="4" s="1"/>
  <c r="JU16" i="4" s="1"/>
  <c r="CJ79" i="1"/>
  <c r="CG80" i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KF9" i="4" s="1"/>
  <c r="X79" i="1"/>
  <c r="CJ159" i="1"/>
  <c r="CJ189" i="1" s="1"/>
  <c r="CK189" i="1" s="1"/>
  <c r="CJ153" i="1"/>
  <c r="Y80" i="1"/>
  <c r="CI80" i="1"/>
  <c r="JY8" i="4" s="1"/>
  <c r="JY14" i="4" s="1"/>
  <c r="Z79" i="1"/>
  <c r="CJ166" i="1"/>
  <c r="KA9" i="4" s="1"/>
  <c r="JS9" i="4" s="1"/>
  <c r="JQ9" i="4" s="1"/>
  <c r="CK80" i="1"/>
  <c r="CJ148" i="1"/>
  <c r="CH79" i="1"/>
  <c r="CJ80" i="1"/>
  <c r="CJ161" i="1"/>
  <c r="CJ130" i="1"/>
  <c r="CK130" i="1" s="1"/>
  <c r="CG79" i="1"/>
  <c r="Z154" i="1"/>
  <c r="AA202" i="1" s="1"/>
  <c r="Z160" i="1"/>
  <c r="CH160" i="1" s="1"/>
  <c r="CH162" i="1" s="1"/>
  <c r="CH191" i="1" s="1"/>
  <c r="Y167" i="1"/>
  <c r="Z215" i="1" s="1"/>
  <c r="CK104" i="1"/>
  <c r="CK105" i="1" s="1"/>
  <c r="CK33" i="1"/>
  <c r="CK22" i="1"/>
  <c r="CL25" i="1" s="1"/>
  <c r="Y32" i="1"/>
  <c r="Z258" i="1"/>
  <c r="Y179" i="1"/>
  <c r="Y140" i="1"/>
  <c r="X189" i="1"/>
  <c r="X258" i="1"/>
  <c r="Y185" i="1"/>
  <c r="X179" i="1"/>
  <c r="CH165" i="1"/>
  <c r="CH167" i="1" s="1"/>
  <c r="CI215" i="1" s="1"/>
  <c r="Z167" i="1"/>
  <c r="AA215" i="1" s="1"/>
  <c r="X200" i="1"/>
  <c r="X259" i="1"/>
  <c r="Y200" i="1"/>
  <c r="Y259" i="1"/>
  <c r="Y258" i="1"/>
  <c r="Y16" i="1"/>
  <c r="Y237" i="1"/>
  <c r="Y189" i="1"/>
  <c r="CH123" i="1"/>
  <c r="Z126" i="1"/>
  <c r="CH150" i="1"/>
  <c r="Z185" i="1"/>
  <c r="Z237" i="1"/>
  <c r="Z186" i="1"/>
  <c r="Z259" i="1"/>
  <c r="Z189" i="1"/>
  <c r="CH141" i="1"/>
  <c r="CI141" i="1" s="1"/>
  <c r="Z137" i="1"/>
  <c r="CG200" i="1"/>
  <c r="CG259" i="1"/>
  <c r="Y162" i="1"/>
  <c r="CH259" i="1"/>
  <c r="CG258" i="1"/>
  <c r="X140" i="1"/>
  <c r="CI237" i="1"/>
  <c r="CI16" i="1"/>
  <c r="JZ21" i="4"/>
  <c r="CM139" i="1"/>
  <c r="CN139" i="1" s="1"/>
  <c r="CO139" i="1" s="1"/>
  <c r="CP139" i="1" s="1"/>
  <c r="JT21" i="4"/>
  <c r="CJ104" i="1"/>
  <c r="Y208" i="1"/>
  <c r="Y186" i="1"/>
  <c r="KH21" i="4"/>
  <c r="CG16" i="1"/>
  <c r="CK17" i="1" s="1"/>
  <c r="Z179" i="1"/>
  <c r="Z16" i="1"/>
  <c r="X162" i="1"/>
  <c r="X163" i="1" s="1"/>
  <c r="JW7" i="4"/>
  <c r="Y126" i="1"/>
  <c r="X134" i="1"/>
  <c r="X167" i="1"/>
  <c r="X126" i="1"/>
  <c r="X181" i="1" s="1"/>
  <c r="Y134" i="1"/>
  <c r="Z32" i="1"/>
  <c r="X32" i="1"/>
  <c r="KH7" i="4"/>
  <c r="JR8" i="4"/>
  <c r="JX14" i="4"/>
  <c r="KE14" i="4"/>
  <c r="JZ15" i="4"/>
  <c r="CI138" i="1"/>
  <c r="CJ138" i="1" s="1"/>
  <c r="CH258" i="1"/>
  <c r="CJ32" i="1"/>
  <c r="CI134" i="1"/>
  <c r="CG32" i="1"/>
  <c r="CH16" i="1"/>
  <c r="CH32" i="1"/>
  <c r="CI258" i="1"/>
  <c r="CJ259" i="1"/>
  <c r="CH237" i="1"/>
  <c r="CJ237" i="1"/>
  <c r="CI259" i="1"/>
  <c r="CH186" i="1"/>
  <c r="CI186" i="1" s="1"/>
  <c r="CH189" i="1"/>
  <c r="CI189" i="1" s="1"/>
  <c r="CJ258" i="1"/>
  <c r="CJ16" i="1"/>
  <c r="CK18" i="1" s="1"/>
  <c r="Y79" i="1"/>
  <c r="X80" i="1"/>
  <c r="Z208" i="1"/>
  <c r="CI32" i="1"/>
  <c r="CI71" i="1"/>
  <c r="CJ200" i="1"/>
  <c r="Z134" i="1"/>
  <c r="CH71" i="1"/>
  <c r="CG71" i="1"/>
  <c r="CI208" i="1"/>
  <c r="CJ71" i="1"/>
  <c r="CH134" i="1"/>
  <c r="X188" i="1"/>
  <c r="Y202" i="1"/>
  <c r="X104" i="1"/>
  <c r="X22" i="1"/>
  <c r="Y188" i="1"/>
  <c r="JP15" i="4"/>
  <c r="JP14" i="4"/>
  <c r="JP8" i="4"/>
  <c r="JP7" i="4"/>
  <c r="CM130" i="1"/>
  <c r="CW26" i="1"/>
  <c r="DA26" i="1" s="1"/>
  <c r="JP21" i="4"/>
  <c r="CJ83" i="1" s="1"/>
  <c r="JO21" i="4"/>
  <c r="CI83" i="1" s="1"/>
  <c r="JO7" i="4"/>
  <c r="JO15" i="4"/>
  <c r="JO14" i="4"/>
  <c r="JO8" i="4"/>
  <c r="JN21" i="4"/>
  <c r="CH83" i="1" s="1"/>
  <c r="JN15" i="4"/>
  <c r="JN14" i="4"/>
  <c r="JN7" i="4"/>
  <c r="JN8" i="4"/>
  <c r="CB19" i="1"/>
  <c r="JU21" i="4" l="1"/>
  <c r="KB16" i="4" s="1"/>
  <c r="KG9" i="4" s="1"/>
  <c r="KG21" i="4" s="1"/>
  <c r="X33" i="1"/>
  <c r="Z181" i="1"/>
  <c r="AA213" i="1"/>
  <c r="AA194" i="1"/>
  <c r="AA17" i="1"/>
  <c r="AA212" i="1"/>
  <c r="AA255" i="1"/>
  <c r="JR21" i="4"/>
  <c r="CL83" i="1" s="1"/>
  <c r="JQ16" i="4" s="1"/>
  <c r="Y144" i="1"/>
  <c r="Y39" i="1"/>
  <c r="Y104" i="1"/>
  <c r="Y194" i="1"/>
  <c r="Y22" i="1"/>
  <c r="Y17" i="1"/>
  <c r="CJ167" i="1"/>
  <c r="CJ208" i="1"/>
  <c r="CK146" i="1"/>
  <c r="CL208" i="1" s="1"/>
  <c r="KF8" i="4"/>
  <c r="JX15" i="4"/>
  <c r="KE21" i="4"/>
  <c r="JW21" i="4"/>
  <c r="JX8" i="4"/>
  <c r="JS15" i="4"/>
  <c r="JV21" i="4"/>
  <c r="JT8" i="4"/>
  <c r="KH8" i="4"/>
  <c r="JX7" i="4"/>
  <c r="JX19" i="4" s="1"/>
  <c r="CL23" i="1"/>
  <c r="CL34" i="1"/>
  <c r="CL252" i="1"/>
  <c r="CL254" i="1"/>
  <c r="CL135" i="1"/>
  <c r="CL174" i="1"/>
  <c r="CL115" i="1" s="1"/>
  <c r="CL163" i="1"/>
  <c r="CL171" i="1" s="1"/>
  <c r="CL188" i="1"/>
  <c r="JQ8" i="4"/>
  <c r="JS7" i="4"/>
  <c r="KD21" i="4"/>
  <c r="KB15" i="4"/>
  <c r="KA8" i="4"/>
  <c r="JZ14" i="4"/>
  <c r="JZ19" i="4" s="1"/>
  <c r="KD8" i="4"/>
  <c r="KB7" i="4"/>
  <c r="JX21" i="4"/>
  <c r="KF14" i="4"/>
  <c r="JW8" i="4"/>
  <c r="JW20" i="4" s="1"/>
  <c r="JV8" i="4"/>
  <c r="JR15" i="4"/>
  <c r="JY7" i="4"/>
  <c r="JY19" i="4" s="1"/>
  <c r="KD7" i="4"/>
  <c r="JU7" i="4"/>
  <c r="CJ162" i="1"/>
  <c r="CJ191" i="1" s="1"/>
  <c r="CJ190" i="1" s="1"/>
  <c r="CK190" i="1" s="1"/>
  <c r="Z202" i="1"/>
  <c r="Z188" i="1"/>
  <c r="Z187" i="1" s="1"/>
  <c r="CI22" i="1"/>
  <c r="CL250" i="1"/>
  <c r="CL231" i="1"/>
  <c r="CL194" i="1"/>
  <c r="CL17" i="1"/>
  <c r="CJ126" i="1"/>
  <c r="CK123" i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J134" i="1"/>
  <c r="JQ14" i="4"/>
  <c r="JT7" i="4"/>
  <c r="KH15" i="4"/>
  <c r="JR7" i="4"/>
  <c r="KD14" i="4"/>
  <c r="KG8" i="4"/>
  <c r="KH14" i="4"/>
  <c r="KH19" i="4" s="1"/>
  <c r="KG15" i="4"/>
  <c r="KG20" i="4" s="1"/>
  <c r="JV14" i="4"/>
  <c r="KA14" i="4"/>
  <c r="JZ8" i="4"/>
  <c r="KE7" i="4"/>
  <c r="JS21" i="4"/>
  <c r="JS14" i="4"/>
  <c r="KF7" i="4"/>
  <c r="KC21" i="4"/>
  <c r="KD15" i="4"/>
  <c r="KD20" i="4" s="1"/>
  <c r="KB14" i="4"/>
  <c r="KB19" i="4" s="1"/>
  <c r="JV15" i="4"/>
  <c r="JV20" i="4" s="1"/>
  <c r="KF21" i="4"/>
  <c r="CJ154" i="1"/>
  <c r="JV7" i="4"/>
  <c r="JQ15" i="4"/>
  <c r="JR14" i="4"/>
  <c r="KA21" i="4"/>
  <c r="Z162" i="1"/>
  <c r="AA203" i="1" s="1"/>
  <c r="AA204" i="1" s="1"/>
  <c r="AA205" i="1" s="1"/>
  <c r="JU8" i="4"/>
  <c r="JU20" i="4" s="1"/>
  <c r="JQ7" i="4"/>
  <c r="KF15" i="4"/>
  <c r="JT14" i="4"/>
  <c r="JT19" i="4" s="1"/>
  <c r="JS8" i="4"/>
  <c r="JW14" i="4"/>
  <c r="JW19" i="4" s="1"/>
  <c r="JY15" i="4"/>
  <c r="KC15" i="4"/>
  <c r="KC7" i="4"/>
  <c r="KB8" i="4"/>
  <c r="KA15" i="4"/>
  <c r="KA20" i="4" s="1"/>
  <c r="Y33" i="1"/>
  <c r="KC14" i="4"/>
  <c r="JU14" i="4"/>
  <c r="KG14" i="4"/>
  <c r="KG19" i="4" s="1"/>
  <c r="JT15" i="4"/>
  <c r="KE15" i="4"/>
  <c r="KE20" i="4" s="1"/>
  <c r="KA7" i="4"/>
  <c r="KC8" i="4"/>
  <c r="CJ144" i="1"/>
  <c r="CJ137" i="1"/>
  <c r="CK137" i="1" s="1"/>
  <c r="CK34" i="1"/>
  <c r="CK23" i="1"/>
  <c r="CH154" i="1"/>
  <c r="CH188" i="1" s="1"/>
  <c r="CH192" i="1" s="1"/>
  <c r="CH185" i="1"/>
  <c r="Z254" i="1"/>
  <c r="CH137" i="1"/>
  <c r="Z140" i="1"/>
  <c r="Z33" i="1"/>
  <c r="CI123" i="1"/>
  <c r="CH126" i="1"/>
  <c r="CH98" i="1" s="1"/>
  <c r="CH100" i="1" s="1"/>
  <c r="AB139" i="1"/>
  <c r="CQ139" i="1"/>
  <c r="CR139" i="1" s="1"/>
  <c r="CS139" i="1" s="1"/>
  <c r="CT139" i="1" s="1"/>
  <c r="CG33" i="1"/>
  <c r="CG22" i="1"/>
  <c r="CK24" i="1" s="1"/>
  <c r="X135" i="1"/>
  <c r="CI33" i="1"/>
  <c r="Y187" i="1"/>
  <c r="Y191" i="1"/>
  <c r="Y163" i="1"/>
  <c r="X144" i="1"/>
  <c r="X39" i="1"/>
  <c r="CH190" i="1"/>
  <c r="CI190" i="1" s="1"/>
  <c r="X254" i="1"/>
  <c r="Y215" i="1"/>
  <c r="Z194" i="1"/>
  <c r="Z17" i="1"/>
  <c r="Z22" i="1"/>
  <c r="AA24" i="1" s="1"/>
  <c r="Z104" i="1"/>
  <c r="Y181" i="1"/>
  <c r="Y254" i="1"/>
  <c r="X43" i="1"/>
  <c r="X174" i="1"/>
  <c r="X115" i="1" s="1"/>
  <c r="CI212" i="1"/>
  <c r="X191" i="1"/>
  <c r="Y203" i="1"/>
  <c r="Y204" i="1" s="1"/>
  <c r="Y255" i="1"/>
  <c r="Y212" i="1"/>
  <c r="Y174" i="1"/>
  <c r="Y115" i="1" s="1"/>
  <c r="CK134" i="1"/>
  <c r="Y43" i="1"/>
  <c r="Y135" i="1"/>
  <c r="Z174" i="1"/>
  <c r="Z115" i="1" s="1"/>
  <c r="Z212" i="1"/>
  <c r="CI18" i="1"/>
  <c r="CJ22" i="1"/>
  <c r="CK25" i="1" s="1"/>
  <c r="CJ105" i="1"/>
  <c r="CJ108" i="1" s="1"/>
  <c r="CH33" i="1"/>
  <c r="CJ231" i="1"/>
  <c r="CJ18" i="1"/>
  <c r="CJ33" i="1"/>
  <c r="CH22" i="1"/>
  <c r="CL24" i="1" s="1"/>
  <c r="CH18" i="1"/>
  <c r="Z135" i="1"/>
  <c r="Z43" i="1"/>
  <c r="Z255" i="1"/>
  <c r="CH174" i="1"/>
  <c r="CI255" i="1"/>
  <c r="X34" i="1"/>
  <c r="X23" i="1"/>
  <c r="X187" i="1"/>
  <c r="CM185" i="1"/>
  <c r="CN130" i="1"/>
  <c r="CM186" i="1"/>
  <c r="CM189" i="1"/>
  <c r="CX169" i="1"/>
  <c r="JP20" i="4"/>
  <c r="CJ85" i="1" s="1"/>
  <c r="JP19" i="4"/>
  <c r="CJ84" i="1" s="1"/>
  <c r="JO19" i="4"/>
  <c r="CI84" i="1" s="1"/>
  <c r="JO20" i="4"/>
  <c r="CI85" i="1" s="1"/>
  <c r="JN20" i="4"/>
  <c r="CH85" i="1" s="1"/>
  <c r="JN19" i="4"/>
  <c r="CH84" i="1" s="1"/>
  <c r="JQ21" i="4" l="1"/>
  <c r="CK83" i="1" s="1"/>
  <c r="CK108" i="1" s="1"/>
  <c r="KF19" i="4"/>
  <c r="KF20" i="4"/>
  <c r="JS20" i="4"/>
  <c r="CL100" i="1"/>
  <c r="CL108" i="1"/>
  <c r="CJ135" i="1"/>
  <c r="CL172" i="1"/>
  <c r="KC19" i="4"/>
  <c r="JT20" i="4"/>
  <c r="KB21" i="4"/>
  <c r="CJ252" i="1"/>
  <c r="CL37" i="1"/>
  <c r="JQ20" i="4"/>
  <c r="CK85" i="1" s="1"/>
  <c r="Y171" i="1"/>
  <c r="Y209" i="1"/>
  <c r="Y207" i="1" s="1"/>
  <c r="JX20" i="4"/>
  <c r="JQ19" i="4"/>
  <c r="CK84" i="1" s="1"/>
  <c r="CJ98" i="1"/>
  <c r="CJ100" i="1" s="1"/>
  <c r="CK208" i="1"/>
  <c r="CJ255" i="1"/>
  <c r="CJ212" i="1"/>
  <c r="JR19" i="4"/>
  <c r="CL84" i="1" s="1"/>
  <c r="JZ20" i="4"/>
  <c r="KB20" i="4"/>
  <c r="KH20" i="4"/>
  <c r="JS19" i="4"/>
  <c r="KE19" i="4"/>
  <c r="CK215" i="1"/>
  <c r="CJ254" i="1"/>
  <c r="JY20" i="4"/>
  <c r="CX123" i="1"/>
  <c r="CI23" i="1"/>
  <c r="CI34" i="1"/>
  <c r="JR20" i="4"/>
  <c r="CL85" i="1" s="1"/>
  <c r="Y252" i="1"/>
  <c r="Y250" i="1"/>
  <c r="Z191" i="1"/>
  <c r="Z163" i="1"/>
  <c r="Z203" i="1"/>
  <c r="Y24" i="1"/>
  <c r="Y34" i="1"/>
  <c r="Y23" i="1"/>
  <c r="AA211" i="1"/>
  <c r="KC20" i="4"/>
  <c r="KD19" i="4"/>
  <c r="JU19" i="4"/>
  <c r="Z204" i="1"/>
  <c r="CJ163" i="1"/>
  <c r="CJ171" i="1" s="1"/>
  <c r="CJ188" i="1"/>
  <c r="CL256" i="1"/>
  <c r="CL35" i="1"/>
  <c r="CL238" i="1"/>
  <c r="CL239" i="1" s="1"/>
  <c r="CL40" i="1"/>
  <c r="CL44" i="1" s="1"/>
  <c r="CL187" i="1"/>
  <c r="CL192" i="1"/>
  <c r="CL195" i="1" s="1"/>
  <c r="JV19" i="4"/>
  <c r="KA19" i="4"/>
  <c r="CL255" i="1"/>
  <c r="CL212" i="1"/>
  <c r="CL110" i="1"/>
  <c r="CL102" i="1"/>
  <c r="CL114" i="1"/>
  <c r="CL117" i="1" s="1"/>
  <c r="CJ250" i="1"/>
  <c r="CH163" i="1"/>
  <c r="CH140" i="1"/>
  <c r="CI39" i="1" s="1"/>
  <c r="CI137" i="1"/>
  <c r="CI140" i="1" s="1"/>
  <c r="CK40" i="1"/>
  <c r="CK44" i="1" s="1"/>
  <c r="CK35" i="1"/>
  <c r="CJ172" i="1"/>
  <c r="CI185" i="1"/>
  <c r="CH187" i="1"/>
  <c r="CI187" i="1" s="1"/>
  <c r="Z144" i="1"/>
  <c r="AA209" i="1" s="1"/>
  <c r="AA207" i="1" s="1"/>
  <c r="Z39" i="1"/>
  <c r="CH135" i="1"/>
  <c r="CH254" i="1"/>
  <c r="Z24" i="1"/>
  <c r="Z23" i="1"/>
  <c r="Z34" i="1"/>
  <c r="CU139" i="1"/>
  <c r="CV139" i="1" s="1"/>
  <c r="CW139" i="1" s="1"/>
  <c r="CX139" i="1" s="1"/>
  <c r="AC139" i="1"/>
  <c r="X250" i="1"/>
  <c r="X252" i="1"/>
  <c r="X171" i="1"/>
  <c r="X172" i="1" s="1"/>
  <c r="CH102" i="1"/>
  <c r="CG34" i="1"/>
  <c r="CK36" i="1" s="1"/>
  <c r="CG23" i="1"/>
  <c r="CK191" i="1"/>
  <c r="Y190" i="1"/>
  <c r="Y192" i="1"/>
  <c r="CI191" i="1"/>
  <c r="CI158" i="1"/>
  <c r="CM146" i="1"/>
  <c r="CH101" i="1"/>
  <c r="CI25" i="1"/>
  <c r="CH23" i="1"/>
  <c r="X190" i="1"/>
  <c r="X192" i="1"/>
  <c r="CM131" i="1"/>
  <c r="CJ25" i="1"/>
  <c r="CJ34" i="1"/>
  <c r="CK37" i="1" s="1"/>
  <c r="CJ23" i="1"/>
  <c r="CK212" i="1"/>
  <c r="CK255" i="1"/>
  <c r="CH34" i="1"/>
  <c r="CL36" i="1" s="1"/>
  <c r="CH25" i="1"/>
  <c r="CI43" i="1"/>
  <c r="CH115" i="1"/>
  <c r="X238" i="1"/>
  <c r="X239" i="1" s="1"/>
  <c r="X40" i="1"/>
  <c r="X118" i="1"/>
  <c r="X35" i="1"/>
  <c r="CJ114" i="1"/>
  <c r="CJ110" i="1"/>
  <c r="CH114" i="1"/>
  <c r="CI113" i="1"/>
  <c r="CH113" i="1"/>
  <c r="CI114" i="1"/>
  <c r="CJ113" i="1"/>
  <c r="CJ109" i="1"/>
  <c r="CN186" i="1"/>
  <c r="CO130" i="1"/>
  <c r="CN189" i="1"/>
  <c r="CN185" i="1"/>
  <c r="CY169" i="1"/>
  <c r="Z192" i="1" l="1"/>
  <c r="AA195" i="1" s="1"/>
  <c r="AA196" i="1" s="1"/>
  <c r="Z190" i="1"/>
  <c r="Y256" i="1"/>
  <c r="Y257" i="1" s="1"/>
  <c r="Y36" i="1"/>
  <c r="Y118" i="1"/>
  <c r="Y40" i="1"/>
  <c r="Y35" i="1"/>
  <c r="Y238" i="1"/>
  <c r="Y239" i="1" s="1"/>
  <c r="CY123" i="1"/>
  <c r="CI40" i="1"/>
  <c r="CI238" i="1"/>
  <c r="CI239" i="1" s="1"/>
  <c r="CI35" i="1"/>
  <c r="CJ187" i="1"/>
  <c r="CK187" i="1" s="1"/>
  <c r="CJ192" i="1"/>
  <c r="CL109" i="1"/>
  <c r="CL113" i="1"/>
  <c r="CL116" i="1" s="1"/>
  <c r="CL232" i="1"/>
  <c r="CK114" i="1"/>
  <c r="CK113" i="1"/>
  <c r="CL101" i="1"/>
  <c r="CL118" i="1"/>
  <c r="CK110" i="1"/>
  <c r="CK109" i="1"/>
  <c r="CJ102" i="1"/>
  <c r="CJ101" i="1"/>
  <c r="Y172" i="1"/>
  <c r="AA216" i="1"/>
  <c r="AA217" i="1" s="1"/>
  <c r="AA219" i="1"/>
  <c r="AA36" i="1"/>
  <c r="AA256" i="1"/>
  <c r="AA257" i="1" s="1"/>
  <c r="CL46" i="1"/>
  <c r="CL47" i="1"/>
  <c r="CL257" i="1"/>
  <c r="CH144" i="1"/>
  <c r="CH252" i="1" s="1"/>
  <c r="CJ39" i="1"/>
  <c r="CI144" i="1"/>
  <c r="CJ209" i="1" s="1"/>
  <c r="CJ207" i="1" s="1"/>
  <c r="Z209" i="1"/>
  <c r="Z207" i="1" s="1"/>
  <c r="Z171" i="1"/>
  <c r="Z172" i="1" s="1"/>
  <c r="Z252" i="1"/>
  <c r="Z250" i="1"/>
  <c r="CK46" i="1"/>
  <c r="CK47" i="1"/>
  <c r="Y195" i="1"/>
  <c r="Y196" i="1" s="1"/>
  <c r="CI188" i="1"/>
  <c r="CI152" i="1"/>
  <c r="CI256" i="1"/>
  <c r="CI257" i="1" s="1"/>
  <c r="CK118" i="1"/>
  <c r="Z195" i="1"/>
  <c r="Z196" i="1" s="1"/>
  <c r="CM33" i="1"/>
  <c r="CN33" i="1" s="1"/>
  <c r="Z256" i="1"/>
  <c r="Z257" i="1" s="1"/>
  <c r="Z40" i="1"/>
  <c r="Z118" i="1"/>
  <c r="Z35" i="1"/>
  <c r="Z238" i="1"/>
  <c r="Z239" i="1" s="1"/>
  <c r="Z36" i="1"/>
  <c r="CY139" i="1"/>
  <c r="CZ139" i="1" s="1"/>
  <c r="DA139" i="1" s="1"/>
  <c r="DB139" i="1" s="1"/>
  <c r="AE139" i="1" s="1"/>
  <c r="AD139" i="1"/>
  <c r="CM23" i="1"/>
  <c r="CG35" i="1"/>
  <c r="CG40" i="1"/>
  <c r="CG44" i="1" s="1"/>
  <c r="CG238" i="1"/>
  <c r="CG239" i="1" s="1"/>
  <c r="CM208" i="1"/>
  <c r="CN146" i="1"/>
  <c r="CM190" i="1"/>
  <c r="CJ37" i="1"/>
  <c r="CJ256" i="1"/>
  <c r="CJ257" i="1" s="1"/>
  <c r="CJ238" i="1"/>
  <c r="CJ239" i="1" s="1"/>
  <c r="CH35" i="1"/>
  <c r="CH40" i="1"/>
  <c r="CH44" i="1" s="1"/>
  <c r="CH37" i="1"/>
  <c r="CH256" i="1"/>
  <c r="CI37" i="1"/>
  <c r="CH238" i="1"/>
  <c r="CH239" i="1" s="1"/>
  <c r="CJ232" i="1"/>
  <c r="CJ118" i="1"/>
  <c r="CJ35" i="1"/>
  <c r="CJ40" i="1"/>
  <c r="CN131" i="1"/>
  <c r="CM134" i="1"/>
  <c r="CM255" i="1" s="1"/>
  <c r="CH116" i="1"/>
  <c r="CH117" i="1"/>
  <c r="CK200" i="1"/>
  <c r="CK138" i="1"/>
  <c r="X44" i="1"/>
  <c r="X61" i="1"/>
  <c r="CP130" i="1"/>
  <c r="CO185" i="1"/>
  <c r="CO186" i="1"/>
  <c r="CO189" i="1"/>
  <c r="CZ169" i="1"/>
  <c r="CM51" i="1"/>
  <c r="CN51" i="1" s="1"/>
  <c r="CO51" i="1" s="1"/>
  <c r="CP51" i="1" s="1"/>
  <c r="CQ51" i="1" s="1"/>
  <c r="CR51" i="1" s="1"/>
  <c r="CS51" i="1" s="1"/>
  <c r="CT51" i="1" s="1"/>
  <c r="CU51" i="1" s="1"/>
  <c r="CM52" i="1"/>
  <c r="CH171" i="1" l="1"/>
  <c r="CH172" i="1" s="1"/>
  <c r="CL119" i="1"/>
  <c r="CL120" i="1"/>
  <c r="CI44" i="1"/>
  <c r="Y61" i="1"/>
  <c r="Y44" i="1"/>
  <c r="CZ123" i="1"/>
  <c r="CK188" i="1"/>
  <c r="CK192" i="1" s="1"/>
  <c r="CL50" i="1"/>
  <c r="CL240" i="1"/>
  <c r="CL54" i="1"/>
  <c r="CL48" i="1"/>
  <c r="CL251" i="1" s="1"/>
  <c r="CJ44" i="1"/>
  <c r="CL61" i="1"/>
  <c r="CK140" i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CL138" i="1"/>
  <c r="CL137" i="1" s="1"/>
  <c r="CI209" i="1"/>
  <c r="CI207" i="1" s="1"/>
  <c r="CK54" i="1"/>
  <c r="CK48" i="1"/>
  <c r="CO33" i="1"/>
  <c r="CH47" i="1"/>
  <c r="CL49" i="1" s="1"/>
  <c r="CH46" i="1"/>
  <c r="Z44" i="1"/>
  <c r="Z61" i="1"/>
  <c r="CG47" i="1"/>
  <c r="CK49" i="1" s="1"/>
  <c r="CG46" i="1"/>
  <c r="CN208" i="1"/>
  <c r="CO146" i="1"/>
  <c r="CN190" i="1"/>
  <c r="CM191" i="1"/>
  <c r="CM187" i="1"/>
  <c r="CO131" i="1"/>
  <c r="CN134" i="1"/>
  <c r="CN255" i="1" s="1"/>
  <c r="CM212" i="1"/>
  <c r="Y46" i="1"/>
  <c r="Y47" i="1"/>
  <c r="X46" i="1"/>
  <c r="X47" i="1"/>
  <c r="CN23" i="1"/>
  <c r="CP189" i="1"/>
  <c r="CP186" i="1"/>
  <c r="CP185" i="1"/>
  <c r="CQ130" i="1"/>
  <c r="DA169" i="1"/>
  <c r="CE71" i="1"/>
  <c r="AB51" i="1"/>
  <c r="AC51" i="1"/>
  <c r="CV51" i="1"/>
  <c r="CW51" i="1" s="1"/>
  <c r="CX51" i="1" s="1"/>
  <c r="CY51" i="1" s="1"/>
  <c r="AB41" i="1"/>
  <c r="CN52" i="1"/>
  <c r="CO52" i="1" s="1"/>
  <c r="CP52" i="1" s="1"/>
  <c r="CQ52" i="1" s="1"/>
  <c r="DA123" i="1" l="1"/>
  <c r="CI46" i="1"/>
  <c r="CI47" i="1"/>
  <c r="CK144" i="1"/>
  <c r="CJ47" i="1"/>
  <c r="CL233" i="1" s="1"/>
  <c r="CJ46" i="1"/>
  <c r="CL72" i="1"/>
  <c r="CL199" i="1"/>
  <c r="CL201" i="1" s="1"/>
  <c r="CL58" i="1"/>
  <c r="CM137" i="1"/>
  <c r="CN137" i="1" s="1"/>
  <c r="CO137" i="1" s="1"/>
  <c r="CP137" i="1" s="1"/>
  <c r="CK209" i="1"/>
  <c r="CK207" i="1" s="1"/>
  <c r="CL209" i="1"/>
  <c r="CL207" i="1" s="1"/>
  <c r="CK58" i="1"/>
  <c r="CK72" i="1"/>
  <c r="CJ50" i="1"/>
  <c r="CK50" i="1"/>
  <c r="CP33" i="1"/>
  <c r="CH48" i="1"/>
  <c r="CH251" i="1" s="1"/>
  <c r="CI50" i="1"/>
  <c r="CH54" i="1"/>
  <c r="CH240" i="1"/>
  <c r="CO208" i="1"/>
  <c r="CP146" i="1"/>
  <c r="Z47" i="1"/>
  <c r="AA49" i="1" s="1"/>
  <c r="Z46" i="1"/>
  <c r="CJ48" i="1"/>
  <c r="CJ251" i="1" s="1"/>
  <c r="CJ240" i="1"/>
  <c r="CJ54" i="1"/>
  <c r="CN191" i="1"/>
  <c r="CO190" i="1"/>
  <c r="CG54" i="1"/>
  <c r="CJ233" i="1"/>
  <c r="CG48" i="1"/>
  <c r="CG251" i="1" s="1"/>
  <c r="CG240" i="1"/>
  <c r="CH50" i="1"/>
  <c r="CM188" i="1"/>
  <c r="CM192" i="1" s="1"/>
  <c r="CN187" i="1"/>
  <c r="CP131" i="1"/>
  <c r="CO134" i="1"/>
  <c r="CO255" i="1" s="1"/>
  <c r="CN212" i="1"/>
  <c r="X240" i="1"/>
  <c r="X48" i="1"/>
  <c r="X251" i="1" s="1"/>
  <c r="Y49" i="1"/>
  <c r="X54" i="1"/>
  <c r="Y240" i="1"/>
  <c r="Z49" i="1"/>
  <c r="Y48" i="1"/>
  <c r="Y251" i="1" s="1"/>
  <c r="Y54" i="1"/>
  <c r="Z54" i="1"/>
  <c r="Z48" i="1"/>
  <c r="Z251" i="1" s="1"/>
  <c r="Z240" i="1"/>
  <c r="CM46" i="1"/>
  <c r="CN46" i="1" s="1"/>
  <c r="CO23" i="1"/>
  <c r="CP23" i="1" s="1"/>
  <c r="CB71" i="1"/>
  <c r="BL71" i="1"/>
  <c r="CR130" i="1"/>
  <c r="CQ185" i="1"/>
  <c r="CQ189" i="1"/>
  <c r="CC71" i="1"/>
  <c r="CQ186" i="1"/>
  <c r="DB123" i="1"/>
  <c r="DB169" i="1"/>
  <c r="AL71" i="1"/>
  <c r="CF71" i="1"/>
  <c r="CD71" i="1"/>
  <c r="BY71" i="1"/>
  <c r="BZ71" i="1"/>
  <c r="CA71" i="1"/>
  <c r="AD51" i="1"/>
  <c r="AB52" i="1"/>
  <c r="CZ51" i="1"/>
  <c r="DA51" i="1" s="1"/>
  <c r="DB51" i="1" s="1"/>
  <c r="AE51" i="1" s="1"/>
  <c r="AC41" i="1"/>
  <c r="CR52" i="1"/>
  <c r="CS52" i="1" s="1"/>
  <c r="CT52" i="1" s="1"/>
  <c r="CU52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Z33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R13" i="4" a="1"/>
  <c r="EN14" i="4" a="1"/>
  <c r="EW12" i="4" a="1"/>
  <c r="EQ5" i="4" a="1"/>
  <c r="EO13" i="4" a="1"/>
  <c r="EL7" i="4" a="1"/>
  <c r="ES11" i="4" a="1"/>
  <c r="Y6" i="6" a="1"/>
  <c r="C5" i="4" a="1"/>
  <c r="ES15" i="4" a="1"/>
  <c r="AS14" i="3"/>
  <c r="AQ5" i="6" a="1"/>
  <c r="AW26" i="3"/>
  <c r="EQ13" i="4" a="1"/>
  <c r="EL16" i="4" a="1"/>
  <c r="EN8" i="4" a="1"/>
  <c r="EN15" i="4" a="1"/>
  <c r="AX14" i="3"/>
  <c r="M5" i="6" a="1"/>
  <c r="EU13" i="4" a="1"/>
  <c r="AS23" i="3"/>
  <c r="EW8" i="4" a="1"/>
  <c r="EW6" i="4" a="1"/>
  <c r="AU28" i="3"/>
  <c r="AF42" i="3"/>
  <c r="AW15" i="3"/>
  <c r="EM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D6" i="6" a="1"/>
  <c r="AF16" i="3"/>
  <c r="AF31" i="3"/>
  <c r="AX27" i="3"/>
  <c r="AF39" i="3"/>
  <c r="AZ19" i="3"/>
  <c r="AU37" i="3"/>
  <c r="EW11" i="4" a="1"/>
  <c r="AS31" i="3"/>
  <c r="AC6" i="6" a="1"/>
  <c r="ET6" i="4" a="1"/>
  <c r="AF19" i="3"/>
  <c r="M6" i="6" a="1"/>
  <c r="AX32" i="3"/>
  <c r="AX5" i="6" a="1"/>
  <c r="EP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H5" i="6" a="1"/>
  <c r="X6" i="6" a="1"/>
  <c r="AS42" i="3"/>
  <c r="EP5" i="4" a="1"/>
  <c r="EU15" i="4" a="1"/>
  <c r="EV5" i="4" a="1"/>
  <c r="EQ16" i="4" a="1"/>
  <c r="EQ9" i="4" a="1"/>
  <c r="EO11" i="4" a="1"/>
  <c r="EL5" i="4" a="1"/>
  <c r="V6" i="6" a="1"/>
  <c r="AU32" i="3"/>
  <c r="EU8" i="4" a="1"/>
  <c r="EW13" i="4" a="1"/>
  <c r="EL15" i="4" a="1"/>
  <c r="AD5" i="6" a="1"/>
  <c r="T6" i="6" a="1"/>
  <c r="AX37" i="3"/>
  <c r="EL8" i="4" a="1"/>
  <c r="EV14" i="4" a="1"/>
  <c r="AV35" i="3"/>
  <c r="AZ17" i="3"/>
  <c r="AF45" i="3"/>
  <c r="AW29" i="3"/>
  <c r="F46" i="3"/>
  <c r="EO12" i="4" a="1"/>
  <c r="EL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Y16" i="3"/>
  <c r="AX11" i="3"/>
  <c r="AF33" i="3"/>
  <c r="AT6" i="3"/>
  <c r="AV15" i="3"/>
  <c r="S6" i="6" a="1"/>
  <c r="AT16" i="3"/>
  <c r="AT34" i="3"/>
  <c r="EU16" i="4" a="1"/>
  <c r="EU12" i="4" a="1"/>
  <c r="EW14" i="4" a="1"/>
  <c r="ES7" i="4" a="1"/>
  <c r="AV37" i="3"/>
  <c r="U5" i="6" a="1"/>
  <c r="AU31" i="3"/>
  <c r="EQ11" i="4" a="1"/>
  <c r="EP8" i="4" a="1"/>
  <c r="EO5" i="4" a="1"/>
  <c r="ET7" i="4" a="1"/>
  <c r="AU14" i="3"/>
  <c r="AV19" i="3"/>
  <c r="AW24" i="3"/>
  <c r="AS21" i="3"/>
  <c r="AZ13" i="3"/>
  <c r="AR5" i="6" a="1"/>
  <c r="AF15" i="3"/>
  <c r="EO15" i="4" a="1"/>
  <c r="AX41" i="3"/>
  <c r="AX34" i="3"/>
  <c r="AZ15" i="3"/>
  <c r="AV18" i="3"/>
  <c r="AS11" i="3"/>
  <c r="AU45" i="3"/>
  <c r="AS5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AS5" i="3"/>
  <c r="EO14" i="4" a="1"/>
  <c r="EQ14" i="4" a="1"/>
  <c r="ET13" i="4" a="1"/>
  <c r="AU33" i="3"/>
  <c r="AS6" i="6" a="1"/>
  <c r="AZ40" i="3"/>
  <c r="AW18" i="3"/>
  <c r="EW16" i="4" a="1"/>
  <c r="C6" i="4" a="1"/>
  <c r="EN13" i="4" a="1"/>
  <c r="EP6" i="4" a="1"/>
  <c r="ER15" i="4" a="1"/>
  <c r="EW7" i="4" a="1"/>
  <c r="AF38" i="3"/>
  <c r="EQ6" i="4" a="1"/>
  <c r="EQ7" i="4" a="1"/>
  <c r="AX26" i="3"/>
  <c r="AX31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15" i="3"/>
  <c r="AX15" i="3"/>
  <c r="AT19" i="3"/>
  <c r="EN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EU11" i="4" a="1"/>
  <c r="AV11" i="3"/>
  <c r="AU20" i="3"/>
  <c r="AS28" i="3"/>
  <c r="ES5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T12" i="3"/>
  <c r="AL6" i="6" a="1"/>
  <c r="AX18" i="3"/>
  <c r="AY39" i="3"/>
  <c r="ER14" i="4" a="1"/>
  <c r="AW40" i="3"/>
  <c r="AY5" i="6" a="1"/>
  <c r="EU7" i="4" a="1"/>
  <c r="ES12" i="4" a="1"/>
  <c r="EV11" i="4" a="1"/>
  <c r="AV5" i="6" a="1"/>
  <c r="AS35" i="3"/>
  <c r="AX29" i="3"/>
  <c r="AK5" i="6" a="1"/>
  <c r="AX36" i="3"/>
  <c r="D5" i="6" a="1"/>
  <c r="EO8" i="4" a="1"/>
  <c r="ES9" i="4" a="1"/>
  <c r="AT8" i="3"/>
  <c r="Y5" i="6" a="1"/>
  <c r="AX20" i="3"/>
  <c r="AZ21" i="3"/>
  <c r="AF37" i="3"/>
  <c r="AM6" i="6" a="1"/>
  <c r="AZ25" i="3"/>
  <c r="AT33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S16" i="3"/>
  <c r="EN6" i="4" a="1"/>
  <c r="AB6" i="6" a="1"/>
  <c r="AZ22" i="3"/>
  <c r="AT17" i="3"/>
  <c r="AF24" i="3"/>
  <c r="AT26" i="3"/>
  <c r="AX13" i="3"/>
  <c r="EL6" i="4" a="1"/>
  <c r="ER7" i="4" a="1"/>
  <c r="ER6" i="4" a="1"/>
  <c r="CI54" i="1" l="1"/>
  <c r="CI240" i="1"/>
  <c r="CI48" i="1"/>
  <c r="CI251" i="1" s="1"/>
  <c r="AB137" i="1"/>
  <c r="CQ137" i="1"/>
  <c r="CR137" i="1" s="1"/>
  <c r="CS137" i="1" s="1"/>
  <c r="CT137" i="1" s="1"/>
  <c r="CH199" i="1"/>
  <c r="CH201" i="1" s="1"/>
  <c r="CH72" i="1"/>
  <c r="CH58" i="1"/>
  <c r="CP208" i="1"/>
  <c r="CQ146" i="1"/>
  <c r="CJ72" i="1"/>
  <c r="CJ199" i="1"/>
  <c r="CJ201" i="1" s="1"/>
  <c r="CJ58" i="1"/>
  <c r="CJ60" i="1"/>
  <c r="CG199" i="1"/>
  <c r="CG201" i="1" s="1"/>
  <c r="CG58" i="1"/>
  <c r="CG72" i="1"/>
  <c r="CQ33" i="1"/>
  <c r="CR33" i="1" s="1"/>
  <c r="CP190" i="1"/>
  <c r="CO191" i="1"/>
  <c r="CN188" i="1"/>
  <c r="CN192" i="1" s="1"/>
  <c r="CO187" i="1"/>
  <c r="CQ131" i="1"/>
  <c r="CP134" i="1"/>
  <c r="CP255" i="1" s="1"/>
  <c r="CO212" i="1"/>
  <c r="BY28" i="1"/>
  <c r="CA15" i="1"/>
  <c r="CE28" i="1"/>
  <c r="CA28" i="1"/>
  <c r="CF28" i="1"/>
  <c r="CD28" i="1"/>
  <c r="BZ28" i="1"/>
  <c r="BL28" i="1"/>
  <c r="CC28" i="1"/>
  <c r="CB28" i="1"/>
  <c r="CF15" i="1"/>
  <c r="CD15" i="1"/>
  <c r="BY15" i="1"/>
  <c r="CE15" i="1"/>
  <c r="BZ15" i="1"/>
  <c r="CC15" i="1"/>
  <c r="CB15" i="1"/>
  <c r="BL15" i="1"/>
  <c r="Y199" i="1"/>
  <c r="Y201" i="1" s="1"/>
  <c r="Y205" i="1" s="1"/>
  <c r="Y219" i="1" s="1"/>
  <c r="Y213" i="1"/>
  <c r="Y211" i="1" s="1"/>
  <c r="Y60" i="1"/>
  <c r="Y58" i="1"/>
  <c r="X199" i="1"/>
  <c r="X201" i="1" s="1"/>
  <c r="X58" i="1"/>
  <c r="X60" i="1"/>
  <c r="Z199" i="1"/>
  <c r="Z201" i="1" s="1"/>
  <c r="Z205" i="1" s="1"/>
  <c r="Z219" i="1" s="1"/>
  <c r="Z213" i="1"/>
  <c r="Z211" i="1" s="1"/>
  <c r="Z60" i="1"/>
  <c r="Z58" i="1"/>
  <c r="CD31" i="1"/>
  <c r="CC51" i="1"/>
  <c r="CA14" i="1"/>
  <c r="CA237" i="1" s="1"/>
  <c r="CD45" i="1"/>
  <c r="AH7" i="6" s="1"/>
  <c r="CD41" i="1"/>
  <c r="CF42" i="1"/>
  <c r="BY51" i="1"/>
  <c r="BL51" i="1"/>
  <c r="CD52" i="1"/>
  <c r="AV7" i="6" s="1"/>
  <c r="CB26" i="1"/>
  <c r="R7" i="6" s="1"/>
  <c r="X7" i="6" s="1"/>
  <c r="CD51" i="1"/>
  <c r="CD21" i="1"/>
  <c r="V7" i="6" s="1"/>
  <c r="BY21" i="1"/>
  <c r="CB14" i="1"/>
  <c r="CB237" i="1" s="1"/>
  <c r="BY57" i="1"/>
  <c r="BL14" i="1"/>
  <c r="AW7" i="6" s="1"/>
  <c r="BY27" i="1"/>
  <c r="CA19" i="1"/>
  <c r="CB29" i="1"/>
  <c r="BZ42" i="1"/>
  <c r="O7" i="6" s="1"/>
  <c r="BL53" i="1"/>
  <c r="AQ7" i="6" s="1"/>
  <c r="CF14" i="1"/>
  <c r="JJ9" i="4" s="1"/>
  <c r="BY52" i="1"/>
  <c r="AM7" i="6" s="1"/>
  <c r="JM16" i="4" s="1"/>
  <c r="CF53" i="1"/>
  <c r="CA30" i="1"/>
  <c r="BL29" i="1"/>
  <c r="BL52" i="1"/>
  <c r="CF41" i="1"/>
  <c r="BL42" i="1"/>
  <c r="BZ51" i="1"/>
  <c r="CC31" i="1"/>
  <c r="CC27" i="1"/>
  <c r="JM9" i="4" s="1"/>
  <c r="CA27" i="1"/>
  <c r="JL16" i="4" s="1"/>
  <c r="BZ30" i="1"/>
  <c r="CB27" i="1"/>
  <c r="CC19" i="1"/>
  <c r="JK16" i="4" s="1"/>
  <c r="CA57" i="1"/>
  <c r="BZ20" i="1"/>
  <c r="CE21" i="1"/>
  <c r="CC20" i="1"/>
  <c r="C7" i="6" s="1"/>
  <c r="T7" i="6" s="1"/>
  <c r="BY30" i="1"/>
  <c r="CC52" i="1"/>
  <c r="CC14" i="1"/>
  <c r="CC237" i="1" s="1"/>
  <c r="CB41" i="1"/>
  <c r="JL9" i="4" s="1"/>
  <c r="CF45" i="1"/>
  <c r="AL7" i="6" s="1"/>
  <c r="BZ38" i="1"/>
  <c r="BZ200" i="1" s="1"/>
  <c r="BZ41" i="1"/>
  <c r="J7" i="6" s="1"/>
  <c r="BY53" i="1"/>
  <c r="Z7" i="6" s="1"/>
  <c r="BL26" i="1"/>
  <c r="CF19" i="1"/>
  <c r="CF29" i="1"/>
  <c r="BZ19" i="1"/>
  <c r="CA21" i="1"/>
  <c r="CD20" i="1"/>
  <c r="BL27" i="1"/>
  <c r="BY20" i="1"/>
  <c r="CE38" i="1"/>
  <c r="CE200" i="1" s="1"/>
  <c r="AD7" i="6" s="1"/>
  <c r="CF31" i="1"/>
  <c r="CE26" i="1"/>
  <c r="CA53" i="1"/>
  <c r="CD42" i="1"/>
  <c r="CB30" i="1"/>
  <c r="CD53" i="1"/>
  <c r="AP7" i="6" s="1"/>
  <c r="Y7" i="6" s="1"/>
  <c r="CA31" i="1"/>
  <c r="AA7" i="6" s="1"/>
  <c r="AJ7" i="6" s="1"/>
  <c r="BY14" i="1"/>
  <c r="BY29" i="1"/>
  <c r="CB45" i="1"/>
  <c r="CE31" i="1"/>
  <c r="I7" i="6" s="1"/>
  <c r="AK7" i="6" s="1"/>
  <c r="CE20" i="1"/>
  <c r="K7" i="6" s="1"/>
  <c r="F7" i="6" s="1"/>
  <c r="CB51" i="1"/>
  <c r="CF30" i="1"/>
  <c r="AC7" i="6" s="1"/>
  <c r="AE7" i="6" s="1"/>
  <c r="M7" i="6" s="1"/>
  <c r="Q7" i="6" s="1"/>
  <c r="CA52" i="1"/>
  <c r="BZ52" i="1"/>
  <c r="CA42" i="1"/>
  <c r="CF52" i="1"/>
  <c r="AU7" i="6" s="1"/>
  <c r="BL21" i="1"/>
  <c r="CE30" i="1"/>
  <c r="CB38" i="1"/>
  <c r="CB200" i="1" s="1"/>
  <c r="CC53" i="1"/>
  <c r="CC57" i="1"/>
  <c r="AX7" i="6" s="1"/>
  <c r="BZ29" i="1"/>
  <c r="AT7" i="6" s="1"/>
  <c r="S7" i="6" s="1"/>
  <c r="BY19" i="1"/>
  <c r="CE41" i="1"/>
  <c r="CA51" i="1"/>
  <c r="CB53" i="1"/>
  <c r="CA41" i="1"/>
  <c r="CF57" i="1"/>
  <c r="CF27" i="1"/>
  <c r="CA26" i="1"/>
  <c r="AN7" i="6" s="1"/>
  <c r="CE52" i="1"/>
  <c r="CC21" i="1"/>
  <c r="CE57" i="1"/>
  <c r="CF21" i="1"/>
  <c r="G7" i="6" s="1"/>
  <c r="BL38" i="1"/>
  <c r="AF7" i="6" s="1"/>
  <c r="CC26" i="1"/>
  <c r="CD26" i="1"/>
  <c r="JJ16" i="4" s="1"/>
  <c r="BY31" i="1"/>
  <c r="CB52" i="1"/>
  <c r="CE14" i="1"/>
  <c r="AB7" i="6" s="1"/>
  <c r="BL20" i="1"/>
  <c r="CD57" i="1"/>
  <c r="BY26" i="1"/>
  <c r="BZ21" i="1"/>
  <c r="CD27" i="1"/>
  <c r="L7" i="6" s="1"/>
  <c r="BL45" i="1"/>
  <c r="BZ14" i="1"/>
  <c r="BZ237" i="1" s="1"/>
  <c r="CA38" i="1"/>
  <c r="BZ45" i="1"/>
  <c r="BY38" i="1"/>
  <c r="BY200" i="1" s="1"/>
  <c r="AI7" i="6" s="1"/>
  <c r="CC45" i="1"/>
  <c r="D7" i="6" s="1"/>
  <c r="BZ27" i="1"/>
  <c r="AG7" i="6" s="1"/>
  <c r="BZ26" i="1"/>
  <c r="BL57" i="1"/>
  <c r="W7" i="6" s="1"/>
  <c r="CB57" i="1"/>
  <c r="CE53" i="1"/>
  <c r="CF26" i="1"/>
  <c r="CC29" i="1"/>
  <c r="CD29" i="1"/>
  <c r="CE19" i="1"/>
  <c r="BY41" i="1"/>
  <c r="CC41" i="1"/>
  <c r="BZ57" i="1"/>
  <c r="AS7" i="6" s="1"/>
  <c r="BZ53" i="1"/>
  <c r="CE42" i="1"/>
  <c r="CD19" i="1"/>
  <c r="BL41" i="1"/>
  <c r="CB20" i="1"/>
  <c r="CC38" i="1"/>
  <c r="CC200" i="1" s="1"/>
  <c r="BY45" i="1"/>
  <c r="H7" i="6" s="1"/>
  <c r="CA29" i="1"/>
  <c r="BZ31" i="1"/>
  <c r="CD14" i="1"/>
  <c r="CD237" i="1" s="1"/>
  <c r="AR7" i="6" s="1"/>
  <c r="CF20" i="1"/>
  <c r="BL19" i="1"/>
  <c r="BL30" i="1"/>
  <c r="JK9" i="4" s="1"/>
  <c r="AO7" i="6" s="1"/>
  <c r="CA45" i="1"/>
  <c r="BL31" i="1"/>
  <c r="CA20" i="1"/>
  <c r="CE51" i="1"/>
  <c r="CD30" i="1"/>
  <c r="P7" i="6" s="1"/>
  <c r="E7" i="6" s="1"/>
  <c r="U7" i="6" s="1"/>
  <c r="CC30" i="1"/>
  <c r="AY7" i="6" s="1"/>
  <c r="CD38" i="1"/>
  <c r="CB21" i="1"/>
  <c r="CC42" i="1"/>
  <c r="CB42" i="1"/>
  <c r="CE29" i="1"/>
  <c r="CE27" i="1"/>
  <c r="CF38" i="1"/>
  <c r="CF200" i="1" s="1"/>
  <c r="CB31" i="1"/>
  <c r="BY42" i="1"/>
  <c r="CF51" i="1"/>
  <c r="N7" i="6" s="1"/>
  <c r="CO46" i="1"/>
  <c r="CP46" i="1" s="1"/>
  <c r="CQ23" i="1"/>
  <c r="CS130" i="1"/>
  <c r="CR186" i="1"/>
  <c r="CR189" i="1"/>
  <c r="CR185" i="1"/>
  <c r="CJ61" i="1"/>
  <c r="AC52" i="1"/>
  <c r="CV52" i="1"/>
  <c r="CW52" i="1" s="1"/>
  <c r="CX52" i="1" s="1"/>
  <c r="CY52" i="1" s="1"/>
  <c r="AD41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0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V88" i="3"/>
  <c r="AZ73" i="3"/>
  <c r="AZ88" i="3"/>
  <c r="C56" i="3"/>
  <c r="AF69" i="3"/>
  <c r="C94" i="3"/>
  <c r="AU58" i="3"/>
  <c r="AZ82" i="3"/>
  <c r="AZ93" i="3"/>
  <c r="AV97" i="3"/>
  <c r="AU7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W69" i="3"/>
  <c r="AU47" i="3"/>
  <c r="AT84" i="3"/>
  <c r="AF58" i="3"/>
  <c r="AT49" i="3"/>
  <c r="AF85" i="3"/>
  <c r="AX58" i="3"/>
  <c r="C90" i="3"/>
  <c r="AT92" i="3"/>
  <c r="AT65" i="3"/>
  <c r="AY85" i="3"/>
  <c r="AY73" i="3"/>
  <c r="AF78" i="3"/>
  <c r="AX56" i="3"/>
  <c r="AZ63" i="3"/>
  <c r="AU70" i="3"/>
  <c r="AS92" i="3"/>
  <c r="AT47" i="3"/>
  <c r="AT78" i="3"/>
  <c r="C61" i="3"/>
  <c r="AW55" i="3"/>
  <c r="AS89" i="3"/>
  <c r="AF55" i="3"/>
  <c r="AX70" i="3"/>
  <c r="AX9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W78" i="3"/>
  <c r="AU56" i="3"/>
  <c r="AU73" i="3"/>
  <c r="AT69" i="3"/>
  <c r="AS76" i="3"/>
  <c r="AY87" i="3"/>
  <c r="AV89" i="3"/>
  <c r="AZ71" i="3"/>
  <c r="AW77" i="3"/>
  <c r="C77" i="3"/>
  <c r="AX67" i="3"/>
  <c r="C67" i="3"/>
  <c r="AX75" i="3"/>
  <c r="AV84" i="3"/>
  <c r="C54" i="3"/>
  <c r="AF88" i="3"/>
  <c r="AY49" i="3"/>
  <c r="C97" i="3"/>
  <c r="AW92" i="3"/>
  <c r="AV91" i="3"/>
  <c r="AU84" i="3"/>
  <c r="AS75" i="3"/>
  <c r="AU48" i="3"/>
  <c r="C74" i="3"/>
  <c r="AF76" i="3"/>
  <c r="AS94" i="3"/>
  <c r="AY96" i="3"/>
  <c r="AV94" i="3"/>
  <c r="AF75" i="3"/>
  <c r="AY92" i="3"/>
  <c r="AF71" i="3"/>
  <c r="AW83" i="3"/>
  <c r="AF8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X68" i="3"/>
  <c r="AX50" i="3"/>
  <c r="AV64" i="3"/>
  <c r="AV81" i="3"/>
  <c r="AF93" i="3"/>
  <c r="AU93" i="3"/>
  <c r="AT94" i="3"/>
  <c r="AT50" i="3"/>
  <c r="AX94" i="3"/>
  <c r="AV63" i="3"/>
  <c r="AF7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W48" i="3"/>
  <c r="AZ61" i="3"/>
  <c r="AX69" i="3"/>
  <c r="AV55" i="3"/>
  <c r="AV85" i="3"/>
  <c r="AW54" i="3"/>
  <c r="AY48" i="3"/>
  <c r="AY56" i="3"/>
  <c r="AU91" i="3"/>
  <c r="AW74" i="3"/>
  <c r="AZ49" i="3"/>
  <c r="AW93" i="3"/>
  <c r="AU94" i="3"/>
  <c r="AZ57" i="3"/>
  <c r="AS90" i="3"/>
  <c r="AF81" i="3"/>
  <c r="AZ79" i="3"/>
  <c r="AX88" i="3"/>
  <c r="AX79" i="3"/>
  <c r="AZ62" i="3"/>
  <c r="AZ90" i="3"/>
  <c r="AX82" i="3"/>
  <c r="AU57" i="3"/>
  <c r="AT83" i="3"/>
  <c r="AT79" i="3"/>
  <c r="AW73" i="3"/>
  <c r="AW50" i="3"/>
  <c r="AF65" i="3"/>
  <c r="AS62" i="3"/>
  <c r="AT9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47" i="3"/>
  <c r="AT73" i="3"/>
  <c r="AV58" i="3"/>
  <c r="AW65" i="3"/>
  <c r="AZ55" i="3"/>
  <c r="C71" i="3"/>
  <c r="AZ9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S50" i="3"/>
  <c r="AF64" i="3"/>
  <c r="AZ74" i="3"/>
  <c r="AF61" i="3"/>
  <c r="AS65" i="3"/>
  <c r="AX60" i="3"/>
  <c r="AV67" i="3"/>
  <c r="AU71" i="3"/>
  <c r="AT91" i="3"/>
  <c r="AS56" i="3"/>
  <c r="C57" i="3"/>
  <c r="AZ50" i="3"/>
  <c r="C69" i="3"/>
  <c r="AX97" i="3"/>
  <c r="AS96" i="3"/>
  <c r="C95" i="3"/>
  <c r="AX72" i="3"/>
  <c r="AY59" i="3"/>
  <c r="C59" i="3"/>
  <c r="AU6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W67" i="3"/>
  <c r="AU69" i="3"/>
  <c r="AT62" i="3"/>
  <c r="AS70" i="3"/>
  <c r="AF95" i="3"/>
  <c r="AZ67" i="3"/>
  <c r="AS63" i="3"/>
  <c r="AZ76" i="3"/>
  <c r="AF74" i="3"/>
  <c r="AT75" i="3"/>
  <c r="AW81" i="3"/>
  <c r="AF84" i="3"/>
  <c r="AU90" i="3"/>
  <c r="AF96" i="3"/>
  <c r="AZ81" i="3"/>
  <c r="AV95" i="3"/>
  <c r="AU76" i="3"/>
  <c r="CI199" i="1" l="1"/>
  <c r="CI201" i="1" s="1"/>
  <c r="CI72" i="1"/>
  <c r="CL60" i="1"/>
  <c r="CI125" i="1"/>
  <c r="CI126" i="1" s="1"/>
  <c r="CI58" i="1"/>
  <c r="CQ208" i="1"/>
  <c r="CR146" i="1"/>
  <c r="CK75" i="1"/>
  <c r="AC137" i="1"/>
  <c r="CU137" i="1"/>
  <c r="CV137" i="1" s="1"/>
  <c r="CW137" i="1" s="1"/>
  <c r="CX137" i="1" s="1"/>
  <c r="CK91" i="1"/>
  <c r="CK93" i="1"/>
  <c r="CK92" i="1"/>
  <c r="CS33" i="1"/>
  <c r="CQ190" i="1"/>
  <c r="CP191" i="1"/>
  <c r="CO188" i="1"/>
  <c r="CO192" i="1" s="1"/>
  <c r="CP187" i="1"/>
  <c r="CR131" i="1"/>
  <c r="CQ134" i="1"/>
  <c r="CQ255" i="1" s="1"/>
  <c r="CP212" i="1"/>
  <c r="BZ131" i="1"/>
  <c r="CA131" i="1" s="1"/>
  <c r="BL79" i="1"/>
  <c r="CF80" i="1"/>
  <c r="CB152" i="1"/>
  <c r="CC152" i="1" s="1"/>
  <c r="CD159" i="1"/>
  <c r="CD189" i="1" s="1"/>
  <c r="CE189" i="1" s="1"/>
  <c r="CB170" i="1"/>
  <c r="CC170" i="1" s="1"/>
  <c r="BL130" i="1"/>
  <c r="BM130" i="1" s="1"/>
  <c r="CD139" i="1"/>
  <c r="CD130" i="1"/>
  <c r="CE130" i="1" s="1"/>
  <c r="CF133" i="1"/>
  <c r="CG133" i="1" s="1"/>
  <c r="CB133" i="1"/>
  <c r="CC133" i="1" s="1"/>
  <c r="CB158" i="1"/>
  <c r="CC158" i="1" s="1"/>
  <c r="CB150" i="1"/>
  <c r="CB185" i="1" s="1"/>
  <c r="CC185" i="1" s="1"/>
  <c r="BZ159" i="1"/>
  <c r="BZ189" i="1" s="1"/>
  <c r="CA189" i="1" s="1"/>
  <c r="BZ170" i="1"/>
  <c r="CA170" i="1" s="1"/>
  <c r="BZ160" i="1"/>
  <c r="CA160" i="1" s="1"/>
  <c r="BZ166" i="1"/>
  <c r="BZ156" i="1"/>
  <c r="CA156" i="1" s="1"/>
  <c r="BZ138" i="1"/>
  <c r="BL151" i="1"/>
  <c r="BL186" i="1" s="1"/>
  <c r="BM186" i="1" s="1"/>
  <c r="BL159" i="1"/>
  <c r="BL189" i="1" s="1"/>
  <c r="BM189" i="1" s="1"/>
  <c r="BL128" i="1"/>
  <c r="BM128" i="1" s="1"/>
  <c r="CA79" i="1"/>
  <c r="CF79" i="1"/>
  <c r="CF152" i="1"/>
  <c r="CG152" i="1" s="1"/>
  <c r="CF139" i="1"/>
  <c r="CB80" i="1"/>
  <c r="CF150" i="1"/>
  <c r="CF185" i="1" s="1"/>
  <c r="CG185" i="1" s="1"/>
  <c r="CG150" i="1" s="1"/>
  <c r="CF128" i="1"/>
  <c r="CG128" i="1" s="1"/>
  <c r="CB155" i="1"/>
  <c r="CC155" i="1" s="1"/>
  <c r="CF170" i="1"/>
  <c r="CG170" i="1" s="1"/>
  <c r="CB131" i="1"/>
  <c r="CC131" i="1" s="1"/>
  <c r="CB169" i="1"/>
  <c r="CC169" i="1" s="1"/>
  <c r="CD80" i="1"/>
  <c r="CB165" i="1"/>
  <c r="CD151" i="1"/>
  <c r="CD186" i="1" s="1"/>
  <c r="CE186" i="1" s="1"/>
  <c r="CD128" i="1"/>
  <c r="CE128" i="1" s="1"/>
  <c r="BL131" i="1"/>
  <c r="CD137" i="1"/>
  <c r="CD157" i="1"/>
  <c r="CE157" i="1" s="1"/>
  <c r="CD165" i="1"/>
  <c r="CD148" i="1"/>
  <c r="CE148" i="1" s="1"/>
  <c r="CF146" i="1"/>
  <c r="CF132" i="1"/>
  <c r="CG132" i="1" s="1"/>
  <c r="CB148" i="1"/>
  <c r="CC148" i="1" s="1"/>
  <c r="BL160" i="1"/>
  <c r="BM160" i="1" s="1"/>
  <c r="BL169" i="1"/>
  <c r="BM169" i="1" s="1"/>
  <c r="BL170" i="1"/>
  <c r="CB132" i="1"/>
  <c r="CC132" i="1" s="1"/>
  <c r="CE80" i="1"/>
  <c r="BZ165" i="1"/>
  <c r="BZ169" i="1"/>
  <c r="CA169" i="1" s="1"/>
  <c r="BZ125" i="1"/>
  <c r="BZ133" i="1"/>
  <c r="CA133" i="1" s="1"/>
  <c r="CF151" i="1"/>
  <c r="CF186" i="1" s="1"/>
  <c r="CG186" i="1" s="1"/>
  <c r="CG151" i="1" s="1"/>
  <c r="CF138" i="1"/>
  <c r="CF155" i="1"/>
  <c r="CB125" i="1"/>
  <c r="CB151" i="1"/>
  <c r="CB186" i="1" s="1"/>
  <c r="CC186" i="1" s="1"/>
  <c r="CD166" i="1"/>
  <c r="CD158" i="1"/>
  <c r="CE158" i="1" s="1"/>
  <c r="CB79" i="1"/>
  <c r="BZ161" i="1"/>
  <c r="CA161" i="1" s="1"/>
  <c r="BZ139" i="1"/>
  <c r="BZ123" i="1"/>
  <c r="BZ153" i="1"/>
  <c r="CA153" i="1" s="1"/>
  <c r="BZ80" i="1"/>
  <c r="BZ130" i="1"/>
  <c r="CA130" i="1" s="1"/>
  <c r="BZ132" i="1"/>
  <c r="CA132" i="1" s="1"/>
  <c r="BZ148" i="1"/>
  <c r="CA148" i="1" s="1"/>
  <c r="BZ137" i="1"/>
  <c r="BL139" i="1"/>
  <c r="BL155" i="1"/>
  <c r="BM155" i="1" s="1"/>
  <c r="CF130" i="1"/>
  <c r="CF159" i="1"/>
  <c r="CF189" i="1" s="1"/>
  <c r="CG189" i="1" s="1"/>
  <c r="CG159" i="1" s="1"/>
  <c r="CD160" i="1"/>
  <c r="CE160" i="1" s="1"/>
  <c r="CF160" i="1"/>
  <c r="CG160" i="1" s="1"/>
  <c r="CB137" i="1"/>
  <c r="CB160" i="1"/>
  <c r="CC160" i="1" s="1"/>
  <c r="BY80" i="1"/>
  <c r="CD169" i="1"/>
  <c r="CE169" i="1" s="1"/>
  <c r="CD141" i="1"/>
  <c r="CE141" i="1" s="1"/>
  <c r="BL166" i="1"/>
  <c r="CB159" i="1"/>
  <c r="CB189" i="1" s="1"/>
  <c r="CC189" i="1" s="1"/>
  <c r="CB124" i="1"/>
  <c r="CC124" i="1" s="1"/>
  <c r="BL156" i="1"/>
  <c r="BM156" i="1" s="1"/>
  <c r="CD133" i="1"/>
  <c r="CE133" i="1" s="1"/>
  <c r="CD153" i="1"/>
  <c r="CE153" i="1" s="1"/>
  <c r="CD125" i="1"/>
  <c r="CD152" i="1"/>
  <c r="CE152" i="1" s="1"/>
  <c r="CD161" i="1"/>
  <c r="CE161" i="1" s="1"/>
  <c r="CD146" i="1"/>
  <c r="CE146" i="1" s="1"/>
  <c r="CF123" i="1"/>
  <c r="CF124" i="1"/>
  <c r="CG124" i="1" s="1"/>
  <c r="CF157" i="1"/>
  <c r="CG157" i="1" s="1"/>
  <c r="CF169" i="1"/>
  <c r="CG169" i="1" s="1"/>
  <c r="CB166" i="1"/>
  <c r="CB146" i="1"/>
  <c r="AI80" i="1"/>
  <c r="BL153" i="1"/>
  <c r="BM153" i="1" s="1"/>
  <c r="BL141" i="1"/>
  <c r="BM141" i="1" s="1"/>
  <c r="BL132" i="1"/>
  <c r="BM132" i="1" s="1"/>
  <c r="CB130" i="1"/>
  <c r="CC130" i="1" s="1"/>
  <c r="BL152" i="1"/>
  <c r="BM152" i="1" s="1"/>
  <c r="BZ141" i="1"/>
  <c r="CA141" i="1" s="1"/>
  <c r="BZ79" i="1"/>
  <c r="BL158" i="1"/>
  <c r="BM158" i="1" s="1"/>
  <c r="CB138" i="1"/>
  <c r="CF153" i="1"/>
  <c r="CG153" i="1" s="1"/>
  <c r="CB153" i="1"/>
  <c r="CC153" i="1" s="1"/>
  <c r="CD79" i="1"/>
  <c r="CC80" i="1"/>
  <c r="CD124" i="1"/>
  <c r="CE124" i="1" s="1"/>
  <c r="BL125" i="1"/>
  <c r="CD131" i="1"/>
  <c r="CE131" i="1" s="1"/>
  <c r="CF165" i="1"/>
  <c r="CF158" i="1"/>
  <c r="CG158" i="1" s="1"/>
  <c r="CE79" i="1"/>
  <c r="BZ151" i="1"/>
  <c r="BZ186" i="1" s="1"/>
  <c r="CA186" i="1" s="1"/>
  <c r="BZ128" i="1"/>
  <c r="CA128" i="1" s="1"/>
  <c r="BZ150" i="1"/>
  <c r="BZ185" i="1" s="1"/>
  <c r="CA185" i="1" s="1"/>
  <c r="BZ124" i="1"/>
  <c r="CA124" i="1" s="1"/>
  <c r="BZ155" i="1"/>
  <c r="BZ157" i="1"/>
  <c r="CA157" i="1" s="1"/>
  <c r="BZ152" i="1"/>
  <c r="CA152" i="1" s="1"/>
  <c r="BZ146" i="1"/>
  <c r="CA146" i="1" s="1"/>
  <c r="BZ158" i="1"/>
  <c r="CA158" i="1" s="1"/>
  <c r="BL161" i="1"/>
  <c r="BM161" i="1" s="1"/>
  <c r="BL150" i="1"/>
  <c r="BL185" i="1" s="1"/>
  <c r="BM185" i="1" s="1"/>
  <c r="BL137" i="1"/>
  <c r="BL138" i="1"/>
  <c r="CA80" i="1"/>
  <c r="CF161" i="1"/>
  <c r="CG161" i="1" s="1"/>
  <c r="CF156" i="1"/>
  <c r="CG156" i="1" s="1"/>
  <c r="CF166" i="1"/>
  <c r="CB123" i="1"/>
  <c r="CC123" i="1" s="1"/>
  <c r="CF137" i="1"/>
  <c r="CF125" i="1"/>
  <c r="CG125" i="1" s="1"/>
  <c r="CF131" i="1"/>
  <c r="CG131" i="1" s="1"/>
  <c r="CD132" i="1"/>
  <c r="CE132" i="1" s="1"/>
  <c r="CB161" i="1"/>
  <c r="CC161" i="1" s="1"/>
  <c r="CB141" i="1"/>
  <c r="CC141" i="1" s="1"/>
  <c r="CB157" i="1"/>
  <c r="CC157" i="1" s="1"/>
  <c r="CD123" i="1"/>
  <c r="BL146" i="1"/>
  <c r="CB139" i="1"/>
  <c r="BL133" i="1"/>
  <c r="BM133" i="1" s="1"/>
  <c r="CD138" i="1"/>
  <c r="CD150" i="1"/>
  <c r="CD185" i="1" s="1"/>
  <c r="CE185" i="1" s="1"/>
  <c r="CD156" i="1"/>
  <c r="CE156" i="1" s="1"/>
  <c r="CD155" i="1"/>
  <c r="CE155" i="1" s="1"/>
  <c r="CD170" i="1"/>
  <c r="CE170" i="1" s="1"/>
  <c r="CF141" i="1"/>
  <c r="CG141" i="1" s="1"/>
  <c r="CF148" i="1"/>
  <c r="CG148" i="1" s="1"/>
  <c r="CC79" i="1"/>
  <c r="CB156" i="1"/>
  <c r="CC156" i="1" s="1"/>
  <c r="CB128" i="1"/>
  <c r="CC128" i="1" s="1"/>
  <c r="BL165" i="1"/>
  <c r="BL123" i="1"/>
  <c r="BM123" i="1" s="1"/>
  <c r="BL157" i="1"/>
  <c r="BM157" i="1" s="1"/>
  <c r="BL148" i="1"/>
  <c r="BM148" i="1" s="1"/>
  <c r="BL124" i="1"/>
  <c r="BM124" i="1" s="1"/>
  <c r="BL259" i="1"/>
  <c r="CH104" i="1"/>
  <c r="CH105" i="1" s="1"/>
  <c r="CB143" i="1"/>
  <c r="CC143" i="1" s="1"/>
  <c r="CF143" i="1"/>
  <c r="CG143" i="1" s="1"/>
  <c r="CD143" i="1"/>
  <c r="CE143" i="1" s="1"/>
  <c r="BL143" i="1"/>
  <c r="BM143" i="1" s="1"/>
  <c r="BZ143" i="1"/>
  <c r="CA143" i="1" s="1"/>
  <c r="BL149" i="1"/>
  <c r="CD149" i="1"/>
  <c r="CB149" i="1"/>
  <c r="CF149" i="1"/>
  <c r="BZ149" i="1"/>
  <c r="CA258" i="1"/>
  <c r="JJ21" i="4"/>
  <c r="CD83" i="1" s="1"/>
  <c r="CA16" i="1"/>
  <c r="CA22" i="1" s="1"/>
  <c r="CA23" i="1" s="1"/>
  <c r="JK14" i="4"/>
  <c r="BL16" i="1"/>
  <c r="BL22" i="1" s="1"/>
  <c r="BY16" i="1"/>
  <c r="BY22" i="1" s="1"/>
  <c r="BL200" i="1"/>
  <c r="CF16" i="1"/>
  <c r="AA64" i="1" s="1"/>
  <c r="CF258" i="1"/>
  <c r="JL21" i="4"/>
  <c r="CF83" i="1" s="1"/>
  <c r="Y216" i="1"/>
  <c r="Y217" i="1" s="1"/>
  <c r="CF104" i="1"/>
  <c r="CF105" i="1" s="1"/>
  <c r="CB32" i="1"/>
  <c r="CE237" i="1"/>
  <c r="CC259" i="1"/>
  <c r="CA32" i="1"/>
  <c r="CE258" i="1"/>
  <c r="CC258" i="1"/>
  <c r="JM7" i="4"/>
  <c r="CA259" i="1"/>
  <c r="JJ8" i="4"/>
  <c r="Z216" i="1"/>
  <c r="Z217" i="1" s="1"/>
  <c r="CF32" i="1"/>
  <c r="BZ258" i="1"/>
  <c r="BZ16" i="1"/>
  <c r="CA200" i="1"/>
  <c r="CD259" i="1"/>
  <c r="CB104" i="1"/>
  <c r="CB105" i="1" s="1"/>
  <c r="JK21" i="4"/>
  <c r="CE83" i="1" s="1"/>
  <c r="JK15" i="4"/>
  <c r="CD258" i="1"/>
  <c r="JL14" i="4"/>
  <c r="CC32" i="1"/>
  <c r="BY32" i="1"/>
  <c r="CI104" i="1"/>
  <c r="CI105" i="1" s="1"/>
  <c r="CI108" i="1" s="1"/>
  <c r="CF237" i="1"/>
  <c r="BY259" i="1"/>
  <c r="JL8" i="4"/>
  <c r="CE32" i="1"/>
  <c r="BL258" i="1"/>
  <c r="CE104" i="1"/>
  <c r="CE105" i="1" s="1"/>
  <c r="CD16" i="1"/>
  <c r="CD22" i="1" s="1"/>
  <c r="CH24" i="1" s="1"/>
  <c r="CC16" i="1"/>
  <c r="CD200" i="1"/>
  <c r="CE16" i="1"/>
  <c r="CG104" i="1"/>
  <c r="CG105" i="1" s="1"/>
  <c r="CD104" i="1"/>
  <c r="CD105" i="1" s="1"/>
  <c r="CB16" i="1"/>
  <c r="CB22" i="1" s="1"/>
  <c r="CB258" i="1"/>
  <c r="CC104" i="1"/>
  <c r="CC105" i="1" s="1"/>
  <c r="JJ15" i="4"/>
  <c r="CB259" i="1"/>
  <c r="BY258" i="1"/>
  <c r="CD32" i="1"/>
  <c r="JM8" i="4"/>
  <c r="JL7" i="4"/>
  <c r="CF259" i="1"/>
  <c r="JJ7" i="4"/>
  <c r="JK8" i="4"/>
  <c r="JM21" i="4"/>
  <c r="CG83" i="1" s="1"/>
  <c r="BZ259" i="1"/>
  <c r="CE259" i="1"/>
  <c r="JK7" i="4"/>
  <c r="BL32" i="1"/>
  <c r="JL15" i="4"/>
  <c r="BZ32" i="1"/>
  <c r="JM14" i="4"/>
  <c r="JM15" i="4"/>
  <c r="JJ14" i="4"/>
  <c r="CQ46" i="1"/>
  <c r="CR46" i="1" s="1"/>
  <c r="CR23" i="1"/>
  <c r="CS23" i="1" s="1"/>
  <c r="CS186" i="1"/>
  <c r="CS189" i="1"/>
  <c r="CS185" i="1"/>
  <c r="CT130" i="1"/>
  <c r="AD52" i="1"/>
  <c r="CZ52" i="1"/>
  <c r="DA52" i="1" s="1"/>
  <c r="DB52" i="1" s="1"/>
  <c r="AE41" i="1"/>
  <c r="U14" i="1"/>
  <c r="V14" i="1"/>
  <c r="W14" i="1"/>
  <c r="CJ75" i="1" l="1"/>
  <c r="CL75" i="1"/>
  <c r="CI213" i="1"/>
  <c r="CI211" i="1" s="1"/>
  <c r="CJ213" i="1"/>
  <c r="CJ211" i="1" s="1"/>
  <c r="CI98" i="1"/>
  <c r="CI135" i="1"/>
  <c r="CR208" i="1"/>
  <c r="CS146" i="1"/>
  <c r="CS208" i="1" s="1"/>
  <c r="AD137" i="1"/>
  <c r="CY137" i="1"/>
  <c r="CZ137" i="1" s="1"/>
  <c r="DA137" i="1" s="1"/>
  <c r="DB137" i="1" s="1"/>
  <c r="AE137" i="1" s="1"/>
  <c r="CT33" i="1"/>
  <c r="CU33" i="1"/>
  <c r="CV33" i="1" s="1"/>
  <c r="CQ191" i="1"/>
  <c r="CR190" i="1"/>
  <c r="CP188" i="1"/>
  <c r="CP192" i="1" s="1"/>
  <c r="CQ187" i="1"/>
  <c r="CS131" i="1"/>
  <c r="CR134" i="1"/>
  <c r="CR255" i="1" s="1"/>
  <c r="CQ212" i="1"/>
  <c r="BZ167" i="1"/>
  <c r="BL167" i="1"/>
  <c r="CB208" i="1"/>
  <c r="CA123" i="1"/>
  <c r="BZ126" i="1"/>
  <c r="BZ98" i="1" s="1"/>
  <c r="BL126" i="1"/>
  <c r="BL98" i="1" s="1"/>
  <c r="CB167" i="1"/>
  <c r="CC215" i="1" s="1"/>
  <c r="CG130" i="1"/>
  <c r="CG134" i="1" s="1"/>
  <c r="CF134" i="1"/>
  <c r="CD140" i="1"/>
  <c r="CE39" i="1" s="1"/>
  <c r="CC146" i="1"/>
  <c r="CE123" i="1"/>
  <c r="CD126" i="1"/>
  <c r="CD98" i="1" s="1"/>
  <c r="CD100" i="1" s="1"/>
  <c r="BM146" i="1"/>
  <c r="BM208" i="1" s="1"/>
  <c r="CD167" i="1"/>
  <c r="CF208" i="1"/>
  <c r="CE134" i="1"/>
  <c r="BM131" i="1"/>
  <c r="BM134" i="1" s="1"/>
  <c r="BL134" i="1"/>
  <c r="CG146" i="1"/>
  <c r="CG155" i="1"/>
  <c r="CG162" i="1" s="1"/>
  <c r="CF162" i="1"/>
  <c r="CF191" i="1" s="1"/>
  <c r="CF190" i="1" s="1"/>
  <c r="CG123" i="1"/>
  <c r="CG126" i="1" s="1"/>
  <c r="CF126" i="1"/>
  <c r="CF98" i="1" s="1"/>
  <c r="CF100" i="1" s="1"/>
  <c r="CA155" i="1"/>
  <c r="BZ162" i="1"/>
  <c r="BZ191" i="1" s="1"/>
  <c r="BZ190" i="1" s="1"/>
  <c r="BZ140" i="1"/>
  <c r="BZ144" i="1" s="1"/>
  <c r="CA134" i="1"/>
  <c r="CB140" i="1"/>
  <c r="CF167" i="1"/>
  <c r="BL140" i="1"/>
  <c r="CF140" i="1"/>
  <c r="CF144" i="1" s="1"/>
  <c r="CC134" i="1"/>
  <c r="CB134" i="1"/>
  <c r="CE208" i="1"/>
  <c r="BZ134" i="1"/>
  <c r="CB162" i="1"/>
  <c r="CB191" i="1" s="1"/>
  <c r="CB190" i="1" s="1"/>
  <c r="BL162" i="1"/>
  <c r="BL191" i="1" s="1"/>
  <c r="BL190" i="1" s="1"/>
  <c r="CD162" i="1"/>
  <c r="CD191" i="1" s="1"/>
  <c r="CD190" i="1" s="1"/>
  <c r="CB126" i="1"/>
  <c r="CD134" i="1"/>
  <c r="CH108" i="1"/>
  <c r="CH109" i="1"/>
  <c r="CH110" i="1"/>
  <c r="BM149" i="1"/>
  <c r="BL154" i="1"/>
  <c r="CE149" i="1"/>
  <c r="CD154" i="1"/>
  <c r="CC149" i="1"/>
  <c r="CB154" i="1"/>
  <c r="CG149" i="1"/>
  <c r="CG154" i="1" s="1"/>
  <c r="CG188" i="1" s="1"/>
  <c r="CG187" i="1" s="1"/>
  <c r="CF154" i="1"/>
  <c r="CA149" i="1"/>
  <c r="BZ154" i="1"/>
  <c r="CD108" i="1"/>
  <c r="CA33" i="1"/>
  <c r="CA18" i="1"/>
  <c r="JK19" i="4"/>
  <c r="CE84" i="1" s="1"/>
  <c r="BL33" i="1"/>
  <c r="CC17" i="1"/>
  <c r="CC33" i="1"/>
  <c r="CI231" i="1"/>
  <c r="CF22" i="1"/>
  <c r="CG18" i="1"/>
  <c r="CJ17" i="1"/>
  <c r="BY33" i="1"/>
  <c r="JL20" i="4"/>
  <c r="CF85" i="1" s="1"/>
  <c r="CF110" i="1" s="1"/>
  <c r="BZ22" i="1"/>
  <c r="CD24" i="1" s="1"/>
  <c r="CF33" i="1"/>
  <c r="Y64" i="1"/>
  <c r="JJ19" i="4"/>
  <c r="CD84" i="1" s="1"/>
  <c r="CD113" i="1" s="1"/>
  <c r="JM20" i="4"/>
  <c r="CG85" i="1" s="1"/>
  <c r="CD33" i="1"/>
  <c r="JM19" i="4"/>
  <c r="CG84" i="1" s="1"/>
  <c r="CE159" i="1"/>
  <c r="CE162" i="1" s="1"/>
  <c r="CE191" i="1" s="1"/>
  <c r="CE190" i="1" s="1"/>
  <c r="CF108" i="1"/>
  <c r="JJ20" i="4"/>
  <c r="CD85" i="1" s="1"/>
  <c r="CD114" i="1" s="1"/>
  <c r="JL19" i="4"/>
  <c r="CF84" i="1" s="1"/>
  <c r="JK20" i="4"/>
  <c r="CE85" i="1" s="1"/>
  <c r="CE114" i="1" s="1"/>
  <c r="CA34" i="1"/>
  <c r="CA238" i="1" s="1"/>
  <c r="CA239" i="1" s="1"/>
  <c r="CD194" i="1"/>
  <c r="CD17" i="1"/>
  <c r="BZ18" i="1"/>
  <c r="CD231" i="1"/>
  <c r="BZ33" i="1"/>
  <c r="CE150" i="1"/>
  <c r="CE194" i="1"/>
  <c r="CG194" i="1"/>
  <c r="CF17" i="1"/>
  <c r="CH231" i="1"/>
  <c r="CJ194" i="1"/>
  <c r="CE33" i="1"/>
  <c r="CC22" i="1"/>
  <c r="CC25" i="1" s="1"/>
  <c r="CF231" i="1"/>
  <c r="CB18" i="1"/>
  <c r="CH250" i="1"/>
  <c r="Z64" i="1"/>
  <c r="CE17" i="1"/>
  <c r="CG108" i="1"/>
  <c r="CE108" i="1"/>
  <c r="CG231" i="1"/>
  <c r="CF18" i="1"/>
  <c r="CF194" i="1"/>
  <c r="CE231" i="1"/>
  <c r="CC18" i="1"/>
  <c r="CC231" i="1"/>
  <c r="CE151" i="1"/>
  <c r="CB33" i="1"/>
  <c r="CB23" i="1"/>
  <c r="CB34" i="1"/>
  <c r="CB25" i="1"/>
  <c r="CD34" i="1"/>
  <c r="CH36" i="1" s="1"/>
  <c r="CD18" i="1"/>
  <c r="CH17" i="1"/>
  <c r="CI194" i="1"/>
  <c r="CI109" i="1"/>
  <c r="CE22" i="1"/>
  <c r="CE25" i="1" s="1"/>
  <c r="CI17" i="1"/>
  <c r="CD23" i="1"/>
  <c r="CI110" i="1"/>
  <c r="CG17" i="1"/>
  <c r="CE18" i="1"/>
  <c r="CH194" i="1"/>
  <c r="CA208" i="1"/>
  <c r="BL23" i="1"/>
  <c r="BL34" i="1"/>
  <c r="BY23" i="1"/>
  <c r="BY34" i="1"/>
  <c r="CS46" i="1"/>
  <c r="CT23" i="1"/>
  <c r="CU23" i="1" s="1"/>
  <c r="CT146" i="1"/>
  <c r="CT208" i="1" s="1"/>
  <c r="CT185" i="1"/>
  <c r="CT189" i="1"/>
  <c r="CU130" i="1"/>
  <c r="CT186" i="1"/>
  <c r="AE52" i="1"/>
  <c r="V237" i="1"/>
  <c r="W237" i="1"/>
  <c r="U237" i="1"/>
  <c r="CJ93" i="1" l="1"/>
  <c r="CJ92" i="1"/>
  <c r="CJ91" i="1"/>
  <c r="CL93" i="1"/>
  <c r="CL92" i="1"/>
  <c r="CL91" i="1"/>
  <c r="CI101" i="1"/>
  <c r="CI102" i="1"/>
  <c r="CI100" i="1"/>
  <c r="CW33" i="1"/>
  <c r="CX33" i="1" s="1"/>
  <c r="CF34" i="1"/>
  <c r="AA66" i="1" s="1"/>
  <c r="AA65" i="1"/>
  <c r="CD208" i="1"/>
  <c r="CC208" i="1"/>
  <c r="CS190" i="1"/>
  <c r="CR191" i="1"/>
  <c r="CG255" i="1"/>
  <c r="CQ188" i="1"/>
  <c r="CQ192" i="1" s="1"/>
  <c r="CR187" i="1"/>
  <c r="CH208" i="1"/>
  <c r="CG208" i="1"/>
  <c r="CA215" i="1"/>
  <c r="BZ254" i="1"/>
  <c r="CT131" i="1"/>
  <c r="CS134" i="1"/>
  <c r="CS255" i="1" s="1"/>
  <c r="CD212" i="1"/>
  <c r="CF255" i="1"/>
  <c r="BM215" i="1"/>
  <c r="BL254" i="1"/>
  <c r="CF212" i="1"/>
  <c r="CF135" i="1"/>
  <c r="CR212" i="1"/>
  <c r="BL135" i="1"/>
  <c r="BL174" i="1"/>
  <c r="BL115" i="1" s="1"/>
  <c r="CA39" i="1"/>
  <c r="CA140" i="1"/>
  <c r="CB144" i="1"/>
  <c r="CC39" i="1"/>
  <c r="CC140" i="1"/>
  <c r="BZ174" i="1"/>
  <c r="BZ135" i="1"/>
  <c r="CF101" i="1"/>
  <c r="CD144" i="1"/>
  <c r="CE140" i="1"/>
  <c r="CE215" i="1"/>
  <c r="CD254" i="1"/>
  <c r="CA255" i="1"/>
  <c r="CA212" i="1"/>
  <c r="BM212" i="1"/>
  <c r="BM255" i="1"/>
  <c r="CH213" i="1"/>
  <c r="CG98" i="1"/>
  <c r="CG101" i="1" s="1"/>
  <c r="CG213" i="1"/>
  <c r="CG215" i="1"/>
  <c r="CF174" i="1"/>
  <c r="CF254" i="1"/>
  <c r="BM140" i="1"/>
  <c r="BM144" i="1" s="1"/>
  <c r="BL144" i="1"/>
  <c r="BL252" i="1" s="1"/>
  <c r="CG39" i="1"/>
  <c r="CG140" i="1"/>
  <c r="CH255" i="1"/>
  <c r="CH257" i="1" s="1"/>
  <c r="CH212" i="1"/>
  <c r="CG135" i="1"/>
  <c r="CG212" i="1"/>
  <c r="CB255" i="1"/>
  <c r="CB135" i="1"/>
  <c r="CB174" i="1"/>
  <c r="CB212" i="1"/>
  <c r="CB98" i="1"/>
  <c r="CB254" i="1"/>
  <c r="CC255" i="1"/>
  <c r="CC212" i="1"/>
  <c r="CE212" i="1"/>
  <c r="CD255" i="1"/>
  <c r="CD135" i="1"/>
  <c r="CD174" i="1"/>
  <c r="CE255" i="1"/>
  <c r="BL188" i="1"/>
  <c r="BL163" i="1"/>
  <c r="CD188" i="1"/>
  <c r="CD163" i="1"/>
  <c r="CB188" i="1"/>
  <c r="CB163" i="1"/>
  <c r="CF188" i="1"/>
  <c r="CF163" i="1"/>
  <c r="CF171" i="1" s="1"/>
  <c r="BZ188" i="1"/>
  <c r="BZ163" i="1"/>
  <c r="BZ171" i="1" s="1"/>
  <c r="CE109" i="1"/>
  <c r="CE113" i="1"/>
  <c r="BZ25" i="1"/>
  <c r="BZ34" i="1"/>
  <c r="BZ23" i="1"/>
  <c r="CA25" i="1"/>
  <c r="CG191" i="1"/>
  <c r="CH203" i="1"/>
  <c r="CG203" i="1"/>
  <c r="CJ24" i="1"/>
  <c r="CF23" i="1"/>
  <c r="CG25" i="1"/>
  <c r="CF24" i="1"/>
  <c r="BZ252" i="1"/>
  <c r="CF252" i="1"/>
  <c r="CF250" i="1"/>
  <c r="CF114" i="1"/>
  <c r="CF102" i="1"/>
  <c r="CG114" i="1"/>
  <c r="CG110" i="1"/>
  <c r="CG113" i="1"/>
  <c r="CG109" i="1"/>
  <c r="CF113" i="1"/>
  <c r="CF109" i="1"/>
  <c r="CG24" i="1"/>
  <c r="CC23" i="1"/>
  <c r="Y65" i="1"/>
  <c r="CC34" i="1"/>
  <c r="CC40" i="1" s="1"/>
  <c r="CC44" i="1" s="1"/>
  <c r="CD25" i="1"/>
  <c r="CC24" i="1"/>
  <c r="CD102" i="1"/>
  <c r="CD109" i="1"/>
  <c r="CE154" i="1"/>
  <c r="CD101" i="1"/>
  <c r="CE203" i="1"/>
  <c r="CG202" i="1"/>
  <c r="CD110" i="1"/>
  <c r="CF203" i="1"/>
  <c r="CA40" i="1"/>
  <c r="CA44" i="1" s="1"/>
  <c r="CA47" i="1" s="1"/>
  <c r="CA54" i="1" s="1"/>
  <c r="CA199" i="1" s="1"/>
  <c r="CA201" i="1" s="1"/>
  <c r="CA35" i="1"/>
  <c r="CE110" i="1"/>
  <c r="CG163" i="1"/>
  <c r="CH202" i="1"/>
  <c r="CD35" i="1"/>
  <c r="CB35" i="1"/>
  <c r="CB238" i="1"/>
  <c r="CB239" i="1" s="1"/>
  <c r="CB40" i="1"/>
  <c r="CB44" i="1" s="1"/>
  <c r="CB37" i="1"/>
  <c r="CB256" i="1"/>
  <c r="CD238" i="1"/>
  <c r="CD239" i="1" s="1"/>
  <c r="CD40" i="1"/>
  <c r="CD44" i="1" s="1"/>
  <c r="CD47" i="1" s="1"/>
  <c r="CD240" i="1" s="1"/>
  <c r="CF25" i="1"/>
  <c r="CE24" i="1"/>
  <c r="CI24" i="1"/>
  <c r="Z65" i="1"/>
  <c r="CE34" i="1"/>
  <c r="CE23" i="1"/>
  <c r="BY40" i="1"/>
  <c r="BY44" i="1" s="1"/>
  <c r="BY35" i="1"/>
  <c r="BL40" i="1"/>
  <c r="BL44" i="1" s="1"/>
  <c r="BL35" i="1"/>
  <c r="CT46" i="1"/>
  <c r="CV23" i="1"/>
  <c r="CU185" i="1"/>
  <c r="CV130" i="1"/>
  <c r="CU186" i="1"/>
  <c r="CU189" i="1"/>
  <c r="CU146" i="1"/>
  <c r="AB156" i="1"/>
  <c r="A1" i="1"/>
  <c r="CG256" i="1" l="1"/>
  <c r="CY33" i="1"/>
  <c r="CZ33" i="1" s="1"/>
  <c r="CG37" i="1"/>
  <c r="CI118" i="1"/>
  <c r="CF35" i="1"/>
  <c r="CJ36" i="1"/>
  <c r="CF40" i="1"/>
  <c r="CI232" i="1"/>
  <c r="CF238" i="1"/>
  <c r="CF239" i="1" s="1"/>
  <c r="CF36" i="1"/>
  <c r="CG232" i="1"/>
  <c r="CG257" i="1"/>
  <c r="CM17" i="1"/>
  <c r="CN17" i="1" s="1"/>
  <c r="CS191" i="1"/>
  <c r="CT190" i="1"/>
  <c r="CF172" i="1"/>
  <c r="CR188" i="1"/>
  <c r="CR192" i="1" s="1"/>
  <c r="CS187" i="1"/>
  <c r="CA144" i="1"/>
  <c r="CB39" i="1"/>
  <c r="CB171" i="1"/>
  <c r="CB172" i="1" s="1"/>
  <c r="CD171" i="1"/>
  <c r="CD172" i="1" s="1"/>
  <c r="CU131" i="1"/>
  <c r="CT134" i="1"/>
  <c r="CT255" i="1" s="1"/>
  <c r="CB252" i="1"/>
  <c r="CB250" i="1"/>
  <c r="CE144" i="1"/>
  <c r="CF39" i="1"/>
  <c r="CS212" i="1"/>
  <c r="CB257" i="1"/>
  <c r="CG211" i="1"/>
  <c r="BZ172" i="1"/>
  <c r="CD39" i="1"/>
  <c r="CC144" i="1"/>
  <c r="BZ115" i="1"/>
  <c r="CA43" i="1"/>
  <c r="CD250" i="1"/>
  <c r="CD252" i="1"/>
  <c r="CH211" i="1"/>
  <c r="CG100" i="1"/>
  <c r="CG102" i="1"/>
  <c r="CF115" i="1"/>
  <c r="CG43" i="1"/>
  <c r="CH39" i="1"/>
  <c r="CG144" i="1"/>
  <c r="CB115" i="1"/>
  <c r="CC43" i="1"/>
  <c r="CD115" i="1"/>
  <c r="CE43" i="1"/>
  <c r="CF187" i="1"/>
  <c r="CF192" i="1"/>
  <c r="CJ195" i="1" s="1"/>
  <c r="BL192" i="1"/>
  <c r="BL187" i="1"/>
  <c r="CD192" i="1"/>
  <c r="CD187" i="1"/>
  <c r="CB192" i="1"/>
  <c r="CB187" i="1"/>
  <c r="BZ187" i="1"/>
  <c r="BZ192" i="1"/>
  <c r="CG204" i="1"/>
  <c r="CG205" i="1" s="1"/>
  <c r="BZ35" i="1"/>
  <c r="BZ40" i="1"/>
  <c r="CA256" i="1"/>
  <c r="CA257" i="1" s="1"/>
  <c r="CA37" i="1"/>
  <c r="BZ238" i="1"/>
  <c r="BZ239" i="1" s="1"/>
  <c r="CD36" i="1"/>
  <c r="BZ37" i="1"/>
  <c r="BZ256" i="1"/>
  <c r="CB118" i="1"/>
  <c r="CH204" i="1"/>
  <c r="CH205" i="1" s="1"/>
  <c r="CD118" i="1"/>
  <c r="CC256" i="1"/>
  <c r="CC257" i="1" s="1"/>
  <c r="CE202" i="1"/>
  <c r="CE204" i="1" s="1"/>
  <c r="CE163" i="1"/>
  <c r="CG190" i="1"/>
  <c r="CG192" i="1"/>
  <c r="CC238" i="1"/>
  <c r="CC239" i="1" s="1"/>
  <c r="CG36" i="1"/>
  <c r="Y66" i="1"/>
  <c r="CC35" i="1"/>
  <c r="CC232" i="1"/>
  <c r="CD256" i="1"/>
  <c r="CD257" i="1" s="1"/>
  <c r="CC118" i="1"/>
  <c r="CD232" i="1"/>
  <c r="CC37" i="1"/>
  <c r="CD37" i="1"/>
  <c r="CC36" i="1"/>
  <c r="CC47" i="1"/>
  <c r="CC46" i="1"/>
  <c r="CF44" i="1"/>
  <c r="CI61" i="1"/>
  <c r="CE188" i="1"/>
  <c r="CF202" i="1"/>
  <c r="CF204" i="1" s="1"/>
  <c r="CA46" i="1"/>
  <c r="CA72" i="1"/>
  <c r="CA125" i="1"/>
  <c r="CA126" i="1" s="1"/>
  <c r="CA98" i="1" s="1"/>
  <c r="CH49" i="1"/>
  <c r="CD46" i="1"/>
  <c r="CA58" i="1"/>
  <c r="CA240" i="1"/>
  <c r="CA48" i="1"/>
  <c r="CA251" i="1" s="1"/>
  <c r="CD48" i="1"/>
  <c r="CD251" i="1" s="1"/>
  <c r="CF118" i="1"/>
  <c r="CD61" i="1"/>
  <c r="CD54" i="1"/>
  <c r="CD58" i="1" s="1"/>
  <c r="CE37" i="1"/>
  <c r="CE118" i="1"/>
  <c r="CE232" i="1"/>
  <c r="CB46" i="1"/>
  <c r="CB47" i="1"/>
  <c r="CE256" i="1"/>
  <c r="CE257" i="1" s="1"/>
  <c r="CF256" i="1"/>
  <c r="CF257" i="1" s="1"/>
  <c r="CE238" i="1"/>
  <c r="CE239" i="1" s="1"/>
  <c r="Z66" i="1"/>
  <c r="CE36" i="1"/>
  <c r="CH118" i="1"/>
  <c r="CE35" i="1"/>
  <c r="CG118" i="1"/>
  <c r="CE40" i="1"/>
  <c r="CH232" i="1"/>
  <c r="CF37" i="1"/>
  <c r="CI36" i="1"/>
  <c r="CF232" i="1"/>
  <c r="BL47" i="1"/>
  <c r="BL46" i="1"/>
  <c r="BY46" i="1"/>
  <c r="BY47" i="1"/>
  <c r="CU46" i="1"/>
  <c r="CV46" i="1" s="1"/>
  <c r="CW23" i="1"/>
  <c r="CX23" i="1" s="1"/>
  <c r="CV146" i="1"/>
  <c r="CW130" i="1"/>
  <c r="CV185" i="1"/>
  <c r="CV189" i="1"/>
  <c r="CU208" i="1"/>
  <c r="CV186" i="1"/>
  <c r="AC156" i="1"/>
  <c r="DA33" i="1" l="1"/>
  <c r="DB33" i="1" s="1"/>
  <c r="CD117" i="1"/>
  <c r="CD116" i="1"/>
  <c r="CD119" i="1" s="1"/>
  <c r="CO17" i="1"/>
  <c r="CP17" i="1" s="1"/>
  <c r="CQ17" i="1" s="1"/>
  <c r="CU190" i="1"/>
  <c r="CT191" i="1"/>
  <c r="CS188" i="1"/>
  <c r="CS192" i="1" s="1"/>
  <c r="CT187" i="1"/>
  <c r="CA209" i="1"/>
  <c r="CA207" i="1" s="1"/>
  <c r="CB209" i="1"/>
  <c r="CB207" i="1" s="1"/>
  <c r="CE209" i="1"/>
  <c r="CE207" i="1" s="1"/>
  <c r="CF209" i="1"/>
  <c r="CF207" i="1" s="1"/>
  <c r="CH209" i="1"/>
  <c r="CH207" i="1" s="1"/>
  <c r="CH219" i="1" s="1"/>
  <c r="CG209" i="1"/>
  <c r="CG207" i="1" s="1"/>
  <c r="CV131" i="1"/>
  <c r="CU134" i="1"/>
  <c r="CU255" i="1" s="1"/>
  <c r="CT212" i="1"/>
  <c r="CD209" i="1"/>
  <c r="CD207" i="1" s="1"/>
  <c r="CC209" i="1"/>
  <c r="CC207" i="1" s="1"/>
  <c r="CF195" i="1"/>
  <c r="CF116" i="1"/>
  <c r="CF119" i="1" s="1"/>
  <c r="CF117" i="1"/>
  <c r="CF120" i="1" s="1"/>
  <c r="CD195" i="1"/>
  <c r="CH195" i="1"/>
  <c r="BZ44" i="1"/>
  <c r="CB61" i="1"/>
  <c r="CD233" i="1"/>
  <c r="CF47" i="1"/>
  <c r="CF46" i="1"/>
  <c r="CC49" i="1"/>
  <c r="CG49" i="1"/>
  <c r="CC240" i="1"/>
  <c r="CC54" i="1"/>
  <c r="CC48" i="1"/>
  <c r="CC251" i="1" s="1"/>
  <c r="CD50" i="1"/>
  <c r="CE187" i="1"/>
  <c r="CE192" i="1"/>
  <c r="CA213" i="1"/>
  <c r="CA211" i="1" s="1"/>
  <c r="CA135" i="1"/>
  <c r="CC50" i="1"/>
  <c r="CD199" i="1"/>
  <c r="CD201" i="1" s="1"/>
  <c r="Y67" i="1"/>
  <c r="CD72" i="1"/>
  <c r="CH119" i="1"/>
  <c r="CH120" i="1"/>
  <c r="CF61" i="1"/>
  <c r="CH61" i="1"/>
  <c r="CG61" i="1"/>
  <c r="CE44" i="1"/>
  <c r="CB54" i="1"/>
  <c r="CB50" i="1"/>
  <c r="CB240" i="1"/>
  <c r="CB48" i="1"/>
  <c r="CB251" i="1" s="1"/>
  <c r="BL54" i="1"/>
  <c r="BL48" i="1"/>
  <c r="BL251" i="1" s="1"/>
  <c r="CM70" i="1"/>
  <c r="CN70" i="1" s="1"/>
  <c r="CO70" i="1" s="1"/>
  <c r="CP70" i="1" s="1"/>
  <c r="CQ70" i="1" s="1"/>
  <c r="CR70" i="1" s="1"/>
  <c r="CS70" i="1" s="1"/>
  <c r="CT70" i="1" s="1"/>
  <c r="CU70" i="1" s="1"/>
  <c r="CV70" i="1" s="1"/>
  <c r="CW70" i="1" s="1"/>
  <c r="CX70" i="1" s="1"/>
  <c r="CY70" i="1" s="1"/>
  <c r="CZ70" i="1" s="1"/>
  <c r="DA70" i="1" s="1"/>
  <c r="DB70" i="1" s="1"/>
  <c r="BY48" i="1"/>
  <c r="BY251" i="1" s="1"/>
  <c r="BY54" i="1"/>
  <c r="CW46" i="1"/>
  <c r="CX46" i="1" s="1"/>
  <c r="CY23" i="1"/>
  <c r="CZ23" i="1" s="1"/>
  <c r="CX130" i="1"/>
  <c r="CW186" i="1"/>
  <c r="CW185" i="1"/>
  <c r="CW146" i="1"/>
  <c r="CW189" i="1"/>
  <c r="CV208" i="1"/>
  <c r="AE156" i="1"/>
  <c r="AD156" i="1"/>
  <c r="CD120" i="1" l="1"/>
  <c r="CF240" i="1"/>
  <c r="AA67" i="1"/>
  <c r="CV190" i="1"/>
  <c r="CU191" i="1"/>
  <c r="CR17" i="1"/>
  <c r="CG219" i="1"/>
  <c r="CG216" i="1"/>
  <c r="CG166" i="1" s="1"/>
  <c r="CG167" i="1" s="1"/>
  <c r="CG217" i="1" s="1"/>
  <c r="CT188" i="1"/>
  <c r="CT192" i="1" s="1"/>
  <c r="CU187" i="1"/>
  <c r="CW131" i="1"/>
  <c r="CV134" i="1"/>
  <c r="CV255" i="1" s="1"/>
  <c r="CU212" i="1"/>
  <c r="CM14" i="1"/>
  <c r="CF49" i="1"/>
  <c r="CF48" i="1"/>
  <c r="CF251" i="1" s="1"/>
  <c r="BZ47" i="1"/>
  <c r="BZ46" i="1"/>
  <c r="CJ49" i="1"/>
  <c r="CG50" i="1"/>
  <c r="CI233" i="1"/>
  <c r="CF54" i="1"/>
  <c r="CD60" i="1"/>
  <c r="CC58" i="1"/>
  <c r="CC125" i="1"/>
  <c r="CC126" i="1" s="1"/>
  <c r="CC72" i="1"/>
  <c r="CC199" i="1"/>
  <c r="CC201" i="1" s="1"/>
  <c r="CB72" i="1"/>
  <c r="CB58" i="1"/>
  <c r="CB199" i="1"/>
  <c r="CB201" i="1" s="1"/>
  <c r="CB213" i="1"/>
  <c r="CB211" i="1" s="1"/>
  <c r="CE47" i="1"/>
  <c r="CE46" i="1"/>
  <c r="BY199" i="1"/>
  <c r="BY201" i="1" s="1"/>
  <c r="BY58" i="1"/>
  <c r="BY72" i="1"/>
  <c r="BL199" i="1"/>
  <c r="BL201" i="1" s="1"/>
  <c r="BL72" i="1"/>
  <c r="BL58" i="1"/>
  <c r="CY46" i="1"/>
  <c r="CZ46" i="1" s="1"/>
  <c r="DA23" i="1"/>
  <c r="DB23" i="1" s="1"/>
  <c r="CX189" i="1"/>
  <c r="CX186" i="1"/>
  <c r="CX185" i="1"/>
  <c r="CX146" i="1"/>
  <c r="CY130" i="1"/>
  <c r="CW208" i="1"/>
  <c r="AB132" i="1"/>
  <c r="AB142" i="1"/>
  <c r="AB141" i="1"/>
  <c r="AB133" i="1"/>
  <c r="AB128" i="1"/>
  <c r="AB157" i="1"/>
  <c r="AB149" i="1"/>
  <c r="AB124" i="1"/>
  <c r="CW190" i="1" l="1"/>
  <c r="CV191" i="1"/>
  <c r="CS17" i="1"/>
  <c r="CT17" i="1" s="1"/>
  <c r="CU188" i="1"/>
  <c r="CU192" i="1" s="1"/>
  <c r="CV187" i="1"/>
  <c r="CX131" i="1"/>
  <c r="CW134" i="1"/>
  <c r="CW255" i="1" s="1"/>
  <c r="CV212" i="1"/>
  <c r="CN14" i="1"/>
  <c r="CD75" i="1"/>
  <c r="CD92" i="1" s="1"/>
  <c r="BZ48" i="1"/>
  <c r="BZ251" i="1" s="1"/>
  <c r="BZ50" i="1"/>
  <c r="CC233" i="1"/>
  <c r="BZ54" i="1"/>
  <c r="CC60" i="1" s="1"/>
  <c r="BZ240" i="1"/>
  <c r="CD49" i="1"/>
  <c r="CA50" i="1"/>
  <c r="CG254" i="1"/>
  <c r="CH215" i="1"/>
  <c r="CH216" i="1" s="1"/>
  <c r="CH217" i="1" s="1"/>
  <c r="CG250" i="1"/>
  <c r="CG252" i="1"/>
  <c r="CG171" i="1"/>
  <c r="CG172" i="1" s="1"/>
  <c r="CG174" i="1"/>
  <c r="CF199" i="1"/>
  <c r="CF201" i="1" s="1"/>
  <c r="CF205" i="1" s="1"/>
  <c r="CF219" i="1" s="1"/>
  <c r="CF58" i="1"/>
  <c r="CF72" i="1"/>
  <c r="CI75" i="1" s="1"/>
  <c r="CI60" i="1"/>
  <c r="CC98" i="1"/>
  <c r="CC135" i="1"/>
  <c r="CC61" i="1" s="1"/>
  <c r="CC213" i="1"/>
  <c r="CC211" i="1" s="1"/>
  <c r="CD213" i="1"/>
  <c r="CD211" i="1" s="1"/>
  <c r="CG233" i="1"/>
  <c r="CI49" i="1"/>
  <c r="CH233" i="1"/>
  <c r="CE50" i="1"/>
  <c r="CE48" i="1"/>
  <c r="CE251" i="1" s="1"/>
  <c r="CE49" i="1"/>
  <c r="CF50" i="1"/>
  <c r="CE54" i="1"/>
  <c r="CF233" i="1"/>
  <c r="CE233" i="1"/>
  <c r="Z67" i="1"/>
  <c r="CE240" i="1"/>
  <c r="DA46" i="1"/>
  <c r="DB46" i="1" s="1"/>
  <c r="CY186" i="1"/>
  <c r="CZ130" i="1"/>
  <c r="CY185" i="1"/>
  <c r="CY146" i="1"/>
  <c r="CY208" i="1" s="1"/>
  <c r="CX208" i="1"/>
  <c r="CY189" i="1"/>
  <c r="AC142" i="1"/>
  <c r="AC132" i="1"/>
  <c r="AB170" i="1"/>
  <c r="AC128" i="1"/>
  <c r="AC157" i="1"/>
  <c r="AB153" i="1"/>
  <c r="AB160" i="1"/>
  <c r="AC149" i="1"/>
  <c r="AC133" i="1"/>
  <c r="AB161" i="1"/>
  <c r="AC124" i="1"/>
  <c r="AC141" i="1"/>
  <c r="CX190" i="1" l="1"/>
  <c r="CW191" i="1"/>
  <c r="CV188" i="1"/>
  <c r="CV192" i="1" s="1"/>
  <c r="CW187" i="1"/>
  <c r="CY131" i="1"/>
  <c r="CX134" i="1"/>
  <c r="CX255" i="1" s="1"/>
  <c r="CW212" i="1"/>
  <c r="CD91" i="1"/>
  <c r="CD93" i="1"/>
  <c r="CB60" i="1"/>
  <c r="BZ72" i="1"/>
  <c r="BZ58" i="1"/>
  <c r="BZ199" i="1"/>
  <c r="BZ201" i="1" s="1"/>
  <c r="CH43" i="1"/>
  <c r="CG115" i="1"/>
  <c r="CI93" i="1"/>
  <c r="CI91" i="1"/>
  <c r="CI92" i="1"/>
  <c r="CL96" i="1" s="1"/>
  <c r="CE58" i="1"/>
  <c r="CE125" i="1"/>
  <c r="CE126" i="1" s="1"/>
  <c r="CE60" i="1" s="1"/>
  <c r="CE199" i="1"/>
  <c r="CE201" i="1" s="1"/>
  <c r="CE205" i="1" s="1"/>
  <c r="CE219" i="1" s="1"/>
  <c r="CE72" i="1"/>
  <c r="CF60" i="1"/>
  <c r="CG60" i="1"/>
  <c r="CH60" i="1"/>
  <c r="DA130" i="1"/>
  <c r="CZ146" i="1"/>
  <c r="CZ208" i="1" s="1"/>
  <c r="CZ189" i="1"/>
  <c r="CZ186" i="1"/>
  <c r="CZ185" i="1"/>
  <c r="AE142" i="1"/>
  <c r="AD142" i="1"/>
  <c r="AE132" i="1"/>
  <c r="AD132" i="1"/>
  <c r="AC170" i="1"/>
  <c r="AE157" i="1"/>
  <c r="AD157" i="1"/>
  <c r="AE149" i="1"/>
  <c r="AD149" i="1"/>
  <c r="AD124" i="1"/>
  <c r="AE124" i="1"/>
  <c r="AC160" i="1"/>
  <c r="AE133" i="1"/>
  <c r="AD133" i="1"/>
  <c r="AE141" i="1"/>
  <c r="AD141" i="1"/>
  <c r="AC161" i="1"/>
  <c r="AC153" i="1"/>
  <c r="AE128" i="1"/>
  <c r="AD128" i="1"/>
  <c r="CX191" i="1" l="1"/>
  <c r="CY190" i="1"/>
  <c r="CW188" i="1"/>
  <c r="CW192" i="1" s="1"/>
  <c r="CX187" i="1"/>
  <c r="CZ131" i="1"/>
  <c r="CY134" i="1"/>
  <c r="CY255" i="1" s="1"/>
  <c r="CX212" i="1"/>
  <c r="CC75" i="1"/>
  <c r="CB75" i="1"/>
  <c r="CG117" i="1"/>
  <c r="CG120" i="1" s="1"/>
  <c r="CG116" i="1"/>
  <c r="CG119" i="1" s="1"/>
  <c r="CF75" i="1"/>
  <c r="CH75" i="1"/>
  <c r="CL76" i="1" s="1"/>
  <c r="CG75" i="1"/>
  <c r="CK76" i="1" s="1"/>
  <c r="CE75" i="1"/>
  <c r="CE98" i="1"/>
  <c r="CF213" i="1"/>
  <c r="CF211" i="1" s="1"/>
  <c r="CE135" i="1"/>
  <c r="CE61" i="1" s="1"/>
  <c r="CE213" i="1"/>
  <c r="CE211" i="1" s="1"/>
  <c r="CE216" i="1" s="1"/>
  <c r="CE166" i="1" s="1"/>
  <c r="CE167" i="1" s="1"/>
  <c r="CE171" i="1" s="1"/>
  <c r="DA185" i="1"/>
  <c r="DA186" i="1"/>
  <c r="DA146" i="1"/>
  <c r="DB146" i="1" s="1"/>
  <c r="DB208" i="1" s="1"/>
  <c r="DA189" i="1"/>
  <c r="DB130" i="1"/>
  <c r="AE170" i="1"/>
  <c r="AD170" i="1"/>
  <c r="AE160" i="1"/>
  <c r="AD160" i="1"/>
  <c r="AE161" i="1"/>
  <c r="AD161" i="1"/>
  <c r="AE153" i="1"/>
  <c r="AD153" i="1"/>
  <c r="BY237" i="1"/>
  <c r="CZ190" i="1" l="1"/>
  <c r="CY191" i="1"/>
  <c r="DA131" i="1"/>
  <c r="CZ134" i="1"/>
  <c r="CZ255" i="1" s="1"/>
  <c r="CX188" i="1"/>
  <c r="CX192" i="1" s="1"/>
  <c r="CY187" i="1"/>
  <c r="CY212" i="1"/>
  <c r="CE100" i="1"/>
  <c r="CE101" i="1"/>
  <c r="CE102" i="1"/>
  <c r="CE250" i="1"/>
  <c r="CE91" i="1"/>
  <c r="CE92" i="1"/>
  <c r="CI76" i="1"/>
  <c r="CE93" i="1"/>
  <c r="CE254" i="1"/>
  <c r="CG76" i="1"/>
  <c r="CG91" i="1"/>
  <c r="CG93" i="1"/>
  <c r="CG92" i="1"/>
  <c r="CE174" i="1"/>
  <c r="CE115" i="1" s="1"/>
  <c r="CE117" i="1" s="1"/>
  <c r="CE120" i="1" s="1"/>
  <c r="CF215" i="1"/>
  <c r="CF216" i="1" s="1"/>
  <c r="CF217" i="1" s="1"/>
  <c r="CE252" i="1"/>
  <c r="CH76" i="1"/>
  <c r="CH92" i="1"/>
  <c r="CK96" i="1" s="1"/>
  <c r="CH91" i="1"/>
  <c r="CH93" i="1"/>
  <c r="CE217" i="1"/>
  <c r="CF76" i="1"/>
  <c r="CJ76" i="1"/>
  <c r="CF93" i="1"/>
  <c r="CF91" i="1"/>
  <c r="CF92" i="1"/>
  <c r="CU17" i="1"/>
  <c r="CV17" i="1" s="1"/>
  <c r="DA208" i="1"/>
  <c r="DB186" i="1"/>
  <c r="DB185" i="1"/>
  <c r="DB189" i="1"/>
  <c r="CE172" i="1"/>
  <c r="AB26" i="1"/>
  <c r="CZ191" i="1" l="1"/>
  <c r="DA190" i="1"/>
  <c r="DB131" i="1"/>
  <c r="DB134" i="1" s="1"/>
  <c r="DA134" i="1"/>
  <c r="CZ212" i="1"/>
  <c r="CY188" i="1"/>
  <c r="CY192" i="1" s="1"/>
  <c r="CZ187" i="1"/>
  <c r="CJ96" i="1"/>
  <c r="CH96" i="1"/>
  <c r="CF43" i="1"/>
  <c r="CI96" i="1"/>
  <c r="CG96" i="1"/>
  <c r="CW17" i="1"/>
  <c r="CE116" i="1"/>
  <c r="CE119" i="1" s="1"/>
  <c r="AC26" i="1"/>
  <c r="BY238" i="1"/>
  <c r="BY239" i="1" s="1"/>
  <c r="DB190" i="1" l="1"/>
  <c r="DB191" i="1" s="1"/>
  <c r="DA191" i="1"/>
  <c r="DB212" i="1"/>
  <c r="DB255" i="1"/>
  <c r="DA212" i="1"/>
  <c r="DA255" i="1"/>
  <c r="CZ188" i="1"/>
  <c r="CZ192" i="1" s="1"/>
  <c r="DA187" i="1"/>
  <c r="CX17" i="1"/>
  <c r="CY17" i="1" s="1"/>
  <c r="CZ17" i="1" s="1"/>
  <c r="AD26" i="1"/>
  <c r="BY240" i="1"/>
  <c r="DA188" i="1" l="1"/>
  <c r="DA192" i="1" s="1"/>
  <c r="DB187" i="1"/>
  <c r="DB188" i="1" s="1"/>
  <c r="DB192" i="1" s="1"/>
  <c r="DA17" i="1"/>
  <c r="DB17" i="1" s="1"/>
  <c r="AE26" i="1"/>
  <c r="BI71" i="1" l="1"/>
  <c r="AT71" i="1"/>
  <c r="BT71" i="1"/>
  <c r="AV71" i="1"/>
  <c r="AX71" i="1"/>
  <c r="AR71" i="1"/>
  <c r="AO71" i="1" l="1"/>
  <c r="BK71" i="1"/>
  <c r="AN71" i="1"/>
  <c r="AW71" i="1"/>
  <c r="BB71" i="1"/>
  <c r="BM71" i="1"/>
  <c r="BQ71" i="1"/>
  <c r="AJ71" i="1"/>
  <c r="BS71" i="1"/>
  <c r="BR71" i="1"/>
  <c r="BO71" i="1"/>
  <c r="AM71" i="1"/>
  <c r="AI71" i="1"/>
  <c r="AP71" i="1"/>
  <c r="AZ71" i="1"/>
  <c r="AS71" i="1"/>
  <c r="BN71" i="1"/>
  <c r="BU71" i="1"/>
  <c r="BA71" i="1"/>
  <c r="BC71" i="1"/>
  <c r="AU71" i="1"/>
  <c r="BW71" i="1"/>
  <c r="BP71" i="1"/>
  <c r="BJ71" i="1"/>
  <c r="BH71" i="1"/>
  <c r="BX71" i="1"/>
  <c r="BG71" i="1"/>
  <c r="AQ71" i="1"/>
  <c r="AY71" i="1"/>
  <c r="AK71" i="1"/>
  <c r="BE71" i="1"/>
  <c r="BD71" i="1"/>
  <c r="BV71" i="1"/>
  <c r="BF71" i="1"/>
  <c r="BL237" i="1" l="1"/>
  <c r="CM83" i="1" l="1"/>
  <c r="AB146" i="1"/>
  <c r="CN83" i="1" l="1"/>
  <c r="AB208" i="1"/>
  <c r="CO83" i="1" l="1"/>
  <c r="CM69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T35" i="2"/>
  <c r="F6" i="2"/>
  <c r="N14" i="2"/>
  <c r="H27" i="2"/>
  <c r="R36" i="2"/>
  <c r="X29" i="2"/>
  <c r="E25" i="3"/>
  <c r="G46" i="3"/>
  <c r="D32" i="3"/>
  <c r="F9" i="3"/>
  <c r="D18" i="3"/>
  <c r="N9" i="4" a="1"/>
  <c r="DZ14" i="4" a="1"/>
  <c r="AI9" i="4" a="1"/>
  <c r="CM16" i="4" a="1"/>
  <c r="BV5" i="4" a="1"/>
  <c r="DB14" i="4" a="1"/>
  <c r="K7" i="4" a="1"/>
  <c r="EI14" i="4" a="1"/>
  <c r="S15" i="4" a="1"/>
  <c r="BZ5" i="4" a="1"/>
  <c r="BE12" i="4" a="1"/>
  <c r="BK6" i="4" a="1"/>
  <c r="CS8" i="4" a="1"/>
  <c r="AE7" i="4" a="1"/>
  <c r="CV12" i="4" a="1"/>
  <c r="AM5" i="4" a="1"/>
  <c r="DQ9" i="4" a="1"/>
  <c r="DD13" i="4" a="1"/>
  <c r="BH14" i="4" a="1"/>
  <c r="EA13" i="4" a="1"/>
  <c r="DR11" i="4" a="1"/>
  <c r="G12" i="4" a="1"/>
  <c r="CL9" i="4" a="1"/>
  <c r="AY6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X19" i="2"/>
  <c r="I31" i="2"/>
  <c r="C22" i="2"/>
  <c r="L21" i="2"/>
  <c r="T11" i="2"/>
  <c r="I21" i="2"/>
  <c r="AI46" i="3"/>
  <c r="D15" i="3"/>
  <c r="AD46" i="3"/>
  <c r="AO46" i="3"/>
  <c r="E27" i="3"/>
  <c r="F11" i="4" a="1"/>
  <c r="CK15" i="4" a="1"/>
  <c r="AM11" i="4" a="1"/>
  <c r="AX11" i="4" a="1"/>
  <c r="DK5" i="4" a="1"/>
  <c r="DR16" i="4" a="1"/>
  <c r="AB13" i="4" a="1"/>
  <c r="CN16" i="4" a="1"/>
  <c r="AC16" i="4" a="1"/>
  <c r="BA5" i="4" a="1"/>
  <c r="BM15" i="4" a="1"/>
  <c r="CN8" i="4" a="1"/>
  <c r="BH12" i="4" a="1"/>
  <c r="CV6" i="4" a="1"/>
  <c r="DE15" i="4" a="1"/>
  <c r="AY7" i="4" a="1"/>
  <c r="CU8" i="4" a="1"/>
  <c r="CP14" i="4" a="1"/>
  <c r="CF14" i="4" a="1"/>
  <c r="CM6" i="4" a="1"/>
  <c r="AP16" i="4" a="1"/>
  <c r="BY15" i="4" a="1"/>
  <c r="DU5" i="4" a="1"/>
  <c r="DI13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T5" i="2"/>
  <c r="T12" i="2"/>
  <c r="O22" i="2"/>
  <c r="D33" i="2"/>
  <c r="AR55" i="3"/>
  <c r="C30" i="2"/>
  <c r="AR36" i="3"/>
  <c r="T45" i="3"/>
  <c r="AP46" i="3"/>
  <c r="AO45" i="3"/>
  <c r="D35" i="3"/>
  <c r="AZ15" i="4" a="1"/>
  <c r="CI15" i="4" a="1"/>
  <c r="CZ16" i="4" a="1"/>
  <c r="CR13" i="4" a="1"/>
  <c r="DL14" i="4" a="1"/>
  <c r="BD6" i="4" a="1"/>
  <c r="BV13" i="4" a="1"/>
  <c r="DC9" i="4" a="1"/>
  <c r="AK14" i="4" a="1"/>
  <c r="BY13" i="4" a="1"/>
  <c r="CY16" i="4" a="1"/>
  <c r="BL12" i="4" a="1"/>
  <c r="DZ16" i="4" a="1"/>
  <c r="DA7" i="4" a="1"/>
  <c r="AV16" i="4" a="1"/>
  <c r="X5" i="4" a="1"/>
  <c r="BZ9" i="4" a="1"/>
  <c r="BQ9" i="4" a="1"/>
  <c r="O6" i="4" a="1"/>
  <c r="BK12" i="4" a="1"/>
  <c r="BE6" i="4" a="1"/>
  <c r="DG16" i="4" a="1"/>
  <c r="EA8" i="4" a="1"/>
  <c r="CA9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D19" i="2"/>
  <c r="U25" i="2"/>
  <c r="J7" i="2"/>
  <c r="F19" i="2"/>
  <c r="M24" i="2"/>
  <c r="E21" i="2"/>
  <c r="AD17" i="3"/>
  <c r="D30" i="3"/>
  <c r="AR46" i="3"/>
  <c r="AR31" i="3"/>
  <c r="AM45" i="3"/>
  <c r="E16" i="4" a="1"/>
  <c r="EC15" i="4" a="1"/>
  <c r="DH14" i="4" a="1"/>
  <c r="BE15" i="4" a="1"/>
  <c r="BT7" i="4" a="1"/>
  <c r="L9" i="4" a="1"/>
  <c r="CX14" i="4" a="1"/>
  <c r="CM8" i="4" a="1"/>
  <c r="DR5" i="4" a="1"/>
  <c r="CW14" i="4" a="1"/>
  <c r="J5" i="4" a="1"/>
  <c r="P7" i="4" a="1"/>
  <c r="DC12" i="4" a="1"/>
  <c r="CO13" i="4" a="1"/>
  <c r="AI13" i="4" a="1"/>
  <c r="CB9" i="4" a="1"/>
  <c r="AX6" i="4" a="1"/>
  <c r="BR13" i="4" a="1"/>
  <c r="BE7" i="4" a="1"/>
  <c r="DB16" i="4" a="1"/>
  <c r="AK5" i="4" a="1"/>
  <c r="U9" i="4" a="1"/>
  <c r="CQ8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G17" i="2"/>
  <c r="U11" i="2"/>
  <c r="S15" i="2"/>
  <c r="H11" i="2"/>
  <c r="V20" i="2"/>
  <c r="AR86" i="3"/>
  <c r="E26" i="3"/>
  <c r="AR32" i="3"/>
  <c r="P45" i="3"/>
  <c r="E29" i="3"/>
  <c r="D14" i="3"/>
  <c r="AZ14" i="4" a="1"/>
  <c r="Y16" i="4" a="1"/>
  <c r="CF16" i="4" a="1"/>
  <c r="BU12" i="4" a="1"/>
  <c r="BF7" i="4" a="1"/>
  <c r="W11" i="4" a="1"/>
  <c r="EC7" i="4" a="1"/>
  <c r="DQ16" i="4" a="1"/>
  <c r="CG12" i="4" a="1"/>
  <c r="CA15" i="4" a="1"/>
  <c r="U16" i="4" a="1"/>
  <c r="AC14" i="4" a="1"/>
  <c r="AO11" i="4" a="1"/>
  <c r="CZ15" i="4" a="1"/>
  <c r="CC8" i="4" a="1"/>
  <c r="AC12" i="4" a="1"/>
  <c r="CI13" i="4" a="1"/>
  <c r="DD9" i="4" a="1"/>
  <c r="BD5" i="4" a="1"/>
  <c r="AU11" i="4" a="1"/>
  <c r="BS12" i="4" a="1"/>
  <c r="CS15" i="4" a="1"/>
  <c r="EA15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N11" i="2"/>
  <c r="U34" i="2"/>
  <c r="V10" i="2"/>
  <c r="P32" i="2"/>
  <c r="R26" i="2"/>
  <c r="AR81" i="3"/>
  <c r="G31" i="3"/>
  <c r="AR17" i="3"/>
  <c r="D45" i="3"/>
  <c r="AR26" i="3"/>
  <c r="D41" i="3"/>
  <c r="BV7" i="4" a="1"/>
  <c r="Y5" i="4" a="1"/>
  <c r="BJ12" i="4" a="1"/>
  <c r="E14" i="4" a="1"/>
  <c r="BE11" i="4" a="1"/>
  <c r="AI7" i="4" a="1"/>
  <c r="DF5" i="4" a="1"/>
  <c r="DH15" i="4" a="1"/>
  <c r="EK5" i="4" a="1"/>
  <c r="R13" i="4" a="1"/>
  <c r="R14" i="4" a="1"/>
  <c r="BT13" i="4" a="1"/>
  <c r="CO9" i="4" a="1"/>
  <c r="BH6" i="4" a="1"/>
  <c r="CA8" i="4" a="1"/>
  <c r="CX15" i="4" a="1"/>
  <c r="AD5" i="4" a="1"/>
  <c r="CU9" i="4" a="1"/>
  <c r="EC11" i="4" a="1"/>
  <c r="DF13" i="4" a="1"/>
  <c r="T8" i="4" a="1"/>
  <c r="EE12" i="4" a="1"/>
  <c r="Y6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N9" i="2"/>
  <c r="P23" i="2"/>
  <c r="D10" i="2"/>
  <c r="Q20" i="2"/>
  <c r="C26" i="2"/>
  <c r="I26" i="2"/>
  <c r="E20" i="3"/>
  <c r="D11" i="3"/>
  <c r="F24" i="3"/>
  <c r="F30" i="3"/>
  <c r="F26" i="3"/>
  <c r="AL12" i="4" a="1"/>
  <c r="BF13" i="4" a="1"/>
  <c r="J9" i="4" a="1"/>
  <c r="AS6" i="4" a="1"/>
  <c r="DG8" i="4" a="1"/>
  <c r="I14" i="4" a="1"/>
  <c r="AM7" i="4" a="1"/>
  <c r="CT14" i="4" a="1"/>
  <c r="BN11" i="4" a="1"/>
  <c r="DN9" i="4" a="1"/>
  <c r="DH8" i="4" a="1"/>
  <c r="AG15" i="4" a="1"/>
  <c r="V14" i="4" a="1"/>
  <c r="AO5" i="4" a="1"/>
  <c r="DQ8" i="4" a="1"/>
  <c r="X15" i="4" a="1"/>
  <c r="DL13" i="4" a="1"/>
  <c r="C7" i="4" a="1"/>
  <c r="ED9" i="4" a="1"/>
  <c r="EB8" i="4" a="1"/>
  <c r="V5" i="4" a="1"/>
  <c r="Q5" i="4" a="1"/>
  <c r="CM7" i="4" a="1"/>
  <c r="CH8" i="4" a="1"/>
  <c r="DV15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32" i="2"/>
  <c r="K17" i="2"/>
  <c r="X63" i="2"/>
  <c r="G11" i="2"/>
  <c r="C65" i="2"/>
  <c r="AR37" i="3"/>
  <c r="E18" i="3"/>
  <c r="E42" i="3"/>
  <c r="D22" i="3"/>
  <c r="AR28" i="3"/>
  <c r="D5" i="3"/>
  <c r="D54" i="3" s="1"/>
  <c r="AX8" i="4" a="1"/>
  <c r="AJ12" i="4" a="1"/>
  <c r="AT14" i="4" a="1"/>
  <c r="AH13" i="4" a="1"/>
  <c r="BD15" i="4" a="1"/>
  <c r="BP7" i="4" a="1"/>
  <c r="CQ6" i="4" a="1"/>
  <c r="DH12" i="4" a="1"/>
  <c r="DE14" i="4" a="1"/>
  <c r="AR11" i="4" a="1"/>
  <c r="DG13" i="4" a="1"/>
  <c r="AE16" i="4" a="1"/>
  <c r="I11" i="4" a="1"/>
  <c r="CD8" i="4" a="1"/>
  <c r="BE8" i="4" a="1"/>
  <c r="BI5" i="4" a="1"/>
  <c r="AL5" i="4" a="1"/>
  <c r="BF12" i="4" a="1"/>
  <c r="DP11" i="4" a="1"/>
  <c r="AH5" i="4" a="1"/>
  <c r="DF11" i="4" a="1"/>
  <c r="AI8" i="4" a="1"/>
  <c r="AR12" i="4" a="1"/>
  <c r="BP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Q16" i="2"/>
  <c r="I19" i="2"/>
  <c r="Q56" i="2"/>
  <c r="W12" i="2"/>
  <c r="I24" i="2"/>
  <c r="E23" i="2"/>
  <c r="AR95" i="3"/>
  <c r="AR19" i="3"/>
  <c r="D40" i="3"/>
  <c r="AD14" i="3"/>
  <c r="F27" i="3"/>
  <c r="D25" i="3"/>
  <c r="F38" i="3"/>
  <c r="BY7" i="4" a="1"/>
  <c r="J8" i="4" a="1"/>
  <c r="J16" i="4" a="1"/>
  <c r="D8" i="4" a="1"/>
  <c r="BU7" i="4" a="1"/>
  <c r="CN11" i="4" a="1"/>
  <c r="CO6" i="4" a="1"/>
  <c r="T7" i="4" a="1"/>
  <c r="CT8" i="4" a="1"/>
  <c r="DM15" i="4" a="1"/>
  <c r="BU8" i="4" a="1"/>
  <c r="DO12" i="4" a="1"/>
  <c r="D13" i="4" a="1"/>
  <c r="AQ15" i="4" a="1"/>
  <c r="P9" i="4" a="1"/>
  <c r="CW7" i="4" a="1"/>
  <c r="AD7" i="4" a="1"/>
  <c r="X8" i="4" a="1"/>
  <c r="AF8" i="4" a="1"/>
  <c r="BO5" i="4" a="1"/>
  <c r="DG5" i="4" a="1"/>
  <c r="CF12" i="4" a="1"/>
  <c r="B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K33" i="2"/>
  <c r="D28" i="2"/>
  <c r="G24" i="2"/>
  <c r="C14" i="2"/>
  <c r="X26" i="2"/>
  <c r="H45" i="3"/>
  <c r="W46" i="3"/>
  <c r="AR38" i="3"/>
  <c r="D6" i="3"/>
  <c r="F7" i="3"/>
  <c r="F35" i="3"/>
  <c r="BF11" i="4" a="1"/>
  <c r="F12" i="4" a="1"/>
  <c r="Z15" i="4" a="1"/>
  <c r="BX8" i="4" a="1"/>
  <c r="BS6" i="4" a="1"/>
  <c r="DV7" i="4" a="1"/>
  <c r="BW15" i="4" a="1"/>
  <c r="T16" i="4" a="1"/>
  <c r="EG5" i="4" a="1"/>
  <c r="AQ12" i="4" a="1"/>
  <c r="X7" i="4" a="1"/>
  <c r="DU8" i="4" a="1"/>
  <c r="K14" i="4" a="1"/>
  <c r="CN14" i="4" a="1"/>
  <c r="M14" i="4" a="1"/>
  <c r="DX6" i="4" a="1"/>
  <c r="BI16" i="4" a="1"/>
  <c r="AY9" i="4" a="1"/>
  <c r="CM13" i="4" a="1"/>
  <c r="DQ11" i="4" a="1"/>
  <c r="EE11" i="4" a="1"/>
  <c r="CR5" i="4" a="1"/>
  <c r="DS6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R33" i="2"/>
  <c r="N35" i="2"/>
  <c r="G25" i="2"/>
  <c r="P25" i="2"/>
  <c r="M9" i="2"/>
  <c r="D37" i="3"/>
  <c r="AR42" i="3"/>
  <c r="AL46" i="3"/>
  <c r="AR39" i="3"/>
  <c r="AD6" i="3"/>
  <c r="AD9" i="4" a="1"/>
  <c r="CY15" i="4" a="1"/>
  <c r="EJ5" i="4" a="1"/>
  <c r="DK7" i="4" a="1"/>
  <c r="DU7" i="4" a="1"/>
  <c r="BZ15" i="4" a="1"/>
  <c r="D6" i="4" a="1"/>
  <c r="CS14" i="4" a="1"/>
  <c r="EH16" i="4" a="1"/>
  <c r="K15" i="4" a="1"/>
  <c r="BA9" i="4" a="1"/>
  <c r="W5" i="4" a="1"/>
  <c r="CJ5" i="4" a="1"/>
  <c r="P14" i="4" a="1"/>
  <c r="BR5" i="4" a="1"/>
  <c r="Y8" i="4" a="1"/>
  <c r="AK7" i="4" a="1"/>
  <c r="F16" i="4" a="1"/>
  <c r="BL8" i="4" a="1"/>
  <c r="EK8" i="4" a="1"/>
  <c r="DN12" i="4" a="1"/>
  <c r="EJ7" i="4" a="1"/>
  <c r="DQ14" i="4" a="1"/>
  <c r="DJ14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U13" i="2"/>
  <c r="DM6" i="4" a="1"/>
  <c r="BO12" i="4" a="1"/>
  <c r="EJ12" i="4" a="1"/>
  <c r="BP16" i="4" a="1"/>
  <c r="T9" i="4" a="1"/>
  <c r="E12" i="4" a="1"/>
  <c r="DJ9" i="4" a="1"/>
  <c r="CC6" i="4" a="1"/>
  <c r="DB6" i="4" a="1"/>
  <c r="AP5" i="4" a="1"/>
  <c r="CS13" i="4" a="1"/>
  <c r="BF5" i="4" a="1"/>
  <c r="CH16" i="4" a="1"/>
  <c r="DN7" i="4" a="1"/>
  <c r="EG8" i="4" a="1"/>
  <c r="EI8" i="4" a="1"/>
  <c r="ED8" i="4" a="1"/>
  <c r="Q15" i="4" a="1"/>
  <c r="S8" i="4" a="1"/>
  <c r="O5" i="4" a="1"/>
  <c r="CY11" i="4" a="1"/>
  <c r="EH11" i="4" a="1"/>
  <c r="BQ12" i="4" a="1"/>
  <c r="DC6" i="4" a="1"/>
  <c r="DB15" i="4" a="1"/>
  <c r="CV8" i="4" a="1"/>
  <c r="BW9" i="4" a="1"/>
  <c r="BE14" i="4" a="1"/>
  <c r="N5" i="4" a="1"/>
  <c r="BO11" i="4" a="1"/>
  <c r="DG6" i="4" a="1"/>
  <c r="BY12" i="4" a="1"/>
  <c r="AT7" i="4" a="1"/>
  <c r="DW12" i="4" a="1"/>
  <c r="EI15" i="4" a="1"/>
  <c r="DK11" i="4" a="1"/>
  <c r="DV13" i="4" a="1"/>
  <c r="CG9" i="4" a="1"/>
  <c r="V13" i="4" a="1"/>
  <c r="BU9" i="4" a="1"/>
  <c r="CU12" i="4" a="1"/>
  <c r="CF5" i="4" a="1"/>
  <c r="EB13" i="4" a="1"/>
  <c r="AF15" i="4" a="1"/>
  <c r="CE12" i="4" a="1"/>
  <c r="S13" i="4" a="1"/>
  <c r="E15" i="4" a="1"/>
  <c r="DD7" i="4" a="1"/>
  <c r="BS8" i="4" a="1"/>
  <c r="Q6" i="4" a="1"/>
  <c r="EH14" i="4" a="1"/>
  <c r="CN12" i="4" a="1"/>
  <c r="H5" i="4" a="1"/>
  <c r="T14" i="4" a="1"/>
  <c r="K13" i="4" a="1"/>
  <c r="DD15" i="4" a="1"/>
  <c r="BJ6" i="4" a="1"/>
  <c r="DC16" i="4" a="1"/>
  <c r="DR15" i="4" a="1"/>
  <c r="AP6" i="4" a="1"/>
  <c r="BF6" i="4" a="1"/>
  <c r="Q9" i="4" a="1"/>
  <c r="BA8" i="4" a="1"/>
  <c r="BD8" i="4" a="1"/>
  <c r="DK12" i="4" a="1"/>
  <c r="DW8" i="4" a="1"/>
  <c r="CA13" i="4" a="1"/>
  <c r="D5" i="4" a="1"/>
  <c r="AC7" i="4" a="1"/>
  <c r="EG15" i="4" a="1"/>
  <c r="W14" i="4" a="1"/>
  <c r="BR12" i="4" a="1"/>
  <c r="AQ7" i="4" a="1"/>
  <c r="AA8" i="4" a="1"/>
  <c r="Y9" i="4" a="1"/>
  <c r="AE14" i="4" a="1"/>
  <c r="I6" i="4" a="1"/>
  <c r="AL16" i="4" a="1"/>
  <c r="DR13" i="4" a="1"/>
  <c r="CH9" i="4" a="1"/>
  <c r="L6" i="2"/>
  <c r="BO8" i="4" a="1"/>
  <c r="DP16" i="4" a="1"/>
  <c r="CC13" i="4" a="1"/>
  <c r="CI16" i="4" a="1"/>
  <c r="CR16" i="4" a="1"/>
  <c r="AZ13" i="4" a="1"/>
  <c r="BZ6" i="4" a="1"/>
  <c r="BR15" i="4" a="1"/>
  <c r="K8" i="4" a="1"/>
  <c r="C11" i="4" a="1"/>
  <c r="BD9" i="4" a="1"/>
  <c r="BH8" i="4" a="1"/>
  <c r="CX8" i="4" a="1"/>
  <c r="CE14" i="4" a="1"/>
  <c r="EK7" i="4" a="1"/>
  <c r="CH11" i="4" a="1"/>
  <c r="CT16" i="4" a="1"/>
  <c r="EE9" i="4" a="1"/>
  <c r="BU11" i="4" a="1"/>
  <c r="H8" i="4" a="1"/>
  <c r="AU6" i="4" a="1"/>
  <c r="AT11" i="4" a="1"/>
  <c r="BP6" i="4" a="1"/>
  <c r="EB7" i="4" a="1"/>
  <c r="CX11" i="4" a="1"/>
  <c r="BC6" i="4" a="1"/>
  <c r="BX11" i="4" a="1"/>
  <c r="DE5" i="4" a="1"/>
  <c r="BF15" i="4" a="1"/>
  <c r="BO6" i="4" a="1"/>
  <c r="AP12" i="4" a="1"/>
  <c r="DY15" i="4" a="1"/>
  <c r="AJ6" i="4" a="1"/>
  <c r="DE9" i="4" a="1"/>
  <c r="O13" i="4" a="1"/>
  <c r="AC13" i="4" a="1"/>
  <c r="AM13" i="4" a="1"/>
  <c r="AU14" i="4" a="1"/>
  <c r="AM16" i="4" a="1"/>
  <c r="BW14" i="4" a="1"/>
  <c r="AE8" i="4" a="1"/>
  <c r="EJ8" i="4" a="1"/>
  <c r="G5" i="4" a="1"/>
  <c r="Q16" i="4" a="1"/>
  <c r="BF8" i="4" a="1"/>
  <c r="H16" i="4" a="1"/>
  <c r="CK8" i="4" a="1"/>
  <c r="BR8" i="4" a="1"/>
  <c r="M15" i="4" a="1"/>
  <c r="DB9" i="4" a="1"/>
  <c r="DW9" i="4" a="1"/>
  <c r="BA13" i="4" a="1"/>
  <c r="CG13" i="4" a="1"/>
  <c r="BG9" i="4" a="1"/>
  <c r="EE7" i="4" a="1"/>
  <c r="BD7" i="4" a="1"/>
  <c r="Z11" i="4" a="1"/>
  <c r="BQ5" i="4" a="1"/>
  <c r="AD11" i="4" a="1"/>
  <c r="AD6" i="4" a="1"/>
  <c r="DQ6" i="4" a="1"/>
  <c r="AA15" i="4" a="1"/>
  <c r="DU15" i="4" a="1"/>
  <c r="DV9" i="4" a="1"/>
  <c r="DA16" i="4" a="1"/>
  <c r="BG15" i="4" a="1"/>
  <c r="O9" i="4" a="1"/>
  <c r="AW15" i="4" a="1"/>
  <c r="DJ11" i="4" a="1"/>
  <c r="DM9" i="4" a="1"/>
  <c r="DD14" i="4" a="1"/>
  <c r="DB5" i="4" a="1"/>
  <c r="DY13" i="4" a="1"/>
  <c r="L8" i="4" a="1"/>
  <c r="E20" i="2"/>
  <c r="AJ14" i="4" a="1"/>
  <c r="DW6" i="4" a="1"/>
  <c r="CS7" i="4" a="1"/>
  <c r="DB7" i="4" a="1"/>
  <c r="EI5" i="4" a="1"/>
  <c r="CO15" i="4" a="1"/>
  <c r="DT13" i="4" a="1"/>
  <c r="CJ14" i="4" a="1"/>
  <c r="DR8" i="4" a="1"/>
  <c r="W7" i="4" a="1"/>
  <c r="CA5" i="4" a="1"/>
  <c r="CY12" i="4" a="1"/>
  <c r="DH9" i="4" a="1"/>
  <c r="AO16" i="4" a="1"/>
  <c r="EG13" i="4" a="1"/>
  <c r="BN14" i="4" a="1"/>
  <c r="T11" i="4" a="1"/>
  <c r="BV6" i="4" a="1"/>
  <c r="AZ11" i="4" a="1"/>
  <c r="CX13" i="4" a="1"/>
  <c r="AW6" i="4" a="1"/>
  <c r="CS9" i="4" a="1"/>
  <c r="CW9" i="4" a="1"/>
  <c r="I9" i="4" a="1"/>
  <c r="AG13" i="4" a="1"/>
  <c r="EK9" i="4" a="1"/>
  <c r="BJ13" i="4" a="1"/>
  <c r="AU9" i="4" a="1"/>
  <c r="AY15" i="4" a="1"/>
  <c r="EG11" i="4" a="1"/>
  <c r="BA12" i="4" a="1"/>
  <c r="K5" i="4" a="1"/>
  <c r="AI12" i="4" a="1"/>
  <c r="AH14" i="4" a="1"/>
  <c r="CF6" i="4" a="1"/>
  <c r="R7" i="4" a="1"/>
  <c r="CG11" i="4" a="1"/>
  <c r="CB11" i="4" a="1"/>
  <c r="DI6" i="4" a="1"/>
  <c r="DK8" i="4" a="1"/>
  <c r="CR15" i="4" a="1"/>
  <c r="CI9" i="4" a="1"/>
  <c r="AA5" i="4" a="1"/>
  <c r="DL8" i="4" a="1"/>
  <c r="BV12" i="4" a="1"/>
  <c r="AX5" i="4" a="1"/>
  <c r="CN5" i="4" a="1"/>
  <c r="CK14" i="4" a="1"/>
  <c r="AT16" i="4" a="1"/>
  <c r="AR14" i="4" a="1"/>
  <c r="DI11" i="4" a="1"/>
  <c r="AJ46" i="3"/>
  <c r="BC12" i="4" a="1"/>
  <c r="CN7" i="4" a="1"/>
  <c r="EE16" i="4" a="1"/>
  <c r="AN15" i="4" a="1"/>
  <c r="CP15" i="4" a="1"/>
  <c r="ED11" i="4" a="1"/>
  <c r="X14" i="4" a="1"/>
  <c r="AB14" i="4" a="1"/>
  <c r="DU6" i="4" a="1"/>
  <c r="CX16" i="4" a="1"/>
  <c r="CX5" i="4" a="1"/>
  <c r="DN13" i="4" a="1"/>
  <c r="DT15" i="4" a="1"/>
  <c r="DB12" i="4" a="1"/>
  <c r="DI12" i="4" a="1"/>
  <c r="S7" i="4" a="1"/>
  <c r="ED13" i="4" a="1"/>
  <c r="Z14" i="4" a="1"/>
  <c r="CU11" i="4" a="1"/>
  <c r="CC15" i="4" a="1"/>
  <c r="DD11" i="4" a="1"/>
  <c r="CR11" i="4" a="1"/>
  <c r="DW11" i="4" a="1"/>
  <c r="AH16" i="4" a="1"/>
  <c r="E7" i="4" a="1"/>
  <c r="EK13" i="4" a="1"/>
  <c r="BM7" i="4" a="1"/>
  <c r="DV14" i="4" a="1"/>
  <c r="L46" i="3"/>
  <c r="CB13" i="4" a="1"/>
  <c r="BI7" i="4" a="1"/>
  <c r="DP7" i="4" a="1"/>
  <c r="F9" i="4" a="1"/>
  <c r="DO8" i="4" a="1"/>
  <c r="DB13" i="4" a="1"/>
  <c r="BZ7" i="4" a="1"/>
  <c r="DA13" i="4" a="1"/>
  <c r="DK9" i="4" a="1"/>
  <c r="M12" i="4" a="1"/>
  <c r="AH6" i="4" a="1"/>
  <c r="CD13" i="4" a="1"/>
  <c r="T13" i="4" a="1"/>
  <c r="DM14" i="4" a="1"/>
  <c r="DO13" i="4" a="1"/>
  <c r="BG13" i="4" a="1"/>
  <c r="BB7" i="4" a="1"/>
  <c r="CP16" i="4" a="1"/>
  <c r="CW12" i="4" a="1"/>
  <c r="AF5" i="4" a="1"/>
  <c r="DZ15" i="4" a="1"/>
  <c r="DS7" i="4" a="1"/>
  <c r="BU16" i="4" a="1"/>
  <c r="CA14" i="4" a="1"/>
  <c r="EI13" i="4" a="1"/>
  <c r="AC8" i="4" a="1"/>
  <c r="AS7" i="4" a="1"/>
  <c r="AD14" i="4" a="1"/>
  <c r="EK11" i="4" a="1"/>
  <c r="DU12" i="4" a="1"/>
  <c r="AW16" i="4" a="1"/>
  <c r="AV13" i="4" a="1"/>
  <c r="C12" i="4" a="1"/>
  <c r="BH11" i="4" a="1"/>
  <c r="AQ6" i="4" a="1"/>
  <c r="CQ9" i="4" a="1"/>
  <c r="CR7" i="4" a="1"/>
  <c r="CW6" i="4" a="1"/>
  <c r="DJ13" i="4" a="1"/>
  <c r="H9" i="4" a="1"/>
  <c r="AN6" i="4" a="1"/>
  <c r="AL14" i="4" a="1"/>
  <c r="BW5" i="4" a="1"/>
  <c r="E11" i="4" a="1"/>
  <c r="EH12" i="4" a="1"/>
  <c r="BB5" i="4" a="1"/>
  <c r="N16" i="4" a="1"/>
  <c r="AK45" i="3"/>
  <c r="EE5" i="4" a="1"/>
  <c r="AI5" i="4" a="1"/>
  <c r="BE9" i="4" a="1"/>
  <c r="U15" i="4" a="1"/>
  <c r="DZ8" i="4" a="1"/>
  <c r="CA7" i="4" a="1"/>
  <c r="CL14" i="4" a="1"/>
  <c r="CK12" i="4" a="1"/>
  <c r="N8" i="4" a="1"/>
  <c r="F13" i="3"/>
  <c r="EK15" i="4" a="1"/>
  <c r="DK13" i="4" a="1"/>
  <c r="AV8" i="4" a="1"/>
  <c r="CE13" i="4" a="1"/>
  <c r="DG9" i="4" a="1"/>
  <c r="V9" i="4" a="1"/>
  <c r="DO11" i="4" a="1"/>
  <c r="CW13" i="4" a="1"/>
  <c r="CI5" i="4" a="1"/>
  <c r="DD5" i="4" a="1"/>
  <c r="CX12" i="4" a="1"/>
  <c r="DH5" i="4" a="1"/>
  <c r="AQ8" i="4" a="1"/>
  <c r="BC7" i="4" a="1"/>
  <c r="CK9" i="4" a="1"/>
  <c r="CS16" i="4" a="1"/>
  <c r="Z13" i="4" a="1"/>
  <c r="BH13" i="4" a="1"/>
  <c r="DN5" i="4" a="1"/>
  <c r="CB16" i="4" a="1"/>
  <c r="J11" i="4" a="1"/>
  <c r="BL5" i="4" a="1"/>
  <c r="BG14" i="4" a="1"/>
  <c r="G15" i="4" a="1"/>
  <c r="CE16" i="4" a="1"/>
  <c r="CY7" i="4" a="1"/>
  <c r="DJ12" i="4" a="1"/>
  <c r="AO15" i="4" a="1"/>
  <c r="AP8" i="4" a="1"/>
  <c r="AG6" i="4" a="1"/>
  <c r="CM5" i="4" a="1"/>
  <c r="BU5" i="4" a="1"/>
  <c r="BL6" i="4" a="1"/>
  <c r="CR14" i="4" a="1"/>
  <c r="BA16" i="4" a="1"/>
  <c r="Z6" i="4" a="1"/>
  <c r="R12" i="4" a="1"/>
  <c r="AN5" i="4" a="1"/>
  <c r="DU14" i="4" a="1"/>
  <c r="EF12" i="4" a="1"/>
  <c r="R15" i="4" a="1"/>
  <c r="L12" i="4" a="1"/>
  <c r="CP11" i="4" a="1"/>
  <c r="BK7" i="4" a="1"/>
  <c r="CO12" i="4" a="1"/>
  <c r="DP13" i="4" a="1"/>
  <c r="CG8" i="4" a="1"/>
  <c r="EA11" i="4" a="1"/>
  <c r="CB8" i="4" a="1"/>
  <c r="DQ12" i="4" a="1"/>
  <c r="CZ6" i="4" a="1"/>
  <c r="BP13" i="4" a="1"/>
  <c r="CO11" i="4" a="1"/>
  <c r="BS7" i="4" a="1"/>
  <c r="C13" i="4" a="1"/>
  <c r="J13" i="4" a="1"/>
  <c r="BD14" i="4" a="1"/>
  <c r="AO13" i="4" a="1"/>
  <c r="AL9" i="4" a="1"/>
  <c r="DH16" i="4" a="1"/>
  <c r="Z12" i="4" a="1"/>
  <c r="CZ14" i="4" a="1"/>
  <c r="DA5" i="4" a="1"/>
  <c r="DF8" i="4" a="1"/>
  <c r="BN5" i="4" a="1"/>
  <c r="G13" i="3"/>
  <c r="EA5" i="4" a="1"/>
  <c r="DP12" i="4" a="1"/>
  <c r="CL12" i="4" a="1"/>
  <c r="CP9" i="4" a="1"/>
  <c r="CV13" i="4" a="1"/>
  <c r="AF13" i="4" a="1"/>
  <c r="DO15" i="4" a="1"/>
  <c r="H12" i="4" a="1"/>
  <c r="CU14" i="4" a="1"/>
  <c r="M11" i="4" a="1"/>
  <c r="U7" i="4" a="1"/>
  <c r="AW9" i="4" a="1"/>
  <c r="AW8" i="4" a="1"/>
  <c r="BI12" i="4" a="1"/>
  <c r="BU15" i="4" a="1"/>
  <c r="AH45" i="3"/>
  <c r="K11" i="4" a="1"/>
  <c r="AL11" i="4" a="1"/>
  <c r="DA6" i="4" a="1"/>
  <c r="CQ15" i="4" a="1"/>
  <c r="DY6" i="4" a="1"/>
  <c r="BY8" i="4" a="1"/>
  <c r="DI8" i="4" a="1"/>
  <c r="CE6" i="4" a="1"/>
  <c r="BQ11" i="4" a="1"/>
  <c r="CF11" i="4" a="1"/>
  <c r="U8" i="4" a="1"/>
  <c r="EE15" i="4" a="1"/>
  <c r="DJ7" i="4" a="1"/>
  <c r="AS14" i="4" a="1"/>
  <c r="EF11" i="4" a="1"/>
  <c r="W9" i="4" a="1"/>
  <c r="CJ6" i="4" a="1"/>
  <c r="DI15" i="4" a="1"/>
  <c r="EF8" i="4" a="1"/>
  <c r="DJ5" i="4" a="1"/>
  <c r="EB12" i="4" a="1"/>
  <c r="DU13" i="4" a="1"/>
  <c r="BF16" i="4" a="1"/>
  <c r="BJ11" i="4" a="1"/>
  <c r="CH7" i="4" a="1"/>
  <c r="CT12" i="4" a="1"/>
  <c r="O11" i="4" a="1"/>
  <c r="BP15" i="4" a="1"/>
  <c r="DH13" i="4" a="1"/>
  <c r="BK9" i="4" a="1"/>
  <c r="D16" i="4" a="1"/>
  <c r="CG5" i="4" a="1"/>
  <c r="AY14" i="4" a="1"/>
  <c r="CR12" i="4" a="1"/>
  <c r="EC5" i="4" a="1"/>
  <c r="DR9" i="4" a="1"/>
  <c r="AI6" i="4" a="1"/>
  <c r="AX12" i="4" a="1"/>
  <c r="DH7" i="4" a="1"/>
  <c r="ED15" i="4" a="1"/>
  <c r="CX9" i="4" a="1"/>
  <c r="AR6" i="4" a="1"/>
  <c r="DY9" i="4" a="1"/>
  <c r="AM14" i="4" a="1"/>
  <c r="AE5" i="4" a="1"/>
  <c r="CU15" i="4" a="1"/>
  <c r="S16" i="4" a="1"/>
  <c r="DE7" i="4" a="1"/>
  <c r="CW8" i="4" a="1"/>
  <c r="AQ11" i="4" a="1"/>
  <c r="AF6" i="4" a="1"/>
  <c r="AV7" i="4" a="1"/>
  <c r="DN16" i="4" a="1"/>
  <c r="BC11" i="4" a="1"/>
  <c r="I7" i="4" a="1"/>
  <c r="CO16" i="4" a="1"/>
  <c r="BE16" i="4" a="1"/>
  <c r="AT12" i="4" a="1"/>
  <c r="Q11" i="4" a="1"/>
  <c r="D68" i="3"/>
  <c r="D95" i="3"/>
  <c r="F79" i="3"/>
  <c r="G55" i="3"/>
  <c r="E55" i="3"/>
  <c r="D93" i="3"/>
  <c r="AD72" i="3"/>
  <c r="F89" i="3"/>
  <c r="G54" i="3"/>
  <c r="F66" i="3"/>
  <c r="E84" i="3"/>
  <c r="E74" i="3"/>
  <c r="D66" i="3"/>
  <c r="AD79" i="3"/>
  <c r="E82" i="3"/>
  <c r="G63" i="3"/>
  <c r="D88" i="3"/>
  <c r="E62" i="3"/>
  <c r="D85" i="3"/>
  <c r="AD56" i="3"/>
  <c r="AD73" i="3"/>
  <c r="F88" i="3"/>
  <c r="G86" i="3"/>
  <c r="E61" i="3"/>
  <c r="D63" i="3"/>
  <c r="AD61" i="3"/>
  <c r="E56" i="3"/>
  <c r="G81" i="3"/>
  <c r="D91" i="3"/>
  <c r="AD93" i="3"/>
  <c r="E65" i="3"/>
  <c r="AD55" i="3"/>
  <c r="E78" i="3"/>
  <c r="G95" i="3"/>
  <c r="D96" i="3"/>
  <c r="E75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AD81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D89" i="3"/>
  <c r="F64" i="3"/>
  <c r="G66" i="3"/>
  <c r="E73" i="3"/>
  <c r="G89" i="3"/>
  <c r="E80" i="3"/>
  <c r="D92" i="3"/>
  <c r="F83" i="3"/>
  <c r="G93" i="3"/>
  <c r="D84" i="3"/>
  <c r="F87" i="3"/>
  <c r="G87" i="3"/>
  <c r="F96" i="3"/>
  <c r="E77" i="3"/>
  <c r="AD94" i="3"/>
  <c r="AD71" i="3"/>
  <c r="D60" i="3"/>
  <c r="F94" i="3"/>
  <c r="AD88" i="3"/>
  <c r="D80" i="3"/>
  <c r="D67" i="3"/>
  <c r="E67" i="3"/>
  <c r="E59" i="3"/>
  <c r="AD74" i="3"/>
  <c r="D76" i="3"/>
  <c r="E70" i="3"/>
  <c r="E83" i="3"/>
  <c r="E72" i="3"/>
  <c r="AD92" i="3"/>
  <c r="D62" i="3"/>
  <c r="E90" i="3"/>
  <c r="F59" i="3"/>
  <c r="F60" i="3"/>
  <c r="F95" i="3"/>
  <c r="E87" i="3"/>
  <c r="D69" i="3"/>
  <c r="E89" i="3"/>
  <c r="F90" i="3"/>
  <c r="D82" i="3"/>
  <c r="F84" i="3"/>
  <c r="E97" i="3"/>
  <c r="F47" i="3"/>
  <c r="D64" i="3"/>
  <c r="AD85" i="3"/>
  <c r="G96" i="3"/>
  <c r="G73" i="3"/>
  <c r="AD97" i="3"/>
  <c r="F61" i="3"/>
  <c r="AD59" i="3"/>
  <c r="G97" i="3"/>
  <c r="AD67" i="3"/>
  <c r="D70" i="3"/>
  <c r="G74" i="3"/>
  <c r="G84" i="3"/>
  <c r="G59" i="3"/>
  <c r="AD65" i="3"/>
  <c r="AD69" i="3"/>
  <c r="G69" i="3"/>
  <c r="E71" i="3"/>
  <c r="D90" i="3"/>
  <c r="E58" i="3"/>
  <c r="E85" i="3"/>
  <c r="D74" i="3"/>
  <c r="F71" i="3"/>
  <c r="E92" i="3"/>
  <c r="F70" i="3"/>
  <c r="D71" i="3"/>
  <c r="AD83" i="3"/>
  <c r="G60" i="3"/>
  <c r="G94" i="3"/>
  <c r="E95" i="3"/>
  <c r="D81" i="3"/>
  <c r="F76" i="3"/>
  <c r="G61" i="3"/>
  <c r="F73" i="3"/>
  <c r="E96" i="3"/>
  <c r="AD80" i="3"/>
  <c r="G62" i="3"/>
  <c r="F57" i="3"/>
  <c r="E68" i="3"/>
  <c r="F72" i="3"/>
  <c r="AD91" i="3"/>
  <c r="F93" i="3"/>
  <c r="F56" i="3"/>
  <c r="G90" i="3"/>
  <c r="E60" i="3"/>
  <c r="F78" i="3"/>
  <c r="F97" i="3"/>
  <c r="D94" i="3"/>
  <c r="AD68" i="3"/>
  <c r="AD86" i="3"/>
  <c r="F63" i="3"/>
  <c r="D56" i="3"/>
  <c r="AD57" i="3"/>
  <c r="E79" i="3"/>
  <c r="F48" i="3"/>
  <c r="F85" i="3"/>
  <c r="E94" i="3"/>
  <c r="F92" i="3"/>
  <c r="F49" i="3"/>
  <c r="F91" i="3"/>
  <c r="G76" i="3"/>
  <c r="E93" i="3"/>
  <c r="F65" i="3"/>
  <c r="F67" i="3"/>
  <c r="G80" i="3"/>
  <c r="AD58" i="3"/>
  <c r="D86" i="3"/>
  <c r="AD60" i="3"/>
  <c r="AD87" i="3"/>
  <c r="D78" i="3"/>
  <c r="G88" i="3"/>
  <c r="D57" i="3"/>
  <c r="AD82" i="3"/>
  <c r="AD64" i="3"/>
  <c r="AD62" i="3"/>
  <c r="G75" i="3"/>
  <c r="E54" i="3"/>
  <c r="G65" i="3"/>
  <c r="AD78" i="3"/>
  <c r="D61" i="3"/>
  <c r="F75" i="3"/>
  <c r="G92" i="3"/>
  <c r="D72" i="3"/>
  <c r="AD63" i="3"/>
  <c r="G68" i="3"/>
  <c r="G71" i="3"/>
  <c r="D55" i="3"/>
  <c r="F81" i="3"/>
  <c r="E63" i="3"/>
  <c r="F80" i="3"/>
  <c r="E86" i="3"/>
  <c r="G70" i="3"/>
  <c r="AD89" i="3"/>
  <c r="F54" i="3"/>
  <c r="AD96" i="3"/>
  <c r="G85" i="3"/>
  <c r="F50" i="3"/>
  <c r="D77" i="3"/>
  <c r="G56" i="3"/>
  <c r="F55" i="3"/>
  <c r="AD95" i="3"/>
  <c r="D59" i="3"/>
  <c r="E66" i="3"/>
  <c r="G79" i="3"/>
  <c r="D65" i="3"/>
  <c r="G64" i="3"/>
  <c r="E88" i="3"/>
  <c r="G91" i="3"/>
  <c r="AD75" i="3"/>
  <c r="G57" i="3"/>
  <c r="AD84" i="3"/>
  <c r="F68" i="3"/>
  <c r="IG16" i="4" s="1"/>
  <c r="IS16" i="4" s="1"/>
  <c r="JE9" i="4" s="1"/>
  <c r="IV9" i="4" s="1"/>
  <c r="II9" i="4" s="1"/>
  <c r="IY9" i="4" s="1"/>
  <c r="IG9" i="4" s="1"/>
  <c r="HP9" i="4" s="1"/>
  <c r="IV16" i="4" s="1"/>
  <c r="JG16" i="4" s="1"/>
  <c r="IQ9" i="4" s="1"/>
  <c r="JI9" i="4" s="1"/>
  <c r="HQ9" i="4" s="1"/>
  <c r="JA9" i="4" s="1"/>
  <c r="HS9" i="4" s="1"/>
  <c r="IW16" i="4" s="1"/>
  <c r="JD9" i="4" s="1"/>
  <c r="IA16" i="4" s="1"/>
  <c r="JG9" i="4" s="1"/>
  <c r="IT16" i="4" s="1"/>
  <c r="IQ16" i="4" s="1"/>
  <c r="JB16" i="4" s="1"/>
  <c r="CP83" i="1"/>
  <c r="CN69" i="1"/>
  <c r="CM71" i="1"/>
  <c r="D79" i="3" l="1"/>
  <c r="AJ149" i="1" s="1"/>
  <c r="AK149" i="1" s="1"/>
  <c r="K14" i="1"/>
  <c r="K237" i="1" s="1"/>
  <c r="HV14" i="4" s="1"/>
  <c r="IM9" i="4" s="1"/>
  <c r="IZ9" i="4" s="1"/>
  <c r="T30" i="1"/>
  <c r="HR16" i="4" s="1"/>
  <c r="BJ14" i="1"/>
  <c r="BJ237" i="1" s="1"/>
  <c r="BX57" i="1"/>
  <c r="O42" i="1"/>
  <c r="F42" i="1"/>
  <c r="M57" i="1"/>
  <c r="Q52" i="1"/>
  <c r="JC9" i="4" s="1"/>
  <c r="IC16" i="4" s="1"/>
  <c r="AL52" i="1"/>
  <c r="AJ14" i="1"/>
  <c r="AJ237" i="1" s="1"/>
  <c r="B26" i="1"/>
  <c r="J52" i="1"/>
  <c r="HQ7" i="4" s="1"/>
  <c r="HV16" i="4" s="1"/>
  <c r="IA7" i="4" s="1"/>
  <c r="JF16" i="4" s="1"/>
  <c r="IH16" i="4" s="1"/>
  <c r="IF16" i="4" s="1"/>
  <c r="AJ42" i="1"/>
  <c r="BJ29" i="1"/>
  <c r="BX170" i="1"/>
  <c r="BY170" i="1" s="1"/>
  <c r="D41" i="1"/>
  <c r="V21" i="1"/>
  <c r="P133" i="1"/>
  <c r="H28" i="1"/>
  <c r="II16" i="4" s="1"/>
  <c r="II21" i="4" s="1"/>
  <c r="BC83" i="1" s="1"/>
  <c r="JF9" i="4" s="1"/>
  <c r="JF21" i="4" s="1"/>
  <c r="BZ83" i="1" s="1"/>
  <c r="BZ100" i="1" s="1"/>
  <c r="IR8" i="4" s="1"/>
  <c r="IN7" i="4" s="1"/>
  <c r="IH15" i="4" s="1"/>
  <c r="HT9" i="4" s="1"/>
  <c r="IW9" i="4" s="1"/>
  <c r="IW21" i="4" s="1"/>
  <c r="BQ83" i="1" s="1"/>
  <c r="JA16" i="4" s="1"/>
  <c r="BX38" i="1"/>
  <c r="BX200" i="1" s="1"/>
  <c r="AK57" i="1"/>
  <c r="AK31" i="1"/>
  <c r="F19" i="1"/>
  <c r="W138" i="1"/>
  <c r="J27" i="1"/>
  <c r="C51" i="1"/>
  <c r="IH9" i="4" s="1"/>
  <c r="IH21" i="4" s="1"/>
  <c r="BB83" i="1" s="1"/>
  <c r="JH9" i="4" s="1"/>
  <c r="JA8" i="4" s="1"/>
  <c r="IM16" i="4" s="1"/>
  <c r="AL53" i="1"/>
  <c r="AJ21" i="1"/>
  <c r="AK15" i="1"/>
  <c r="O41" i="1"/>
  <c r="IX16" i="4" s="1"/>
  <c r="BX53" i="1"/>
  <c r="BX27" i="1"/>
  <c r="BX150" i="1"/>
  <c r="O51" i="1"/>
  <c r="M19" i="1"/>
  <c r="HW16" i="4" s="1"/>
  <c r="AJ29" i="1"/>
  <c r="AK45" i="1"/>
  <c r="AK53" i="1"/>
  <c r="G19" i="1"/>
  <c r="R29" i="1"/>
  <c r="T19" i="1"/>
  <c r="F27" i="1"/>
  <c r="IA9" i="4" s="1"/>
  <c r="HS16" i="4" s="1"/>
  <c r="BJ27" i="1"/>
  <c r="E28" i="1"/>
  <c r="I15" i="1"/>
  <c r="T42" i="1"/>
  <c r="C28" i="1"/>
  <c r="IO9" i="4" s="1"/>
  <c r="AJ52" i="1"/>
  <c r="B45" i="1"/>
  <c r="C52" i="1"/>
  <c r="S21" i="1"/>
  <c r="JC16" i="4" s="1"/>
  <c r="AJ30" i="1"/>
  <c r="S19" i="1"/>
  <c r="W28" i="1"/>
  <c r="IF9" i="4" s="1"/>
  <c r="HY16" i="4" s="1"/>
  <c r="IY8" i="4" s="1"/>
  <c r="IZ7" i="4" s="1"/>
  <c r="IR9" i="4" s="1"/>
  <c r="AJ31" i="1"/>
  <c r="AK42" i="1"/>
  <c r="W53" i="1"/>
  <c r="G38" i="1"/>
  <c r="M26" i="1"/>
  <c r="E14" i="1"/>
  <c r="S57" i="1"/>
  <c r="AL38" i="1"/>
  <c r="AL200" i="1" s="1"/>
  <c r="BX41" i="1"/>
  <c r="AM15" i="1"/>
  <c r="AL30" i="1"/>
  <c r="AK20" i="1"/>
  <c r="BX29" i="1"/>
  <c r="AM19" i="1"/>
  <c r="AL21" i="1"/>
  <c r="AM31" i="1"/>
  <c r="AL14" i="1"/>
  <c r="BJ31" i="1"/>
  <c r="AJ53" i="1"/>
  <c r="AM21" i="1"/>
  <c r="D128" i="1"/>
  <c r="BX160" i="1"/>
  <c r="BY160" i="1" s="1"/>
  <c r="Q15" i="1"/>
  <c r="B41" i="1"/>
  <c r="I41" i="1"/>
  <c r="C19" i="1"/>
  <c r="BX79" i="1"/>
  <c r="I27" i="1"/>
  <c r="S14" i="1"/>
  <c r="S237" i="1" s="1"/>
  <c r="B31" i="1"/>
  <c r="V29" i="1"/>
  <c r="M14" i="1"/>
  <c r="S26" i="1"/>
  <c r="M15" i="1"/>
  <c r="W38" i="1"/>
  <c r="W259" i="1" s="1"/>
  <c r="N19" i="1"/>
  <c r="O14" i="1"/>
  <c r="O237" i="1" s="1"/>
  <c r="G14" i="1"/>
  <c r="K51" i="1"/>
  <c r="I42" i="1"/>
  <c r="S45" i="1"/>
  <c r="I29" i="1"/>
  <c r="E57" i="1"/>
  <c r="J41" i="1"/>
  <c r="F52" i="1"/>
  <c r="P45" i="1"/>
  <c r="K21" i="1"/>
  <c r="R42" i="1"/>
  <c r="L31" i="1"/>
  <c r="T21" i="1"/>
  <c r="JD16" i="4" s="1"/>
  <c r="JD21" i="4" s="1"/>
  <c r="BX83" i="1" s="1"/>
  <c r="BX52" i="1"/>
  <c r="BX19" i="1"/>
  <c r="AM41" i="1"/>
  <c r="AM28" i="1"/>
  <c r="BX30" i="1"/>
  <c r="AM29" i="1"/>
  <c r="AL20" i="1"/>
  <c r="AL42" i="1"/>
  <c r="BJ19" i="1"/>
  <c r="BX51" i="1"/>
  <c r="M29" i="1"/>
  <c r="W21" i="1"/>
  <c r="C42" i="1"/>
  <c r="P159" i="1"/>
  <c r="G52" i="1"/>
  <c r="V28" i="1"/>
  <c r="BX165" i="1"/>
  <c r="P161" i="1"/>
  <c r="J31" i="1"/>
  <c r="D15" i="1"/>
  <c r="BY79" i="1"/>
  <c r="D27" i="1"/>
  <c r="L19" i="1"/>
  <c r="L15" i="1"/>
  <c r="O30" i="1"/>
  <c r="F26" i="1"/>
  <c r="G41" i="1"/>
  <c r="S53" i="1"/>
  <c r="V45" i="1"/>
  <c r="M52" i="1"/>
  <c r="Q30" i="1"/>
  <c r="N42" i="1"/>
  <c r="S29" i="1"/>
  <c r="M38" i="1"/>
  <c r="N28" i="1"/>
  <c r="V27" i="1"/>
  <c r="U57" i="1"/>
  <c r="N14" i="1"/>
  <c r="N15" i="1"/>
  <c r="J19" i="1"/>
  <c r="P31" i="1"/>
  <c r="T28" i="1"/>
  <c r="E30" i="1"/>
  <c r="IJ16" i="4" s="1"/>
  <c r="BJ21" i="1"/>
  <c r="BX45" i="1"/>
  <c r="AK51" i="1"/>
  <c r="BX31" i="1"/>
  <c r="BJ20" i="1"/>
  <c r="AK52" i="1"/>
  <c r="AK41" i="1"/>
  <c r="AJ45" i="1"/>
  <c r="BX20" i="1"/>
  <c r="N26" i="1"/>
  <c r="K38" i="1"/>
  <c r="K200" i="1" s="1"/>
  <c r="G57" i="1"/>
  <c r="H19" i="1"/>
  <c r="U28" i="1"/>
  <c r="L45" i="1"/>
  <c r="Q19" i="1"/>
  <c r="BX138" i="1"/>
  <c r="Q27" i="1"/>
  <c r="I51" i="1"/>
  <c r="H42" i="1"/>
  <c r="G29" i="1"/>
  <c r="O57" i="1"/>
  <c r="L51" i="1"/>
  <c r="S28" i="1"/>
  <c r="K31" i="1"/>
  <c r="F38" i="1"/>
  <c r="F200" i="1" s="1"/>
  <c r="U31" i="1"/>
  <c r="M28" i="1"/>
  <c r="I28" i="1"/>
  <c r="F51" i="1"/>
  <c r="Q41" i="1"/>
  <c r="C15" i="1"/>
  <c r="N21" i="1"/>
  <c r="Q53" i="1"/>
  <c r="N29" i="1"/>
  <c r="J51" i="1"/>
  <c r="N27" i="1"/>
  <c r="O15" i="1"/>
  <c r="K27" i="1"/>
  <c r="E165" i="1"/>
  <c r="H26" i="1"/>
  <c r="P14" i="1"/>
  <c r="F41" i="1"/>
  <c r="L26" i="1"/>
  <c r="IL9" i="4" s="1"/>
  <c r="BX26" i="1"/>
  <c r="BJ26" i="1"/>
  <c r="AJ15" i="1"/>
  <c r="AM30" i="1"/>
  <c r="BJ30" i="1"/>
  <c r="AL15" i="1"/>
  <c r="U29" i="1"/>
  <c r="J29" i="1"/>
  <c r="C26" i="1"/>
  <c r="J38" i="1"/>
  <c r="J26" i="1"/>
  <c r="E51" i="1"/>
  <c r="Q28" i="1"/>
  <c r="T52" i="1"/>
  <c r="I19" i="1"/>
  <c r="BX128" i="1"/>
  <c r="BY128" i="1" s="1"/>
  <c r="U19" i="1"/>
  <c r="Q38" i="1"/>
  <c r="Q200" i="1" s="1"/>
  <c r="N41" i="1"/>
  <c r="D21" i="1"/>
  <c r="W45" i="1"/>
  <c r="E53" i="1"/>
  <c r="L30" i="1"/>
  <c r="Q26" i="1"/>
  <c r="F57" i="1"/>
  <c r="H27" i="1"/>
  <c r="H57" i="1"/>
  <c r="P38" i="1"/>
  <c r="P200" i="1" s="1"/>
  <c r="R28" i="1"/>
  <c r="J15" i="1"/>
  <c r="K28" i="1"/>
  <c r="U41" i="1"/>
  <c r="V57" i="1"/>
  <c r="R27" i="1"/>
  <c r="P26" i="1"/>
  <c r="C53" i="1"/>
  <c r="K52" i="1"/>
  <c r="J30" i="1"/>
  <c r="D28" i="1"/>
  <c r="T45" i="1"/>
  <c r="R21" i="1"/>
  <c r="B14" i="1"/>
  <c r="W19" i="1"/>
  <c r="K41" i="1"/>
  <c r="P166" i="1"/>
  <c r="N51" i="1"/>
  <c r="T53" i="1"/>
  <c r="T38" i="1"/>
  <c r="E41" i="1"/>
  <c r="AL26" i="1"/>
  <c r="AL51" i="1"/>
  <c r="BX21" i="1"/>
  <c r="AJ20" i="1"/>
  <c r="AJ26" i="1"/>
  <c r="F31" i="1"/>
  <c r="B21" i="1"/>
  <c r="L14" i="1"/>
  <c r="L237" i="1" s="1"/>
  <c r="E26" i="1"/>
  <c r="D38" i="1"/>
  <c r="D200" i="1" s="1"/>
  <c r="BX158" i="1"/>
  <c r="BY158" i="1" s="1"/>
  <c r="D31" i="1"/>
  <c r="P15" i="1"/>
  <c r="L27" i="1"/>
  <c r="H15" i="1"/>
  <c r="V15" i="1"/>
  <c r="V16" i="1" s="1"/>
  <c r="C31" i="1"/>
  <c r="U30" i="1"/>
  <c r="P53" i="1"/>
  <c r="H45" i="1"/>
  <c r="R14" i="1"/>
  <c r="S31" i="1"/>
  <c r="F45" i="1"/>
  <c r="C57" i="1"/>
  <c r="M27" i="1"/>
  <c r="C29" i="1"/>
  <c r="V51" i="1"/>
  <c r="O26" i="1"/>
  <c r="G169" i="1"/>
  <c r="T57" i="1"/>
  <c r="O29" i="1"/>
  <c r="V30" i="1"/>
  <c r="N57" i="1"/>
  <c r="F28" i="1"/>
  <c r="T29" i="1"/>
  <c r="F14" i="1"/>
  <c r="F237" i="1" s="1"/>
  <c r="D52" i="1"/>
  <c r="W15" i="1"/>
  <c r="W16" i="1" s="1"/>
  <c r="G42" i="1"/>
  <c r="B19" i="1"/>
  <c r="O21" i="1"/>
  <c r="BX166" i="1"/>
  <c r="J28" i="1"/>
  <c r="G26" i="1"/>
  <c r="U27" i="1"/>
  <c r="O31" i="1"/>
  <c r="BX124" i="1"/>
  <c r="BY124" i="1" s="1"/>
  <c r="B15" i="1"/>
  <c r="P51" i="1"/>
  <c r="V26" i="1"/>
  <c r="C30" i="1"/>
  <c r="D29" i="1"/>
  <c r="L29" i="1"/>
  <c r="R15" i="1"/>
  <c r="O45" i="1"/>
  <c r="G31" i="1"/>
  <c r="G15" i="1"/>
  <c r="S30" i="1"/>
  <c r="O52" i="1"/>
  <c r="V53" i="1"/>
  <c r="V19" i="1"/>
  <c r="T15" i="1"/>
  <c r="G159" i="1"/>
  <c r="C21" i="1"/>
  <c r="G30" i="1"/>
  <c r="H29" i="1"/>
  <c r="P21" i="1"/>
  <c r="R30" i="1"/>
  <c r="E27" i="1"/>
  <c r="P52" i="1"/>
  <c r="T31" i="1"/>
  <c r="I52" i="1"/>
  <c r="F53" i="1"/>
  <c r="M31" i="1"/>
  <c r="T41" i="1"/>
  <c r="T26" i="1"/>
  <c r="P28" i="1"/>
  <c r="H41" i="1"/>
  <c r="U53" i="1"/>
  <c r="HZ15" i="4" s="1"/>
  <c r="HY9" i="4" s="1"/>
  <c r="IX7" i="4" s="1"/>
  <c r="JE16" i="4" s="1"/>
  <c r="JE21" i="4" s="1"/>
  <c r="BY83" i="1" s="1"/>
  <c r="JB9" i="4" s="1"/>
  <c r="IY15" i="4" s="1"/>
  <c r="HP14" i="4" s="1"/>
  <c r="ID9" i="4" s="1"/>
  <c r="HT16" i="4" s="1"/>
  <c r="HT21" i="4" s="1"/>
  <c r="AN83" i="1" s="1"/>
  <c r="AK30" i="1"/>
  <c r="BX14" i="1"/>
  <c r="BX42" i="1"/>
  <c r="AJ28" i="1"/>
  <c r="AK29" i="1"/>
  <c r="AL45" i="1"/>
  <c r="BX169" i="1"/>
  <c r="BY169" i="1" s="1"/>
  <c r="U42" i="1"/>
  <c r="U258" i="1" s="1"/>
  <c r="S27" i="1"/>
  <c r="B29" i="1"/>
  <c r="BX152" i="1"/>
  <c r="BY152" i="1" s="1"/>
  <c r="W51" i="1"/>
  <c r="BX137" i="1"/>
  <c r="BX80" i="1"/>
  <c r="BX132" i="1"/>
  <c r="BY132" i="1" s="1"/>
  <c r="K19" i="1"/>
  <c r="BX159" i="1"/>
  <c r="BX189" i="1" s="1"/>
  <c r="BY189" i="1" s="1"/>
  <c r="B42" i="1"/>
  <c r="B57" i="1"/>
  <c r="V52" i="1"/>
  <c r="L21" i="1"/>
  <c r="K29" i="1"/>
  <c r="I21" i="1"/>
  <c r="D53" i="1"/>
  <c r="S15" i="1"/>
  <c r="S16" i="1" s="1"/>
  <c r="N45" i="1"/>
  <c r="C27" i="1"/>
  <c r="D26" i="1"/>
  <c r="J53" i="1"/>
  <c r="B27" i="1"/>
  <c r="Q159" i="1"/>
  <c r="W41" i="1"/>
  <c r="C130" i="1"/>
  <c r="U21" i="1"/>
  <c r="T14" i="1"/>
  <c r="T237" i="1" s="1"/>
  <c r="W123" i="1"/>
  <c r="R57" i="1"/>
  <c r="AJ51" i="1"/>
  <c r="AK38" i="1"/>
  <c r="AK200" i="1" s="1"/>
  <c r="AL27" i="1"/>
  <c r="BX148" i="1"/>
  <c r="BY148" i="1" s="1"/>
  <c r="BX146" i="1"/>
  <c r="BY146" i="1" s="1"/>
  <c r="BZ208" i="1" s="1"/>
  <c r="I45" i="1"/>
  <c r="E29" i="1"/>
  <c r="B30" i="1"/>
  <c r="BX156" i="1"/>
  <c r="BY156" i="1" s="1"/>
  <c r="I26" i="1"/>
  <c r="S51" i="1"/>
  <c r="BX141" i="1"/>
  <c r="BY141" i="1" s="1"/>
  <c r="BX133" i="1"/>
  <c r="BY133" i="1" s="1"/>
  <c r="BX123" i="1"/>
  <c r="BY123" i="1" s="1"/>
  <c r="G51" i="1"/>
  <c r="K45" i="1"/>
  <c r="J14" i="1"/>
  <c r="B51" i="1"/>
  <c r="E52" i="1"/>
  <c r="L53" i="1"/>
  <c r="Q29" i="1"/>
  <c r="S38" i="1"/>
  <c r="E42" i="1"/>
  <c r="W29" i="1"/>
  <c r="I14" i="1"/>
  <c r="I237" i="1" s="1"/>
  <c r="E19" i="1"/>
  <c r="H51" i="1"/>
  <c r="U52" i="1"/>
  <c r="Q14" i="1"/>
  <c r="Q31" i="1"/>
  <c r="J21" i="1"/>
  <c r="E38" i="1"/>
  <c r="E200" i="1" s="1"/>
  <c r="O38" i="1"/>
  <c r="U15" i="1"/>
  <c r="U16" i="1" s="1"/>
  <c r="G53" i="1"/>
  <c r="W26" i="1"/>
  <c r="R38" i="1"/>
  <c r="I31" i="1"/>
  <c r="H38" i="1"/>
  <c r="H200" i="1" s="1"/>
  <c r="W52" i="1"/>
  <c r="AL41" i="1"/>
  <c r="BX15" i="1"/>
  <c r="AJ41" i="1"/>
  <c r="AK14" i="1"/>
  <c r="AK237" i="1" s="1"/>
  <c r="AJ27" i="1"/>
  <c r="BX28" i="1"/>
  <c r="AL31" i="1"/>
  <c r="BX157" i="1"/>
  <c r="BY157" i="1" s="1"/>
  <c r="R19" i="1"/>
  <c r="U38" i="1"/>
  <c r="U259" i="1" s="1"/>
  <c r="B52" i="1"/>
  <c r="F21" i="1"/>
  <c r="C45" i="1"/>
  <c r="BX153" i="1"/>
  <c r="BY153" i="1" s="1"/>
  <c r="S42" i="1"/>
  <c r="S258" i="1" s="1"/>
  <c r="BX161" i="1"/>
  <c r="BY161" i="1" s="1"/>
  <c r="BX155" i="1"/>
  <c r="BY155" i="1" s="1"/>
  <c r="L41" i="1"/>
  <c r="K42" i="1"/>
  <c r="K258" i="1" s="1"/>
  <c r="K26" i="1"/>
  <c r="D14" i="1"/>
  <c r="D237" i="1" s="1"/>
  <c r="J125" i="1"/>
  <c r="D19" i="1"/>
  <c r="P41" i="1"/>
  <c r="V38" i="1"/>
  <c r="E21" i="1"/>
  <c r="W31" i="1"/>
  <c r="W42" i="1"/>
  <c r="W258" i="1" s="1"/>
  <c r="E15" i="1"/>
  <c r="H53" i="1"/>
  <c r="R45" i="1"/>
  <c r="L38" i="1"/>
  <c r="V31" i="1"/>
  <c r="L42" i="1"/>
  <c r="D45" i="1"/>
  <c r="Q51" i="1"/>
  <c r="G28" i="1"/>
  <c r="V41" i="1"/>
  <c r="L28" i="1"/>
  <c r="W30" i="1"/>
  <c r="K57" i="1"/>
  <c r="Q21" i="1"/>
  <c r="Q42" i="1"/>
  <c r="R52" i="1"/>
  <c r="Q57" i="1"/>
  <c r="F29" i="1"/>
  <c r="T27" i="1"/>
  <c r="T32" i="1" s="1"/>
  <c r="F15" i="1"/>
  <c r="R51" i="1"/>
  <c r="U51" i="1"/>
  <c r="IB15" i="4" s="1"/>
  <c r="HS7" i="4" s="1"/>
  <c r="JE8" i="4" s="1"/>
  <c r="HX15" i="4" s="1"/>
  <c r="HT14" i="4" s="1"/>
  <c r="JG14" i="4" s="1"/>
  <c r="IB9" i="4" s="1"/>
  <c r="AJ38" i="1"/>
  <c r="AL28" i="1"/>
  <c r="AM20" i="1"/>
  <c r="AK26" i="1"/>
  <c r="AM14" i="1"/>
  <c r="AM237" i="1" s="1"/>
  <c r="AJ19" i="1"/>
  <c r="AK28" i="1"/>
  <c r="AL57" i="1"/>
  <c r="AM27" i="1"/>
  <c r="F30" i="1"/>
  <c r="BX151" i="1"/>
  <c r="T51" i="1"/>
  <c r="H30" i="1"/>
  <c r="M51" i="1"/>
  <c r="W57" i="1"/>
  <c r="BX149" i="1"/>
  <c r="BY149" i="1" s="1"/>
  <c r="BX125" i="1"/>
  <c r="BY125" i="1" s="1"/>
  <c r="BX143" i="1"/>
  <c r="BY143" i="1" s="1"/>
  <c r="H14" i="1"/>
  <c r="H237" i="1" s="1"/>
  <c r="M30" i="1"/>
  <c r="BL80" i="1"/>
  <c r="BX139" i="1"/>
  <c r="R31" i="1"/>
  <c r="P42" i="1"/>
  <c r="I57" i="1"/>
  <c r="C38" i="1"/>
  <c r="P30" i="1"/>
  <c r="M45" i="1"/>
  <c r="D42" i="1"/>
  <c r="O19" i="1"/>
  <c r="L57" i="1"/>
  <c r="O28" i="1"/>
  <c r="C41" i="1"/>
  <c r="J57" i="1"/>
  <c r="N31" i="1"/>
  <c r="B38" i="1"/>
  <c r="B259" i="1" s="1"/>
  <c r="B28" i="1"/>
  <c r="L52" i="1"/>
  <c r="P27" i="1"/>
  <c r="N52" i="1"/>
  <c r="H31" i="1"/>
  <c r="G45" i="1"/>
  <c r="K15" i="1"/>
  <c r="P57" i="1"/>
  <c r="I30" i="1"/>
  <c r="D51" i="1"/>
  <c r="K53" i="1"/>
  <c r="N30" i="1"/>
  <c r="G27" i="1"/>
  <c r="AM42" i="1"/>
  <c r="AM45" i="1"/>
  <c r="AM26" i="1"/>
  <c r="AM38" i="1"/>
  <c r="AM200" i="1" s="1"/>
  <c r="AJ57" i="1"/>
  <c r="AK27" i="1"/>
  <c r="AL29" i="1"/>
  <c r="AK19" i="1"/>
  <c r="AK21" i="1"/>
  <c r="AL19" i="1"/>
  <c r="E31" i="1"/>
  <c r="E45" i="1"/>
  <c r="Q45" i="1"/>
  <c r="D30" i="1"/>
  <c r="BX131" i="1"/>
  <c r="BY131" i="1" s="1"/>
  <c r="R53" i="1"/>
  <c r="R26" i="1"/>
  <c r="U45" i="1"/>
  <c r="M21" i="1"/>
  <c r="I53" i="1"/>
  <c r="BX130" i="1"/>
  <c r="BY130" i="1" s="1"/>
  <c r="S41" i="1"/>
  <c r="M41" i="1"/>
  <c r="B53" i="1"/>
  <c r="W27" i="1"/>
  <c r="H52" i="1"/>
  <c r="O53" i="1"/>
  <c r="P29" i="1"/>
  <c r="N53" i="1"/>
  <c r="J45" i="1"/>
  <c r="O27" i="1"/>
  <c r="J42" i="1"/>
  <c r="D57" i="1"/>
  <c r="R41" i="1"/>
  <c r="U26" i="1"/>
  <c r="H21" i="1"/>
  <c r="S52" i="1"/>
  <c r="P19" i="1"/>
  <c r="M42" i="1"/>
  <c r="M53" i="1"/>
  <c r="N38" i="1"/>
  <c r="N200" i="1" s="1"/>
  <c r="K30" i="1"/>
  <c r="I38" i="1"/>
  <c r="I200" i="1" s="1"/>
  <c r="G21" i="1"/>
  <c r="C14" i="1"/>
  <c r="V42" i="1"/>
  <c r="V258" i="1" s="1"/>
  <c r="AL161" i="1"/>
  <c r="AM161" i="1" s="1"/>
  <c r="AL80" i="1"/>
  <c r="BJ169" i="1"/>
  <c r="BK169" i="1" s="1"/>
  <c r="BJ160" i="1"/>
  <c r="BK160" i="1" s="1"/>
  <c r="BJ150" i="1"/>
  <c r="AJ130" i="1"/>
  <c r="AK130" i="1" s="1"/>
  <c r="AJ169" i="1"/>
  <c r="AK169" i="1" s="1"/>
  <c r="AJ133" i="1"/>
  <c r="AK133" i="1" s="1"/>
  <c r="AJ165" i="1"/>
  <c r="BJ133" i="1"/>
  <c r="BK133" i="1" s="1"/>
  <c r="AJ128" i="1"/>
  <c r="AK128" i="1" s="1"/>
  <c r="AL151" i="1"/>
  <c r="AL156" i="1"/>
  <c r="AM156" i="1" s="1"/>
  <c r="AL148" i="1"/>
  <c r="AM148" i="1" s="1"/>
  <c r="AL137" i="1"/>
  <c r="AL131" i="1"/>
  <c r="AM131" i="1" s="1"/>
  <c r="AL170" i="1"/>
  <c r="AM170" i="1" s="1"/>
  <c r="AL155" i="1"/>
  <c r="AM155" i="1" s="1"/>
  <c r="AL125" i="1"/>
  <c r="BJ165" i="1"/>
  <c r="BJ166" i="1"/>
  <c r="BJ153" i="1"/>
  <c r="BK153" i="1" s="1"/>
  <c r="BJ155" i="1"/>
  <c r="AJ156" i="1"/>
  <c r="AK156" i="1" s="1"/>
  <c r="AJ159" i="1"/>
  <c r="AJ157" i="1"/>
  <c r="AK157" i="1" s="1"/>
  <c r="AL141" i="1"/>
  <c r="AM141" i="1" s="1"/>
  <c r="BJ161" i="1"/>
  <c r="BK161" i="1" s="1"/>
  <c r="AJ155" i="1"/>
  <c r="AK155" i="1" s="1"/>
  <c r="BJ130" i="1"/>
  <c r="BK130" i="1" s="1"/>
  <c r="AL139" i="1"/>
  <c r="AL169" i="1"/>
  <c r="AM169" i="1" s="1"/>
  <c r="BJ137" i="1"/>
  <c r="BJ151" i="1"/>
  <c r="BJ170" i="1"/>
  <c r="AJ158" i="1"/>
  <c r="AK158" i="1" s="1"/>
  <c r="AJ148" i="1"/>
  <c r="AK148" i="1" s="1"/>
  <c r="AJ160" i="1"/>
  <c r="AK160" i="1" s="1"/>
  <c r="AL157" i="1"/>
  <c r="AM157" i="1" s="1"/>
  <c r="BJ125" i="1"/>
  <c r="AL128" i="1"/>
  <c r="AM128" i="1" s="1"/>
  <c r="BJ132" i="1"/>
  <c r="BK132" i="1" s="1"/>
  <c r="AL159" i="1"/>
  <c r="AL152" i="1"/>
  <c r="AM152" i="1" s="1"/>
  <c r="AL158" i="1"/>
  <c r="AM158" i="1" s="1"/>
  <c r="AL165" i="1"/>
  <c r="AL150" i="1"/>
  <c r="BJ146" i="1"/>
  <c r="BK146" i="1" s="1"/>
  <c r="BL208" i="1" s="1"/>
  <c r="BJ158" i="1"/>
  <c r="BK158" i="1" s="1"/>
  <c r="BJ141" i="1"/>
  <c r="BK141" i="1" s="1"/>
  <c r="BJ131" i="1"/>
  <c r="BK131" i="1" s="1"/>
  <c r="BJ148" i="1"/>
  <c r="BK148" i="1" s="1"/>
  <c r="BJ138" i="1"/>
  <c r="AJ139" i="1"/>
  <c r="AJ150" i="1"/>
  <c r="AJ151" i="1"/>
  <c r="AJ166" i="1"/>
  <c r="AJ125" i="1"/>
  <c r="AJ152" i="1"/>
  <c r="AK152" i="1" s="1"/>
  <c r="AJ131" i="1"/>
  <c r="AK131" i="1" s="1"/>
  <c r="AL160" i="1"/>
  <c r="AM160" i="1" s="1"/>
  <c r="AL123" i="1"/>
  <c r="AM123" i="1" s="1"/>
  <c r="BJ152" i="1"/>
  <c r="BK152" i="1" s="1"/>
  <c r="AJ123" i="1"/>
  <c r="AK123" i="1" s="1"/>
  <c r="AL132" i="1"/>
  <c r="AM132" i="1" s="1"/>
  <c r="AL124" i="1"/>
  <c r="AM124" i="1" s="1"/>
  <c r="AL130" i="1"/>
  <c r="AM130" i="1" s="1"/>
  <c r="AL138" i="1"/>
  <c r="AL166" i="1"/>
  <c r="AL133" i="1"/>
  <c r="AM133" i="1" s="1"/>
  <c r="AL79" i="1"/>
  <c r="AL153" i="1"/>
  <c r="AM153" i="1" s="1"/>
  <c r="BJ124" i="1"/>
  <c r="BK124" i="1" s="1"/>
  <c r="BJ159" i="1"/>
  <c r="BJ156" i="1"/>
  <c r="BK156" i="1" s="1"/>
  <c r="BJ139" i="1"/>
  <c r="BJ157" i="1"/>
  <c r="BK157" i="1" s="1"/>
  <c r="AJ170" i="1"/>
  <c r="AK170" i="1" s="1"/>
  <c r="AJ132" i="1"/>
  <c r="AK132" i="1" s="1"/>
  <c r="AJ138" i="1"/>
  <c r="AJ161" i="1"/>
  <c r="AK161" i="1" s="1"/>
  <c r="AJ124" i="1"/>
  <c r="AK124" i="1" s="1"/>
  <c r="AJ146" i="1"/>
  <c r="AK146" i="1" s="1"/>
  <c r="AL146" i="1"/>
  <c r="AM146" i="1" s="1"/>
  <c r="AM208" i="1" s="1"/>
  <c r="BJ128" i="1"/>
  <c r="BK128" i="1" s="1"/>
  <c r="BJ123" i="1"/>
  <c r="AJ137" i="1"/>
  <c r="AJ141" i="1"/>
  <c r="AK141" i="1" s="1"/>
  <c r="AJ153" i="1"/>
  <c r="AK153" i="1" s="1"/>
  <c r="AJ143" i="1"/>
  <c r="AK143" i="1" s="1"/>
  <c r="AL143" i="1"/>
  <c r="AM143" i="1" s="1"/>
  <c r="BJ143" i="1"/>
  <c r="BK143" i="1" s="1"/>
  <c r="BJ149" i="1"/>
  <c r="AL149" i="1"/>
  <c r="JC8" i="4"/>
  <c r="HR8" i="4"/>
  <c r="IS15" i="4"/>
  <c r="IG21" i="4"/>
  <c r="BA83" i="1" s="1"/>
  <c r="JF15" i="4"/>
  <c r="HY8" i="4"/>
  <c r="IW14" i="4"/>
  <c r="IX15" i="4"/>
  <c r="HZ14" i="4"/>
  <c r="JG21" i="4"/>
  <c r="CA83" i="1" s="1"/>
  <c r="IU15" i="4"/>
  <c r="IK8" i="4"/>
  <c r="HX7" i="4"/>
  <c r="IA14" i="4"/>
  <c r="HS14" i="4"/>
  <c r="IE7" i="4"/>
  <c r="IP15" i="4"/>
  <c r="IL7" i="4"/>
  <c r="IQ8" i="4"/>
  <c r="HU8" i="4"/>
  <c r="JE14" i="4"/>
  <c r="IM7" i="4"/>
  <c r="JA14" i="4"/>
  <c r="IL14" i="4"/>
  <c r="JI8" i="4"/>
  <c r="JD14" i="4"/>
  <c r="HY14" i="4"/>
  <c r="HU14" i="4"/>
  <c r="JI7" i="4"/>
  <c r="IN14" i="4"/>
  <c r="IT15" i="4"/>
  <c r="IZ14" i="4"/>
  <c r="IF15" i="4"/>
  <c r="IW15" i="4"/>
  <c r="IO14" i="4"/>
  <c r="IQ21" i="4"/>
  <c r="BK83" i="1" s="1"/>
  <c r="IZ15" i="4"/>
  <c r="JG7" i="4"/>
  <c r="HW8" i="4"/>
  <c r="IJ8" i="4"/>
  <c r="IG14" i="4"/>
  <c r="HY15" i="4"/>
  <c r="IS14" i="4"/>
  <c r="IV21" i="4"/>
  <c r="BP83" i="1" s="1"/>
  <c r="IH8" i="4"/>
  <c r="IV7" i="4"/>
  <c r="IO8" i="4"/>
  <c r="HU7" i="4"/>
  <c r="JE7" i="4"/>
  <c r="IJ15" i="4"/>
  <c r="II14" i="4"/>
  <c r="IJ14" i="4"/>
  <c r="ID14" i="4"/>
  <c r="IE15" i="4"/>
  <c r="ID7" i="4"/>
  <c r="II8" i="4"/>
  <c r="HQ15" i="4"/>
  <c r="HZ8" i="4"/>
  <c r="IC7" i="4"/>
  <c r="IR15" i="4"/>
  <c r="HW14" i="4"/>
  <c r="HU15" i="4"/>
  <c r="HT15" i="4"/>
  <c r="IX8" i="4"/>
  <c r="JB7" i="4"/>
  <c r="IQ14" i="4"/>
  <c r="IH14" i="4"/>
  <c r="IT7" i="4"/>
  <c r="JD15" i="4"/>
  <c r="IS8" i="4"/>
  <c r="HR14" i="4"/>
  <c r="IH7" i="4"/>
  <c r="HS8" i="4"/>
  <c r="JH14" i="4"/>
  <c r="HQ8" i="4"/>
  <c r="IF8" i="4"/>
  <c r="IF20" i="4" s="1"/>
  <c r="AZ85" i="1" s="1"/>
  <c r="AZ114" i="1" s="1"/>
  <c r="IQ7" i="4"/>
  <c r="IM15" i="4"/>
  <c r="II7" i="4"/>
  <c r="JF8" i="4"/>
  <c r="IF7" i="4"/>
  <c r="JB8" i="4"/>
  <c r="IO15" i="4"/>
  <c r="IR14" i="4"/>
  <c r="HW15" i="4"/>
  <c r="IP14" i="4"/>
  <c r="IV8" i="4"/>
  <c r="JH15" i="4"/>
  <c r="JD7" i="4"/>
  <c r="IE8" i="4"/>
  <c r="JC14" i="4"/>
  <c r="HV8" i="4"/>
  <c r="IM8" i="4"/>
  <c r="IK15" i="4"/>
  <c r="IE14" i="4"/>
  <c r="IW8" i="4"/>
  <c r="IS7" i="4"/>
  <c r="IU14" i="4"/>
  <c r="JD8" i="4"/>
  <c r="JH8" i="4"/>
  <c r="IA15" i="4"/>
  <c r="IG8" i="4"/>
  <c r="HZ7" i="4"/>
  <c r="IB8" i="4"/>
  <c r="IR7" i="4"/>
  <c r="IB14" i="4"/>
  <c r="IT8" i="4"/>
  <c r="JH7" i="4"/>
  <c r="IY14" i="4"/>
  <c r="HP7" i="4"/>
  <c r="IC8" i="4"/>
  <c r="HT8" i="4"/>
  <c r="IW7" i="4"/>
  <c r="IA8" i="4"/>
  <c r="HQ14" i="4"/>
  <c r="IT14" i="4"/>
  <c r="HP8" i="4"/>
  <c r="HR7" i="4"/>
  <c r="HY7" i="4"/>
  <c r="IU8" i="4"/>
  <c r="JF14" i="4"/>
  <c r="HX8" i="4"/>
  <c r="JI14" i="4"/>
  <c r="IK14" i="4"/>
  <c r="HT7" i="4"/>
  <c r="HW7" i="4"/>
  <c r="IV14" i="4"/>
  <c r="HS15" i="4"/>
  <c r="JB14" i="4"/>
  <c r="JA15" i="4"/>
  <c r="JA20" i="4" s="1"/>
  <c r="BU85" i="1" s="1"/>
  <c r="BU114" i="1" s="1"/>
  <c r="ID8" i="4"/>
  <c r="IO7" i="4"/>
  <c r="IU7" i="4"/>
  <c r="JI15" i="4"/>
  <c r="IQ15" i="4"/>
  <c r="IC14" i="4"/>
  <c r="JG15" i="4"/>
  <c r="IY7" i="4"/>
  <c r="II15" i="4"/>
  <c r="HX14" i="4"/>
  <c r="CM38" i="1"/>
  <c r="AB83" i="1"/>
  <c r="CQ83" i="1"/>
  <c r="AC146" i="1"/>
  <c r="CN71" i="1"/>
  <c r="CO69" i="1"/>
  <c r="L259" i="1" l="1"/>
  <c r="L258" i="1"/>
  <c r="Q258" i="1"/>
  <c r="F258" i="1"/>
  <c r="B258" i="1"/>
  <c r="N237" i="1"/>
  <c r="K259" i="1"/>
  <c r="AL258" i="1"/>
  <c r="O16" i="1"/>
  <c r="W17" i="1"/>
  <c r="G258" i="1"/>
  <c r="V22" i="1"/>
  <c r="V23" i="1" s="1"/>
  <c r="G189" i="1"/>
  <c r="S32" i="1"/>
  <c r="N258" i="1"/>
  <c r="M259" i="1"/>
  <c r="JB21" i="4"/>
  <c r="BV83" i="1" s="1"/>
  <c r="O258" i="1"/>
  <c r="P259" i="1"/>
  <c r="W200" i="1"/>
  <c r="I258" i="1"/>
  <c r="D259" i="1"/>
  <c r="S22" i="1"/>
  <c r="S23" i="1" s="1"/>
  <c r="IA21" i="4"/>
  <c r="AU83" i="1" s="1"/>
  <c r="M200" i="1"/>
  <c r="IF21" i="4"/>
  <c r="AZ83" i="1" s="1"/>
  <c r="F259" i="1"/>
  <c r="AL259" i="1"/>
  <c r="S104" i="1"/>
  <c r="BX258" i="1"/>
  <c r="M32" i="1"/>
  <c r="P258" i="1"/>
  <c r="D258" i="1"/>
  <c r="AJ185" i="1"/>
  <c r="BX185" i="1"/>
  <c r="BY185" i="1" s="1"/>
  <c r="CA104" i="1"/>
  <c r="CA105" i="1" s="1"/>
  <c r="BX237" i="1"/>
  <c r="C258" i="1"/>
  <c r="P32" i="1"/>
  <c r="BY134" i="1"/>
  <c r="D32" i="1"/>
  <c r="I32" i="1"/>
  <c r="O32" i="1"/>
  <c r="W32" i="1"/>
  <c r="E32" i="1"/>
  <c r="AJ16" i="1"/>
  <c r="N16" i="1"/>
  <c r="W104" i="1"/>
  <c r="W22" i="1"/>
  <c r="X17" i="1"/>
  <c r="W194" i="1"/>
  <c r="X194" i="1"/>
  <c r="I16" i="1"/>
  <c r="BJ186" i="1"/>
  <c r="BK186" i="1" s="1"/>
  <c r="BX16" i="1"/>
  <c r="HX20" i="4"/>
  <c r="AR85" i="1" s="1"/>
  <c r="AR114" i="1" s="1"/>
  <c r="IL16" i="4"/>
  <c r="IZ8" i="4"/>
  <c r="IJ9" i="4" s="1"/>
  <c r="JA21" i="4"/>
  <c r="BU83" i="1" s="1"/>
  <c r="HX16" i="4"/>
  <c r="IM21" i="4"/>
  <c r="BG83" i="1" s="1"/>
  <c r="HV9" i="4"/>
  <c r="HV21" i="4" s="1"/>
  <c r="AP83" i="1" s="1"/>
  <c r="IE16" i="4"/>
  <c r="IO16" i="4" s="1"/>
  <c r="IZ16" i="4"/>
  <c r="IZ21" i="4" s="1"/>
  <c r="BT83" i="1" s="1"/>
  <c r="HZ9" i="4" s="1"/>
  <c r="IT9" i="4" s="1"/>
  <c r="IT21" i="4" s="1"/>
  <c r="BN83" i="1" s="1"/>
  <c r="HP15" i="4" s="1"/>
  <c r="HS21" i="4"/>
  <c r="AM83" i="1" s="1"/>
  <c r="IU16" i="4"/>
  <c r="JC21" i="4"/>
  <c r="BW83" i="1" s="1"/>
  <c r="JF7" i="4"/>
  <c r="G259" i="1"/>
  <c r="G200" i="1"/>
  <c r="E16" i="1"/>
  <c r="E237" i="1"/>
  <c r="AL16" i="1"/>
  <c r="AL22" i="1" s="1"/>
  <c r="AL23" i="1" s="1"/>
  <c r="AL237" i="1"/>
  <c r="M16" i="1"/>
  <c r="M237" i="1"/>
  <c r="G16" i="1"/>
  <c r="G237" i="1"/>
  <c r="P237" i="1"/>
  <c r="P189" i="1"/>
  <c r="J259" i="1"/>
  <c r="J200" i="1"/>
  <c r="B16" i="1"/>
  <c r="B22" i="1" s="1"/>
  <c r="B237" i="1"/>
  <c r="T259" i="1"/>
  <c r="T200" i="1"/>
  <c r="V17" i="1"/>
  <c r="V104" i="1"/>
  <c r="R16" i="1"/>
  <c r="R237" i="1"/>
  <c r="S259" i="1"/>
  <c r="S200" i="1"/>
  <c r="Q237" i="1"/>
  <c r="Q259" i="1"/>
  <c r="O259" i="1"/>
  <c r="O200" i="1"/>
  <c r="U104" i="1"/>
  <c r="V194" i="1"/>
  <c r="C259" i="1"/>
  <c r="C200" i="1"/>
  <c r="C16" i="1"/>
  <c r="C237" i="1"/>
  <c r="AJ43" i="1"/>
  <c r="T258" i="1"/>
  <c r="R258" i="1"/>
  <c r="BX167" i="1"/>
  <c r="BY215" i="1" s="1"/>
  <c r="L16" i="1"/>
  <c r="G32" i="1"/>
  <c r="HY21" i="4"/>
  <c r="AS83" i="1" s="1"/>
  <c r="Q16" i="1"/>
  <c r="AL32" i="1"/>
  <c r="BY126" i="1"/>
  <c r="Q32" i="1"/>
  <c r="U22" i="1"/>
  <c r="J32" i="1"/>
  <c r="P16" i="1"/>
  <c r="L32" i="1"/>
  <c r="C32" i="1"/>
  <c r="C33" i="1" s="1"/>
  <c r="V32" i="1"/>
  <c r="V33" i="1" s="1"/>
  <c r="T16" i="1"/>
  <c r="AJ32" i="1"/>
  <c r="AJ33" i="1" s="1"/>
  <c r="BX140" i="1"/>
  <c r="BY39" i="1" s="1"/>
  <c r="F32" i="1"/>
  <c r="H32" i="1"/>
  <c r="K16" i="1"/>
  <c r="M258" i="1"/>
  <c r="BJ185" i="1"/>
  <c r="BK185" i="1" s="1"/>
  <c r="AL186" i="1"/>
  <c r="AM186" i="1" s="1"/>
  <c r="AJ189" i="1"/>
  <c r="AL189" i="1"/>
  <c r="AM189" i="1" s="1"/>
  <c r="AL185" i="1"/>
  <c r="AM185" i="1" s="1"/>
  <c r="J237" i="1"/>
  <c r="J16" i="1"/>
  <c r="J258" i="1"/>
  <c r="R200" i="1"/>
  <c r="R259" i="1"/>
  <c r="V200" i="1"/>
  <c r="V259" i="1"/>
  <c r="AJ200" i="1"/>
  <c r="AJ39" i="1"/>
  <c r="K32" i="1"/>
  <c r="BX259" i="1"/>
  <c r="N32" i="1"/>
  <c r="HT19" i="4"/>
  <c r="AN84" i="1" s="1"/>
  <c r="AN113" i="1" s="1"/>
  <c r="U32" i="1"/>
  <c r="AM32" i="1"/>
  <c r="AK16" i="1"/>
  <c r="IC19" i="4"/>
  <c r="AW84" i="1" s="1"/>
  <c r="AW113" i="1" s="1"/>
  <c r="AK32" i="1"/>
  <c r="BX32" i="1"/>
  <c r="R32" i="1"/>
  <c r="II20" i="4"/>
  <c r="BC85" i="1" s="1"/>
  <c r="BC114" i="1" s="1"/>
  <c r="HX19" i="4"/>
  <c r="AR84" i="1" s="1"/>
  <c r="AR113" i="1" s="1"/>
  <c r="U200" i="1"/>
  <c r="AM258" i="1"/>
  <c r="D16" i="1"/>
  <c r="BX162" i="1"/>
  <c r="BX191" i="1" s="1"/>
  <c r="BX190" i="1" s="1"/>
  <c r="BJ189" i="1"/>
  <c r="BK189" i="1" s="1"/>
  <c r="I259" i="1"/>
  <c r="BX134" i="1"/>
  <c r="F16" i="1"/>
  <c r="L200" i="1"/>
  <c r="H258" i="1"/>
  <c r="N259" i="1"/>
  <c r="AM104" i="1"/>
  <c r="AM105" i="1" s="1"/>
  <c r="BX186" i="1"/>
  <c r="BY186" i="1" s="1"/>
  <c r="AM259" i="1"/>
  <c r="BX126" i="1"/>
  <c r="BX98" i="1" s="1"/>
  <c r="BX100" i="1" s="1"/>
  <c r="H259" i="1"/>
  <c r="H16" i="1"/>
  <c r="AM16" i="1"/>
  <c r="BX154" i="1"/>
  <c r="BX188" i="1" s="1"/>
  <c r="BJ167" i="1"/>
  <c r="BK215" i="1" s="1"/>
  <c r="BJ140" i="1"/>
  <c r="BK134" i="1"/>
  <c r="BK123" i="1"/>
  <c r="BJ126" i="1"/>
  <c r="AJ167" i="1"/>
  <c r="AK215" i="1" s="1"/>
  <c r="AM134" i="1"/>
  <c r="AL167" i="1"/>
  <c r="AM215" i="1" s="1"/>
  <c r="BJ162" i="1"/>
  <c r="BJ191" i="1" s="1"/>
  <c r="AL140" i="1"/>
  <c r="AM140" i="1" s="1"/>
  <c r="AM144" i="1" s="1"/>
  <c r="BK155" i="1"/>
  <c r="BJ134" i="1"/>
  <c r="AJ134" i="1"/>
  <c r="AL162" i="1"/>
  <c r="AL191" i="1" s="1"/>
  <c r="AJ208" i="1"/>
  <c r="AL126" i="1"/>
  <c r="AL134" i="1"/>
  <c r="AI202" i="1"/>
  <c r="AI204" i="1" s="1"/>
  <c r="AJ140" i="1"/>
  <c r="AK39" i="1" s="1"/>
  <c r="AJ154" i="1"/>
  <c r="AJ186" i="1"/>
  <c r="AK186" i="1" s="1"/>
  <c r="AK134" i="1"/>
  <c r="AJ126" i="1"/>
  <c r="AJ162" i="1"/>
  <c r="BK149" i="1"/>
  <c r="BJ154" i="1"/>
  <c r="AM149" i="1"/>
  <c r="AL154" i="1"/>
  <c r="IU20" i="4"/>
  <c r="BO85" i="1" s="1"/>
  <c r="BO114" i="1" s="1"/>
  <c r="IL19" i="4"/>
  <c r="BF84" i="1" s="1"/>
  <c r="BF113" i="1" s="1"/>
  <c r="HS19" i="4"/>
  <c r="AM84" i="1" s="1"/>
  <c r="JD19" i="4"/>
  <c r="BX84" i="1" s="1"/>
  <c r="IW20" i="4"/>
  <c r="BQ85" i="1" s="1"/>
  <c r="BQ114" i="1" s="1"/>
  <c r="II19" i="4"/>
  <c r="BC84" i="1" s="1"/>
  <c r="BC113" i="1" s="1"/>
  <c r="IA19" i="4"/>
  <c r="AU84" i="1" s="1"/>
  <c r="AU113" i="1" s="1"/>
  <c r="IS20" i="4"/>
  <c r="BM85" i="1" s="1"/>
  <c r="BM114" i="1" s="1"/>
  <c r="IR19" i="4"/>
  <c r="BL84" i="1" s="1"/>
  <c r="IH20" i="4"/>
  <c r="BB85" i="1" s="1"/>
  <c r="BB114" i="1" s="1"/>
  <c r="HQ20" i="4"/>
  <c r="AK85" i="1" s="1"/>
  <c r="HT20" i="4"/>
  <c r="AN85" i="1" s="1"/>
  <c r="AN114" i="1" s="1"/>
  <c r="JH19" i="4"/>
  <c r="CB84" i="1" s="1"/>
  <c r="N104" i="1"/>
  <c r="N22" i="1"/>
  <c r="CA100" i="1"/>
  <c r="CA108" i="1"/>
  <c r="IO20" i="4"/>
  <c r="BI85" i="1" s="1"/>
  <c r="BI114" i="1" s="1"/>
  <c r="HY20" i="4"/>
  <c r="AS85" i="1" s="1"/>
  <c r="AS114" i="1" s="1"/>
  <c r="IN19" i="4"/>
  <c r="BH84" i="1" s="1"/>
  <c r="BH113" i="1" s="1"/>
  <c r="JI19" i="4"/>
  <c r="CC84" i="1" s="1"/>
  <c r="O22" i="1"/>
  <c r="O23" i="1" s="1"/>
  <c r="IM20" i="4"/>
  <c r="BG85" i="1" s="1"/>
  <c r="BG114" i="1" s="1"/>
  <c r="IV19" i="4"/>
  <c r="BP84" i="1" s="1"/>
  <c r="BP113" i="1" s="1"/>
  <c r="IS19" i="4"/>
  <c r="BM84" i="1" s="1"/>
  <c r="BM113" i="1" s="1"/>
  <c r="O104" i="1"/>
  <c r="O17" i="1"/>
  <c r="IX20" i="4"/>
  <c r="BR85" i="1" s="1"/>
  <c r="BR114" i="1" s="1"/>
  <c r="JI20" i="4"/>
  <c r="CC85" i="1" s="1"/>
  <c r="BZ255" i="1"/>
  <c r="BZ257" i="1" s="1"/>
  <c r="BZ212" i="1"/>
  <c r="HR19" i="4"/>
  <c r="AL84" i="1" s="1"/>
  <c r="HZ19" i="4"/>
  <c r="AT84" i="1" s="1"/>
  <c r="AT113" i="1" s="1"/>
  <c r="HP19" i="4"/>
  <c r="AJ84" i="1" s="1"/>
  <c r="IJ20" i="4"/>
  <c r="BD85" i="1" s="1"/>
  <c r="BD114" i="1" s="1"/>
  <c r="JF20" i="4"/>
  <c r="BZ85" i="1" s="1"/>
  <c r="JH20" i="4"/>
  <c r="CB85" i="1" s="1"/>
  <c r="HU20" i="4"/>
  <c r="AO85" i="1" s="1"/>
  <c r="AO114" i="1" s="1"/>
  <c r="ID19" i="4"/>
  <c r="AX84" i="1" s="1"/>
  <c r="AX113" i="1" s="1"/>
  <c r="IZ19" i="4"/>
  <c r="BT84" i="1" s="1"/>
  <c r="BT113" i="1" s="1"/>
  <c r="IE19" i="4"/>
  <c r="AY84" i="1" s="1"/>
  <c r="AY113" i="1" s="1"/>
  <c r="IK20" i="4"/>
  <c r="BE85" i="1" s="1"/>
  <c r="BE114" i="1" s="1"/>
  <c r="IQ20" i="4"/>
  <c r="BK85" i="1" s="1"/>
  <c r="BK114" i="1" s="1"/>
  <c r="IE20" i="4"/>
  <c r="AY85" i="1" s="1"/>
  <c r="AY114" i="1" s="1"/>
  <c r="IY19" i="4"/>
  <c r="BS84" i="1" s="1"/>
  <c r="BS113" i="1" s="1"/>
  <c r="JG19" i="4"/>
  <c r="CA84" i="1" s="1"/>
  <c r="IT20" i="4"/>
  <c r="BN85" i="1" s="1"/>
  <c r="BN114" i="1" s="1"/>
  <c r="IW19" i="4"/>
  <c r="BQ84" i="1" s="1"/>
  <c r="BQ113" i="1" s="1"/>
  <c r="IY20" i="4"/>
  <c r="BS85" i="1" s="1"/>
  <c r="BS114" i="1" s="1"/>
  <c r="IU19" i="4"/>
  <c r="BO84" i="1" s="1"/>
  <c r="BO113" i="1" s="1"/>
  <c r="IQ19" i="4"/>
  <c r="BK84" i="1" s="1"/>
  <c r="BK113" i="1" s="1"/>
  <c r="IZ20" i="4"/>
  <c r="BT85" i="1" s="1"/>
  <c r="BT114" i="1" s="1"/>
  <c r="IO19" i="4"/>
  <c r="BI84" i="1" s="1"/>
  <c r="BI113" i="1" s="1"/>
  <c r="HZ20" i="4"/>
  <c r="AT85" i="1" s="1"/>
  <c r="AT114" i="1" s="1"/>
  <c r="HY19" i="4"/>
  <c r="AS84" i="1" s="1"/>
  <c r="AS113" i="1" s="1"/>
  <c r="IB20" i="4"/>
  <c r="AV85" i="1" s="1"/>
  <c r="AV114" i="1" s="1"/>
  <c r="HW19" i="4"/>
  <c r="AQ84" i="1" s="1"/>
  <c r="AQ113" i="1" s="1"/>
  <c r="HS20" i="4"/>
  <c r="AM85" i="1" s="1"/>
  <c r="JB19" i="4"/>
  <c r="BV84" i="1" s="1"/>
  <c r="BV113" i="1" s="1"/>
  <c r="HW20" i="4"/>
  <c r="AQ85" i="1" s="1"/>
  <c r="AQ114" i="1" s="1"/>
  <c r="HU19" i="4"/>
  <c r="AO84" i="1" s="1"/>
  <c r="AO113" i="1" s="1"/>
  <c r="HQ19" i="4"/>
  <c r="AK84" i="1" s="1"/>
  <c r="JE19" i="4"/>
  <c r="BY84" i="1" s="1"/>
  <c r="IR20" i="4"/>
  <c r="BL85" i="1" s="1"/>
  <c r="BL102" i="1" s="1"/>
  <c r="JD20" i="4"/>
  <c r="BX85" i="1" s="1"/>
  <c r="BX114" i="1" s="1"/>
  <c r="IH19" i="4"/>
  <c r="BB84" i="1" s="1"/>
  <c r="BB113" i="1" s="1"/>
  <c r="IA20" i="4"/>
  <c r="AU85" i="1" s="1"/>
  <c r="AU114" i="1" s="1"/>
  <c r="IT19" i="4"/>
  <c r="BN84" i="1" s="1"/>
  <c r="BN113" i="1" s="1"/>
  <c r="AL208" i="1"/>
  <c r="AK208" i="1"/>
  <c r="BK208" i="1"/>
  <c r="BY208" i="1"/>
  <c r="B32" i="1"/>
  <c r="Q189" i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M200" i="1"/>
  <c r="CM138" i="1"/>
  <c r="CM140" i="1" s="1"/>
  <c r="CM144" i="1" s="1"/>
  <c r="CM209" i="1" s="1"/>
  <c r="CM207" i="1" s="1"/>
  <c r="CR83" i="1"/>
  <c r="AC208" i="1"/>
  <c r="AB155" i="1"/>
  <c r="AB123" i="1"/>
  <c r="CO71" i="1"/>
  <c r="CP69" i="1"/>
  <c r="S17" i="1" l="1"/>
  <c r="S194" i="1"/>
  <c r="AJ22" i="1"/>
  <c r="W33" i="1"/>
  <c r="AK18" i="1"/>
  <c r="AM108" i="1"/>
  <c r="AM18" i="1"/>
  <c r="BX187" i="1"/>
  <c r="AL190" i="1"/>
  <c r="U17" i="1"/>
  <c r="U194" i="1"/>
  <c r="BY135" i="1"/>
  <c r="V34" i="1"/>
  <c r="B33" i="1"/>
  <c r="J22" i="1"/>
  <c r="J23" i="1" s="1"/>
  <c r="J104" i="1"/>
  <c r="I22" i="1"/>
  <c r="I104" i="1"/>
  <c r="J17" i="1"/>
  <c r="J194" i="1"/>
  <c r="AL33" i="1"/>
  <c r="AL34" i="1"/>
  <c r="BY98" i="1"/>
  <c r="BZ213" i="1"/>
  <c r="U23" i="1"/>
  <c r="V24" i="1"/>
  <c r="BY140" i="1"/>
  <c r="BX144" i="1"/>
  <c r="K17" i="1"/>
  <c r="K104" i="1"/>
  <c r="K22" i="1"/>
  <c r="L194" i="1"/>
  <c r="L17" i="1"/>
  <c r="N194" i="1"/>
  <c r="O194" i="1"/>
  <c r="X24" i="1"/>
  <c r="E33" i="1"/>
  <c r="I194" i="1"/>
  <c r="E17" i="1"/>
  <c r="D33" i="1"/>
  <c r="AM114" i="1"/>
  <c r="W23" i="1"/>
  <c r="W34" i="1"/>
  <c r="W24" i="1"/>
  <c r="BY18" i="1"/>
  <c r="CB17" i="1"/>
  <c r="CC194" i="1"/>
  <c r="BX22" i="1"/>
  <c r="BY213" i="1"/>
  <c r="I17" i="1"/>
  <c r="BK140" i="1"/>
  <c r="BJ144" i="1"/>
  <c r="BL212" i="1"/>
  <c r="BL255" i="1"/>
  <c r="BJ98" i="1"/>
  <c r="BJ254" i="1"/>
  <c r="AJ174" i="1"/>
  <c r="AK43" i="1" s="1"/>
  <c r="AJ212" i="1"/>
  <c r="AM39" i="1"/>
  <c r="AL144" i="1"/>
  <c r="AL98" i="1"/>
  <c r="AL254" i="1"/>
  <c r="AL212" i="1"/>
  <c r="AM212" i="1"/>
  <c r="AJ203" i="1"/>
  <c r="AJ191" i="1"/>
  <c r="AK140" i="1"/>
  <c r="AL174" i="1"/>
  <c r="AJ163" i="1"/>
  <c r="BJ135" i="1"/>
  <c r="BJ174" i="1"/>
  <c r="BJ115" i="1" s="1"/>
  <c r="AJ144" i="1"/>
  <c r="BK212" i="1"/>
  <c r="AL255" i="1"/>
  <c r="AL135" i="1"/>
  <c r="AJ202" i="1"/>
  <c r="AJ188" i="1"/>
  <c r="BJ188" i="1"/>
  <c r="BJ163" i="1"/>
  <c r="AL188" i="1"/>
  <c r="AL163" i="1"/>
  <c r="AM109" i="1"/>
  <c r="AM113" i="1"/>
  <c r="AM110" i="1"/>
  <c r="CA231" i="1"/>
  <c r="K194" i="1"/>
  <c r="IL21" i="4"/>
  <c r="BF83" i="1" s="1"/>
  <c r="IP9" i="4" s="1"/>
  <c r="HP16" i="4"/>
  <c r="IJ21" i="4"/>
  <c r="BD83" i="1" s="1"/>
  <c r="IK7" i="4" s="1"/>
  <c r="JB15" i="4"/>
  <c r="IO21" i="4"/>
  <c r="BI83" i="1" s="1"/>
  <c r="IN15" i="4" s="1"/>
  <c r="IU9" i="4"/>
  <c r="IS9" i="4" s="1"/>
  <c r="IS21" i="4" s="1"/>
  <c r="BM83" i="1" s="1"/>
  <c r="HP20" i="4"/>
  <c r="AJ85" i="1" s="1"/>
  <c r="IX9" i="4"/>
  <c r="IU21" i="4"/>
  <c r="BO83" i="1" s="1"/>
  <c r="HV7" i="4"/>
  <c r="JF19" i="4"/>
  <c r="BZ84" i="1" s="1"/>
  <c r="HZ16" i="4"/>
  <c r="E22" i="1"/>
  <c r="E104" i="1"/>
  <c r="E194" i="1"/>
  <c r="M104" i="1"/>
  <c r="M17" i="1"/>
  <c r="M22" i="1"/>
  <c r="M194" i="1"/>
  <c r="N17" i="1"/>
  <c r="G17" i="1"/>
  <c r="G194" i="1"/>
  <c r="G22" i="1"/>
  <c r="G23" i="1" s="1"/>
  <c r="G104" i="1"/>
  <c r="B34" i="1"/>
  <c r="B23" i="1"/>
  <c r="R22" i="1"/>
  <c r="R194" i="1"/>
  <c r="R104" i="1"/>
  <c r="C17" i="1"/>
  <c r="C194" i="1"/>
  <c r="C22" i="1"/>
  <c r="L104" i="1"/>
  <c r="L22" i="1"/>
  <c r="Q17" i="1"/>
  <c r="Q104" i="1"/>
  <c r="Q22" i="1"/>
  <c r="Q194" i="1"/>
  <c r="R17" i="1"/>
  <c r="P17" i="1"/>
  <c r="P22" i="1"/>
  <c r="P104" i="1"/>
  <c r="P194" i="1"/>
  <c r="T104" i="1"/>
  <c r="T17" i="1"/>
  <c r="T22" i="1"/>
  <c r="T194" i="1"/>
  <c r="D22" i="1"/>
  <c r="D17" i="1"/>
  <c r="D194" i="1"/>
  <c r="BY212" i="1"/>
  <c r="BY211" i="1" s="1"/>
  <c r="BY255" i="1"/>
  <c r="F17" i="1"/>
  <c r="F194" i="1"/>
  <c r="F22" i="1"/>
  <c r="F104" i="1"/>
  <c r="H22" i="1"/>
  <c r="H17" i="1"/>
  <c r="H194" i="1"/>
  <c r="AK33" i="1"/>
  <c r="AM22" i="1"/>
  <c r="AM33" i="1"/>
  <c r="BK255" i="1"/>
  <c r="AK22" i="1"/>
  <c r="AL18" i="1"/>
  <c r="BX163" i="1"/>
  <c r="BX192" i="1"/>
  <c r="CB195" i="1" s="1"/>
  <c r="AJ135" i="1"/>
  <c r="BX254" i="1"/>
  <c r="BX174" i="1"/>
  <c r="BX33" i="1"/>
  <c r="AM231" i="1"/>
  <c r="H104" i="1"/>
  <c r="BX135" i="1"/>
  <c r="BX101" i="1"/>
  <c r="BJ190" i="1"/>
  <c r="AK212" i="1"/>
  <c r="AM255" i="1"/>
  <c r="BX95" i="1"/>
  <c r="BX113" i="1"/>
  <c r="BL113" i="1"/>
  <c r="BL116" i="1" s="1"/>
  <c r="BL101" i="1"/>
  <c r="CB92" i="1"/>
  <c r="CB109" i="1"/>
  <c r="CB101" i="1"/>
  <c r="CB113" i="1"/>
  <c r="CB116" i="1" s="1"/>
  <c r="CB119" i="1" s="1"/>
  <c r="N23" i="1"/>
  <c r="CC101" i="1"/>
  <c r="CC113" i="1"/>
  <c r="CC109" i="1"/>
  <c r="CC92" i="1"/>
  <c r="CF96" i="1" s="1"/>
  <c r="CC102" i="1"/>
  <c r="CC110" i="1"/>
  <c r="CC114" i="1"/>
  <c r="AL113" i="1"/>
  <c r="BZ114" i="1"/>
  <c r="BZ117" i="1" s="1"/>
  <c r="BZ102" i="1"/>
  <c r="CB102" i="1"/>
  <c r="CB114" i="1"/>
  <c r="CB117" i="1" s="1"/>
  <c r="CB120" i="1" s="1"/>
  <c r="O24" i="1"/>
  <c r="CC93" i="1"/>
  <c r="BX102" i="1"/>
  <c r="CB110" i="1"/>
  <c r="BL114" i="1"/>
  <c r="BL117" i="1" s="1"/>
  <c r="CB93" i="1"/>
  <c r="CA109" i="1"/>
  <c r="CA113" i="1"/>
  <c r="CA101" i="1"/>
  <c r="BY113" i="1"/>
  <c r="BY95" i="1"/>
  <c r="CN38" i="1"/>
  <c r="CS83" i="1"/>
  <c r="AB169" i="1"/>
  <c r="CP71" i="1"/>
  <c r="CQ69" i="1"/>
  <c r="AC123" i="1"/>
  <c r="AC155" i="1"/>
  <c r="CB231" i="1"/>
  <c r="BQ1" i="1"/>
  <c r="BR1" i="1" s="1"/>
  <c r="BS1" i="1" s="1"/>
  <c r="BT1" i="1" s="1"/>
  <c r="BJ252" i="1" l="1"/>
  <c r="I23" i="1"/>
  <c r="J24" i="1"/>
  <c r="BX252" i="1"/>
  <c r="BZ211" i="1"/>
  <c r="V40" i="1"/>
  <c r="V44" i="1" s="1"/>
  <c r="V118" i="1"/>
  <c r="V238" i="1"/>
  <c r="V239" i="1" s="1"/>
  <c r="P24" i="1"/>
  <c r="V35" i="1"/>
  <c r="BX171" i="1"/>
  <c r="BX23" i="1"/>
  <c r="CB24" i="1"/>
  <c r="BY25" i="1"/>
  <c r="BX34" i="1"/>
  <c r="C24" i="1"/>
  <c r="BY100" i="1"/>
  <c r="BY101" i="1"/>
  <c r="AL238" i="1"/>
  <c r="AL239" i="1" s="1"/>
  <c r="AL40" i="1"/>
  <c r="AL44" i="1" s="1"/>
  <c r="AL35" i="1"/>
  <c r="K24" i="1"/>
  <c r="K23" i="1"/>
  <c r="L24" i="1"/>
  <c r="AJ34" i="1"/>
  <c r="AJ23" i="1"/>
  <c r="W238" i="1"/>
  <c r="W239" i="1" s="1"/>
  <c r="X36" i="1"/>
  <c r="X256" i="1"/>
  <c r="W40" i="1"/>
  <c r="W44" i="1" s="1"/>
  <c r="W36" i="1"/>
  <c r="W35" i="1"/>
  <c r="W118" i="1"/>
  <c r="W256" i="1"/>
  <c r="H23" i="1"/>
  <c r="I24" i="1"/>
  <c r="H24" i="1"/>
  <c r="BZ39" i="1"/>
  <c r="BY144" i="1"/>
  <c r="AJ171" i="1"/>
  <c r="AJ172" i="1" s="1"/>
  <c r="AJ204" i="1"/>
  <c r="AL171" i="1"/>
  <c r="AL172" i="1" s="1"/>
  <c r="BL39" i="1"/>
  <c r="BK144" i="1"/>
  <c r="BL209" i="1" s="1"/>
  <c r="BL207" i="1" s="1"/>
  <c r="AM209" i="1"/>
  <c r="AM207" i="1" s="1"/>
  <c r="AL252" i="1"/>
  <c r="AK144" i="1"/>
  <c r="AL39" i="1"/>
  <c r="AL101" i="1"/>
  <c r="AL115" i="1"/>
  <c r="AM43" i="1"/>
  <c r="AJ209" i="1"/>
  <c r="AJ207" i="1" s="1"/>
  <c r="BJ192" i="1"/>
  <c r="BJ187" i="1"/>
  <c r="AL187" i="1"/>
  <c r="AL192" i="1"/>
  <c r="HP21" i="4"/>
  <c r="AJ83" i="1" s="1"/>
  <c r="JH16" i="4"/>
  <c r="IK19" i="4"/>
  <c r="BE84" i="1" s="1"/>
  <c r="BE113" i="1" s="1"/>
  <c r="IB7" i="4"/>
  <c r="IB19" i="4" s="1"/>
  <c r="AV84" i="1" s="1"/>
  <c r="AV113" i="1" s="1"/>
  <c r="JB20" i="4"/>
  <c r="BV85" i="1" s="1"/>
  <c r="BV114" i="1" s="1"/>
  <c r="IE9" i="4"/>
  <c r="IE21" i="4" s="1"/>
  <c r="AY83" i="1" s="1"/>
  <c r="HR15" i="4"/>
  <c r="IX21" i="4"/>
  <c r="BR83" i="1" s="1"/>
  <c r="HU16" i="4"/>
  <c r="IP16" i="4" s="1"/>
  <c r="HV19" i="4"/>
  <c r="AP84" i="1" s="1"/>
  <c r="AP113" i="1" s="1"/>
  <c r="IN16" i="4"/>
  <c r="BZ113" i="1"/>
  <c r="BZ116" i="1" s="1"/>
  <c r="BZ101" i="1"/>
  <c r="BZ95" i="1"/>
  <c r="HZ21" i="4"/>
  <c r="AT83" i="1" s="1"/>
  <c r="HQ16" i="4"/>
  <c r="E23" i="1"/>
  <c r="F24" i="1"/>
  <c r="E34" i="1"/>
  <c r="E35" i="1" s="1"/>
  <c r="N24" i="1"/>
  <c r="M23" i="1"/>
  <c r="B118" i="1"/>
  <c r="B35" i="1"/>
  <c r="R23" i="1"/>
  <c r="S24" i="1"/>
  <c r="C23" i="1"/>
  <c r="D24" i="1"/>
  <c r="C34" i="1"/>
  <c r="M24" i="1"/>
  <c r="L23" i="1"/>
  <c r="R24" i="1"/>
  <c r="Q23" i="1"/>
  <c r="P23" i="1"/>
  <c r="Q24" i="1"/>
  <c r="T23" i="1"/>
  <c r="U24" i="1"/>
  <c r="T24" i="1"/>
  <c r="E24" i="1"/>
  <c r="D34" i="1"/>
  <c r="D23" i="1"/>
  <c r="G24" i="1"/>
  <c r="F23" i="1"/>
  <c r="AM25" i="1"/>
  <c r="AM23" i="1"/>
  <c r="AM34" i="1"/>
  <c r="AK23" i="1"/>
  <c r="AK34" i="1"/>
  <c r="AL25" i="1"/>
  <c r="AK25" i="1"/>
  <c r="BY43" i="1"/>
  <c r="BX115" i="1"/>
  <c r="BX117" i="1" s="1"/>
  <c r="CE96" i="1"/>
  <c r="BX116" i="1"/>
  <c r="AL116" i="1"/>
  <c r="AL209" i="1"/>
  <c r="AL207" i="1" s="1"/>
  <c r="AK209" i="1"/>
  <c r="AK207" i="1" s="1"/>
  <c r="CN138" i="1"/>
  <c r="CN140" i="1" s="1"/>
  <c r="CO38" i="1" s="1"/>
  <c r="CT83" i="1"/>
  <c r="AB143" i="1"/>
  <c r="AD155" i="1"/>
  <c r="AE155" i="1"/>
  <c r="AD123" i="1"/>
  <c r="AE123" i="1"/>
  <c r="CQ71" i="1"/>
  <c r="CR69" i="1"/>
  <c r="AC169" i="1"/>
  <c r="BU1" i="1"/>
  <c r="Q33" i="1"/>
  <c r="P33" i="1"/>
  <c r="O33" i="1"/>
  <c r="I33" i="1"/>
  <c r="H33" i="1"/>
  <c r="G33" i="1"/>
  <c r="U33" i="1"/>
  <c r="T33" i="1"/>
  <c r="S33" i="1"/>
  <c r="R33" i="1"/>
  <c r="N33" i="1"/>
  <c r="M33" i="1"/>
  <c r="L33" i="1"/>
  <c r="K33" i="1"/>
  <c r="J33" i="1"/>
  <c r="F33" i="1"/>
  <c r="BX172" i="1" l="1"/>
  <c r="V47" i="1"/>
  <c r="V46" i="1"/>
  <c r="BX35" i="1"/>
  <c r="BX40" i="1"/>
  <c r="CB36" i="1"/>
  <c r="CA118" i="1"/>
  <c r="BX238" i="1"/>
  <c r="BX239" i="1" s="1"/>
  <c r="BY37" i="1"/>
  <c r="BY256" i="1"/>
  <c r="BY257" i="1" s="1"/>
  <c r="AL47" i="1"/>
  <c r="AL46" i="1"/>
  <c r="AJ40" i="1"/>
  <c r="AJ44" i="1" s="1"/>
  <c r="AJ238" i="1"/>
  <c r="AJ239" i="1" s="1"/>
  <c r="AJ35" i="1"/>
  <c r="W47" i="1"/>
  <c r="W46" i="1"/>
  <c r="BY209" i="1"/>
  <c r="BY207" i="1" s="1"/>
  <c r="BZ209" i="1"/>
  <c r="BZ207" i="1" s="1"/>
  <c r="JH21" i="4"/>
  <c r="CB83" i="1" s="1"/>
  <c r="HX9" i="4"/>
  <c r="HX21" i="4" s="1"/>
  <c r="AR83" i="1" s="1"/>
  <c r="IP8" i="4" s="1"/>
  <c r="HR20" i="4"/>
  <c r="AL85" i="1" s="1"/>
  <c r="JC15" i="4"/>
  <c r="IP21" i="4"/>
  <c r="BJ83" i="1" s="1"/>
  <c r="BJ100" i="1" s="1"/>
  <c r="IF14" i="4"/>
  <c r="IF19" i="4" s="1"/>
  <c r="AZ84" i="1" s="1"/>
  <c r="AZ113" i="1" s="1"/>
  <c r="IL8" i="4"/>
  <c r="JC7" i="4" s="1"/>
  <c r="HQ21" i="4"/>
  <c r="AK83" i="1" s="1"/>
  <c r="IB16" i="4"/>
  <c r="IB21" i="4" s="1"/>
  <c r="AV83" i="1" s="1"/>
  <c r="HV15" i="4" s="1"/>
  <c r="D36" i="1"/>
  <c r="C35" i="1"/>
  <c r="C256" i="1"/>
  <c r="D118" i="1"/>
  <c r="E36" i="1"/>
  <c r="D256" i="1"/>
  <c r="D238" i="1"/>
  <c r="D239" i="1" s="1"/>
  <c r="D40" i="1"/>
  <c r="D44" i="1" s="1"/>
  <c r="D35" i="1"/>
  <c r="AM37" i="1"/>
  <c r="AM35" i="1"/>
  <c r="AM256" i="1"/>
  <c r="AM257" i="1" s="1"/>
  <c r="AM40" i="1"/>
  <c r="AM44" i="1" s="1"/>
  <c r="AM238" i="1"/>
  <c r="AM239" i="1" s="1"/>
  <c r="AK37" i="1"/>
  <c r="AM118" i="1"/>
  <c r="AK40" i="1"/>
  <c r="AK44" i="1" s="1"/>
  <c r="AK35" i="1"/>
  <c r="AL37" i="1"/>
  <c r="AK238" i="1"/>
  <c r="AK239" i="1" s="1"/>
  <c r="AM232" i="1"/>
  <c r="AL256" i="1"/>
  <c r="AL257" i="1" s="1"/>
  <c r="C36" i="1"/>
  <c r="CO200" i="1"/>
  <c r="CO138" i="1"/>
  <c r="CN144" i="1"/>
  <c r="CN200" i="1"/>
  <c r="AC83" i="1"/>
  <c r="CU83" i="1"/>
  <c r="AD169" i="1"/>
  <c r="AE169" i="1"/>
  <c r="AD146" i="1"/>
  <c r="CR71" i="1"/>
  <c r="CS69" i="1"/>
  <c r="AC143" i="1"/>
  <c r="BV1" i="1"/>
  <c r="BW1" i="1" s="1"/>
  <c r="BX1" i="1" s="1"/>
  <c r="B238" i="1"/>
  <c r="B239" i="1" s="1"/>
  <c r="BL238" i="1"/>
  <c r="BL239" i="1" s="1"/>
  <c r="G34" i="1"/>
  <c r="O34" i="1"/>
  <c r="H34" i="1"/>
  <c r="P34" i="1"/>
  <c r="I34" i="1"/>
  <c r="Q34" i="1"/>
  <c r="J34" i="1"/>
  <c r="R34" i="1"/>
  <c r="K34" i="1"/>
  <c r="S34" i="1"/>
  <c r="L34" i="1"/>
  <c r="T34" i="1"/>
  <c r="M34" i="1"/>
  <c r="U34" i="1"/>
  <c r="F34" i="1"/>
  <c r="F256" i="1" s="1"/>
  <c r="N34" i="1"/>
  <c r="V48" i="1" l="1"/>
  <c r="V251" i="1" s="1"/>
  <c r="V54" i="1"/>
  <c r="AL240" i="1"/>
  <c r="AL54" i="1"/>
  <c r="AL48" i="1"/>
  <c r="AL251" i="1" s="1"/>
  <c r="BX44" i="1"/>
  <c r="CA61" i="1"/>
  <c r="AJ46" i="1"/>
  <c r="AJ47" i="1"/>
  <c r="W54" i="1"/>
  <c r="W58" i="1" s="1"/>
  <c r="W240" i="1"/>
  <c r="W48" i="1"/>
  <c r="W251" i="1" s="1"/>
  <c r="W49" i="1"/>
  <c r="X49" i="1"/>
  <c r="AL199" i="1"/>
  <c r="AL201" i="1" s="1"/>
  <c r="AL72" i="1"/>
  <c r="AL58" i="1"/>
  <c r="BX46" i="1"/>
  <c r="BX47" i="1"/>
  <c r="CB91" i="1"/>
  <c r="CB108" i="1"/>
  <c r="CB100" i="1"/>
  <c r="IP20" i="4"/>
  <c r="BJ85" i="1" s="1"/>
  <c r="IG15" i="4"/>
  <c r="IG20" i="4" s="1"/>
  <c r="BA85" i="1" s="1"/>
  <c r="BA114" i="1" s="1"/>
  <c r="AL114" i="1"/>
  <c r="AL117" i="1" s="1"/>
  <c r="AL102" i="1"/>
  <c r="JC20" i="4"/>
  <c r="BW85" i="1" s="1"/>
  <c r="BW114" i="1" s="1"/>
  <c r="IC15" i="4"/>
  <c r="JC19" i="4"/>
  <c r="BW84" i="1" s="1"/>
  <c r="BW113" i="1" s="1"/>
  <c r="IP7" i="4"/>
  <c r="HV20" i="4"/>
  <c r="AP85" i="1" s="1"/>
  <c r="AP114" i="1" s="1"/>
  <c r="IN8" i="4"/>
  <c r="D46" i="1"/>
  <c r="D47" i="1"/>
  <c r="AM46" i="1"/>
  <c r="AM47" i="1"/>
  <c r="AK46" i="1"/>
  <c r="AK47" i="1"/>
  <c r="T256" i="1"/>
  <c r="P256" i="1"/>
  <c r="M256" i="1"/>
  <c r="R256" i="1"/>
  <c r="I256" i="1"/>
  <c r="K256" i="1"/>
  <c r="G256" i="1"/>
  <c r="H256" i="1"/>
  <c r="L256" i="1"/>
  <c r="S256" i="1"/>
  <c r="O256" i="1"/>
  <c r="J256" i="1"/>
  <c r="N256" i="1"/>
  <c r="U256" i="1"/>
  <c r="V256" i="1"/>
  <c r="Q256" i="1"/>
  <c r="R118" i="1"/>
  <c r="S36" i="1"/>
  <c r="T118" i="1"/>
  <c r="U36" i="1"/>
  <c r="U118" i="1"/>
  <c r="V36" i="1"/>
  <c r="P118" i="1"/>
  <c r="Q36" i="1"/>
  <c r="Q118" i="1"/>
  <c r="R36" i="1"/>
  <c r="I118" i="1"/>
  <c r="J36" i="1"/>
  <c r="S118" i="1"/>
  <c r="T36" i="1"/>
  <c r="H118" i="1"/>
  <c r="I36" i="1"/>
  <c r="E118" i="1"/>
  <c r="F36" i="1"/>
  <c r="L118" i="1"/>
  <c r="M36" i="1"/>
  <c r="O118" i="1"/>
  <c r="P36" i="1"/>
  <c r="N118" i="1"/>
  <c r="O36" i="1"/>
  <c r="K118" i="1"/>
  <c r="L36" i="1"/>
  <c r="F118" i="1"/>
  <c r="G36" i="1"/>
  <c r="G118" i="1"/>
  <c r="H36" i="1"/>
  <c r="M118" i="1"/>
  <c r="N36" i="1"/>
  <c r="J118" i="1"/>
  <c r="K36" i="1"/>
  <c r="CN209" i="1"/>
  <c r="CN207" i="1" s="1"/>
  <c r="CO140" i="1"/>
  <c r="CV83" i="1"/>
  <c r="AD208" i="1"/>
  <c r="AB148" i="1"/>
  <c r="AE143" i="1"/>
  <c r="AD143" i="1"/>
  <c r="CT69" i="1"/>
  <c r="CS71" i="1"/>
  <c r="C118" i="1"/>
  <c r="BY1" i="1"/>
  <c r="L35" i="1"/>
  <c r="N35" i="1"/>
  <c r="F35" i="1"/>
  <c r="O35" i="1"/>
  <c r="U40" i="1"/>
  <c r="U44" i="1" s="1"/>
  <c r="U35" i="1"/>
  <c r="G35" i="1"/>
  <c r="S35" i="1"/>
  <c r="M35" i="1"/>
  <c r="R35" i="1"/>
  <c r="J35" i="1"/>
  <c r="I35" i="1"/>
  <c r="P35" i="1"/>
  <c r="H35" i="1"/>
  <c r="K35" i="1"/>
  <c r="T35" i="1"/>
  <c r="Q35" i="1"/>
  <c r="T238" i="1"/>
  <c r="T239" i="1" s="1"/>
  <c r="Q238" i="1"/>
  <c r="Q239" i="1" s="1"/>
  <c r="K238" i="1"/>
  <c r="K239" i="1" s="1"/>
  <c r="O238" i="1"/>
  <c r="O239" i="1" s="1"/>
  <c r="U238" i="1"/>
  <c r="U239" i="1" s="1"/>
  <c r="L238" i="1"/>
  <c r="L239" i="1" s="1"/>
  <c r="C238" i="1"/>
  <c r="C239" i="1" s="1"/>
  <c r="I238" i="1"/>
  <c r="I239" i="1" s="1"/>
  <c r="G238" i="1"/>
  <c r="G239" i="1" s="1"/>
  <c r="R238" i="1"/>
  <c r="R239" i="1" s="1"/>
  <c r="P238" i="1"/>
  <c r="P239" i="1" s="1"/>
  <c r="F238" i="1"/>
  <c r="F239" i="1" s="1"/>
  <c r="M238" i="1"/>
  <c r="M239" i="1" s="1"/>
  <c r="N238" i="1"/>
  <c r="N239" i="1" s="1"/>
  <c r="E238" i="1"/>
  <c r="E239" i="1" s="1"/>
  <c r="S238" i="1"/>
  <c r="S239" i="1" s="1"/>
  <c r="J238" i="1"/>
  <c r="J239" i="1" s="1"/>
  <c r="H238" i="1"/>
  <c r="H239" i="1" s="1"/>
  <c r="B40" i="1"/>
  <c r="L40" i="1"/>
  <c r="Q40" i="1"/>
  <c r="T40" i="1"/>
  <c r="N40" i="1"/>
  <c r="S40" i="1"/>
  <c r="F40" i="1"/>
  <c r="K40" i="1"/>
  <c r="H40" i="1"/>
  <c r="I40" i="1"/>
  <c r="P40" i="1"/>
  <c r="C40" i="1"/>
  <c r="O40" i="1"/>
  <c r="R40" i="1"/>
  <c r="M40" i="1"/>
  <c r="G40" i="1"/>
  <c r="E40" i="1"/>
  <c r="J40" i="1"/>
  <c r="AJ54" i="1" l="1"/>
  <c r="AJ48" i="1"/>
  <c r="AJ240" i="1"/>
  <c r="CB49" i="1"/>
  <c r="BX240" i="1"/>
  <c r="BX48" i="1"/>
  <c r="BX251" i="1" s="1"/>
  <c r="BX54" i="1"/>
  <c r="BY50" i="1"/>
  <c r="BJ102" i="1"/>
  <c r="BJ114" i="1"/>
  <c r="BJ117" i="1" s="1"/>
  <c r="IC20" i="4"/>
  <c r="AW85" i="1" s="1"/>
  <c r="AW114" i="1" s="1"/>
  <c r="JA7" i="4"/>
  <c r="IP19" i="4"/>
  <c r="BJ84" i="1" s="1"/>
  <c r="IX14" i="4"/>
  <c r="IN20" i="4"/>
  <c r="BH85" i="1" s="1"/>
  <c r="BH114" i="1" s="1"/>
  <c r="IM14" i="4"/>
  <c r="D48" i="1"/>
  <c r="D240" i="1"/>
  <c r="D54" i="1"/>
  <c r="AM240" i="1"/>
  <c r="AM50" i="1"/>
  <c r="AM48" i="1"/>
  <c r="AM251" i="1" s="1"/>
  <c r="AK240" i="1"/>
  <c r="AM233" i="1"/>
  <c r="AL50" i="1"/>
  <c r="AK50" i="1"/>
  <c r="AK48" i="1"/>
  <c r="AK54" i="1"/>
  <c r="CA60" i="1"/>
  <c r="BX72" i="1"/>
  <c r="CA75" i="1" s="1"/>
  <c r="BX199" i="1"/>
  <c r="BX201" i="1" s="1"/>
  <c r="BX58" i="1"/>
  <c r="BK170" i="1"/>
  <c r="BM170" i="1"/>
  <c r="CO144" i="1"/>
  <c r="CP38" i="1"/>
  <c r="CW83" i="1"/>
  <c r="AE146" i="1"/>
  <c r="AE208" i="1" s="1"/>
  <c r="CT71" i="1"/>
  <c r="CU69" i="1"/>
  <c r="BZ1" i="1"/>
  <c r="U47" i="1"/>
  <c r="V49" i="1" s="1"/>
  <c r="U46" i="1"/>
  <c r="P44" i="1"/>
  <c r="P47" i="1" s="1"/>
  <c r="R44" i="1"/>
  <c r="R47" i="1" s="1"/>
  <c r="E44" i="1"/>
  <c r="S44" i="1"/>
  <c r="S46" i="1" s="1"/>
  <c r="G44" i="1"/>
  <c r="G47" i="1" s="1"/>
  <c r="K44" i="1"/>
  <c r="K47" i="1" s="1"/>
  <c r="B44" i="1"/>
  <c r="O44" i="1"/>
  <c r="O47" i="1" s="1"/>
  <c r="H44" i="1"/>
  <c r="H47" i="1" s="1"/>
  <c r="N44" i="1"/>
  <c r="N47" i="1" s="1"/>
  <c r="L44" i="1"/>
  <c r="L46" i="1" s="1"/>
  <c r="C44" i="1"/>
  <c r="M44" i="1"/>
  <c r="M46" i="1" s="1"/>
  <c r="T44" i="1"/>
  <c r="T47" i="1" s="1"/>
  <c r="F44" i="1"/>
  <c r="F46" i="1" s="1"/>
  <c r="J44" i="1"/>
  <c r="J46" i="1" s="1"/>
  <c r="I44" i="1"/>
  <c r="I46" i="1" s="1"/>
  <c r="Q44" i="1"/>
  <c r="Q47" i="1" s="1"/>
  <c r="V240" i="1"/>
  <c r="AJ58" i="1" l="1"/>
  <c r="AJ199" i="1"/>
  <c r="AJ201" i="1" s="1"/>
  <c r="AJ205" i="1" s="1"/>
  <c r="AJ219" i="1" s="1"/>
  <c r="AJ213" i="1"/>
  <c r="AJ211" i="1" s="1"/>
  <c r="AJ216" i="1" s="1"/>
  <c r="AJ217" i="1" s="1"/>
  <c r="AJ72" i="1"/>
  <c r="JA19" i="4"/>
  <c r="BU84" i="1" s="1"/>
  <c r="BU113" i="1" s="1"/>
  <c r="JE15" i="4"/>
  <c r="BJ101" i="1"/>
  <c r="BJ113" i="1"/>
  <c r="BJ116" i="1" s="1"/>
  <c r="IX19" i="4"/>
  <c r="BR84" i="1" s="1"/>
  <c r="BR113" i="1" s="1"/>
  <c r="HW9" i="4"/>
  <c r="IM19" i="4"/>
  <c r="BG84" i="1" s="1"/>
  <c r="BG113" i="1" s="1"/>
  <c r="IJ7" i="4"/>
  <c r="IJ19" i="4" s="1"/>
  <c r="BD84" i="1" s="1"/>
  <c r="BD113" i="1" s="1"/>
  <c r="D58" i="1"/>
  <c r="D199" i="1"/>
  <c r="D201" i="1" s="1"/>
  <c r="AK58" i="1"/>
  <c r="AK72" i="1"/>
  <c r="AK199" i="1"/>
  <c r="AK201" i="1" s="1"/>
  <c r="AK125" i="1"/>
  <c r="AK126" i="1" s="1"/>
  <c r="R49" i="1"/>
  <c r="CE76" i="1"/>
  <c r="CA92" i="1"/>
  <c r="CD96" i="1" s="1"/>
  <c r="BW95" i="1"/>
  <c r="CA91" i="1"/>
  <c r="U49" i="1"/>
  <c r="O49" i="1"/>
  <c r="AB38" i="1"/>
  <c r="B47" i="1"/>
  <c r="B46" i="1"/>
  <c r="C47" i="1"/>
  <c r="C46" i="1"/>
  <c r="E47" i="1"/>
  <c r="E54" i="1" s="1"/>
  <c r="E46" i="1"/>
  <c r="P49" i="1"/>
  <c r="H49" i="1"/>
  <c r="Q49" i="1"/>
  <c r="BJ171" i="1"/>
  <c r="BJ172" i="1" s="1"/>
  <c r="BL171" i="1"/>
  <c r="BL172" i="1" s="1"/>
  <c r="CP200" i="1"/>
  <c r="CP138" i="1"/>
  <c r="CO209" i="1"/>
  <c r="CO207" i="1" s="1"/>
  <c r="CX83" i="1"/>
  <c r="CV69" i="1"/>
  <c r="CU71" i="1"/>
  <c r="CA1" i="1"/>
  <c r="CB1" i="1" s="1"/>
  <c r="O46" i="1"/>
  <c r="BL240" i="1"/>
  <c r="S47" i="1"/>
  <c r="U48" i="1"/>
  <c r="U251" i="1" s="1"/>
  <c r="P48" i="1"/>
  <c r="P251" i="1" s="1"/>
  <c r="Q54" i="1"/>
  <c r="Q48" i="1"/>
  <c r="Q251" i="1" s="1"/>
  <c r="L47" i="1"/>
  <c r="P46" i="1"/>
  <c r="H48" i="1"/>
  <c r="H251" i="1" s="1"/>
  <c r="G48" i="1"/>
  <c r="G251" i="1" s="1"/>
  <c r="U54" i="1"/>
  <c r="N48" i="1"/>
  <c r="N251" i="1" s="1"/>
  <c r="R48" i="1"/>
  <c r="R251" i="1" s="1"/>
  <c r="K48" i="1"/>
  <c r="K251" i="1" s="1"/>
  <c r="O54" i="1"/>
  <c r="O48" i="1"/>
  <c r="O251" i="1" s="1"/>
  <c r="T54" i="1"/>
  <c r="T48" i="1"/>
  <c r="T251" i="1" s="1"/>
  <c r="R46" i="1"/>
  <c r="K46" i="1"/>
  <c r="N46" i="1"/>
  <c r="G46" i="1"/>
  <c r="H46" i="1"/>
  <c r="J47" i="1"/>
  <c r="K49" i="1" s="1"/>
  <c r="M47" i="1"/>
  <c r="N49" i="1" s="1"/>
  <c r="T46" i="1"/>
  <c r="F47" i="1"/>
  <c r="G49" i="1" s="1"/>
  <c r="I47" i="1"/>
  <c r="I49" i="1" s="1"/>
  <c r="O240" i="1"/>
  <c r="Q46" i="1"/>
  <c r="P240" i="1"/>
  <c r="P54" i="1"/>
  <c r="K240" i="1"/>
  <c r="K54" i="1"/>
  <c r="H240" i="1"/>
  <c r="H54" i="1"/>
  <c r="R54" i="1"/>
  <c r="N54" i="1"/>
  <c r="G54" i="1"/>
  <c r="G240" i="1"/>
  <c r="R240" i="1"/>
  <c r="N240" i="1"/>
  <c r="Q240" i="1"/>
  <c r="U240" i="1"/>
  <c r="T240" i="1"/>
  <c r="V58" i="1"/>
  <c r="V199" i="1"/>
  <c r="V201" i="1" s="1"/>
  <c r="JE20" i="4" l="1"/>
  <c r="BY85" i="1" s="1"/>
  <c r="IV15" i="4"/>
  <c r="HW21" i="4"/>
  <c r="AQ83" i="1" s="1"/>
  <c r="ID15" i="4"/>
  <c r="AK213" i="1"/>
  <c r="AK211" i="1" s="1"/>
  <c r="AL213" i="1"/>
  <c r="AL211" i="1" s="1"/>
  <c r="AK135" i="1"/>
  <c r="E240" i="1"/>
  <c r="AB200" i="1"/>
  <c r="E48" i="1"/>
  <c r="E251" i="1" s="1"/>
  <c r="E49" i="1"/>
  <c r="D49" i="1"/>
  <c r="C48" i="1"/>
  <c r="B48" i="1"/>
  <c r="C49" i="1"/>
  <c r="F49" i="1"/>
  <c r="M49" i="1"/>
  <c r="S48" i="1"/>
  <c r="S251" i="1" s="1"/>
  <c r="T49" i="1"/>
  <c r="L49" i="1"/>
  <c r="J49" i="1"/>
  <c r="S49" i="1"/>
  <c r="AB138" i="1"/>
  <c r="AB140" i="1" s="1"/>
  <c r="AB39" i="1" s="1"/>
  <c r="CP140" i="1"/>
  <c r="AD83" i="1"/>
  <c r="CY83" i="1"/>
  <c r="CV71" i="1"/>
  <c r="CW69" i="1"/>
  <c r="CC1" i="1"/>
  <c r="K58" i="1"/>
  <c r="G58" i="1"/>
  <c r="E58" i="1"/>
  <c r="S54" i="1"/>
  <c r="S240" i="1"/>
  <c r="L240" i="1"/>
  <c r="L54" i="1"/>
  <c r="O199" i="1"/>
  <c r="O201" i="1" s="1"/>
  <c r="O58" i="1"/>
  <c r="B240" i="1"/>
  <c r="B54" i="1"/>
  <c r="M54" i="1"/>
  <c r="M48" i="1"/>
  <c r="M251" i="1" s="1"/>
  <c r="C240" i="1"/>
  <c r="I54" i="1"/>
  <c r="I48" i="1"/>
  <c r="I251" i="1" s="1"/>
  <c r="J54" i="1"/>
  <c r="J48" i="1"/>
  <c r="J251" i="1" s="1"/>
  <c r="F54" i="1"/>
  <c r="F48" i="1"/>
  <c r="F251" i="1" s="1"/>
  <c r="L48" i="1"/>
  <c r="L251" i="1" s="1"/>
  <c r="J240" i="1"/>
  <c r="E199" i="1"/>
  <c r="E201" i="1" s="1"/>
  <c r="R199" i="1"/>
  <c r="R201" i="1" s="1"/>
  <c r="M240" i="1"/>
  <c r="R58" i="1"/>
  <c r="I240" i="1"/>
  <c r="H58" i="1"/>
  <c r="H199" i="1"/>
  <c r="H201" i="1" s="1"/>
  <c r="F240" i="1"/>
  <c r="C54" i="1"/>
  <c r="N199" i="1"/>
  <c r="N201" i="1" s="1"/>
  <c r="N58" i="1"/>
  <c r="G199" i="1"/>
  <c r="G201" i="1" s="1"/>
  <c r="P58" i="1"/>
  <c r="K199" i="1"/>
  <c r="K201" i="1" s="1"/>
  <c r="P199" i="1"/>
  <c r="P201" i="1" s="1"/>
  <c r="U58" i="1"/>
  <c r="U199" i="1"/>
  <c r="U201" i="1" s="1"/>
  <c r="Q58" i="1"/>
  <c r="Q199" i="1"/>
  <c r="Q201" i="1" s="1"/>
  <c r="T58" i="1"/>
  <c r="T199" i="1"/>
  <c r="T201" i="1" s="1"/>
  <c r="BY102" i="1" l="1"/>
  <c r="BY114" i="1"/>
  <c r="IV20" i="4"/>
  <c r="BP85" i="1" s="1"/>
  <c r="BP114" i="1" s="1"/>
  <c r="JG8" i="4"/>
  <c r="ID20" i="4"/>
  <c r="AX85" i="1" s="1"/>
  <c r="AX114" i="1" s="1"/>
  <c r="IR16" i="4"/>
  <c r="IR21" i="4" s="1"/>
  <c r="BL83" i="1" s="1"/>
  <c r="BL100" i="1" s="1"/>
  <c r="IL15" i="4" s="1"/>
  <c r="CP144" i="1"/>
  <c r="CP209" i="1" s="1"/>
  <c r="CP207" i="1" s="1"/>
  <c r="CQ38" i="1"/>
  <c r="CZ83" i="1"/>
  <c r="AC148" i="1"/>
  <c r="CX69" i="1"/>
  <c r="CW71" i="1"/>
  <c r="CD1" i="1"/>
  <c r="CE1" i="1" s="1"/>
  <c r="CF1" i="1" s="1"/>
  <c r="CG1" i="1" s="1"/>
  <c r="CH1" i="1" s="1"/>
  <c r="CI1" i="1" s="1"/>
  <c r="CJ1" i="1" s="1"/>
  <c r="CK1" i="1" s="1"/>
  <c r="CL1" i="1" s="1"/>
  <c r="L199" i="1"/>
  <c r="L201" i="1" s="1"/>
  <c r="J199" i="1"/>
  <c r="J201" i="1" s="1"/>
  <c r="M199" i="1"/>
  <c r="M201" i="1" s="1"/>
  <c r="B58" i="1"/>
  <c r="F58" i="1"/>
  <c r="I58" i="1"/>
  <c r="C58" i="1"/>
  <c r="L58" i="1"/>
  <c r="S58" i="1"/>
  <c r="J58" i="1"/>
  <c r="S199" i="1"/>
  <c r="S201" i="1" s="1"/>
  <c r="M58" i="1"/>
  <c r="I199" i="1"/>
  <c r="I201" i="1" s="1"/>
  <c r="F199" i="1"/>
  <c r="F201" i="1" s="1"/>
  <c r="C199" i="1"/>
  <c r="C201" i="1" s="1"/>
  <c r="JG20" i="4" l="1"/>
  <c r="CA85" i="1" s="1"/>
  <c r="IK16" i="4"/>
  <c r="IL20" i="4"/>
  <c r="BF85" i="1" s="1"/>
  <c r="BF114" i="1" s="1"/>
  <c r="HU9" i="4"/>
  <c r="HU21" i="4" s="1"/>
  <c r="AO83" i="1" s="1"/>
  <c r="IG7" i="4" s="1"/>
  <c r="CQ200" i="1"/>
  <c r="CQ138" i="1"/>
  <c r="DA83" i="1"/>
  <c r="CX71" i="1"/>
  <c r="CY69" i="1"/>
  <c r="AB130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X113" i="2"/>
  <c r="K72" i="2"/>
  <c r="R84" i="2"/>
  <c r="N43" i="2"/>
  <c r="V47" i="2"/>
  <c r="C93" i="2"/>
  <c r="F58" i="2"/>
  <c r="Q98" i="2"/>
  <c r="J51" i="2"/>
  <c r="N54" i="2"/>
  <c r="E112" i="2"/>
  <c r="G70" i="2"/>
  <c r="U108" i="2"/>
  <c r="Q47" i="2"/>
  <c r="L105" i="2"/>
  <c r="X45" i="2"/>
  <c r="AB57" i="3"/>
  <c r="AP59" i="3"/>
  <c r="AP62" i="3"/>
  <c r="AB86" i="3"/>
  <c r="H20" i="3"/>
  <c r="O22" i="3"/>
  <c r="Y22" i="3"/>
  <c r="AM32" i="3"/>
  <c r="S31" i="3"/>
  <c r="AC20" i="3"/>
  <c r="AD37" i="3"/>
  <c r="C7" i="3"/>
  <c r="Z15" i="3"/>
  <c r="E47" i="3"/>
  <c r="S33" i="3"/>
  <c r="V31" i="3"/>
  <c r="T33" i="3"/>
  <c r="Q33" i="3"/>
  <c r="I8" i="3"/>
  <c r="AE34" i="3"/>
  <c r="AC22" i="3"/>
  <c r="R15" i="3"/>
  <c r="M36" i="3"/>
  <c r="K35" i="3"/>
  <c r="AC36" i="3"/>
  <c r="G35" i="3"/>
  <c r="P22" i="3"/>
  <c r="AE11" i="3"/>
  <c r="AB18" i="3"/>
  <c r="O16" i="3"/>
  <c r="J18" i="3"/>
  <c r="Y28" i="3"/>
  <c r="AQ32" i="3"/>
  <c r="AN34" i="3"/>
  <c r="R20" i="3"/>
  <c r="AC8" i="3"/>
  <c r="V25" i="3"/>
  <c r="C30" i="3"/>
  <c r="R26" i="3"/>
  <c r="AP15" i="3"/>
  <c r="AH40" i="3"/>
  <c r="T26" i="3"/>
  <c r="I29" i="3"/>
  <c r="AC17" i="3"/>
  <c r="H32" i="3"/>
  <c r="AM20" i="3"/>
  <c r="W11" i="3"/>
  <c r="Y24" i="3"/>
  <c r="I42" i="3"/>
  <c r="AP22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Q68" i="2"/>
  <c r="D76" i="2"/>
  <c r="M94" i="2"/>
  <c r="J89" i="2"/>
  <c r="T41" i="2"/>
  <c r="G105" i="2"/>
  <c r="Q61" i="2"/>
  <c r="R73" i="2"/>
  <c r="T86" i="2"/>
  <c r="O91" i="2"/>
  <c r="K41" i="2"/>
  <c r="T62" i="2"/>
  <c r="T70" i="2"/>
  <c r="G62" i="2"/>
  <c r="E78" i="2"/>
  <c r="X85" i="2"/>
  <c r="U113" i="2"/>
  <c r="AB59" i="3"/>
  <c r="AP71" i="3"/>
  <c r="AB62" i="3"/>
  <c r="AP77" i="3"/>
  <c r="T23" i="3"/>
  <c r="AL33" i="3"/>
  <c r="C23" i="3"/>
  <c r="J16" i="3"/>
  <c r="AD50" i="3"/>
  <c r="O21" i="3"/>
  <c r="AD24" i="3"/>
  <c r="O28" i="3"/>
  <c r="X27" i="3"/>
  <c r="AO7" i="3"/>
  <c r="U19" i="3"/>
  <c r="M11" i="3"/>
  <c r="S35" i="3"/>
  <c r="Q35" i="3"/>
  <c r="AH42" i="3"/>
  <c r="H6" i="3"/>
  <c r="I39" i="3"/>
  <c r="Y39" i="3"/>
  <c r="P13" i="3"/>
  <c r="M39" i="3"/>
  <c r="AN32" i="3"/>
  <c r="AN35" i="3"/>
  <c r="C32" i="3"/>
  <c r="L6" i="3"/>
  <c r="M9" i="3"/>
  <c r="AB11" i="3"/>
  <c r="V34" i="3"/>
  <c r="AO24" i="3"/>
  <c r="AJ15" i="3"/>
  <c r="AM9" i="3"/>
  <c r="P18" i="3"/>
  <c r="AK9" i="3"/>
  <c r="AC6" i="3"/>
  <c r="M7" i="3"/>
  <c r="AC33" i="3"/>
  <c r="R28" i="3"/>
  <c r="AQ12" i="3"/>
  <c r="V38" i="3"/>
  <c r="C24" i="3"/>
  <c r="I7" i="3"/>
  <c r="W36" i="3"/>
  <c r="M6" i="3"/>
  <c r="H18" i="3"/>
  <c r="AQ14" i="3"/>
  <c r="AC16" i="3"/>
  <c r="U6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H95" i="2"/>
  <c r="U55" i="2"/>
  <c r="G110" i="2"/>
  <c r="U109" i="2"/>
  <c r="D71" i="2"/>
  <c r="J97" i="2"/>
  <c r="V81" i="2"/>
  <c r="X87" i="2"/>
  <c r="E113" i="2"/>
  <c r="E97" i="2"/>
  <c r="D68" i="2"/>
  <c r="P48" i="2"/>
  <c r="W79" i="2"/>
  <c r="W52" i="2"/>
  <c r="H59" i="2"/>
  <c r="T63" i="2"/>
  <c r="N47" i="2"/>
  <c r="AB80" i="3"/>
  <c r="AP78" i="3"/>
  <c r="AP87" i="3"/>
  <c r="AP89" i="3"/>
  <c r="C28" i="3"/>
  <c r="J36" i="3"/>
  <c r="AQ13" i="3"/>
  <c r="AQ39" i="3"/>
  <c r="AN22" i="3"/>
  <c r="V8" i="3"/>
  <c r="AE31" i="3"/>
  <c r="AB20" i="3"/>
  <c r="I37" i="3"/>
  <c r="P41" i="3"/>
  <c r="Q16" i="3"/>
  <c r="G37" i="3"/>
  <c r="AE25" i="3"/>
  <c r="AE14" i="3"/>
  <c r="X35" i="3"/>
  <c r="AG37" i="3"/>
  <c r="S42" i="3"/>
  <c r="AK17" i="3"/>
  <c r="AM14" i="3"/>
  <c r="AC27" i="3"/>
  <c r="AE7" i="3"/>
  <c r="C12" i="3"/>
  <c r="AL9" i="3"/>
  <c r="AA42" i="3"/>
  <c r="AN25" i="3"/>
  <c r="P27" i="3"/>
  <c r="AJ23" i="3"/>
  <c r="N21" i="3"/>
  <c r="AJ14" i="3"/>
  <c r="AG10" i="3"/>
  <c r="AP9" i="3"/>
  <c r="J17" i="3"/>
  <c r="AO34" i="3"/>
  <c r="AJ20" i="3"/>
  <c r="O6" i="3"/>
  <c r="P35" i="3"/>
  <c r="P21" i="3"/>
  <c r="C8" i="3"/>
  <c r="AI28" i="3"/>
  <c r="AB6" i="3"/>
  <c r="O7" i="3"/>
  <c r="AB26" i="3"/>
  <c r="H37" i="3"/>
  <c r="AB13" i="3"/>
  <c r="D50" i="3"/>
  <c r="AO23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M99" i="2"/>
  <c r="E99" i="2"/>
  <c r="U83" i="2"/>
  <c r="X89" i="2"/>
  <c r="U77" i="2"/>
  <c r="O65" i="2"/>
  <c r="U59" i="2"/>
  <c r="H68" i="2"/>
  <c r="T112" i="2"/>
  <c r="U110" i="2"/>
  <c r="H90" i="2"/>
  <c r="U70" i="2"/>
  <c r="G76" i="2"/>
  <c r="N55" i="2"/>
  <c r="N61" i="2"/>
  <c r="F97" i="2"/>
  <c r="F88" i="2"/>
  <c r="AP86" i="3"/>
  <c r="C47" i="3"/>
  <c r="AP94" i="3"/>
  <c r="AB69" i="3"/>
  <c r="C21" i="3"/>
  <c r="L19" i="3"/>
  <c r="AJ17" i="3"/>
  <c r="Q34" i="3"/>
  <c r="AQ29" i="3"/>
  <c r="AJ22" i="3"/>
  <c r="H5" i="3"/>
  <c r="H97" i="3" s="1"/>
  <c r="W33" i="3"/>
  <c r="Q27" i="3"/>
  <c r="AD28" i="3"/>
  <c r="AH17" i="3"/>
  <c r="N39" i="3"/>
  <c r="AO20" i="3"/>
  <c r="Q31" i="3"/>
  <c r="V12" i="3"/>
  <c r="AI15" i="3"/>
  <c r="U41" i="3"/>
  <c r="X10" i="3"/>
  <c r="AM40" i="3"/>
  <c r="T35" i="3"/>
  <c r="AG27" i="3"/>
  <c r="C22" i="3"/>
  <c r="O35" i="3"/>
  <c r="C25" i="3"/>
  <c r="AP16" i="3"/>
  <c r="K23" i="3"/>
  <c r="V33" i="3"/>
  <c r="Y38" i="3"/>
  <c r="R6" i="3"/>
  <c r="J7" i="3"/>
  <c r="M26" i="3"/>
  <c r="AO32" i="3"/>
  <c r="L16" i="3"/>
  <c r="AC25" i="3"/>
  <c r="N36" i="3"/>
  <c r="AN17" i="3"/>
  <c r="AJ36" i="3"/>
  <c r="Y30" i="3"/>
  <c r="AI19" i="3"/>
  <c r="O105" i="2"/>
  <c r="S84" i="2"/>
  <c r="R89" i="2"/>
  <c r="O63" i="2"/>
  <c r="F112" i="2"/>
  <c r="I42" i="2"/>
  <c r="M109" i="2"/>
  <c r="G49" i="2"/>
  <c r="V77" i="2"/>
  <c r="S65" i="2"/>
  <c r="I75" i="2"/>
  <c r="D94" i="2"/>
  <c r="U85" i="2"/>
  <c r="H93" i="2"/>
  <c r="U65" i="2"/>
  <c r="U40" i="2"/>
  <c r="C63" i="2"/>
  <c r="AB55" i="3"/>
  <c r="AP65" i="3"/>
  <c r="AB87" i="3"/>
  <c r="AP67" i="3"/>
  <c r="S7" i="3"/>
  <c r="N24" i="3"/>
  <c r="AK5" i="3"/>
  <c r="AH31" i="3"/>
  <c r="Y40" i="3"/>
  <c r="P34" i="3"/>
  <c r="M34" i="3"/>
  <c r="H38" i="3"/>
  <c r="C38" i="3"/>
  <c r="N19" i="3"/>
  <c r="Y6" i="3"/>
  <c r="I16" i="3"/>
  <c r="AP13" i="3"/>
  <c r="AJ41" i="3"/>
  <c r="AA30" i="3"/>
  <c r="W34" i="3"/>
  <c r="Y34" i="3"/>
  <c r="R32" i="3"/>
  <c r="U31" i="3"/>
  <c r="AJ30" i="3"/>
  <c r="M32" i="3"/>
  <c r="AC37" i="3"/>
  <c r="N10" i="3"/>
  <c r="M13" i="3"/>
  <c r="AO14" i="3"/>
  <c r="T30" i="3"/>
  <c r="N35" i="3"/>
  <c r="AI38" i="3"/>
  <c r="H9" i="3"/>
  <c r="AB10" i="3"/>
  <c r="Z9" i="3"/>
  <c r="Z24" i="3"/>
  <c r="C34" i="3"/>
  <c r="L23" i="3"/>
  <c r="Y31" i="3"/>
  <c r="N32" i="3"/>
  <c r="O11" i="3"/>
  <c r="H35" i="3"/>
  <c r="AO25" i="3"/>
  <c r="AC9" i="3"/>
  <c r="AJ34" i="3"/>
  <c r="AB29" i="3"/>
  <c r="AA5" i="3"/>
  <c r="V7" i="3"/>
  <c r="AA41" i="3"/>
  <c r="I34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I107" i="2"/>
  <c r="L62" i="2"/>
  <c r="V94" i="2"/>
  <c r="Q79" i="2"/>
  <c r="J70" i="2"/>
  <c r="X56" i="2"/>
  <c r="D104" i="2"/>
  <c r="X111" i="2"/>
  <c r="I51" i="2"/>
  <c r="M56" i="2"/>
  <c r="F66" i="2"/>
  <c r="T105" i="2"/>
  <c r="N63" i="2"/>
  <c r="N98" i="2"/>
  <c r="O61" i="2"/>
  <c r="E96" i="2"/>
  <c r="AB65" i="3"/>
  <c r="AB77" i="3"/>
  <c r="AP57" i="3"/>
  <c r="AB54" i="3"/>
  <c r="AB91" i="3"/>
  <c r="Z30" i="3"/>
  <c r="M35" i="3"/>
  <c r="N26" i="3"/>
  <c r="X30" i="3"/>
  <c r="R24" i="3"/>
  <c r="W22" i="3"/>
  <c r="Z8" i="3"/>
  <c r="G41" i="3"/>
  <c r="O37" i="3"/>
  <c r="AQ38" i="3"/>
  <c r="Z25" i="3"/>
  <c r="W21" i="3"/>
  <c r="AQ18" i="3"/>
  <c r="AJ33" i="3"/>
  <c r="M15" i="3"/>
  <c r="N5" i="3"/>
  <c r="N79" i="3" s="1"/>
  <c r="X36" i="3"/>
  <c r="AL31" i="3"/>
  <c r="Y18" i="3"/>
  <c r="AG7" i="3"/>
  <c r="V9" i="3"/>
  <c r="AK27" i="3"/>
  <c r="AP8" i="3"/>
  <c r="V18" i="3"/>
  <c r="R30" i="3"/>
  <c r="Q29" i="3"/>
  <c r="AH7" i="3"/>
  <c r="AE19" i="3"/>
  <c r="AB21" i="3"/>
  <c r="AM13" i="3"/>
  <c r="O20" i="3"/>
  <c r="X38" i="3"/>
  <c r="AO11" i="3"/>
  <c r="C42" i="3"/>
  <c r="AI31" i="3"/>
  <c r="C27" i="3"/>
  <c r="L26" i="3"/>
  <c r="AN14" i="3"/>
  <c r="AK34" i="3"/>
  <c r="C9" i="3"/>
  <c r="K15" i="3"/>
  <c r="U33" i="3"/>
  <c r="T14" i="3"/>
  <c r="W9" i="3"/>
  <c r="Q9" i="3"/>
  <c r="AP17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N7" i="3"/>
  <c r="AG26" i="3"/>
  <c r="S108" i="2"/>
  <c r="F68" i="2"/>
  <c r="S93" i="2"/>
  <c r="R80" i="2"/>
  <c r="F61" i="2"/>
  <c r="L80" i="2"/>
  <c r="G56" i="2"/>
  <c r="M51" i="2"/>
  <c r="S56" i="2"/>
  <c r="X97" i="2"/>
  <c r="R68" i="2"/>
  <c r="T57" i="2"/>
  <c r="J98" i="2"/>
  <c r="O50" i="2"/>
  <c r="J81" i="2"/>
  <c r="X84" i="2"/>
  <c r="AB81" i="3"/>
  <c r="AP97" i="3"/>
  <c r="AP79" i="3"/>
  <c r="AP85" i="3"/>
  <c r="AB66" i="3"/>
  <c r="W5" i="3"/>
  <c r="W86" i="3" s="1"/>
  <c r="AJ38" i="3"/>
  <c r="AM16" i="3"/>
  <c r="M10" i="3"/>
  <c r="Z10" i="3"/>
  <c r="Q36" i="3"/>
  <c r="AK21" i="3"/>
  <c r="W37" i="3"/>
  <c r="M29" i="3"/>
  <c r="R35" i="3"/>
  <c r="AM25" i="3"/>
  <c r="W18" i="3"/>
  <c r="W40" i="3"/>
  <c r="AJ24" i="3"/>
  <c r="AP37" i="3"/>
  <c r="T34" i="3"/>
  <c r="AE39" i="3"/>
  <c r="Y11" i="3"/>
  <c r="AH22" i="3"/>
  <c r="AN20" i="3"/>
  <c r="J25" i="3"/>
  <c r="Z28" i="3"/>
  <c r="AD32" i="3"/>
  <c r="M25" i="3"/>
  <c r="S11" i="3"/>
  <c r="V29" i="3"/>
  <c r="N20" i="3"/>
  <c r="H41" i="2"/>
  <c r="E89" i="2"/>
  <c r="H79" i="2"/>
  <c r="W67" i="2"/>
  <c r="F43" i="2"/>
  <c r="X107" i="2"/>
  <c r="C90" i="2"/>
  <c r="J49" i="2"/>
  <c r="J96" i="2"/>
  <c r="P52" i="2"/>
  <c r="R104" i="2"/>
  <c r="E87" i="2"/>
  <c r="I58" i="2"/>
  <c r="X109" i="2"/>
  <c r="D107" i="2"/>
  <c r="L40" i="2"/>
  <c r="AB68" i="3"/>
  <c r="AB72" i="3"/>
  <c r="AB96" i="3"/>
  <c r="AP80" i="3"/>
  <c r="AP49" i="3"/>
  <c r="I22" i="3"/>
  <c r="V16" i="3"/>
  <c r="AJ31" i="3"/>
  <c r="W26" i="3"/>
  <c r="Z6" i="3"/>
  <c r="AN31" i="3"/>
  <c r="V24" i="3"/>
  <c r="AP41" i="3"/>
  <c r="U15" i="3"/>
  <c r="L37" i="3"/>
  <c r="F72" i="2"/>
  <c r="I47" i="2"/>
  <c r="W89" i="2"/>
  <c r="L56" i="2"/>
  <c r="J87" i="2"/>
  <c r="E88" i="2"/>
  <c r="H42" i="2"/>
  <c r="X53" i="2"/>
  <c r="T109" i="2"/>
  <c r="X86" i="2"/>
  <c r="I88" i="2"/>
  <c r="Q44" i="2"/>
  <c r="O66" i="2"/>
  <c r="P92" i="2"/>
  <c r="M108" i="2"/>
  <c r="M47" i="2"/>
  <c r="AB88" i="3"/>
  <c r="AB47" i="3"/>
  <c r="AB71" i="3"/>
  <c r="AB56" i="3"/>
  <c r="AP73" i="3"/>
  <c r="K13" i="3"/>
  <c r="AC18" i="3"/>
  <c r="AK31" i="3"/>
  <c r="J41" i="3"/>
  <c r="N15" i="3"/>
  <c r="AK37" i="3"/>
  <c r="AK12" i="3"/>
  <c r="AH13" i="3"/>
  <c r="O38" i="3"/>
  <c r="AP19" i="3"/>
  <c r="S32" i="3"/>
  <c r="X24" i="3"/>
  <c r="Y13" i="3"/>
  <c r="X14" i="3"/>
  <c r="AH15" i="3"/>
  <c r="AM8" i="3"/>
  <c r="AM21" i="3"/>
  <c r="M23" i="3"/>
  <c r="Y25" i="3"/>
  <c r="L5" i="3"/>
  <c r="L75" i="3" s="1"/>
  <c r="AM39" i="3"/>
  <c r="AN37" i="3"/>
  <c r="AH37" i="3"/>
  <c r="AQ36" i="3"/>
  <c r="P20" i="3"/>
  <c r="G32" i="3"/>
  <c r="Y19" i="3"/>
  <c r="T41" i="3"/>
  <c r="AP14" i="3"/>
  <c r="AL10" i="3"/>
  <c r="U12" i="3"/>
  <c r="AI34" i="3"/>
  <c r="M33" i="3"/>
  <c r="L28" i="3"/>
  <c r="AJ8" i="3"/>
  <c r="AE8" i="3"/>
  <c r="AG38" i="3"/>
  <c r="AB24" i="3"/>
  <c r="AO31" i="3"/>
  <c r="AP31" i="3"/>
  <c r="AJ11" i="3"/>
  <c r="E48" i="3"/>
  <c r="AN19" i="3"/>
  <c r="AQ41" i="3"/>
  <c r="W31" i="3"/>
  <c r="AK7" i="3"/>
  <c r="S41" i="3"/>
  <c r="AP18" i="3"/>
  <c r="AI27" i="3"/>
  <c r="AA23" i="3"/>
  <c r="M38" i="3"/>
  <c r="AI36" i="3"/>
  <c r="AK39" i="3"/>
  <c r="U23" i="3"/>
  <c r="E67" i="2"/>
  <c r="W66" i="2"/>
  <c r="Q94" i="2"/>
  <c r="K84" i="2"/>
  <c r="I43" i="2"/>
  <c r="J69" i="2"/>
  <c r="N79" i="2"/>
  <c r="K78" i="2"/>
  <c r="V68" i="2"/>
  <c r="S90" i="2"/>
  <c r="K73" i="2"/>
  <c r="G78" i="2"/>
  <c r="R40" i="2"/>
  <c r="K64" i="2"/>
  <c r="I73" i="2"/>
  <c r="L97" i="2"/>
  <c r="AP56" i="3"/>
  <c r="AB93" i="3"/>
  <c r="AP91" i="3"/>
  <c r="AB49" i="3"/>
  <c r="AB85" i="3"/>
  <c r="AI6" i="3"/>
  <c r="O39" i="3"/>
  <c r="M17" i="3"/>
  <c r="T25" i="3"/>
  <c r="X31" i="3"/>
  <c r="AO15" i="3"/>
  <c r="AI24" i="3"/>
  <c r="AI41" i="3"/>
  <c r="G42" i="3"/>
  <c r="N40" i="3"/>
  <c r="K29" i="3"/>
  <c r="T32" i="3"/>
  <c r="P25" i="3"/>
  <c r="X28" i="3"/>
  <c r="AQ8" i="3"/>
  <c r="U24" i="3"/>
  <c r="AB34" i="3"/>
  <c r="AB23" i="3"/>
  <c r="Z12" i="3"/>
  <c r="X15" i="3"/>
  <c r="S34" i="3"/>
  <c r="C41" i="3"/>
  <c r="H40" i="3"/>
  <c r="AN27" i="3"/>
  <c r="C19" i="3"/>
  <c r="AH11" i="3"/>
  <c r="F109" i="2"/>
  <c r="X69" i="2"/>
  <c r="N52" i="2"/>
  <c r="L60" i="2"/>
  <c r="M81" i="2"/>
  <c r="W53" i="2"/>
  <c r="O79" i="2"/>
  <c r="Q72" i="2"/>
  <c r="R107" i="2"/>
  <c r="D75" i="2"/>
  <c r="P74" i="2"/>
  <c r="M67" i="2"/>
  <c r="N70" i="2"/>
  <c r="G51" i="2"/>
  <c r="T110" i="2"/>
  <c r="R60" i="2"/>
  <c r="AB58" i="3"/>
  <c r="AB90" i="3"/>
  <c r="AP58" i="3"/>
  <c r="AB97" i="3"/>
  <c r="AB84" i="3"/>
  <c r="AG39" i="3"/>
  <c r="AN33" i="3"/>
  <c r="T17" i="3"/>
  <c r="AO39" i="3"/>
  <c r="AH21" i="3"/>
  <c r="L25" i="3"/>
  <c r="S36" i="3"/>
  <c r="AE9" i="3"/>
  <c r="AA9" i="3"/>
  <c r="Z34" i="3"/>
  <c r="AA8" i="3"/>
  <c r="P30" i="3"/>
  <c r="AP36" i="3"/>
  <c r="AM11" i="3"/>
  <c r="AL37" i="3"/>
  <c r="V41" i="3"/>
  <c r="AP23" i="3"/>
  <c r="H27" i="3"/>
  <c r="AA17" i="3"/>
  <c r="AC42" i="3"/>
  <c r="J42" i="3"/>
  <c r="X16" i="3"/>
  <c r="O42" i="3"/>
  <c r="O8" i="3"/>
  <c r="AC13" i="3"/>
  <c r="H36" i="3"/>
  <c r="S9" i="3"/>
  <c r="I15" i="3"/>
  <c r="J8" i="3"/>
  <c r="T22" i="3"/>
  <c r="AA21" i="3"/>
  <c r="AQ9" i="3"/>
  <c r="AB12" i="3"/>
  <c r="AG21" i="3"/>
  <c r="W16" i="3"/>
  <c r="G50" i="3"/>
  <c r="AI23" i="3"/>
  <c r="V27" i="3"/>
  <c r="P16" i="3"/>
  <c r="O19" i="3"/>
  <c r="AA32" i="3"/>
  <c r="U78" i="2"/>
  <c r="K67" i="2"/>
  <c r="X51" i="2"/>
  <c r="U90" i="2"/>
  <c r="L96" i="2"/>
  <c r="E56" i="2"/>
  <c r="S83" i="2"/>
  <c r="M68" i="2"/>
  <c r="I105" i="2"/>
  <c r="F45" i="2"/>
  <c r="T49" i="2"/>
  <c r="K77" i="2"/>
  <c r="F62" i="2"/>
  <c r="J67" i="2"/>
  <c r="U64" i="2"/>
  <c r="L78" i="2"/>
  <c r="AP96" i="3"/>
  <c r="AB92" i="3"/>
  <c r="AP81" i="3"/>
  <c r="C49" i="3"/>
  <c r="AB74" i="3"/>
  <c r="AP12" i="3"/>
  <c r="H41" i="3"/>
  <c r="AP25" i="3"/>
  <c r="R25" i="3"/>
  <c r="U30" i="3"/>
  <c r="P5" i="3"/>
  <c r="AJ25" i="3"/>
  <c r="AA25" i="3"/>
  <c r="J12" i="3"/>
  <c r="L11" i="3"/>
  <c r="AM22" i="3"/>
  <c r="X34" i="3"/>
  <c r="K36" i="3"/>
  <c r="AI30" i="3"/>
  <c r="AP30" i="3"/>
  <c r="L8" i="3"/>
  <c r="W15" i="3"/>
  <c r="AB22" i="3"/>
  <c r="AI9" i="3"/>
  <c r="AD38" i="3"/>
  <c r="AH14" i="3"/>
  <c r="H19" i="3"/>
  <c r="M22" i="3"/>
  <c r="AA40" i="3"/>
  <c r="AK24" i="3"/>
  <c r="AK30" i="3"/>
  <c r="AN23" i="3"/>
  <c r="AP26" i="3"/>
  <c r="T28" i="3"/>
  <c r="Q38" i="3"/>
  <c r="I41" i="3"/>
  <c r="AE18" i="3"/>
  <c r="K42" i="3"/>
  <c r="Q5" i="3"/>
  <c r="AQ19" i="3"/>
  <c r="O17" i="3"/>
  <c r="G40" i="3"/>
  <c r="P6" i="3"/>
  <c r="J15" i="3"/>
  <c r="X5" i="3"/>
  <c r="AM24" i="3"/>
  <c r="AN24" i="3"/>
  <c r="X13" i="3"/>
  <c r="G39" i="3"/>
  <c r="O27" i="3"/>
  <c r="AK10" i="3"/>
  <c r="V13" i="3"/>
  <c r="AO30" i="3"/>
  <c r="AJ28" i="3"/>
  <c r="AC26" i="3"/>
  <c r="AH25" i="3"/>
  <c r="O25" i="3"/>
  <c r="P31" i="3"/>
  <c r="Z22" i="3"/>
  <c r="R13" i="3"/>
  <c r="AB28" i="3"/>
  <c r="X17" i="3"/>
  <c r="AI39" i="3"/>
  <c r="AM31" i="3"/>
  <c r="J33" i="3"/>
  <c r="AI29" i="3"/>
  <c r="Z14" i="3"/>
  <c r="AP32" i="3"/>
  <c r="N34" i="3"/>
  <c r="Q26" i="3"/>
  <c r="AC19" i="3"/>
  <c r="U37" i="3"/>
  <c r="L22" i="3"/>
  <c r="AQ21" i="3"/>
  <c r="AP33" i="3"/>
  <c r="T11" i="3"/>
  <c r="L39" i="3"/>
  <c r="AC5" i="3"/>
  <c r="Z29" i="3"/>
  <c r="R33" i="3"/>
  <c r="AO16" i="3"/>
  <c r="Y33" i="3"/>
  <c r="M27" i="3"/>
  <c r="G38" i="3"/>
  <c r="AL29" i="3"/>
  <c r="U35" i="3"/>
  <c r="J5" i="3"/>
  <c r="AN10" i="3"/>
  <c r="O32" i="3"/>
  <c r="AL18" i="3"/>
  <c r="V22" i="3"/>
  <c r="AK6" i="3"/>
  <c r="AE35" i="3"/>
  <c r="X37" i="3"/>
  <c r="K31" i="3"/>
  <c r="AN18" i="3"/>
  <c r="V5" i="3"/>
  <c r="V74" i="3" s="1"/>
  <c r="Z39" i="3"/>
  <c r="AI40" i="3"/>
  <c r="AQ10" i="3"/>
  <c r="K7" i="3"/>
  <c r="R5" i="3"/>
  <c r="I31" i="3"/>
  <c r="AM6" i="3"/>
  <c r="R19" i="3"/>
  <c r="AM27" i="3"/>
  <c r="AE40" i="3"/>
  <c r="AG40" i="3"/>
  <c r="AB31" i="3"/>
  <c r="M21" i="3"/>
  <c r="X19" i="3"/>
  <c r="P38" i="3"/>
  <c r="K25" i="3"/>
  <c r="U20" i="3"/>
  <c r="AO22" i="3"/>
  <c r="J31" i="3"/>
  <c r="Q10" i="3"/>
  <c r="AH6" i="3"/>
  <c r="T31" i="3"/>
  <c r="V23" i="3"/>
  <c r="V40" i="3"/>
  <c r="AA24" i="3"/>
  <c r="T5" i="3"/>
  <c r="L10" i="3"/>
  <c r="AA37" i="3"/>
  <c r="S37" i="3"/>
  <c r="AO13" i="3"/>
  <c r="T40" i="3"/>
  <c r="K33" i="3"/>
  <c r="AK25" i="3"/>
  <c r="W14" i="3"/>
  <c r="Q39" i="3"/>
  <c r="AK15" i="3"/>
  <c r="AD31" i="3"/>
  <c r="J38" i="3"/>
  <c r="W10" i="3"/>
  <c r="AB27" i="3"/>
  <c r="L33" i="3"/>
  <c r="AI10" i="3"/>
  <c r="L14" i="3"/>
  <c r="AQ23" i="3"/>
  <c r="K21" i="3"/>
  <c r="Z31" i="3"/>
  <c r="Q22" i="3"/>
  <c r="AE5" i="3"/>
  <c r="AC14" i="3"/>
  <c r="S23" i="3"/>
  <c r="M5" i="3"/>
  <c r="AH34" i="3"/>
  <c r="Q28" i="3"/>
  <c r="AL12" i="3"/>
  <c r="AI18" i="3"/>
  <c r="AB35" i="3"/>
  <c r="AL40" i="3"/>
  <c r="Z13" i="3"/>
  <c r="AI35" i="3"/>
  <c r="L13" i="3"/>
  <c r="T20" i="3"/>
  <c r="N6" i="3"/>
  <c r="AN16" i="3"/>
  <c r="C29" i="3"/>
  <c r="Q21" i="3"/>
  <c r="AH38" i="3"/>
  <c r="Z5" i="3"/>
  <c r="Z80" i="3" s="1"/>
  <c r="J28" i="3"/>
  <c r="R22" i="3"/>
  <c r="W25" i="3"/>
  <c r="H31" i="3"/>
  <c r="K34" i="3"/>
  <c r="AI13" i="3"/>
  <c r="Z16" i="3"/>
  <c r="H8" i="3"/>
  <c r="AN36" i="3"/>
  <c r="K28" i="3"/>
  <c r="G34" i="3"/>
  <c r="I17" i="3"/>
  <c r="X18" i="3"/>
  <c r="AN13" i="3"/>
  <c r="J35" i="3"/>
  <c r="P9" i="3"/>
  <c r="AK28" i="3"/>
  <c r="AA35" i="3"/>
  <c r="V42" i="3"/>
  <c r="AJ40" i="3"/>
  <c r="AK18" i="3"/>
  <c r="Q18" i="3"/>
  <c r="M40" i="3"/>
  <c r="AI32" i="3"/>
  <c r="AN40" i="3"/>
  <c r="AO18" i="3"/>
  <c r="AC21" i="3"/>
  <c r="AD27" i="3"/>
  <c r="AH27" i="3"/>
  <c r="K39" i="3"/>
  <c r="T39" i="3"/>
  <c r="AB40" i="3"/>
  <c r="Q32" i="3"/>
  <c r="AO36" i="3"/>
  <c r="AO5" i="3"/>
  <c r="AD39" i="3"/>
  <c r="AI33" i="3"/>
  <c r="AJ29" i="3"/>
  <c r="W20" i="3"/>
  <c r="AG14" i="3"/>
  <c r="S20" i="3"/>
  <c r="O5" i="3"/>
  <c r="O18" i="3"/>
  <c r="AL16" i="3"/>
  <c r="U28" i="3"/>
  <c r="AK41" i="3"/>
  <c r="AK36" i="3"/>
  <c r="AC23" i="3"/>
  <c r="AL34" i="3"/>
  <c r="H7" i="3"/>
  <c r="AE20" i="3"/>
  <c r="N42" i="3"/>
  <c r="P23" i="3"/>
  <c r="AN5" i="3"/>
  <c r="Z7" i="3"/>
  <c r="J20" i="3"/>
  <c r="AL36" i="3"/>
  <c r="P15" i="3"/>
  <c r="AI22" i="3"/>
  <c r="L17" i="3"/>
  <c r="AA7" i="3"/>
  <c r="P37" i="3"/>
  <c r="C31" i="3"/>
  <c r="Z18" i="3"/>
  <c r="W17" i="3"/>
  <c r="AG33" i="3"/>
  <c r="AK32" i="3"/>
  <c r="L7" i="3"/>
  <c r="AC30" i="3"/>
  <c r="J24" i="3"/>
  <c r="T18" i="3"/>
  <c r="N12" i="3"/>
  <c r="AH5" i="3"/>
  <c r="N37" i="3"/>
  <c r="AE26" i="3"/>
  <c r="C36" i="3"/>
  <c r="AK23" i="3"/>
  <c r="AI17" i="3"/>
  <c r="AJ27" i="3"/>
  <c r="AN41" i="3"/>
  <c r="U8" i="3"/>
  <c r="L24" i="3"/>
  <c r="K22" i="3"/>
  <c r="Z27" i="3"/>
  <c r="AD29" i="3"/>
  <c r="AH20" i="3"/>
  <c r="N18" i="3"/>
  <c r="AQ11" i="3"/>
  <c r="N22" i="3"/>
  <c r="J19" i="3"/>
  <c r="K16" i="3"/>
  <c r="AA27" i="3"/>
  <c r="C11" i="3"/>
  <c r="Y29" i="3"/>
  <c r="M42" i="3"/>
  <c r="AA18" i="3"/>
  <c r="Y9" i="3"/>
  <c r="AJ10" i="3"/>
  <c r="AL5" i="3"/>
  <c r="O12" i="3"/>
  <c r="AM18" i="3"/>
  <c r="G47" i="3"/>
  <c r="H29" i="3"/>
  <c r="T36" i="3"/>
  <c r="P14" i="3"/>
  <c r="Q17" i="3"/>
  <c r="J10" i="3"/>
  <c r="T13" i="3"/>
  <c r="Y21" i="3"/>
  <c r="V20" i="3"/>
  <c r="AP21" i="3"/>
  <c r="Z33" i="3"/>
  <c r="AH39" i="3"/>
  <c r="C26" i="3"/>
  <c r="W24" i="3"/>
  <c r="O30" i="3"/>
  <c r="K18" i="3"/>
  <c r="Q41" i="3"/>
  <c r="AB36" i="3"/>
  <c r="AK42" i="3"/>
  <c r="S8" i="3"/>
  <c r="H26" i="3"/>
  <c r="AK26" i="3"/>
  <c r="L34" i="3"/>
  <c r="AO19" i="3"/>
  <c r="AQ16" i="3"/>
  <c r="AJ21" i="3"/>
  <c r="T6" i="3"/>
  <c r="AJ7" i="3"/>
  <c r="AN30" i="3"/>
  <c r="AM42" i="3"/>
  <c r="X6" i="3"/>
  <c r="AJ42" i="3"/>
  <c r="T15" i="3"/>
  <c r="P12" i="3"/>
  <c r="AA38" i="3"/>
  <c r="M18" i="3"/>
  <c r="L35" i="3"/>
  <c r="W19" i="3"/>
  <c r="AA6" i="3"/>
  <c r="O9" i="3"/>
  <c r="AJ5" i="3"/>
  <c r="AJ94" i="3" s="1"/>
  <c r="AE33" i="3"/>
  <c r="AO10" i="3"/>
  <c r="AQ33" i="3"/>
  <c r="AM30" i="3"/>
  <c r="AO41" i="3"/>
  <c r="Z26" i="3"/>
  <c r="X21" i="3"/>
  <c r="AM29" i="3"/>
  <c r="AA33" i="3"/>
  <c r="AA14" i="3"/>
  <c r="AL13" i="3"/>
  <c r="AD47" i="3"/>
  <c r="Z38" i="3"/>
  <c r="AC28" i="3"/>
  <c r="L15" i="3"/>
  <c r="U34" i="3"/>
  <c r="Q12" i="3"/>
  <c r="AJ39" i="3"/>
  <c r="S5" i="3"/>
  <c r="O14" i="3"/>
  <c r="Y42" i="3"/>
  <c r="U38" i="3"/>
  <c r="AJ37" i="3"/>
  <c r="AA15" i="3"/>
  <c r="AB9" i="3"/>
  <c r="S14" i="3"/>
  <c r="AG25" i="3"/>
  <c r="AO26" i="3"/>
  <c r="AC32" i="3"/>
  <c r="P26" i="3"/>
  <c r="AL23" i="3"/>
  <c r="T38" i="3"/>
  <c r="AP35" i="3"/>
  <c r="AB17" i="3"/>
  <c r="R16" i="3"/>
  <c r="AG22" i="3"/>
  <c r="AQ28" i="3"/>
  <c r="S13" i="3"/>
  <c r="N25" i="3"/>
  <c r="H24" i="3"/>
  <c r="K19" i="3"/>
  <c r="AG30" i="3"/>
  <c r="AE38" i="3"/>
  <c r="AE29" i="3"/>
  <c r="AD33" i="3"/>
  <c r="V30" i="3"/>
  <c r="Q6" i="3"/>
  <c r="AE37" i="3"/>
  <c r="AM28" i="3"/>
  <c r="AB8" i="3"/>
  <c r="AG24" i="3"/>
  <c r="U42" i="3"/>
  <c r="C16" i="3"/>
  <c r="V36" i="3"/>
  <c r="AE22" i="3"/>
  <c r="AA26" i="3"/>
  <c r="AC24" i="3"/>
  <c r="AG11" i="3"/>
  <c r="AC15" i="3"/>
  <c r="AA39" i="3"/>
  <c r="U40" i="3"/>
  <c r="AI8" i="3"/>
  <c r="D47" i="3"/>
  <c r="AQ34" i="3"/>
  <c r="AA28" i="3"/>
  <c r="S28" i="3"/>
  <c r="AK19" i="3"/>
  <c r="AB15" i="3"/>
  <c r="AD41" i="3"/>
  <c r="H11" i="3"/>
  <c r="J34" i="3"/>
  <c r="I25" i="3"/>
  <c r="T16" i="3"/>
  <c r="H25" i="3"/>
  <c r="G48" i="3"/>
  <c r="AH29" i="3"/>
  <c r="AB33" i="3"/>
  <c r="AD48" i="3"/>
  <c r="AJ32" i="3"/>
  <c r="R37" i="3"/>
  <c r="O26" i="3"/>
  <c r="U26" i="3"/>
  <c r="R39" i="3"/>
  <c r="AH28" i="3"/>
  <c r="AN38" i="3"/>
  <c r="I33" i="3"/>
  <c r="AD36" i="3"/>
  <c r="I20" i="3"/>
  <c r="C20" i="3"/>
  <c r="X33" i="3"/>
  <c r="AN21" i="3"/>
  <c r="U29" i="3"/>
  <c r="Y35" i="3"/>
  <c r="AA22" i="3"/>
  <c r="K17" i="3"/>
  <c r="X8" i="3"/>
  <c r="I11" i="3"/>
  <c r="W12" i="3"/>
  <c r="S17" i="3"/>
  <c r="M31" i="3"/>
  <c r="AH35" i="3"/>
  <c r="AH10" i="3"/>
  <c r="AL15" i="3"/>
  <c r="AG18" i="3"/>
  <c r="W35" i="3"/>
  <c r="T12" i="3"/>
  <c r="AJ13" i="3"/>
  <c r="H10" i="3"/>
  <c r="I6" i="3"/>
  <c r="P24" i="3"/>
  <c r="AB25" i="3"/>
  <c r="AP39" i="3"/>
  <c r="U14" i="3"/>
  <c r="X40" i="3"/>
  <c r="Q30" i="3"/>
  <c r="C14" i="3"/>
  <c r="AQ26" i="3"/>
  <c r="Y26" i="3"/>
  <c r="AG20" i="3"/>
  <c r="AA20" i="3"/>
  <c r="AK40" i="3"/>
  <c r="Q13" i="3"/>
  <c r="L40" i="3"/>
  <c r="H30" i="3"/>
  <c r="K27" i="3"/>
  <c r="AC35" i="3"/>
  <c r="D49" i="3"/>
  <c r="AC38" i="3"/>
  <c r="AC10" i="3"/>
  <c r="U32" i="3"/>
  <c r="S15" i="3"/>
  <c r="S25" i="3"/>
  <c r="AE13" i="3"/>
  <c r="K32" i="3"/>
  <c r="AN26" i="3"/>
  <c r="Z17" i="3"/>
  <c r="R12" i="3"/>
  <c r="O33" i="3"/>
  <c r="AL19" i="3"/>
  <c r="AP38" i="3"/>
  <c r="J26" i="3"/>
  <c r="AQ7" i="3"/>
  <c r="AL11" i="3"/>
  <c r="U16" i="3"/>
  <c r="AQ17" i="3"/>
  <c r="AG35" i="3"/>
  <c r="AA19" i="3"/>
  <c r="U13" i="3"/>
  <c r="V15" i="3"/>
  <c r="AG32" i="3"/>
  <c r="L27" i="3"/>
  <c r="Z23" i="3"/>
  <c r="S26" i="3"/>
  <c r="AO12" i="3"/>
  <c r="Z21" i="3"/>
  <c r="AJ26" i="3"/>
  <c r="S29" i="3"/>
  <c r="AN42" i="3"/>
  <c r="U5" i="3"/>
  <c r="AG12" i="3"/>
  <c r="Y15" i="3"/>
  <c r="AC11" i="3"/>
  <c r="M19" i="3"/>
  <c r="R11" i="3"/>
  <c r="AM38" i="3"/>
  <c r="S10" i="3"/>
  <c r="X20" i="3"/>
  <c r="AH12" i="3"/>
  <c r="W8" i="3"/>
  <c r="X39" i="3"/>
  <c r="Q25" i="3"/>
  <c r="K5" i="3"/>
  <c r="Z35" i="3"/>
  <c r="J27" i="3"/>
  <c r="H42" i="3"/>
  <c r="U22" i="3"/>
  <c r="AG6" i="3"/>
  <c r="L18" i="3"/>
  <c r="AQ22" i="3"/>
  <c r="AO29" i="3"/>
  <c r="AG36" i="3"/>
  <c r="P19" i="3"/>
  <c r="J29" i="3"/>
  <c r="S19" i="3"/>
  <c r="M12" i="3"/>
  <c r="AD30" i="3"/>
  <c r="S39" i="3"/>
  <c r="AQ15" i="3"/>
  <c r="P42" i="3"/>
  <c r="Q15" i="3"/>
  <c r="AI25" i="3"/>
  <c r="I12" i="3"/>
  <c r="AG19" i="3"/>
  <c r="AL28" i="3"/>
  <c r="I27" i="3"/>
  <c r="AN11" i="3"/>
  <c r="Y5" i="3"/>
  <c r="Q42" i="3"/>
  <c r="AL32" i="3"/>
  <c r="AK38" i="3"/>
  <c r="AN39" i="3"/>
  <c r="AJ19" i="3"/>
  <c r="R8" i="3"/>
  <c r="N17" i="3"/>
  <c r="O40" i="3"/>
  <c r="N33" i="3"/>
  <c r="AH30" i="3"/>
  <c r="X11" i="3"/>
  <c r="I32" i="3"/>
  <c r="O34" i="3"/>
  <c r="AB16" i="3"/>
  <c r="AD23" i="3"/>
  <c r="AC41" i="3"/>
  <c r="K41" i="3"/>
  <c r="P36" i="3"/>
  <c r="K8" i="3"/>
  <c r="L41" i="3"/>
  <c r="K26" i="3"/>
  <c r="AQ20" i="3"/>
  <c r="M41" i="3"/>
  <c r="J14" i="3"/>
  <c r="X42" i="3"/>
  <c r="K20" i="3"/>
  <c r="K9" i="3"/>
  <c r="Y41" i="3"/>
  <c r="AI14" i="3"/>
  <c r="C35" i="3"/>
  <c r="P33" i="3"/>
  <c r="I5" i="3"/>
  <c r="I76" i="3" s="1"/>
  <c r="W32" i="3"/>
  <c r="V39" i="3"/>
  <c r="O24" i="3"/>
  <c r="M30" i="3"/>
  <c r="AE12" i="3"/>
  <c r="P7" i="3"/>
  <c r="N16" i="3"/>
  <c r="AA36" i="3"/>
  <c r="AK11" i="3"/>
  <c r="S30" i="3"/>
  <c r="R14" i="3"/>
  <c r="T10" i="3"/>
  <c r="I40" i="3"/>
  <c r="J21" i="3"/>
  <c r="Y37" i="3"/>
  <c r="AI42" i="3"/>
  <c r="AE41" i="3"/>
  <c r="R10" i="3"/>
  <c r="AC31" i="3"/>
  <c r="V32" i="3"/>
  <c r="Z40" i="3"/>
  <c r="I24" i="3"/>
  <c r="U39" i="3"/>
  <c r="L42" i="3"/>
  <c r="AB7" i="3"/>
  <c r="AL26" i="3"/>
  <c r="U27" i="3"/>
  <c r="T37" i="3"/>
  <c r="N38" i="3"/>
  <c r="T9" i="3"/>
  <c r="M28" i="3"/>
  <c r="K11" i="3"/>
  <c r="J39" i="3"/>
  <c r="V21" i="3"/>
  <c r="AD42" i="3"/>
  <c r="AL24" i="3"/>
  <c r="AG16" i="3"/>
  <c r="N11" i="3"/>
  <c r="N23" i="3"/>
  <c r="M24" i="3"/>
  <c r="AD22" i="3"/>
  <c r="Q8" i="3"/>
  <c r="V14" i="3"/>
  <c r="T27" i="3"/>
  <c r="M16" i="3"/>
  <c r="AE27" i="3"/>
  <c r="K37" i="3"/>
  <c r="H39" i="3"/>
  <c r="AO8" i="3"/>
  <c r="Q11" i="3"/>
  <c r="AE15" i="3"/>
  <c r="Q7" i="3"/>
  <c r="AH18" i="3"/>
  <c r="AC34" i="3"/>
  <c r="N27" i="3"/>
  <c r="AO37" i="3"/>
  <c r="H33" i="3"/>
  <c r="J11" i="3"/>
  <c r="AN6" i="3"/>
  <c r="AL42" i="3"/>
  <c r="AQ37" i="3"/>
  <c r="AI20" i="3"/>
  <c r="T19" i="3"/>
  <c r="AM17" i="3"/>
  <c r="AI37" i="3"/>
  <c r="K12" i="3"/>
  <c r="T42" i="3"/>
  <c r="AG9" i="3"/>
  <c r="W30" i="3"/>
  <c r="O13" i="3"/>
  <c r="R7" i="3"/>
  <c r="L21" i="3"/>
  <c r="AN15" i="3"/>
  <c r="AG29" i="3"/>
  <c r="AP40" i="3"/>
  <c r="Q19" i="3"/>
  <c r="C33" i="3"/>
  <c r="AG23" i="3"/>
  <c r="R42" i="3"/>
  <c r="Z37" i="3"/>
  <c r="I14" i="3"/>
  <c r="AE6" i="3"/>
  <c r="N8" i="3"/>
  <c r="S21" i="3"/>
  <c r="AH32" i="3"/>
  <c r="AA13" i="3"/>
  <c r="P11" i="3"/>
  <c r="N9" i="3"/>
  <c r="H23" i="3"/>
  <c r="J9" i="3"/>
  <c r="AN28" i="3"/>
  <c r="V6" i="3"/>
  <c r="AA16" i="3"/>
  <c r="T7" i="3"/>
  <c r="N13" i="3"/>
  <c r="U18" i="3"/>
  <c r="AM35" i="3"/>
  <c r="AQ25" i="3"/>
  <c r="AQ5" i="3"/>
  <c r="AQ56" i="3" s="1"/>
  <c r="N31" i="3"/>
  <c r="AI7" i="3"/>
  <c r="T29" i="3"/>
  <c r="AM19" i="3"/>
  <c r="AK8" i="3"/>
  <c r="D48" i="3"/>
  <c r="AE16" i="3"/>
  <c r="Y27" i="3"/>
  <c r="AC40" i="3"/>
  <c r="AB32" i="3"/>
  <c r="AM15" i="3"/>
  <c r="AL35" i="3"/>
  <c r="H12" i="3"/>
  <c r="AG13" i="3"/>
  <c r="AD49" i="3"/>
  <c r="S18" i="3"/>
  <c r="AH8" i="3"/>
  <c r="M20" i="3"/>
  <c r="I35" i="3"/>
  <c r="Z36" i="3"/>
  <c r="Y36" i="3"/>
  <c r="O10" i="3"/>
  <c r="K14" i="3"/>
  <c r="U7" i="3"/>
  <c r="AO42" i="3"/>
  <c r="AM83" i="3"/>
  <c r="AK77" i="3"/>
  <c r="H75" i="3"/>
  <c r="Q87" i="3"/>
  <c r="AO97" i="3"/>
  <c r="N77" i="3"/>
  <c r="V92" i="3"/>
  <c r="AG61" i="3"/>
  <c r="V54" i="3"/>
  <c r="AL83" i="3"/>
  <c r="S96" i="3"/>
  <c r="AQ87" i="3"/>
  <c r="Z75" i="3"/>
  <c r="R80" i="3"/>
  <c r="Q72" i="3"/>
  <c r="AO69" i="3"/>
  <c r="AG74" i="3"/>
  <c r="R62" i="3"/>
  <c r="I92" i="3"/>
  <c r="AM48" i="3"/>
  <c r="L96" i="3"/>
  <c r="T74" i="3"/>
  <c r="AI82" i="3"/>
  <c r="N67" i="3"/>
  <c r="AM87" i="3"/>
  <c r="L54" i="3"/>
  <c r="AC74" i="3"/>
  <c r="L48" i="3"/>
  <c r="H87" i="3"/>
  <c r="Q67" i="3"/>
  <c r="Q47" i="3"/>
  <c r="X58" i="3"/>
  <c r="Y59" i="3"/>
  <c r="AM72" i="3"/>
  <c r="AE91" i="3"/>
  <c r="AG96" i="3"/>
  <c r="J57" i="3"/>
  <c r="T66" i="3"/>
  <c r="Y76" i="3"/>
  <c r="AL95" i="3"/>
  <c r="I60" i="3"/>
  <c r="S67" i="3"/>
  <c r="I95" i="3"/>
  <c r="O61" i="3"/>
  <c r="AA69" i="3"/>
  <c r="T90" i="3"/>
  <c r="AH80" i="3"/>
  <c r="K96" i="3"/>
  <c r="AI55" i="3"/>
  <c r="H54" i="3"/>
  <c r="K66" i="3"/>
  <c r="AK78" i="3"/>
  <c r="AK91" i="3"/>
  <c r="AI59" i="3"/>
  <c r="M56" i="3"/>
  <c r="M77" i="3"/>
  <c r="AI81" i="3"/>
  <c r="AM79" i="3"/>
  <c r="AG57" i="3"/>
  <c r="AL55" i="3"/>
  <c r="AI67" i="3"/>
  <c r="O85" i="3"/>
  <c r="Z69" i="3"/>
  <c r="AM55" i="3"/>
  <c r="S91" i="3"/>
  <c r="T85" i="3"/>
  <c r="M90" i="3"/>
  <c r="N80" i="3"/>
  <c r="AL97" i="3"/>
  <c r="AA75" i="3"/>
  <c r="AQ71" i="3"/>
  <c r="T68" i="3"/>
  <c r="AL48" i="3"/>
  <c r="X72" i="3"/>
  <c r="R97" i="3"/>
  <c r="O64" i="3"/>
  <c r="AJ88" i="3"/>
  <c r="I55" i="3"/>
  <c r="K92" i="3"/>
  <c r="K58" i="3"/>
  <c r="AG82" i="3"/>
  <c r="J74" i="3"/>
  <c r="P55" i="3"/>
  <c r="N86" i="3"/>
  <c r="I78" i="3"/>
  <c r="AE73" i="3"/>
  <c r="Z85" i="3"/>
  <c r="AM80" i="3"/>
  <c r="AK69" i="3"/>
  <c r="L66" i="3"/>
  <c r="L59" i="3"/>
  <c r="AI84" i="3"/>
  <c r="J85" i="3"/>
  <c r="H58" i="3"/>
  <c r="AE84" i="3"/>
  <c r="AE79" i="3"/>
  <c r="M59" i="3"/>
  <c r="N71" i="3"/>
  <c r="M48" i="3"/>
  <c r="S87" i="3"/>
  <c r="AG73" i="3"/>
  <c r="Z70" i="3"/>
  <c r="AL93" i="3"/>
  <c r="Y96" i="3"/>
  <c r="Z64" i="3"/>
  <c r="I48" i="3"/>
  <c r="Q86" i="3"/>
  <c r="N50" i="3"/>
  <c r="K62" i="3"/>
  <c r="AA88" i="3"/>
  <c r="AG56" i="3"/>
  <c r="S69" i="3"/>
  <c r="AK93" i="3"/>
  <c r="H69" i="3"/>
  <c r="AI97" i="3"/>
  <c r="AM81" i="3"/>
  <c r="L94" i="3"/>
  <c r="H85" i="3"/>
  <c r="AE68" i="3"/>
  <c r="P50" i="3"/>
  <c r="L63" i="3"/>
  <c r="J81" i="3"/>
  <c r="H84" i="3"/>
  <c r="Y47" i="3"/>
  <c r="AO82" i="3"/>
  <c r="AQ94" i="3"/>
  <c r="N56" i="3"/>
  <c r="AM88" i="3"/>
  <c r="AJ47" i="3"/>
  <c r="AG85" i="3"/>
  <c r="U58" i="3"/>
  <c r="AO62" i="3"/>
  <c r="K55" i="3"/>
  <c r="I49" i="3"/>
  <c r="K64" i="3"/>
  <c r="AO84" i="3"/>
  <c r="AQ78" i="3"/>
  <c r="AC57" i="3"/>
  <c r="N48" i="3"/>
  <c r="AA85" i="3"/>
  <c r="S48" i="3"/>
  <c r="AI71" i="3"/>
  <c r="L93" i="3"/>
  <c r="AH49" i="3"/>
  <c r="AK97" i="3"/>
  <c r="AK54" i="3"/>
  <c r="AI94" i="3"/>
  <c r="L62" i="3"/>
  <c r="Q73" i="3"/>
  <c r="L78" i="3"/>
  <c r="AJ69" i="3"/>
  <c r="M72" i="3"/>
  <c r="Q94" i="3"/>
  <c r="I58" i="3"/>
  <c r="AM89" i="3"/>
  <c r="H60" i="3"/>
  <c r="AO88" i="3"/>
  <c r="AM58" i="3"/>
  <c r="Y83" i="3"/>
  <c r="AN59" i="3"/>
  <c r="AK65" i="3"/>
  <c r="S63" i="3"/>
  <c r="P80" i="3"/>
  <c r="AA56" i="3"/>
  <c r="AA48" i="3"/>
  <c r="H50" i="3"/>
  <c r="Z56" i="3"/>
  <c r="AQ85" i="3"/>
  <c r="P85" i="3"/>
  <c r="AG80" i="3"/>
  <c r="AH60" i="3"/>
  <c r="N68" i="3"/>
  <c r="AH59" i="3"/>
  <c r="U78" i="3"/>
  <c r="AM67" i="3"/>
  <c r="AK96" i="3"/>
  <c r="H92" i="3"/>
  <c r="H76" i="3"/>
  <c r="L82" i="3"/>
  <c r="O47" i="3"/>
  <c r="J56" i="3"/>
  <c r="AE85" i="3"/>
  <c r="AJ67" i="3"/>
  <c r="X54" i="3"/>
  <c r="AA95" i="3"/>
  <c r="AK89" i="3"/>
  <c r="AA87" i="3"/>
  <c r="AH56" i="3"/>
  <c r="AG49" i="3"/>
  <c r="Z76" i="3"/>
  <c r="AH64" i="3"/>
  <c r="R54" i="3"/>
  <c r="H47" i="3"/>
  <c r="P69" i="3"/>
  <c r="S85" i="3"/>
  <c r="H70" i="3"/>
  <c r="Q74" i="3"/>
  <c r="J92" i="3"/>
  <c r="S71" i="3"/>
  <c r="AI87" i="3"/>
  <c r="O63" i="3"/>
  <c r="AI69" i="3"/>
  <c r="P88" i="3"/>
  <c r="X49" i="3"/>
  <c r="H96" i="3"/>
  <c r="P84" i="3"/>
  <c r="J90" i="3"/>
  <c r="O86" i="3"/>
  <c r="AI88" i="3"/>
  <c r="J60" i="3"/>
  <c r="Z48" i="3"/>
  <c r="N91" i="3"/>
  <c r="AM91" i="3"/>
  <c r="AG70" i="3"/>
  <c r="AJ66" i="3"/>
  <c r="AO68" i="3"/>
  <c r="AH70" i="3"/>
  <c r="S93" i="3"/>
  <c r="V61" i="3"/>
  <c r="AQ82" i="3"/>
  <c r="Q97" i="3"/>
  <c r="AG95" i="3"/>
  <c r="AE56" i="3"/>
  <c r="U94" i="3"/>
  <c r="AI49" i="3"/>
  <c r="Z65" i="3"/>
  <c r="N54" i="3"/>
  <c r="N89" i="3"/>
  <c r="AM56" i="3"/>
  <c r="L79" i="3"/>
  <c r="J97" i="3"/>
  <c r="L58" i="3"/>
  <c r="V67" i="3"/>
  <c r="AA63" i="3"/>
  <c r="Q89" i="3"/>
  <c r="J59" i="3"/>
  <c r="N70" i="3"/>
  <c r="AM64" i="3"/>
  <c r="H93" i="3"/>
  <c r="J75" i="3"/>
  <c r="M88" i="3"/>
  <c r="AA86" i="3"/>
  <c r="AQ66" i="3"/>
  <c r="R49" i="3"/>
  <c r="AG94" i="3"/>
  <c r="AH87" i="3"/>
  <c r="AO92" i="3"/>
  <c r="AO80" i="3"/>
  <c r="AQ60" i="3"/>
  <c r="L95" i="3"/>
  <c r="P72" i="3"/>
  <c r="Y60" i="3"/>
  <c r="AG91" i="3"/>
  <c r="S60" i="3"/>
  <c r="T73" i="3"/>
  <c r="S83" i="3"/>
  <c r="AM63" i="3"/>
  <c r="AH50" i="3"/>
  <c r="Z72" i="3"/>
  <c r="Y69" i="3"/>
  <c r="Z54" i="3"/>
  <c r="H55" i="3"/>
  <c r="X97" i="3"/>
  <c r="R79" i="3"/>
  <c r="Z57" i="3"/>
  <c r="AG71" i="3"/>
  <c r="Q66" i="3"/>
  <c r="S84" i="3"/>
  <c r="I86" i="3"/>
  <c r="AE58" i="3"/>
  <c r="H65" i="3"/>
  <c r="H74" i="3"/>
  <c r="AI75" i="3"/>
  <c r="AK68" i="3"/>
  <c r="AJ61" i="3"/>
  <c r="P58" i="3"/>
  <c r="L69" i="3"/>
  <c r="AJ95" i="3"/>
  <c r="O90" i="3"/>
  <c r="AN90" i="3"/>
  <c r="X63" i="3"/>
  <c r="AA59" i="3"/>
  <c r="AK85" i="3"/>
  <c r="AA76" i="3"/>
  <c r="S79" i="3"/>
  <c r="AH71" i="3"/>
  <c r="R47" i="3"/>
  <c r="O71" i="3"/>
  <c r="AH77" i="3"/>
  <c r="I57" i="3"/>
  <c r="AJ65" i="3"/>
  <c r="AN62" i="3"/>
  <c r="Y63" i="3"/>
  <c r="AI56" i="3"/>
  <c r="AI95" i="3"/>
  <c r="L64" i="3"/>
  <c r="AI57" i="3"/>
  <c r="H91" i="3"/>
  <c r="AA83" i="3"/>
  <c r="O57" i="3"/>
  <c r="T75" i="3"/>
  <c r="AA91" i="3"/>
  <c r="O62" i="3"/>
  <c r="AC71" i="3"/>
  <c r="N97" i="3"/>
  <c r="AM96" i="3"/>
  <c r="Z97" i="3"/>
  <c r="AG90" i="3"/>
  <c r="R78" i="3"/>
  <c r="V66" i="3"/>
  <c r="U84" i="3"/>
  <c r="I87" i="3"/>
  <c r="T47" i="3"/>
  <c r="AI54" i="3"/>
  <c r="P66" i="3"/>
  <c r="AI96" i="3"/>
  <c r="N64" i="3"/>
  <c r="L84" i="3"/>
  <c r="P47" i="3"/>
  <c r="H67" i="3"/>
  <c r="P56" i="3"/>
  <c r="X90" i="3"/>
  <c r="AO76" i="3"/>
  <c r="Y74" i="3"/>
  <c r="AH84" i="3"/>
  <c r="AI68" i="3"/>
  <c r="AA81" i="3"/>
  <c r="V69" i="3"/>
  <c r="AC79" i="3"/>
  <c r="AH79" i="3"/>
  <c r="AQ95" i="3"/>
  <c r="AG83" i="3"/>
  <c r="AA92" i="3"/>
  <c r="Z86" i="3"/>
  <c r="AO89" i="3"/>
  <c r="AK59" i="3"/>
  <c r="AI83" i="3"/>
  <c r="AM62" i="3"/>
  <c r="J77" i="3"/>
  <c r="AQ48" i="3"/>
  <c r="V50" i="3"/>
  <c r="AQ75" i="3"/>
  <c r="AI64" i="3"/>
  <c r="AK56" i="3"/>
  <c r="AI58" i="3"/>
  <c r="H81" i="3"/>
  <c r="M61" i="3"/>
  <c r="N85" i="3"/>
  <c r="Z49" i="3"/>
  <c r="J48" i="3"/>
  <c r="AL68" i="3"/>
  <c r="Q76" i="3"/>
  <c r="K63" i="3"/>
  <c r="R84" i="3"/>
  <c r="AG58" i="3"/>
  <c r="T54" i="3"/>
  <c r="U66" i="3"/>
  <c r="V96" i="3"/>
  <c r="H77" i="3"/>
  <c r="AN76" i="3"/>
  <c r="AK80" i="3"/>
  <c r="H79" i="3"/>
  <c r="AI63" i="3"/>
  <c r="AI47" i="3"/>
  <c r="L88" i="3"/>
  <c r="O74" i="3"/>
  <c r="AJ70" i="3"/>
  <c r="L56" i="3"/>
  <c r="P79" i="3"/>
  <c r="H80" i="3"/>
  <c r="Q60" i="3"/>
  <c r="O84" i="3"/>
  <c r="T65" i="3"/>
  <c r="N84" i="3"/>
  <c r="AM75" i="3"/>
  <c r="AC58" i="3"/>
  <c r="R55" i="3"/>
  <c r="S59" i="3"/>
  <c r="I66" i="3"/>
  <c r="Y88" i="3"/>
  <c r="AN72" i="3"/>
  <c r="AK95" i="3"/>
  <c r="AI90" i="3"/>
  <c r="AA58" i="3"/>
  <c r="AA55" i="3"/>
  <c r="N96" i="3"/>
  <c r="AG86" i="3"/>
  <c r="AM71" i="3"/>
  <c r="AH74" i="3"/>
  <c r="AL85" i="3"/>
  <c r="I68" i="3"/>
  <c r="AL77" i="3"/>
  <c r="U79" i="3"/>
  <c r="V49" i="3"/>
  <c r="AE74" i="3"/>
  <c r="AM74" i="3"/>
  <c r="AK49" i="3"/>
  <c r="H72" i="3"/>
  <c r="J83" i="3"/>
  <c r="AI77" i="3"/>
  <c r="P96" i="3"/>
  <c r="H73" i="3"/>
  <c r="J94" i="3"/>
  <c r="AA72" i="3"/>
  <c r="T96" i="3"/>
  <c r="N92" i="3"/>
  <c r="T69" i="3"/>
  <c r="AG59" i="3"/>
  <c r="U91" i="3"/>
  <c r="AQ73" i="3"/>
  <c r="AQ70" i="3"/>
  <c r="X62" i="3"/>
  <c r="AC63" i="3"/>
  <c r="R82" i="3"/>
  <c r="AL57" i="3"/>
  <c r="Y82" i="3"/>
  <c r="AJ89" i="3"/>
  <c r="AK94" i="3"/>
  <c r="AI50" i="3"/>
  <c r="AI61" i="3"/>
  <c r="H90" i="3"/>
  <c r="O94" i="3"/>
  <c r="L57" i="3"/>
  <c r="AA82" i="3"/>
  <c r="M78" i="3"/>
  <c r="AE54" i="3"/>
  <c r="H49" i="3"/>
  <c r="AM47" i="3"/>
  <c r="J86" i="3"/>
  <c r="AI70" i="3"/>
  <c r="AC97" i="3"/>
  <c r="V57" i="3"/>
  <c r="M47" i="3"/>
  <c r="AC56" i="3"/>
  <c r="X47" i="3"/>
  <c r="AH72" i="3"/>
  <c r="AM76" i="3"/>
  <c r="AJ97" i="3"/>
  <c r="AG67" i="3"/>
  <c r="U65" i="3"/>
  <c r="AO83" i="3"/>
  <c r="K77" i="3"/>
  <c r="AH57" i="3"/>
  <c r="Y70" i="3"/>
  <c r="K61" i="3"/>
  <c r="AE92" i="3"/>
  <c r="AO79" i="3"/>
  <c r="X70" i="3"/>
  <c r="AQ80" i="3"/>
  <c r="X88" i="3"/>
  <c r="H86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N82" i="3"/>
  <c r="AO93" i="3"/>
  <c r="AG60" i="3"/>
  <c r="T57" i="3"/>
  <c r="X82" i="3"/>
  <c r="AL78" i="3"/>
  <c r="S49" i="3"/>
  <c r="I69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X68" i="3"/>
  <c r="I84" i="3"/>
  <c r="AN84" i="3"/>
  <c r="N66" i="3"/>
  <c r="U92" i="3"/>
  <c r="Y92" i="3"/>
  <c r="K78" i="3"/>
  <c r="V88" i="3"/>
  <c r="AK86" i="3"/>
  <c r="AL64" i="3"/>
  <c r="AA70" i="3"/>
  <c r="T78" i="3"/>
  <c r="P73" i="3"/>
  <c r="R66" i="3"/>
  <c r="I6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N88" i="3"/>
  <c r="M49" i="3"/>
  <c r="V60" i="3"/>
  <c r="AG64" i="3"/>
  <c r="AG66" i="3"/>
  <c r="X55" i="3"/>
  <c r="AL73" i="3"/>
  <c r="S56" i="3"/>
  <c r="U87" i="3"/>
  <c r="AQ79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AG69" i="3"/>
  <c r="V83" i="3"/>
  <c r="Y57" i="3"/>
  <c r="J58" i="3"/>
  <c r="AQ74" i="3"/>
  <c r="AK63" i="3"/>
  <c r="AA73" i="3"/>
  <c r="O72" i="3"/>
  <c r="AI91" i="3"/>
  <c r="AG77" i="3"/>
  <c r="S77" i="3"/>
  <c r="S68" i="3"/>
  <c r="AQ63" i="3"/>
  <c r="O80" i="3"/>
  <c r="T72" i="3"/>
  <c r="R67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R68" i="3"/>
  <c r="L55" i="3"/>
  <c r="AI48" i="3"/>
  <c r="V68" i="3"/>
  <c r="P63" i="3"/>
  <c r="AH78" i="3"/>
  <c r="U50" i="3"/>
  <c r="R65" i="3"/>
  <c r="P77" i="3"/>
  <c r="AK73" i="3"/>
  <c r="K57" i="3"/>
  <c r="AH97" i="3"/>
  <c r="Z91" i="3"/>
  <c r="AC64" i="3"/>
  <c r="AO85" i="3"/>
  <c r="I83" i="3"/>
  <c r="Q95" i="3"/>
  <c r="K65" i="3"/>
  <c r="AC48" i="3"/>
  <c r="X50" i="3"/>
  <c r="L76" i="3"/>
  <c r="I74" i="3"/>
  <c r="X61" i="3"/>
  <c r="AC85" i="3"/>
  <c r="AC81" i="3"/>
  <c r="AE97" i="3"/>
  <c r="K49" i="3"/>
  <c r="N61" i="3"/>
  <c r="AL90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AG78" i="3"/>
  <c r="S90" i="3"/>
  <c r="AQ49" i="3"/>
  <c r="R87" i="3"/>
  <c r="AN50" i="3"/>
  <c r="U59" i="3"/>
  <c r="AG50" i="3"/>
  <c r="Y72" i="3"/>
  <c r="AE94" i="3"/>
  <c r="Z66" i="3"/>
  <c r="AO56" i="3"/>
  <c r="Q92" i="3"/>
  <c r="AL88" i="3"/>
  <c r="AM73" i="3"/>
  <c r="AJ71" i="3"/>
  <c r="Y66" i="3"/>
  <c r="AH95" i="3"/>
  <c r="T87" i="3"/>
  <c r="Z50" i="3"/>
  <c r="AJ49" i="3"/>
  <c r="AL75" i="3"/>
  <c r="T82" i="3"/>
  <c r="H57" i="3"/>
  <c r="AN55" i="3"/>
  <c r="N63" i="3"/>
  <c r="Z71" i="3"/>
  <c r="J63" i="3"/>
  <c r="R57" i="3"/>
  <c r="U70" i="3"/>
  <c r="AJ92" i="3"/>
  <c r="K84" i="3"/>
  <c r="U81" i="3"/>
  <c r="AM49" i="3"/>
  <c r="AL72" i="3"/>
  <c r="AM65" i="3"/>
  <c r="AJ73" i="3"/>
  <c r="AA78" i="3"/>
  <c r="J65" i="3"/>
  <c r="X66" i="3"/>
  <c r="AM54" i="3"/>
  <c r="S50" i="3"/>
  <c r="V58" i="3"/>
  <c r="Y50" i="3"/>
  <c r="P65" i="3"/>
  <c r="AE60" i="3"/>
  <c r="AC89" i="3"/>
  <c r="Q4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U72" i="3"/>
  <c r="AH92" i="3"/>
  <c r="P81" i="3"/>
  <c r="I91" i="3"/>
  <c r="AJ78" i="3"/>
  <c r="Z95" i="3"/>
  <c r="AN87" i="3"/>
  <c r="J67" i="3"/>
  <c r="X87" i="3"/>
  <c r="V59" i="3"/>
  <c r="S64" i="3"/>
  <c r="AE77" i="3"/>
  <c r="AA68" i="3"/>
  <c r="AM70" i="3"/>
  <c r="X74" i="3"/>
  <c r="AQ50" i="3"/>
  <c r="T56" i="3"/>
  <c r="AG89" i="3"/>
  <c r="AL80" i="3"/>
  <c r="AO87" i="3"/>
  <c r="S62" i="3"/>
  <c r="S74" i="3"/>
  <c r="AI62" i="3"/>
  <c r="H59" i="3"/>
  <c r="H83" i="3"/>
  <c r="L87" i="3"/>
  <c r="AN93" i="3"/>
  <c r="O89" i="3"/>
  <c r="T81" i="3"/>
  <c r="K71" i="3"/>
  <c r="AQ89" i="3"/>
  <c r="I61" i="3"/>
  <c r="AE71" i="3"/>
  <c r="U55" i="3"/>
  <c r="AJ68" i="3"/>
  <c r="R85" i="3"/>
  <c r="AJ62" i="3"/>
  <c r="K95" i="3"/>
  <c r="AA67" i="3"/>
  <c r="AC62" i="3"/>
  <c r="AQ68" i="3"/>
  <c r="AA84" i="3"/>
  <c r="AK88" i="3"/>
  <c r="M81" i="3"/>
  <c r="AH61" i="3"/>
  <c r="AC67" i="3"/>
  <c r="AL69" i="3"/>
  <c r="AG55" i="3"/>
  <c r="AL47" i="3"/>
  <c r="U80" i="3"/>
  <c r="M8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I63" i="3"/>
  <c r="V89" i="3"/>
  <c r="L74" i="3"/>
  <c r="L85" i="3"/>
  <c r="AA77" i="3"/>
  <c r="AK84" i="3"/>
  <c r="L71" i="3"/>
  <c r="AA62" i="3"/>
  <c r="AK47" i="3"/>
  <c r="AH75" i="3"/>
  <c r="Q83" i="3"/>
  <c r="AH47" i="3"/>
  <c r="K76" i="3"/>
  <c r="X64" i="3"/>
  <c r="AN56" i="3"/>
  <c r="AJ90" i="3"/>
  <c r="N55" i="3"/>
  <c r="H56" i="3"/>
  <c r="R81" i="3"/>
  <c r="AH93" i="3"/>
  <c r="AM90" i="3"/>
  <c r="Q79" i="3"/>
  <c r="K68" i="3"/>
  <c r="AO57" i="3"/>
  <c r="AC49" i="3"/>
  <c r="P67" i="3"/>
  <c r="T76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N59" i="3"/>
  <c r="AM78" i="3"/>
  <c r="AO86" i="3"/>
  <c r="AG76" i="3"/>
  <c r="AC77" i="3"/>
  <c r="X67" i="3"/>
  <c r="AL60" i="3"/>
  <c r="S66" i="3"/>
  <c r="I97" i="3"/>
  <c r="AQ88" i="3"/>
  <c r="X93" i="3"/>
  <c r="AL87" i="3"/>
  <c r="T50" i="3"/>
  <c r="AM68" i="3"/>
  <c r="U54" i="3"/>
  <c r="K97" i="3"/>
  <c r="AL91" i="3"/>
  <c r="L90" i="3"/>
  <c r="AA60" i="3"/>
  <c r="J49" i="3"/>
  <c r="N73" i="3"/>
  <c r="AM66" i="3"/>
  <c r="L50" i="3"/>
  <c r="AQ54" i="3"/>
  <c r="V70" i="3"/>
  <c r="AA47" i="3"/>
  <c r="AC72" i="3"/>
  <c r="X77" i="3"/>
  <c r="AG65" i="3"/>
  <c r="AC54" i="3"/>
  <c r="AL76" i="3"/>
  <c r="J55" i="3"/>
  <c r="T61" i="3"/>
  <c r="U71" i="3"/>
  <c r="I67" i="3"/>
  <c r="V91" i="3"/>
  <c r="Z94" i="3"/>
  <c r="W69" i="3" l="1"/>
  <c r="U77" i="3"/>
  <c r="U76" i="3"/>
  <c r="AQ61" i="3"/>
  <c r="AQ64" i="3"/>
  <c r="Y81" i="3"/>
  <c r="W78" i="3"/>
  <c r="W92" i="3"/>
  <c r="W79" i="3"/>
  <c r="W63" i="3"/>
  <c r="W59" i="3"/>
  <c r="W75" i="3"/>
  <c r="W56" i="3"/>
  <c r="W89" i="3"/>
  <c r="W94" i="3"/>
  <c r="W96" i="3"/>
  <c r="W65" i="3"/>
  <c r="W81" i="3"/>
  <c r="W76" i="3"/>
  <c r="W48" i="3"/>
  <c r="W50" i="3"/>
  <c r="W74" i="3"/>
  <c r="W85" i="3"/>
  <c r="W67" i="3"/>
  <c r="W97" i="3"/>
  <c r="W84" i="3"/>
  <c r="W57" i="3"/>
  <c r="W64" i="3"/>
  <c r="W58" i="3"/>
  <c r="W68" i="3"/>
  <c r="W70" i="3"/>
  <c r="W49" i="3"/>
  <c r="W88" i="3"/>
  <c r="W73" i="3"/>
  <c r="W95" i="3"/>
  <c r="W62" i="3"/>
  <c r="W66" i="3"/>
  <c r="W90" i="3"/>
  <c r="W91" i="3"/>
  <c r="W71" i="3"/>
  <c r="W83" i="3"/>
  <c r="W77" i="3"/>
  <c r="W60" i="3"/>
  <c r="W54" i="3"/>
  <c r="W72" i="3"/>
  <c r="W61" i="3"/>
  <c r="W47" i="3"/>
  <c r="W87" i="3"/>
  <c r="W93" i="3"/>
  <c r="W55" i="3"/>
  <c r="AL66" i="3"/>
  <c r="O92" i="3"/>
  <c r="Z96" i="3"/>
  <c r="Q61" i="3"/>
  <c r="AA74" i="3"/>
  <c r="L60" i="3"/>
  <c r="Q58" i="3"/>
  <c r="O95" i="3"/>
  <c r="AN75" i="3"/>
  <c r="M91" i="3"/>
  <c r="K79" i="3"/>
  <c r="AK48" i="3"/>
  <c r="J66" i="3"/>
  <c r="AC76" i="3"/>
  <c r="Y80" i="3"/>
  <c r="I81" i="3"/>
  <c r="AO81" i="3"/>
  <c r="AH48" i="3"/>
  <c r="Q55" i="3"/>
  <c r="AE49" i="3"/>
  <c r="AG47" i="3"/>
  <c r="V64" i="3"/>
  <c r="U67" i="3"/>
  <c r="Y89" i="3"/>
  <c r="Z89" i="3"/>
  <c r="AQ81" i="3"/>
  <c r="AJ79" i="3"/>
  <c r="W80" i="3"/>
  <c r="AK60" i="3"/>
  <c r="AC83" i="3"/>
  <c r="AA89" i="3"/>
  <c r="Z93" i="3"/>
  <c r="AA97" i="3"/>
  <c r="AO73" i="3"/>
  <c r="Z47" i="3"/>
  <c r="W82" i="3"/>
  <c r="AE93" i="3"/>
  <c r="U74" i="3"/>
  <c r="AC73" i="3"/>
  <c r="K75" i="3"/>
  <c r="R86" i="3"/>
  <c r="AO63" i="3"/>
  <c r="AQ57" i="3"/>
  <c r="V85" i="3"/>
  <c r="Z55" i="3"/>
  <c r="AN63" i="3"/>
  <c r="P94" i="3"/>
  <c r="N93" i="3"/>
  <c r="AE96" i="3"/>
  <c r="AG84" i="3"/>
  <c r="AN91" i="3"/>
  <c r="S82" i="3"/>
  <c r="I62" i="3"/>
  <c r="AL86" i="3"/>
  <c r="X60" i="3"/>
  <c r="V77" i="3"/>
  <c r="AJ64" i="3"/>
  <c r="M74" i="3"/>
  <c r="N49" i="3"/>
  <c r="L92" i="3"/>
  <c r="J95" i="3"/>
  <c r="X59" i="3"/>
  <c r="U86" i="3"/>
  <c r="R93" i="3"/>
  <c r="K90" i="3"/>
  <c r="T67" i="3"/>
  <c r="AN49" i="3"/>
  <c r="S80" i="3"/>
  <c r="K60" i="3"/>
  <c r="AE59" i="3"/>
  <c r="AE89" i="3"/>
  <c r="AH89" i="3"/>
  <c r="T95" i="3"/>
  <c r="U73" i="3"/>
  <c r="K83" i="3"/>
  <c r="AH62" i="3"/>
  <c r="R59" i="3"/>
  <c r="AE57" i="3"/>
  <c r="AO60" i="3"/>
  <c r="T60" i="3"/>
  <c r="M75" i="3"/>
  <c r="O68" i="3"/>
  <c r="AE78" i="3"/>
  <c r="P64" i="3"/>
  <c r="AC88" i="3"/>
  <c r="S92" i="3"/>
  <c r="I70" i="3"/>
  <c r="M70" i="3"/>
  <c r="V90" i="3"/>
  <c r="Y68" i="3"/>
  <c r="AC80" i="3"/>
  <c r="K70" i="3"/>
  <c r="T83" i="3"/>
  <c r="U49" i="3"/>
  <c r="AE87" i="3"/>
  <c r="V76" i="3"/>
  <c r="AC66" i="3"/>
  <c r="AQ93" i="3"/>
  <c r="Y67" i="3"/>
  <c r="V72" i="3"/>
  <c r="K93" i="3"/>
  <c r="K85" i="3"/>
  <c r="M66" i="3"/>
  <c r="AH90" i="3"/>
  <c r="J76" i="3"/>
  <c r="Q80" i="3"/>
  <c r="O66" i="3"/>
  <c r="AN71" i="3"/>
  <c r="M95" i="3"/>
  <c r="AN60" i="3"/>
  <c r="AO50" i="3"/>
  <c r="V79" i="3"/>
  <c r="S73" i="3"/>
  <c r="AQ72" i="3"/>
  <c r="I80" i="3"/>
  <c r="K89" i="3"/>
  <c r="AO71" i="3"/>
  <c r="S47" i="3"/>
  <c r="M92" i="3"/>
  <c r="R74" i="3"/>
  <c r="X89" i="3"/>
  <c r="Q68" i="3"/>
  <c r="Z58" i="3"/>
  <c r="AJ59" i="3"/>
  <c r="AH96" i="3"/>
  <c r="Y87" i="3"/>
  <c r="AJ75" i="3"/>
  <c r="X94" i="3"/>
  <c r="K91" i="3"/>
  <c r="S76" i="3"/>
  <c r="U57" i="3"/>
  <c r="AH55" i="3"/>
  <c r="Q88" i="3"/>
  <c r="M57" i="3"/>
  <c r="AO78" i="3"/>
  <c r="AH69" i="3"/>
  <c r="S70" i="3"/>
  <c r="O58" i="3"/>
  <c r="O76" i="3"/>
  <c r="AJ58" i="3"/>
  <c r="V47" i="3"/>
  <c r="AQ91" i="3"/>
  <c r="X83" i="3"/>
  <c r="AC87" i="3"/>
  <c r="O55" i="3"/>
  <c r="AN66" i="3"/>
  <c r="V84" i="3"/>
  <c r="M54" i="3"/>
  <c r="J80" i="3"/>
  <c r="P61" i="3"/>
  <c r="Q75" i="3"/>
  <c r="V87" i="3"/>
  <c r="AL89" i="3"/>
  <c r="AL61" i="3"/>
  <c r="Y84" i="3"/>
  <c r="AC86" i="3"/>
  <c r="AO49" i="3"/>
  <c r="I77" i="3"/>
  <c r="AQ58" i="3"/>
  <c r="Q71" i="3"/>
  <c r="K54" i="3"/>
  <c r="X80" i="3"/>
  <c r="S58" i="3"/>
  <c r="M60" i="3"/>
  <c r="O83" i="3"/>
  <c r="AC75" i="3"/>
  <c r="AO58" i="3"/>
  <c r="AN94" i="3"/>
  <c r="U69" i="3"/>
  <c r="S65" i="3"/>
  <c r="Y64" i="3"/>
  <c r="I54" i="3"/>
  <c r="AJ50" i="3"/>
  <c r="X65" i="3"/>
  <c r="AE90" i="3"/>
  <c r="AJ48" i="3"/>
  <c r="Y91" i="3"/>
  <c r="X56" i="3"/>
  <c r="AN88" i="3"/>
  <c r="AE83" i="3"/>
  <c r="K94" i="3"/>
  <c r="AH94" i="3"/>
  <c r="R83" i="3"/>
  <c r="O70" i="3"/>
  <c r="X76" i="3"/>
  <c r="AL79" i="3"/>
  <c r="U93" i="3"/>
  <c r="Q90" i="3"/>
  <c r="AH58" i="3"/>
  <c r="J84" i="3"/>
  <c r="Y48" i="3"/>
  <c r="AN48" i="3"/>
  <c r="AL94" i="3"/>
  <c r="AQ92" i="3"/>
  <c r="J73" i="3"/>
  <c r="X86" i="3"/>
  <c r="J70" i="3"/>
  <c r="Q93" i="3"/>
  <c r="AJ81" i="3"/>
  <c r="R50" i="3"/>
  <c r="M64" i="3"/>
  <c r="Q64" i="3"/>
  <c r="Z63" i="3"/>
  <c r="Y79" i="3"/>
  <c r="AJ55" i="3"/>
  <c r="Y93" i="3"/>
  <c r="M94" i="3"/>
  <c r="AE67" i="3"/>
  <c r="AJ72" i="3"/>
  <c r="AN78" i="3"/>
  <c r="K80" i="3"/>
  <c r="AL96" i="3"/>
  <c r="AH66" i="3"/>
  <c r="AC65" i="3"/>
  <c r="K72" i="3"/>
  <c r="Y94" i="3"/>
  <c r="M69" i="3"/>
  <c r="T58" i="3"/>
  <c r="V97" i="3"/>
  <c r="AJ54" i="3"/>
  <c r="AJ74" i="3"/>
  <c r="AH73" i="3"/>
  <c r="AC69" i="3"/>
  <c r="P87" i="3"/>
  <c r="P62" i="3"/>
  <c r="O48" i="3"/>
  <c r="M76" i="3"/>
  <c r="AE69" i="3"/>
  <c r="S95" i="3"/>
  <c r="AJ76" i="3"/>
  <c r="S75" i="3"/>
  <c r="Y61" i="3"/>
  <c r="I93" i="3"/>
  <c r="Z68" i="3"/>
  <c r="Z82" i="3"/>
  <c r="AN67" i="3"/>
  <c r="AJ82" i="3"/>
  <c r="AN89" i="3"/>
  <c r="U95" i="3"/>
  <c r="Y90" i="3"/>
  <c r="AN77" i="3"/>
  <c r="AN96" i="3"/>
  <c r="T49" i="3"/>
  <c r="U60" i="3"/>
  <c r="AH76" i="3"/>
  <c r="J69" i="3"/>
  <c r="X81" i="3"/>
  <c r="AQ97" i="3"/>
  <c r="T84" i="3"/>
  <c r="AE47" i="3"/>
  <c r="U85" i="3"/>
  <c r="AN83" i="3"/>
  <c r="AL50" i="3"/>
  <c r="AN58" i="3"/>
  <c r="V71" i="3"/>
  <c r="Z73" i="3"/>
  <c r="AJ57" i="3"/>
  <c r="K86" i="3"/>
  <c r="Q81" i="3"/>
  <c r="Y56" i="3"/>
  <c r="AE65" i="3"/>
  <c r="P76" i="3"/>
  <c r="J79" i="3"/>
  <c r="AN82" i="3"/>
  <c r="M93" i="3"/>
  <c r="AJ60" i="3"/>
  <c r="R90" i="3"/>
  <c r="V86" i="3"/>
  <c r="P54" i="3"/>
  <c r="T94" i="3"/>
  <c r="K47" i="3"/>
  <c r="T93" i="3"/>
  <c r="I75" i="3"/>
  <c r="Q85" i="3"/>
  <c r="Q57" i="3"/>
  <c r="AC78" i="3"/>
  <c r="AE70" i="3"/>
  <c r="CA93" i="1"/>
  <c r="CA110" i="1"/>
  <c r="CA114" i="1"/>
  <c r="CA102" i="1"/>
  <c r="JI16" i="4"/>
  <c r="IG19" i="4"/>
  <c r="BA84" i="1" s="1"/>
  <c r="BA113" i="1" s="1"/>
  <c r="HR9" i="4"/>
  <c r="HR21" i="4" s="1"/>
  <c r="AL83" i="1" s="1"/>
  <c r="AL100" i="1" s="1"/>
  <c r="X75" i="3"/>
  <c r="AK92" i="3"/>
  <c r="Y77" i="3"/>
  <c r="J91" i="3"/>
  <c r="J89" i="3"/>
  <c r="AP159" i="1" s="1"/>
  <c r="J88" i="3"/>
  <c r="AP133" i="1" s="1"/>
  <c r="AQ133" i="1" s="1"/>
  <c r="J64" i="3"/>
  <c r="AP155" i="1" s="1"/>
  <c r="AQ155" i="1" s="1"/>
  <c r="R61" i="3"/>
  <c r="R70" i="3"/>
  <c r="AX139" i="1" s="1"/>
  <c r="R64" i="3"/>
  <c r="AX155" i="1" s="1"/>
  <c r="T77" i="3"/>
  <c r="AZ146" i="1" s="1"/>
  <c r="BA146" i="1" s="1"/>
  <c r="T63" i="3"/>
  <c r="AZ131" i="1" s="1"/>
  <c r="BA131" i="1" s="1"/>
  <c r="T62" i="3"/>
  <c r="AZ130" i="1" s="1"/>
  <c r="BA130" i="1" s="1"/>
  <c r="AE72" i="3"/>
  <c r="AE76" i="3"/>
  <c r="AE88" i="3"/>
  <c r="M96" i="3"/>
  <c r="M62" i="3"/>
  <c r="AO95" i="3"/>
  <c r="AO64" i="3"/>
  <c r="AO67" i="3"/>
  <c r="O50" i="3"/>
  <c r="O75" i="3"/>
  <c r="AH82" i="3"/>
  <c r="BN151" i="1" s="1"/>
  <c r="AH54" i="3"/>
  <c r="U89" i="3"/>
  <c r="U64" i="3"/>
  <c r="P74" i="3"/>
  <c r="AV143" i="1" s="1"/>
  <c r="AW143" i="1" s="1"/>
  <c r="P59" i="3"/>
  <c r="V94" i="3"/>
  <c r="V75" i="3"/>
  <c r="BB143" i="1" s="1"/>
  <c r="BC143" i="1" s="1"/>
  <c r="AN64" i="3"/>
  <c r="BT155" i="1" s="1"/>
  <c r="BU155" i="1" s="1"/>
  <c r="AN97" i="3"/>
  <c r="U48" i="3"/>
  <c r="U83" i="3"/>
  <c r="BU57" i="1"/>
  <c r="AQ29" i="1"/>
  <c r="AU19" i="1"/>
  <c r="AO52" i="1"/>
  <c r="AS15" i="1"/>
  <c r="AY31" i="1"/>
  <c r="BJ79" i="1"/>
  <c r="AN20" i="1"/>
  <c r="BR52" i="1"/>
  <c r="BS30" i="1"/>
  <c r="BK26" i="1"/>
  <c r="AZ45" i="1"/>
  <c r="BW42" i="1"/>
  <c r="BS52" i="1"/>
  <c r="BA31" i="1"/>
  <c r="BG26" i="1"/>
  <c r="BB14" i="1"/>
  <c r="BT38" i="1"/>
  <c r="AN41" i="1"/>
  <c r="AV21" i="1"/>
  <c r="AY28" i="1"/>
  <c r="BK14" i="1"/>
  <c r="AO29" i="1"/>
  <c r="AX57" i="1"/>
  <c r="BM41" i="1"/>
  <c r="BM45" i="1"/>
  <c r="BT30" i="1"/>
  <c r="AR28" i="1"/>
  <c r="AZ57" i="1"/>
  <c r="AQ20" i="1"/>
  <c r="BS27" i="1"/>
  <c r="BO15" i="1"/>
  <c r="BR57" i="1"/>
  <c r="BT14" i="1"/>
  <c r="BT259" i="1" s="1"/>
  <c r="AP21" i="1"/>
  <c r="BI51" i="1"/>
  <c r="BN31" i="1"/>
  <c r="BK30" i="1"/>
  <c r="AW21" i="1"/>
  <c r="BU14" i="1"/>
  <c r="BU237" i="1" s="1"/>
  <c r="AS26" i="1"/>
  <c r="BB29" i="1"/>
  <c r="AT41" i="1"/>
  <c r="AT21" i="1"/>
  <c r="BM26" i="1"/>
  <c r="BJ57" i="1"/>
  <c r="BB28" i="1"/>
  <c r="AQ21" i="1"/>
  <c r="AS38" i="1"/>
  <c r="BR53" i="1"/>
  <c r="AR57" i="1"/>
  <c r="AX19" i="1"/>
  <c r="BO57" i="1"/>
  <c r="AP28" i="1"/>
  <c r="AZ19" i="1"/>
  <c r="AX29" i="1"/>
  <c r="BQ21" i="1"/>
  <c r="AT26" i="1"/>
  <c r="BK20" i="1"/>
  <c r="AI52" i="1"/>
  <c r="BO29" i="1"/>
  <c r="AQ15" i="1"/>
  <c r="BD57" i="1"/>
  <c r="AP29" i="1"/>
  <c r="BW15" i="1"/>
  <c r="AQ53" i="1"/>
  <c r="BJ41" i="1"/>
  <c r="BH26" i="1"/>
  <c r="AU51" i="1"/>
  <c r="BD21" i="1"/>
  <c r="AT27" i="1"/>
  <c r="AW57" i="1"/>
  <c r="BT21" i="1"/>
  <c r="BR38" i="1"/>
  <c r="AO20" i="1"/>
  <c r="BO42" i="1"/>
  <c r="AW30" i="1"/>
  <c r="AV57" i="1"/>
  <c r="BW30" i="1"/>
  <c r="AS20" i="1"/>
  <c r="AP45" i="1"/>
  <c r="BU45" i="1"/>
  <c r="AR31" i="1"/>
  <c r="BM14" i="1"/>
  <c r="AN57" i="1"/>
  <c r="BF52" i="1"/>
  <c r="AW42" i="1"/>
  <c r="BN20" i="1"/>
  <c r="BD15" i="1"/>
  <c r="AY19" i="1"/>
  <c r="AX21" i="1"/>
  <c r="BI21" i="1"/>
  <c r="BE30" i="1"/>
  <c r="BM20" i="1"/>
  <c r="BT57" i="1"/>
  <c r="AY45" i="1"/>
  <c r="BP53" i="1"/>
  <c r="BF28" i="1"/>
  <c r="BU20" i="1"/>
  <c r="AY53" i="1"/>
  <c r="BF41" i="1"/>
  <c r="BB30" i="1"/>
  <c r="BM52" i="1"/>
  <c r="BW27" i="1"/>
  <c r="BA26" i="1"/>
  <c r="BR21" i="1"/>
  <c r="AP53" i="1"/>
  <c r="AX20" i="1"/>
  <c r="BF27" i="1"/>
  <c r="BT53" i="1"/>
  <c r="AY42" i="1"/>
  <c r="AY30" i="1"/>
  <c r="BI19" i="1"/>
  <c r="AJ79" i="1"/>
  <c r="BI52" i="1"/>
  <c r="BG15" i="1"/>
  <c r="BM15" i="1"/>
  <c r="BE53" i="1"/>
  <c r="BW53" i="1"/>
  <c r="AI29" i="1"/>
  <c r="BA29" i="1"/>
  <c r="BH42" i="1"/>
  <c r="AO14" i="1"/>
  <c r="AN19" i="1"/>
  <c r="AZ20" i="1"/>
  <c r="BC52" i="1"/>
  <c r="BM31" i="1"/>
  <c r="BR30" i="1"/>
  <c r="BN19" i="1"/>
  <c r="BN52" i="1"/>
  <c r="AY27" i="1"/>
  <c r="BC20" i="1"/>
  <c r="AO21" i="1"/>
  <c r="AQ27" i="1"/>
  <c r="BE52" i="1"/>
  <c r="BA45" i="1"/>
  <c r="BT28" i="1"/>
  <c r="AI15" i="1"/>
  <c r="AO15" i="1"/>
  <c r="BN38" i="1"/>
  <c r="BA53" i="1"/>
  <c r="AU53" i="1"/>
  <c r="BN45" i="1"/>
  <c r="AN42" i="1"/>
  <c r="AZ26" i="1"/>
  <c r="AO42" i="1"/>
  <c r="AP51" i="1"/>
  <c r="AN21" i="1"/>
  <c r="BH30" i="1"/>
  <c r="AY38" i="1"/>
  <c r="AY200" i="1" s="1"/>
  <c r="BG38" i="1"/>
  <c r="BG200" i="1" s="1"/>
  <c r="BW51" i="1"/>
  <c r="BI30" i="1"/>
  <c r="BM21" i="1"/>
  <c r="BG53" i="1"/>
  <c r="AI26" i="1"/>
  <c r="BA57" i="1"/>
  <c r="BS38" i="1"/>
  <c r="BS200" i="1" s="1"/>
  <c r="AW14" i="1"/>
  <c r="BK45" i="1"/>
  <c r="AT42" i="1"/>
  <c r="BW38" i="1"/>
  <c r="BW200" i="1" s="1"/>
  <c r="AX26" i="1"/>
  <c r="BH27" i="1"/>
  <c r="BV52" i="1"/>
  <c r="BR41" i="1"/>
  <c r="AV53" i="1"/>
  <c r="BU53" i="1"/>
  <c r="BM42" i="1"/>
  <c r="AY29" i="1"/>
  <c r="BG30" i="1"/>
  <c r="BE57" i="1"/>
  <c r="AU29" i="1"/>
  <c r="AW20" i="1"/>
  <c r="BA51" i="1"/>
  <c r="AR30" i="1"/>
  <c r="BI38" i="1"/>
  <c r="BG29" i="1"/>
  <c r="BS45" i="1"/>
  <c r="BD28" i="1"/>
  <c r="BF53" i="1"/>
  <c r="BU19" i="1"/>
  <c r="BG14" i="1"/>
  <c r="AR52" i="1"/>
  <c r="AS31" i="1"/>
  <c r="AV20" i="1"/>
  <c r="AZ30" i="1"/>
  <c r="BP57" i="1"/>
  <c r="BD14" i="1"/>
  <c r="BS57" i="1"/>
  <c r="AZ14" i="1"/>
  <c r="AZ237" i="1" s="1"/>
  <c r="BP28" i="1"/>
  <c r="BW26" i="1"/>
  <c r="AR51" i="1"/>
  <c r="BQ53" i="1"/>
  <c r="AN53" i="1"/>
  <c r="BQ57" i="1"/>
  <c r="AQ31" i="1"/>
  <c r="AI53" i="1"/>
  <c r="BV28" i="1"/>
  <c r="BB15" i="1"/>
  <c r="BB16" i="1" s="1"/>
  <c r="BE28" i="1"/>
  <c r="AP19" i="1"/>
  <c r="AW27" i="1"/>
  <c r="AV29" i="1"/>
  <c r="AN45" i="1"/>
  <c r="BS31" i="1"/>
  <c r="AU20" i="1"/>
  <c r="BP19" i="1"/>
  <c r="BG31" i="1"/>
  <c r="AS57" i="1"/>
  <c r="BE45" i="1"/>
  <c r="AI21" i="1"/>
  <c r="AQ26" i="1"/>
  <c r="BW21" i="1"/>
  <c r="AT31" i="1"/>
  <c r="BN15" i="1"/>
  <c r="BJ45" i="1"/>
  <c r="BO27" i="1"/>
  <c r="BQ41" i="1"/>
  <c r="BK53" i="1"/>
  <c r="AT20" i="1"/>
  <c r="AZ31" i="1"/>
  <c r="BC27" i="1"/>
  <c r="BF31" i="1"/>
  <c r="AR27" i="1"/>
  <c r="AV30" i="1"/>
  <c r="AP15" i="1"/>
  <c r="AV41" i="1"/>
  <c r="AT57" i="1"/>
  <c r="BK15" i="1"/>
  <c r="BR51" i="1"/>
  <c r="BI41" i="1"/>
  <c r="BA38" i="1"/>
  <c r="BR26" i="1"/>
  <c r="AU31" i="1"/>
  <c r="AY15" i="1"/>
  <c r="BM29" i="1"/>
  <c r="BC15" i="1"/>
  <c r="BP45" i="1"/>
  <c r="BI28" i="1"/>
  <c r="BU31" i="1"/>
  <c r="AW31" i="1"/>
  <c r="BQ31" i="1"/>
  <c r="BB57" i="1"/>
  <c r="BG52" i="1"/>
  <c r="BQ38" i="1"/>
  <c r="BQ200" i="1" s="1"/>
  <c r="AP52" i="1"/>
  <c r="BD31" i="1"/>
  <c r="AO27" i="1"/>
  <c r="AM51" i="1"/>
  <c r="AQ38" i="1"/>
  <c r="BF26" i="1"/>
  <c r="AQ51" i="1"/>
  <c r="BC42" i="1"/>
  <c r="AP38" i="1"/>
  <c r="AP200" i="1" s="1"/>
  <c r="AW28" i="1"/>
  <c r="AI45" i="1"/>
  <c r="BT26" i="1"/>
  <c r="AT14" i="1"/>
  <c r="AZ15" i="1"/>
  <c r="BO52" i="1"/>
  <c r="BH52" i="1"/>
  <c r="BO31" i="1"/>
  <c r="BR20" i="1"/>
  <c r="AW38" i="1"/>
  <c r="BN51" i="1"/>
  <c r="AY41" i="1"/>
  <c r="BI29" i="1"/>
  <c r="AQ28" i="1"/>
  <c r="BW41" i="1"/>
  <c r="AR29" i="1"/>
  <c r="BO19" i="1"/>
  <c r="BC19" i="1"/>
  <c r="BQ30" i="1"/>
  <c r="BC29" i="1"/>
  <c r="BQ42" i="1"/>
  <c r="AR19" i="1"/>
  <c r="BB41" i="1"/>
  <c r="BN14" i="1"/>
  <c r="AW19" i="1"/>
  <c r="BA15" i="1"/>
  <c r="AQ42" i="1"/>
  <c r="AS28" i="1"/>
  <c r="BS14" i="1"/>
  <c r="BW19" i="1"/>
  <c r="BT31" i="1"/>
  <c r="BK52" i="1"/>
  <c r="BQ14" i="1"/>
  <c r="BR31" i="1"/>
  <c r="BT19" i="1"/>
  <c r="BA52" i="1"/>
  <c r="BR45" i="1"/>
  <c r="BU26" i="1"/>
  <c r="BF45" i="1"/>
  <c r="AZ21" i="1"/>
  <c r="BW28" i="1"/>
  <c r="AW53" i="1"/>
  <c r="AT51" i="1"/>
  <c r="BF29" i="1"/>
  <c r="BO45" i="1"/>
  <c r="BD27" i="1"/>
  <c r="BH38" i="1"/>
  <c r="BH200" i="1" s="1"/>
  <c r="AU42" i="1"/>
  <c r="AU258" i="1" s="1"/>
  <c r="BN42" i="1"/>
  <c r="BN258" i="1" s="1"/>
  <c r="BI53" i="1"/>
  <c r="BP38" i="1"/>
  <c r="BQ19" i="1"/>
  <c r="AP30" i="1"/>
  <c r="AV14" i="1"/>
  <c r="AU27" i="1"/>
  <c r="AQ57" i="1"/>
  <c r="BK31" i="1"/>
  <c r="AZ38" i="1"/>
  <c r="AZ200" i="1" s="1"/>
  <c r="BV53" i="1"/>
  <c r="BT41" i="1"/>
  <c r="BN29" i="1"/>
  <c r="BC30" i="1"/>
  <c r="BD51" i="1"/>
  <c r="AR21" i="1"/>
  <c r="AP20" i="1"/>
  <c r="BG42" i="1"/>
  <c r="BG258" i="1" s="1"/>
  <c r="BP42" i="1"/>
  <c r="AX42" i="1"/>
  <c r="AX258" i="1" s="1"/>
  <c r="BV42" i="1"/>
  <c r="BV20" i="1"/>
  <c r="BH143" i="1"/>
  <c r="BI143" i="1" s="1"/>
  <c r="AI79" i="1"/>
  <c r="BV150" i="1"/>
  <c r="BH161" i="1"/>
  <c r="BI161" i="1" s="1"/>
  <c r="BV169" i="1"/>
  <c r="BW169" i="1" s="1"/>
  <c r="K166" i="1"/>
  <c r="T139" i="1"/>
  <c r="I143" i="1"/>
  <c r="J151" i="1"/>
  <c r="J186" i="1" s="1"/>
  <c r="S169" i="1"/>
  <c r="E128" i="1"/>
  <c r="L142" i="1"/>
  <c r="R170" i="1"/>
  <c r="D133" i="1"/>
  <c r="W156" i="1"/>
  <c r="J143" i="1"/>
  <c r="T166" i="1"/>
  <c r="AV26" i="1"/>
  <c r="BO41" i="1"/>
  <c r="AM80" i="1"/>
  <c r="BC26" i="1"/>
  <c r="BM28" i="1"/>
  <c r="BH20" i="1"/>
  <c r="BG28" i="1"/>
  <c r="AO30" i="1"/>
  <c r="AU57" i="1"/>
  <c r="BD26" i="1"/>
  <c r="AP57" i="1"/>
  <c r="BI57" i="1"/>
  <c r="BG27" i="1"/>
  <c r="BG32" i="1" s="1"/>
  <c r="BV41" i="1"/>
  <c r="BS21" i="1"/>
  <c r="BF51" i="1"/>
  <c r="AR42" i="1"/>
  <c r="BN28" i="1"/>
  <c r="AZ27" i="1"/>
  <c r="BH152" i="1"/>
  <c r="BI152" i="1" s="1"/>
  <c r="BV125" i="1"/>
  <c r="BH132" i="1"/>
  <c r="BI132" i="1" s="1"/>
  <c r="BH125" i="1"/>
  <c r="S73" i="1"/>
  <c r="F156" i="1"/>
  <c r="L143" i="1"/>
  <c r="C165" i="1"/>
  <c r="Q84" i="1"/>
  <c r="P148" i="1"/>
  <c r="N152" i="1"/>
  <c r="M157" i="1"/>
  <c r="BN21" i="1"/>
  <c r="AY51" i="1"/>
  <c r="BD30" i="1"/>
  <c r="BF20" i="1"/>
  <c r="BH41" i="1"/>
  <c r="BH51" i="1"/>
  <c r="BW14" i="1"/>
  <c r="BD38" i="1"/>
  <c r="BD200" i="1" s="1"/>
  <c r="AV42" i="1"/>
  <c r="AQ45" i="1"/>
  <c r="AM57" i="1"/>
  <c r="BU30" i="1"/>
  <c r="AZ42" i="1"/>
  <c r="AS27" i="1"/>
  <c r="BO14" i="1"/>
  <c r="BH153" i="1"/>
  <c r="BI153" i="1" s="1"/>
  <c r="BH79" i="1"/>
  <c r="BV160" i="1"/>
  <c r="BW160" i="1" s="1"/>
  <c r="BV123" i="1"/>
  <c r="BW123" i="1" s="1"/>
  <c r="H149" i="1"/>
  <c r="J139" i="1"/>
  <c r="F166" i="1"/>
  <c r="J149" i="1"/>
  <c r="U142" i="1"/>
  <c r="J166" i="1"/>
  <c r="M152" i="1"/>
  <c r="H125" i="1"/>
  <c r="D143" i="1"/>
  <c r="BA41" i="1"/>
  <c r="BG41" i="1"/>
  <c r="BV31" i="1"/>
  <c r="BP21" i="1"/>
  <c r="AR38" i="1"/>
  <c r="AR200" i="1" s="1"/>
  <c r="BO51" i="1"/>
  <c r="BA20" i="1"/>
  <c r="BR19" i="1"/>
  <c r="BV29" i="1"/>
  <c r="AM53" i="1"/>
  <c r="AV15" i="1"/>
  <c r="BE42" i="1"/>
  <c r="AS41" i="1"/>
  <c r="BS28" i="1"/>
  <c r="BN30" i="1"/>
  <c r="BD29" i="1"/>
  <c r="BQ20" i="1"/>
  <c r="AT30" i="1"/>
  <c r="BI31" i="1"/>
  <c r="BH123" i="1"/>
  <c r="BH133" i="1"/>
  <c r="BI133" i="1" s="1"/>
  <c r="L130" i="1"/>
  <c r="L85" i="1"/>
  <c r="W141" i="1"/>
  <c r="W137" i="1" s="1"/>
  <c r="G124" i="1"/>
  <c r="I132" i="1"/>
  <c r="I160" i="1" s="1"/>
  <c r="K133" i="1"/>
  <c r="H130" i="1"/>
  <c r="E148" i="1"/>
  <c r="BA30" i="1"/>
  <c r="BF14" i="1"/>
  <c r="BC53" i="1"/>
  <c r="BB26" i="1"/>
  <c r="BV79" i="1"/>
  <c r="BV165" i="1"/>
  <c r="BH169" i="1"/>
  <c r="BI169" i="1" s="1"/>
  <c r="BH141" i="1"/>
  <c r="BI141" i="1" s="1"/>
  <c r="BH137" i="1"/>
  <c r="C84" i="1"/>
  <c r="D132" i="1"/>
  <c r="D160" i="1" s="1"/>
  <c r="O157" i="1"/>
  <c r="I169" i="1"/>
  <c r="W84" i="1"/>
  <c r="E125" i="1"/>
  <c r="V143" i="1"/>
  <c r="G152" i="1"/>
  <c r="G123" i="1"/>
  <c r="AT15" i="1"/>
  <c r="BB45" i="1"/>
  <c r="AY21" i="1"/>
  <c r="AS42" i="1"/>
  <c r="BF38" i="1"/>
  <c r="BF200" i="1" s="1"/>
  <c r="AP42" i="1"/>
  <c r="BT15" i="1"/>
  <c r="BE21" i="1"/>
  <c r="AZ51" i="1"/>
  <c r="BC31" i="1"/>
  <c r="BS42" i="1"/>
  <c r="AX52" i="1"/>
  <c r="AS45" i="1"/>
  <c r="BQ28" i="1"/>
  <c r="BF19" i="1"/>
  <c r="AS19" i="1"/>
  <c r="BS26" i="1"/>
  <c r="BH157" i="1"/>
  <c r="BI157" i="1" s="1"/>
  <c r="BV153" i="1"/>
  <c r="BW153" i="1" s="1"/>
  <c r="BV149" i="1"/>
  <c r="BW149" i="1" s="1"/>
  <c r="BH150" i="1"/>
  <c r="N155" i="1"/>
  <c r="S161" i="1"/>
  <c r="Q142" i="1"/>
  <c r="R133" i="1"/>
  <c r="L156" i="1"/>
  <c r="F133" i="1"/>
  <c r="K153" i="1"/>
  <c r="Q153" i="1"/>
  <c r="R178" i="1"/>
  <c r="E142" i="1"/>
  <c r="R85" i="1"/>
  <c r="BM53" i="1"/>
  <c r="BP14" i="1"/>
  <c r="BP237" i="1" s="1"/>
  <c r="BO53" i="1"/>
  <c r="BD41" i="1"/>
  <c r="BA27" i="1"/>
  <c r="BQ26" i="1"/>
  <c r="AS29" i="1"/>
  <c r="AI31" i="1"/>
  <c r="BB19" i="1"/>
  <c r="BB27" i="1"/>
  <c r="BJ51" i="1"/>
  <c r="BR29" i="1"/>
  <c r="AW15" i="1"/>
  <c r="AI19" i="1"/>
  <c r="BV45" i="1"/>
  <c r="BE19" i="1"/>
  <c r="BE20" i="1"/>
  <c r="BF57" i="1"/>
  <c r="BS19" i="1"/>
  <c r="BH29" i="1"/>
  <c r="BR42" i="1"/>
  <c r="BV15" i="1"/>
  <c r="AW29" i="1"/>
  <c r="AX28" i="1"/>
  <c r="AX41" i="1"/>
  <c r="BK27" i="1"/>
  <c r="BE15" i="1"/>
  <c r="AO19" i="1"/>
  <c r="BG21" i="1"/>
  <c r="BR28" i="1"/>
  <c r="BQ15" i="1"/>
  <c r="BV27" i="1"/>
  <c r="AZ29" i="1"/>
  <c r="AQ30" i="1"/>
  <c r="BQ51" i="1"/>
  <c r="BT29" i="1"/>
  <c r="AR53" i="1"/>
  <c r="AI57" i="1"/>
  <c r="BU21" i="1"/>
  <c r="AU15" i="1"/>
  <c r="BH28" i="1"/>
  <c r="AW45" i="1"/>
  <c r="BB31" i="1"/>
  <c r="BV14" i="1"/>
  <c r="BV237" i="1" s="1"/>
  <c r="BE31" i="1"/>
  <c r="AS30" i="1"/>
  <c r="BW31" i="1"/>
  <c r="BC28" i="1"/>
  <c r="BF42" i="1"/>
  <c r="AT53" i="1"/>
  <c r="AS52" i="1"/>
  <c r="BH160" i="1"/>
  <c r="BI160" i="1" s="1"/>
  <c r="BV124" i="1"/>
  <c r="BW124" i="1" s="1"/>
  <c r="BH146" i="1"/>
  <c r="BI146" i="1" s="1"/>
  <c r="BJ208" i="1" s="1"/>
  <c r="BH156" i="1"/>
  <c r="BI156" i="1" s="1"/>
  <c r="M138" i="1"/>
  <c r="L133" i="1"/>
  <c r="H156" i="1"/>
  <c r="C69" i="1"/>
  <c r="W133" i="1"/>
  <c r="P152" i="1"/>
  <c r="H84" i="1"/>
  <c r="BA42" i="1"/>
  <c r="AQ19" i="1"/>
  <c r="BJ28" i="1"/>
  <c r="BJ32" i="1" s="1"/>
  <c r="BM51" i="1"/>
  <c r="AQ14" i="1"/>
  <c r="AQ237" i="1" s="1"/>
  <c r="BT45" i="1"/>
  <c r="AO31" i="1"/>
  <c r="AO51" i="1"/>
  <c r="BH45" i="1"/>
  <c r="BP51" i="1"/>
  <c r="BU42" i="1"/>
  <c r="AN52" i="1"/>
  <c r="AU21" i="1"/>
  <c r="AR41" i="1"/>
  <c r="AI51" i="1"/>
  <c r="BH19" i="1"/>
  <c r="AT52" i="1"/>
  <c r="BU29" i="1"/>
  <c r="AT19" i="1"/>
  <c r="BE51" i="1"/>
  <c r="BC51" i="1"/>
  <c r="AO26" i="1"/>
  <c r="BE14" i="1"/>
  <c r="BE237" i="1" s="1"/>
  <c r="AS51" i="1"/>
  <c r="AV51" i="1"/>
  <c r="BH158" i="1"/>
  <c r="BI158" i="1" s="1"/>
  <c r="BV156" i="1"/>
  <c r="BW156" i="1" s="1"/>
  <c r="B138" i="1"/>
  <c r="G178" i="1"/>
  <c r="T176" i="1"/>
  <c r="H165" i="1"/>
  <c r="U151" i="1"/>
  <c r="U186" i="1" s="1"/>
  <c r="F169" i="1"/>
  <c r="H124" i="1"/>
  <c r="E79" i="1"/>
  <c r="N138" i="1"/>
  <c r="BT27" i="1"/>
  <c r="BI42" i="1"/>
  <c r="AR26" i="1"/>
  <c r="AS53" i="1"/>
  <c r="AX14" i="1"/>
  <c r="AX237" i="1" s="1"/>
  <c r="AQ41" i="1"/>
  <c r="BV26" i="1"/>
  <c r="AI42" i="1"/>
  <c r="AU52" i="1"/>
  <c r="AZ52" i="1"/>
  <c r="BD19" i="1"/>
  <c r="BO30" i="1"/>
  <c r="BB20" i="1"/>
  <c r="BU15" i="1"/>
  <c r="BN27" i="1"/>
  <c r="BJ38" i="1"/>
  <c r="BW45" i="1"/>
  <c r="AW51" i="1"/>
  <c r="BP27" i="1"/>
  <c r="AI28" i="1"/>
  <c r="BH138" i="1"/>
  <c r="F150" i="1"/>
  <c r="F185" i="1" s="1"/>
  <c r="T73" i="1"/>
  <c r="S79" i="1"/>
  <c r="G142" i="1"/>
  <c r="T151" i="1"/>
  <c r="T186" i="1" s="1"/>
  <c r="T170" i="1"/>
  <c r="BA19" i="1"/>
  <c r="AY14" i="1"/>
  <c r="BQ29" i="1"/>
  <c r="BR14" i="1"/>
  <c r="BR237" i="1" s="1"/>
  <c r="BJ53" i="1"/>
  <c r="BR27" i="1"/>
  <c r="AN26" i="1"/>
  <c r="BK41" i="1"/>
  <c r="BU27" i="1"/>
  <c r="BE41" i="1"/>
  <c r="AV45" i="1"/>
  <c r="BG19" i="1"/>
  <c r="BU41" i="1"/>
  <c r="AJ80" i="1"/>
  <c r="BH53" i="1"/>
  <c r="BH14" i="1"/>
  <c r="BO38" i="1"/>
  <c r="BO200" i="1" s="1"/>
  <c r="AV28" i="1"/>
  <c r="AV52" i="1"/>
  <c r="AU14" i="1"/>
  <c r="BP15" i="1"/>
  <c r="BU51" i="1"/>
  <c r="AP27" i="1"/>
  <c r="BM19" i="1"/>
  <c r="BP29" i="1"/>
  <c r="AT28" i="1"/>
  <c r="BP41" i="1"/>
  <c r="BT42" i="1"/>
  <c r="BT258" i="1" s="1"/>
  <c r="BG57" i="1"/>
  <c r="AI20" i="1"/>
  <c r="BS29" i="1"/>
  <c r="BQ27" i="1"/>
  <c r="AY57" i="1"/>
  <c r="BD52" i="1"/>
  <c r="BK29" i="1"/>
  <c r="BK42" i="1"/>
  <c r="BK43" i="1" s="1"/>
  <c r="AW26" i="1"/>
  <c r="BH15" i="1"/>
  <c r="BH16" i="1" s="1"/>
  <c r="AI38" i="1"/>
  <c r="BV159" i="1"/>
  <c r="BV158" i="1"/>
  <c r="BW158" i="1" s="1"/>
  <c r="BV148" i="1"/>
  <c r="BW148" i="1" s="1"/>
  <c r="BH165" i="1"/>
  <c r="M130" i="1"/>
  <c r="S138" i="1"/>
  <c r="V157" i="1"/>
  <c r="V152" i="1"/>
  <c r="O131" i="1"/>
  <c r="C142" i="1"/>
  <c r="D80" i="1"/>
  <c r="W132" i="1"/>
  <c r="W160" i="1" s="1"/>
  <c r="C146" i="1"/>
  <c r="F73" i="1"/>
  <c r="G177" i="1"/>
  <c r="BB38" i="1"/>
  <c r="BB52" i="1"/>
  <c r="BW52" i="1"/>
  <c r="AV38" i="1"/>
  <c r="AV200" i="1" s="1"/>
  <c r="AR20" i="1"/>
  <c r="BU52" i="1"/>
  <c r="BP52" i="1"/>
  <c r="BV57" i="1"/>
  <c r="BE29" i="1"/>
  <c r="BS51" i="1"/>
  <c r="BF15" i="1"/>
  <c r="BJ42" i="1"/>
  <c r="BJ258" i="1" s="1"/>
  <c r="AP41" i="1"/>
  <c r="AZ28" i="1"/>
  <c r="AV27" i="1"/>
  <c r="BW57" i="1"/>
  <c r="BB21" i="1"/>
  <c r="BD45" i="1"/>
  <c r="BA14" i="1"/>
  <c r="BI26" i="1"/>
  <c r="BW29" i="1"/>
  <c r="AN31" i="1"/>
  <c r="AS14" i="1"/>
  <c r="BW20" i="1"/>
  <c r="AX38" i="1"/>
  <c r="AX200" i="1" s="1"/>
  <c r="BI14" i="1"/>
  <c r="BI237" i="1" s="1"/>
  <c r="AV31" i="1"/>
  <c r="BP30" i="1"/>
  <c r="BB51" i="1"/>
  <c r="BH21" i="1"/>
  <c r="AR14" i="1"/>
  <c r="BT52" i="1"/>
  <c r="AN14" i="1"/>
  <c r="BN57" i="1"/>
  <c r="AW52" i="1"/>
  <c r="AY52" i="1"/>
  <c r="AS21" i="1"/>
  <c r="AU38" i="1"/>
  <c r="AU28" i="1"/>
  <c r="BJ80" i="1"/>
  <c r="AP26" i="1"/>
  <c r="AI41" i="1"/>
  <c r="AZ41" i="1"/>
  <c r="BV146" i="1"/>
  <c r="BW146" i="1" s="1"/>
  <c r="BX208" i="1" s="1"/>
  <c r="BH130" i="1"/>
  <c r="BI130" i="1" s="1"/>
  <c r="T80" i="1"/>
  <c r="W176" i="1"/>
  <c r="D166" i="1"/>
  <c r="J123" i="1"/>
  <c r="S141" i="1"/>
  <c r="S137" i="1" s="1"/>
  <c r="Q149" i="1"/>
  <c r="S123" i="1"/>
  <c r="C150" i="1"/>
  <c r="C185" i="1" s="1"/>
  <c r="P142" i="1"/>
  <c r="BG45" i="1"/>
  <c r="BB53" i="1"/>
  <c r="AX51" i="1"/>
  <c r="BI20" i="1"/>
  <c r="BC41" i="1"/>
  <c r="AP14" i="1"/>
  <c r="AP237" i="1" s="1"/>
  <c r="BN53" i="1"/>
  <c r="BC57" i="1"/>
  <c r="BQ52" i="1"/>
  <c r="BP31" i="1"/>
  <c r="BU38" i="1"/>
  <c r="BS41" i="1"/>
  <c r="AM79" i="1"/>
  <c r="AN30" i="1"/>
  <c r="AI14" i="1"/>
  <c r="BP20" i="1"/>
  <c r="BK38" i="1"/>
  <c r="BK259" i="1" s="1"/>
  <c r="AT38" i="1"/>
  <c r="AT200" i="1" s="1"/>
  <c r="AT45" i="1"/>
  <c r="AO57" i="1"/>
  <c r="BC21" i="1"/>
  <c r="BS15" i="1"/>
  <c r="BI27" i="1"/>
  <c r="AO45" i="1"/>
  <c r="AZ53" i="1"/>
  <c r="BV30" i="1"/>
  <c r="AX53" i="1"/>
  <c r="BB42" i="1"/>
  <c r="BB258" i="1" s="1"/>
  <c r="AX15" i="1"/>
  <c r="BT51" i="1"/>
  <c r="BE38" i="1"/>
  <c r="AP31" i="1"/>
  <c r="AU26" i="1"/>
  <c r="BH31" i="1"/>
  <c r="BK21" i="1"/>
  <c r="AM52" i="1"/>
  <c r="AQ52" i="1"/>
  <c r="AX30" i="1"/>
  <c r="BK51" i="1"/>
  <c r="BF30" i="1"/>
  <c r="BI15" i="1"/>
  <c r="BI16" i="1" s="1"/>
  <c r="AN15" i="1"/>
  <c r="BV130" i="1"/>
  <c r="BW130" i="1" s="1"/>
  <c r="BH124" i="1"/>
  <c r="BI124" i="1" s="1"/>
  <c r="W128" i="1"/>
  <c r="P130" i="1"/>
  <c r="T85" i="1"/>
  <c r="D79" i="1"/>
  <c r="M159" i="1"/>
  <c r="M189" i="1" s="1"/>
  <c r="I156" i="1"/>
  <c r="B178" i="1"/>
  <c r="U130" i="1"/>
  <c r="M125" i="1"/>
  <c r="J148" i="1"/>
  <c r="W80" i="1"/>
  <c r="O132" i="1"/>
  <c r="O160" i="1" s="1"/>
  <c r="I161" i="1"/>
  <c r="I130" i="1"/>
  <c r="B146" i="1"/>
  <c r="B148" i="1"/>
  <c r="E146" i="1"/>
  <c r="I153" i="1"/>
  <c r="H150" i="1"/>
  <c r="H185" i="1" s="1"/>
  <c r="R141" i="1"/>
  <c r="R137" i="1" s="1"/>
  <c r="V149" i="1"/>
  <c r="H170" i="1"/>
  <c r="G79" i="1"/>
  <c r="C155" i="1"/>
  <c r="N159" i="1"/>
  <c r="N189" i="1" s="1"/>
  <c r="W155" i="1"/>
  <c r="Q177" i="1"/>
  <c r="I155" i="1"/>
  <c r="J150" i="1"/>
  <c r="J185" i="1" s="1"/>
  <c r="N123" i="1"/>
  <c r="L73" i="1"/>
  <c r="U84" i="1"/>
  <c r="W149" i="1"/>
  <c r="K177" i="1"/>
  <c r="L178" i="1"/>
  <c r="H85" i="1"/>
  <c r="L131" i="1"/>
  <c r="S128" i="1"/>
  <c r="T161" i="1"/>
  <c r="V131" i="1"/>
  <c r="S142" i="1"/>
  <c r="S131" i="1"/>
  <c r="H133" i="1"/>
  <c r="C152" i="1"/>
  <c r="S165" i="1"/>
  <c r="N132" i="1"/>
  <c r="N160" i="1" s="1"/>
  <c r="J177" i="1"/>
  <c r="V170" i="1"/>
  <c r="L141" i="1"/>
  <c r="L137" i="1" s="1"/>
  <c r="C148" i="1"/>
  <c r="D69" i="1"/>
  <c r="V165" i="1"/>
  <c r="V167" i="1" s="1"/>
  <c r="W215" i="1" s="1"/>
  <c r="B169" i="1"/>
  <c r="W85" i="1"/>
  <c r="E177" i="1"/>
  <c r="E123" i="1"/>
  <c r="C128" i="1"/>
  <c r="S124" i="1"/>
  <c r="T165" i="1"/>
  <c r="C85" i="1"/>
  <c r="F130" i="1"/>
  <c r="J157" i="1"/>
  <c r="C176" i="1"/>
  <c r="J169" i="1"/>
  <c r="K178" i="1"/>
  <c r="E80" i="1"/>
  <c r="N142" i="1"/>
  <c r="D157" i="1"/>
  <c r="O139" i="1"/>
  <c r="L176" i="1"/>
  <c r="H169" i="1"/>
  <c r="N177" i="1"/>
  <c r="H177" i="1"/>
  <c r="D83" i="1"/>
  <c r="D177" i="1"/>
  <c r="M151" i="1"/>
  <c r="M186" i="1" s="1"/>
  <c r="N85" i="1"/>
  <c r="B133" i="1"/>
  <c r="R159" i="1"/>
  <c r="R189" i="1" s="1"/>
  <c r="U128" i="1"/>
  <c r="G151" i="1"/>
  <c r="G186" i="1" s="1"/>
  <c r="I177" i="1"/>
  <c r="B156" i="1"/>
  <c r="J170" i="1"/>
  <c r="M73" i="1"/>
  <c r="S157" i="1"/>
  <c r="Q128" i="1"/>
  <c r="G83" i="1"/>
  <c r="Q125" i="1"/>
  <c r="R130" i="1"/>
  <c r="R80" i="1"/>
  <c r="J146" i="1"/>
  <c r="P84" i="1"/>
  <c r="U178" i="1"/>
  <c r="D84" i="1"/>
  <c r="F155" i="1"/>
  <c r="O125" i="1"/>
  <c r="D159" i="1"/>
  <c r="D189" i="1" s="1"/>
  <c r="B137" i="1"/>
  <c r="V83" i="1"/>
  <c r="F157" i="1"/>
  <c r="J156" i="1"/>
  <c r="K85" i="1"/>
  <c r="D156" i="1"/>
  <c r="C159" i="1"/>
  <c r="C189" i="1" s="1"/>
  <c r="T132" i="1"/>
  <c r="T160" i="1" s="1"/>
  <c r="P178" i="1"/>
  <c r="Q139" i="1"/>
  <c r="U146" i="1"/>
  <c r="K128" i="1"/>
  <c r="G176" i="1"/>
  <c r="Q156" i="1"/>
  <c r="O130" i="1"/>
  <c r="L166" i="1"/>
  <c r="J132" i="1"/>
  <c r="J160" i="1" s="1"/>
  <c r="B124" i="1"/>
  <c r="D152" i="1"/>
  <c r="L128" i="1"/>
  <c r="U153" i="1"/>
  <c r="U149" i="1"/>
  <c r="C73" i="1"/>
  <c r="K155" i="1"/>
  <c r="Q133" i="1"/>
  <c r="W178" i="1"/>
  <c r="T142" i="1"/>
  <c r="O84" i="1"/>
  <c r="E161" i="1"/>
  <c r="K79" i="1"/>
  <c r="D139" i="1"/>
  <c r="H153" i="1"/>
  <c r="U165" i="1"/>
  <c r="M155" i="1"/>
  <c r="H83" i="1"/>
  <c r="O142" i="1"/>
  <c r="Q141" i="1"/>
  <c r="Q137" i="1" s="1"/>
  <c r="J155" i="1"/>
  <c r="H166" i="1"/>
  <c r="M139" i="1"/>
  <c r="E155" i="1"/>
  <c r="C166" i="1"/>
  <c r="C153" i="1"/>
  <c r="K141" i="1"/>
  <c r="K137" i="1" s="1"/>
  <c r="N151" i="1"/>
  <c r="N186" i="1" s="1"/>
  <c r="BV137" i="1"/>
  <c r="U152" i="1"/>
  <c r="F170" i="1"/>
  <c r="N130" i="1"/>
  <c r="D151" i="1"/>
  <c r="D186" i="1" s="1"/>
  <c r="J138" i="1"/>
  <c r="M143" i="1"/>
  <c r="C123" i="1"/>
  <c r="W166" i="1"/>
  <c r="F143" i="1"/>
  <c r="E151" i="1"/>
  <c r="E186" i="1" s="1"/>
  <c r="T125" i="1"/>
  <c r="G138" i="1"/>
  <c r="B166" i="1"/>
  <c r="C143" i="1"/>
  <c r="V128" i="1"/>
  <c r="J79" i="1"/>
  <c r="B69" i="1"/>
  <c r="O178" i="1"/>
  <c r="I131" i="1"/>
  <c r="P124" i="1"/>
  <c r="T83" i="1"/>
  <c r="K139" i="1"/>
  <c r="B157" i="1"/>
  <c r="L148" i="1"/>
  <c r="Q148" i="1"/>
  <c r="W150" i="1"/>
  <c r="G146" i="1"/>
  <c r="R148" i="1"/>
  <c r="I149" i="1"/>
  <c r="Q170" i="1"/>
  <c r="Q80" i="1"/>
  <c r="V153" i="1"/>
  <c r="N141" i="1"/>
  <c r="N137" i="1" s="1"/>
  <c r="E156" i="1"/>
  <c r="D146" i="1"/>
  <c r="T138" i="1"/>
  <c r="I152" i="1"/>
  <c r="I138" i="1"/>
  <c r="V84" i="1"/>
  <c r="D176" i="1"/>
  <c r="K151" i="1"/>
  <c r="K186" i="1" s="1"/>
  <c r="S153" i="1"/>
  <c r="M148" i="1"/>
  <c r="V142" i="1"/>
  <c r="R138" i="1"/>
  <c r="V132" i="1"/>
  <c r="V160" i="1" s="1"/>
  <c r="P150" i="1"/>
  <c r="P185" i="1" s="1"/>
  <c r="K156" i="1"/>
  <c r="H80" i="1"/>
  <c r="N166" i="1"/>
  <c r="S155" i="1"/>
  <c r="C138" i="1"/>
  <c r="M79" i="1"/>
  <c r="S177" i="1"/>
  <c r="S125" i="1"/>
  <c r="L161" i="1"/>
  <c r="C137" i="1"/>
  <c r="O138" i="1"/>
  <c r="D141" i="1"/>
  <c r="S166" i="1"/>
  <c r="D137" i="1"/>
  <c r="V178" i="1"/>
  <c r="V85" i="1"/>
  <c r="T148" i="1"/>
  <c r="W170" i="1"/>
  <c r="I125" i="1"/>
  <c r="J159" i="1"/>
  <c r="J189" i="1" s="1"/>
  <c r="R83" i="1"/>
  <c r="S85" i="1"/>
  <c r="L146" i="1"/>
  <c r="U143" i="1"/>
  <c r="O155" i="1"/>
  <c r="BD53" i="1"/>
  <c r="AK80" i="1"/>
  <c r="BD42" i="1"/>
  <c r="AO28" i="1"/>
  <c r="BH57" i="1"/>
  <c r="BV21" i="1"/>
  <c r="BE26" i="1"/>
  <c r="AI30" i="1"/>
  <c r="BC14" i="1"/>
  <c r="BC237" i="1" s="1"/>
  <c r="BK57" i="1"/>
  <c r="AW41" i="1"/>
  <c r="AR15" i="1"/>
  <c r="AN28" i="1"/>
  <c r="AU30" i="1"/>
  <c r="BS53" i="1"/>
  <c r="BQ45" i="1"/>
  <c r="BV51" i="1"/>
  <c r="BI45" i="1"/>
  <c r="BU28" i="1"/>
  <c r="AO53" i="1"/>
  <c r="BF21" i="1"/>
  <c r="BA21" i="1"/>
  <c r="AR45" i="1"/>
  <c r="AT29" i="1"/>
  <c r="BN26" i="1"/>
  <c r="BJ52" i="1"/>
  <c r="AO38" i="1"/>
  <c r="AK79" i="1"/>
  <c r="BV19" i="1"/>
  <c r="BN41" i="1"/>
  <c r="BH170" i="1"/>
  <c r="BI170" i="1" s="1"/>
  <c r="BH155" i="1"/>
  <c r="BI155" i="1" s="1"/>
  <c r="BV151" i="1"/>
  <c r="BV131" i="1"/>
  <c r="BW131" i="1" s="1"/>
  <c r="BH166" i="1"/>
  <c r="E178" i="1"/>
  <c r="R139" i="1"/>
  <c r="O128" i="1"/>
  <c r="K143" i="1"/>
  <c r="W79" i="1"/>
  <c r="O151" i="1"/>
  <c r="O186" i="1" s="1"/>
  <c r="D131" i="1"/>
  <c r="F139" i="1"/>
  <c r="F141" i="1"/>
  <c r="F137" i="1" s="1"/>
  <c r="N143" i="1"/>
  <c r="H73" i="1"/>
  <c r="P141" i="1"/>
  <c r="P137" i="1" s="1"/>
  <c r="I151" i="1"/>
  <c r="I186" i="1" s="1"/>
  <c r="D153" i="1"/>
  <c r="F132" i="1"/>
  <c r="F160" i="1" s="1"/>
  <c r="S146" i="1"/>
  <c r="S133" i="1"/>
  <c r="H132" i="1"/>
  <c r="H160" i="1" s="1"/>
  <c r="E152" i="1"/>
  <c r="L177" i="1"/>
  <c r="L125" i="1"/>
  <c r="D178" i="1"/>
  <c r="U133" i="1"/>
  <c r="V123" i="1"/>
  <c r="I124" i="1"/>
  <c r="D170" i="1"/>
  <c r="J131" i="1"/>
  <c r="N73" i="1"/>
  <c r="K152" i="1"/>
  <c r="M85" i="1"/>
  <c r="I142" i="1"/>
  <c r="W124" i="1"/>
  <c r="G133" i="1"/>
  <c r="H141" i="1"/>
  <c r="H137" i="1" s="1"/>
  <c r="Q79" i="1"/>
  <c r="C141" i="1"/>
  <c r="V159" i="1"/>
  <c r="V189" i="1" s="1"/>
  <c r="V124" i="1"/>
  <c r="Q138" i="1"/>
  <c r="B130" i="1"/>
  <c r="E169" i="1"/>
  <c r="Q132" i="1"/>
  <c r="Q160" i="1" s="1"/>
  <c r="O123" i="1"/>
  <c r="K123" i="1"/>
  <c r="E83" i="1"/>
  <c r="N83" i="1"/>
  <c r="R152" i="1"/>
  <c r="E124" i="1"/>
  <c r="H151" i="1"/>
  <c r="H186" i="1" s="1"/>
  <c r="R125" i="1"/>
  <c r="K131" i="1"/>
  <c r="O124" i="1"/>
  <c r="Q131" i="1"/>
  <c r="J85" i="1"/>
  <c r="U148" i="1"/>
  <c r="B143" i="1"/>
  <c r="I178" i="1"/>
  <c r="P138" i="1"/>
  <c r="H176" i="1"/>
  <c r="I146" i="1"/>
  <c r="G73" i="1"/>
  <c r="U169" i="1"/>
  <c r="E85" i="1"/>
  <c r="B123" i="1"/>
  <c r="M128" i="1"/>
  <c r="P176" i="1"/>
  <c r="F146" i="1"/>
  <c r="T153" i="1"/>
  <c r="O150" i="1"/>
  <c r="O185" i="1" s="1"/>
  <c r="S150" i="1"/>
  <c r="S185" i="1" s="1"/>
  <c r="O170" i="1"/>
  <c r="R153" i="1"/>
  <c r="N80" i="1"/>
  <c r="G143" i="1"/>
  <c r="E133" i="1"/>
  <c r="Q146" i="1"/>
  <c r="W131" i="1"/>
  <c r="H128" i="1"/>
  <c r="M80" i="1"/>
  <c r="L152" i="1"/>
  <c r="M83" i="1"/>
  <c r="Q150" i="1"/>
  <c r="Q185" i="1" s="1"/>
  <c r="D155" i="1"/>
  <c r="S170" i="1"/>
  <c r="C79" i="1"/>
  <c r="B83" i="1"/>
  <c r="R146" i="1"/>
  <c r="S208" i="1" s="1"/>
  <c r="C132" i="1"/>
  <c r="C160" i="1" s="1"/>
  <c r="O85" i="1"/>
  <c r="I150" i="1"/>
  <c r="I185" i="1" s="1"/>
  <c r="R84" i="1"/>
  <c r="R169" i="1"/>
  <c r="T143" i="1"/>
  <c r="W73" i="1"/>
  <c r="J124" i="1"/>
  <c r="T130" i="1"/>
  <c r="W148" i="1"/>
  <c r="V177" i="1"/>
  <c r="D123" i="1"/>
  <c r="W152" i="1"/>
  <c r="N170" i="1"/>
  <c r="F131" i="1"/>
  <c r="E132" i="1"/>
  <c r="E160" i="1" s="1"/>
  <c r="I165" i="1"/>
  <c r="J128" i="1"/>
  <c r="Q73" i="1"/>
  <c r="Q152" i="1"/>
  <c r="P132" i="1"/>
  <c r="P160" i="1" s="1"/>
  <c r="Q83" i="1"/>
  <c r="L150" i="1"/>
  <c r="L185" i="1" s="1"/>
  <c r="S143" i="1"/>
  <c r="V161" i="1"/>
  <c r="I166" i="1"/>
  <c r="F149" i="1"/>
  <c r="R151" i="1"/>
  <c r="R186" i="1" s="1"/>
  <c r="Q166" i="1"/>
  <c r="V138" i="1"/>
  <c r="I133" i="1"/>
  <c r="F84" i="1"/>
  <c r="W165" i="1"/>
  <c r="G139" i="1"/>
  <c r="S151" i="1"/>
  <c r="S186" i="1" s="1"/>
  <c r="S139" i="1"/>
  <c r="D73" i="1"/>
  <c r="K176" i="1"/>
  <c r="M156" i="1"/>
  <c r="N131" i="1"/>
  <c r="Q143" i="1"/>
  <c r="U83" i="1"/>
  <c r="G84" i="1"/>
  <c r="U85" i="1"/>
  <c r="S178" i="1"/>
  <c r="G153" i="1"/>
  <c r="R73" i="1"/>
  <c r="J161" i="1"/>
  <c r="G130" i="1"/>
  <c r="N139" i="1"/>
  <c r="V166" i="1"/>
  <c r="R123" i="1"/>
  <c r="T79" i="1"/>
  <c r="D70" i="1"/>
  <c r="E159" i="1"/>
  <c r="E189" i="1" s="1"/>
  <c r="M177" i="1"/>
  <c r="S132" i="1"/>
  <c r="S160" i="1" s="1"/>
  <c r="S83" i="1"/>
  <c r="R128" i="1"/>
  <c r="D85" i="1"/>
  <c r="U155" i="1"/>
  <c r="K161" i="1"/>
  <c r="W177" i="1"/>
  <c r="B128" i="1"/>
  <c r="R142" i="1"/>
  <c r="F79" i="1"/>
  <c r="G132" i="1"/>
  <c r="G160" i="1" s="1"/>
  <c r="K73" i="1"/>
  <c r="U73" i="1"/>
  <c r="V133" i="1"/>
  <c r="Q176" i="1"/>
  <c r="C70" i="1"/>
  <c r="P177" i="1"/>
  <c r="L80" i="1"/>
  <c r="T133" i="1"/>
  <c r="R79" i="1"/>
  <c r="P151" i="1"/>
  <c r="P186" i="1" s="1"/>
  <c r="E157" i="1"/>
  <c r="V151" i="1"/>
  <c r="V186" i="1" s="1"/>
  <c r="P169" i="1"/>
  <c r="C161" i="1"/>
  <c r="P143" i="1"/>
  <c r="U125" i="1"/>
  <c r="M166" i="1"/>
  <c r="K157" i="1"/>
  <c r="B176" i="1"/>
  <c r="R176" i="1"/>
  <c r="J152" i="1"/>
  <c r="E153" i="1"/>
  <c r="R156" i="1"/>
  <c r="J178" i="1"/>
  <c r="F151" i="1"/>
  <c r="F186" i="1" s="1"/>
  <c r="J141" i="1"/>
  <c r="J137" i="1" s="1"/>
  <c r="D138" i="1"/>
  <c r="R143" i="1"/>
  <c r="O149" i="1"/>
  <c r="F148" i="1"/>
  <c r="D165" i="1"/>
  <c r="O156" i="1"/>
  <c r="G156" i="1"/>
  <c r="T169" i="1"/>
  <c r="P125" i="1"/>
  <c r="J80" i="1"/>
  <c r="L138" i="1"/>
  <c r="F153" i="1"/>
  <c r="B170" i="1"/>
  <c r="M169" i="1"/>
  <c r="O141" i="1"/>
  <c r="O137" i="1" s="1"/>
  <c r="L165" i="1"/>
  <c r="B151" i="1"/>
  <c r="B186" i="1" s="1"/>
  <c r="W157" i="1"/>
  <c r="F138" i="1"/>
  <c r="L170" i="1"/>
  <c r="E84" i="1"/>
  <c r="P165" i="1"/>
  <c r="P167" i="1" s="1"/>
  <c r="Q215" i="1" s="1"/>
  <c r="U138" i="1"/>
  <c r="D142" i="1"/>
  <c r="L79" i="1"/>
  <c r="F142" i="1"/>
  <c r="L123" i="1"/>
  <c r="U150" i="1"/>
  <c r="U185" i="1" s="1"/>
  <c r="G148" i="1"/>
  <c r="E131" i="1"/>
  <c r="S84" i="1"/>
  <c r="P83" i="1"/>
  <c r="Q151" i="1"/>
  <c r="Q186" i="1" s="1"/>
  <c r="C157" i="1"/>
  <c r="M150" i="1"/>
  <c r="M185" i="1" s="1"/>
  <c r="U80" i="1"/>
  <c r="V130" i="1"/>
  <c r="R166" i="1"/>
  <c r="K80" i="1"/>
  <c r="K148" i="1"/>
  <c r="J153" i="1"/>
  <c r="L159" i="1"/>
  <c r="L189" i="1" s="1"/>
  <c r="V146" i="1"/>
  <c r="V80" i="1"/>
  <c r="M84" i="1"/>
  <c r="O146" i="1"/>
  <c r="O143" i="1"/>
  <c r="C170" i="1"/>
  <c r="F128" i="1"/>
  <c r="N169" i="1"/>
  <c r="W169" i="1"/>
  <c r="N150" i="1"/>
  <c r="N185" i="1" s="1"/>
  <c r="H143" i="1"/>
  <c r="F83" i="1"/>
  <c r="I79" i="1"/>
  <c r="K165" i="1"/>
  <c r="I84" i="1"/>
  <c r="T124" i="1"/>
  <c r="T152" i="1"/>
  <c r="J84" i="1"/>
  <c r="O176" i="1"/>
  <c r="P170" i="1"/>
  <c r="J165" i="1"/>
  <c r="J167" i="1" s="1"/>
  <c r="N133" i="1"/>
  <c r="L83" i="1"/>
  <c r="BV38" i="1"/>
  <c r="BV200" i="1" s="1"/>
  <c r="AX27" i="1"/>
  <c r="AI27" i="1"/>
  <c r="BS20" i="1"/>
  <c r="BM30" i="1"/>
  <c r="BP26" i="1"/>
  <c r="BM38" i="1"/>
  <c r="BT20" i="1"/>
  <c r="BC45" i="1"/>
  <c r="BO28" i="1"/>
  <c r="BJ15" i="1"/>
  <c r="BJ16" i="1" s="1"/>
  <c r="BJ22" i="1" s="1"/>
  <c r="BM27" i="1"/>
  <c r="BK28" i="1"/>
  <c r="BO26" i="1"/>
  <c r="BD20" i="1"/>
  <c r="BE27" i="1"/>
  <c r="BK19" i="1"/>
  <c r="BR15" i="1"/>
  <c r="AX31" i="1"/>
  <c r="AX45" i="1"/>
  <c r="BV138" i="1"/>
  <c r="BH139" i="1"/>
  <c r="BV161" i="1"/>
  <c r="BW161" i="1" s="1"/>
  <c r="BH80" i="1"/>
  <c r="BV166" i="1"/>
  <c r="BH148" i="1"/>
  <c r="BV139" i="1"/>
  <c r="B132" i="1"/>
  <c r="B160" i="1" s="1"/>
  <c r="L124" i="1"/>
  <c r="V79" i="1"/>
  <c r="P156" i="1"/>
  <c r="P149" i="1"/>
  <c r="O133" i="1"/>
  <c r="F124" i="1"/>
  <c r="O161" i="1"/>
  <c r="C133" i="1"/>
  <c r="P155" i="1"/>
  <c r="V141" i="1"/>
  <c r="V137" i="1" s="1"/>
  <c r="N157" i="1"/>
  <c r="V73" i="1"/>
  <c r="W125" i="1"/>
  <c r="F159" i="1"/>
  <c r="F189" i="1" s="1"/>
  <c r="E139" i="1"/>
  <c r="C177" i="1"/>
  <c r="M141" i="1"/>
  <c r="M137" i="1" s="1"/>
  <c r="J142" i="1"/>
  <c r="I80" i="1"/>
  <c r="B70" i="1"/>
  <c r="N156" i="1"/>
  <c r="S130" i="1"/>
  <c r="Q178" i="1"/>
  <c r="F178" i="1"/>
  <c r="R131" i="1"/>
  <c r="T149" i="1"/>
  <c r="B161" i="1"/>
  <c r="E141" i="1"/>
  <c r="E137" i="1" s="1"/>
  <c r="S152" i="1"/>
  <c r="B125" i="1"/>
  <c r="V169" i="1"/>
  <c r="F161" i="1"/>
  <c r="T128" i="1"/>
  <c r="W130" i="1"/>
  <c r="O148" i="1"/>
  <c r="Q161" i="1"/>
  <c r="G141" i="1"/>
  <c r="G137" i="1" s="1"/>
  <c r="T146" i="1"/>
  <c r="U208" i="1" s="1"/>
  <c r="R149" i="1"/>
  <c r="D125" i="1"/>
  <c r="N161" i="1"/>
  <c r="I157" i="1"/>
  <c r="O152" i="1"/>
  <c r="H123" i="1"/>
  <c r="I123" i="1"/>
  <c r="N84" i="1"/>
  <c r="G80" i="1"/>
  <c r="P85" i="1"/>
  <c r="R161" i="1"/>
  <c r="N149" i="1"/>
  <c r="W83" i="1"/>
  <c r="U176" i="1"/>
  <c r="C178" i="1"/>
  <c r="W146" i="1"/>
  <c r="X208" i="1" s="1"/>
  <c r="T159" i="1"/>
  <c r="T189" i="1" s="1"/>
  <c r="F125" i="1"/>
  <c r="K159" i="1"/>
  <c r="K189" i="1" s="1"/>
  <c r="U124" i="1"/>
  <c r="I159" i="1"/>
  <c r="I189" i="1" s="1"/>
  <c r="BV128" i="1"/>
  <c r="BW128" i="1" s="1"/>
  <c r="BV141" i="1"/>
  <c r="BW141" i="1" s="1"/>
  <c r="BV143" i="1"/>
  <c r="BW143" i="1" s="1"/>
  <c r="BV132" i="1"/>
  <c r="BW132" i="1" s="1"/>
  <c r="BV157" i="1"/>
  <c r="BW157" i="1" s="1"/>
  <c r="BV152" i="1"/>
  <c r="BW152" i="1" s="1"/>
  <c r="U177" i="1"/>
  <c r="T156" i="1"/>
  <c r="U170" i="1"/>
  <c r="M161" i="1"/>
  <c r="R177" i="1"/>
  <c r="H152" i="1"/>
  <c r="C80" i="1"/>
  <c r="H178" i="1"/>
  <c r="L139" i="1"/>
  <c r="G161" i="1"/>
  <c r="V139" i="1"/>
  <c r="B73" i="1"/>
  <c r="O169" i="1"/>
  <c r="C125" i="1"/>
  <c r="C149" i="1"/>
  <c r="M165" i="1"/>
  <c r="I176" i="1"/>
  <c r="C139" i="1"/>
  <c r="B142" i="1"/>
  <c r="N153" i="1"/>
  <c r="P79" i="1"/>
  <c r="K149" i="1"/>
  <c r="K169" i="1"/>
  <c r="P139" i="1"/>
  <c r="Q130" i="1"/>
  <c r="R150" i="1"/>
  <c r="R185" i="1" s="1"/>
  <c r="D161" i="1"/>
  <c r="N128" i="1"/>
  <c r="K150" i="1"/>
  <c r="K185" i="1" s="1"/>
  <c r="T155" i="1"/>
  <c r="G149" i="1"/>
  <c r="U159" i="1"/>
  <c r="U189" i="1" s="1"/>
  <c r="H138" i="1"/>
  <c r="L169" i="1"/>
  <c r="V176" i="1"/>
  <c r="P131" i="1"/>
  <c r="Q165" i="1"/>
  <c r="I73" i="1"/>
  <c r="C169" i="1"/>
  <c r="Q85" i="1"/>
  <c r="V148" i="1"/>
  <c r="S176" i="1"/>
  <c r="J130" i="1"/>
  <c r="U156" i="1"/>
  <c r="M131" i="1"/>
  <c r="U166" i="1"/>
  <c r="O79" i="1"/>
  <c r="D130" i="1"/>
  <c r="S148" i="1"/>
  <c r="E170" i="1"/>
  <c r="D169" i="1"/>
  <c r="K142" i="1"/>
  <c r="B149" i="1"/>
  <c r="W161" i="1"/>
  <c r="F80" i="1"/>
  <c r="C131" i="1"/>
  <c r="S156" i="1"/>
  <c r="H159" i="1"/>
  <c r="H189" i="1" s="1"/>
  <c r="U132" i="1"/>
  <c r="U160" i="1" s="1"/>
  <c r="L153" i="1"/>
  <c r="H131" i="1"/>
  <c r="L132" i="1"/>
  <c r="L160" i="1" s="1"/>
  <c r="B155" i="1"/>
  <c r="H142" i="1"/>
  <c r="G165" i="1"/>
  <c r="K84" i="1"/>
  <c r="M142" i="1"/>
  <c r="S149" i="1"/>
  <c r="H139" i="1"/>
  <c r="F85" i="1"/>
  <c r="H161" i="1"/>
  <c r="G125" i="1"/>
  <c r="P80" i="1"/>
  <c r="T157" i="1"/>
  <c r="G170" i="1"/>
  <c r="BG20" i="1"/>
  <c r="BO21" i="1"/>
  <c r="AN29" i="1"/>
  <c r="AO41" i="1"/>
  <c r="AV19" i="1"/>
  <c r="BM57" i="1"/>
  <c r="AY26" i="1"/>
  <c r="AN27" i="1"/>
  <c r="BV170" i="1"/>
  <c r="BW170" i="1" s="1"/>
  <c r="BH131" i="1"/>
  <c r="BI131" i="1" s="1"/>
  <c r="BV133" i="1"/>
  <c r="BW133" i="1" s="1"/>
  <c r="BH159" i="1"/>
  <c r="D124" i="1"/>
  <c r="C124" i="1"/>
  <c r="W142" i="1"/>
  <c r="B85" i="1"/>
  <c r="B177" i="1"/>
  <c r="W159" i="1"/>
  <c r="J83" i="1"/>
  <c r="B152" i="1"/>
  <c r="R124" i="1"/>
  <c r="W153" i="1"/>
  <c r="C83" i="1"/>
  <c r="D149" i="1"/>
  <c r="F176" i="1"/>
  <c r="B153" i="1"/>
  <c r="J176" i="1"/>
  <c r="V150" i="1"/>
  <c r="V185" i="1" s="1"/>
  <c r="P153" i="1"/>
  <c r="B165" i="1"/>
  <c r="I141" i="1"/>
  <c r="I137" i="1" s="1"/>
  <c r="R165" i="1"/>
  <c r="C151" i="1"/>
  <c r="C186" i="1" s="1"/>
  <c r="L84" i="1"/>
  <c r="G157" i="1"/>
  <c r="I139" i="1"/>
  <c r="M170" i="1"/>
  <c r="L149" i="1"/>
  <c r="H79" i="1"/>
  <c r="P123" i="1"/>
  <c r="R155" i="1"/>
  <c r="M149" i="1"/>
  <c r="J73" i="1"/>
  <c r="L157" i="1"/>
  <c r="H155" i="1"/>
  <c r="I83" i="1"/>
  <c r="U131" i="1"/>
  <c r="L151" i="1"/>
  <c r="L186" i="1" s="1"/>
  <c r="O153" i="1"/>
  <c r="K146" i="1"/>
  <c r="K130" i="1"/>
  <c r="E150" i="1"/>
  <c r="E185" i="1" s="1"/>
  <c r="N176" i="1"/>
  <c r="M123" i="1"/>
  <c r="O165" i="1"/>
  <c r="S159" i="1"/>
  <c r="S189" i="1" s="1"/>
  <c r="O83" i="1"/>
  <c r="O159" i="1"/>
  <c r="O189" i="1" s="1"/>
  <c r="N125" i="1"/>
  <c r="T131" i="1"/>
  <c r="Q124" i="1"/>
  <c r="P146" i="1"/>
  <c r="I170" i="1"/>
  <c r="V125" i="1"/>
  <c r="E138" i="1"/>
  <c r="H146" i="1"/>
  <c r="T150" i="1"/>
  <c r="T185" i="1" s="1"/>
  <c r="N165" i="1"/>
  <c r="N167" i="1" s="1"/>
  <c r="O215" i="1" s="1"/>
  <c r="U139" i="1"/>
  <c r="E73" i="1"/>
  <c r="M133" i="1"/>
  <c r="P73" i="1"/>
  <c r="Q157" i="1"/>
  <c r="M176" i="1"/>
  <c r="Q123" i="1"/>
  <c r="E149" i="1"/>
  <c r="R132" i="1"/>
  <c r="R160" i="1" s="1"/>
  <c r="F165" i="1"/>
  <c r="V155" i="1"/>
  <c r="P128" i="1"/>
  <c r="M132" i="1"/>
  <c r="M160" i="1" s="1"/>
  <c r="U161" i="1"/>
  <c r="BG51" i="1"/>
  <c r="AN38" i="1"/>
  <c r="AY20" i="1"/>
  <c r="AU45" i="1"/>
  <c r="BC38" i="1"/>
  <c r="BC200" i="1" s="1"/>
  <c r="AU41" i="1"/>
  <c r="BA28" i="1"/>
  <c r="BO20" i="1"/>
  <c r="AN51" i="1"/>
  <c r="BV155" i="1"/>
  <c r="BW155" i="1" s="1"/>
  <c r="BV80" i="1"/>
  <c r="BH151" i="1"/>
  <c r="BH149" i="1"/>
  <c r="BI149" i="1" s="1"/>
  <c r="BH128" i="1"/>
  <c r="BI128" i="1" s="1"/>
  <c r="K170" i="1"/>
  <c r="E143" i="1"/>
  <c r="Q155" i="1"/>
  <c r="G150" i="1"/>
  <c r="G185" i="1" s="1"/>
  <c r="T84" i="1"/>
  <c r="F152" i="1"/>
  <c r="G128" i="1"/>
  <c r="I128" i="1"/>
  <c r="K124" i="1"/>
  <c r="O73" i="1"/>
  <c r="M146" i="1"/>
  <c r="K83" i="1"/>
  <c r="T141" i="1"/>
  <c r="T137" i="1" s="1"/>
  <c r="E176" i="1"/>
  <c r="G85" i="1"/>
  <c r="R157" i="1"/>
  <c r="T178" i="1"/>
  <c r="M124" i="1"/>
  <c r="N79" i="1"/>
  <c r="N178" i="1"/>
  <c r="D148" i="1"/>
  <c r="B159" i="1"/>
  <c r="B189" i="1" s="1"/>
  <c r="U79" i="1"/>
  <c r="U123" i="1"/>
  <c r="T177" i="1"/>
  <c r="B141" i="1"/>
  <c r="V156" i="1"/>
  <c r="W143" i="1"/>
  <c r="B84" i="1"/>
  <c r="Q169" i="1"/>
  <c r="F177" i="1"/>
  <c r="N148" i="1"/>
  <c r="M153" i="1"/>
  <c r="G155" i="1"/>
  <c r="I85" i="1"/>
  <c r="H148" i="1"/>
  <c r="B139" i="1"/>
  <c r="U141" i="1"/>
  <c r="U137" i="1" s="1"/>
  <c r="O166" i="1"/>
  <c r="B150" i="1"/>
  <c r="B185" i="1" s="1"/>
  <c r="N124" i="1"/>
  <c r="K125" i="1"/>
  <c r="U157" i="1"/>
  <c r="P157" i="1"/>
  <c r="N146" i="1"/>
  <c r="T123" i="1"/>
  <c r="H157" i="1"/>
  <c r="W139" i="1"/>
  <c r="G166" i="1"/>
  <c r="L155" i="1"/>
  <c r="M178" i="1"/>
  <c r="B131" i="1"/>
  <c r="G131" i="1"/>
  <c r="I148" i="1"/>
  <c r="E166" i="1"/>
  <c r="E167" i="1" s="1"/>
  <c r="F215" i="1" s="1"/>
  <c r="D150" i="1"/>
  <c r="D185" i="1" s="1"/>
  <c r="K132" i="1"/>
  <c r="K160" i="1" s="1"/>
  <c r="S80" i="1"/>
  <c r="E130" i="1"/>
  <c r="K138" i="1"/>
  <c r="C156" i="1"/>
  <c r="W151" i="1"/>
  <c r="O177" i="1"/>
  <c r="O80" i="1"/>
  <c r="F123" i="1"/>
  <c r="J133" i="1"/>
  <c r="AX146" i="1"/>
  <c r="AY146" i="1" s="1"/>
  <c r="AZ159" i="1"/>
  <c r="BR132" i="1"/>
  <c r="BS132" i="1" s="1"/>
  <c r="AZ160" i="1"/>
  <c r="BA160" i="1" s="1"/>
  <c r="BT137" i="1"/>
  <c r="BP161" i="1"/>
  <c r="BQ161" i="1" s="1"/>
  <c r="BP79" i="1"/>
  <c r="BI79" i="1"/>
  <c r="AX150" i="1"/>
  <c r="BR165" i="1"/>
  <c r="BF80" i="1"/>
  <c r="AZ158" i="1"/>
  <c r="BA158" i="1" s="1"/>
  <c r="BD141" i="1"/>
  <c r="BE141" i="1" s="1"/>
  <c r="AZ123" i="1"/>
  <c r="BA123" i="1" s="1"/>
  <c r="BN170" i="1"/>
  <c r="BO170" i="1" s="1"/>
  <c r="BF153" i="1"/>
  <c r="BG153" i="1" s="1"/>
  <c r="AX124" i="1"/>
  <c r="AY124" i="1" s="1"/>
  <c r="BW80" i="1"/>
  <c r="AX157" i="1"/>
  <c r="AY157" i="1" s="1"/>
  <c r="AP131" i="1"/>
  <c r="AQ131" i="1" s="1"/>
  <c r="AT137" i="1"/>
  <c r="AZ137" i="1"/>
  <c r="BF160" i="1"/>
  <c r="BG160" i="1" s="1"/>
  <c r="BR133" i="1"/>
  <c r="BS133" i="1" s="1"/>
  <c r="BD153" i="1"/>
  <c r="BE153" i="1" s="1"/>
  <c r="AV141" i="1"/>
  <c r="AW141" i="1" s="1"/>
  <c r="AN123" i="1"/>
  <c r="AR170" i="1"/>
  <c r="AS170" i="1" s="1"/>
  <c r="AQ79" i="1"/>
  <c r="AT157" i="1"/>
  <c r="AU157" i="1" s="1"/>
  <c r="BF157" i="1"/>
  <c r="BG157" i="1" s="1"/>
  <c r="BN128" i="1"/>
  <c r="BO128" i="1" s="1"/>
  <c r="BP133" i="1"/>
  <c r="BQ133" i="1" s="1"/>
  <c r="BF130" i="1"/>
  <c r="BG130" i="1" s="1"/>
  <c r="AW79" i="1"/>
  <c r="BP132" i="1"/>
  <c r="BQ132" i="1" s="1"/>
  <c r="BD158" i="1"/>
  <c r="BE158" i="1" s="1"/>
  <c r="BG79" i="1"/>
  <c r="AZ148" i="1"/>
  <c r="BA148" i="1" s="1"/>
  <c r="BT123" i="1"/>
  <c r="BU123" i="1" s="1"/>
  <c r="BN158" i="1"/>
  <c r="BO158" i="1" s="1"/>
  <c r="BD155" i="1"/>
  <c r="BE155" i="1" s="1"/>
  <c r="BT158" i="1"/>
  <c r="BU158" i="1" s="1"/>
  <c r="BM80" i="1"/>
  <c r="BN133" i="1"/>
  <c r="BO133" i="1" s="1"/>
  <c r="BR138" i="1"/>
  <c r="AT165" i="1"/>
  <c r="BF170" i="1"/>
  <c r="BG170" i="1" s="1"/>
  <c r="AZ141" i="1"/>
  <c r="BA141" i="1" s="1"/>
  <c r="BT152" i="1"/>
  <c r="BU152" i="1" s="1"/>
  <c r="BP130" i="1"/>
  <c r="BQ130" i="1" s="1"/>
  <c r="BP148" i="1"/>
  <c r="BQ148" i="1" s="1"/>
  <c r="BT80" i="1"/>
  <c r="AR149" i="1"/>
  <c r="AS149" i="1" s="1"/>
  <c r="BF124" i="1"/>
  <c r="BG124" i="1" s="1"/>
  <c r="AX79" i="1"/>
  <c r="AX153" i="1"/>
  <c r="AY153" i="1" s="1"/>
  <c r="AX158" i="1"/>
  <c r="AY158" i="1" s="1"/>
  <c r="BB130" i="1"/>
  <c r="BF123" i="1"/>
  <c r="BG123" i="1" s="1"/>
  <c r="AZ153" i="1"/>
  <c r="BA153" i="1" s="1"/>
  <c r="BP137" i="1"/>
  <c r="AV150" i="1"/>
  <c r="BW79" i="1"/>
  <c r="BN161" i="1"/>
  <c r="BO161" i="1" s="1"/>
  <c r="BR155" i="1"/>
  <c r="BS155" i="1" s="1"/>
  <c r="BR79" i="1"/>
  <c r="BB80" i="1"/>
  <c r="BD80" i="1"/>
  <c r="AT131" i="1"/>
  <c r="AU131" i="1" s="1"/>
  <c r="BN131" i="1"/>
  <c r="BO131" i="1" s="1"/>
  <c r="BF138" i="1"/>
  <c r="AT128" i="1"/>
  <c r="AU128" i="1" s="1"/>
  <c r="BB138" i="1"/>
  <c r="AN128" i="1"/>
  <c r="AO128" i="1" s="1"/>
  <c r="BP146" i="1"/>
  <c r="BQ146" i="1" s="1"/>
  <c r="AP146" i="1"/>
  <c r="AV146" i="1"/>
  <c r="AV156" i="1"/>
  <c r="AW156" i="1" s="1"/>
  <c r="AN124" i="1"/>
  <c r="AO124" i="1" s="1"/>
  <c r="AN80" i="1"/>
  <c r="BE80" i="1"/>
  <c r="AX128" i="1"/>
  <c r="AY128" i="1" s="1"/>
  <c r="BB125" i="1"/>
  <c r="AZ151" i="1"/>
  <c r="BT150" i="1"/>
  <c r="AP125" i="1"/>
  <c r="AT139" i="1"/>
  <c r="AX156" i="1"/>
  <c r="AY156" i="1" s="1"/>
  <c r="BN152" i="1"/>
  <c r="BO152" i="1" s="1"/>
  <c r="AY80" i="1"/>
  <c r="BR150" i="1"/>
  <c r="BB166" i="1"/>
  <c r="BD137" i="1"/>
  <c r="BA80" i="1"/>
  <c r="BR152" i="1"/>
  <c r="BS152" i="1" s="1"/>
  <c r="BB133" i="1"/>
  <c r="BC133" i="1" s="1"/>
  <c r="AT150" i="1"/>
  <c r="BD157" i="1"/>
  <c r="BE157" i="1" s="1"/>
  <c r="BR151" i="1"/>
  <c r="BT165" i="1"/>
  <c r="BN148" i="1"/>
  <c r="BO148" i="1" s="1"/>
  <c r="AZ150" i="1"/>
  <c r="AP130" i="1"/>
  <c r="AQ130" i="1" s="1"/>
  <c r="BP123" i="1"/>
  <c r="BQ123" i="1" s="1"/>
  <c r="BD132" i="1"/>
  <c r="BE132" i="1" s="1"/>
  <c r="BP138" i="1"/>
  <c r="AP156" i="1"/>
  <c r="AQ156" i="1" s="1"/>
  <c r="BD170" i="1"/>
  <c r="BE170" i="1" s="1"/>
  <c r="AV165" i="1"/>
  <c r="AV123" i="1"/>
  <c r="AW123" i="1" s="1"/>
  <c r="AR125" i="1"/>
  <c r="AR148" i="1"/>
  <c r="AS148" i="1" s="1"/>
  <c r="AP169" i="1"/>
  <c r="AQ169" i="1" s="1"/>
  <c r="AP148" i="1"/>
  <c r="AN143" i="1"/>
  <c r="AO143" i="1" s="1"/>
  <c r="AV131" i="1"/>
  <c r="AW131" i="1" s="1"/>
  <c r="AV132" i="1"/>
  <c r="AW132" i="1" s="1"/>
  <c r="AR160" i="1"/>
  <c r="AS160" i="1" s="1"/>
  <c r="AV139" i="1"/>
  <c r="AR124" i="1"/>
  <c r="AS124" i="1" s="1"/>
  <c r="AR158" i="1"/>
  <c r="AS158" i="1" s="1"/>
  <c r="BP165" i="1"/>
  <c r="AN156" i="1"/>
  <c r="AO156" i="1" s="1"/>
  <c r="AR130" i="1"/>
  <c r="AN166" i="1"/>
  <c r="AV170" i="1"/>
  <c r="AW170" i="1" s="1"/>
  <c r="AR159" i="1"/>
  <c r="AN132" i="1"/>
  <c r="AO132" i="1" s="1"/>
  <c r="AR152" i="1"/>
  <c r="AS152" i="1" s="1"/>
  <c r="BB137" i="1"/>
  <c r="AV79" i="1"/>
  <c r="AU79" i="1"/>
  <c r="AR166" i="1"/>
  <c r="AV159" i="1"/>
  <c r="AT155" i="1"/>
  <c r="AU155" i="1" s="1"/>
  <c r="AT159" i="1"/>
  <c r="AR79" i="1"/>
  <c r="BO80" i="1"/>
  <c r="BF156" i="1"/>
  <c r="BG156" i="1" s="1"/>
  <c r="BN79" i="1"/>
  <c r="AV166" i="1"/>
  <c r="AR150" i="1"/>
  <c r="AV157" i="1"/>
  <c r="AW157" i="1" s="1"/>
  <c r="AR153" i="1"/>
  <c r="AS153" i="1" s="1"/>
  <c r="BB151" i="1"/>
  <c r="AT124" i="1"/>
  <c r="AU124" i="1" s="1"/>
  <c r="BO79" i="1"/>
  <c r="AX169" i="1"/>
  <c r="AY169" i="1" s="1"/>
  <c r="BR141" i="1"/>
  <c r="BS141" i="1" s="1"/>
  <c r="BB159" i="1"/>
  <c r="BF166" i="1"/>
  <c r="BP159" i="1"/>
  <c r="AX161" i="1"/>
  <c r="AY161" i="1" s="1"/>
  <c r="BN165" i="1"/>
  <c r="AZ132" i="1"/>
  <c r="BA132" i="1" s="1"/>
  <c r="AX137" i="1"/>
  <c r="BN150" i="1"/>
  <c r="BR124" i="1"/>
  <c r="BS124" i="1" s="1"/>
  <c r="BS79" i="1"/>
  <c r="BQ80" i="1"/>
  <c r="AT141" i="1"/>
  <c r="AU141" i="1" s="1"/>
  <c r="AT132" i="1"/>
  <c r="AU132" i="1" s="1"/>
  <c r="BD169" i="1"/>
  <c r="BE169" i="1" s="1"/>
  <c r="BB160" i="1"/>
  <c r="BC160" i="1" s="1"/>
  <c r="AX125" i="1"/>
  <c r="AX141" i="1"/>
  <c r="AY141" i="1" s="1"/>
  <c r="AX151" i="1"/>
  <c r="AZ139" i="1"/>
  <c r="AZ161" i="1"/>
  <c r="BA161" i="1" s="1"/>
  <c r="BF141" i="1"/>
  <c r="BG141" i="1" s="1"/>
  <c r="BN156" i="1"/>
  <c r="BO156" i="1" s="1"/>
  <c r="AQ80" i="1"/>
  <c r="AZ133" i="1"/>
  <c r="BA133" i="1" s="1"/>
  <c r="BD152" i="1"/>
  <c r="BE152" i="1" s="1"/>
  <c r="BD130" i="1"/>
  <c r="BE130" i="1" s="1"/>
  <c r="BT141" i="1"/>
  <c r="BU141" i="1" s="1"/>
  <c r="AV160" i="1"/>
  <c r="AW160" i="1" s="1"/>
  <c r="BN80" i="1"/>
  <c r="BR170" i="1"/>
  <c r="BS170" i="1" s="1"/>
  <c r="AN170" i="1"/>
  <c r="AO170" i="1" s="1"/>
  <c r="AT156" i="1"/>
  <c r="AO79" i="1"/>
  <c r="AX138" i="1"/>
  <c r="BE79" i="1"/>
  <c r="BN139" i="1"/>
  <c r="BN160" i="1"/>
  <c r="BO160" i="1" s="1"/>
  <c r="AY79" i="1"/>
  <c r="BR148" i="1"/>
  <c r="BS148" i="1" s="1"/>
  <c r="BB157" i="1"/>
  <c r="BC157" i="1" s="1"/>
  <c r="AZ157" i="1"/>
  <c r="BA157" i="1" s="1"/>
  <c r="BF148" i="1"/>
  <c r="BG148" i="1" s="1"/>
  <c r="BD151" i="1"/>
  <c r="BP157" i="1"/>
  <c r="BQ157" i="1" s="1"/>
  <c r="AP124" i="1"/>
  <c r="AQ124" i="1" s="1"/>
  <c r="AZ124" i="1"/>
  <c r="BA124" i="1" s="1"/>
  <c r="AX148" i="1"/>
  <c r="AY148" i="1" s="1"/>
  <c r="BN153" i="1"/>
  <c r="BO153" i="1" s="1"/>
  <c r="BR139" i="1"/>
  <c r="BR161" i="1"/>
  <c r="BS161" i="1" s="1"/>
  <c r="BR156" i="1"/>
  <c r="BS156" i="1" s="1"/>
  <c r="BB128" i="1"/>
  <c r="BC128" i="1" s="1"/>
  <c r="AZ138" i="1"/>
  <c r="AW80" i="1"/>
  <c r="AS79" i="1"/>
  <c r="AT133" i="1"/>
  <c r="AU133" i="1" s="1"/>
  <c r="AT151" i="1"/>
  <c r="AT161" i="1"/>
  <c r="AU161" i="1" s="1"/>
  <c r="AT152" i="1"/>
  <c r="AU152" i="1" s="1"/>
  <c r="AT160" i="1"/>
  <c r="AU160" i="1" s="1"/>
  <c r="AT123" i="1"/>
  <c r="BB156" i="1"/>
  <c r="BC156" i="1" s="1"/>
  <c r="AZ169" i="1"/>
  <c r="BA169" i="1" s="1"/>
  <c r="AZ156" i="1"/>
  <c r="BA156" i="1" s="1"/>
  <c r="BD125" i="1"/>
  <c r="BD146" i="1"/>
  <c r="BE146" i="1" s="1"/>
  <c r="AP80" i="1"/>
  <c r="BG80" i="1"/>
  <c r="BF128" i="1"/>
  <c r="BG128" i="1" s="1"/>
  <c r="BF146" i="1"/>
  <c r="BG146" i="1" s="1"/>
  <c r="BD148" i="1"/>
  <c r="BE148" i="1" s="1"/>
  <c r="AP128" i="1"/>
  <c r="AQ128" i="1" s="1"/>
  <c r="AT149" i="1"/>
  <c r="AU149" i="1" s="1"/>
  <c r="AT125" i="1"/>
  <c r="BB139" i="1"/>
  <c r="BB148" i="1"/>
  <c r="BC148" i="1" s="1"/>
  <c r="AZ155" i="1"/>
  <c r="BA155" i="1" s="1"/>
  <c r="BP152" i="1"/>
  <c r="BQ152" i="1" s="1"/>
  <c r="AN152" i="1"/>
  <c r="AO152" i="1" s="1"/>
  <c r="BF132" i="1"/>
  <c r="BG132" i="1" s="1"/>
  <c r="BT156" i="1"/>
  <c r="BU156" i="1" s="1"/>
  <c r="AN165" i="1"/>
  <c r="AZ143" i="1"/>
  <c r="BA143" i="1" s="1"/>
  <c r="AP132" i="1"/>
  <c r="AQ132" i="1" s="1"/>
  <c r="AP150" i="1"/>
  <c r="AN158" i="1"/>
  <c r="AO158" i="1" s="1"/>
  <c r="BP131" i="1"/>
  <c r="BQ131" i="1" s="1"/>
  <c r="AV152" i="1"/>
  <c r="AW152" i="1" s="1"/>
  <c r="AR131" i="1"/>
  <c r="AS131" i="1" s="1"/>
  <c r="AR80" i="1"/>
  <c r="BT153" i="1"/>
  <c r="BU153" i="1" s="1"/>
  <c r="BP158" i="1"/>
  <c r="BQ158" i="1" s="1"/>
  <c r="AN169" i="1"/>
  <c r="AO169" i="1" s="1"/>
  <c r="AV80" i="1"/>
  <c r="AV124" i="1"/>
  <c r="AW124" i="1" s="1"/>
  <c r="AV169" i="1"/>
  <c r="AW169" i="1" s="1"/>
  <c r="AR123" i="1"/>
  <c r="BD79" i="1"/>
  <c r="BP139" i="1"/>
  <c r="AN153" i="1"/>
  <c r="AO153" i="1" s="1"/>
  <c r="AR143" i="1"/>
  <c r="AS143" i="1" s="1"/>
  <c r="BI80" i="1"/>
  <c r="AS80" i="1"/>
  <c r="AR156" i="1"/>
  <c r="AS156" i="1" s="1"/>
  <c r="AP166" i="1"/>
  <c r="AN160" i="1"/>
  <c r="AO160" i="1" s="1"/>
  <c r="AV133" i="1"/>
  <c r="AW133" i="1" s="1"/>
  <c r="BP160" i="1"/>
  <c r="BQ160" i="1" s="1"/>
  <c r="AN157" i="1"/>
  <c r="AO157" i="1" s="1"/>
  <c r="AN141" i="1"/>
  <c r="AO141" i="1" s="1"/>
  <c r="AR133" i="1"/>
  <c r="AS133" i="1" s="1"/>
  <c r="BQ79" i="1"/>
  <c r="BS80" i="1"/>
  <c r="AR155" i="1"/>
  <c r="AS155" i="1" s="1"/>
  <c r="AP79" i="1"/>
  <c r="BR130" i="1"/>
  <c r="BS130" i="1" s="1"/>
  <c r="AV148" i="1"/>
  <c r="AW148" i="1" s="1"/>
  <c r="AN149" i="1"/>
  <c r="AO149" i="1" s="1"/>
  <c r="AN138" i="1"/>
  <c r="AR169" i="1"/>
  <c r="AS169" i="1" s="1"/>
  <c r="AV151" i="1"/>
  <c r="AN148" i="1"/>
  <c r="AR132" i="1"/>
  <c r="AS132" i="1" s="1"/>
  <c r="AX159" i="1"/>
  <c r="BB79" i="1"/>
  <c r="BR160" i="1"/>
  <c r="BS160" i="1" s="1"/>
  <c r="BT138" i="1"/>
  <c r="BK80" i="1"/>
  <c r="AX123" i="1"/>
  <c r="AX160" i="1"/>
  <c r="AY160" i="1" s="1"/>
  <c r="BB131" i="1"/>
  <c r="BC131" i="1" s="1"/>
  <c r="BF150" i="1"/>
  <c r="AX130" i="1"/>
  <c r="BR146" i="1"/>
  <c r="BT130" i="1"/>
  <c r="AP161" i="1"/>
  <c r="AQ161" i="1" s="1"/>
  <c r="AT170" i="1"/>
  <c r="AU170" i="1" s="1"/>
  <c r="AT158" i="1"/>
  <c r="AU158" i="1" s="1"/>
  <c r="BF158" i="1"/>
  <c r="BG158" i="1" s="1"/>
  <c r="AT80" i="1"/>
  <c r="BB150" i="1"/>
  <c r="BT161" i="1"/>
  <c r="BU161" i="1" s="1"/>
  <c r="AN146" i="1"/>
  <c r="BP156" i="1"/>
  <c r="BQ156" i="1" s="1"/>
  <c r="AN139" i="1"/>
  <c r="AP151" i="1"/>
  <c r="AV137" i="1"/>
  <c r="BD133" i="1"/>
  <c r="BE133" i="1" s="1"/>
  <c r="AX165" i="1"/>
  <c r="AX170" i="1"/>
  <c r="AY170" i="1" s="1"/>
  <c r="AX131" i="1"/>
  <c r="AY131" i="1" s="1"/>
  <c r="BB169" i="1"/>
  <c r="BC169" i="1" s="1"/>
  <c r="AZ80" i="1"/>
  <c r="BF152" i="1"/>
  <c r="BG152" i="1" s="1"/>
  <c r="BF133" i="1"/>
  <c r="BG133" i="1" s="1"/>
  <c r="BD139" i="1"/>
  <c r="BN146" i="1"/>
  <c r="BR158" i="1"/>
  <c r="BS158" i="1" s="1"/>
  <c r="BR125" i="1"/>
  <c r="BR131" i="1"/>
  <c r="BS131" i="1" s="1"/>
  <c r="BR123" i="1"/>
  <c r="BB170" i="1"/>
  <c r="BC170" i="1" s="1"/>
  <c r="BF155" i="1"/>
  <c r="BG155" i="1" s="1"/>
  <c r="BD124" i="1"/>
  <c r="BE124" i="1" s="1"/>
  <c r="BT170" i="1"/>
  <c r="BU170" i="1" s="1"/>
  <c r="BP166" i="1"/>
  <c r="AV138" i="1"/>
  <c r="BN137" i="1"/>
  <c r="BR153" i="1"/>
  <c r="BS153" i="1" s="1"/>
  <c r="AX152" i="1"/>
  <c r="AY152" i="1" s="1"/>
  <c r="BN166" i="1"/>
  <c r="BN124" i="1"/>
  <c r="BO124" i="1" s="1"/>
  <c r="BN155" i="1"/>
  <c r="BO155" i="1" s="1"/>
  <c r="BR166" i="1"/>
  <c r="BR128" i="1"/>
  <c r="BS128" i="1" s="1"/>
  <c r="BB165" i="1"/>
  <c r="BF139" i="1"/>
  <c r="BT124" i="1"/>
  <c r="BU124" i="1" s="1"/>
  <c r="BP169" i="1"/>
  <c r="BQ169" i="1" s="1"/>
  <c r="BP153" i="1"/>
  <c r="BQ153" i="1" s="1"/>
  <c r="BM79" i="1"/>
  <c r="AX133" i="1"/>
  <c r="AY133" i="1" s="1"/>
  <c r="BN123" i="1"/>
  <c r="BO123" i="1" s="1"/>
  <c r="BR137" i="1"/>
  <c r="BB161" i="1"/>
  <c r="BC161" i="1" s="1"/>
  <c r="AZ165" i="1"/>
  <c r="BD161" i="1"/>
  <c r="BE161" i="1" s="1"/>
  <c r="BT139" i="1"/>
  <c r="AT146" i="1"/>
  <c r="AU146" i="1" s="1"/>
  <c r="AT166" i="1"/>
  <c r="AT130" i="1"/>
  <c r="AU130" i="1" s="1"/>
  <c r="AT148" i="1"/>
  <c r="BN141" i="1"/>
  <c r="BO141" i="1" s="1"/>
  <c r="BF161" i="1"/>
  <c r="BG161" i="1" s="1"/>
  <c r="BF165" i="1"/>
  <c r="BF79" i="1"/>
  <c r="BD131" i="1"/>
  <c r="BE131" i="1" s="1"/>
  <c r="AP158" i="1"/>
  <c r="AQ158" i="1" s="1"/>
  <c r="AT169" i="1"/>
  <c r="AU169" i="1" s="1"/>
  <c r="AT153" i="1"/>
  <c r="AU153" i="1" s="1"/>
  <c r="BT132" i="1"/>
  <c r="BU132" i="1" s="1"/>
  <c r="BB124" i="1"/>
  <c r="BC124" i="1" s="1"/>
  <c r="BB123" i="1"/>
  <c r="AN151" i="1"/>
  <c r="BD160" i="1"/>
  <c r="BE160" i="1" s="1"/>
  <c r="AP141" i="1"/>
  <c r="AQ141" i="1" s="1"/>
  <c r="AN130" i="1"/>
  <c r="BP170" i="1"/>
  <c r="BQ170" i="1" s="1"/>
  <c r="AP123" i="1"/>
  <c r="AQ123" i="1" s="1"/>
  <c r="AN125" i="1"/>
  <c r="AV128" i="1"/>
  <c r="AW128" i="1" s="1"/>
  <c r="AR141" i="1"/>
  <c r="AS141" i="1" s="1"/>
  <c r="AR146" i="1"/>
  <c r="AS146" i="1" s="1"/>
  <c r="AR139" i="1"/>
  <c r="AP153" i="1"/>
  <c r="AQ153" i="1" s="1"/>
  <c r="AN159" i="1"/>
  <c r="AV161" i="1"/>
  <c r="AW161" i="1" s="1"/>
  <c r="AP137" i="1"/>
  <c r="AR138" i="1"/>
  <c r="AR137" i="1"/>
  <c r="AR165" i="1"/>
  <c r="BD138" i="1"/>
  <c r="AN150" i="1"/>
  <c r="AV125" i="1"/>
  <c r="AR151" i="1"/>
  <c r="AN155" i="1"/>
  <c r="AO155" i="1" s="1"/>
  <c r="AN133" i="1"/>
  <c r="AO133" i="1" s="1"/>
  <c r="AN161" i="1"/>
  <c r="AO161" i="1" s="1"/>
  <c r="AR157" i="1"/>
  <c r="AS157" i="1" s="1"/>
  <c r="AN137" i="1"/>
  <c r="AT138" i="1"/>
  <c r="AN79" i="1"/>
  <c r="AN131" i="1"/>
  <c r="AO131" i="1" s="1"/>
  <c r="AO80" i="1"/>
  <c r="AV153" i="1"/>
  <c r="AW153" i="1" s="1"/>
  <c r="AP143" i="1"/>
  <c r="AQ143" i="1" s="1"/>
  <c r="BF143" i="1"/>
  <c r="BG143" i="1" s="1"/>
  <c r="AT143" i="1"/>
  <c r="AU143" i="1" s="1"/>
  <c r="BN143" i="1"/>
  <c r="BO143" i="1" s="1"/>
  <c r="BR143" i="1"/>
  <c r="BS143" i="1" s="1"/>
  <c r="BT149" i="1"/>
  <c r="BF149" i="1"/>
  <c r="AX149" i="1"/>
  <c r="AZ149" i="1"/>
  <c r="BM43" i="1"/>
  <c r="BG259" i="1"/>
  <c r="AO258" i="1"/>
  <c r="BR200" i="1"/>
  <c r="AQ16" i="1"/>
  <c r="BT200" i="1"/>
  <c r="BN39" i="1"/>
  <c r="BN200" i="1"/>
  <c r="BB237" i="1"/>
  <c r="BG237" i="1"/>
  <c r="BG16" i="1"/>
  <c r="AO237" i="1"/>
  <c r="AO16" i="1"/>
  <c r="AW258" i="1"/>
  <c r="AW237" i="1"/>
  <c r="AS200" i="1"/>
  <c r="CQ140" i="1"/>
  <c r="DB83" i="1"/>
  <c r="CY71" i="1"/>
  <c r="CZ69" i="1"/>
  <c r="E208" i="1" l="1"/>
  <c r="M167" i="1"/>
  <c r="N215" i="1" s="1"/>
  <c r="B167" i="1"/>
  <c r="C215" i="1" s="1"/>
  <c r="R167" i="1"/>
  <c r="V126" i="1"/>
  <c r="E140" i="1"/>
  <c r="I208" i="1"/>
  <c r="Q126" i="1"/>
  <c r="BC79" i="1"/>
  <c r="BC80" i="1"/>
  <c r="BN186" i="1"/>
  <c r="BO186" i="1" s="1"/>
  <c r="BB186" i="1"/>
  <c r="BC186" i="1" s="1"/>
  <c r="BB189" i="1"/>
  <c r="BP189" i="1"/>
  <c r="BQ189" i="1" s="1"/>
  <c r="BN185" i="1"/>
  <c r="BO185" i="1" s="1"/>
  <c r="BB185" i="1"/>
  <c r="BC185" i="1" s="1"/>
  <c r="AW16" i="1"/>
  <c r="BE16" i="1"/>
  <c r="BI208" i="1"/>
  <c r="BC32" i="1"/>
  <c r="BF131" i="1"/>
  <c r="BG131" i="1" s="1"/>
  <c r="BB141" i="1"/>
  <c r="BC141" i="1" s="1"/>
  <c r="BD166" i="1"/>
  <c r="BP151" i="1"/>
  <c r="BP186" i="1" s="1"/>
  <c r="BQ186" i="1" s="1"/>
  <c r="AV155" i="1"/>
  <c r="AW155" i="1" s="1"/>
  <c r="BD123" i="1"/>
  <c r="BD16" i="1"/>
  <c r="AQ259" i="1"/>
  <c r="BT32" i="1"/>
  <c r="BP258" i="1"/>
  <c r="AZ32" i="1"/>
  <c r="H167" i="1"/>
  <c r="BT157" i="1"/>
  <c r="BU157" i="1" s="1"/>
  <c r="AP149" i="1"/>
  <c r="AQ149" i="1" s="1"/>
  <c r="BR157" i="1"/>
  <c r="BS157" i="1" s="1"/>
  <c r="AR128" i="1"/>
  <c r="AS128" i="1" s="1"/>
  <c r="BT146" i="1"/>
  <c r="BP155" i="1"/>
  <c r="BQ155" i="1" s="1"/>
  <c r="BU16" i="1"/>
  <c r="AU16" i="1"/>
  <c r="BP16" i="1"/>
  <c r="AT32" i="1"/>
  <c r="BV189" i="1"/>
  <c r="D208" i="1"/>
  <c r="BH32" i="1"/>
  <c r="AZ166" i="1"/>
  <c r="BN138" i="1"/>
  <c r="AP139" i="1"/>
  <c r="BT133" i="1"/>
  <c r="BU133" i="1" s="1"/>
  <c r="P140" i="1"/>
  <c r="P179" i="1"/>
  <c r="G208" i="1"/>
  <c r="Q167" i="1"/>
  <c r="O208" i="1"/>
  <c r="BN132" i="1"/>
  <c r="BO132" i="1" s="1"/>
  <c r="BA79" i="1"/>
  <c r="BB152" i="1"/>
  <c r="BC152" i="1" s="1"/>
  <c r="BB132" i="1"/>
  <c r="BC132" i="1" s="1"/>
  <c r="BT159" i="1"/>
  <c r="BF151" i="1"/>
  <c r="AZ128" i="1"/>
  <c r="BA128" i="1" s="1"/>
  <c r="BD128" i="1"/>
  <c r="BE128" i="1" s="1"/>
  <c r="BT125" i="1"/>
  <c r="BF137" i="1"/>
  <c r="BF159" i="1"/>
  <c r="BD156" i="1"/>
  <c r="BE156" i="1" s="1"/>
  <c r="BR80" i="1"/>
  <c r="BP80" i="1"/>
  <c r="AX143" i="1"/>
  <c r="AY143" i="1" s="1"/>
  <c r="BN169" i="1"/>
  <c r="BO169" i="1" s="1"/>
  <c r="BN130" i="1"/>
  <c r="BB155" i="1"/>
  <c r="BC155" i="1" s="1"/>
  <c r="BT160" i="1"/>
  <c r="BU160" i="1" s="1"/>
  <c r="BT166" i="1"/>
  <c r="BP149" i="1"/>
  <c r="BQ149" i="1" s="1"/>
  <c r="AX132" i="1"/>
  <c r="AY132" i="1" s="1"/>
  <c r="BF125" i="1"/>
  <c r="AZ170" i="1"/>
  <c r="BA170" i="1" s="1"/>
  <c r="BP128" i="1"/>
  <c r="BQ128" i="1" s="1"/>
  <c r="BK79" i="1"/>
  <c r="BN159" i="1"/>
  <c r="BT151" i="1"/>
  <c r="BD159" i="1"/>
  <c r="AV130" i="1"/>
  <c r="AV158" i="1"/>
  <c r="AW158" i="1" s="1"/>
  <c r="AZ152" i="1"/>
  <c r="BA152" i="1" s="1"/>
  <c r="BD165" i="1"/>
  <c r="BT131" i="1"/>
  <c r="BU131" i="1" s="1"/>
  <c r="BD150" i="1"/>
  <c r="BB153" i="1"/>
  <c r="BC153" i="1" s="1"/>
  <c r="BT79" i="1"/>
  <c r="BU79" i="1"/>
  <c r="AZ125" i="1"/>
  <c r="AP138" i="1"/>
  <c r="BN157" i="1"/>
  <c r="BO157" i="1" s="1"/>
  <c r="BR169" i="1"/>
  <c r="BS169" i="1" s="1"/>
  <c r="BR159" i="1"/>
  <c r="AP157" i="1"/>
  <c r="AQ157" i="1" s="1"/>
  <c r="BB158" i="1"/>
  <c r="BC158" i="1" s="1"/>
  <c r="BU80" i="1"/>
  <c r="BP124" i="1"/>
  <c r="BQ124" i="1" s="1"/>
  <c r="BT128" i="1"/>
  <c r="BU128" i="1" s="1"/>
  <c r="AZ79" i="1"/>
  <c r="BT148" i="1"/>
  <c r="BU148" i="1" s="1"/>
  <c r="AP170" i="1"/>
  <c r="AQ170" i="1" s="1"/>
  <c r="BT169" i="1"/>
  <c r="BU169" i="1" s="1"/>
  <c r="BP141" i="1"/>
  <c r="BQ141" i="1" s="1"/>
  <c r="AP165" i="1"/>
  <c r="AR161" i="1"/>
  <c r="AS161" i="1" s="1"/>
  <c r="AT79" i="1"/>
  <c r="AV149" i="1"/>
  <c r="BP143" i="1"/>
  <c r="BQ143" i="1" s="1"/>
  <c r="BT143" i="1"/>
  <c r="BU143" i="1" s="1"/>
  <c r="BB149" i="1"/>
  <c r="BD149" i="1"/>
  <c r="BR149" i="1"/>
  <c r="BN149" i="1"/>
  <c r="BJ33" i="1"/>
  <c r="BM209" i="1"/>
  <c r="BM207" i="1" s="1"/>
  <c r="BM39" i="1"/>
  <c r="BM200" i="1"/>
  <c r="BJ34" i="1"/>
  <c r="BJ23" i="1"/>
  <c r="AP152" i="1"/>
  <c r="AQ152" i="1" s="1"/>
  <c r="BN125" i="1"/>
  <c r="AX80" i="1"/>
  <c r="BF169" i="1"/>
  <c r="BG169" i="1" s="1"/>
  <c r="BP150" i="1"/>
  <c r="BP185" i="1" s="1"/>
  <c r="BQ185" i="1" s="1"/>
  <c r="BP125" i="1"/>
  <c r="AX166" i="1"/>
  <c r="BB146" i="1"/>
  <c r="BC146" i="1" s="1"/>
  <c r="BV186" i="1"/>
  <c r="BW186" i="1" s="1"/>
  <c r="JI21" i="4"/>
  <c r="CC83" i="1" s="1"/>
  <c r="IC9" i="4"/>
  <c r="S140" i="1"/>
  <c r="C167" i="1"/>
  <c r="BW258" i="1"/>
  <c r="AV258" i="1"/>
  <c r="AS32" i="1"/>
  <c r="W140" i="1"/>
  <c r="G126" i="1"/>
  <c r="P134" i="1"/>
  <c r="U134" i="1"/>
  <c r="I134" i="1"/>
  <c r="L140" i="1"/>
  <c r="L39" i="1" s="1"/>
  <c r="T167" i="1"/>
  <c r="U215" i="1" s="1"/>
  <c r="F134" i="1"/>
  <c r="F43" i="1" s="1"/>
  <c r="C179" i="1"/>
  <c r="B140" i="1"/>
  <c r="O134" i="1"/>
  <c r="Q140" i="1"/>
  <c r="R208" i="1"/>
  <c r="R126" i="1"/>
  <c r="S134" i="1"/>
  <c r="O154" i="1"/>
  <c r="H126" i="1"/>
  <c r="H60" i="1" s="1"/>
  <c r="V179" i="1"/>
  <c r="I140" i="1"/>
  <c r="Q162" i="1"/>
  <c r="N208" i="1"/>
  <c r="T140" i="1"/>
  <c r="T39" i="1" s="1"/>
  <c r="AT186" i="1"/>
  <c r="AU186" i="1" s="1"/>
  <c r="AU80" i="1"/>
  <c r="AP160" i="1"/>
  <c r="AQ160" i="1" s="1"/>
  <c r="BD143" i="1"/>
  <c r="BE143" i="1" s="1"/>
  <c r="BU258" i="1"/>
  <c r="AY237" i="1"/>
  <c r="BH185" i="1"/>
  <c r="BI185" i="1" s="1"/>
  <c r="AU237" i="1"/>
  <c r="AQ200" i="1"/>
  <c r="BC258" i="1"/>
  <c r="BJ259" i="1"/>
  <c r="BJ200" i="1"/>
  <c r="BA200" i="1"/>
  <c r="BQ32" i="1"/>
  <c r="BQ258" i="1"/>
  <c r="BU32" i="1"/>
  <c r="AR258" i="1"/>
  <c r="BE258" i="1"/>
  <c r="BS32" i="1"/>
  <c r="BN32" i="1"/>
  <c r="BI258" i="1"/>
  <c r="M134" i="1"/>
  <c r="S167" i="1"/>
  <c r="N162" i="1"/>
  <c r="N191" i="1" s="1"/>
  <c r="N190" i="1" s="1"/>
  <c r="E126" i="1"/>
  <c r="S126" i="1"/>
  <c r="S181" i="1" s="1"/>
  <c r="L179" i="1"/>
  <c r="K162" i="1"/>
  <c r="J179" i="1"/>
  <c r="V208" i="1"/>
  <c r="P162" i="1"/>
  <c r="Q134" i="1"/>
  <c r="F179" i="1"/>
  <c r="M162" i="1"/>
  <c r="K126" i="1"/>
  <c r="B134" i="1"/>
  <c r="G134" i="1"/>
  <c r="I154" i="1"/>
  <c r="I188" i="1" s="1"/>
  <c r="I187" i="1" s="1"/>
  <c r="F126" i="1"/>
  <c r="BV258" i="1"/>
  <c r="BV167" i="1"/>
  <c r="BH167" i="1"/>
  <c r="BH208" i="1"/>
  <c r="BK32" i="1"/>
  <c r="BK16" i="1"/>
  <c r="BK17" i="1" s="1"/>
  <c r="BM32" i="1"/>
  <c r="BP104" i="1"/>
  <c r="BP105" i="1" s="1"/>
  <c r="AY32" i="1"/>
  <c r="BN259" i="1"/>
  <c r="AN258" i="1"/>
  <c r="AI32" i="1"/>
  <c r="BI259" i="1"/>
  <c r="BD32" i="1"/>
  <c r="AW32" i="1"/>
  <c r="AW33" i="1" s="1"/>
  <c r="AR32" i="1"/>
  <c r="AO32" i="1"/>
  <c r="AM54" i="1"/>
  <c r="BF32" i="1"/>
  <c r="AP32" i="1"/>
  <c r="AU32" i="1"/>
  <c r="J140" i="1"/>
  <c r="J154" i="1"/>
  <c r="O162" i="1"/>
  <c r="AS258" i="1"/>
  <c r="AP258" i="1"/>
  <c r="BB32" i="1"/>
  <c r="BR258" i="1"/>
  <c r="BV16" i="1"/>
  <c r="AQ32" i="1"/>
  <c r="BW32" i="1"/>
  <c r="L134" i="1"/>
  <c r="H162" i="1"/>
  <c r="H191" i="1" s="1"/>
  <c r="H190" i="1" s="1"/>
  <c r="C71" i="1"/>
  <c r="BV32" i="1"/>
  <c r="AI43" i="1"/>
  <c r="BR32" i="1"/>
  <c r="AV32" i="1"/>
  <c r="C208" i="1"/>
  <c r="BF16" i="1"/>
  <c r="BI32" i="1"/>
  <c r="AN16" i="1"/>
  <c r="BI134" i="1"/>
  <c r="W179" i="1"/>
  <c r="D167" i="1"/>
  <c r="E215" i="1" s="1"/>
  <c r="K179" i="1"/>
  <c r="J208" i="1"/>
  <c r="U179" i="1"/>
  <c r="T162" i="1"/>
  <c r="L167" i="1"/>
  <c r="M215" i="1" s="1"/>
  <c r="B126" i="1"/>
  <c r="D154" i="1"/>
  <c r="D140" i="1"/>
  <c r="H154" i="1"/>
  <c r="H163" i="1" s="1"/>
  <c r="C154" i="1"/>
  <c r="K140" i="1"/>
  <c r="N140" i="1"/>
  <c r="E162" i="1"/>
  <c r="V162" i="1"/>
  <c r="V191" i="1" s="1"/>
  <c r="C140" i="1"/>
  <c r="O140" i="1"/>
  <c r="I126" i="1"/>
  <c r="M208" i="1"/>
  <c r="BE32" i="1"/>
  <c r="BE33" i="1" s="1"/>
  <c r="BW134" i="1"/>
  <c r="D179" i="1"/>
  <c r="O126" i="1"/>
  <c r="P144" i="1"/>
  <c r="H179" i="1"/>
  <c r="D162" i="1"/>
  <c r="J126" i="1"/>
  <c r="D71" i="1"/>
  <c r="D113" i="1" s="1"/>
  <c r="T126" i="1"/>
  <c r="AX32" i="1"/>
  <c r="BP32" i="1"/>
  <c r="BH154" i="1"/>
  <c r="BV140" i="1"/>
  <c r="B162" i="1"/>
  <c r="B191" i="1" s="1"/>
  <c r="B190" i="1" s="1"/>
  <c r="Q179" i="1"/>
  <c r="T154" i="1"/>
  <c r="G140" i="1"/>
  <c r="N154" i="1"/>
  <c r="U126" i="1"/>
  <c r="U162" i="1"/>
  <c r="C134" i="1"/>
  <c r="S162" i="1"/>
  <c r="G167" i="1"/>
  <c r="S154" i="1"/>
  <c r="T202" i="1" s="1"/>
  <c r="AN32" i="1"/>
  <c r="B179" i="1"/>
  <c r="P126" i="1"/>
  <c r="M154" i="1"/>
  <c r="K134" i="1"/>
  <c r="N179" i="1"/>
  <c r="M126" i="1"/>
  <c r="F167" i="1"/>
  <c r="T179" i="1"/>
  <c r="AR189" i="1"/>
  <c r="AS189" i="1" s="1"/>
  <c r="AR185" i="1"/>
  <c r="AS185" i="1" s="1"/>
  <c r="BF186" i="1"/>
  <c r="BG186" i="1" s="1"/>
  <c r="C162" i="1"/>
  <c r="AV186" i="1"/>
  <c r="AW186" i="1" s="1"/>
  <c r="BF185" i="1"/>
  <c r="BG185" i="1" s="1"/>
  <c r="AN186" i="1"/>
  <c r="AO186" i="1" s="1"/>
  <c r="AN185" i="1"/>
  <c r="AO185" i="1" s="1"/>
  <c r="AW22" i="1"/>
  <c r="H134" i="1"/>
  <c r="AT237" i="1"/>
  <c r="AT258" i="1"/>
  <c r="AT16" i="1"/>
  <c r="AW104" i="1"/>
  <c r="AW105" i="1" s="1"/>
  <c r="AW200" i="1"/>
  <c r="AW259" i="1"/>
  <c r="BQ104" i="1"/>
  <c r="BQ105" i="1" s="1"/>
  <c r="BN237" i="1"/>
  <c r="BN16" i="1"/>
  <c r="BS237" i="1"/>
  <c r="BS16" i="1"/>
  <c r="BV104" i="1"/>
  <c r="BV105" i="1" s="1"/>
  <c r="BS259" i="1"/>
  <c r="BQ259" i="1"/>
  <c r="BQ237" i="1"/>
  <c r="BQ16" i="1"/>
  <c r="BP200" i="1"/>
  <c r="BP259" i="1"/>
  <c r="AV237" i="1"/>
  <c r="AY104" i="1"/>
  <c r="AY105" i="1" s="1"/>
  <c r="BO16" i="1"/>
  <c r="BO237" i="1"/>
  <c r="BO258" i="1"/>
  <c r="BI123" i="1"/>
  <c r="BH126" i="1"/>
  <c r="BH98" i="1" s="1"/>
  <c r="BH102" i="1" s="1"/>
  <c r="BF258" i="1"/>
  <c r="BF237" i="1"/>
  <c r="AY258" i="1"/>
  <c r="AY259" i="1"/>
  <c r="BH237" i="1"/>
  <c r="BH258" i="1"/>
  <c r="AI200" i="1"/>
  <c r="AI39" i="1"/>
  <c r="BB200" i="1"/>
  <c r="BB259" i="1"/>
  <c r="BA237" i="1"/>
  <c r="BA16" i="1"/>
  <c r="BA258" i="1"/>
  <c r="BA259" i="1"/>
  <c r="AS237" i="1"/>
  <c r="AS16" i="1"/>
  <c r="AR237" i="1"/>
  <c r="AR16" i="1"/>
  <c r="AU200" i="1"/>
  <c r="AU259" i="1"/>
  <c r="BU259" i="1"/>
  <c r="BU200" i="1"/>
  <c r="AI185" i="1"/>
  <c r="AI188" i="1"/>
  <c r="AI189" i="1"/>
  <c r="AI191" i="1"/>
  <c r="AI190" i="1" s="1"/>
  <c r="AL104" i="1"/>
  <c r="AL105" i="1" s="1"/>
  <c r="AI186" i="1"/>
  <c r="BE200" i="1"/>
  <c r="BE259" i="1"/>
  <c r="E60" i="1"/>
  <c r="AO200" i="1"/>
  <c r="AO259" i="1"/>
  <c r="AN259" i="1"/>
  <c r="AN200" i="1"/>
  <c r="AN39" i="1"/>
  <c r="R215" i="1"/>
  <c r="Q254" i="1"/>
  <c r="AP189" i="1"/>
  <c r="AQ189" i="1" s="1"/>
  <c r="BE104" i="1"/>
  <c r="BE105" i="1" s="1"/>
  <c r="BB104" i="1"/>
  <c r="BB105" i="1" s="1"/>
  <c r="BK237" i="1"/>
  <c r="AS104" i="1"/>
  <c r="AS105" i="1" s="1"/>
  <c r="BW259" i="1"/>
  <c r="BT189" i="1"/>
  <c r="BU189" i="1" s="1"/>
  <c r="L162" i="1"/>
  <c r="L191" i="1" s="1"/>
  <c r="L190" i="1" s="1"/>
  <c r="L154" i="1"/>
  <c r="L163" i="1" s="1"/>
  <c r="R179" i="1"/>
  <c r="BO32" i="1"/>
  <c r="N134" i="1"/>
  <c r="G179" i="1"/>
  <c r="BT16" i="1"/>
  <c r="BF104" i="1"/>
  <c r="BF105" i="1" s="1"/>
  <c r="BK39" i="1"/>
  <c r="AQ258" i="1"/>
  <c r="AT259" i="1"/>
  <c r="BV185" i="1"/>
  <c r="BW185" i="1" s="1"/>
  <c r="BM237" i="1"/>
  <c r="BJ104" i="1"/>
  <c r="BJ105" i="1" s="1"/>
  <c r="BH134" i="1"/>
  <c r="AP185" i="1"/>
  <c r="AQ185" i="1" s="1"/>
  <c r="BM259" i="1"/>
  <c r="BR104" i="1"/>
  <c r="BR105" i="1" s="1"/>
  <c r="BX104" i="1"/>
  <c r="BX105" i="1" s="1"/>
  <c r="AP186" i="1"/>
  <c r="AQ186" i="1" s="1"/>
  <c r="B154" i="1"/>
  <c r="G162" i="1"/>
  <c r="O179" i="1"/>
  <c r="AI237" i="1"/>
  <c r="BT237" i="1"/>
  <c r="BV162" i="1"/>
  <c r="BV191" i="1" s="1"/>
  <c r="BO259" i="1"/>
  <c r="BK200" i="1"/>
  <c r="AR104" i="1"/>
  <c r="AR105" i="1" s="1"/>
  <c r="BL104" i="1"/>
  <c r="BL105" i="1" s="1"/>
  <c r="AI16" i="1"/>
  <c r="BD258" i="1"/>
  <c r="AP16" i="1"/>
  <c r="AY16" i="1"/>
  <c r="AV189" i="1"/>
  <c r="AW189" i="1" s="1"/>
  <c r="AV185" i="1"/>
  <c r="AW185" i="1" s="1"/>
  <c r="BM258" i="1"/>
  <c r="BA32" i="1"/>
  <c r="P154" i="1"/>
  <c r="H140" i="1"/>
  <c r="H144" i="1" s="1"/>
  <c r="E154" i="1"/>
  <c r="AS259" i="1"/>
  <c r="AZ16" i="1"/>
  <c r="H208" i="1"/>
  <c r="BF259" i="1"/>
  <c r="BT185" i="1"/>
  <c r="BU185" i="1" s="1"/>
  <c r="BA104" i="1"/>
  <c r="BA105" i="1" s="1"/>
  <c r="BK209" i="1"/>
  <c r="BK207" i="1" s="1"/>
  <c r="BV259" i="1"/>
  <c r="BK258" i="1"/>
  <c r="L208" i="1"/>
  <c r="V154" i="1"/>
  <c r="D134" i="1"/>
  <c r="R134" i="1"/>
  <c r="BH259" i="1"/>
  <c r="BZ104" i="1"/>
  <c r="BZ105" i="1" s="1"/>
  <c r="AX259" i="1"/>
  <c r="BC16" i="1"/>
  <c r="AZ104" i="1"/>
  <c r="AZ105" i="1" s="1"/>
  <c r="AI209" i="1"/>
  <c r="AI207" i="1" s="1"/>
  <c r="BO104" i="1"/>
  <c r="BO105" i="1" s="1"/>
  <c r="BM16" i="1"/>
  <c r="AP259" i="1"/>
  <c r="BH162" i="1"/>
  <c r="BR185" i="1"/>
  <c r="BS185" i="1" s="1"/>
  <c r="K208" i="1"/>
  <c r="BV134" i="1"/>
  <c r="BM104" i="1"/>
  <c r="BM105" i="1" s="1"/>
  <c r="U140" i="1"/>
  <c r="U39" i="1" s="1"/>
  <c r="V140" i="1"/>
  <c r="V39" i="1" s="1"/>
  <c r="I162" i="1"/>
  <c r="BW208" i="1"/>
  <c r="AZ259" i="1"/>
  <c r="AQ104" i="1"/>
  <c r="AQ105" i="1" s="1"/>
  <c r="BI200" i="1"/>
  <c r="BW237" i="1"/>
  <c r="AO104" i="1"/>
  <c r="AO105" i="1" s="1"/>
  <c r="BV126" i="1"/>
  <c r="BV98" i="1" s="1"/>
  <c r="BK104" i="1"/>
  <c r="BK105" i="1" s="1"/>
  <c r="BY104" i="1"/>
  <c r="BY105" i="1" s="1"/>
  <c r="BS258" i="1"/>
  <c r="BR16" i="1"/>
  <c r="BW104" i="1"/>
  <c r="BW105" i="1" s="1"/>
  <c r="BG104" i="1"/>
  <c r="BG105" i="1" s="1"/>
  <c r="BN104" i="1"/>
  <c r="BN105" i="1" s="1"/>
  <c r="BN109" i="1" s="1"/>
  <c r="BR186" i="1"/>
  <c r="BS186" i="1" s="1"/>
  <c r="BD104" i="1"/>
  <c r="BD105" i="1" s="1"/>
  <c r="AV16" i="1"/>
  <c r="BI104" i="1"/>
  <c r="BI105" i="1" s="1"/>
  <c r="M179" i="1"/>
  <c r="I179" i="1"/>
  <c r="M140" i="1"/>
  <c r="AX16" i="1"/>
  <c r="BW16" i="1"/>
  <c r="AN104" i="1"/>
  <c r="AN105" i="1" s="1"/>
  <c r="BR259" i="1"/>
  <c r="BD237" i="1"/>
  <c r="BI148" i="1"/>
  <c r="T134" i="1"/>
  <c r="R162" i="1"/>
  <c r="BV154" i="1"/>
  <c r="G154" i="1"/>
  <c r="BH189" i="1"/>
  <c r="BI189" i="1" s="1"/>
  <c r="U154" i="1"/>
  <c r="S179" i="1"/>
  <c r="J162" i="1"/>
  <c r="BH140" i="1"/>
  <c r="K167" i="1"/>
  <c r="BC259" i="1"/>
  <c r="AV104" i="1"/>
  <c r="AV105" i="1" s="1"/>
  <c r="AV108" i="1" s="1"/>
  <c r="AN237" i="1"/>
  <c r="AX104" i="1"/>
  <c r="AX105" i="1" s="1"/>
  <c r="BT104" i="1"/>
  <c r="BT105" i="1" s="1"/>
  <c r="AZ258" i="1"/>
  <c r="BU104" i="1"/>
  <c r="BU105" i="1" s="1"/>
  <c r="BD259" i="1"/>
  <c r="AN189" i="1"/>
  <c r="AO189" i="1" s="1"/>
  <c r="W208" i="1"/>
  <c r="J134" i="1"/>
  <c r="AU104" i="1"/>
  <c r="AU105" i="1" s="1"/>
  <c r="BH104" i="1"/>
  <c r="BH105" i="1" s="1"/>
  <c r="W134" i="1"/>
  <c r="F162" i="1"/>
  <c r="AV259" i="1"/>
  <c r="AP104" i="1"/>
  <c r="AP105" i="1" s="1"/>
  <c r="BH186" i="1"/>
  <c r="BI186" i="1" s="1"/>
  <c r="AT104" i="1"/>
  <c r="AT105" i="1" s="1"/>
  <c r="AR259" i="1"/>
  <c r="BS104" i="1"/>
  <c r="BS105" i="1" s="1"/>
  <c r="BS109" i="1" s="1"/>
  <c r="BD186" i="1"/>
  <c r="BE186" i="1" s="1"/>
  <c r="T144" i="1"/>
  <c r="P39" i="1"/>
  <c r="P208" i="1"/>
  <c r="F140" i="1"/>
  <c r="AZ189" i="1"/>
  <c r="BA189" i="1" s="1"/>
  <c r="Q154" i="1"/>
  <c r="F154" i="1"/>
  <c r="N126" i="1"/>
  <c r="AX189" i="1"/>
  <c r="AY189" i="1" s="1"/>
  <c r="AX186" i="1"/>
  <c r="AY186" i="1" s="1"/>
  <c r="K154" i="1"/>
  <c r="K188" i="1" s="1"/>
  <c r="K187" i="1" s="1"/>
  <c r="B71" i="1"/>
  <c r="B113" i="1" s="1"/>
  <c r="AT185" i="1"/>
  <c r="AU185" i="1" s="1"/>
  <c r="AX185" i="1"/>
  <c r="AY185" i="1" s="1"/>
  <c r="I167" i="1"/>
  <c r="BC104" i="1"/>
  <c r="BC105" i="1" s="1"/>
  <c r="E134" i="1"/>
  <c r="R154" i="1"/>
  <c r="C126" i="1"/>
  <c r="Q208" i="1"/>
  <c r="T208" i="1"/>
  <c r="F208" i="1"/>
  <c r="L126" i="1"/>
  <c r="D126" i="1"/>
  <c r="E179" i="1"/>
  <c r="R140" i="1"/>
  <c r="AT189" i="1"/>
  <c r="AU189" i="1" s="1"/>
  <c r="AZ185" i="1"/>
  <c r="BA185" i="1" s="1"/>
  <c r="AZ186" i="1"/>
  <c r="BA186" i="1" s="1"/>
  <c r="V134" i="1"/>
  <c r="O167" i="1"/>
  <c r="U167" i="1"/>
  <c r="V215" i="1" s="1"/>
  <c r="AR140" i="1"/>
  <c r="AR144" i="1" s="1"/>
  <c r="K215" i="1"/>
  <c r="AN167" i="1"/>
  <c r="AO215" i="1" s="1"/>
  <c r="AV167" i="1"/>
  <c r="AW215" i="1" s="1"/>
  <c r="BN167" i="1"/>
  <c r="BO215" i="1" s="1"/>
  <c r="BR140" i="1"/>
  <c r="BS134" i="1"/>
  <c r="AZ140" i="1"/>
  <c r="BP140" i="1"/>
  <c r="BP167" i="1"/>
  <c r="BQ215" i="1" s="1"/>
  <c r="BB167" i="1"/>
  <c r="BE134" i="1"/>
  <c r="AR167" i="1"/>
  <c r="AS215" i="1" s="1"/>
  <c r="AQ146" i="1"/>
  <c r="AW146" i="1"/>
  <c r="AX208" i="1" s="1"/>
  <c r="AW208" i="1"/>
  <c r="AQ148" i="1"/>
  <c r="AS130" i="1"/>
  <c r="AS134" i="1" s="1"/>
  <c r="AR134" i="1"/>
  <c r="AU123" i="1"/>
  <c r="AT126" i="1"/>
  <c r="AT98" i="1" s="1"/>
  <c r="AS123" i="1"/>
  <c r="AR126" i="1"/>
  <c r="AX126" i="1"/>
  <c r="AY123" i="1"/>
  <c r="AY130" i="1"/>
  <c r="BO146" i="1"/>
  <c r="BN208" i="1"/>
  <c r="BT140" i="1"/>
  <c r="AT140" i="1"/>
  <c r="BF167" i="1"/>
  <c r="BG215" i="1" s="1"/>
  <c r="AV140" i="1"/>
  <c r="BD140" i="1"/>
  <c r="AU148" i="1"/>
  <c r="AT154" i="1"/>
  <c r="BC123" i="1"/>
  <c r="BB126" i="1"/>
  <c r="BB98" i="1" s="1"/>
  <c r="AO130" i="1"/>
  <c r="AO134" i="1" s="1"/>
  <c r="AN134" i="1"/>
  <c r="AR186" i="1"/>
  <c r="AS186" i="1" s="1"/>
  <c r="AR154" i="1"/>
  <c r="AR188" i="1" s="1"/>
  <c r="AO123" i="1"/>
  <c r="AN126" i="1"/>
  <c r="BC130" i="1"/>
  <c r="AU156" i="1"/>
  <c r="AT162" i="1"/>
  <c r="AT191" i="1" s="1"/>
  <c r="AY155" i="1"/>
  <c r="AX162" i="1"/>
  <c r="AX191" i="1" s="1"/>
  <c r="AO148" i="1"/>
  <c r="AN154" i="1"/>
  <c r="BS146" i="1"/>
  <c r="BR208" i="1"/>
  <c r="BU130" i="1"/>
  <c r="AO146" i="1"/>
  <c r="AN208" i="1"/>
  <c r="BS123" i="1"/>
  <c r="BR126" i="1"/>
  <c r="BR98" i="1" s="1"/>
  <c r="BF208" i="1"/>
  <c r="AQ134" i="1"/>
  <c r="AT208" i="1"/>
  <c r="AN140" i="1"/>
  <c r="AX140" i="1"/>
  <c r="BB140" i="1"/>
  <c r="AT167" i="1"/>
  <c r="AU215" i="1" s="1"/>
  <c r="BR167" i="1"/>
  <c r="AS208" i="1"/>
  <c r="BE208" i="1"/>
  <c r="AZ134" i="1"/>
  <c r="BQ208" i="1"/>
  <c r="AP134" i="1"/>
  <c r="AP126" i="1"/>
  <c r="AP98" i="1" s="1"/>
  <c r="AN162" i="1"/>
  <c r="AN191" i="1" s="1"/>
  <c r="BP134" i="1"/>
  <c r="BA134" i="1"/>
  <c r="AT134" i="1"/>
  <c r="BQ134" i="1"/>
  <c r="BR134" i="1"/>
  <c r="BD134" i="1"/>
  <c r="AZ162" i="1"/>
  <c r="AZ191" i="1" s="1"/>
  <c r="AV126" i="1"/>
  <c r="AU134" i="1"/>
  <c r="BG149" i="1"/>
  <c r="BU149" i="1"/>
  <c r="AY149" i="1"/>
  <c r="AX154" i="1"/>
  <c r="BA149" i="1"/>
  <c r="AU208" i="1"/>
  <c r="AV208" i="1"/>
  <c r="BA208" i="1"/>
  <c r="AY208" i="1"/>
  <c r="AZ208" i="1"/>
  <c r="BI22" i="1"/>
  <c r="T64" i="1"/>
  <c r="BG208" i="1"/>
  <c r="BJ18" i="1"/>
  <c r="BB22" i="1"/>
  <c r="AQ22" i="1"/>
  <c r="AQ17" i="1"/>
  <c r="AO17" i="1"/>
  <c r="AO22" i="1"/>
  <c r="BH22" i="1"/>
  <c r="BL17" i="1"/>
  <c r="BI18" i="1"/>
  <c r="BG33" i="1"/>
  <c r="BJ231" i="1"/>
  <c r="BJ250" i="1"/>
  <c r="BH18" i="1"/>
  <c r="BG22" i="1"/>
  <c r="CQ144" i="1"/>
  <c r="CR38" i="1"/>
  <c r="AE83" i="1"/>
  <c r="AB131" i="1"/>
  <c r="AB134" i="1" s="1"/>
  <c r="AB255" i="1" s="1"/>
  <c r="AD148" i="1"/>
  <c r="CZ71" i="1"/>
  <c r="DA69" i="1"/>
  <c r="C163" i="1" l="1"/>
  <c r="E39" i="1"/>
  <c r="E144" i="1"/>
  <c r="Q60" i="1"/>
  <c r="Q181" i="1"/>
  <c r="S215" i="1"/>
  <c r="V254" i="1"/>
  <c r="V60" i="1"/>
  <c r="V181" i="1"/>
  <c r="BG17" i="1"/>
  <c r="R181" i="1"/>
  <c r="BP33" i="1"/>
  <c r="BF189" i="1"/>
  <c r="BG189" i="1" s="1"/>
  <c r="BV190" i="1"/>
  <c r="BA33" i="1"/>
  <c r="P202" i="1"/>
  <c r="H252" i="1"/>
  <c r="D174" i="1"/>
  <c r="D115" i="1" s="1"/>
  <c r="D116" i="1" s="1"/>
  <c r="D119" i="1" s="1"/>
  <c r="E181" i="1"/>
  <c r="H181" i="1"/>
  <c r="BD189" i="1"/>
  <c r="BE189" i="1" s="1"/>
  <c r="J144" i="1"/>
  <c r="J39" i="1"/>
  <c r="S174" i="1"/>
  <c r="S115" i="1" s="1"/>
  <c r="S43" i="1"/>
  <c r="BV22" i="1"/>
  <c r="R60" i="1"/>
  <c r="S39" i="1"/>
  <c r="S144" i="1"/>
  <c r="R213" i="1"/>
  <c r="I39" i="1"/>
  <c r="I144" i="1"/>
  <c r="R254" i="1"/>
  <c r="C191" i="1"/>
  <c r="O188" i="1"/>
  <c r="O187" i="1" s="1"/>
  <c r="Q39" i="1"/>
  <c r="Q144" i="1"/>
  <c r="G43" i="1"/>
  <c r="Q135" i="1"/>
  <c r="Q61" i="1" s="1"/>
  <c r="Q43" i="1"/>
  <c r="K191" i="1"/>
  <c r="M43" i="1"/>
  <c r="M174" i="1"/>
  <c r="M115" i="1" s="1"/>
  <c r="BT167" i="1"/>
  <c r="BU215" i="1" s="1"/>
  <c r="AZ167" i="1"/>
  <c r="BA215" i="1" s="1"/>
  <c r="AP154" i="1"/>
  <c r="AP188" i="1" s="1"/>
  <c r="AY134" i="1"/>
  <c r="AX134" i="1"/>
  <c r="BF140" i="1"/>
  <c r="AP140" i="1"/>
  <c r="M203" i="1"/>
  <c r="N203" i="1"/>
  <c r="M191" i="1"/>
  <c r="BC134" i="1"/>
  <c r="BB134" i="1"/>
  <c r="BU146" i="1"/>
  <c r="BE123" i="1"/>
  <c r="BD126" i="1"/>
  <c r="BO130" i="1"/>
  <c r="BO134" i="1" s="1"/>
  <c r="BN134" i="1"/>
  <c r="AW130" i="1"/>
  <c r="AW134" i="1" s="1"/>
  <c r="AV134" i="1"/>
  <c r="BT162" i="1"/>
  <c r="BT191" i="1" s="1"/>
  <c r="BN140" i="1"/>
  <c r="AZ126" i="1"/>
  <c r="AR162" i="1"/>
  <c r="BP162" i="1"/>
  <c r="BP191" i="1" s="1"/>
  <c r="BP190" i="1" s="1"/>
  <c r="BT126" i="1"/>
  <c r="BF134" i="1"/>
  <c r="BR162" i="1"/>
  <c r="BR191" i="1" s="1"/>
  <c r="BB162" i="1"/>
  <c r="BB191" i="1" s="1"/>
  <c r="BB190" i="1" s="1"/>
  <c r="BD162" i="1"/>
  <c r="BD191" i="1" s="1"/>
  <c r="BP126" i="1"/>
  <c r="BP98" i="1" s="1"/>
  <c r="BP100" i="1" s="1"/>
  <c r="BN162" i="1"/>
  <c r="BN191" i="1" s="1"/>
  <c r="BG134" i="1"/>
  <c r="BF162" i="1"/>
  <c r="BF191" i="1" s="1"/>
  <c r="AV162" i="1"/>
  <c r="AV191" i="1" s="1"/>
  <c r="BF126" i="1"/>
  <c r="AW149" i="1"/>
  <c r="AV154" i="1"/>
  <c r="BC149" i="1"/>
  <c r="BB154" i="1"/>
  <c r="BF154" i="1"/>
  <c r="BE149" i="1"/>
  <c r="BD154" i="1"/>
  <c r="BO149" i="1"/>
  <c r="BN154" i="1"/>
  <c r="BT154" i="1"/>
  <c r="BS149" i="1"/>
  <c r="BR154" i="1"/>
  <c r="AZ154" i="1"/>
  <c r="BB208" i="1"/>
  <c r="BC208" i="1"/>
  <c r="BD208" i="1"/>
  <c r="BU33" i="1"/>
  <c r="BU22" i="1"/>
  <c r="BH33" i="1"/>
  <c r="BY17" i="1"/>
  <c r="BE18" i="1"/>
  <c r="BH17" i="1"/>
  <c r="BD22" i="1"/>
  <c r="BD33" i="1"/>
  <c r="BI194" i="1"/>
  <c r="BL250" i="1"/>
  <c r="BL231" i="1"/>
  <c r="BP22" i="1"/>
  <c r="BC189" i="1"/>
  <c r="AU22" i="1"/>
  <c r="AU33" i="1"/>
  <c r="BW189" i="1"/>
  <c r="BE22" i="1"/>
  <c r="BI17" i="1"/>
  <c r="BK231" i="1"/>
  <c r="BL194" i="1"/>
  <c r="BI231" i="1"/>
  <c r="BG18" i="1"/>
  <c r="BZ17" i="1"/>
  <c r="BZ194" i="1"/>
  <c r="BK194" i="1"/>
  <c r="BH231" i="1"/>
  <c r="AU17" i="1"/>
  <c r="BP17" i="1"/>
  <c r="BI33" i="1"/>
  <c r="BB33" i="1"/>
  <c r="BX17" i="1"/>
  <c r="BU18" i="1"/>
  <c r="BT22" i="1"/>
  <c r="BY194" i="1"/>
  <c r="AS17" i="1"/>
  <c r="AO194" i="1"/>
  <c r="BI215" i="1"/>
  <c r="AO33" i="1"/>
  <c r="AN17" i="1"/>
  <c r="AO231" i="1"/>
  <c r="AN22" i="1"/>
  <c r="AN18" i="1"/>
  <c r="AN231" i="1"/>
  <c r="AO18" i="1"/>
  <c r="AR17" i="1"/>
  <c r="BT17" i="1"/>
  <c r="BB231" i="1"/>
  <c r="BV144" i="1"/>
  <c r="BW39" i="1"/>
  <c r="BW140" i="1"/>
  <c r="AW110" i="1"/>
  <c r="AW109" i="1"/>
  <c r="BF17" i="1"/>
  <c r="BD18" i="1"/>
  <c r="AN194" i="1"/>
  <c r="AQ33" i="1"/>
  <c r="BJ35" i="1"/>
  <c r="BJ40" i="1"/>
  <c r="BJ44" i="1" s="1"/>
  <c r="BJ238" i="1"/>
  <c r="BJ239" i="1" s="1"/>
  <c r="H213" i="1"/>
  <c r="O135" i="1"/>
  <c r="O61" i="1" s="1"/>
  <c r="D203" i="1"/>
  <c r="BN189" i="1"/>
  <c r="BO189" i="1" s="1"/>
  <c r="BT186" i="1"/>
  <c r="BU186" i="1" s="1"/>
  <c r="BD185" i="1"/>
  <c r="BE185" i="1" s="1"/>
  <c r="BR189" i="1"/>
  <c r="BS189" i="1" s="1"/>
  <c r="T181" i="1"/>
  <c r="T213" i="1"/>
  <c r="T60" i="1"/>
  <c r="T254" i="1"/>
  <c r="C255" i="1"/>
  <c r="C257" i="1" s="1"/>
  <c r="C43" i="1"/>
  <c r="I174" i="1"/>
  <c r="I115" i="1" s="1"/>
  <c r="L144" i="1"/>
  <c r="O174" i="1"/>
  <c r="O115" i="1" s="1"/>
  <c r="B144" i="1"/>
  <c r="B39" i="1"/>
  <c r="I215" i="1"/>
  <c r="H254" i="1"/>
  <c r="F213" i="1"/>
  <c r="F60" i="1"/>
  <c r="F181" i="1"/>
  <c r="F135" i="1"/>
  <c r="F61" i="1" s="1"/>
  <c r="G60" i="1"/>
  <c r="G181" i="1"/>
  <c r="G213" i="1"/>
  <c r="G188" i="1"/>
  <c r="G187" i="1" s="1"/>
  <c r="J188" i="1"/>
  <c r="J187" i="1" s="1"/>
  <c r="J202" i="1"/>
  <c r="Q174" i="1"/>
  <c r="Q115" i="1" s="1"/>
  <c r="E135" i="1"/>
  <c r="E61" i="1" s="1"/>
  <c r="F255" i="1"/>
  <c r="F257" i="1" s="1"/>
  <c r="G212" i="1"/>
  <c r="G255" i="1"/>
  <c r="G257" i="1" s="1"/>
  <c r="BD167" i="1"/>
  <c r="BE215" i="1" s="1"/>
  <c r="J181" i="1"/>
  <c r="J60" i="1"/>
  <c r="O43" i="1"/>
  <c r="B43" i="1"/>
  <c r="B174" i="1"/>
  <c r="B115" i="1" s="1"/>
  <c r="K60" i="1"/>
  <c r="K181" i="1"/>
  <c r="D215" i="1"/>
  <c r="U181" i="1"/>
  <c r="S135" i="1"/>
  <c r="S61" i="1" s="1"/>
  <c r="S213" i="1"/>
  <c r="S60" i="1"/>
  <c r="D72" i="1"/>
  <c r="D114" i="1"/>
  <c r="I43" i="1"/>
  <c r="D191" i="1"/>
  <c r="W144" i="1"/>
  <c r="X209" i="1" s="1"/>
  <c r="X207" i="1" s="1"/>
  <c r="W39" i="1"/>
  <c r="V213" i="1"/>
  <c r="N202" i="1"/>
  <c r="O202" i="1"/>
  <c r="Q213" i="1"/>
  <c r="C203" i="1"/>
  <c r="O163" i="1"/>
  <c r="I255" i="1"/>
  <c r="I257" i="1" s="1"/>
  <c r="P181" i="1"/>
  <c r="G135" i="1"/>
  <c r="G61" i="1" s="1"/>
  <c r="G174" i="1"/>
  <c r="G115" i="1" s="1"/>
  <c r="U43" i="1"/>
  <c r="AX167" i="1"/>
  <c r="AY215" i="1" s="1"/>
  <c r="P212" i="1"/>
  <c r="P174" i="1"/>
  <c r="P115" i="1" s="1"/>
  <c r="P255" i="1"/>
  <c r="P257" i="1" s="1"/>
  <c r="P43" i="1"/>
  <c r="BU134" i="1"/>
  <c r="BT134" i="1"/>
  <c r="AP167" i="1"/>
  <c r="BN126" i="1"/>
  <c r="BP154" i="1"/>
  <c r="BP188" i="1" s="1"/>
  <c r="BP187" i="1" s="1"/>
  <c r="BH188" i="1"/>
  <c r="BV174" i="1"/>
  <c r="Q191" i="1"/>
  <c r="AP162" i="1"/>
  <c r="BH254" i="1"/>
  <c r="CC100" i="1"/>
  <c r="CC108" i="1"/>
  <c r="CC91" i="1"/>
  <c r="IC21" i="4"/>
  <c r="AW83" i="1" s="1"/>
  <c r="AW108" i="1" s="1"/>
  <c r="IY16" i="4"/>
  <c r="BK33" i="1"/>
  <c r="AP33" i="1"/>
  <c r="E202" i="1"/>
  <c r="AN33" i="1"/>
  <c r="BU194" i="1"/>
  <c r="BH135" i="1"/>
  <c r="N144" i="1"/>
  <c r="N250" i="1" s="1"/>
  <c r="N39" i="1"/>
  <c r="O60" i="1"/>
  <c r="O181" i="1"/>
  <c r="C39" i="1"/>
  <c r="C144" i="1"/>
  <c r="C171" i="1" s="1"/>
  <c r="I181" i="1"/>
  <c r="I60" i="1"/>
  <c r="I213" i="1"/>
  <c r="O213" i="1"/>
  <c r="J213" i="1"/>
  <c r="D39" i="1"/>
  <c r="D144" i="1"/>
  <c r="B135" i="1"/>
  <c r="B61" i="1" s="1"/>
  <c r="H188" i="1"/>
  <c r="I202" i="1"/>
  <c r="D188" i="1"/>
  <c r="D187" i="1" s="1"/>
  <c r="D163" i="1"/>
  <c r="K39" i="1"/>
  <c r="K144" i="1"/>
  <c r="M212" i="1"/>
  <c r="E203" i="1"/>
  <c r="I135" i="1"/>
  <c r="I61" i="1" s="1"/>
  <c r="V135" i="1"/>
  <c r="V61" i="1" s="1"/>
  <c r="R163" i="1"/>
  <c r="BH101" i="1"/>
  <c r="BK18" i="1"/>
  <c r="BL18" i="1"/>
  <c r="BK22" i="1"/>
  <c r="AS18" i="1"/>
  <c r="BM17" i="1"/>
  <c r="BM18" i="1"/>
  <c r="BA17" i="1"/>
  <c r="AS22" i="1"/>
  <c r="AW17" i="1"/>
  <c r="BC33" i="1"/>
  <c r="BG231" i="1"/>
  <c r="BO17" i="1"/>
  <c r="BP18" i="1"/>
  <c r="BO33" i="1"/>
  <c r="BO22" i="1"/>
  <c r="AR22" i="1"/>
  <c r="AR34" i="1" s="1"/>
  <c r="AR35" i="1" s="1"/>
  <c r="BF33" i="1"/>
  <c r="BR231" i="1"/>
  <c r="K174" i="1"/>
  <c r="K115" i="1" s="1"/>
  <c r="L254" i="1"/>
  <c r="D209" i="1"/>
  <c r="D207" i="1" s="1"/>
  <c r="T215" i="1"/>
  <c r="S254" i="1"/>
  <c r="P191" i="1"/>
  <c r="P190" i="1" s="1"/>
  <c r="Q203" i="1"/>
  <c r="Q255" i="1"/>
  <c r="Q257" i="1" s="1"/>
  <c r="Q212" i="1"/>
  <c r="P203" i="1"/>
  <c r="O203" i="1"/>
  <c r="O191" i="1"/>
  <c r="L212" i="1"/>
  <c r="L43" i="1"/>
  <c r="L174" i="1"/>
  <c r="L115" i="1" s="1"/>
  <c r="L255" i="1"/>
  <c r="L257" i="1" s="1"/>
  <c r="M255" i="1"/>
  <c r="M257" i="1" s="1"/>
  <c r="C114" i="1"/>
  <c r="C72" i="1"/>
  <c r="C113" i="1"/>
  <c r="BJ17" i="1"/>
  <c r="BF22" i="1"/>
  <c r="BF34" i="1" s="1"/>
  <c r="BJ36" i="1" s="1"/>
  <c r="O64" i="1"/>
  <c r="AP231" i="1"/>
  <c r="T191" i="1"/>
  <c r="T190" i="1" s="1"/>
  <c r="U203" i="1"/>
  <c r="E191" i="1"/>
  <c r="F203" i="1"/>
  <c r="O144" i="1"/>
  <c r="O39" i="1"/>
  <c r="J254" i="1"/>
  <c r="K213" i="1"/>
  <c r="T188" i="1"/>
  <c r="T252" i="1"/>
  <c r="T163" i="1"/>
  <c r="T171" i="1" s="1"/>
  <c r="T250" i="1"/>
  <c r="G144" i="1"/>
  <c r="G39" i="1"/>
  <c r="N163" i="1"/>
  <c r="N188" i="1"/>
  <c r="U60" i="1"/>
  <c r="U135" i="1"/>
  <c r="U61" i="1" s="1"/>
  <c r="U213" i="1"/>
  <c r="U191" i="1"/>
  <c r="U190" i="1" s="1"/>
  <c r="V203" i="1"/>
  <c r="S203" i="1"/>
  <c r="T203" i="1"/>
  <c r="T204" i="1" s="1"/>
  <c r="T205" i="1" s="1"/>
  <c r="S191" i="1"/>
  <c r="S190" i="1" s="1"/>
  <c r="H215" i="1"/>
  <c r="G254" i="1"/>
  <c r="P254" i="1"/>
  <c r="P60" i="1"/>
  <c r="P213" i="1"/>
  <c r="P135" i="1"/>
  <c r="P61" i="1" s="1"/>
  <c r="M188" i="1"/>
  <c r="M187" i="1" s="1"/>
  <c r="M163" i="1"/>
  <c r="M181" i="1"/>
  <c r="M254" i="1"/>
  <c r="M60" i="1"/>
  <c r="M135" i="1"/>
  <c r="M61" i="1" s="1"/>
  <c r="F174" i="1"/>
  <c r="F115" i="1" s="1"/>
  <c r="F254" i="1"/>
  <c r="G215" i="1"/>
  <c r="I212" i="1"/>
  <c r="H43" i="1"/>
  <c r="H135" i="1"/>
  <c r="H61" i="1" s="1"/>
  <c r="H174" i="1"/>
  <c r="H115" i="1" s="1"/>
  <c r="H255" i="1"/>
  <c r="H257" i="1" s="1"/>
  <c r="H212" i="1"/>
  <c r="AU194" i="1"/>
  <c r="AT33" i="1"/>
  <c r="AT22" i="1"/>
  <c r="AT18" i="1"/>
  <c r="AW231" i="1"/>
  <c r="AU18" i="1"/>
  <c r="AT194" i="1"/>
  <c r="AU231" i="1"/>
  <c r="BN33" i="1"/>
  <c r="BO194" i="1"/>
  <c r="BQ18" i="1"/>
  <c r="BQ22" i="1"/>
  <c r="BU17" i="1"/>
  <c r="BQ17" i="1"/>
  <c r="BQ33" i="1"/>
  <c r="O255" i="1"/>
  <c r="O257" i="1" s="1"/>
  <c r="N174" i="1"/>
  <c r="N115" i="1" s="1"/>
  <c r="N43" i="1"/>
  <c r="BF108" i="1"/>
  <c r="BF109" i="1"/>
  <c r="BF110" i="1"/>
  <c r="B163" i="1"/>
  <c r="C202" i="1"/>
  <c r="G191" i="1"/>
  <c r="H203" i="1"/>
  <c r="N64" i="1"/>
  <c r="AI33" i="1"/>
  <c r="AL250" i="1"/>
  <c r="AJ18" i="1"/>
  <c r="AM17" i="1"/>
  <c r="AQ18" i="1"/>
  <c r="AT17" i="1"/>
  <c r="AS231" i="1"/>
  <c r="AP22" i="1"/>
  <c r="AQ194" i="1"/>
  <c r="AP17" i="1"/>
  <c r="AY194" i="1"/>
  <c r="AY33" i="1"/>
  <c r="AZ18" i="1"/>
  <c r="AY22" i="1"/>
  <c r="E188" i="1"/>
  <c r="E187" i="1" s="1"/>
  <c r="E163" i="1"/>
  <c r="E171" i="1" s="1"/>
  <c r="F202" i="1"/>
  <c r="AZ33" i="1"/>
  <c r="BD194" i="1"/>
  <c r="BA18" i="1"/>
  <c r="BD17" i="1"/>
  <c r="V163" i="1"/>
  <c r="V188" i="1"/>
  <c r="R212" i="1"/>
  <c r="S212" i="1"/>
  <c r="R135" i="1"/>
  <c r="R61" i="1" s="1"/>
  <c r="R174" i="1"/>
  <c r="R115" i="1" s="1"/>
  <c r="S255" i="1"/>
  <c r="S257" i="1" s="1"/>
  <c r="U255" i="1"/>
  <c r="U257" i="1" s="1"/>
  <c r="T174" i="1"/>
  <c r="T115" i="1" s="1"/>
  <c r="T212" i="1"/>
  <c r="G203" i="1"/>
  <c r="F191" i="1"/>
  <c r="R202" i="1"/>
  <c r="Q163" i="1"/>
  <c r="F188" i="1"/>
  <c r="F187" i="1" s="1"/>
  <c r="G202" i="1"/>
  <c r="G204" i="1" s="1"/>
  <c r="G205" i="1" s="1"/>
  <c r="F163" i="1"/>
  <c r="AZ190" i="1"/>
  <c r="BW215" i="1"/>
  <c r="BV254" i="1"/>
  <c r="BP109" i="1"/>
  <c r="BP110" i="1"/>
  <c r="BP108" i="1"/>
  <c r="AM58" i="1"/>
  <c r="AM125" i="1"/>
  <c r="AM126" i="1" s="1"/>
  <c r="AM199" i="1"/>
  <c r="AM201" i="1" s="1"/>
  <c r="AM72" i="1"/>
  <c r="AM75" i="1" s="1"/>
  <c r="BV33" i="1"/>
  <c r="BV18" i="1"/>
  <c r="BI255" i="1"/>
  <c r="BJ212" i="1"/>
  <c r="BJ255" i="1"/>
  <c r="BX212" i="1"/>
  <c r="BX255" i="1"/>
  <c r="BE110" i="1"/>
  <c r="BE109" i="1"/>
  <c r="BB108" i="1"/>
  <c r="BB109" i="1"/>
  <c r="BB110" i="1"/>
  <c r="AS108" i="1"/>
  <c r="AS110" i="1"/>
  <c r="AS109" i="1"/>
  <c r="BJ108" i="1"/>
  <c r="BJ109" i="1"/>
  <c r="BJ110" i="1"/>
  <c r="BR110" i="1"/>
  <c r="BR109" i="1"/>
  <c r="BR108" i="1"/>
  <c r="BA108" i="1"/>
  <c r="BA109" i="1"/>
  <c r="BA110" i="1"/>
  <c r="BO108" i="1"/>
  <c r="BO110" i="1"/>
  <c r="BO109" i="1"/>
  <c r="BW109" i="1"/>
  <c r="BW110" i="1"/>
  <c r="BW108" i="1"/>
  <c r="BG108" i="1"/>
  <c r="BG110" i="1"/>
  <c r="BG109" i="1"/>
  <c r="BU108" i="1"/>
  <c r="BU109" i="1"/>
  <c r="BU110" i="1"/>
  <c r="AP108" i="1"/>
  <c r="AP110" i="1"/>
  <c r="AP109" i="1"/>
  <c r="BV34" i="1"/>
  <c r="BZ24" i="1"/>
  <c r="BC109" i="1"/>
  <c r="BC110" i="1"/>
  <c r="V202" i="1"/>
  <c r="BV135" i="1"/>
  <c r="Q202" i="1"/>
  <c r="E212" i="1"/>
  <c r="AT190" i="1"/>
  <c r="AX190" i="1"/>
  <c r="BF18" i="1"/>
  <c r="BJ194" i="1"/>
  <c r="B254" i="1"/>
  <c r="B181" i="1"/>
  <c r="B60" i="1"/>
  <c r="D202" i="1"/>
  <c r="C188" i="1"/>
  <c r="C174" i="1"/>
  <c r="C115" i="1" s="1"/>
  <c r="C212" i="1"/>
  <c r="S188" i="1"/>
  <c r="S163" i="1"/>
  <c r="S171" i="1" s="1"/>
  <c r="K135" i="1"/>
  <c r="K61" i="1" s="1"/>
  <c r="K212" i="1"/>
  <c r="K211" i="1" s="1"/>
  <c r="K43" i="1"/>
  <c r="K255" i="1"/>
  <c r="K257" i="1" s="1"/>
  <c r="AW23" i="1"/>
  <c r="AW34" i="1"/>
  <c r="BQ108" i="1"/>
  <c r="BQ109" i="1"/>
  <c r="BQ110" i="1"/>
  <c r="BN17" i="1"/>
  <c r="BN22" i="1"/>
  <c r="BQ231" i="1"/>
  <c r="BO18" i="1"/>
  <c r="BV231" i="1"/>
  <c r="BS33" i="1"/>
  <c r="BT18" i="1"/>
  <c r="BS22" i="1"/>
  <c r="BW17" i="1"/>
  <c r="W64" i="1"/>
  <c r="BV109" i="1"/>
  <c r="BV108" i="1"/>
  <c r="BV110" i="1"/>
  <c r="AY110" i="1"/>
  <c r="AY108" i="1"/>
  <c r="AY109" i="1"/>
  <c r="BS17" i="1"/>
  <c r="BP194" i="1"/>
  <c r="BE17" i="1"/>
  <c r="BD231" i="1"/>
  <c r="BA22" i="1"/>
  <c r="BA24" i="1" s="1"/>
  <c r="BB194" i="1"/>
  <c r="BB18" i="1"/>
  <c r="BE194" i="1"/>
  <c r="BF194" i="1"/>
  <c r="AS194" i="1"/>
  <c r="AS33" i="1"/>
  <c r="AT231" i="1"/>
  <c r="AR18" i="1"/>
  <c r="AR194" i="1"/>
  <c r="P64" i="1"/>
  <c r="AR33" i="1"/>
  <c r="AI187" i="1"/>
  <c r="AI192" i="1"/>
  <c r="AL110" i="1"/>
  <c r="AL109" i="1"/>
  <c r="AL108" i="1"/>
  <c r="BT33" i="1"/>
  <c r="BT194" i="1"/>
  <c r="BH174" i="1"/>
  <c r="BI212" i="1"/>
  <c r="BX109" i="1"/>
  <c r="BX108" i="1"/>
  <c r="BX110" i="1"/>
  <c r="AR108" i="1"/>
  <c r="AR110" i="1"/>
  <c r="BL110" i="1"/>
  <c r="BL108" i="1"/>
  <c r="AI22" i="1"/>
  <c r="AL231" i="1"/>
  <c r="AR231" i="1"/>
  <c r="AP194" i="1"/>
  <c r="AQ231" i="1"/>
  <c r="AP18" i="1"/>
  <c r="BC17" i="1"/>
  <c r="AY17" i="1"/>
  <c r="R64" i="1"/>
  <c r="P252" i="1"/>
  <c r="P163" i="1"/>
  <c r="P171" i="1" s="1"/>
  <c r="P188" i="1"/>
  <c r="P250" i="1"/>
  <c r="AZ22" i="1"/>
  <c r="BC231" i="1"/>
  <c r="D43" i="1"/>
  <c r="D255" i="1"/>
  <c r="D257" i="1" s="1"/>
  <c r="D212" i="1"/>
  <c r="R43" i="1"/>
  <c r="R255" i="1"/>
  <c r="R257" i="1" s="1"/>
  <c r="BZ109" i="1"/>
  <c r="BZ108" i="1"/>
  <c r="BZ110" i="1"/>
  <c r="S64" i="1"/>
  <c r="BG194" i="1"/>
  <c r="BE231" i="1"/>
  <c r="BH194" i="1"/>
  <c r="BC194" i="1"/>
  <c r="BC18" i="1"/>
  <c r="BF231" i="1"/>
  <c r="BC22" i="1"/>
  <c r="BG24" i="1" s="1"/>
  <c r="AZ108" i="1"/>
  <c r="AZ109" i="1"/>
  <c r="BM33" i="1"/>
  <c r="BO231" i="1"/>
  <c r="BP231" i="1"/>
  <c r="BH191" i="1"/>
  <c r="BH163" i="1"/>
  <c r="BM110" i="1"/>
  <c r="BM109" i="1"/>
  <c r="BM108" i="1"/>
  <c r="J203" i="1"/>
  <c r="I191" i="1"/>
  <c r="I203" i="1"/>
  <c r="I163" i="1"/>
  <c r="AQ110" i="1"/>
  <c r="AQ109" i="1"/>
  <c r="AQ108" i="1"/>
  <c r="AO109" i="1"/>
  <c r="AO110" i="1"/>
  <c r="AO108" i="1"/>
  <c r="BK110" i="1"/>
  <c r="BK109" i="1"/>
  <c r="BK108" i="1"/>
  <c r="BY109" i="1"/>
  <c r="BY108" i="1"/>
  <c r="BY110" i="1"/>
  <c r="BD108" i="1"/>
  <c r="BD109" i="1"/>
  <c r="AV231" i="1"/>
  <c r="AY231" i="1"/>
  <c r="AV33" i="1"/>
  <c r="AW194" i="1"/>
  <c r="AV194" i="1"/>
  <c r="BI109" i="1"/>
  <c r="BI110" i="1"/>
  <c r="BI108" i="1"/>
  <c r="M39" i="1"/>
  <c r="M144" i="1"/>
  <c r="AZ231" i="1"/>
  <c r="BA231" i="1"/>
  <c r="BB17" i="1"/>
  <c r="AX18" i="1"/>
  <c r="AX33" i="1"/>
  <c r="AY18" i="1"/>
  <c r="AX22" i="1"/>
  <c r="AX17" i="1"/>
  <c r="AX194" i="1"/>
  <c r="BW33" i="1"/>
  <c r="BW231" i="1"/>
  <c r="BY231" i="1"/>
  <c r="BX250" i="1"/>
  <c r="CA194" i="1"/>
  <c r="CB194" i="1"/>
  <c r="X64" i="1"/>
  <c r="BW22" i="1"/>
  <c r="BZ250" i="1"/>
  <c r="CA17" i="1"/>
  <c r="BW18" i="1"/>
  <c r="BZ231" i="1"/>
  <c r="BX18" i="1"/>
  <c r="BX231" i="1"/>
  <c r="BX194" i="1"/>
  <c r="AN110" i="1"/>
  <c r="AN108" i="1"/>
  <c r="AN109" i="1"/>
  <c r="T43" i="1"/>
  <c r="U212" i="1"/>
  <c r="T135" i="1"/>
  <c r="T61" i="1" s="1"/>
  <c r="T255" i="1"/>
  <c r="T257" i="1" s="1"/>
  <c r="R191" i="1"/>
  <c r="R190" i="1" s="1"/>
  <c r="R203" i="1"/>
  <c r="BV188" i="1"/>
  <c r="BV163" i="1"/>
  <c r="H202" i="1"/>
  <c r="G163" i="1"/>
  <c r="U188" i="1"/>
  <c r="U163" i="1"/>
  <c r="K203" i="1"/>
  <c r="J163" i="1"/>
  <c r="J191" i="1"/>
  <c r="BH144" i="1"/>
  <c r="BI140" i="1"/>
  <c r="BI39" i="1"/>
  <c r="AX110" i="1"/>
  <c r="AX109" i="1"/>
  <c r="BT110" i="1"/>
  <c r="BT109" i="1"/>
  <c r="BT108" i="1"/>
  <c r="J43" i="1"/>
  <c r="J212" i="1"/>
  <c r="AU110" i="1"/>
  <c r="AU109" i="1"/>
  <c r="AU108" i="1"/>
  <c r="BH109" i="1"/>
  <c r="BH110" i="1"/>
  <c r="X255" i="1"/>
  <c r="X257" i="1" s="1"/>
  <c r="X212" i="1"/>
  <c r="W43" i="1"/>
  <c r="AT109" i="1"/>
  <c r="AT110" i="1"/>
  <c r="AT108" i="1"/>
  <c r="S202" i="1"/>
  <c r="R188" i="1"/>
  <c r="C254" i="1"/>
  <c r="C213" i="1"/>
  <c r="BC108" i="1"/>
  <c r="AV17" i="1"/>
  <c r="AV18" i="1"/>
  <c r="U64" i="1"/>
  <c r="BL109" i="1"/>
  <c r="BD110" i="1"/>
  <c r="BM22" i="1"/>
  <c r="BS110" i="1"/>
  <c r="BM231" i="1"/>
  <c r="AR187" i="1"/>
  <c r="L203" i="1"/>
  <c r="N212" i="1"/>
  <c r="L202" i="1"/>
  <c r="L204" i="1" s="1"/>
  <c r="L205" i="1" s="1"/>
  <c r="Q188" i="1"/>
  <c r="K254" i="1"/>
  <c r="AR109" i="1"/>
  <c r="BR17" i="1"/>
  <c r="BW255" i="1"/>
  <c r="BN108" i="1"/>
  <c r="V144" i="1"/>
  <c r="B188" i="1"/>
  <c r="N255" i="1"/>
  <c r="N257" i="1" s="1"/>
  <c r="J255" i="1"/>
  <c r="J257" i="1" s="1"/>
  <c r="U144" i="1"/>
  <c r="O212" i="1"/>
  <c r="U202" i="1"/>
  <c r="BR194" i="1"/>
  <c r="AZ17" i="1"/>
  <c r="BN18" i="1"/>
  <c r="BM194" i="1"/>
  <c r="Q64" i="1"/>
  <c r="AZ110" i="1"/>
  <c r="AX231" i="1"/>
  <c r="BQ194" i="1"/>
  <c r="BN110" i="1"/>
  <c r="J135" i="1"/>
  <c r="J61" i="1" s="1"/>
  <c r="M202" i="1"/>
  <c r="L188" i="1"/>
  <c r="BN231" i="1"/>
  <c r="BA194" i="1"/>
  <c r="AV109" i="1"/>
  <c r="BS194" i="1"/>
  <c r="BS231" i="1"/>
  <c r="E43" i="1"/>
  <c r="L135" i="1"/>
  <c r="L61" i="1" s="1"/>
  <c r="K163" i="1"/>
  <c r="K202" i="1"/>
  <c r="J174" i="1"/>
  <c r="J115" i="1" s="1"/>
  <c r="AW18" i="1"/>
  <c r="AV110" i="1"/>
  <c r="BN194" i="1"/>
  <c r="BR22" i="1"/>
  <c r="BW212" i="1"/>
  <c r="BV194" i="1"/>
  <c r="BR255" i="1"/>
  <c r="E174" i="1"/>
  <c r="E115" i="1" s="1"/>
  <c r="L213" i="1"/>
  <c r="L215" i="1"/>
  <c r="BW194" i="1"/>
  <c r="AV22" i="1"/>
  <c r="BU231" i="1"/>
  <c r="F212" i="1"/>
  <c r="BS18" i="1"/>
  <c r="BR18" i="1"/>
  <c r="V64" i="1"/>
  <c r="H39" i="1"/>
  <c r="BV17" i="1"/>
  <c r="BT231" i="1"/>
  <c r="U254" i="1"/>
  <c r="AZ194" i="1"/>
  <c r="BR33" i="1"/>
  <c r="AP187" i="1"/>
  <c r="H171" i="1"/>
  <c r="H172" i="1" s="1"/>
  <c r="D60" i="1"/>
  <c r="D181" i="1"/>
  <c r="E213" i="1"/>
  <c r="D213" i="1"/>
  <c r="P215" i="1"/>
  <c r="O254" i="1"/>
  <c r="L60" i="1"/>
  <c r="L181" i="1"/>
  <c r="N181" i="1"/>
  <c r="F144" i="1"/>
  <c r="F39" i="1"/>
  <c r="V174" i="1"/>
  <c r="V115" i="1" s="1"/>
  <c r="V43" i="1"/>
  <c r="J215" i="1"/>
  <c r="I254" i="1"/>
  <c r="N60" i="1"/>
  <c r="N254" i="1"/>
  <c r="V212" i="1"/>
  <c r="V211" i="1" s="1"/>
  <c r="V255" i="1"/>
  <c r="V257" i="1" s="1"/>
  <c r="C181" i="1"/>
  <c r="C60" i="1"/>
  <c r="H250" i="1"/>
  <c r="N135" i="1"/>
  <c r="N61" i="1" s="1"/>
  <c r="W212" i="1"/>
  <c r="D135" i="1"/>
  <c r="D61" i="1" s="1"/>
  <c r="W255" i="1"/>
  <c r="W257" i="1" s="1"/>
  <c r="N213" i="1"/>
  <c r="R39" i="1"/>
  <c r="R144" i="1"/>
  <c r="B114" i="1"/>
  <c r="B117" i="1" s="1"/>
  <c r="B120" i="1" s="1"/>
  <c r="B72" i="1"/>
  <c r="C135" i="1"/>
  <c r="C61" i="1" s="1"/>
  <c r="U174" i="1"/>
  <c r="U115" i="1" s="1"/>
  <c r="D254" i="1"/>
  <c r="M213" i="1"/>
  <c r="D117" i="1"/>
  <c r="D120" i="1" s="1"/>
  <c r="AS39" i="1"/>
  <c r="AS140" i="1"/>
  <c r="S252" i="1"/>
  <c r="S250" i="1"/>
  <c r="T209" i="1"/>
  <c r="T207" i="1" s="1"/>
  <c r="BV208" i="1"/>
  <c r="BU208" i="1"/>
  <c r="I209" i="1"/>
  <c r="I207" i="1" s="1"/>
  <c r="I250" i="1"/>
  <c r="I252" i="1"/>
  <c r="J209" i="1"/>
  <c r="J207" i="1" s="1"/>
  <c r="E250" i="1"/>
  <c r="E252" i="1"/>
  <c r="B116" i="1"/>
  <c r="B119" i="1" s="1"/>
  <c r="D190" i="1"/>
  <c r="N204" i="1"/>
  <c r="N205" i="1" s="1"/>
  <c r="D75" i="1"/>
  <c r="D74" i="1"/>
  <c r="AR208" i="1"/>
  <c r="AQ208" i="1"/>
  <c r="BB174" i="1"/>
  <c r="AV174" i="1"/>
  <c r="C190" i="1"/>
  <c r="BS39" i="1"/>
  <c r="BS140" i="1"/>
  <c r="BR144" i="1"/>
  <c r="AQ255" i="1"/>
  <c r="AN98" i="1"/>
  <c r="AN101" i="1" s="1"/>
  <c r="AN254" i="1"/>
  <c r="AV255" i="1"/>
  <c r="Q252" i="1"/>
  <c r="Q250" i="1"/>
  <c r="Q209" i="1"/>
  <c r="Q207" i="1" s="1"/>
  <c r="AR212" i="1"/>
  <c r="AR255" i="1"/>
  <c r="AO140" i="1"/>
  <c r="AO39" i="1"/>
  <c r="AN144" i="1"/>
  <c r="AN252" i="1" s="1"/>
  <c r="BC39" i="1"/>
  <c r="BB144" i="1"/>
  <c r="BC140" i="1"/>
  <c r="Q190" i="1"/>
  <c r="AV212" i="1"/>
  <c r="BT135" i="1"/>
  <c r="K190" i="1"/>
  <c r="K192" i="1"/>
  <c r="V190" i="1"/>
  <c r="BN174" i="1"/>
  <c r="BN135" i="1"/>
  <c r="BC212" i="1"/>
  <c r="AT254" i="1"/>
  <c r="AS212" i="1"/>
  <c r="AS255" i="1"/>
  <c r="AR174" i="1"/>
  <c r="AS43" i="1" s="1"/>
  <c r="AR135" i="1"/>
  <c r="AR98" i="1"/>
  <c r="AR252" i="1"/>
  <c r="AX98" i="1"/>
  <c r="BU39" i="1"/>
  <c r="BT144" i="1"/>
  <c r="BU140" i="1"/>
  <c r="AW39" i="1"/>
  <c r="AV144" i="1"/>
  <c r="AW140" i="1"/>
  <c r="BE39" i="1"/>
  <c r="BE140" i="1"/>
  <c r="BD144" i="1"/>
  <c r="AT188" i="1"/>
  <c r="AT163" i="1"/>
  <c r="BB101" i="1"/>
  <c r="BB102" i="1"/>
  <c r="BB100" i="1"/>
  <c r="AO255" i="1"/>
  <c r="AO212" i="1"/>
  <c r="AN255" i="1"/>
  <c r="AN212" i="1"/>
  <c r="AN135" i="1"/>
  <c r="AN174" i="1"/>
  <c r="AY140" i="1"/>
  <c r="AX144" i="1"/>
  <c r="AY39" i="1"/>
  <c r="BP174" i="1"/>
  <c r="BR135" i="1"/>
  <c r="BS255" i="1"/>
  <c r="BS212" i="1"/>
  <c r="BR174" i="1"/>
  <c r="BA140" i="1"/>
  <c r="BA39" i="1"/>
  <c r="AZ144" i="1"/>
  <c r="BQ39" i="1"/>
  <c r="BP144" i="1"/>
  <c r="BQ140" i="1"/>
  <c r="BC215" i="1"/>
  <c r="BB254" i="1"/>
  <c r="AR254" i="1"/>
  <c r="AR250" i="1"/>
  <c r="AX174" i="1"/>
  <c r="AX135" i="1"/>
  <c r="BO208" i="1"/>
  <c r="BP208" i="1"/>
  <c r="AT144" i="1"/>
  <c r="AU39" i="1"/>
  <c r="AU140" i="1"/>
  <c r="BD98" i="1"/>
  <c r="BD254" i="1"/>
  <c r="BO212" i="1"/>
  <c r="BO255" i="1"/>
  <c r="BN255" i="1"/>
  <c r="BN212" i="1"/>
  <c r="AW255" i="1"/>
  <c r="AN188" i="1"/>
  <c r="AN163" i="1"/>
  <c r="BT208" i="1"/>
  <c r="BS208" i="1"/>
  <c r="BV255" i="1"/>
  <c r="BU255" i="1"/>
  <c r="BU212" i="1"/>
  <c r="BV212" i="1"/>
  <c r="BT255" i="1"/>
  <c r="BT212" i="1"/>
  <c r="AP208" i="1"/>
  <c r="AO208" i="1"/>
  <c r="AN190" i="1"/>
  <c r="AT135" i="1"/>
  <c r="AT255" i="1"/>
  <c r="AT212" i="1"/>
  <c r="AT174" i="1"/>
  <c r="BE255" i="1"/>
  <c r="BE212" i="1"/>
  <c r="BD174" i="1"/>
  <c r="AV98" i="1"/>
  <c r="AV254" i="1"/>
  <c r="AQ212" i="1"/>
  <c r="AP212" i="1"/>
  <c r="AP255" i="1"/>
  <c r="BA255" i="1"/>
  <c r="BA212" i="1"/>
  <c r="AU212" i="1"/>
  <c r="AU255" i="1"/>
  <c r="BR212" i="1"/>
  <c r="AQ215" i="1"/>
  <c r="AP254" i="1"/>
  <c r="BS215" i="1"/>
  <c r="BR254" i="1"/>
  <c r="AP174" i="1"/>
  <c r="AP135" i="1"/>
  <c r="AP101" i="1"/>
  <c r="AP100" i="1"/>
  <c r="AP102" i="1"/>
  <c r="AP191" i="1"/>
  <c r="BQ255" i="1"/>
  <c r="BQ212" i="1"/>
  <c r="AX188" i="1"/>
  <c r="AX163" i="1"/>
  <c r="BV102" i="1"/>
  <c r="BV101" i="1"/>
  <c r="BV100" i="1"/>
  <c r="BI23" i="1"/>
  <c r="BI34" i="1"/>
  <c r="BJ25" i="1"/>
  <c r="BV115" i="1"/>
  <c r="BW43" i="1"/>
  <c r="BH34" i="1"/>
  <c r="BH23" i="1"/>
  <c r="BL24" i="1"/>
  <c r="AT101" i="1"/>
  <c r="AT102" i="1"/>
  <c r="AT100" i="1"/>
  <c r="BG23" i="1"/>
  <c r="BH25" i="1"/>
  <c r="BK24" i="1"/>
  <c r="T65" i="1"/>
  <c r="BG34" i="1"/>
  <c r="AR40" i="1"/>
  <c r="AR44" i="1" s="1"/>
  <c r="BI25" i="1"/>
  <c r="BR102" i="1"/>
  <c r="BR100" i="1"/>
  <c r="BR101" i="1"/>
  <c r="AO24" i="1"/>
  <c r="AO34" i="1"/>
  <c r="AO23" i="1"/>
  <c r="AS24" i="1"/>
  <c r="AQ34" i="1"/>
  <c r="AQ24" i="1"/>
  <c r="AQ23" i="1"/>
  <c r="AR25" i="1"/>
  <c r="BB23" i="1"/>
  <c r="BB34" i="1"/>
  <c r="CR200" i="1"/>
  <c r="CR138" i="1"/>
  <c r="CQ209" i="1"/>
  <c r="CQ207" i="1" s="1"/>
  <c r="AB212" i="1"/>
  <c r="DB69" i="1"/>
  <c r="DB71" i="1" s="1"/>
  <c r="DA71" i="1"/>
  <c r="F204" i="1" l="1"/>
  <c r="F205" i="1" s="1"/>
  <c r="P172" i="1"/>
  <c r="I171" i="1"/>
  <c r="AY25" i="1"/>
  <c r="U211" i="1"/>
  <c r="R204" i="1"/>
  <c r="R205" i="1" s="1"/>
  <c r="H204" i="1"/>
  <c r="H205" i="1" s="1"/>
  <c r="G171" i="1"/>
  <c r="J171" i="1"/>
  <c r="S204" i="1"/>
  <c r="S205" i="1" s="1"/>
  <c r="BV23" i="1"/>
  <c r="U204" i="1"/>
  <c r="U205" i="1" s="1"/>
  <c r="C74" i="1"/>
  <c r="C75" i="1"/>
  <c r="BO24" i="1"/>
  <c r="AR238" i="1"/>
  <c r="AR239" i="1" s="1"/>
  <c r="BZ36" i="1"/>
  <c r="M204" i="1"/>
  <c r="M205" i="1" s="1"/>
  <c r="BO23" i="1"/>
  <c r="BG25" i="1"/>
  <c r="BV35" i="1"/>
  <c r="BC255" i="1"/>
  <c r="BB135" i="1"/>
  <c r="AX254" i="1"/>
  <c r="BG140" i="1"/>
  <c r="BG39" i="1"/>
  <c r="BF144" i="1"/>
  <c r="AQ140" i="1"/>
  <c r="AP144" i="1"/>
  <c r="AQ39" i="1"/>
  <c r="BN144" i="1"/>
  <c r="BO140" i="1"/>
  <c r="BO39" i="1"/>
  <c r="AR191" i="1"/>
  <c r="AR163" i="1"/>
  <c r="AR171" i="1" s="1"/>
  <c r="BN254" i="1"/>
  <c r="BN98" i="1"/>
  <c r="BF212" i="1"/>
  <c r="BF174" i="1"/>
  <c r="BP255" i="1"/>
  <c r="BP212" i="1"/>
  <c r="AX212" i="1"/>
  <c r="AX255" i="1"/>
  <c r="C250" i="1"/>
  <c r="BL25" i="1"/>
  <c r="BK23" i="1"/>
  <c r="BK34" i="1"/>
  <c r="BK25" i="1"/>
  <c r="AS23" i="1"/>
  <c r="AS34" i="1"/>
  <c r="AS37" i="1" s="1"/>
  <c r="AW24" i="1"/>
  <c r="AR23" i="1"/>
  <c r="AS25" i="1"/>
  <c r="BF23" i="1"/>
  <c r="BJ24" i="1"/>
  <c r="BF35" i="1"/>
  <c r="BF40" i="1"/>
  <c r="BF44" i="1" s="1"/>
  <c r="BF238" i="1"/>
  <c r="BF239" i="1" s="1"/>
  <c r="BO34" i="1"/>
  <c r="BV40" i="1"/>
  <c r="BV44" i="1" s="1"/>
  <c r="BV238" i="1"/>
  <c r="BV239" i="1" s="1"/>
  <c r="BF24" i="1"/>
  <c r="C209" i="1"/>
  <c r="C207" i="1" s="1"/>
  <c r="BF190" i="1"/>
  <c r="P204" i="1"/>
  <c r="P205" i="1" s="1"/>
  <c r="J250" i="1"/>
  <c r="Q171" i="1"/>
  <c r="Q172" i="1" s="1"/>
  <c r="BT190" i="1"/>
  <c r="BH212" i="1"/>
  <c r="BD24" i="1"/>
  <c r="R211" i="1"/>
  <c r="J252" i="1"/>
  <c r="BD190" i="1"/>
  <c r="AV190" i="1"/>
  <c r="F211" i="1"/>
  <c r="L250" i="1"/>
  <c r="D211" i="1"/>
  <c r="L252" i="1"/>
  <c r="G211" i="1"/>
  <c r="B171" i="1"/>
  <c r="AW212" i="1"/>
  <c r="BT174" i="1"/>
  <c r="M192" i="1"/>
  <c r="M190" i="1"/>
  <c r="AZ174" i="1"/>
  <c r="AZ255" i="1"/>
  <c r="AZ135" i="1"/>
  <c r="AZ212" i="1"/>
  <c r="BD212" i="1"/>
  <c r="BD135" i="1"/>
  <c r="BD255" i="1"/>
  <c r="BG255" i="1"/>
  <c r="BH255" i="1"/>
  <c r="BB212" i="1"/>
  <c r="BB255" i="1"/>
  <c r="BP192" i="1"/>
  <c r="BP195" i="1" s="1"/>
  <c r="AY212" i="1"/>
  <c r="AY255" i="1"/>
  <c r="AZ98" i="1"/>
  <c r="AZ254" i="1"/>
  <c r="BT98" i="1"/>
  <c r="BT254" i="1"/>
  <c r="BF255" i="1"/>
  <c r="BF135" i="1"/>
  <c r="AP163" i="1"/>
  <c r="BF98" i="1"/>
  <c r="BF254" i="1"/>
  <c r="BP102" i="1"/>
  <c r="AV135" i="1"/>
  <c r="BP254" i="1"/>
  <c r="BP135" i="1"/>
  <c r="BP163" i="1"/>
  <c r="BG212" i="1"/>
  <c r="BP101" i="1"/>
  <c r="AV188" i="1"/>
  <c r="AV192" i="1" s="1"/>
  <c r="AV163" i="1"/>
  <c r="BB188" i="1"/>
  <c r="BB163" i="1"/>
  <c r="BD188" i="1"/>
  <c r="BD163" i="1"/>
  <c r="BF188" i="1"/>
  <c r="BF163" i="1"/>
  <c r="BT188" i="1"/>
  <c r="BT163" i="1"/>
  <c r="BR188" i="1"/>
  <c r="BR192" i="1" s="1"/>
  <c r="BR163" i="1"/>
  <c r="BN188" i="1"/>
  <c r="BN163" i="1"/>
  <c r="AZ188" i="1"/>
  <c r="AZ163" i="1"/>
  <c r="BU34" i="1"/>
  <c r="BV25" i="1"/>
  <c r="BY24" i="1"/>
  <c r="BU23" i="1"/>
  <c r="BI24" i="1"/>
  <c r="BP34" i="1"/>
  <c r="BP24" i="1"/>
  <c r="BP23" i="1"/>
  <c r="BN190" i="1"/>
  <c r="BE25" i="1"/>
  <c r="BD23" i="1"/>
  <c r="BD34" i="1"/>
  <c r="BE34" i="1"/>
  <c r="BE23" i="1"/>
  <c r="BF25" i="1"/>
  <c r="AU24" i="1"/>
  <c r="BP25" i="1"/>
  <c r="BS24" i="1"/>
  <c r="AW238" i="1"/>
  <c r="AW239" i="1" s="1"/>
  <c r="AW35" i="1"/>
  <c r="AW40" i="1"/>
  <c r="AW44" i="1" s="1"/>
  <c r="AU34" i="1"/>
  <c r="AU23" i="1"/>
  <c r="BS34" i="1"/>
  <c r="BS23" i="1"/>
  <c r="BH24" i="1"/>
  <c r="BN24" i="1"/>
  <c r="BN34" i="1"/>
  <c r="BN23" i="1"/>
  <c r="BO25" i="1"/>
  <c r="AN34" i="1"/>
  <c r="AO25" i="1"/>
  <c r="AN24" i="1"/>
  <c r="AR24" i="1"/>
  <c r="AN25" i="1"/>
  <c r="AN23" i="1"/>
  <c r="BU25" i="1"/>
  <c r="BT34" i="1"/>
  <c r="BX24" i="1"/>
  <c r="BT23" i="1"/>
  <c r="BT24" i="1"/>
  <c r="BW144" i="1"/>
  <c r="BX39" i="1"/>
  <c r="BV250" i="1"/>
  <c r="BV252" i="1"/>
  <c r="BB25" i="1"/>
  <c r="BJ47" i="1"/>
  <c r="BJ46" i="1"/>
  <c r="N252" i="1"/>
  <c r="N171" i="1"/>
  <c r="P211" i="1"/>
  <c r="H211" i="1"/>
  <c r="C204" i="1"/>
  <c r="C205" i="1" s="1"/>
  <c r="E172" i="1"/>
  <c r="S211" i="1"/>
  <c r="T211" i="1"/>
  <c r="U171" i="1"/>
  <c r="U172" i="1" s="1"/>
  <c r="O211" i="1"/>
  <c r="Q211" i="1"/>
  <c r="O204" i="1"/>
  <c r="O205" i="1" s="1"/>
  <c r="O192" i="1"/>
  <c r="L171" i="1"/>
  <c r="BR190" i="1"/>
  <c r="D204" i="1"/>
  <c r="D205" i="1" s="1"/>
  <c r="S172" i="1"/>
  <c r="J204" i="1"/>
  <c r="J205" i="1" s="1"/>
  <c r="I204" i="1"/>
  <c r="I205" i="1" s="1"/>
  <c r="W209" i="1"/>
  <c r="W207" i="1" s="1"/>
  <c r="K171" i="1"/>
  <c r="BH187" i="1"/>
  <c r="L211" i="1"/>
  <c r="J211" i="1"/>
  <c r="I211" i="1"/>
  <c r="K252" i="1"/>
  <c r="O190" i="1"/>
  <c r="M211" i="1"/>
  <c r="E204" i="1"/>
  <c r="E205" i="1" s="1"/>
  <c r="L209" i="1"/>
  <c r="L207" i="1" s="1"/>
  <c r="K209" i="1"/>
  <c r="K207" i="1" s="1"/>
  <c r="D171" i="1"/>
  <c r="Q204" i="1"/>
  <c r="Q205" i="1" s="1"/>
  <c r="E209" i="1"/>
  <c r="E207" i="1" s="1"/>
  <c r="H187" i="1"/>
  <c r="H192" i="1"/>
  <c r="D192" i="1"/>
  <c r="K250" i="1"/>
  <c r="BH252" i="1"/>
  <c r="BH250" i="1"/>
  <c r="BV171" i="1"/>
  <c r="BJ39" i="1"/>
  <c r="BI144" i="1"/>
  <c r="BJ209" i="1" s="1"/>
  <c r="BJ207" i="1" s="1"/>
  <c r="IY21" i="4"/>
  <c r="BS83" i="1" s="1"/>
  <c r="BS108" i="1" s="1"/>
  <c r="IK9" i="4"/>
  <c r="T172" i="1"/>
  <c r="V204" i="1"/>
  <c r="V205" i="1" s="1"/>
  <c r="I219" i="1"/>
  <c r="BE24" i="1"/>
  <c r="AT34" i="1"/>
  <c r="BA23" i="1"/>
  <c r="K172" i="1"/>
  <c r="K204" i="1"/>
  <c r="K205" i="1" s="1"/>
  <c r="BH171" i="1"/>
  <c r="BH172" i="1" s="1"/>
  <c r="C211" i="1"/>
  <c r="E211" i="1"/>
  <c r="C116" i="1"/>
  <c r="C119" i="1" s="1"/>
  <c r="C117" i="1"/>
  <c r="C120" i="1" s="1"/>
  <c r="E192" i="1"/>
  <c r="E190" i="1"/>
  <c r="O252" i="1"/>
  <c r="O171" i="1"/>
  <c r="O172" i="1" s="1"/>
  <c r="P209" i="1"/>
  <c r="P207" i="1" s="1"/>
  <c r="O209" i="1"/>
  <c r="O207" i="1" s="1"/>
  <c r="O250" i="1"/>
  <c r="T192" i="1"/>
  <c r="T187" i="1"/>
  <c r="H209" i="1"/>
  <c r="H207" i="1" s="1"/>
  <c r="G252" i="1"/>
  <c r="G250" i="1"/>
  <c r="N192" i="1"/>
  <c r="N187" i="1"/>
  <c r="AT23" i="1"/>
  <c r="AU25" i="1"/>
  <c r="AT25" i="1"/>
  <c r="P65" i="1"/>
  <c r="BQ34" i="1"/>
  <c r="BQ23" i="1"/>
  <c r="BU24" i="1"/>
  <c r="BQ25" i="1"/>
  <c r="G192" i="1"/>
  <c r="G190" i="1"/>
  <c r="AQ25" i="1"/>
  <c r="AP25" i="1"/>
  <c r="AT24" i="1"/>
  <c r="AP34" i="1"/>
  <c r="AP23" i="1"/>
  <c r="O65" i="1"/>
  <c r="AP24" i="1"/>
  <c r="AY23" i="1"/>
  <c r="AY24" i="1"/>
  <c r="R65" i="1"/>
  <c r="AZ25" i="1"/>
  <c r="AY34" i="1"/>
  <c r="V187" i="1"/>
  <c r="V192" i="1"/>
  <c r="F190" i="1"/>
  <c r="F192" i="1"/>
  <c r="S187" i="1"/>
  <c r="S192" i="1"/>
  <c r="M171" i="1"/>
  <c r="M172" i="1" s="1"/>
  <c r="M252" i="1"/>
  <c r="M250" i="1"/>
  <c r="M209" i="1"/>
  <c r="M207" i="1" s="1"/>
  <c r="N209" i="1"/>
  <c r="N207" i="1" s="1"/>
  <c r="U187" i="1"/>
  <c r="U192" i="1"/>
  <c r="R187" i="1"/>
  <c r="R192" i="1"/>
  <c r="BN25" i="1"/>
  <c r="U65" i="1"/>
  <c r="V209" i="1"/>
  <c r="V207" i="1" s="1"/>
  <c r="U250" i="1"/>
  <c r="U209" i="1"/>
  <c r="U207" i="1" s="1"/>
  <c r="U252" i="1"/>
  <c r="L192" i="1"/>
  <c r="L187" i="1"/>
  <c r="AM135" i="1"/>
  <c r="AM61" i="1" s="1"/>
  <c r="AM213" i="1"/>
  <c r="AM211" i="1" s="1"/>
  <c r="AM60" i="1"/>
  <c r="AM98" i="1"/>
  <c r="AM92" i="1"/>
  <c r="AM91" i="1"/>
  <c r="AM93" i="1"/>
  <c r="BH115" i="1"/>
  <c r="BI43" i="1"/>
  <c r="BH190" i="1"/>
  <c r="BH192" i="1"/>
  <c r="BL195" i="1" s="1"/>
  <c r="BA25" i="1"/>
  <c r="BA34" i="1"/>
  <c r="AZ34" i="1"/>
  <c r="AZ23" i="1"/>
  <c r="BV187" i="1"/>
  <c r="BV192" i="1"/>
  <c r="N211" i="1"/>
  <c r="C187" i="1"/>
  <c r="C192" i="1"/>
  <c r="BT25" i="1"/>
  <c r="BW24" i="1"/>
  <c r="N65" i="1"/>
  <c r="AI34" i="1"/>
  <c r="AJ25" i="1"/>
  <c r="AI23" i="1"/>
  <c r="AM24" i="1"/>
  <c r="P192" i="1"/>
  <c r="P187" i="1"/>
  <c r="BC23" i="1"/>
  <c r="BC24" i="1"/>
  <c r="BC34" i="1"/>
  <c r="S65" i="1"/>
  <c r="BC25" i="1"/>
  <c r="BD25" i="1"/>
  <c r="I190" i="1"/>
  <c r="I192" i="1"/>
  <c r="BB24" i="1"/>
  <c r="AX34" i="1"/>
  <c r="AX24" i="1"/>
  <c r="AX23" i="1"/>
  <c r="AX25" i="1"/>
  <c r="BW23" i="1"/>
  <c r="BW25" i="1"/>
  <c r="BW34" i="1"/>
  <c r="X65" i="1"/>
  <c r="CA24" i="1"/>
  <c r="BX25" i="1"/>
  <c r="J192" i="1"/>
  <c r="J190" i="1"/>
  <c r="BM24" i="1"/>
  <c r="BM23" i="1"/>
  <c r="BQ24" i="1"/>
  <c r="BM34" i="1"/>
  <c r="BM25" i="1"/>
  <c r="Q187" i="1"/>
  <c r="Q192" i="1"/>
  <c r="V171" i="1"/>
  <c r="V172" i="1" s="1"/>
  <c r="V252" i="1"/>
  <c r="V250" i="1"/>
  <c r="B187" i="1"/>
  <c r="B192" i="1"/>
  <c r="BS25" i="1"/>
  <c r="BR25" i="1"/>
  <c r="BR23" i="1"/>
  <c r="BR34" i="1"/>
  <c r="AV25" i="1"/>
  <c r="AV34" i="1"/>
  <c r="AW25" i="1"/>
  <c r="AV24" i="1"/>
  <c r="AZ24" i="1"/>
  <c r="Q65" i="1"/>
  <c r="AV23" i="1"/>
  <c r="F209" i="1"/>
  <c r="F207" i="1" s="1"/>
  <c r="G209" i="1"/>
  <c r="G207" i="1" s="1"/>
  <c r="BV24" i="1"/>
  <c r="V65" i="1"/>
  <c r="C172" i="1"/>
  <c r="BR24" i="1"/>
  <c r="R250" i="1"/>
  <c r="R252" i="1"/>
  <c r="R209" i="1"/>
  <c r="R207" i="1" s="1"/>
  <c r="S209" i="1"/>
  <c r="S207" i="1" s="1"/>
  <c r="T219" i="1"/>
  <c r="F252" i="1"/>
  <c r="F250" i="1"/>
  <c r="B74" i="1"/>
  <c r="B75" i="1"/>
  <c r="F171" i="1"/>
  <c r="F172" i="1" s="1"/>
  <c r="R171" i="1"/>
  <c r="R172" i="1" s="1"/>
  <c r="AS144" i="1"/>
  <c r="AT39" i="1"/>
  <c r="AW43" i="1"/>
  <c r="AV115" i="1"/>
  <c r="BS144" i="1"/>
  <c r="BT39" i="1"/>
  <c r="BR252" i="1"/>
  <c r="BR250" i="1"/>
  <c r="AP39" i="1"/>
  <c r="AO144" i="1"/>
  <c r="AN100" i="1"/>
  <c r="AN102" i="1"/>
  <c r="BB115" i="1"/>
  <c r="BC43" i="1"/>
  <c r="D91" i="1"/>
  <c r="D92" i="1"/>
  <c r="D93" i="1"/>
  <c r="C95" i="1"/>
  <c r="AN171" i="1"/>
  <c r="AN172" i="1" s="1"/>
  <c r="BN115" i="1"/>
  <c r="BO43" i="1"/>
  <c r="AZ39" i="1"/>
  <c r="AY144" i="1"/>
  <c r="BP115" i="1"/>
  <c r="BQ43" i="1"/>
  <c r="BD39" i="1"/>
  <c r="BC144" i="1"/>
  <c r="AN250" i="1"/>
  <c r="AN209" i="1"/>
  <c r="AN207" i="1" s="1"/>
  <c r="BT252" i="1"/>
  <c r="BT250" i="1"/>
  <c r="AW144" i="1"/>
  <c r="AX39" i="1"/>
  <c r="BS43" i="1"/>
  <c r="BR115" i="1"/>
  <c r="BA144" i="1"/>
  <c r="BB39" i="1"/>
  <c r="AZ250" i="1"/>
  <c r="AZ252" i="1"/>
  <c r="BR39" i="1"/>
  <c r="BQ144" i="1"/>
  <c r="AN187" i="1"/>
  <c r="AN192" i="1"/>
  <c r="BB252" i="1"/>
  <c r="BB250" i="1"/>
  <c r="AV250" i="1"/>
  <c r="AV252" i="1"/>
  <c r="BE144" i="1"/>
  <c r="BF39" i="1"/>
  <c r="BD250" i="1"/>
  <c r="BD252" i="1"/>
  <c r="AX252" i="1"/>
  <c r="AX250" i="1"/>
  <c r="AU43" i="1"/>
  <c r="AT115" i="1"/>
  <c r="AR100" i="1"/>
  <c r="AR102" i="1"/>
  <c r="AR101" i="1"/>
  <c r="AX102" i="1"/>
  <c r="AX101" i="1"/>
  <c r="BV39" i="1"/>
  <c r="BU144" i="1"/>
  <c r="AT192" i="1"/>
  <c r="AT187" i="1"/>
  <c r="AO43" i="1"/>
  <c r="AN115" i="1"/>
  <c r="AV39" i="1"/>
  <c r="AU144" i="1"/>
  <c r="BD101" i="1"/>
  <c r="BD100" i="1"/>
  <c r="BD102" i="1"/>
  <c r="BE43" i="1"/>
  <c r="BD115" i="1"/>
  <c r="AV102" i="1"/>
  <c r="AV100" i="1"/>
  <c r="AV101" i="1"/>
  <c r="AX171" i="1"/>
  <c r="AX172" i="1" s="1"/>
  <c r="BP252" i="1"/>
  <c r="BP250" i="1"/>
  <c r="AY43" i="1"/>
  <c r="AX115" i="1"/>
  <c r="AT171" i="1"/>
  <c r="AT172" i="1" s="1"/>
  <c r="AT252" i="1"/>
  <c r="AT250" i="1"/>
  <c r="AP115" i="1"/>
  <c r="AQ43" i="1"/>
  <c r="AP192" i="1"/>
  <c r="AP195" i="1" s="1"/>
  <c r="AP190" i="1"/>
  <c r="AX187" i="1"/>
  <c r="AX192" i="1"/>
  <c r="BI238" i="1"/>
  <c r="BI239" i="1" s="1"/>
  <c r="BI40" i="1"/>
  <c r="BI35" i="1"/>
  <c r="BJ37" i="1"/>
  <c r="BJ256" i="1"/>
  <c r="BJ257" i="1" s="1"/>
  <c r="BV116" i="1"/>
  <c r="BV117" i="1"/>
  <c r="BG35" i="1"/>
  <c r="T66" i="1"/>
  <c r="BJ118" i="1"/>
  <c r="BG256" i="1"/>
  <c r="BI232" i="1"/>
  <c r="BG40" i="1"/>
  <c r="BI118" i="1"/>
  <c r="BG238" i="1"/>
  <c r="BG239" i="1" s="1"/>
  <c r="BJ232" i="1"/>
  <c r="BH37" i="1"/>
  <c r="BG37" i="1"/>
  <c r="BL36" i="1"/>
  <c r="BH35" i="1"/>
  <c r="BH40" i="1"/>
  <c r="BH44" i="1" s="1"/>
  <c r="BH238" i="1"/>
  <c r="BH239" i="1" s="1"/>
  <c r="BH256" i="1"/>
  <c r="BI256" i="1"/>
  <c r="BI257" i="1" s="1"/>
  <c r="BI37" i="1"/>
  <c r="BB40" i="1"/>
  <c r="BF36" i="1"/>
  <c r="BB238" i="1"/>
  <c r="BB239" i="1" s="1"/>
  <c r="BB35" i="1"/>
  <c r="AQ35" i="1"/>
  <c r="AQ238" i="1"/>
  <c r="AQ239" i="1" s="1"/>
  <c r="AQ40" i="1"/>
  <c r="AQ36" i="1"/>
  <c r="AR37" i="1"/>
  <c r="AR256" i="1"/>
  <c r="AR257" i="1" s="1"/>
  <c r="AO238" i="1"/>
  <c r="AO239" i="1" s="1"/>
  <c r="AO40" i="1"/>
  <c r="AO44" i="1" s="1"/>
  <c r="AO46" i="1" s="1"/>
  <c r="AO36" i="1"/>
  <c r="AO35" i="1"/>
  <c r="AR47" i="1"/>
  <c r="AR46" i="1"/>
  <c r="CR140" i="1"/>
  <c r="AE148" i="1"/>
  <c r="AC130" i="1"/>
  <c r="AR190" i="1" l="1"/>
  <c r="BP39" i="1"/>
  <c r="BO144" i="1"/>
  <c r="BL118" i="1"/>
  <c r="BK37" i="1"/>
  <c r="BK238" i="1"/>
  <c r="BK239" i="1" s="1"/>
  <c r="BK256" i="1"/>
  <c r="BK257" i="1" s="1"/>
  <c r="BK118" i="1"/>
  <c r="AW36" i="1"/>
  <c r="BL232" i="1"/>
  <c r="BF47" i="1"/>
  <c r="BO35" i="1"/>
  <c r="BO40" i="1"/>
  <c r="BO44" i="1" s="1"/>
  <c r="BO238" i="1"/>
  <c r="BO239" i="1" s="1"/>
  <c r="BV46" i="1"/>
  <c r="I172" i="1"/>
  <c r="G172" i="1"/>
  <c r="L172" i="1"/>
  <c r="J172" i="1"/>
  <c r="T216" i="1"/>
  <c r="T217" i="1" s="1"/>
  <c r="P219" i="1"/>
  <c r="S219" i="1"/>
  <c r="D76" i="1"/>
  <c r="C93" i="1"/>
  <c r="C91" i="1"/>
  <c r="C92" i="1"/>
  <c r="B95" i="1"/>
  <c r="AR172" i="1"/>
  <c r="BN209" i="1"/>
  <c r="BN207" i="1" s="1"/>
  <c r="BN252" i="1"/>
  <c r="BN250" i="1"/>
  <c r="BN102" i="1"/>
  <c r="BN101" i="1"/>
  <c r="BN100" i="1"/>
  <c r="BF252" i="1"/>
  <c r="BF250" i="1"/>
  <c r="AP252" i="1"/>
  <c r="AP250" i="1"/>
  <c r="BG43" i="1"/>
  <c r="BF115" i="1"/>
  <c r="BG144" i="1"/>
  <c r="BH39" i="1"/>
  <c r="AQ144" i="1"/>
  <c r="AR39" i="1"/>
  <c r="AR192" i="1"/>
  <c r="BO36" i="1"/>
  <c r="BK36" i="1"/>
  <c r="BK35" i="1"/>
  <c r="BL37" i="1"/>
  <c r="BK40" i="1"/>
  <c r="BK44" i="1" s="1"/>
  <c r="BL256" i="1"/>
  <c r="BL257" i="1" s="1"/>
  <c r="AS238" i="1"/>
  <c r="AS239" i="1" s="1"/>
  <c r="AS40" i="1"/>
  <c r="AS44" i="1" s="1"/>
  <c r="AS256" i="1"/>
  <c r="AS257" i="1" s="1"/>
  <c r="AS35" i="1"/>
  <c r="BF46" i="1"/>
  <c r="BK232" i="1"/>
  <c r="BV47" i="1"/>
  <c r="AS36" i="1"/>
  <c r="BV172" i="1"/>
  <c r="BX118" i="1"/>
  <c r="AT40" i="1"/>
  <c r="AT44" i="1" s="1"/>
  <c r="AT35" i="1"/>
  <c r="AT238" i="1"/>
  <c r="AT239" i="1" s="1"/>
  <c r="R216" i="1"/>
  <c r="R217" i="1" s="1"/>
  <c r="AO118" i="1"/>
  <c r="AN36" i="1"/>
  <c r="BN36" i="1"/>
  <c r="AO256" i="1"/>
  <c r="AO257" i="1" s="1"/>
  <c r="BT40" i="1"/>
  <c r="BX36" i="1"/>
  <c r="BJ54" i="1"/>
  <c r="B250" i="1"/>
  <c r="B172" i="1"/>
  <c r="BR171" i="1"/>
  <c r="BR172" i="1" s="1"/>
  <c r="BP171" i="1"/>
  <c r="BP172" i="1" s="1"/>
  <c r="BB171" i="1"/>
  <c r="BB172" i="1" s="1"/>
  <c r="BF171" i="1"/>
  <c r="BF172" i="1" s="1"/>
  <c r="BT171" i="1"/>
  <c r="BT172" i="1" s="1"/>
  <c r="BN171" i="1"/>
  <c r="BN172" i="1" s="1"/>
  <c r="AZ171" i="1"/>
  <c r="AZ172" i="1" s="1"/>
  <c r="AP171" i="1"/>
  <c r="AP172" i="1" s="1"/>
  <c r="BD171" i="1"/>
  <c r="BD172" i="1" s="1"/>
  <c r="BU43" i="1"/>
  <c r="BT115" i="1"/>
  <c r="AV171" i="1"/>
  <c r="AV172" i="1" s="1"/>
  <c r="AZ115" i="1"/>
  <c r="BA43" i="1"/>
  <c r="AZ101" i="1"/>
  <c r="AZ102" i="1"/>
  <c r="AZ100" i="1"/>
  <c r="BF187" i="1"/>
  <c r="BF192" i="1"/>
  <c r="BJ195" i="1" s="1"/>
  <c r="BT102" i="1"/>
  <c r="BT101" i="1"/>
  <c r="BT100" i="1"/>
  <c r="BF101" i="1"/>
  <c r="BF102" i="1"/>
  <c r="BF100" i="1"/>
  <c r="AV187" i="1"/>
  <c r="BR187" i="1"/>
  <c r="BN187" i="1"/>
  <c r="BN192" i="1"/>
  <c r="BB192" i="1"/>
  <c r="BB187" i="1"/>
  <c r="BD187" i="1"/>
  <c r="BD192" i="1"/>
  <c r="BT192" i="1"/>
  <c r="BT187" i="1"/>
  <c r="BX209" i="1"/>
  <c r="BX207" i="1" s="1"/>
  <c r="BW209" i="1"/>
  <c r="BW207" i="1" s="1"/>
  <c r="AZ192" i="1"/>
  <c r="AZ195" i="1" s="1"/>
  <c r="AZ187" i="1"/>
  <c r="BV256" i="1"/>
  <c r="BV257" i="1" s="1"/>
  <c r="BV37" i="1"/>
  <c r="BU35" i="1"/>
  <c r="BU238" i="1"/>
  <c r="BU239" i="1" s="1"/>
  <c r="BY36" i="1"/>
  <c r="BU40" i="1"/>
  <c r="BU44" i="1" s="1"/>
  <c r="BF256" i="1"/>
  <c r="BF257" i="1" s="1"/>
  <c r="BP35" i="1"/>
  <c r="BP36" i="1"/>
  <c r="BP238" i="1"/>
  <c r="BP239" i="1" s="1"/>
  <c r="BP40" i="1"/>
  <c r="BP44" i="1" s="1"/>
  <c r="BE37" i="1"/>
  <c r="BD40" i="1"/>
  <c r="BD44" i="1" s="1"/>
  <c r="BD35" i="1"/>
  <c r="BD238" i="1"/>
  <c r="BD239" i="1" s="1"/>
  <c r="BE256" i="1"/>
  <c r="BE257" i="1" s="1"/>
  <c r="BI36" i="1"/>
  <c r="BE238" i="1"/>
  <c r="BE239" i="1" s="1"/>
  <c r="BE35" i="1"/>
  <c r="BE40" i="1"/>
  <c r="BE44" i="1" s="1"/>
  <c r="BF37" i="1"/>
  <c r="BP37" i="1"/>
  <c r="BP256" i="1"/>
  <c r="BP257" i="1" s="1"/>
  <c r="BT256" i="1"/>
  <c r="BT257" i="1" s="1"/>
  <c r="AU238" i="1"/>
  <c r="AU239" i="1" s="1"/>
  <c r="AU35" i="1"/>
  <c r="AU40" i="1"/>
  <c r="AU44" i="1" s="1"/>
  <c r="AU36" i="1"/>
  <c r="BS36" i="1"/>
  <c r="BS40" i="1"/>
  <c r="BS44" i="1" s="1"/>
  <c r="BS35" i="1"/>
  <c r="BS238" i="1"/>
  <c r="BS239" i="1" s="1"/>
  <c r="BV232" i="1"/>
  <c r="BV118" i="1"/>
  <c r="BT37" i="1"/>
  <c r="BH232" i="1"/>
  <c r="BG118" i="1"/>
  <c r="BG257" i="1"/>
  <c r="BH118" i="1"/>
  <c r="BG232" i="1"/>
  <c r="BH257" i="1"/>
  <c r="BH36" i="1"/>
  <c r="AN256" i="1"/>
  <c r="AN257" i="1" s="1"/>
  <c r="AN40" i="1"/>
  <c r="AO232" i="1"/>
  <c r="AN37" i="1"/>
  <c r="AN35" i="1"/>
  <c r="AN238" i="1"/>
  <c r="AN239" i="1" s="1"/>
  <c r="AN232" i="1"/>
  <c r="AR36" i="1"/>
  <c r="AN118" i="1"/>
  <c r="AO37" i="1"/>
  <c r="BN40" i="1"/>
  <c r="BN35" i="1"/>
  <c r="BO37" i="1"/>
  <c r="BO256" i="1"/>
  <c r="BO257" i="1" s="1"/>
  <c r="BU256" i="1"/>
  <c r="BU257" i="1" s="1"/>
  <c r="BU37" i="1"/>
  <c r="BT238" i="1"/>
  <c r="BT239" i="1" s="1"/>
  <c r="BT36" i="1"/>
  <c r="BJ48" i="1"/>
  <c r="BJ251" i="1" s="1"/>
  <c r="AW46" i="1"/>
  <c r="BN238" i="1"/>
  <c r="BN239" i="1" s="1"/>
  <c r="BT35" i="1"/>
  <c r="BJ240" i="1"/>
  <c r="AW47" i="1"/>
  <c r="V195" i="1"/>
  <c r="V196" i="1" s="1"/>
  <c r="N172" i="1"/>
  <c r="Q219" i="1"/>
  <c r="D216" i="1"/>
  <c r="D217" i="1" s="1"/>
  <c r="D219" i="1"/>
  <c r="J219" i="1"/>
  <c r="Q216" i="1"/>
  <c r="Q217" i="1" s="1"/>
  <c r="D250" i="1"/>
  <c r="D172" i="1"/>
  <c r="J216" i="1"/>
  <c r="J217" i="1" s="1"/>
  <c r="I216" i="1"/>
  <c r="I217" i="1" s="1"/>
  <c r="E219" i="1"/>
  <c r="C219" i="1"/>
  <c r="L219" i="1"/>
  <c r="L216" i="1"/>
  <c r="L217" i="1" s="1"/>
  <c r="AS118" i="1"/>
  <c r="BE36" i="1"/>
  <c r="BM35" i="1"/>
  <c r="BM37" i="1"/>
  <c r="BM238" i="1"/>
  <c r="BM239" i="1" s="1"/>
  <c r="BD256" i="1"/>
  <c r="BD257" i="1" s="1"/>
  <c r="AP37" i="1"/>
  <c r="AU232" i="1"/>
  <c r="AU37" i="1"/>
  <c r="P195" i="1"/>
  <c r="P196" i="1" s="1"/>
  <c r="O195" i="1"/>
  <c r="O196" i="1" s="1"/>
  <c r="N195" i="1"/>
  <c r="N196" i="1" s="1"/>
  <c r="BU36" i="1"/>
  <c r="S66" i="1"/>
  <c r="AT37" i="1"/>
  <c r="AT256" i="1"/>
  <c r="AT257" i="1" s="1"/>
  <c r="AS232" i="1"/>
  <c r="BQ37" i="1"/>
  <c r="BQ256" i="1"/>
  <c r="BQ257" i="1" s="1"/>
  <c r="BM40" i="1"/>
  <c r="BM44" i="1" s="1"/>
  <c r="BQ36" i="1"/>
  <c r="BM36" i="1"/>
  <c r="BM256" i="1"/>
  <c r="BM257" i="1" s="1"/>
  <c r="O66" i="1"/>
  <c r="AX232" i="1"/>
  <c r="AU256" i="1"/>
  <c r="AU257" i="1" s="1"/>
  <c r="AT118" i="1"/>
  <c r="AM100" i="1"/>
  <c r="AM101" i="1"/>
  <c r="AM102" i="1"/>
  <c r="BH116" i="1"/>
  <c r="BH117" i="1"/>
  <c r="BI209" i="1"/>
  <c r="BI207" i="1" s="1"/>
  <c r="IK21" i="4"/>
  <c r="BE83" i="1" s="1"/>
  <c r="BE108" i="1" s="1"/>
  <c r="IN9" i="4"/>
  <c r="S195" i="1"/>
  <c r="S196" i="1" s="1"/>
  <c r="BD232" i="1"/>
  <c r="H216" i="1"/>
  <c r="H217" i="1" s="1"/>
  <c r="P216" i="1"/>
  <c r="P217" i="1" s="1"/>
  <c r="K219" i="1"/>
  <c r="K216" i="1"/>
  <c r="K217" i="1" s="1"/>
  <c r="H219" i="1"/>
  <c r="M219" i="1"/>
  <c r="N219" i="1"/>
  <c r="U219" i="1"/>
  <c r="U216" i="1"/>
  <c r="U217" i="1" s="1"/>
  <c r="N216" i="1"/>
  <c r="N217" i="1" s="1"/>
  <c r="M216" i="1"/>
  <c r="M217" i="1" s="1"/>
  <c r="I195" i="1"/>
  <c r="I196" i="1" s="1"/>
  <c r="E216" i="1"/>
  <c r="E217" i="1" s="1"/>
  <c r="C216" i="1"/>
  <c r="C217" i="1" s="1"/>
  <c r="V216" i="1"/>
  <c r="V217" i="1" s="1"/>
  <c r="V219" i="1"/>
  <c r="O219" i="1"/>
  <c r="J195" i="1"/>
  <c r="J196" i="1" s="1"/>
  <c r="Q195" i="1"/>
  <c r="Q196" i="1" s="1"/>
  <c r="O216" i="1"/>
  <c r="O217" i="1" s="1"/>
  <c r="L195" i="1"/>
  <c r="L196" i="1" s="1"/>
  <c r="K195" i="1"/>
  <c r="K196" i="1" s="1"/>
  <c r="E195" i="1"/>
  <c r="E196" i="1" s="1"/>
  <c r="F195" i="1"/>
  <c r="F196" i="1" s="1"/>
  <c r="H195" i="1"/>
  <c r="H196" i="1" s="1"/>
  <c r="G195" i="1"/>
  <c r="G196" i="1" s="1"/>
  <c r="C195" i="1"/>
  <c r="C196" i="1" s="1"/>
  <c r="D195" i="1"/>
  <c r="D196" i="1" s="1"/>
  <c r="U195" i="1"/>
  <c r="U196" i="1" s="1"/>
  <c r="M195" i="1"/>
  <c r="M196" i="1" s="1"/>
  <c r="T195" i="1"/>
  <c r="T196" i="1" s="1"/>
  <c r="BA232" i="1"/>
  <c r="AQ256" i="1"/>
  <c r="AQ257" i="1" s="1"/>
  <c r="AT36" i="1"/>
  <c r="AQ37" i="1"/>
  <c r="AY35" i="1"/>
  <c r="AY238" i="1"/>
  <c r="AY239" i="1" s="1"/>
  <c r="AP35" i="1"/>
  <c r="AP36" i="1"/>
  <c r="AP238" i="1"/>
  <c r="AP239" i="1" s="1"/>
  <c r="AP40" i="1"/>
  <c r="AP44" i="1" s="1"/>
  <c r="U66" i="1"/>
  <c r="AU118" i="1"/>
  <c r="AY36" i="1"/>
  <c r="AQ232" i="1"/>
  <c r="BA118" i="1"/>
  <c r="AY37" i="1"/>
  <c r="AY256" i="1"/>
  <c r="AY257" i="1" s="1"/>
  <c r="AZ118" i="1"/>
  <c r="BQ118" i="1"/>
  <c r="BQ232" i="1"/>
  <c r="AT232" i="1"/>
  <c r="P66" i="1"/>
  <c r="R195" i="1"/>
  <c r="R196" i="1" s="1"/>
  <c r="BQ238" i="1"/>
  <c r="BQ239" i="1" s="1"/>
  <c r="BQ35" i="1"/>
  <c r="BQ40" i="1"/>
  <c r="BQ44" i="1" s="1"/>
  <c r="AQ118" i="1"/>
  <c r="AR232" i="1"/>
  <c r="AP232" i="1"/>
  <c r="AP256" i="1"/>
  <c r="AP257" i="1" s="1"/>
  <c r="AP118" i="1"/>
  <c r="AR118" i="1"/>
  <c r="AY40" i="1"/>
  <c r="AY44" i="1" s="1"/>
  <c r="BB232" i="1"/>
  <c r="R66" i="1"/>
  <c r="BB118" i="1"/>
  <c r="AZ256" i="1"/>
  <c r="AZ257" i="1" s="1"/>
  <c r="AZ37" i="1"/>
  <c r="BC118" i="1"/>
  <c r="BC232" i="1"/>
  <c r="BM118" i="1"/>
  <c r="BM232" i="1"/>
  <c r="AV118" i="1"/>
  <c r="Q66" i="1"/>
  <c r="AV40" i="1"/>
  <c r="AZ36" i="1"/>
  <c r="AV35" i="1"/>
  <c r="AV238" i="1"/>
  <c r="AV239" i="1" s="1"/>
  <c r="AW256" i="1"/>
  <c r="AW257" i="1" s="1"/>
  <c r="AW37" i="1"/>
  <c r="BZ195" i="1"/>
  <c r="BV195" i="1"/>
  <c r="BA36" i="1"/>
  <c r="BA40" i="1"/>
  <c r="BA238" i="1"/>
  <c r="BA239" i="1" s="1"/>
  <c r="BA35" i="1"/>
  <c r="BA256" i="1"/>
  <c r="BA257" i="1" s="1"/>
  <c r="AZ40" i="1"/>
  <c r="AZ238" i="1"/>
  <c r="AZ239" i="1" s="1"/>
  <c r="AZ35" i="1"/>
  <c r="BA37" i="1"/>
  <c r="BD36" i="1"/>
  <c r="BB37" i="1"/>
  <c r="BB256" i="1"/>
  <c r="BB257" i="1" s="1"/>
  <c r="BD118" i="1"/>
  <c r="AI40" i="1"/>
  <c r="AJ37" i="1"/>
  <c r="AL118" i="1"/>
  <c r="AI35" i="1"/>
  <c r="AM36" i="1"/>
  <c r="N66" i="1"/>
  <c r="AL232" i="1"/>
  <c r="AI238" i="1"/>
  <c r="AI239" i="1" s="1"/>
  <c r="BC37" i="1"/>
  <c r="BG36" i="1"/>
  <c r="BD37" i="1"/>
  <c r="BF118" i="1"/>
  <c r="BC40" i="1"/>
  <c r="BC35" i="1"/>
  <c r="BC238" i="1"/>
  <c r="BC239" i="1" s="1"/>
  <c r="BF232" i="1"/>
  <c r="BC36" i="1"/>
  <c r="BE118" i="1"/>
  <c r="BE232" i="1"/>
  <c r="BC256" i="1"/>
  <c r="BC257" i="1" s="1"/>
  <c r="AX35" i="1"/>
  <c r="AX37" i="1"/>
  <c r="AX40" i="1"/>
  <c r="AZ232" i="1"/>
  <c r="BB36" i="1"/>
  <c r="AX36" i="1"/>
  <c r="AX238" i="1"/>
  <c r="AX239" i="1" s="1"/>
  <c r="AX256" i="1"/>
  <c r="AX257" i="1" s="1"/>
  <c r="BX37" i="1"/>
  <c r="X66" i="1"/>
  <c r="BW35" i="1"/>
  <c r="BZ118" i="1"/>
  <c r="BX232" i="1"/>
  <c r="BZ232" i="1"/>
  <c r="BW256" i="1"/>
  <c r="BW257" i="1" s="1"/>
  <c r="BW40" i="1"/>
  <c r="CA36" i="1"/>
  <c r="BX256" i="1"/>
  <c r="BX257" i="1" s="1"/>
  <c r="BY232" i="1"/>
  <c r="BW118" i="1"/>
  <c r="BY118" i="1"/>
  <c r="BW36" i="1"/>
  <c r="BW37" i="1"/>
  <c r="BW232" i="1"/>
  <c r="BW238" i="1"/>
  <c r="BW239" i="1" s="1"/>
  <c r="BO232" i="1"/>
  <c r="BO118" i="1"/>
  <c r="BN118" i="1"/>
  <c r="BN232" i="1"/>
  <c r="BP118" i="1"/>
  <c r="BN256" i="1"/>
  <c r="BN257" i="1" s="1"/>
  <c r="BN37" i="1"/>
  <c r="BP232" i="1"/>
  <c r="AT46" i="1"/>
  <c r="AT47" i="1"/>
  <c r="BU118" i="1"/>
  <c r="BS232" i="1"/>
  <c r="BS256" i="1"/>
  <c r="BS257" i="1" s="1"/>
  <c r="BR118" i="1"/>
  <c r="BR238" i="1"/>
  <c r="BR239" i="1" s="1"/>
  <c r="BR232" i="1"/>
  <c r="V66" i="1"/>
  <c r="BS37" i="1"/>
  <c r="BR37" i="1"/>
  <c r="BR256" i="1"/>
  <c r="BR257" i="1" s="1"/>
  <c r="BT118" i="1"/>
  <c r="BR36" i="1"/>
  <c r="BR35" i="1"/>
  <c r="BT232" i="1"/>
  <c r="BS118" i="1"/>
  <c r="BV36" i="1"/>
  <c r="BR40" i="1"/>
  <c r="AX118" i="1"/>
  <c r="AW118" i="1"/>
  <c r="AW232" i="1"/>
  <c r="AY232" i="1"/>
  <c r="AV256" i="1"/>
  <c r="AV257" i="1" s="1"/>
  <c r="AV37" i="1"/>
  <c r="AV232" i="1"/>
  <c r="AY118" i="1"/>
  <c r="AV36" i="1"/>
  <c r="F219" i="1"/>
  <c r="F216" i="1"/>
  <c r="F217" i="1" s="1"/>
  <c r="G216" i="1"/>
  <c r="G217" i="1" s="1"/>
  <c r="G219" i="1"/>
  <c r="R219" i="1"/>
  <c r="B93" i="1"/>
  <c r="B91" i="1"/>
  <c r="B92" i="1"/>
  <c r="S216" i="1"/>
  <c r="S217" i="1" s="1"/>
  <c r="C76" i="1"/>
  <c r="AS209" i="1"/>
  <c r="AS207" i="1" s="1"/>
  <c r="AT209" i="1"/>
  <c r="AT207" i="1" s="1"/>
  <c r="AV116" i="1"/>
  <c r="AV117" i="1"/>
  <c r="BT209" i="1"/>
  <c r="BT207" i="1" s="1"/>
  <c r="BS209" i="1"/>
  <c r="BS207" i="1" s="1"/>
  <c r="AP209" i="1"/>
  <c r="AP207" i="1" s="1"/>
  <c r="AO209" i="1"/>
  <c r="AO207" i="1" s="1"/>
  <c r="BB117" i="1"/>
  <c r="BB116" i="1"/>
  <c r="BN117" i="1"/>
  <c r="BN116" i="1"/>
  <c r="BP116" i="1"/>
  <c r="BP117" i="1"/>
  <c r="AY209" i="1"/>
  <c r="AY207" i="1" s="1"/>
  <c r="AZ209" i="1"/>
  <c r="AZ207" i="1" s="1"/>
  <c r="BF117" i="1"/>
  <c r="BF116" i="1"/>
  <c r="BC209" i="1"/>
  <c r="BC207" i="1" s="1"/>
  <c r="BD209" i="1"/>
  <c r="BD207" i="1" s="1"/>
  <c r="AX209" i="1"/>
  <c r="AX207" i="1" s="1"/>
  <c r="AW209" i="1"/>
  <c r="AW207" i="1" s="1"/>
  <c r="BB209" i="1"/>
  <c r="BB207" i="1" s="1"/>
  <c r="BA209" i="1"/>
  <c r="BA207" i="1" s="1"/>
  <c r="BR209" i="1"/>
  <c r="BR207" i="1" s="1"/>
  <c r="BQ209" i="1"/>
  <c r="BQ207" i="1" s="1"/>
  <c r="BH209" i="1"/>
  <c r="BH207" i="1" s="1"/>
  <c r="BG209" i="1"/>
  <c r="BG207" i="1" s="1"/>
  <c r="AR209" i="1"/>
  <c r="AR207" i="1" s="1"/>
  <c r="AQ209" i="1"/>
  <c r="AQ207" i="1" s="1"/>
  <c r="AR195" i="1"/>
  <c r="AV195" i="1"/>
  <c r="BR116" i="1"/>
  <c r="BR117" i="1"/>
  <c r="BE209" i="1"/>
  <c r="BE207" i="1" s="1"/>
  <c r="BF209" i="1"/>
  <c r="BF207" i="1" s="1"/>
  <c r="AT117" i="1"/>
  <c r="AT116" i="1"/>
  <c r="AN117" i="1"/>
  <c r="AN120" i="1" s="1"/>
  <c r="AN116" i="1"/>
  <c r="AN119" i="1" s="1"/>
  <c r="AT195" i="1"/>
  <c r="AX195" i="1"/>
  <c r="BV209" i="1"/>
  <c r="BV207" i="1" s="1"/>
  <c r="BU209" i="1"/>
  <c r="BU207" i="1" s="1"/>
  <c r="AV209" i="1"/>
  <c r="AV207" i="1" s="1"/>
  <c r="AU209" i="1"/>
  <c r="AU207" i="1" s="1"/>
  <c r="BT117" i="1"/>
  <c r="BT116" i="1"/>
  <c r="BD117" i="1"/>
  <c r="BD116" i="1"/>
  <c r="BO209" i="1"/>
  <c r="BO207" i="1" s="1"/>
  <c r="BP209" i="1"/>
  <c r="BP207" i="1" s="1"/>
  <c r="AX116" i="1"/>
  <c r="AX117" i="1"/>
  <c r="AP116" i="1"/>
  <c r="AP117" i="1"/>
  <c r="AZ116" i="1"/>
  <c r="AZ117" i="1"/>
  <c r="BH195" i="1"/>
  <c r="BD195" i="1"/>
  <c r="BN195" i="1"/>
  <c r="BR195" i="1"/>
  <c r="BB195" i="1"/>
  <c r="BF195" i="1"/>
  <c r="BT195" i="1"/>
  <c r="BX195" i="1"/>
  <c r="BL119" i="1"/>
  <c r="BL120" i="1"/>
  <c r="BK47" i="1"/>
  <c r="BK46" i="1"/>
  <c r="BU47" i="1"/>
  <c r="BY49" i="1" s="1"/>
  <c r="BU46" i="1"/>
  <c r="AS46" i="1"/>
  <c r="AS47" i="1"/>
  <c r="AS50" i="1" s="1"/>
  <c r="BP46" i="1"/>
  <c r="BP47" i="1"/>
  <c r="BI44" i="1"/>
  <c r="BL61" i="1"/>
  <c r="BV119" i="1"/>
  <c r="BE46" i="1"/>
  <c r="BE47" i="1"/>
  <c r="BF240" i="1"/>
  <c r="BF48" i="1"/>
  <c r="BF251" i="1" s="1"/>
  <c r="BF54" i="1"/>
  <c r="BJ49" i="1"/>
  <c r="BV61" i="1"/>
  <c r="BD46" i="1"/>
  <c r="BD47" i="1"/>
  <c r="BO47" i="1"/>
  <c r="BO46" i="1"/>
  <c r="AU47" i="1"/>
  <c r="AU46" i="1"/>
  <c r="BX119" i="1"/>
  <c r="BX120" i="1"/>
  <c r="BV120" i="1"/>
  <c r="AO47" i="1"/>
  <c r="AR48" i="1"/>
  <c r="AR251" i="1" s="1"/>
  <c r="AR54" i="1"/>
  <c r="AR240" i="1"/>
  <c r="BN44" i="1"/>
  <c r="BV48" i="1"/>
  <c r="BV251" i="1" s="1"/>
  <c r="BV54" i="1"/>
  <c r="BV240" i="1"/>
  <c r="BZ49" i="1"/>
  <c r="BH47" i="1"/>
  <c r="BH46" i="1"/>
  <c r="AQ44" i="1"/>
  <c r="AT61" i="1"/>
  <c r="BB44" i="1"/>
  <c r="AN61" i="1"/>
  <c r="AN44" i="1"/>
  <c r="BT44" i="1"/>
  <c r="BJ119" i="1"/>
  <c r="BJ120" i="1"/>
  <c r="BJ61" i="1"/>
  <c r="BG44" i="1"/>
  <c r="BH61" i="1"/>
  <c r="BS46" i="1"/>
  <c r="BS47" i="1"/>
  <c r="BJ58" i="1"/>
  <c r="BJ199" i="1"/>
  <c r="BJ201" i="1" s="1"/>
  <c r="BJ72" i="1"/>
  <c r="AT54" i="1"/>
  <c r="AT240" i="1"/>
  <c r="AT48" i="1"/>
  <c r="AT251" i="1" s="1"/>
  <c r="AW54" i="1"/>
  <c r="AW240" i="1"/>
  <c r="AW48" i="1"/>
  <c r="AW251" i="1" s="1"/>
  <c r="CR144" i="1"/>
  <c r="CS38" i="1"/>
  <c r="BB120" i="1" l="1"/>
  <c r="AP61" i="1"/>
  <c r="BB119" i="1"/>
  <c r="AT120" i="1"/>
  <c r="AT119" i="1"/>
  <c r="AZ119" i="1"/>
  <c r="AZ120" i="1"/>
  <c r="AP46" i="1"/>
  <c r="AP47" i="1"/>
  <c r="AP49" i="1" s="1"/>
  <c r="BM46" i="1"/>
  <c r="BM47" i="1"/>
  <c r="AR61" i="1"/>
  <c r="BP61" i="1"/>
  <c r="BN61" i="1"/>
  <c r="BH119" i="1"/>
  <c r="BH120" i="1"/>
  <c r="IN21" i="4"/>
  <c r="BH83" i="1" s="1"/>
  <c r="ID16" i="4"/>
  <c r="ID21" i="4" s="1"/>
  <c r="AX83" i="1" s="1"/>
  <c r="BQ47" i="1"/>
  <c r="BQ46" i="1"/>
  <c r="AV119" i="1"/>
  <c r="AV120" i="1"/>
  <c r="AP119" i="1"/>
  <c r="AP120" i="1"/>
  <c r="AY46" i="1"/>
  <c r="AY47" i="1"/>
  <c r="AV61" i="1"/>
  <c r="AV44" i="1"/>
  <c r="BN120" i="1"/>
  <c r="BN119" i="1"/>
  <c r="BP119" i="1"/>
  <c r="BP120" i="1"/>
  <c r="BF120" i="1"/>
  <c r="BF119" i="1"/>
  <c r="BR119" i="1"/>
  <c r="BR120" i="1"/>
  <c r="BT120" i="1"/>
  <c r="BT119" i="1"/>
  <c r="BD119" i="1"/>
  <c r="AX120" i="1"/>
  <c r="BD120" i="1"/>
  <c r="AX119" i="1"/>
  <c r="BA44" i="1"/>
  <c r="BD61" i="1"/>
  <c r="AZ44" i="1"/>
  <c r="BB61" i="1"/>
  <c r="AI44" i="1"/>
  <c r="AL61" i="1"/>
  <c r="AL120" i="1"/>
  <c r="AL119" i="1"/>
  <c r="BC44" i="1"/>
  <c r="BF61" i="1"/>
  <c r="AX61" i="1"/>
  <c r="AX44" i="1"/>
  <c r="AZ61" i="1"/>
  <c r="BZ119" i="1"/>
  <c r="BZ120" i="1"/>
  <c r="BZ61" i="1"/>
  <c r="BY61" i="1"/>
  <c r="BW44" i="1"/>
  <c r="BX61" i="1"/>
  <c r="BR44" i="1"/>
  <c r="BR61" i="1"/>
  <c r="BT61" i="1"/>
  <c r="BL50" i="1"/>
  <c r="BK54" i="1"/>
  <c r="BK48" i="1"/>
  <c r="BK251" i="1" s="1"/>
  <c r="AT49" i="1"/>
  <c r="AP240" i="1"/>
  <c r="AP54" i="1"/>
  <c r="AP48" i="1"/>
  <c r="AP251" i="1" s="1"/>
  <c r="BU48" i="1"/>
  <c r="BU251" i="1" s="1"/>
  <c r="BU240" i="1"/>
  <c r="BU54" i="1"/>
  <c r="BK50" i="1"/>
  <c r="BK240" i="1"/>
  <c r="AS54" i="1"/>
  <c r="AS48" i="1"/>
  <c r="AS251" i="1" s="1"/>
  <c r="BV50" i="1"/>
  <c r="BU49" i="1"/>
  <c r="AS240" i="1"/>
  <c r="AT50" i="1"/>
  <c r="AW49" i="1"/>
  <c r="BP54" i="1"/>
  <c r="BP49" i="1"/>
  <c r="BP240" i="1"/>
  <c r="BP48" i="1"/>
  <c r="BP251" i="1" s="1"/>
  <c r="BI47" i="1"/>
  <c r="BI50" i="1" s="1"/>
  <c r="BI46" i="1"/>
  <c r="BE48" i="1"/>
  <c r="BE251" i="1" s="1"/>
  <c r="BE54" i="1"/>
  <c r="BE240" i="1"/>
  <c r="BF50" i="1"/>
  <c r="BF58" i="1"/>
  <c r="BF199" i="1"/>
  <c r="BF201" i="1" s="1"/>
  <c r="BF72" i="1"/>
  <c r="BS49" i="1"/>
  <c r="BD54" i="1"/>
  <c r="BD240" i="1"/>
  <c r="BD48" i="1"/>
  <c r="BD251" i="1" s="1"/>
  <c r="BE50" i="1"/>
  <c r="BO240" i="1"/>
  <c r="BO48" i="1"/>
  <c r="BO251" i="1" s="1"/>
  <c r="BO54" i="1"/>
  <c r="BP50" i="1"/>
  <c r="BO49" i="1"/>
  <c r="AU48" i="1"/>
  <c r="AU251" i="1" s="1"/>
  <c r="AU240" i="1"/>
  <c r="AU54" i="1"/>
  <c r="AU233" i="1"/>
  <c r="AU50" i="1"/>
  <c r="AO54" i="1"/>
  <c r="AO49" i="1"/>
  <c r="BH49" i="1"/>
  <c r="AO240" i="1"/>
  <c r="AS49" i="1"/>
  <c r="AO48" i="1"/>
  <c r="AO251" i="1" s="1"/>
  <c r="BN47" i="1"/>
  <c r="BN46" i="1"/>
  <c r="AQ47" i="1"/>
  <c r="AQ46" i="1"/>
  <c r="AR58" i="1"/>
  <c r="AR199" i="1"/>
  <c r="AR201" i="1" s="1"/>
  <c r="AR72" i="1"/>
  <c r="BT47" i="1"/>
  <c r="BT46" i="1"/>
  <c r="AN47" i="1"/>
  <c r="AN46" i="1"/>
  <c r="BH54" i="1"/>
  <c r="BL49" i="1"/>
  <c r="BH240" i="1"/>
  <c r="BH48" i="1"/>
  <c r="BH251" i="1" s="1"/>
  <c r="BV199" i="1"/>
  <c r="BV201" i="1" s="1"/>
  <c r="BV72" i="1"/>
  <c r="BV58" i="1"/>
  <c r="BG46" i="1"/>
  <c r="BG47" i="1"/>
  <c r="BB47" i="1"/>
  <c r="BB46" i="1"/>
  <c r="BS240" i="1"/>
  <c r="BS48" i="1"/>
  <c r="BS251" i="1" s="1"/>
  <c r="BS54" i="1"/>
  <c r="AT72" i="1"/>
  <c r="AT199" i="1"/>
  <c r="AT201" i="1" s="1"/>
  <c r="AT58" i="1"/>
  <c r="AW199" i="1"/>
  <c r="AW201" i="1" s="1"/>
  <c r="AW72" i="1"/>
  <c r="AW125" i="1"/>
  <c r="AW126" i="1" s="1"/>
  <c r="AW58" i="1"/>
  <c r="CS200" i="1"/>
  <c r="CS138" i="1"/>
  <c r="CR209" i="1"/>
  <c r="CR207" i="1" s="1"/>
  <c r="AC131" i="1"/>
  <c r="AC134" i="1" s="1"/>
  <c r="AC255" i="1" s="1"/>
  <c r="BM48" i="1" l="1"/>
  <c r="BM251" i="1" s="1"/>
  <c r="AP50" i="1"/>
  <c r="AY240" i="1"/>
  <c r="AY48" i="1"/>
  <c r="AY251" i="1" s="1"/>
  <c r="BM54" i="1"/>
  <c r="BM50" i="1"/>
  <c r="BM240" i="1"/>
  <c r="BM233" i="1"/>
  <c r="AI47" i="1"/>
  <c r="AI46" i="1"/>
  <c r="BC47" i="1"/>
  <c r="BC46" i="1"/>
  <c r="BH108" i="1"/>
  <c r="BH100" i="1"/>
  <c r="AX100" i="1"/>
  <c r="AX108" i="1"/>
  <c r="AY54" i="1"/>
  <c r="BQ49" i="1"/>
  <c r="AY49" i="1"/>
  <c r="BR47" i="1"/>
  <c r="BR46" i="1"/>
  <c r="BQ54" i="1"/>
  <c r="BQ50" i="1"/>
  <c r="BQ240" i="1"/>
  <c r="BQ48" i="1"/>
  <c r="BQ251" i="1" s="1"/>
  <c r="AV46" i="1"/>
  <c r="AV47" i="1"/>
  <c r="AX47" i="1"/>
  <c r="AX46" i="1"/>
  <c r="BW47" i="1"/>
  <c r="BW46" i="1"/>
  <c r="BA47" i="1"/>
  <c r="BA46" i="1"/>
  <c r="AZ47" i="1"/>
  <c r="AZ46" i="1"/>
  <c r="BK58" i="1"/>
  <c r="BK199" i="1"/>
  <c r="BK201" i="1" s="1"/>
  <c r="BK125" i="1"/>
  <c r="BK126" i="1" s="1"/>
  <c r="BK72" i="1"/>
  <c r="AP199" i="1"/>
  <c r="AP201" i="1" s="1"/>
  <c r="AP72" i="1"/>
  <c r="AP58" i="1"/>
  <c r="BU125" i="1"/>
  <c r="BU126" i="1" s="1"/>
  <c r="BU58" i="1"/>
  <c r="BU199" i="1"/>
  <c r="BU201" i="1" s="1"/>
  <c r="BU72" i="1"/>
  <c r="AS58" i="1"/>
  <c r="AS125" i="1"/>
  <c r="AS126" i="1" s="1"/>
  <c r="AS199" i="1"/>
  <c r="AS201" i="1" s="1"/>
  <c r="AS72" i="1"/>
  <c r="BI49" i="1"/>
  <c r="BK233" i="1"/>
  <c r="BM72" i="1"/>
  <c r="BM58" i="1"/>
  <c r="BP58" i="1"/>
  <c r="BP199" i="1"/>
  <c r="BP201" i="1" s="1"/>
  <c r="BP72" i="1"/>
  <c r="BM49" i="1"/>
  <c r="BL233" i="1"/>
  <c r="BI54" i="1"/>
  <c r="BI240" i="1"/>
  <c r="BJ50" i="1"/>
  <c r="BI48" i="1"/>
  <c r="BI251" i="1" s="1"/>
  <c r="BE72" i="1"/>
  <c r="BE199" i="1"/>
  <c r="BE201" i="1" s="1"/>
  <c r="BE58" i="1"/>
  <c r="BE125" i="1"/>
  <c r="BE126" i="1" s="1"/>
  <c r="BD58" i="1"/>
  <c r="BD199" i="1"/>
  <c r="BD201" i="1" s="1"/>
  <c r="BD72" i="1"/>
  <c r="BO58" i="1"/>
  <c r="BO72" i="1"/>
  <c r="BO199" i="1"/>
  <c r="BO201" i="1" s="1"/>
  <c r="BO125" i="1"/>
  <c r="BO126" i="1" s="1"/>
  <c r="AU58" i="1"/>
  <c r="AU72" i="1"/>
  <c r="AU199" i="1"/>
  <c r="AU201" i="1" s="1"/>
  <c r="AU125" i="1"/>
  <c r="AU126" i="1" s="1"/>
  <c r="AO199" i="1"/>
  <c r="AO201" i="1" s="1"/>
  <c r="AO72" i="1"/>
  <c r="AO125" i="1"/>
  <c r="AO126" i="1" s="1"/>
  <c r="AO58" i="1"/>
  <c r="AN48" i="1"/>
  <c r="AN251" i="1" s="1"/>
  <c r="AQ233" i="1"/>
  <c r="AO50" i="1"/>
  <c r="AN233" i="1"/>
  <c r="AN49" i="1"/>
  <c r="AP233" i="1"/>
  <c r="AR49" i="1"/>
  <c r="AO233" i="1"/>
  <c r="AN54" i="1"/>
  <c r="AN50" i="1"/>
  <c r="AN240" i="1"/>
  <c r="BX49" i="1"/>
  <c r="BT48" i="1"/>
  <c r="BT251" i="1" s="1"/>
  <c r="BT240" i="1"/>
  <c r="BT54" i="1"/>
  <c r="BU50" i="1"/>
  <c r="BT49" i="1"/>
  <c r="BV233" i="1"/>
  <c r="AR50" i="1"/>
  <c r="AQ49" i="1"/>
  <c r="AQ240" i="1"/>
  <c r="AQ54" i="1"/>
  <c r="AQ48" i="1"/>
  <c r="AQ251" i="1" s="1"/>
  <c r="AQ50" i="1"/>
  <c r="AU49" i="1"/>
  <c r="AT233" i="1"/>
  <c r="AS233" i="1"/>
  <c r="AR233" i="1"/>
  <c r="BN240" i="1"/>
  <c r="BN54" i="1"/>
  <c r="BN49" i="1"/>
  <c r="BN48" i="1"/>
  <c r="BN251" i="1" s="1"/>
  <c r="BO50" i="1"/>
  <c r="BN233" i="1"/>
  <c r="BQ233" i="1"/>
  <c r="BN50" i="1"/>
  <c r="BO233" i="1"/>
  <c r="BP233" i="1"/>
  <c r="BB48" i="1"/>
  <c r="BB251" i="1" s="1"/>
  <c r="BF49" i="1"/>
  <c r="BB240" i="1"/>
  <c r="BB54" i="1"/>
  <c r="BC50" i="1"/>
  <c r="BC233" i="1"/>
  <c r="BH58" i="1"/>
  <c r="BH72" i="1"/>
  <c r="BH199" i="1"/>
  <c r="BH201" i="1" s="1"/>
  <c r="BT50" i="1"/>
  <c r="BK49" i="1"/>
  <c r="BG54" i="1"/>
  <c r="BH233" i="1"/>
  <c r="BG48" i="1"/>
  <c r="BG251" i="1" s="1"/>
  <c r="BH50" i="1"/>
  <c r="BG233" i="1"/>
  <c r="BG240" i="1"/>
  <c r="BJ233" i="1"/>
  <c r="BG50" i="1"/>
  <c r="BI233" i="1"/>
  <c r="BS199" i="1"/>
  <c r="BS201" i="1" s="1"/>
  <c r="BS58" i="1"/>
  <c r="BS125" i="1"/>
  <c r="BS126" i="1" s="1"/>
  <c r="BS72" i="1"/>
  <c r="AW135" i="1"/>
  <c r="AW61" i="1" s="1"/>
  <c r="AW213" i="1"/>
  <c r="AW211" i="1" s="1"/>
  <c r="AW98" i="1"/>
  <c r="CS140" i="1"/>
  <c r="AC212" i="1"/>
  <c r="CA232" i="1"/>
  <c r="CB232" i="1"/>
  <c r="BU232" i="1"/>
  <c r="AZ49" i="1" l="1"/>
  <c r="BM125" i="1"/>
  <c r="BM126" i="1" s="1"/>
  <c r="BM199" i="1"/>
  <c r="BM201" i="1" s="1"/>
  <c r="BF233" i="1"/>
  <c r="BD50" i="1"/>
  <c r="BC49" i="1"/>
  <c r="BC54" i="1"/>
  <c r="BC240" i="1"/>
  <c r="BC48" i="1"/>
  <c r="BC251" i="1" s="1"/>
  <c r="AI48" i="1"/>
  <c r="AI240" i="1"/>
  <c r="AJ50" i="1"/>
  <c r="AM49" i="1"/>
  <c r="AI54" i="1"/>
  <c r="AL233" i="1"/>
  <c r="AV48" i="1"/>
  <c r="AV251" i="1" s="1"/>
  <c r="AV240" i="1"/>
  <c r="AV54" i="1"/>
  <c r="AY233" i="1"/>
  <c r="BD233" i="1"/>
  <c r="BB50" i="1"/>
  <c r="AW233" i="1"/>
  <c r="AW50" i="1"/>
  <c r="AV49" i="1"/>
  <c r="AV50" i="1"/>
  <c r="BR49" i="1"/>
  <c r="BB233" i="1"/>
  <c r="BE233" i="1"/>
  <c r="BB49" i="1"/>
  <c r="AX54" i="1"/>
  <c r="AX240" i="1"/>
  <c r="BG49" i="1"/>
  <c r="BS50" i="1"/>
  <c r="BS233" i="1"/>
  <c r="AY199" i="1"/>
  <c r="AY201" i="1" s="1"/>
  <c r="AY72" i="1"/>
  <c r="AY125" i="1"/>
  <c r="AY126" i="1" s="1"/>
  <c r="AY58" i="1"/>
  <c r="AX233" i="1"/>
  <c r="AV233" i="1"/>
  <c r="AX48" i="1"/>
  <c r="AX251" i="1" s="1"/>
  <c r="AY50" i="1"/>
  <c r="AX49" i="1"/>
  <c r="BA233" i="1"/>
  <c r="BT233" i="1"/>
  <c r="BR48" i="1"/>
  <c r="BR251" i="1" s="1"/>
  <c r="BR240" i="1"/>
  <c r="BR54" i="1"/>
  <c r="BV49" i="1"/>
  <c r="BR50" i="1"/>
  <c r="BR233" i="1"/>
  <c r="AZ233" i="1"/>
  <c r="AX50" i="1"/>
  <c r="BQ58" i="1"/>
  <c r="BQ72" i="1"/>
  <c r="BQ125" i="1"/>
  <c r="BQ126" i="1" s="1"/>
  <c r="BQ199" i="1"/>
  <c r="BQ201" i="1" s="1"/>
  <c r="BW49" i="1"/>
  <c r="BW233" i="1"/>
  <c r="BX233" i="1"/>
  <c r="BW240" i="1"/>
  <c r="BW50" i="1"/>
  <c r="BX50" i="1"/>
  <c r="BW54" i="1"/>
  <c r="X67" i="1"/>
  <c r="BY233" i="1"/>
  <c r="CA49" i="1"/>
  <c r="BW48" i="1"/>
  <c r="BW251" i="1" s="1"/>
  <c r="BZ233" i="1"/>
  <c r="BE49" i="1"/>
  <c r="BA240" i="1"/>
  <c r="BA49" i="1"/>
  <c r="BA54" i="1"/>
  <c r="BA48" i="1"/>
  <c r="BA251" i="1" s="1"/>
  <c r="BD49" i="1"/>
  <c r="AZ50" i="1"/>
  <c r="BA50" i="1"/>
  <c r="AZ48" i="1"/>
  <c r="AZ251" i="1" s="1"/>
  <c r="AZ54" i="1"/>
  <c r="AZ240" i="1"/>
  <c r="BK60" i="1"/>
  <c r="BM75" i="1"/>
  <c r="BI95" i="1" s="1"/>
  <c r="BK98" i="1"/>
  <c r="BL213" i="1"/>
  <c r="BL211" i="1" s="1"/>
  <c r="BK213" i="1"/>
  <c r="BK211" i="1" s="1"/>
  <c r="BK135" i="1"/>
  <c r="BK61" i="1" s="1"/>
  <c r="BV213" i="1"/>
  <c r="BV211" i="1" s="1"/>
  <c r="BU213" i="1"/>
  <c r="BU211" i="1" s="1"/>
  <c r="BU98" i="1"/>
  <c r="BU135" i="1"/>
  <c r="BU61" i="1" s="1"/>
  <c r="AU75" i="1"/>
  <c r="AS213" i="1"/>
  <c r="AS211" i="1" s="1"/>
  <c r="AS98" i="1"/>
  <c r="AS135" i="1"/>
  <c r="AS61" i="1" s="1"/>
  <c r="AT213" i="1"/>
  <c r="AT211" i="1" s="1"/>
  <c r="AO60" i="1"/>
  <c r="BL60" i="1"/>
  <c r="BI58" i="1"/>
  <c r="BI199" i="1"/>
  <c r="BI201" i="1" s="1"/>
  <c r="BI72" i="1"/>
  <c r="BI125" i="1"/>
  <c r="BI126" i="1" s="1"/>
  <c r="BF213" i="1"/>
  <c r="BF211" i="1" s="1"/>
  <c r="BE98" i="1"/>
  <c r="BE135" i="1"/>
  <c r="BE61" i="1" s="1"/>
  <c r="BE213" i="1"/>
  <c r="BE211" i="1" s="1"/>
  <c r="BO213" i="1"/>
  <c r="BO211" i="1" s="1"/>
  <c r="BO135" i="1"/>
  <c r="BO61" i="1" s="1"/>
  <c r="BP213" i="1"/>
  <c r="BP211" i="1" s="1"/>
  <c r="BO98" i="1"/>
  <c r="AU98" i="1"/>
  <c r="AU213" i="1"/>
  <c r="AU211" i="1" s="1"/>
  <c r="AU135" i="1"/>
  <c r="AU61" i="1" s="1"/>
  <c r="AU60" i="1"/>
  <c r="AP213" i="1"/>
  <c r="AP211" i="1" s="1"/>
  <c r="AO98" i="1"/>
  <c r="AO135" i="1"/>
  <c r="AO61" i="1" s="1"/>
  <c r="AO213" i="1"/>
  <c r="AO211" i="1" s="1"/>
  <c r="BT60" i="1"/>
  <c r="BR58" i="1"/>
  <c r="BR199" i="1"/>
  <c r="BR201" i="1" s="1"/>
  <c r="BR72" i="1"/>
  <c r="BR60" i="1"/>
  <c r="V67" i="1"/>
  <c r="BV60" i="1"/>
  <c r="BO60" i="1"/>
  <c r="BN58" i="1"/>
  <c r="BN72" i="1"/>
  <c r="BN199" i="1"/>
  <c r="BN201" i="1" s="1"/>
  <c r="BN60" i="1"/>
  <c r="U67" i="1"/>
  <c r="BP60" i="1"/>
  <c r="BT199" i="1"/>
  <c r="BT201" i="1" s="1"/>
  <c r="BT58" i="1"/>
  <c r="BT72" i="1"/>
  <c r="BV75" i="1" s="1"/>
  <c r="BR95" i="1" s="1"/>
  <c r="BB72" i="1"/>
  <c r="BB58" i="1"/>
  <c r="BB199" i="1"/>
  <c r="BB201" i="1" s="1"/>
  <c r="AQ125" i="1"/>
  <c r="AQ126" i="1" s="1"/>
  <c r="AQ199" i="1"/>
  <c r="AQ201" i="1" s="1"/>
  <c r="AQ58" i="1"/>
  <c r="AQ72" i="1"/>
  <c r="AS60" i="1"/>
  <c r="AR60" i="1"/>
  <c r="AT60" i="1"/>
  <c r="P67" i="1"/>
  <c r="BG58" i="1"/>
  <c r="BG72" i="1"/>
  <c r="BG125" i="1"/>
  <c r="BG126" i="1" s="1"/>
  <c r="BJ60" i="1"/>
  <c r="BH60" i="1"/>
  <c r="BG199" i="1"/>
  <c r="BG201" i="1" s="1"/>
  <c r="T67" i="1"/>
  <c r="AN58" i="1"/>
  <c r="AP60" i="1"/>
  <c r="AN72" i="1"/>
  <c r="AN199" i="1"/>
  <c r="AN201" i="1" s="1"/>
  <c r="AN60" i="1"/>
  <c r="O67" i="1"/>
  <c r="AN213" i="1"/>
  <c r="AN211" i="1" s="1"/>
  <c r="BT213" i="1"/>
  <c r="BT211" i="1" s="1"/>
  <c r="BS98" i="1"/>
  <c r="BS135" i="1"/>
  <c r="BS61" i="1" s="1"/>
  <c r="BS213" i="1"/>
  <c r="BS211" i="1" s="1"/>
  <c r="BS60" i="1"/>
  <c r="AW101" i="1"/>
  <c r="AW100" i="1"/>
  <c r="AW102" i="1"/>
  <c r="CS144" i="1"/>
  <c r="CT38" i="1"/>
  <c r="AD130" i="1"/>
  <c r="W65" i="1"/>
  <c r="AY98" i="1" l="1"/>
  <c r="AY213" i="1"/>
  <c r="AY211" i="1" s="1"/>
  <c r="AY135" i="1"/>
  <c r="AY61" i="1" s="1"/>
  <c r="BM60" i="1"/>
  <c r="BM213" i="1"/>
  <c r="BM211" i="1" s="1"/>
  <c r="BM135" i="1"/>
  <c r="BM61" i="1" s="1"/>
  <c r="AV213" i="1"/>
  <c r="AV211" i="1" s="1"/>
  <c r="AY60" i="1"/>
  <c r="BN213" i="1"/>
  <c r="BN211" i="1" s="1"/>
  <c r="AV199" i="1"/>
  <c r="AV201" i="1" s="1"/>
  <c r="AV58" i="1"/>
  <c r="AV72" i="1"/>
  <c r="AV60" i="1"/>
  <c r="AX60" i="1"/>
  <c r="BM98" i="1"/>
  <c r="AX213" i="1"/>
  <c r="AX211" i="1" s="1"/>
  <c r="S67" i="1"/>
  <c r="BF60" i="1"/>
  <c r="BC72" i="1"/>
  <c r="BF75" i="1" s="1"/>
  <c r="BC125" i="1"/>
  <c r="BC126" i="1" s="1"/>
  <c r="BC199" i="1"/>
  <c r="BC201" i="1" s="1"/>
  <c r="BC58" i="1"/>
  <c r="AI72" i="1"/>
  <c r="AL75" i="1" s="1"/>
  <c r="AI58" i="1"/>
  <c r="AL60" i="1"/>
  <c r="N67" i="1"/>
  <c r="AI213" i="1"/>
  <c r="AI211" i="1" s="1"/>
  <c r="AI199" i="1"/>
  <c r="AI201" i="1" s="1"/>
  <c r="AI205" i="1" s="1"/>
  <c r="AI219" i="1" s="1"/>
  <c r="AW60" i="1"/>
  <c r="Q67" i="1"/>
  <c r="AX58" i="1"/>
  <c r="AX72" i="1"/>
  <c r="AX199" i="1"/>
  <c r="AX201" i="1" s="1"/>
  <c r="BE60" i="1"/>
  <c r="BU60" i="1"/>
  <c r="BX60" i="1"/>
  <c r="BW125" i="1"/>
  <c r="BW126" i="1" s="1"/>
  <c r="BY60" i="1"/>
  <c r="BD60" i="1"/>
  <c r="BW199" i="1"/>
  <c r="BW201" i="1" s="1"/>
  <c r="BW58" i="1"/>
  <c r="BZ60" i="1"/>
  <c r="BW72" i="1"/>
  <c r="BR213" i="1"/>
  <c r="BR211" i="1" s="1"/>
  <c r="BQ98" i="1"/>
  <c r="BQ135" i="1"/>
  <c r="BQ61" i="1" s="1"/>
  <c r="BQ213" i="1"/>
  <c r="BQ211" i="1" s="1"/>
  <c r="BQ60" i="1"/>
  <c r="AZ213" i="1"/>
  <c r="AZ211" i="1" s="1"/>
  <c r="BB60" i="1"/>
  <c r="AZ60" i="1"/>
  <c r="R67" i="1"/>
  <c r="BA72" i="1"/>
  <c r="BA58" i="1"/>
  <c r="BA125" i="1"/>
  <c r="BA126" i="1" s="1"/>
  <c r="BA199" i="1"/>
  <c r="BA201" i="1" s="1"/>
  <c r="AZ199" i="1"/>
  <c r="AZ201" i="1" s="1"/>
  <c r="AZ58" i="1"/>
  <c r="AZ72" i="1"/>
  <c r="BM91" i="1"/>
  <c r="BM93" i="1"/>
  <c r="BM92" i="1"/>
  <c r="BK102" i="1"/>
  <c r="BK100" i="1"/>
  <c r="BK101" i="1"/>
  <c r="BU100" i="1"/>
  <c r="BU102" i="1"/>
  <c r="BU101" i="1"/>
  <c r="AU93" i="1"/>
  <c r="AU92" i="1"/>
  <c r="AQ95" i="1"/>
  <c r="AU91" i="1"/>
  <c r="AY100" i="1"/>
  <c r="AY101" i="1"/>
  <c r="AY102" i="1"/>
  <c r="BL75" i="1"/>
  <c r="BK75" i="1"/>
  <c r="BR75" i="1"/>
  <c r="BR92" i="1" s="1"/>
  <c r="BT75" i="1"/>
  <c r="BS75" i="1"/>
  <c r="AS101" i="1"/>
  <c r="AS102" i="1"/>
  <c r="AS100" i="1"/>
  <c r="BI98" i="1"/>
  <c r="BI135" i="1"/>
  <c r="BI61" i="1" s="1"/>
  <c r="BI213" i="1"/>
  <c r="BI211" i="1" s="1"/>
  <c r="BI60" i="1"/>
  <c r="BJ213" i="1"/>
  <c r="BJ211" i="1" s="1"/>
  <c r="BU75" i="1"/>
  <c r="BU91" i="1" s="1"/>
  <c r="BE100" i="1"/>
  <c r="BE102" i="1"/>
  <c r="BE101" i="1"/>
  <c r="BO100" i="1"/>
  <c r="BO101" i="1"/>
  <c r="BO102" i="1"/>
  <c r="AU101" i="1"/>
  <c r="AU102" i="1"/>
  <c r="AU100" i="1"/>
  <c r="AO102" i="1"/>
  <c r="AO100" i="1"/>
  <c r="AO101" i="1"/>
  <c r="AT75" i="1"/>
  <c r="AR75" i="1"/>
  <c r="AS75" i="1"/>
  <c r="BQ75" i="1"/>
  <c r="BO75" i="1"/>
  <c r="BN75" i="1"/>
  <c r="BP75" i="1"/>
  <c r="AQ75" i="1"/>
  <c r="AN75" i="1"/>
  <c r="AP75" i="1"/>
  <c r="AO75" i="1"/>
  <c r="BJ75" i="1"/>
  <c r="BF95" i="1" s="1"/>
  <c r="BG75" i="1"/>
  <c r="BH75" i="1"/>
  <c r="BI75" i="1"/>
  <c r="BG213" i="1"/>
  <c r="BG211" i="1" s="1"/>
  <c r="BG135" i="1"/>
  <c r="BG61" i="1" s="1"/>
  <c r="BG98" i="1"/>
  <c r="BG60" i="1"/>
  <c r="BH213" i="1"/>
  <c r="BH211" i="1" s="1"/>
  <c r="AQ135" i="1"/>
  <c r="AQ61" i="1" s="1"/>
  <c r="AQ213" i="1"/>
  <c r="AQ211" i="1" s="1"/>
  <c r="AQ98" i="1"/>
  <c r="AR213" i="1"/>
  <c r="AR211" i="1" s="1"/>
  <c r="AQ60" i="1"/>
  <c r="BV93" i="1"/>
  <c r="BV92" i="1"/>
  <c r="BV91" i="1"/>
  <c r="BS100" i="1"/>
  <c r="BS101" i="1"/>
  <c r="BS102" i="1"/>
  <c r="AC38" i="1"/>
  <c r="CT200" i="1"/>
  <c r="CT138" i="1"/>
  <c r="CS209" i="1"/>
  <c r="CS207" i="1" s="1"/>
  <c r="W66" i="1"/>
  <c r="AI216" i="1" l="1"/>
  <c r="AI217" i="1" s="1"/>
  <c r="BM101" i="1"/>
  <c r="BM102" i="1"/>
  <c r="BM100" i="1"/>
  <c r="BC213" i="1"/>
  <c r="BC211" i="1" s="1"/>
  <c r="BC135" i="1"/>
  <c r="BC61" i="1" s="1"/>
  <c r="BC98" i="1"/>
  <c r="BC60" i="1"/>
  <c r="BD213" i="1"/>
  <c r="BD211" i="1" s="1"/>
  <c r="BB95" i="1"/>
  <c r="BF91" i="1"/>
  <c r="BF93" i="1"/>
  <c r="BF92" i="1"/>
  <c r="AL91" i="1"/>
  <c r="AL92" i="1"/>
  <c r="AL93" i="1"/>
  <c r="AY75" i="1"/>
  <c r="AY92" i="1" s="1"/>
  <c r="AX75" i="1"/>
  <c r="AV75" i="1"/>
  <c r="AW75" i="1"/>
  <c r="BE75" i="1"/>
  <c r="BE92" i="1" s="1"/>
  <c r="BW75" i="1"/>
  <c r="BY75" i="1"/>
  <c r="BW213" i="1"/>
  <c r="BW211" i="1" s="1"/>
  <c r="BX213" i="1"/>
  <c r="BX211" i="1" s="1"/>
  <c r="BW135" i="1"/>
  <c r="BW61" i="1" s="1"/>
  <c r="BW60" i="1"/>
  <c r="BW98" i="1"/>
  <c r="BA75" i="1"/>
  <c r="AZ75" i="1"/>
  <c r="BD75" i="1"/>
  <c r="BB75" i="1"/>
  <c r="BC75" i="1"/>
  <c r="BZ75" i="1"/>
  <c r="BX75" i="1"/>
  <c r="BQ101" i="1"/>
  <c r="BQ100" i="1"/>
  <c r="BQ102" i="1"/>
  <c r="BA60" i="1"/>
  <c r="BA135" i="1"/>
  <c r="BA61" i="1" s="1"/>
  <c r="BA98" i="1"/>
  <c r="BA213" i="1"/>
  <c r="BA211" i="1" s="1"/>
  <c r="BB213" i="1"/>
  <c r="BB211" i="1" s="1"/>
  <c r="BL91" i="1"/>
  <c r="BL92" i="1"/>
  <c r="BN95" i="1"/>
  <c r="BR91" i="1"/>
  <c r="BR93" i="1"/>
  <c r="BV76" i="1"/>
  <c r="BP95" i="1"/>
  <c r="BT93" i="1"/>
  <c r="BT91" i="1"/>
  <c r="BT92" i="1"/>
  <c r="BS93" i="1"/>
  <c r="BO95" i="1"/>
  <c r="BS92" i="1"/>
  <c r="BS91" i="1"/>
  <c r="BH95" i="1"/>
  <c r="BL93" i="1"/>
  <c r="BK91" i="1"/>
  <c r="BK92" i="1"/>
  <c r="BK93" i="1"/>
  <c r="BG95" i="1"/>
  <c r="BT76" i="1"/>
  <c r="BY76" i="1"/>
  <c r="BI101" i="1"/>
  <c r="BI102" i="1"/>
  <c r="BI100" i="1"/>
  <c r="BQ95" i="1"/>
  <c r="BU93" i="1"/>
  <c r="BU92" i="1"/>
  <c r="BW91" i="1"/>
  <c r="BW76" i="1"/>
  <c r="BC101" i="1"/>
  <c r="BC100" i="1"/>
  <c r="BC102" i="1"/>
  <c r="AW95" i="1"/>
  <c r="BE76" i="1"/>
  <c r="BQ92" i="1"/>
  <c r="BM95" i="1"/>
  <c r="AQ92" i="1"/>
  <c r="AQ91" i="1"/>
  <c r="BU76" i="1"/>
  <c r="BA93" i="1"/>
  <c r="AX76" i="1"/>
  <c r="CD76" i="1"/>
  <c r="BZ93" i="1"/>
  <c r="BX92" i="1"/>
  <c r="BT95" i="1"/>
  <c r="AN93" i="1"/>
  <c r="AR76" i="1"/>
  <c r="AN92" i="1"/>
  <c r="AN91" i="1"/>
  <c r="BO91" i="1"/>
  <c r="BK95" i="1"/>
  <c r="BO92" i="1"/>
  <c r="BO76" i="1"/>
  <c r="BO93" i="1"/>
  <c r="AP95" i="1"/>
  <c r="CA76" i="1"/>
  <c r="BS95" i="1"/>
  <c r="BW93" i="1"/>
  <c r="BE93" i="1"/>
  <c r="BI76" i="1"/>
  <c r="BE91" i="1"/>
  <c r="BJ92" i="1"/>
  <c r="BJ76" i="1"/>
  <c r="BJ91" i="1"/>
  <c r="AU76" i="1"/>
  <c r="AQ76" i="1"/>
  <c r="AQ93" i="1"/>
  <c r="BQ91" i="1"/>
  <c r="BQ76" i="1"/>
  <c r="BQ93" i="1"/>
  <c r="AW91" i="1"/>
  <c r="AW92" i="1"/>
  <c r="AS95" i="1"/>
  <c r="AW93" i="1"/>
  <c r="AY93" i="1"/>
  <c r="AU95" i="1"/>
  <c r="AY76" i="1"/>
  <c r="AT92" i="1"/>
  <c r="BJ93" i="1"/>
  <c r="BW92" i="1"/>
  <c r="AM95" i="1"/>
  <c r="BS76" i="1"/>
  <c r="BM76" i="1"/>
  <c r="BI93" i="1"/>
  <c r="BI91" i="1"/>
  <c r="BI92" i="1"/>
  <c r="BE95" i="1"/>
  <c r="AO93" i="1"/>
  <c r="AO91" i="1"/>
  <c r="AS76" i="1"/>
  <c r="AO92" i="1"/>
  <c r="BP76" i="1"/>
  <c r="BL95" i="1"/>
  <c r="BP92" i="1"/>
  <c r="BP93" i="1"/>
  <c r="BP91" i="1"/>
  <c r="AS92" i="1"/>
  <c r="AO95" i="1"/>
  <c r="AS93" i="1"/>
  <c r="AS91" i="1"/>
  <c r="BC95" i="1"/>
  <c r="BG91" i="1"/>
  <c r="BG92" i="1"/>
  <c r="BG93" i="1"/>
  <c r="BK76" i="1"/>
  <c r="AT93" i="1"/>
  <c r="AT91" i="1"/>
  <c r="BN76" i="1"/>
  <c r="BH93" i="1"/>
  <c r="BH91" i="1"/>
  <c r="BD95" i="1"/>
  <c r="BL76" i="1"/>
  <c r="BH92" i="1"/>
  <c r="AT76" i="1"/>
  <c r="AP93" i="1"/>
  <c r="AP76" i="1"/>
  <c r="AL95" i="1"/>
  <c r="AP92" i="1"/>
  <c r="AP91" i="1"/>
  <c r="BR76" i="1"/>
  <c r="BJ95" i="1"/>
  <c r="BN93" i="1"/>
  <c r="BN91" i="1"/>
  <c r="BN92" i="1"/>
  <c r="AN95" i="1"/>
  <c r="AR93" i="1"/>
  <c r="AR92" i="1"/>
  <c r="AR91" i="1"/>
  <c r="BG100" i="1"/>
  <c r="BG102" i="1"/>
  <c r="BG101" i="1"/>
  <c r="AQ101" i="1"/>
  <c r="AQ102" i="1"/>
  <c r="AQ100" i="1"/>
  <c r="AC200" i="1"/>
  <c r="AC138" i="1"/>
  <c r="AC140" i="1" s="1"/>
  <c r="AC39" i="1" s="1"/>
  <c r="CT140" i="1"/>
  <c r="AD131" i="1"/>
  <c r="AD134" i="1" s="1"/>
  <c r="AD255" i="1" s="1"/>
  <c r="AR115" i="1"/>
  <c r="W67" i="1"/>
  <c r="AW76" i="1" l="1"/>
  <c r="AV92" i="1"/>
  <c r="AV91" i="1"/>
  <c r="AV93" i="1"/>
  <c r="AR95" i="1"/>
  <c r="AY91" i="1"/>
  <c r="BA95" i="1"/>
  <c r="AV76" i="1"/>
  <c r="AX92" i="1"/>
  <c r="AX91" i="1"/>
  <c r="AX93" i="1"/>
  <c r="BW101" i="1"/>
  <c r="AT95" i="1"/>
  <c r="BX93" i="1"/>
  <c r="CB76" i="1"/>
  <c r="BX91" i="1"/>
  <c r="BA76" i="1"/>
  <c r="AV95" i="1"/>
  <c r="AZ93" i="1"/>
  <c r="AZ92" i="1"/>
  <c r="BD76" i="1"/>
  <c r="BC93" i="1"/>
  <c r="BG76" i="1"/>
  <c r="BC92" i="1"/>
  <c r="AZ91" i="1"/>
  <c r="AZ95" i="1"/>
  <c r="BD91" i="1"/>
  <c r="BH76" i="1"/>
  <c r="BD93" i="1"/>
  <c r="BD92" i="1"/>
  <c r="AY95" i="1"/>
  <c r="BC91" i="1"/>
  <c r="AZ76" i="1"/>
  <c r="BA91" i="1"/>
  <c r="BA92" i="1"/>
  <c r="BZ91" i="1"/>
  <c r="CC76" i="1"/>
  <c r="BY93" i="1"/>
  <c r="BU95" i="1"/>
  <c r="BY92" i="1"/>
  <c r="BY91" i="1"/>
  <c r="AX95" i="1"/>
  <c r="BF76" i="1"/>
  <c r="BB93" i="1"/>
  <c r="BB92" i="1"/>
  <c r="BB91" i="1"/>
  <c r="BW100" i="1"/>
  <c r="BW102" i="1"/>
  <c r="BV95" i="1"/>
  <c r="BZ76" i="1"/>
  <c r="BC76" i="1"/>
  <c r="BZ92" i="1"/>
  <c r="CC96" i="1" s="1"/>
  <c r="BB76" i="1"/>
  <c r="BX76" i="1"/>
  <c r="BA100" i="1"/>
  <c r="BA102" i="1"/>
  <c r="BA101" i="1"/>
  <c r="BT96" i="1"/>
  <c r="BH96" i="1"/>
  <c r="BM96" i="1"/>
  <c r="BG96" i="1"/>
  <c r="BN96" i="1"/>
  <c r="BB96" i="1"/>
  <c r="BI96" i="1"/>
  <c r="AW96" i="1"/>
  <c r="BL96" i="1"/>
  <c r="BY96" i="1"/>
  <c r="AZ96" i="1"/>
  <c r="AR96" i="1"/>
  <c r="AV96" i="1"/>
  <c r="BJ96" i="1"/>
  <c r="BE96" i="1"/>
  <c r="AS96" i="1"/>
  <c r="AU96" i="1"/>
  <c r="BA96" i="1"/>
  <c r="AT96" i="1"/>
  <c r="AQ96" i="1"/>
  <c r="AP96" i="1"/>
  <c r="AO96" i="1"/>
  <c r="BP96" i="1"/>
  <c r="BO96" i="1"/>
  <c r="AY96" i="1"/>
  <c r="AX96" i="1"/>
  <c r="CA96" i="1"/>
  <c r="BR96" i="1"/>
  <c r="BC96" i="1"/>
  <c r="BZ96" i="1"/>
  <c r="BF96" i="1"/>
  <c r="BS96" i="1"/>
  <c r="BD96" i="1"/>
  <c r="BK96" i="1"/>
  <c r="BQ96" i="1"/>
  <c r="BX96" i="1"/>
  <c r="BW96" i="1"/>
  <c r="BV96" i="1"/>
  <c r="BU96" i="1"/>
  <c r="CU38" i="1"/>
  <c r="CT144" i="1"/>
  <c r="AD212" i="1"/>
  <c r="AB144" i="1"/>
  <c r="AR116" i="1"/>
  <c r="AR119" i="1" s="1"/>
  <c r="AR117" i="1"/>
  <c r="AR120" i="1" s="1"/>
  <c r="CA233" i="1"/>
  <c r="CB233" i="1"/>
  <c r="W199" i="1"/>
  <c r="W201" i="1" s="1"/>
  <c r="BU233" i="1"/>
  <c r="CB96" i="1" l="1"/>
  <c r="CT209" i="1"/>
  <c r="CT207" i="1" s="1"/>
  <c r="CU200" i="1"/>
  <c r="CU138" i="1"/>
  <c r="AB209" i="1"/>
  <c r="AB207" i="1" s="1"/>
  <c r="AE130" i="1"/>
  <c r="CA95" i="1"/>
  <c r="CU140" i="1" l="1"/>
  <c r="CF95" i="1"/>
  <c r="CU144" i="1" l="1"/>
  <c r="CV38" i="1"/>
  <c r="AE131" i="1"/>
  <c r="AE134" i="1" s="1"/>
  <c r="AE255" i="1" s="1"/>
  <c r="CV200" i="1" l="1"/>
  <c r="CV138" i="1"/>
  <c r="CU209" i="1"/>
  <c r="CU207" i="1" s="1"/>
  <c r="AE212" i="1"/>
  <c r="AC144" i="1"/>
  <c r="W126" i="1"/>
  <c r="CV140" i="1" l="1"/>
  <c r="W60" i="1"/>
  <c r="AC209" i="1"/>
  <c r="AC207" i="1" s="1"/>
  <c r="X213" i="1"/>
  <c r="X211" i="1" s="1"/>
  <c r="W213" i="1"/>
  <c r="W211" i="1" s="1"/>
  <c r="W135" i="1"/>
  <c r="W61" i="1" s="1"/>
  <c r="W181" i="1"/>
  <c r="CW38" i="1" l="1"/>
  <c r="CV144" i="1"/>
  <c r="CV209" i="1" l="1"/>
  <c r="CV207" i="1" s="1"/>
  <c r="CW200" i="1"/>
  <c r="CW138" i="1"/>
  <c r="CW140" i="1" l="1"/>
  <c r="CW144" i="1" l="1"/>
  <c r="CX38" i="1"/>
  <c r="AD38" i="1" l="1"/>
  <c r="CX200" i="1"/>
  <c r="CX138" i="1"/>
  <c r="CW209" i="1"/>
  <c r="CW207" i="1" s="1"/>
  <c r="AD200" i="1" l="1"/>
  <c r="AD138" i="1"/>
  <c r="AD140" i="1" s="1"/>
  <c r="CX140" i="1"/>
  <c r="AD144" i="1" l="1"/>
  <c r="AD209" i="1" s="1"/>
  <c r="AD207" i="1" s="1"/>
  <c r="AD39" i="1"/>
  <c r="CX144" i="1"/>
  <c r="CY38" i="1"/>
  <c r="CY200" i="1" l="1"/>
  <c r="CY138" i="1"/>
  <c r="CX209" i="1"/>
  <c r="CX207" i="1" s="1"/>
  <c r="CY140" i="1" l="1"/>
  <c r="W186" i="1"/>
  <c r="CY144" i="1" l="1"/>
  <c r="CZ38" i="1"/>
  <c r="W189" i="1"/>
  <c r="W162" i="1"/>
  <c r="X203" i="1" s="1"/>
  <c r="CZ200" i="1" l="1"/>
  <c r="CZ138" i="1"/>
  <c r="CY209" i="1"/>
  <c r="CY207" i="1" s="1"/>
  <c r="W191" i="1"/>
  <c r="W190" i="1" s="1"/>
  <c r="W203" i="1"/>
  <c r="W154" i="1"/>
  <c r="X202" i="1" s="1"/>
  <c r="X204" i="1" s="1"/>
  <c r="X205" i="1" s="1"/>
  <c r="X219" i="1" s="1"/>
  <c r="W185" i="1"/>
  <c r="CZ140" i="1" l="1"/>
  <c r="W188" i="1"/>
  <c r="W163" i="1"/>
  <c r="W202" i="1"/>
  <c r="W204" i="1" s="1"/>
  <c r="W205" i="1" s="1"/>
  <c r="CZ144" i="1" l="1"/>
  <c r="CZ209" i="1" s="1"/>
  <c r="CZ207" i="1" s="1"/>
  <c r="DA38" i="1"/>
  <c r="W187" i="1"/>
  <c r="W192" i="1"/>
  <c r="W216" i="1"/>
  <c r="W219" i="1"/>
  <c r="DA200" i="1" l="1"/>
  <c r="DA138" i="1"/>
  <c r="W195" i="1"/>
  <c r="W196" i="1" s="1"/>
  <c r="X195" i="1"/>
  <c r="X196" i="1" s="1"/>
  <c r="DA140" i="1" l="1"/>
  <c r="W167" i="1"/>
  <c r="X215" i="1" l="1"/>
  <c r="X216" i="1" s="1"/>
  <c r="X217" i="1" s="1"/>
  <c r="W252" i="1"/>
  <c r="W254" i="1"/>
  <c r="W250" i="1"/>
  <c r="DA144" i="1"/>
  <c r="DA209" i="1" s="1"/>
  <c r="DA207" i="1" s="1"/>
  <c r="DB38" i="1"/>
  <c r="W174" i="1"/>
  <c r="W115" i="1" s="1"/>
  <c r="W171" i="1"/>
  <c r="W217" i="1"/>
  <c r="AE38" i="1" l="1"/>
  <c r="AE200" i="1" s="1"/>
  <c r="DB200" i="1"/>
  <c r="DB138" i="1"/>
  <c r="W172" i="1"/>
  <c r="DB140" i="1" l="1"/>
  <c r="DB144" i="1" s="1"/>
  <c r="DB209" i="1" s="1"/>
  <c r="DB207" i="1" s="1"/>
  <c r="AE138" i="1"/>
  <c r="AE140" i="1" s="1"/>
  <c r="C113" i="2"/>
  <c r="C112" i="2"/>
  <c r="C111" i="2"/>
  <c r="AE144" i="1" l="1"/>
  <c r="AE209" i="1" s="1"/>
  <c r="AE207" i="1" s="1"/>
  <c r="AE39" i="1"/>
  <c r="B79" i="1"/>
  <c r="B80" i="1"/>
  <c r="AK185" i="1" l="1"/>
  <c r="AK150" i="1" s="1"/>
  <c r="AM150" i="1" l="1"/>
  <c r="AO150" i="1" l="1"/>
  <c r="AQ150" i="1" l="1"/>
  <c r="AS150" i="1" l="1"/>
  <c r="AU150" i="1" l="1"/>
  <c r="AW150" i="1" l="1"/>
  <c r="AY150" i="1" l="1"/>
  <c r="BA150" i="1" l="1"/>
  <c r="BC150" i="1" l="1"/>
  <c r="BE150" i="1" l="1"/>
  <c r="BG150" i="1" l="1"/>
  <c r="BI150" i="1" l="1"/>
  <c r="BK150" i="1" l="1"/>
  <c r="BM150" i="1" l="1"/>
  <c r="BO150" i="1" l="1"/>
  <c r="BQ150" i="1" l="1"/>
  <c r="BS150" i="1" l="1"/>
  <c r="BU150" i="1" l="1"/>
  <c r="BW150" i="1" l="1"/>
  <c r="BY150" i="1" l="1"/>
  <c r="AK151" i="1" l="1"/>
  <c r="AK154" i="1" s="1"/>
  <c r="AL202" i="1" l="1"/>
  <c r="AK202" i="1"/>
  <c r="AK188" i="1"/>
  <c r="AM151" i="1"/>
  <c r="AM154" i="1" s="1"/>
  <c r="AM188" i="1" l="1"/>
  <c r="AM187" i="1" s="1"/>
  <c r="AN202" i="1"/>
  <c r="AM202" i="1"/>
  <c r="AJ187" i="1"/>
  <c r="AK187" i="1"/>
  <c r="AO151" i="1" l="1"/>
  <c r="AO154" i="1" s="1"/>
  <c r="AP202" i="1" l="1"/>
  <c r="AO188" i="1"/>
  <c r="AO187" i="1" s="1"/>
  <c r="AO202" i="1"/>
  <c r="AQ151" i="1" l="1"/>
  <c r="AQ154" i="1" s="1"/>
  <c r="AQ188" i="1" l="1"/>
  <c r="AQ187" i="1" s="1"/>
  <c r="AR202" i="1"/>
  <c r="AQ202" i="1"/>
  <c r="AS151" i="1" l="1"/>
  <c r="AS154" i="1" s="1"/>
  <c r="AT202" i="1" l="1"/>
  <c r="AS188" i="1"/>
  <c r="AS187" i="1" s="1"/>
  <c r="AS202" i="1"/>
  <c r="AU151" i="1" l="1"/>
  <c r="AU154" i="1" s="1"/>
  <c r="AU188" i="1" l="1"/>
  <c r="AU187" i="1" s="1"/>
  <c r="AV202" i="1"/>
  <c r="AU202" i="1"/>
  <c r="AW151" i="1" l="1"/>
  <c r="AW154" i="1" s="1"/>
  <c r="AW188" i="1" l="1"/>
  <c r="AW187" i="1" s="1"/>
  <c r="AX202" i="1"/>
  <c r="AW202" i="1"/>
  <c r="AY151" i="1" l="1"/>
  <c r="AY154" i="1" s="1"/>
  <c r="AY188" i="1" l="1"/>
  <c r="AY187" i="1" s="1"/>
  <c r="AZ202" i="1"/>
  <c r="AY202" i="1"/>
  <c r="BA151" i="1" l="1"/>
  <c r="BA154" i="1" s="1"/>
  <c r="BB202" i="1" l="1"/>
  <c r="BA188" i="1"/>
  <c r="BA187" i="1" s="1"/>
  <c r="BA202" i="1"/>
  <c r="BC151" i="1" l="1"/>
  <c r="BC154" i="1" s="1"/>
  <c r="BD202" i="1" l="1"/>
  <c r="BC188" i="1"/>
  <c r="BC187" i="1" s="1"/>
  <c r="BC202" i="1"/>
  <c r="BE151" i="1" l="1"/>
  <c r="BE154" i="1" s="1"/>
  <c r="BF202" i="1" l="1"/>
  <c r="BE188" i="1"/>
  <c r="BE187" i="1" s="1"/>
  <c r="BE202" i="1"/>
  <c r="BG151" i="1" l="1"/>
  <c r="BG154" i="1" s="1"/>
  <c r="BG188" i="1" l="1"/>
  <c r="BG187" i="1" s="1"/>
  <c r="BH202" i="1"/>
  <c r="BG202" i="1"/>
  <c r="BI151" i="1" l="1"/>
  <c r="BI154" i="1" s="1"/>
  <c r="BJ202" i="1" l="1"/>
  <c r="BI188" i="1"/>
  <c r="BI187" i="1" s="1"/>
  <c r="BI202" i="1"/>
  <c r="BK151" i="1" l="1"/>
  <c r="BK154" i="1" s="1"/>
  <c r="BL202" i="1" l="1"/>
  <c r="BK188" i="1"/>
  <c r="BK187" i="1" s="1"/>
  <c r="BK202" i="1"/>
  <c r="BM151" i="1" l="1"/>
  <c r="BM154" i="1" s="1"/>
  <c r="BM188" i="1" l="1"/>
  <c r="BM187" i="1" s="1"/>
  <c r="BN202" i="1"/>
  <c r="BM202" i="1"/>
  <c r="BO151" i="1" l="1"/>
  <c r="BO154" i="1" s="1"/>
  <c r="BO188" i="1" l="1"/>
  <c r="BO187" i="1" s="1"/>
  <c r="BP202" i="1"/>
  <c r="BO202" i="1"/>
  <c r="BQ151" i="1" l="1"/>
  <c r="BQ154" i="1" s="1"/>
  <c r="BR202" i="1" l="1"/>
  <c r="BQ188" i="1"/>
  <c r="BQ187" i="1" s="1"/>
  <c r="BQ202" i="1"/>
  <c r="BS151" i="1" l="1"/>
  <c r="BS154" i="1" s="1"/>
  <c r="BT202" i="1" l="1"/>
  <c r="BS188" i="1"/>
  <c r="BS187" i="1" s="1"/>
  <c r="BS202" i="1"/>
  <c r="BU151" i="1" l="1"/>
  <c r="BU154" i="1" s="1"/>
  <c r="BU188" i="1" l="1"/>
  <c r="BU187" i="1" s="1"/>
  <c r="BV202" i="1"/>
  <c r="BU202" i="1"/>
  <c r="BW151" i="1" l="1"/>
  <c r="BW154" i="1" s="1"/>
  <c r="BW188" i="1" l="1"/>
  <c r="BW187" i="1" s="1"/>
  <c r="BX202" i="1"/>
  <c r="BW202" i="1"/>
  <c r="BY151" i="1" l="1"/>
  <c r="BY154" i="1" s="1"/>
  <c r="BZ202" i="1" l="1"/>
  <c r="BY188" i="1"/>
  <c r="BY187" i="1" s="1"/>
  <c r="BY202" i="1"/>
  <c r="AK189" i="1" l="1"/>
  <c r="AK159" i="1" s="1"/>
  <c r="AK162" i="1" s="1"/>
  <c r="AK163" i="1" l="1"/>
  <c r="AK191" i="1"/>
  <c r="AL203" i="1"/>
  <c r="AL204" i="1" s="1"/>
  <c r="AL205" i="1" s="1"/>
  <c r="AL219" i="1" s="1"/>
  <c r="AK203" i="1"/>
  <c r="AK204" i="1" s="1"/>
  <c r="AK205" i="1" s="1"/>
  <c r="AM159" i="1"/>
  <c r="AM162" i="1" s="1"/>
  <c r="AK219" i="1" l="1"/>
  <c r="AK216" i="1"/>
  <c r="AK166" i="1" s="1"/>
  <c r="AK167" i="1" s="1"/>
  <c r="AK171" i="1" s="1"/>
  <c r="AK172" i="1" s="1"/>
  <c r="AN203" i="1"/>
  <c r="AN204" i="1" s="1"/>
  <c r="AN205" i="1" s="1"/>
  <c r="AN219" i="1" s="1"/>
  <c r="AM191" i="1"/>
  <c r="AM190" i="1" s="1"/>
  <c r="AM203" i="1"/>
  <c r="AM204" i="1" s="1"/>
  <c r="AM205" i="1" s="1"/>
  <c r="AM163" i="1"/>
  <c r="AJ190" i="1"/>
  <c r="AJ192" i="1"/>
  <c r="AN195" i="1" s="1"/>
  <c r="AK190" i="1"/>
  <c r="AK192" i="1"/>
  <c r="AO159" i="1"/>
  <c r="AO162" i="1" s="1"/>
  <c r="AM192" i="1" l="1"/>
  <c r="AO191" i="1"/>
  <c r="AO190" i="1" s="1"/>
  <c r="AP203" i="1"/>
  <c r="AP204" i="1" s="1"/>
  <c r="AP205" i="1" s="1"/>
  <c r="AP219" i="1" s="1"/>
  <c r="AO203" i="1"/>
  <c r="AO204" i="1" s="1"/>
  <c r="AO205" i="1" s="1"/>
  <c r="AM219" i="1"/>
  <c r="AM216" i="1"/>
  <c r="AO163" i="1"/>
  <c r="AL215" i="1" l="1"/>
  <c r="AL216" i="1" s="1"/>
  <c r="AL217" i="1" s="1"/>
  <c r="AK217" i="1"/>
  <c r="AO192" i="1"/>
  <c r="AO195" i="1" s="1"/>
  <c r="AO219" i="1"/>
  <c r="AO216" i="1"/>
  <c r="AQ159" i="1"/>
  <c r="AQ162" i="1" s="1"/>
  <c r="AK174" i="1"/>
  <c r="AL43" i="1" s="1"/>
  <c r="AM166" i="1"/>
  <c r="AM167" i="1" s="1"/>
  <c r="AM171" i="1" s="1"/>
  <c r="AN215" i="1" l="1"/>
  <c r="AN216" i="1" s="1"/>
  <c r="AN217" i="1" s="1"/>
  <c r="AM254" i="1"/>
  <c r="AM252" i="1"/>
  <c r="AM250" i="1"/>
  <c r="AQ191" i="1"/>
  <c r="AQ190" i="1" s="1"/>
  <c r="AR203" i="1"/>
  <c r="AR204" i="1" s="1"/>
  <c r="AR205" i="1" s="1"/>
  <c r="AR219" i="1" s="1"/>
  <c r="AQ203" i="1"/>
  <c r="AQ204" i="1" s="1"/>
  <c r="AQ205" i="1" s="1"/>
  <c r="AM217" i="1"/>
  <c r="AQ163" i="1"/>
  <c r="AO166" i="1"/>
  <c r="AO167" i="1" s="1"/>
  <c r="AM174" i="1"/>
  <c r="AO252" i="1" l="1"/>
  <c r="AO254" i="1"/>
  <c r="AO250" i="1"/>
  <c r="AM115" i="1"/>
  <c r="AM116" i="1" s="1"/>
  <c r="AM119" i="1" s="1"/>
  <c r="AN43" i="1"/>
  <c r="AQ192" i="1"/>
  <c r="AQ195" i="1" s="1"/>
  <c r="AQ219" i="1"/>
  <c r="AQ216" i="1"/>
  <c r="AP215" i="1"/>
  <c r="AP216" i="1" s="1"/>
  <c r="AP217" i="1" s="1"/>
  <c r="AO217" i="1"/>
  <c r="AS159" i="1"/>
  <c r="AS162" i="1" s="1"/>
  <c r="AO174" i="1"/>
  <c r="AO171" i="1"/>
  <c r="AM172" i="1"/>
  <c r="AM117" i="1" l="1"/>
  <c r="AM120" i="1" s="1"/>
  <c r="AO115" i="1"/>
  <c r="AO117" i="1" s="1"/>
  <c r="AO120" i="1" s="1"/>
  <c r="AP43" i="1"/>
  <c r="AS191" i="1"/>
  <c r="AS190" i="1" s="1"/>
  <c r="AT203" i="1"/>
  <c r="AT204" i="1" s="1"/>
  <c r="AT205" i="1" s="1"/>
  <c r="AT219" i="1" s="1"/>
  <c r="AS203" i="1"/>
  <c r="AS204" i="1" s="1"/>
  <c r="AS205" i="1" s="1"/>
  <c r="AO172" i="1"/>
  <c r="AS163" i="1"/>
  <c r="AQ166" i="1"/>
  <c r="AQ167" i="1" s="1"/>
  <c r="AQ252" i="1" l="1"/>
  <c r="AQ254" i="1"/>
  <c r="AQ250" i="1"/>
  <c r="AO116" i="1"/>
  <c r="AO119" i="1" s="1"/>
  <c r="AS192" i="1"/>
  <c r="AS195" i="1" s="1"/>
  <c r="AS219" i="1"/>
  <c r="AS216" i="1"/>
  <c r="AR215" i="1"/>
  <c r="AR216" i="1" s="1"/>
  <c r="AR217" i="1" s="1"/>
  <c r="AQ217" i="1"/>
  <c r="AQ171" i="1"/>
  <c r="AQ174" i="1"/>
  <c r="AU159" i="1"/>
  <c r="AU162" i="1" s="1"/>
  <c r="AQ115" i="1" l="1"/>
  <c r="AQ116" i="1" s="1"/>
  <c r="AQ119" i="1" s="1"/>
  <c r="AR43" i="1"/>
  <c r="AU191" i="1"/>
  <c r="AU190" i="1" s="1"/>
  <c r="AV203" i="1"/>
  <c r="AV204" i="1" s="1"/>
  <c r="AV205" i="1" s="1"/>
  <c r="AV219" i="1" s="1"/>
  <c r="AU203" i="1"/>
  <c r="AU204" i="1" s="1"/>
  <c r="AU205" i="1" s="1"/>
  <c r="AU163" i="1"/>
  <c r="AS166" i="1"/>
  <c r="AS167" i="1" s="1"/>
  <c r="AQ172" i="1"/>
  <c r="AS254" i="1" l="1"/>
  <c r="AS252" i="1"/>
  <c r="AS250" i="1"/>
  <c r="AQ117" i="1"/>
  <c r="AQ120" i="1" s="1"/>
  <c r="AU192" i="1"/>
  <c r="AU195" i="1" s="1"/>
  <c r="AU219" i="1"/>
  <c r="AU216" i="1"/>
  <c r="AT215" i="1"/>
  <c r="AT216" i="1" s="1"/>
  <c r="AT217" i="1" s="1"/>
  <c r="AS217" i="1"/>
  <c r="AS174" i="1"/>
  <c r="AS171" i="1"/>
  <c r="AW159" i="1"/>
  <c r="AW162" i="1" s="1"/>
  <c r="AS115" i="1" l="1"/>
  <c r="AS116" i="1" s="1"/>
  <c r="AS119" i="1" s="1"/>
  <c r="AT43" i="1"/>
  <c r="AW191" i="1"/>
  <c r="AW192" i="1" s="1"/>
  <c r="AW195" i="1" s="1"/>
  <c r="AX203" i="1"/>
  <c r="AX204" i="1" s="1"/>
  <c r="AX205" i="1" s="1"/>
  <c r="AX219" i="1" s="1"/>
  <c r="AW203" i="1"/>
  <c r="AW204" i="1" s="1"/>
  <c r="AW205" i="1" s="1"/>
  <c r="AU166" i="1"/>
  <c r="AU167" i="1" s="1"/>
  <c r="AS172" i="1"/>
  <c r="AW163" i="1"/>
  <c r="AU254" i="1" l="1"/>
  <c r="AU252" i="1"/>
  <c r="AU250" i="1"/>
  <c r="AS117" i="1"/>
  <c r="AS120" i="1" s="1"/>
  <c r="AW190" i="1"/>
  <c r="AW219" i="1"/>
  <c r="AW216" i="1"/>
  <c r="AV215" i="1"/>
  <c r="AV216" i="1" s="1"/>
  <c r="AV217" i="1" s="1"/>
  <c r="AU217" i="1"/>
  <c r="AU174" i="1"/>
  <c r="AU171" i="1"/>
  <c r="AY159" i="1"/>
  <c r="AY162" i="1" s="1"/>
  <c r="AU115" i="1" l="1"/>
  <c r="AU117" i="1" s="1"/>
  <c r="AU120" i="1" s="1"/>
  <c r="AV43" i="1"/>
  <c r="AY191" i="1"/>
  <c r="AY190" i="1" s="1"/>
  <c r="AZ203" i="1"/>
  <c r="AZ204" i="1" s="1"/>
  <c r="AZ205" i="1" s="1"/>
  <c r="AZ219" i="1" s="1"/>
  <c r="AY203" i="1"/>
  <c r="AY204" i="1" s="1"/>
  <c r="AY205" i="1" s="1"/>
  <c r="AW166" i="1"/>
  <c r="AW167" i="1" s="1"/>
  <c r="AY163" i="1"/>
  <c r="AU172" i="1"/>
  <c r="AW252" i="1" l="1"/>
  <c r="AW254" i="1"/>
  <c r="AW250" i="1"/>
  <c r="AU116" i="1"/>
  <c r="AU119" i="1" s="1"/>
  <c r="AY192" i="1"/>
  <c r="AY195" i="1" s="1"/>
  <c r="AY219" i="1"/>
  <c r="AY216" i="1"/>
  <c r="AX215" i="1"/>
  <c r="AX216" i="1" s="1"/>
  <c r="AX217" i="1" s="1"/>
  <c r="AW217" i="1"/>
  <c r="BA159" i="1"/>
  <c r="BA162" i="1" s="1"/>
  <c r="AW171" i="1"/>
  <c r="AW174" i="1"/>
  <c r="AW115" i="1" l="1"/>
  <c r="AW117" i="1" s="1"/>
  <c r="AW120" i="1" s="1"/>
  <c r="AX43" i="1"/>
  <c r="BB203" i="1"/>
  <c r="BB204" i="1" s="1"/>
  <c r="BB205" i="1" s="1"/>
  <c r="BB219" i="1" s="1"/>
  <c r="BA191" i="1"/>
  <c r="BA190" i="1" s="1"/>
  <c r="BA203" i="1"/>
  <c r="BA204" i="1" s="1"/>
  <c r="BA205" i="1" s="1"/>
  <c r="AW172" i="1"/>
  <c r="BA163" i="1"/>
  <c r="AY166" i="1"/>
  <c r="AY167" i="1" s="1"/>
  <c r="AY252" i="1" l="1"/>
  <c r="AY254" i="1"/>
  <c r="AY250" i="1"/>
  <c r="AW116" i="1"/>
  <c r="AW119" i="1" s="1"/>
  <c r="BA192" i="1"/>
  <c r="BA195" i="1" s="1"/>
  <c r="BA219" i="1"/>
  <c r="BA216" i="1"/>
  <c r="AZ215" i="1"/>
  <c r="AZ216" i="1" s="1"/>
  <c r="AZ217" i="1" s="1"/>
  <c r="AY217" i="1"/>
  <c r="AY171" i="1"/>
  <c r="AY174" i="1"/>
  <c r="BC159" i="1"/>
  <c r="BC162" i="1" s="1"/>
  <c r="AY115" i="1" l="1"/>
  <c r="AY117" i="1" s="1"/>
  <c r="AY120" i="1" s="1"/>
  <c r="AZ43" i="1"/>
  <c r="BC191" i="1"/>
  <c r="BC190" i="1" s="1"/>
  <c r="BD203" i="1"/>
  <c r="BD204" i="1" s="1"/>
  <c r="BD205" i="1" s="1"/>
  <c r="BD219" i="1" s="1"/>
  <c r="BC203" i="1"/>
  <c r="BC204" i="1" s="1"/>
  <c r="BC205" i="1" s="1"/>
  <c r="AY172" i="1"/>
  <c r="BC163" i="1"/>
  <c r="BA166" i="1"/>
  <c r="BA167" i="1" s="1"/>
  <c r="BA254" i="1" l="1"/>
  <c r="BA252" i="1"/>
  <c r="BA250" i="1"/>
  <c r="AY116" i="1"/>
  <c r="AY119" i="1" s="1"/>
  <c r="BC192" i="1"/>
  <c r="BC195" i="1" s="1"/>
  <c r="BC219" i="1"/>
  <c r="BC216" i="1"/>
  <c r="BB215" i="1"/>
  <c r="BB216" i="1" s="1"/>
  <c r="BB217" i="1" s="1"/>
  <c r="BA217" i="1"/>
  <c r="BE159" i="1"/>
  <c r="BE162" i="1" s="1"/>
  <c r="BA174" i="1"/>
  <c r="BA171" i="1"/>
  <c r="BA115" i="1" l="1"/>
  <c r="BA116" i="1" s="1"/>
  <c r="BA119" i="1" s="1"/>
  <c r="BB43" i="1"/>
  <c r="BE191" i="1"/>
  <c r="BE190" i="1" s="1"/>
  <c r="BF203" i="1"/>
  <c r="BF204" i="1" s="1"/>
  <c r="BF205" i="1" s="1"/>
  <c r="BF219" i="1" s="1"/>
  <c r="BE203" i="1"/>
  <c r="BE204" i="1" s="1"/>
  <c r="BE205" i="1" s="1"/>
  <c r="BC166" i="1"/>
  <c r="BC167" i="1" s="1"/>
  <c r="BA172" i="1"/>
  <c r="BE163" i="1"/>
  <c r="BC254" i="1" l="1"/>
  <c r="BC252" i="1"/>
  <c r="BC250" i="1"/>
  <c r="BA117" i="1"/>
  <c r="BA120" i="1" s="1"/>
  <c r="BE192" i="1"/>
  <c r="BE195" i="1" s="1"/>
  <c r="BE219" i="1"/>
  <c r="BE216" i="1"/>
  <c r="BD215" i="1"/>
  <c r="BD216" i="1" s="1"/>
  <c r="BD217" i="1" s="1"/>
  <c r="BC217" i="1"/>
  <c r="BG159" i="1"/>
  <c r="BG162" i="1" s="1"/>
  <c r="BC171" i="1"/>
  <c r="BC174" i="1"/>
  <c r="BC115" i="1" l="1"/>
  <c r="BC116" i="1" s="1"/>
  <c r="BC119" i="1" s="1"/>
  <c r="BD43" i="1"/>
  <c r="BG191" i="1"/>
  <c r="BG192" i="1" s="1"/>
  <c r="BG195" i="1" s="1"/>
  <c r="BH203" i="1"/>
  <c r="BH204" i="1" s="1"/>
  <c r="BH205" i="1" s="1"/>
  <c r="BH219" i="1" s="1"/>
  <c r="BG203" i="1"/>
  <c r="BG204" i="1" s="1"/>
  <c r="BG205" i="1" s="1"/>
  <c r="BC172" i="1"/>
  <c r="BE166" i="1"/>
  <c r="BE167" i="1" s="1"/>
  <c r="BG163" i="1"/>
  <c r="BE252" i="1" l="1"/>
  <c r="BE254" i="1"/>
  <c r="BE250" i="1"/>
  <c r="BC117" i="1"/>
  <c r="BC120" i="1" s="1"/>
  <c r="BG190" i="1"/>
  <c r="BG219" i="1"/>
  <c r="BG216" i="1"/>
  <c r="BF215" i="1"/>
  <c r="BF216" i="1" s="1"/>
  <c r="BF217" i="1" s="1"/>
  <c r="BE217" i="1"/>
  <c r="BE174" i="1"/>
  <c r="BE171" i="1"/>
  <c r="BI159" i="1"/>
  <c r="BI162" i="1" s="1"/>
  <c r="BE115" i="1" l="1"/>
  <c r="BE116" i="1" s="1"/>
  <c r="BE119" i="1" s="1"/>
  <c r="BF43" i="1"/>
  <c r="BI191" i="1"/>
  <c r="BI190" i="1" s="1"/>
  <c r="BJ203" i="1"/>
  <c r="BJ204" i="1" s="1"/>
  <c r="BJ205" i="1" s="1"/>
  <c r="BJ219" i="1" s="1"/>
  <c r="BI203" i="1"/>
  <c r="BI204" i="1" s="1"/>
  <c r="BI205" i="1" s="1"/>
  <c r="BE172" i="1"/>
  <c r="BG166" i="1"/>
  <c r="BG167" i="1" s="1"/>
  <c r="BI163" i="1"/>
  <c r="BG252" i="1" l="1"/>
  <c r="BG254" i="1"/>
  <c r="BG250" i="1"/>
  <c r="BE117" i="1"/>
  <c r="BE120" i="1" s="1"/>
  <c r="BI192" i="1"/>
  <c r="BI195" i="1" s="1"/>
  <c r="BI219" i="1"/>
  <c r="BI216" i="1"/>
  <c r="BH215" i="1"/>
  <c r="BH216" i="1" s="1"/>
  <c r="BH217" i="1" s="1"/>
  <c r="BG217" i="1"/>
  <c r="BG171" i="1"/>
  <c r="BG174" i="1"/>
  <c r="BK159" i="1"/>
  <c r="BK162" i="1" s="1"/>
  <c r="BG115" i="1" l="1"/>
  <c r="BG116" i="1" s="1"/>
  <c r="BG119" i="1" s="1"/>
  <c r="BH43" i="1"/>
  <c r="BL203" i="1"/>
  <c r="BL204" i="1" s="1"/>
  <c r="BL205" i="1" s="1"/>
  <c r="BL219" i="1" s="1"/>
  <c r="BK191" i="1"/>
  <c r="BK190" i="1" s="1"/>
  <c r="BK203" i="1"/>
  <c r="BK204" i="1" s="1"/>
  <c r="BK205" i="1" s="1"/>
  <c r="BK163" i="1"/>
  <c r="BG172" i="1"/>
  <c r="BI166" i="1"/>
  <c r="BI167" i="1" s="1"/>
  <c r="BI254" i="1" l="1"/>
  <c r="BI252" i="1"/>
  <c r="BI250" i="1"/>
  <c r="BG117" i="1"/>
  <c r="BG120" i="1" s="1"/>
  <c r="BK192" i="1"/>
  <c r="BK195" i="1" s="1"/>
  <c r="BK219" i="1"/>
  <c r="BK216" i="1"/>
  <c r="BJ215" i="1"/>
  <c r="BJ216" i="1" s="1"/>
  <c r="BJ217" i="1" s="1"/>
  <c r="BI217" i="1"/>
  <c r="BI174" i="1"/>
  <c r="BI171" i="1"/>
  <c r="BM159" i="1"/>
  <c r="BM162" i="1" s="1"/>
  <c r="BI115" i="1" l="1"/>
  <c r="BI117" i="1" s="1"/>
  <c r="BI120" i="1" s="1"/>
  <c r="BJ43" i="1"/>
  <c r="BM191" i="1"/>
  <c r="BM190" i="1" s="1"/>
  <c r="BN203" i="1"/>
  <c r="BN204" i="1" s="1"/>
  <c r="BN205" i="1" s="1"/>
  <c r="BN219" i="1" s="1"/>
  <c r="BM203" i="1"/>
  <c r="BM204" i="1" s="1"/>
  <c r="BM205" i="1" s="1"/>
  <c r="BM163" i="1"/>
  <c r="BI172" i="1"/>
  <c r="BK166" i="1"/>
  <c r="BK167" i="1" s="1"/>
  <c r="BK254" i="1" l="1"/>
  <c r="BK252" i="1"/>
  <c r="BK250" i="1"/>
  <c r="BI116" i="1"/>
  <c r="BI119" i="1" s="1"/>
  <c r="BM192" i="1"/>
  <c r="BM195" i="1" s="1"/>
  <c r="BM219" i="1"/>
  <c r="BM216" i="1"/>
  <c r="BL215" i="1"/>
  <c r="BL216" i="1" s="1"/>
  <c r="BL217" i="1" s="1"/>
  <c r="BK217" i="1"/>
  <c r="BK174" i="1"/>
  <c r="BK171" i="1"/>
  <c r="BO159" i="1"/>
  <c r="BO162" i="1" s="1"/>
  <c r="BK115" i="1" l="1"/>
  <c r="BK117" i="1" s="1"/>
  <c r="BK120" i="1" s="1"/>
  <c r="BL43" i="1"/>
  <c r="BO191" i="1"/>
  <c r="BO190" i="1" s="1"/>
  <c r="BP203" i="1"/>
  <c r="BP204" i="1" s="1"/>
  <c r="BP205" i="1" s="1"/>
  <c r="BP219" i="1" s="1"/>
  <c r="BO203" i="1"/>
  <c r="BO204" i="1" s="1"/>
  <c r="BO205" i="1" s="1"/>
  <c r="BM166" i="1"/>
  <c r="BM167" i="1" s="1"/>
  <c r="BK172" i="1"/>
  <c r="BO163" i="1"/>
  <c r="BM252" i="1" l="1"/>
  <c r="BM254" i="1"/>
  <c r="BM250" i="1"/>
  <c r="BK116" i="1"/>
  <c r="BK119" i="1" s="1"/>
  <c r="BO192" i="1"/>
  <c r="BO195" i="1" s="1"/>
  <c r="BO219" i="1"/>
  <c r="BO216" i="1"/>
  <c r="BN215" i="1"/>
  <c r="BN216" i="1" s="1"/>
  <c r="BN217" i="1" s="1"/>
  <c r="BM217" i="1"/>
  <c r="BM171" i="1"/>
  <c r="BM174" i="1"/>
  <c r="BQ159" i="1"/>
  <c r="BQ162" i="1" s="1"/>
  <c r="BM115" i="1" l="1"/>
  <c r="BM116" i="1" s="1"/>
  <c r="BM119" i="1" s="1"/>
  <c r="BN43" i="1"/>
  <c r="BQ191" i="1"/>
  <c r="BQ190" i="1" s="1"/>
  <c r="BR203" i="1"/>
  <c r="BR204" i="1" s="1"/>
  <c r="BR205" i="1" s="1"/>
  <c r="BR219" i="1" s="1"/>
  <c r="BQ203" i="1"/>
  <c r="BQ204" i="1" s="1"/>
  <c r="BQ205" i="1" s="1"/>
  <c r="BO166" i="1"/>
  <c r="BO167" i="1" s="1"/>
  <c r="BQ163" i="1"/>
  <c r="BM172" i="1"/>
  <c r="BO252" i="1" l="1"/>
  <c r="BO254" i="1"/>
  <c r="BO250" i="1"/>
  <c r="BM117" i="1"/>
  <c r="BM120" i="1" s="1"/>
  <c r="BQ192" i="1"/>
  <c r="BQ195" i="1" s="1"/>
  <c r="BQ219" i="1"/>
  <c r="BQ216" i="1"/>
  <c r="BP215" i="1"/>
  <c r="BP216" i="1" s="1"/>
  <c r="BP217" i="1" s="1"/>
  <c r="BO217" i="1"/>
  <c r="BS159" i="1"/>
  <c r="BS162" i="1" s="1"/>
  <c r="BO171" i="1"/>
  <c r="BO174" i="1"/>
  <c r="BO115" i="1" l="1"/>
  <c r="BO116" i="1" s="1"/>
  <c r="BO119" i="1" s="1"/>
  <c r="BP43" i="1"/>
  <c r="BS191" i="1"/>
  <c r="BS190" i="1" s="1"/>
  <c r="BT203" i="1"/>
  <c r="BT204" i="1" s="1"/>
  <c r="BT205" i="1" s="1"/>
  <c r="BT219" i="1" s="1"/>
  <c r="BS203" i="1"/>
  <c r="BS204" i="1" s="1"/>
  <c r="BS205" i="1" s="1"/>
  <c r="BO172" i="1"/>
  <c r="BS163" i="1"/>
  <c r="BQ166" i="1"/>
  <c r="BQ167" i="1" s="1"/>
  <c r="BQ254" i="1" l="1"/>
  <c r="BQ252" i="1"/>
  <c r="BQ250" i="1"/>
  <c r="BO117" i="1"/>
  <c r="BO120" i="1" s="1"/>
  <c r="BS192" i="1"/>
  <c r="BS195" i="1" s="1"/>
  <c r="BS219" i="1"/>
  <c r="BS216" i="1"/>
  <c r="BR215" i="1"/>
  <c r="BR216" i="1" s="1"/>
  <c r="BR217" i="1" s="1"/>
  <c r="BQ217" i="1"/>
  <c r="BQ171" i="1"/>
  <c r="BQ174" i="1"/>
  <c r="BU159" i="1"/>
  <c r="BU162" i="1" s="1"/>
  <c r="BQ115" i="1" l="1"/>
  <c r="BQ116" i="1" s="1"/>
  <c r="BQ119" i="1" s="1"/>
  <c r="BR43" i="1"/>
  <c r="BU191" i="1"/>
  <c r="BU190" i="1" s="1"/>
  <c r="BV203" i="1"/>
  <c r="BV204" i="1" s="1"/>
  <c r="BV205" i="1" s="1"/>
  <c r="BV219" i="1" s="1"/>
  <c r="BU203" i="1"/>
  <c r="BU204" i="1" s="1"/>
  <c r="BU205" i="1" s="1"/>
  <c r="BS166" i="1"/>
  <c r="BS167" i="1" s="1"/>
  <c r="BQ172" i="1"/>
  <c r="BU163" i="1"/>
  <c r="BS254" i="1" l="1"/>
  <c r="BS252" i="1"/>
  <c r="BS250" i="1"/>
  <c r="BQ117" i="1"/>
  <c r="BQ120" i="1" s="1"/>
  <c r="BU192" i="1"/>
  <c r="BU195" i="1" s="1"/>
  <c r="BU219" i="1"/>
  <c r="BU216" i="1"/>
  <c r="BT215" i="1"/>
  <c r="BT216" i="1" s="1"/>
  <c r="BT217" i="1" s="1"/>
  <c r="BS217" i="1"/>
  <c r="BS171" i="1"/>
  <c r="BS174" i="1"/>
  <c r="BW159" i="1"/>
  <c r="BW162" i="1" s="1"/>
  <c r="BS115" i="1" l="1"/>
  <c r="BS117" i="1" s="1"/>
  <c r="BS120" i="1" s="1"/>
  <c r="BT43" i="1"/>
  <c r="BW191" i="1"/>
  <c r="BW190" i="1" s="1"/>
  <c r="BX203" i="1"/>
  <c r="BX204" i="1" s="1"/>
  <c r="BX205" i="1" s="1"/>
  <c r="BX219" i="1" s="1"/>
  <c r="BW203" i="1"/>
  <c r="BW204" i="1" s="1"/>
  <c r="BW205" i="1" s="1"/>
  <c r="BW163" i="1"/>
  <c r="BS172" i="1"/>
  <c r="BU166" i="1"/>
  <c r="BU167" i="1" s="1"/>
  <c r="BU252" i="1" l="1"/>
  <c r="BU254" i="1"/>
  <c r="BU250" i="1"/>
  <c r="BS116" i="1"/>
  <c r="BS119" i="1" s="1"/>
  <c r="BW192" i="1"/>
  <c r="BW195" i="1" s="1"/>
  <c r="BW219" i="1"/>
  <c r="BW216" i="1"/>
  <c r="BV215" i="1"/>
  <c r="BV216" i="1" s="1"/>
  <c r="BV217" i="1" s="1"/>
  <c r="BU217" i="1"/>
  <c r="BU171" i="1"/>
  <c r="BU174" i="1"/>
  <c r="BY159" i="1"/>
  <c r="BY162" i="1" s="1"/>
  <c r="BU115" i="1" l="1"/>
  <c r="BU117" i="1" s="1"/>
  <c r="BU120" i="1" s="1"/>
  <c r="BV43" i="1"/>
  <c r="BZ203" i="1"/>
  <c r="BZ204" i="1" s="1"/>
  <c r="BZ205" i="1" s="1"/>
  <c r="BZ219" i="1" s="1"/>
  <c r="BY191" i="1"/>
  <c r="BY190" i="1" s="1"/>
  <c r="BY203" i="1"/>
  <c r="BY204" i="1" s="1"/>
  <c r="BY205" i="1" s="1"/>
  <c r="BW166" i="1"/>
  <c r="BW167" i="1" s="1"/>
  <c r="BY163" i="1"/>
  <c r="BU172" i="1"/>
  <c r="BW252" i="1" l="1"/>
  <c r="BW254" i="1"/>
  <c r="BW250" i="1"/>
  <c r="BU116" i="1"/>
  <c r="BU119" i="1" s="1"/>
  <c r="BY192" i="1"/>
  <c r="BY195" i="1" s="1"/>
  <c r="BY219" i="1"/>
  <c r="BY216" i="1"/>
  <c r="BX215" i="1"/>
  <c r="BX216" i="1" s="1"/>
  <c r="BX217" i="1" s="1"/>
  <c r="BW217" i="1"/>
  <c r="BW171" i="1"/>
  <c r="BW174" i="1"/>
  <c r="BW115" i="1" l="1"/>
  <c r="BW117" i="1" s="1"/>
  <c r="BW120" i="1" s="1"/>
  <c r="BX43" i="1"/>
  <c r="BW172" i="1"/>
  <c r="BY166" i="1"/>
  <c r="BY167" i="1" s="1"/>
  <c r="BY254" i="1" l="1"/>
  <c r="BY252" i="1"/>
  <c r="BY250" i="1"/>
  <c r="BW116" i="1"/>
  <c r="BW119" i="1" s="1"/>
  <c r="BZ215" i="1"/>
  <c r="BZ216" i="1" s="1"/>
  <c r="BZ217" i="1" s="1"/>
  <c r="BY217" i="1"/>
  <c r="BY174" i="1"/>
  <c r="BY171" i="1"/>
  <c r="BY115" i="1" l="1"/>
  <c r="BY116" i="1" s="1"/>
  <c r="BY119" i="1" s="1"/>
  <c r="BZ43" i="1"/>
  <c r="BY172" i="1"/>
  <c r="CC151" i="1"/>
  <c r="CC150" i="1"/>
  <c r="CA150" i="1"/>
  <c r="CA159" i="1"/>
  <c r="CA162" i="1" s="1"/>
  <c r="CA151" i="1"/>
  <c r="BY117" i="1" l="1"/>
  <c r="BY120" i="1" s="1"/>
  <c r="CA154" i="1"/>
  <c r="CA188" i="1" s="1"/>
  <c r="CA187" i="1" s="1"/>
  <c r="CB203" i="1"/>
  <c r="CA191" i="1"/>
  <c r="CA190" i="1" s="1"/>
  <c r="CA203" i="1"/>
  <c r="CC159" i="1"/>
  <c r="CC162" i="1" s="1"/>
  <c r="CC154" i="1"/>
  <c r="CA163" i="1" l="1"/>
  <c r="CA202" i="1"/>
  <c r="CA204" i="1" s="1"/>
  <c r="CA205" i="1" s="1"/>
  <c r="CA219" i="1" s="1"/>
  <c r="CB202" i="1"/>
  <c r="CB204" i="1" s="1"/>
  <c r="CB205" i="1" s="1"/>
  <c r="CB219" i="1" s="1"/>
  <c r="CA192" i="1"/>
  <c r="CD202" i="1"/>
  <c r="CC188" i="1"/>
  <c r="CC187" i="1" s="1"/>
  <c r="CC202" i="1"/>
  <c r="CC191" i="1"/>
  <c r="CC190" i="1" s="1"/>
  <c r="CD203" i="1"/>
  <c r="CC203" i="1"/>
  <c r="CC163" i="1"/>
  <c r="CA195" i="1" l="1"/>
  <c r="CE195" i="1"/>
  <c r="CC204" i="1"/>
  <c r="CC205" i="1" s="1"/>
  <c r="CC219" i="1" s="1"/>
  <c r="CD204" i="1"/>
  <c r="CD205" i="1" s="1"/>
  <c r="CD219" i="1" s="1"/>
  <c r="CA216" i="1"/>
  <c r="CA166" i="1" s="1"/>
  <c r="CA167" i="1" s="1"/>
  <c r="CC192" i="1"/>
  <c r="CA254" i="1" l="1"/>
  <c r="CA252" i="1"/>
  <c r="CA250" i="1"/>
  <c r="CC195" i="1"/>
  <c r="CG195" i="1"/>
  <c r="CC216" i="1"/>
  <c r="CC166" i="1" s="1"/>
  <c r="CC167" i="1" s="1"/>
  <c r="CB215" i="1"/>
  <c r="CB216" i="1" s="1"/>
  <c r="CB217" i="1" s="1"/>
  <c r="CA217" i="1"/>
  <c r="CA174" i="1"/>
  <c r="CA171" i="1"/>
  <c r="CC252" i="1" l="1"/>
  <c r="CC254" i="1"/>
  <c r="CC250" i="1"/>
  <c r="CA115" i="1"/>
  <c r="CA116" i="1" s="1"/>
  <c r="CA119" i="1" s="1"/>
  <c r="CB43" i="1"/>
  <c r="CD215" i="1"/>
  <c r="CD216" i="1" s="1"/>
  <c r="CD217" i="1" s="1"/>
  <c r="CC217" i="1"/>
  <c r="CC171" i="1"/>
  <c r="CC174" i="1"/>
  <c r="CA172" i="1"/>
  <c r="CA117" i="1" l="1"/>
  <c r="CA120" i="1" s="1"/>
  <c r="CC115" i="1"/>
  <c r="CC116" i="1" s="1"/>
  <c r="CC119" i="1" s="1"/>
  <c r="CD43" i="1"/>
  <c r="CC172" i="1"/>
  <c r="CC117" i="1" l="1"/>
  <c r="CC120" i="1" s="1"/>
  <c r="CE95" i="1"/>
  <c r="CD95" i="1"/>
  <c r="CC95" i="1"/>
  <c r="CB95" i="1"/>
  <c r="CI151" i="1" l="1"/>
  <c r="CI159" i="1"/>
  <c r="CI162" i="1" s="1"/>
  <c r="CI150" i="1"/>
  <c r="CJ203" i="1" l="1"/>
  <c r="CI154" i="1"/>
  <c r="CI203" i="1"/>
  <c r="CJ202" i="1" l="1"/>
  <c r="CJ204" i="1" s="1"/>
  <c r="CJ205" i="1" s="1"/>
  <c r="CJ219" i="1" s="1"/>
  <c r="CI163" i="1"/>
  <c r="CI202" i="1"/>
  <c r="CI204" i="1" s="1"/>
  <c r="CI205" i="1" s="1"/>
  <c r="CI219" i="1" s="1"/>
  <c r="CI192" i="1" l="1"/>
  <c r="CI195" i="1" s="1"/>
  <c r="CI216" i="1"/>
  <c r="CI166" i="1" s="1"/>
  <c r="CI167" i="1" s="1"/>
  <c r="CI254" i="1" l="1"/>
  <c r="CI252" i="1"/>
  <c r="CI250" i="1"/>
  <c r="CI217" i="1"/>
  <c r="CJ215" i="1"/>
  <c r="CJ216" i="1" s="1"/>
  <c r="CI174" i="1"/>
  <c r="CI171" i="1"/>
  <c r="CI115" i="1" l="1"/>
  <c r="CI117" i="1" s="1"/>
  <c r="CI120" i="1" s="1"/>
  <c r="CJ43" i="1"/>
  <c r="CJ217" i="1"/>
  <c r="CI172" i="1"/>
  <c r="CI116" i="1" l="1"/>
  <c r="CI119" i="1" s="1"/>
  <c r="CJ174" i="1"/>
  <c r="CJ115" i="1" l="1"/>
  <c r="CK43" i="1"/>
  <c r="CJ117" i="1" l="1"/>
  <c r="CJ120" i="1" s="1"/>
  <c r="CJ116" i="1"/>
  <c r="CJ119" i="1" s="1"/>
  <c r="CK237" i="1" l="1"/>
  <c r="CK259" i="1"/>
  <c r="CK258" i="1"/>
  <c r="CN16" i="1"/>
  <c r="CN259" i="1"/>
  <c r="CM16" i="1"/>
  <c r="CM259" i="1"/>
  <c r="CN237" i="1"/>
  <c r="CM237" i="1"/>
  <c r="CM104" i="1"/>
  <c r="CM105" i="1" s="1"/>
  <c r="CM108" i="1" s="1"/>
  <c r="CN104" i="1"/>
  <c r="CN105" i="1" s="1"/>
  <c r="CN108" i="1" s="1"/>
  <c r="CP14" i="1"/>
  <c r="CM152" i="1" l="1"/>
  <c r="CQ14" i="1"/>
  <c r="CQ259" i="1" s="1"/>
  <c r="CO14" i="1"/>
  <c r="CO16" i="1" s="1"/>
  <c r="CN32" i="1"/>
  <c r="CN29" i="1" s="1"/>
  <c r="CR14" i="1"/>
  <c r="CR259" i="1" s="1"/>
  <c r="CN151" i="1"/>
  <c r="CN22" i="1"/>
  <c r="CN150" i="1"/>
  <c r="CN159" i="1"/>
  <c r="CM32" i="1"/>
  <c r="CM29" i="1" s="1"/>
  <c r="CM159" i="1"/>
  <c r="CN18" i="1"/>
  <c r="CN158" i="1"/>
  <c r="CN152" i="1"/>
  <c r="CM151" i="1"/>
  <c r="CM18" i="1"/>
  <c r="CM22" i="1"/>
  <c r="CM21" i="1" s="1"/>
  <c r="CM158" i="1"/>
  <c r="CM150" i="1"/>
  <c r="CK150" i="1"/>
  <c r="CK159" i="1"/>
  <c r="CK151" i="1"/>
  <c r="CM231" i="1"/>
  <c r="CK158" i="1"/>
  <c r="CK231" i="1"/>
  <c r="CK152" i="1"/>
  <c r="CN231" i="1"/>
  <c r="CO231" i="1" l="1"/>
  <c r="CS14" i="1"/>
  <c r="CM162" i="1"/>
  <c r="CK162" i="1"/>
  <c r="CN21" i="1"/>
  <c r="CN24" i="1"/>
  <c r="CN34" i="1"/>
  <c r="CN154" i="1"/>
  <c r="CM154" i="1"/>
  <c r="CN162" i="1"/>
  <c r="CR16" i="1"/>
  <c r="CV14" i="1" s="1"/>
  <c r="CM24" i="1"/>
  <c r="CR237" i="1"/>
  <c r="CQ16" i="1"/>
  <c r="CQ237" i="1"/>
  <c r="CM34" i="1"/>
  <c r="CR104" i="1"/>
  <c r="CR105" i="1" s="1"/>
  <c r="CR108" i="1" s="1"/>
  <c r="CP259" i="1"/>
  <c r="CN25" i="1"/>
  <c r="CO104" i="1"/>
  <c r="CO105" i="1" s="1"/>
  <c r="CO108" i="1" s="1"/>
  <c r="CO259" i="1"/>
  <c r="CO237" i="1"/>
  <c r="CK154" i="1"/>
  <c r="CM25" i="1"/>
  <c r="CP237" i="1"/>
  <c r="CP16" i="1"/>
  <c r="CT14" i="1" s="1"/>
  <c r="CQ104" i="1"/>
  <c r="CQ105" i="1" s="1"/>
  <c r="CQ108" i="1" s="1"/>
  <c r="AB14" i="1"/>
  <c r="CP104" i="1"/>
  <c r="CP105" i="1" s="1"/>
  <c r="CP108" i="1" s="1"/>
  <c r="CO150" i="1"/>
  <c r="CO22" i="1"/>
  <c r="CO158" i="1"/>
  <c r="CO159" i="1"/>
  <c r="CO32" i="1"/>
  <c r="CO29" i="1" s="1"/>
  <c r="CO151" i="1"/>
  <c r="CO152" i="1"/>
  <c r="CO18" i="1"/>
  <c r="CK203" i="1" l="1"/>
  <c r="CL203" i="1"/>
  <c r="CK202" i="1"/>
  <c r="CK204" i="1" s="1"/>
  <c r="CL202" i="1"/>
  <c r="CL204" i="1" s="1"/>
  <c r="CL205" i="1" s="1"/>
  <c r="CL219" i="1" s="1"/>
  <c r="AB259" i="1"/>
  <c r="CU14" i="1"/>
  <c r="CN256" i="1"/>
  <c r="CN257" i="1" s="1"/>
  <c r="CN203" i="1"/>
  <c r="CN35" i="1"/>
  <c r="CN238" i="1"/>
  <c r="CN239" i="1" s="1"/>
  <c r="CN36" i="1"/>
  <c r="CN40" i="1"/>
  <c r="CN163" i="1"/>
  <c r="CM163" i="1"/>
  <c r="CN202" i="1"/>
  <c r="CR158" i="1"/>
  <c r="CR22" i="1"/>
  <c r="CR150" i="1"/>
  <c r="CR151" i="1"/>
  <c r="CR18" i="1"/>
  <c r="CR152" i="1"/>
  <c r="CR32" i="1"/>
  <c r="CR29" i="1" s="1"/>
  <c r="CR159" i="1"/>
  <c r="CQ18" i="1"/>
  <c r="CQ32" i="1"/>
  <c r="CQ29" i="1" s="1"/>
  <c r="CQ152" i="1"/>
  <c r="CQ151" i="1"/>
  <c r="CQ158" i="1"/>
  <c r="CQ159" i="1"/>
  <c r="CQ150" i="1"/>
  <c r="CN37" i="1"/>
  <c r="CM36" i="1"/>
  <c r="CM238" i="1"/>
  <c r="CM239" i="1" s="1"/>
  <c r="CM35" i="1"/>
  <c r="CM40" i="1"/>
  <c r="CQ22" i="1"/>
  <c r="CK163" i="1"/>
  <c r="CK256" i="1"/>
  <c r="CK257" i="1" s="1"/>
  <c r="CS104" i="1"/>
  <c r="CS105" i="1" s="1"/>
  <c r="CS108" i="1" s="1"/>
  <c r="CS259" i="1"/>
  <c r="CM256" i="1"/>
  <c r="CM257" i="1" s="1"/>
  <c r="CK238" i="1"/>
  <c r="CK239" i="1" s="1"/>
  <c r="CK232" i="1"/>
  <c r="CN232" i="1"/>
  <c r="CR231" i="1"/>
  <c r="CP231" i="1"/>
  <c r="AB16" i="1"/>
  <c r="CO162" i="1"/>
  <c r="CS16" i="1"/>
  <c r="CS237" i="1"/>
  <c r="CO154" i="1"/>
  <c r="CM118" i="1"/>
  <c r="CN118" i="1"/>
  <c r="CM203" i="1"/>
  <c r="CP151" i="1"/>
  <c r="AB151" i="1" s="1"/>
  <c r="AB186" i="1" s="1"/>
  <c r="CP150" i="1"/>
  <c r="CP158" i="1"/>
  <c r="CP22" i="1"/>
  <c r="CP21" i="1" s="1"/>
  <c r="CP159" i="1"/>
  <c r="AB159" i="1" s="1"/>
  <c r="AB189" i="1" s="1"/>
  <c r="CP152" i="1"/>
  <c r="AB152" i="1" s="1"/>
  <c r="CP18" i="1"/>
  <c r="CP32" i="1"/>
  <c r="CP29" i="1" s="1"/>
  <c r="CT259" i="1"/>
  <c r="CO34" i="1"/>
  <c r="CO24" i="1"/>
  <c r="CO25" i="1"/>
  <c r="CM202" i="1"/>
  <c r="CQ231" i="1"/>
  <c r="CO21" i="1"/>
  <c r="CM232" i="1"/>
  <c r="CM37" i="1"/>
  <c r="CU259" i="1" l="1"/>
  <c r="CU16" i="1"/>
  <c r="CU237" i="1"/>
  <c r="CS231" i="1"/>
  <c r="CW14" i="1"/>
  <c r="CW259" i="1" s="1"/>
  <c r="CR154" i="1"/>
  <c r="CQ162" i="1"/>
  <c r="AB29" i="1"/>
  <c r="AB32" i="1" s="1"/>
  <c r="AB33" i="1" s="1"/>
  <c r="CN204" i="1"/>
  <c r="CR162" i="1"/>
  <c r="CR24" i="1"/>
  <c r="CR25" i="1"/>
  <c r="CR34" i="1"/>
  <c r="CR21" i="1"/>
  <c r="CV259" i="1"/>
  <c r="CV237" i="1"/>
  <c r="CV16" i="1"/>
  <c r="CZ14" i="1" s="1"/>
  <c r="CQ21" i="1"/>
  <c r="CQ24" i="1"/>
  <c r="CQ34" i="1"/>
  <c r="CQ154" i="1"/>
  <c r="CO118" i="1"/>
  <c r="CO256" i="1"/>
  <c r="CO257" i="1" s="1"/>
  <c r="AB104" i="1"/>
  <c r="AB194" i="1"/>
  <c r="CQ25" i="1"/>
  <c r="AB21" i="1"/>
  <c r="AB22" i="1" s="1"/>
  <c r="CM204" i="1"/>
  <c r="CO163" i="1"/>
  <c r="CO202" i="1"/>
  <c r="CO232" i="1"/>
  <c r="AC14" i="1"/>
  <c r="CV104" i="1"/>
  <c r="CV105" i="1" s="1"/>
  <c r="CV108" i="1" s="1"/>
  <c r="AB17" i="1"/>
  <c r="AB64" i="1"/>
  <c r="AB150" i="1"/>
  <c r="CP154" i="1"/>
  <c r="CS150" i="1"/>
  <c r="CS22" i="1"/>
  <c r="CS21" i="1" s="1"/>
  <c r="CS158" i="1"/>
  <c r="CS18" i="1"/>
  <c r="CS151" i="1"/>
  <c r="CS159" i="1"/>
  <c r="CS152" i="1"/>
  <c r="CS32" i="1"/>
  <c r="CS29" i="1" s="1"/>
  <c r="CT104" i="1"/>
  <c r="CT105" i="1" s="1"/>
  <c r="CT108" i="1" s="1"/>
  <c r="CO203" i="1"/>
  <c r="CO36" i="1"/>
  <c r="CO238" i="1"/>
  <c r="CO239" i="1" s="1"/>
  <c r="CO40" i="1"/>
  <c r="CO37" i="1"/>
  <c r="CO35" i="1"/>
  <c r="CP24" i="1"/>
  <c r="CP34" i="1"/>
  <c r="CP25" i="1"/>
  <c r="CT237" i="1"/>
  <c r="CT16" i="1"/>
  <c r="AB158" i="1"/>
  <c r="AB162" i="1" s="1"/>
  <c r="CP162" i="1"/>
  <c r="CU104" i="1"/>
  <c r="CU105" i="1" s="1"/>
  <c r="CU108" i="1" s="1"/>
  <c r="CU159" i="1" l="1"/>
  <c r="CU32" i="1"/>
  <c r="CU29" i="1" s="1"/>
  <c r="CU152" i="1"/>
  <c r="CU150" i="1"/>
  <c r="CU22" i="1"/>
  <c r="CU151" i="1"/>
  <c r="CY14" i="1"/>
  <c r="CY16" i="1" s="1"/>
  <c r="CU158" i="1"/>
  <c r="CU162" i="1" s="1"/>
  <c r="AC259" i="1"/>
  <c r="CU18" i="1"/>
  <c r="CX14" i="1"/>
  <c r="CQ203" i="1"/>
  <c r="CV150" i="1"/>
  <c r="CV22" i="1"/>
  <c r="CV24" i="1" s="1"/>
  <c r="CV158" i="1"/>
  <c r="CR203" i="1"/>
  <c r="CR163" i="1"/>
  <c r="CR238" i="1"/>
  <c r="CR239" i="1" s="1"/>
  <c r="CR35" i="1"/>
  <c r="CR40" i="1"/>
  <c r="CR36" i="1"/>
  <c r="CV152" i="1"/>
  <c r="CV151" i="1"/>
  <c r="CV32" i="1"/>
  <c r="CV29" i="1" s="1"/>
  <c r="CV18" i="1"/>
  <c r="CV159" i="1"/>
  <c r="CQ40" i="1"/>
  <c r="CQ35" i="1"/>
  <c r="CQ36" i="1"/>
  <c r="CR37" i="1"/>
  <c r="CR256" i="1"/>
  <c r="CR257" i="1" s="1"/>
  <c r="CQ238" i="1"/>
  <c r="CQ239" i="1" s="1"/>
  <c r="CR202" i="1"/>
  <c r="CQ163" i="1"/>
  <c r="AB24" i="1"/>
  <c r="CP118" i="1"/>
  <c r="CP256" i="1"/>
  <c r="CP257" i="1" s="1"/>
  <c r="CQ256" i="1"/>
  <c r="CQ257" i="1" s="1"/>
  <c r="CS162" i="1"/>
  <c r="CS203" i="1" s="1"/>
  <c r="CV231" i="1"/>
  <c r="CP203" i="1"/>
  <c r="CP238" i="1"/>
  <c r="CP239" i="1" s="1"/>
  <c r="CP36" i="1"/>
  <c r="CP37" i="1"/>
  <c r="CP35" i="1"/>
  <c r="CP40" i="1"/>
  <c r="CT231" i="1"/>
  <c r="CP232" i="1"/>
  <c r="CU231" i="1"/>
  <c r="CR232" i="1"/>
  <c r="CQ232" i="1"/>
  <c r="CS34" i="1"/>
  <c r="CS256" i="1" s="1"/>
  <c r="CS257" i="1" s="1"/>
  <c r="CS24" i="1"/>
  <c r="CS25" i="1"/>
  <c r="AC16" i="1"/>
  <c r="CO204" i="1"/>
  <c r="CW237" i="1"/>
  <c r="CW16" i="1"/>
  <c r="CQ118" i="1"/>
  <c r="CW104" i="1"/>
  <c r="CW105" i="1" s="1"/>
  <c r="CW108" i="1" s="1"/>
  <c r="CS154" i="1"/>
  <c r="CT150" i="1"/>
  <c r="CT159" i="1"/>
  <c r="AC159" i="1" s="1"/>
  <c r="AC189" i="1" s="1"/>
  <c r="CT22" i="1"/>
  <c r="CT21" i="1" s="1"/>
  <c r="AC21" i="1" s="1"/>
  <c r="CT151" i="1"/>
  <c r="AC151" i="1" s="1"/>
  <c r="AC186" i="1" s="1"/>
  <c r="CT158" i="1"/>
  <c r="CT32" i="1"/>
  <c r="CT29" i="1" s="1"/>
  <c r="CT18" i="1"/>
  <c r="CT152" i="1"/>
  <c r="AC152" i="1" s="1"/>
  <c r="AB65" i="1"/>
  <c r="AB23" i="1"/>
  <c r="AB34" i="1"/>
  <c r="CQ37" i="1"/>
  <c r="CQ202" i="1"/>
  <c r="CP163" i="1"/>
  <c r="CP202" i="1"/>
  <c r="AB191" i="1"/>
  <c r="AB190" i="1" s="1"/>
  <c r="AB203" i="1"/>
  <c r="CR118" i="1"/>
  <c r="AB154" i="1"/>
  <c r="AB185" i="1"/>
  <c r="CU154" i="1" l="1"/>
  <c r="CU163" i="1" s="1"/>
  <c r="CU21" i="1"/>
  <c r="CU34" i="1"/>
  <c r="CU24" i="1"/>
  <c r="CY259" i="1"/>
  <c r="CY237" i="1"/>
  <c r="AB256" i="1"/>
  <c r="AB257" i="1" s="1"/>
  <c r="CW231" i="1"/>
  <c r="DA14" i="1"/>
  <c r="DA259" i="1" s="1"/>
  <c r="CQ204" i="1"/>
  <c r="AC29" i="1"/>
  <c r="AC32" i="1" s="1"/>
  <c r="AC33" i="1" s="1"/>
  <c r="CV154" i="1"/>
  <c r="CV21" i="1"/>
  <c r="CV25" i="1"/>
  <c r="CV162" i="1"/>
  <c r="CV34" i="1"/>
  <c r="CZ259" i="1"/>
  <c r="CZ237" i="1"/>
  <c r="CZ16" i="1"/>
  <c r="CZ159" i="1" s="1"/>
  <c r="CR204" i="1"/>
  <c r="CX104" i="1"/>
  <c r="CX105" i="1" s="1"/>
  <c r="CX108" i="1" s="1"/>
  <c r="CX259" i="1"/>
  <c r="CP204" i="1"/>
  <c r="AC104" i="1"/>
  <c r="AC194" i="1"/>
  <c r="AB36" i="1"/>
  <c r="CT154" i="1"/>
  <c r="CT202" i="1" s="1"/>
  <c r="AC150" i="1"/>
  <c r="CS163" i="1"/>
  <c r="CS202" i="1"/>
  <c r="CS204" i="1" s="1"/>
  <c r="CY104" i="1"/>
  <c r="CY105" i="1" s="1"/>
  <c r="CY108" i="1" s="1"/>
  <c r="CS37" i="1"/>
  <c r="CS35" i="1"/>
  <c r="CS40" i="1"/>
  <c r="CS238" i="1"/>
  <c r="CS239" i="1" s="1"/>
  <c r="CS36" i="1"/>
  <c r="AB163" i="1"/>
  <c r="AB188" i="1"/>
  <c r="AB202" i="1"/>
  <c r="AB204" i="1" s="1"/>
  <c r="AB66" i="1"/>
  <c r="AB40" i="1"/>
  <c r="AB118" i="1"/>
  <c r="AB35" i="1"/>
  <c r="CW22" i="1"/>
  <c r="CW21" i="1" s="1"/>
  <c r="CW158" i="1"/>
  <c r="CW150" i="1"/>
  <c r="CW18" i="1"/>
  <c r="CW152" i="1"/>
  <c r="CW151" i="1"/>
  <c r="CW159" i="1"/>
  <c r="CW32" i="1"/>
  <c r="CW29" i="1" s="1"/>
  <c r="CT162" i="1"/>
  <c r="AC158" i="1"/>
  <c r="AC162" i="1" s="1"/>
  <c r="CS118" i="1"/>
  <c r="CK251" i="1"/>
  <c r="CK233" i="1"/>
  <c r="CK240" i="1"/>
  <c r="CS232" i="1"/>
  <c r="CT25" i="1"/>
  <c r="CT24" i="1"/>
  <c r="CT34" i="1"/>
  <c r="AC17" i="1"/>
  <c r="AC22" i="1"/>
  <c r="AC64" i="1"/>
  <c r="CX237" i="1"/>
  <c r="CX16" i="1"/>
  <c r="DB14" i="1" s="1"/>
  <c r="CZ104" i="1"/>
  <c r="CZ105" i="1" s="1"/>
  <c r="CZ108" i="1" s="1"/>
  <c r="CY151" i="1"/>
  <c r="CY22" i="1"/>
  <c r="CY21" i="1" s="1"/>
  <c r="CY159" i="1"/>
  <c r="CY152" i="1"/>
  <c r="CY158" i="1"/>
  <c r="CY32" i="1"/>
  <c r="CY29" i="1" s="1"/>
  <c r="CY150" i="1"/>
  <c r="CU25" i="1"/>
  <c r="AD14" i="1"/>
  <c r="AD259" i="1" s="1"/>
  <c r="CV202" i="1" l="1"/>
  <c r="CU40" i="1"/>
  <c r="CU35" i="1"/>
  <c r="CU238" i="1"/>
  <c r="CU239" i="1" s="1"/>
  <c r="CU36" i="1"/>
  <c r="CZ231" i="1"/>
  <c r="CV256" i="1"/>
  <c r="CV257" i="1" s="1"/>
  <c r="CV40" i="1"/>
  <c r="CV238" i="1"/>
  <c r="CV239" i="1" s="1"/>
  <c r="CV35" i="1"/>
  <c r="CV37" i="1"/>
  <c r="CV36" i="1"/>
  <c r="CZ32" i="1"/>
  <c r="CZ29" i="1" s="1"/>
  <c r="CZ150" i="1"/>
  <c r="CZ18" i="1"/>
  <c r="CZ158" i="1"/>
  <c r="CZ162" i="1" s="1"/>
  <c r="CZ152" i="1"/>
  <c r="CZ151" i="1"/>
  <c r="CZ22" i="1"/>
  <c r="CV163" i="1"/>
  <c r="CV203" i="1"/>
  <c r="AC24" i="1"/>
  <c r="CU118" i="1"/>
  <c r="CT256" i="1"/>
  <c r="CT257" i="1" s="1"/>
  <c r="CU256" i="1"/>
  <c r="CU257" i="1" s="1"/>
  <c r="CW162" i="1"/>
  <c r="CW203" i="1" s="1"/>
  <c r="CX231" i="1"/>
  <c r="CY231" i="1"/>
  <c r="CY18" i="1"/>
  <c r="CU203" i="1"/>
  <c r="CT203" i="1"/>
  <c r="CT204" i="1" s="1"/>
  <c r="CK199" i="1"/>
  <c r="CK201" i="1" s="1"/>
  <c r="CK205" i="1" s="1"/>
  <c r="CK219" i="1" s="1"/>
  <c r="CK125" i="1"/>
  <c r="CV232" i="1"/>
  <c r="AC34" i="1"/>
  <c r="AC65" i="1"/>
  <c r="AC23" i="1"/>
  <c r="CW154" i="1"/>
  <c r="CT232" i="1"/>
  <c r="AC185" i="1"/>
  <c r="AC154" i="1"/>
  <c r="DA237" i="1"/>
  <c r="DA16" i="1"/>
  <c r="DA231" i="1" s="1"/>
  <c r="CT163" i="1"/>
  <c r="CU202" i="1"/>
  <c r="CY154" i="1"/>
  <c r="CY162" i="1"/>
  <c r="CX150" i="1"/>
  <c r="CX151" i="1"/>
  <c r="AD151" i="1" s="1"/>
  <c r="AD186" i="1" s="1"/>
  <c r="CX22" i="1"/>
  <c r="CY25" i="1" s="1"/>
  <c r="CX159" i="1"/>
  <c r="AD159" i="1" s="1"/>
  <c r="AD189" i="1" s="1"/>
  <c r="CX158" i="1"/>
  <c r="CX18" i="1"/>
  <c r="CX32" i="1"/>
  <c r="CX29" i="1" s="1"/>
  <c r="CX152" i="1"/>
  <c r="AD152" i="1" s="1"/>
  <c r="CT40" i="1"/>
  <c r="CT36" i="1"/>
  <c r="CT35" i="1"/>
  <c r="CT238" i="1"/>
  <c r="CT239" i="1" s="1"/>
  <c r="CT37" i="1"/>
  <c r="CW25" i="1"/>
  <c r="CW24" i="1"/>
  <c r="CW34" i="1"/>
  <c r="CU232" i="1"/>
  <c r="CU37" i="1"/>
  <c r="CY24" i="1"/>
  <c r="CY34" i="1"/>
  <c r="AD16" i="1"/>
  <c r="DA104" i="1"/>
  <c r="DA105" i="1" s="1"/>
  <c r="DA108" i="1" s="1"/>
  <c r="AC191" i="1"/>
  <c r="AC190" i="1" s="1"/>
  <c r="AC203" i="1"/>
  <c r="AB187" i="1"/>
  <c r="AB192" i="1"/>
  <c r="AB195" i="1" s="1"/>
  <c r="AB196" i="1" s="1"/>
  <c r="CT118" i="1"/>
  <c r="CV118" i="1"/>
  <c r="CV204" i="1" l="1"/>
  <c r="AC256" i="1"/>
  <c r="AC257" i="1" s="1"/>
  <c r="AD29" i="1"/>
  <c r="AD32" i="1" s="1"/>
  <c r="AD33" i="1" s="1"/>
  <c r="CZ154" i="1"/>
  <c r="CZ21" i="1"/>
  <c r="CZ24" i="1"/>
  <c r="CZ34" i="1"/>
  <c r="CZ25" i="1"/>
  <c r="CZ203" i="1"/>
  <c r="CW232" i="1"/>
  <c r="CW256" i="1"/>
  <c r="CW257" i="1" s="1"/>
  <c r="DB104" i="1"/>
  <c r="DB105" i="1" s="1"/>
  <c r="DB108" i="1" s="1"/>
  <c r="DB259" i="1"/>
  <c r="AD104" i="1"/>
  <c r="AD194" i="1"/>
  <c r="CU204" i="1"/>
  <c r="AC36" i="1"/>
  <c r="AD158" i="1"/>
  <c r="AD162" i="1" s="1"/>
  <c r="CX162" i="1"/>
  <c r="CY40" i="1"/>
  <c r="CY36" i="1"/>
  <c r="CY35" i="1"/>
  <c r="CY238" i="1"/>
  <c r="CY239" i="1" s="1"/>
  <c r="CY163" i="1"/>
  <c r="DA158" i="1"/>
  <c r="DA159" i="1"/>
  <c r="DA151" i="1"/>
  <c r="DA22" i="1"/>
  <c r="DA150" i="1"/>
  <c r="DA32" i="1"/>
  <c r="DA29" i="1" s="1"/>
  <c r="DA18" i="1"/>
  <c r="DA152" i="1"/>
  <c r="CK126" i="1"/>
  <c r="CL213" i="1" s="1"/>
  <c r="CL211" i="1" s="1"/>
  <c r="CX25" i="1"/>
  <c r="CX34" i="1"/>
  <c r="CY256" i="1" s="1"/>
  <c r="CY257" i="1" s="1"/>
  <c r="CX24" i="1"/>
  <c r="AC188" i="1"/>
  <c r="AC163" i="1"/>
  <c r="AC202" i="1"/>
  <c r="AC204" i="1" s="1"/>
  <c r="AC40" i="1"/>
  <c r="AC66" i="1"/>
  <c r="AC35" i="1"/>
  <c r="AC118" i="1"/>
  <c r="DB16" i="1"/>
  <c r="DB231" i="1" s="1"/>
  <c r="DB237" i="1"/>
  <c r="CW163" i="1"/>
  <c r="CW202" i="1"/>
  <c r="CW204" i="1" s="1"/>
  <c r="AD150" i="1"/>
  <c r="CX154" i="1"/>
  <c r="AD64" i="1"/>
  <c r="AD17" i="1"/>
  <c r="CW40" i="1"/>
  <c r="CW36" i="1"/>
  <c r="CW238" i="1"/>
  <c r="CW239" i="1" s="1"/>
  <c r="CW37" i="1"/>
  <c r="CW35" i="1"/>
  <c r="CW118" i="1"/>
  <c r="CX21" i="1"/>
  <c r="AD21" i="1" s="1"/>
  <c r="AD22" i="1" s="1"/>
  <c r="AE14" i="1"/>
  <c r="AE259" i="1" s="1"/>
  <c r="CK98" i="1" l="1"/>
  <c r="CK60" i="1"/>
  <c r="CZ202" i="1"/>
  <c r="CZ204" i="1" s="1"/>
  <c r="CZ163" i="1"/>
  <c r="CZ256" i="1"/>
  <c r="CZ257" i="1" s="1"/>
  <c r="CZ35" i="1"/>
  <c r="CZ238" i="1"/>
  <c r="CZ239" i="1" s="1"/>
  <c r="CZ37" i="1"/>
  <c r="CZ40" i="1"/>
  <c r="CZ36" i="1"/>
  <c r="AD24" i="1"/>
  <c r="CZ118" i="1"/>
  <c r="CX256" i="1"/>
  <c r="CX257" i="1" s="1"/>
  <c r="CY232" i="1"/>
  <c r="CY37" i="1"/>
  <c r="CZ232" i="1"/>
  <c r="CX232" i="1"/>
  <c r="CY118" i="1"/>
  <c r="CX118" i="1"/>
  <c r="DA154" i="1"/>
  <c r="DA202" i="1" s="1"/>
  <c r="AD23" i="1"/>
  <c r="AD65" i="1"/>
  <c r="AD34" i="1"/>
  <c r="AD256" i="1" s="1"/>
  <c r="AD257" i="1" s="1"/>
  <c r="CY202" i="1"/>
  <c r="CX163" i="1"/>
  <c r="CY203" i="1"/>
  <c r="CX203" i="1"/>
  <c r="AD191" i="1"/>
  <c r="AD190" i="1" s="1"/>
  <c r="AD203" i="1"/>
  <c r="CG95" i="1"/>
  <c r="DA25" i="1"/>
  <c r="DA24" i="1"/>
  <c r="DA34" i="1"/>
  <c r="DA256" i="1" s="1"/>
  <c r="DA257" i="1" s="1"/>
  <c r="CX202" i="1"/>
  <c r="CX40" i="1"/>
  <c r="CX36" i="1"/>
  <c r="CX35" i="1"/>
  <c r="CX238" i="1"/>
  <c r="CX239" i="1" s="1"/>
  <c r="CX37" i="1"/>
  <c r="AD185" i="1"/>
  <c r="AD154" i="1"/>
  <c r="CK213" i="1"/>
  <c r="CK211" i="1" s="1"/>
  <c r="CK216" i="1" s="1"/>
  <c r="CK135" i="1"/>
  <c r="CK61" i="1" s="1"/>
  <c r="AC187" i="1"/>
  <c r="AC192" i="1"/>
  <c r="AC195" i="1" s="1"/>
  <c r="AC196" i="1" s="1"/>
  <c r="DA21" i="1"/>
  <c r="DB151" i="1"/>
  <c r="AE151" i="1" s="1"/>
  <c r="AE186" i="1" s="1"/>
  <c r="DB22" i="1"/>
  <c r="DB21" i="1" s="1"/>
  <c r="DB150" i="1"/>
  <c r="DB32" i="1"/>
  <c r="DB29" i="1" s="1"/>
  <c r="DB159" i="1"/>
  <c r="AE159" i="1" s="1"/>
  <c r="AE189" i="1" s="1"/>
  <c r="DB18" i="1"/>
  <c r="DB152" i="1"/>
  <c r="AE152" i="1" s="1"/>
  <c r="DB158" i="1"/>
  <c r="AE16" i="1"/>
  <c r="DA162" i="1"/>
  <c r="CK101" i="1" l="1"/>
  <c r="CK102" i="1"/>
  <c r="CK100" i="1"/>
  <c r="AE29" i="1"/>
  <c r="AE32" i="1" s="1"/>
  <c r="AE33" i="1" s="1"/>
  <c r="AE104" i="1"/>
  <c r="AE194" i="1"/>
  <c r="AD36" i="1"/>
  <c r="DA163" i="1"/>
  <c r="CK166" i="1"/>
  <c r="CK167" i="1" s="1"/>
  <c r="CL215" i="1" s="1"/>
  <c r="CL216" i="1" s="1"/>
  <c r="CL217" i="1" s="1"/>
  <c r="DB25" i="1"/>
  <c r="DB34" i="1"/>
  <c r="DB256" i="1" s="1"/>
  <c r="DB257" i="1" s="1"/>
  <c r="DB24" i="1"/>
  <c r="CX204" i="1"/>
  <c r="CY204" i="1"/>
  <c r="AD163" i="1"/>
  <c r="AD188" i="1"/>
  <c r="AD202" i="1"/>
  <c r="AD204" i="1" s="1"/>
  <c r="DB154" i="1"/>
  <c r="AE150" i="1"/>
  <c r="DA40" i="1"/>
  <c r="DA35" i="1"/>
  <c r="DA36" i="1"/>
  <c r="DA37" i="1"/>
  <c r="DA238" i="1"/>
  <c r="DA239" i="1" s="1"/>
  <c r="AD40" i="1"/>
  <c r="AD35" i="1"/>
  <c r="AD118" i="1"/>
  <c r="AD66" i="1"/>
  <c r="AE17" i="1"/>
  <c r="AE64" i="1"/>
  <c r="AE21" i="1"/>
  <c r="AE22" i="1" s="1"/>
  <c r="AE24" i="1" s="1"/>
  <c r="DA118" i="1"/>
  <c r="DA232" i="1"/>
  <c r="AE158" i="1"/>
  <c r="AE162" i="1" s="1"/>
  <c r="DB162" i="1"/>
  <c r="DB203" i="1" s="1"/>
  <c r="DA203" i="1"/>
  <c r="DA204" i="1" s="1"/>
  <c r="CK217" i="1" l="1"/>
  <c r="CK254" i="1"/>
  <c r="CK250" i="1"/>
  <c r="CK252" i="1"/>
  <c r="AE34" i="1"/>
  <c r="AE23" i="1"/>
  <c r="AE65" i="1"/>
  <c r="DB40" i="1"/>
  <c r="DB37" i="1"/>
  <c r="DB238" i="1"/>
  <c r="DB239" i="1" s="1"/>
  <c r="DB35" i="1"/>
  <c r="DB36" i="1"/>
  <c r="DB118" i="1"/>
  <c r="AD192" i="1"/>
  <c r="AD195" i="1" s="1"/>
  <c r="AD196" i="1" s="1"/>
  <c r="AD187" i="1"/>
  <c r="AE154" i="1"/>
  <c r="AE185" i="1"/>
  <c r="CK171" i="1"/>
  <c r="CK174" i="1"/>
  <c r="DB163" i="1"/>
  <c r="DB202" i="1"/>
  <c r="DB204" i="1" s="1"/>
  <c r="AE191" i="1"/>
  <c r="AE190" i="1" s="1"/>
  <c r="AE203" i="1"/>
  <c r="DB232" i="1"/>
  <c r="CK115" i="1" l="1"/>
  <c r="CL43" i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AE36" i="1"/>
  <c r="AE256" i="1"/>
  <c r="AE257" i="1" s="1"/>
  <c r="CK172" i="1"/>
  <c r="AE163" i="1"/>
  <c r="AE188" i="1"/>
  <c r="AE202" i="1"/>
  <c r="AE204" i="1" s="1"/>
  <c r="AE40" i="1"/>
  <c r="AE35" i="1"/>
  <c r="AE66" i="1"/>
  <c r="AE118" i="1"/>
  <c r="CK117" i="1" l="1"/>
  <c r="CK120" i="1" s="1"/>
  <c r="CK116" i="1"/>
  <c r="CK119" i="1" s="1"/>
  <c r="AE192" i="1"/>
  <c r="AE195" i="1" s="1"/>
  <c r="AE196" i="1" s="1"/>
  <c r="AE187" i="1"/>
  <c r="CM101" i="1" l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M102" i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93" i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CH95" i="1"/>
  <c r="CM92" i="1" l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CM215" i="1" l="1"/>
  <c r="AB215" i="1"/>
  <c r="CM42" i="1" l="1"/>
  <c r="CM258" i="1" s="1"/>
  <c r="CM44" i="1" l="1"/>
  <c r="CM45" i="1" l="1"/>
  <c r="CM47" i="1" l="1"/>
  <c r="CM49" i="1" l="1"/>
  <c r="CM50" i="1"/>
  <c r="CM240" i="1"/>
  <c r="CM54" i="1"/>
  <c r="CM48" i="1"/>
  <c r="CM251" i="1" s="1"/>
  <c r="CM233" i="1"/>
  <c r="CM199" i="1" l="1"/>
  <c r="CM201" i="1" s="1"/>
  <c r="CM205" i="1" s="1"/>
  <c r="CM219" i="1" s="1"/>
  <c r="CM72" i="1"/>
  <c r="CM125" i="1"/>
  <c r="CM126" i="1" l="1"/>
  <c r="CM75" i="1"/>
  <c r="CM76" i="1" l="1"/>
  <c r="CM84" i="1"/>
  <c r="CI95" i="1"/>
  <c r="CM91" i="1"/>
  <c r="CM85" i="1"/>
  <c r="CM135" i="1"/>
  <c r="CM61" i="1" s="1"/>
  <c r="CM98" i="1"/>
  <c r="CM100" i="1" s="1"/>
  <c r="CM213" i="1"/>
  <c r="CM211" i="1" s="1"/>
  <c r="CM216" i="1" s="1"/>
  <c r="CM60" i="1"/>
  <c r="CM166" i="1" l="1"/>
  <c r="CM167" i="1" s="1"/>
  <c r="CM88" i="1"/>
  <c r="CM114" i="1"/>
  <c r="CM87" i="1"/>
  <c r="CM113" i="1"/>
  <c r="CM217" i="1" l="1"/>
  <c r="CM254" i="1"/>
  <c r="CM252" i="1"/>
  <c r="CM250" i="1"/>
  <c r="CN215" i="1"/>
  <c r="CM171" i="1"/>
  <c r="CM174" i="1"/>
  <c r="CM172" i="1" l="1"/>
  <c r="CN42" i="1"/>
  <c r="CN258" i="1" s="1"/>
  <c r="CM115" i="1"/>
  <c r="CM116" i="1" l="1"/>
  <c r="CM119" i="1" s="1"/>
  <c r="CM117" i="1"/>
  <c r="CM120" i="1" s="1"/>
  <c r="CN44" i="1"/>
  <c r="CN45" i="1" l="1"/>
  <c r="CN47" i="1" s="1"/>
  <c r="CN49" i="1" l="1"/>
  <c r="CN50" i="1"/>
  <c r="CN54" i="1"/>
  <c r="CN240" i="1"/>
  <c r="CN48" i="1"/>
  <c r="CN251" i="1" s="1"/>
  <c r="CN233" i="1"/>
  <c r="CN72" i="1" l="1"/>
  <c r="CN199" i="1"/>
  <c r="CN201" i="1" s="1"/>
  <c r="CN205" i="1" s="1"/>
  <c r="CN219" i="1" s="1"/>
  <c r="CN125" i="1"/>
  <c r="CN75" i="1" l="1"/>
  <c r="CN126" i="1"/>
  <c r="CN76" i="1" l="1"/>
  <c r="CN135" i="1"/>
  <c r="CN61" i="1" s="1"/>
  <c r="CN213" i="1"/>
  <c r="CN211" i="1" s="1"/>
  <c r="CN216" i="1" s="1"/>
  <c r="CN98" i="1"/>
  <c r="CN100" i="1" s="1"/>
  <c r="CN60" i="1"/>
  <c r="CN91" i="1"/>
  <c r="CN84" i="1"/>
  <c r="CN85" i="1"/>
  <c r="CJ95" i="1"/>
  <c r="CN87" i="1" l="1"/>
  <c r="CN113" i="1"/>
  <c r="CN166" i="1"/>
  <c r="CN167" i="1" s="1"/>
  <c r="CN114" i="1"/>
  <c r="CN88" i="1"/>
  <c r="CN217" i="1" l="1"/>
  <c r="CN254" i="1"/>
  <c r="CN252" i="1"/>
  <c r="CN250" i="1"/>
  <c r="CN171" i="1"/>
  <c r="CN174" i="1"/>
  <c r="CO215" i="1"/>
  <c r="CN172" i="1" l="1"/>
  <c r="CO42" i="1"/>
  <c r="CO258" i="1" s="1"/>
  <c r="CN115" i="1"/>
  <c r="CO44" i="1" l="1"/>
  <c r="CN117" i="1"/>
  <c r="CN120" i="1" s="1"/>
  <c r="CN116" i="1"/>
  <c r="CN119" i="1" s="1"/>
  <c r="CO45" i="1" l="1"/>
  <c r="CO47" i="1" l="1"/>
  <c r="CO48" i="1" l="1"/>
  <c r="CO251" i="1" s="1"/>
  <c r="CO50" i="1"/>
  <c r="CO49" i="1"/>
  <c r="CO240" i="1"/>
  <c r="CO54" i="1"/>
  <c r="CO233" i="1"/>
  <c r="CO72" i="1" l="1"/>
  <c r="CO199" i="1"/>
  <c r="CO201" i="1" s="1"/>
  <c r="CO205" i="1" s="1"/>
  <c r="CO219" i="1" s="1"/>
  <c r="CO125" i="1"/>
  <c r="CO126" i="1" l="1"/>
  <c r="CO75" i="1"/>
  <c r="CK95" i="1" s="1"/>
  <c r="CO76" i="1" l="1"/>
  <c r="CO85" i="1"/>
  <c r="CO91" i="1"/>
  <c r="CO84" i="1"/>
  <c r="CO98" i="1"/>
  <c r="CO100" i="1" s="1"/>
  <c r="CO213" i="1"/>
  <c r="CO211" i="1" s="1"/>
  <c r="CO216" i="1" s="1"/>
  <c r="CO135" i="1"/>
  <c r="CO61" i="1" s="1"/>
  <c r="CO60" i="1"/>
  <c r="CO166" i="1" l="1"/>
  <c r="CO167" i="1" s="1"/>
  <c r="CO87" i="1"/>
  <c r="CO113" i="1"/>
  <c r="CO114" i="1"/>
  <c r="CO88" i="1"/>
  <c r="CO217" i="1" l="1"/>
  <c r="CO252" i="1"/>
  <c r="CO250" i="1"/>
  <c r="CO254" i="1"/>
  <c r="CO171" i="1"/>
  <c r="CO174" i="1"/>
  <c r="CP215" i="1"/>
  <c r="CP42" i="1" l="1"/>
  <c r="CP258" i="1" s="1"/>
  <c r="CO115" i="1"/>
  <c r="CO172" i="1"/>
  <c r="CO117" i="1" l="1"/>
  <c r="CO120" i="1" s="1"/>
  <c r="CO116" i="1"/>
  <c r="CO119" i="1" s="1"/>
  <c r="CP44" i="1"/>
  <c r="AB42" i="1"/>
  <c r="AB43" i="1" l="1"/>
  <c r="AB258" i="1"/>
  <c r="AB44" i="1"/>
  <c r="CP45" i="1"/>
  <c r="AB45" i="1" s="1"/>
  <c r="AB46" i="1" l="1"/>
  <c r="CP47" i="1"/>
  <c r="CP48" i="1" s="1"/>
  <c r="CP251" i="1" s="1"/>
  <c r="AB47" i="1"/>
  <c r="CP49" i="1" l="1"/>
  <c r="CP233" i="1"/>
  <c r="CP240" i="1"/>
  <c r="CP54" i="1"/>
  <c r="CP125" i="1" s="1"/>
  <c r="CP50" i="1"/>
  <c r="AB49" i="1"/>
  <c r="AB54" i="1"/>
  <c r="AB48" i="1"/>
  <c r="AB251" i="1" s="1"/>
  <c r="AB67" i="1"/>
  <c r="CP199" i="1" l="1"/>
  <c r="CP201" i="1" s="1"/>
  <c r="CP205" i="1" s="1"/>
  <c r="CP219" i="1" s="1"/>
  <c r="CP72" i="1"/>
  <c r="CP75" i="1" s="1"/>
  <c r="CL95" i="1" s="1"/>
  <c r="AB125" i="1"/>
  <c r="AB126" i="1" s="1"/>
  <c r="AB60" i="1" s="1"/>
  <c r="CP126" i="1"/>
  <c r="AB57" i="1"/>
  <c r="AB58" i="1" s="1"/>
  <c r="AB199" i="1"/>
  <c r="AB201" i="1" s="1"/>
  <c r="AB205" i="1" s="1"/>
  <c r="AB219" i="1" s="1"/>
  <c r="CP78" i="1" l="1"/>
  <c r="CP76" i="1"/>
  <c r="AB135" i="1"/>
  <c r="AB61" i="1" s="1"/>
  <c r="AB181" i="1"/>
  <c r="AB213" i="1"/>
  <c r="AB211" i="1" s="1"/>
  <c r="AB216" i="1" s="1"/>
  <c r="CP84" i="1"/>
  <c r="CP91" i="1"/>
  <c r="CP85" i="1"/>
  <c r="CP213" i="1"/>
  <c r="CP211" i="1" s="1"/>
  <c r="CP216" i="1" s="1"/>
  <c r="CP135" i="1"/>
  <c r="CP61" i="1" s="1"/>
  <c r="CP98" i="1"/>
  <c r="CP100" i="1" s="1"/>
  <c r="CP60" i="1"/>
  <c r="CP166" i="1" l="1"/>
  <c r="CP87" i="1"/>
  <c r="CP113" i="1"/>
  <c r="AB84" i="1"/>
  <c r="CP114" i="1"/>
  <c r="CP88" i="1"/>
  <c r="AB85" i="1"/>
  <c r="AB88" i="1" l="1"/>
  <c r="CP167" i="1"/>
  <c r="AB166" i="1"/>
  <c r="AB167" i="1" s="1"/>
  <c r="AB87" i="1"/>
  <c r="AB254" i="1" l="1"/>
  <c r="AB252" i="1"/>
  <c r="AB250" i="1"/>
  <c r="CP252" i="1"/>
  <c r="CP250" i="1"/>
  <c r="CP254" i="1"/>
  <c r="CP171" i="1"/>
  <c r="CQ215" i="1"/>
  <c r="CP174" i="1"/>
  <c r="CP217" i="1"/>
  <c r="AB174" i="1"/>
  <c r="AB115" i="1" s="1"/>
  <c r="AB171" i="1"/>
  <c r="AC215" i="1"/>
  <c r="AB217" i="1"/>
  <c r="AB172" i="1" l="1"/>
  <c r="CP115" i="1"/>
  <c r="CQ42" i="1"/>
  <c r="CQ258" i="1" s="1"/>
  <c r="CP172" i="1"/>
  <c r="CQ44" i="1" l="1"/>
  <c r="CP116" i="1"/>
  <c r="CP119" i="1" s="1"/>
  <c r="CP117" i="1"/>
  <c r="CP120" i="1" s="1"/>
  <c r="CQ45" i="1" l="1"/>
  <c r="CQ47" i="1" s="1"/>
  <c r="CQ54" i="1" l="1"/>
  <c r="CQ48" i="1"/>
  <c r="CQ251" i="1" s="1"/>
  <c r="CQ49" i="1"/>
  <c r="CQ50" i="1"/>
  <c r="CQ240" i="1"/>
  <c r="CQ233" i="1"/>
  <c r="CQ72" i="1" l="1"/>
  <c r="CQ199" i="1"/>
  <c r="CQ201" i="1" s="1"/>
  <c r="CQ205" i="1" s="1"/>
  <c r="CQ219" i="1" s="1"/>
  <c r="CQ125" i="1"/>
  <c r="CQ126" i="1" l="1"/>
  <c r="CQ75" i="1"/>
  <c r="CQ76" i="1" l="1"/>
  <c r="CQ85" i="1"/>
  <c r="CQ84" i="1"/>
  <c r="CQ91" i="1"/>
  <c r="CQ135" i="1"/>
  <c r="CQ61" i="1" s="1"/>
  <c r="CQ213" i="1"/>
  <c r="CQ211" i="1" s="1"/>
  <c r="CQ216" i="1" s="1"/>
  <c r="CQ98" i="1"/>
  <c r="CQ100" i="1" s="1"/>
  <c r="CQ60" i="1"/>
  <c r="CQ166" i="1" l="1"/>
  <c r="CQ167" i="1" s="1"/>
  <c r="CQ217" i="1" s="1"/>
  <c r="CQ113" i="1"/>
  <c r="CQ87" i="1"/>
  <c r="CQ114" i="1"/>
  <c r="CQ88" i="1"/>
  <c r="CQ254" i="1" l="1"/>
  <c r="CQ252" i="1"/>
  <c r="CQ250" i="1"/>
  <c r="CQ174" i="1"/>
  <c r="CR215" i="1"/>
  <c r="CQ171" i="1"/>
  <c r="CQ172" i="1" l="1"/>
  <c r="CQ115" i="1"/>
  <c r="CR42" i="1"/>
  <c r="CR258" i="1" s="1"/>
  <c r="CR44" i="1" l="1"/>
  <c r="CQ116" i="1"/>
  <c r="CQ119" i="1" s="1"/>
  <c r="CQ117" i="1"/>
  <c r="CQ120" i="1" s="1"/>
  <c r="CR45" i="1" l="1"/>
  <c r="CR47" i="1" s="1"/>
  <c r="CR240" i="1" l="1"/>
  <c r="CR48" i="1"/>
  <c r="CR251" i="1" s="1"/>
  <c r="CR54" i="1"/>
  <c r="CR49" i="1"/>
  <c r="CR50" i="1"/>
  <c r="CR233" i="1"/>
  <c r="CR72" i="1" l="1"/>
  <c r="CR199" i="1"/>
  <c r="CR201" i="1" s="1"/>
  <c r="CR205" i="1" s="1"/>
  <c r="CR219" i="1" s="1"/>
  <c r="CR125" i="1"/>
  <c r="CR126" i="1" l="1"/>
  <c r="CR75" i="1"/>
  <c r="CR76" i="1" l="1"/>
  <c r="CR91" i="1"/>
  <c r="CR84" i="1"/>
  <c r="CR85" i="1"/>
  <c r="CR135" i="1"/>
  <c r="CR61" i="1" s="1"/>
  <c r="CR213" i="1"/>
  <c r="CR211" i="1" s="1"/>
  <c r="CR216" i="1" s="1"/>
  <c r="CR98" i="1"/>
  <c r="CR100" i="1" s="1"/>
  <c r="CR60" i="1"/>
  <c r="CR166" i="1" l="1"/>
  <c r="CR167" i="1" s="1"/>
  <c r="CR114" i="1"/>
  <c r="CR88" i="1"/>
  <c r="CR113" i="1"/>
  <c r="CR87" i="1"/>
  <c r="CR254" i="1" l="1"/>
  <c r="CR252" i="1"/>
  <c r="CR250" i="1"/>
  <c r="CS215" i="1"/>
  <c r="CR174" i="1"/>
  <c r="CR171" i="1"/>
  <c r="CR217" i="1"/>
  <c r="CR172" i="1" l="1"/>
  <c r="CR115" i="1"/>
  <c r="CS42" i="1"/>
  <c r="CS258" i="1" s="1"/>
  <c r="CS44" i="1" l="1"/>
  <c r="CR116" i="1"/>
  <c r="CR119" i="1" s="1"/>
  <c r="CR117" i="1"/>
  <c r="CR120" i="1" s="1"/>
  <c r="CS45" i="1" l="1"/>
  <c r="CS47" i="1" l="1"/>
  <c r="CS54" i="1" l="1"/>
  <c r="CS50" i="1"/>
  <c r="CS240" i="1"/>
  <c r="CS49" i="1"/>
  <c r="CS48" i="1"/>
  <c r="CS251" i="1" s="1"/>
  <c r="CS233" i="1"/>
  <c r="CS72" i="1" l="1"/>
  <c r="CS199" i="1"/>
  <c r="CS201" i="1" s="1"/>
  <c r="CS205" i="1" s="1"/>
  <c r="CS219" i="1" s="1"/>
  <c r="CS125" i="1"/>
  <c r="CS126" i="1" l="1"/>
  <c r="CS75" i="1"/>
  <c r="CS76" i="1" l="1"/>
  <c r="CS84" i="1"/>
  <c r="CS85" i="1"/>
  <c r="CS91" i="1"/>
  <c r="CS135" i="1"/>
  <c r="CS61" i="1" s="1"/>
  <c r="CS98" i="1"/>
  <c r="CS100" i="1" s="1"/>
  <c r="CS213" i="1"/>
  <c r="CS211" i="1" s="1"/>
  <c r="CS216" i="1" s="1"/>
  <c r="CS60" i="1"/>
  <c r="CS166" i="1" l="1"/>
  <c r="CS167" i="1" s="1"/>
  <c r="CS114" i="1"/>
  <c r="CS88" i="1"/>
  <c r="CS113" i="1"/>
  <c r="CS87" i="1"/>
  <c r="CS252" i="1" l="1"/>
  <c r="CS254" i="1"/>
  <c r="CS250" i="1"/>
  <c r="CT215" i="1"/>
  <c r="CS171" i="1"/>
  <c r="CS174" i="1"/>
  <c r="CS217" i="1"/>
  <c r="CT42" i="1" l="1"/>
  <c r="CT258" i="1" s="1"/>
  <c r="CS115" i="1"/>
  <c r="CS172" i="1"/>
  <c r="CS117" i="1" l="1"/>
  <c r="CS120" i="1" s="1"/>
  <c r="CS116" i="1"/>
  <c r="CS119" i="1" s="1"/>
  <c r="CT44" i="1"/>
  <c r="AC42" i="1"/>
  <c r="AC43" i="1" l="1"/>
  <c r="AC258" i="1"/>
  <c r="AC44" i="1"/>
  <c r="CT45" i="1"/>
  <c r="AC45" i="1" s="1"/>
  <c r="AC46" i="1" l="1"/>
  <c r="CT47" i="1"/>
  <c r="CT50" i="1" s="1"/>
  <c r="AC47" i="1"/>
  <c r="CT49" i="1" l="1"/>
  <c r="CT54" i="1"/>
  <c r="CT240" i="1"/>
  <c r="CT233" i="1"/>
  <c r="CT48" i="1"/>
  <c r="CT251" i="1" s="1"/>
  <c r="AC49" i="1"/>
  <c r="AC48" i="1"/>
  <c r="AC251" i="1" s="1"/>
  <c r="AC67" i="1"/>
  <c r="AC54" i="1"/>
  <c r="CT125" i="1" l="1"/>
  <c r="CT72" i="1"/>
  <c r="CT75" i="1" s="1"/>
  <c r="CT78" i="1" s="1"/>
  <c r="CT199" i="1"/>
  <c r="CT201" i="1" s="1"/>
  <c r="CT205" i="1" s="1"/>
  <c r="CT219" i="1" s="1"/>
  <c r="AC57" i="1"/>
  <c r="AC58" i="1" s="1"/>
  <c r="AC199" i="1"/>
  <c r="AC201" i="1" s="1"/>
  <c r="AC205" i="1" s="1"/>
  <c r="AC219" i="1" s="1"/>
  <c r="CT126" i="1" l="1"/>
  <c r="AC125" i="1"/>
  <c r="AC126" i="1" s="1"/>
  <c r="AC135" i="1" s="1"/>
  <c r="AC61" i="1" s="1"/>
  <c r="CT76" i="1"/>
  <c r="CT91" i="1"/>
  <c r="CT84" i="1"/>
  <c r="CT85" i="1"/>
  <c r="CT135" i="1" l="1"/>
  <c r="CT61" i="1" s="1"/>
  <c r="CT98" i="1"/>
  <c r="CT100" i="1" s="1"/>
  <c r="CT213" i="1"/>
  <c r="CT211" i="1" s="1"/>
  <c r="CT216" i="1" s="1"/>
  <c r="CT166" i="1" s="1"/>
  <c r="CT60" i="1"/>
  <c r="AC60" i="1"/>
  <c r="AC213" i="1"/>
  <c r="AC211" i="1" s="1"/>
  <c r="AC216" i="1" s="1"/>
  <c r="AC181" i="1"/>
  <c r="CT113" i="1"/>
  <c r="CT87" i="1"/>
  <c r="AC84" i="1"/>
  <c r="CT114" i="1"/>
  <c r="CT88" i="1"/>
  <c r="AC85" i="1"/>
  <c r="AC87" i="1" l="1"/>
  <c r="CT167" i="1"/>
  <c r="AC166" i="1"/>
  <c r="AC167" i="1" s="1"/>
  <c r="AC88" i="1"/>
  <c r="CT252" i="1" l="1"/>
  <c r="CT254" i="1"/>
  <c r="CT250" i="1"/>
  <c r="AC254" i="1"/>
  <c r="AC252" i="1"/>
  <c r="AC250" i="1"/>
  <c r="CU215" i="1"/>
  <c r="CT171" i="1"/>
  <c r="CT174" i="1"/>
  <c r="CT217" i="1"/>
  <c r="AD215" i="1"/>
  <c r="AC174" i="1"/>
  <c r="AC115" i="1" s="1"/>
  <c r="AC171" i="1"/>
  <c r="AC217" i="1"/>
  <c r="AC172" i="1" l="1"/>
  <c r="CT172" i="1"/>
  <c r="CT115" i="1"/>
  <c r="CU42" i="1"/>
  <c r="CU258" i="1" s="1"/>
  <c r="CU44" i="1" l="1"/>
  <c r="CT116" i="1"/>
  <c r="CT119" i="1" s="1"/>
  <c r="CT117" i="1"/>
  <c r="CT120" i="1" s="1"/>
  <c r="CU45" i="1" l="1"/>
  <c r="CU47" i="1" s="1"/>
  <c r="CU48" i="1" l="1"/>
  <c r="CU251" i="1" s="1"/>
  <c r="CU49" i="1"/>
  <c r="CU50" i="1"/>
  <c r="CU54" i="1"/>
  <c r="CU240" i="1"/>
  <c r="CU233" i="1"/>
  <c r="CU199" i="1" l="1"/>
  <c r="CU201" i="1" s="1"/>
  <c r="CU205" i="1" s="1"/>
  <c r="CU219" i="1" s="1"/>
  <c r="CU72" i="1"/>
  <c r="CU125" i="1"/>
  <c r="CU126" i="1" l="1"/>
  <c r="CU75" i="1"/>
  <c r="CU76" i="1" l="1"/>
  <c r="CU91" i="1"/>
  <c r="CU85" i="1"/>
  <c r="CU84" i="1"/>
  <c r="CU135" i="1"/>
  <c r="CU61" i="1" s="1"/>
  <c r="CU213" i="1"/>
  <c r="CU211" i="1" s="1"/>
  <c r="CU216" i="1" s="1"/>
  <c r="CU98" i="1"/>
  <c r="CU100" i="1" s="1"/>
  <c r="CU60" i="1"/>
  <c r="CU166" i="1" l="1"/>
  <c r="CU167" i="1" s="1"/>
  <c r="CU113" i="1"/>
  <c r="CU87" i="1"/>
  <c r="CU114" i="1"/>
  <c r="CU88" i="1"/>
  <c r="CU254" i="1" l="1"/>
  <c r="CU250" i="1"/>
  <c r="CU252" i="1"/>
  <c r="CU171" i="1"/>
  <c r="CU174" i="1"/>
  <c r="CV215" i="1"/>
  <c r="CU217" i="1"/>
  <c r="CU172" i="1" l="1"/>
  <c r="CV42" i="1"/>
  <c r="CV258" i="1" s="1"/>
  <c r="CU115" i="1"/>
  <c r="CU116" i="1" l="1"/>
  <c r="CU119" i="1" s="1"/>
  <c r="CU117" i="1"/>
  <c r="CU120" i="1" s="1"/>
  <c r="CV44" i="1"/>
  <c r="CV45" i="1" l="1"/>
  <c r="CV47" i="1" l="1"/>
  <c r="CV54" i="1" l="1"/>
  <c r="CV240" i="1"/>
  <c r="CV48" i="1"/>
  <c r="CV251" i="1" s="1"/>
  <c r="CV50" i="1"/>
  <c r="CV49" i="1"/>
  <c r="CV233" i="1"/>
  <c r="CV199" i="1" l="1"/>
  <c r="CV201" i="1" s="1"/>
  <c r="CV205" i="1" s="1"/>
  <c r="CV219" i="1" s="1"/>
  <c r="CV72" i="1"/>
  <c r="CV125" i="1"/>
  <c r="CV126" i="1" l="1"/>
  <c r="CV75" i="1"/>
  <c r="CV76" i="1" l="1"/>
  <c r="CV84" i="1"/>
  <c r="CV85" i="1"/>
  <c r="CV91" i="1"/>
  <c r="CV98" i="1"/>
  <c r="CV100" i="1" s="1"/>
  <c r="CV135" i="1"/>
  <c r="CV61" i="1" s="1"/>
  <c r="CV213" i="1"/>
  <c r="CV211" i="1" s="1"/>
  <c r="CV216" i="1" s="1"/>
  <c r="CV60" i="1"/>
  <c r="CV166" i="1" l="1"/>
  <c r="CV167" i="1" s="1"/>
  <c r="CV114" i="1"/>
  <c r="CV88" i="1"/>
  <c r="CV113" i="1"/>
  <c r="CV87" i="1"/>
  <c r="CV252" i="1" l="1"/>
  <c r="CV250" i="1"/>
  <c r="CV254" i="1"/>
  <c r="CV174" i="1"/>
  <c r="CW215" i="1"/>
  <c r="CV171" i="1"/>
  <c r="CV217" i="1"/>
  <c r="CV172" i="1" l="1"/>
  <c r="CV115" i="1"/>
  <c r="CW42" i="1"/>
  <c r="CW258" i="1" s="1"/>
  <c r="CW44" i="1" l="1"/>
  <c r="CV117" i="1"/>
  <c r="CV120" i="1" s="1"/>
  <c r="CV116" i="1"/>
  <c r="CV119" i="1" s="1"/>
  <c r="CW45" i="1" l="1"/>
  <c r="CW47" i="1" l="1"/>
  <c r="CW48" i="1" l="1"/>
  <c r="CW251" i="1" s="1"/>
  <c r="CW50" i="1"/>
  <c r="CW54" i="1"/>
  <c r="CW49" i="1"/>
  <c r="CW240" i="1"/>
  <c r="CW233" i="1"/>
  <c r="CW199" i="1" l="1"/>
  <c r="CW201" i="1" s="1"/>
  <c r="CW205" i="1" s="1"/>
  <c r="CW219" i="1" s="1"/>
  <c r="CW72" i="1"/>
  <c r="CW125" i="1"/>
  <c r="CW126" i="1" l="1"/>
  <c r="CW75" i="1"/>
  <c r="CW76" i="1" l="1"/>
  <c r="CW91" i="1"/>
  <c r="CW85" i="1"/>
  <c r="CW84" i="1"/>
  <c r="CW213" i="1"/>
  <c r="CW211" i="1" s="1"/>
  <c r="CW216" i="1" s="1"/>
  <c r="CW135" i="1"/>
  <c r="CW61" i="1" s="1"/>
  <c r="CW98" i="1"/>
  <c r="CW100" i="1" s="1"/>
  <c r="CW60" i="1"/>
  <c r="CW166" i="1" l="1"/>
  <c r="CW167" i="1" s="1"/>
  <c r="CW113" i="1"/>
  <c r="CW87" i="1"/>
  <c r="CW114" i="1"/>
  <c r="CW88" i="1"/>
  <c r="CW252" i="1" l="1"/>
  <c r="CW250" i="1"/>
  <c r="CW254" i="1"/>
  <c r="CW171" i="1"/>
  <c r="CX215" i="1"/>
  <c r="CW174" i="1"/>
  <c r="CW217" i="1"/>
  <c r="CX42" i="1" l="1"/>
  <c r="CX258" i="1" s="1"/>
  <c r="CW115" i="1"/>
  <c r="CW172" i="1"/>
  <c r="CW116" i="1" l="1"/>
  <c r="CW119" i="1" s="1"/>
  <c r="CW117" i="1"/>
  <c r="CW120" i="1" s="1"/>
  <c r="CX44" i="1"/>
  <c r="AD42" i="1"/>
  <c r="AD43" i="1" l="1"/>
  <c r="AD258" i="1"/>
  <c r="AD44" i="1"/>
  <c r="CX45" i="1"/>
  <c r="AD45" i="1" s="1"/>
  <c r="AD46" i="1" l="1"/>
  <c r="CX47" i="1"/>
  <c r="CX233" i="1" s="1"/>
  <c r="AD47" i="1"/>
  <c r="CX50" i="1" l="1"/>
  <c r="CX240" i="1"/>
  <c r="CX54" i="1"/>
  <c r="CX48" i="1"/>
  <c r="CX251" i="1" s="1"/>
  <c r="CX49" i="1"/>
  <c r="AD49" i="1"/>
  <c r="AD67" i="1"/>
  <c r="AD54" i="1"/>
  <c r="AD48" i="1"/>
  <c r="AD251" i="1" s="1"/>
  <c r="CX72" i="1" l="1"/>
  <c r="CX75" i="1" s="1"/>
  <c r="CX78" i="1" s="1"/>
  <c r="CX199" i="1"/>
  <c r="CX201" i="1" s="1"/>
  <c r="CX205" i="1" s="1"/>
  <c r="CX219" i="1" s="1"/>
  <c r="CX125" i="1"/>
  <c r="AD57" i="1"/>
  <c r="AD58" i="1" s="1"/>
  <c r="AD199" i="1"/>
  <c r="AD201" i="1" s="1"/>
  <c r="AD205" i="1" s="1"/>
  <c r="AD219" i="1" s="1"/>
  <c r="AD125" i="1" l="1"/>
  <c r="AD126" i="1" s="1"/>
  <c r="CX126" i="1"/>
  <c r="CX213" i="1" s="1"/>
  <c r="CX211" i="1" s="1"/>
  <c r="CX216" i="1" s="1"/>
  <c r="CX76" i="1"/>
  <c r="CX84" i="1"/>
  <c r="CX91" i="1"/>
  <c r="CX85" i="1"/>
  <c r="AD181" i="1" l="1"/>
  <c r="AD135" i="1"/>
  <c r="AD61" i="1" s="1"/>
  <c r="AD60" i="1"/>
  <c r="AD213" i="1"/>
  <c r="AD211" i="1" s="1"/>
  <c r="AD216" i="1" s="1"/>
  <c r="CX135" i="1"/>
  <c r="CX61" i="1" s="1"/>
  <c r="CX98" i="1"/>
  <c r="CX100" i="1" s="1"/>
  <c r="CX60" i="1"/>
  <c r="CX166" i="1"/>
  <c r="CX88" i="1"/>
  <c r="CX114" i="1"/>
  <c r="AD85" i="1"/>
  <c r="CX113" i="1"/>
  <c r="CX87" i="1"/>
  <c r="AD84" i="1"/>
  <c r="AD88" i="1" l="1"/>
  <c r="AD87" i="1"/>
  <c r="CX167" i="1"/>
  <c r="AD166" i="1"/>
  <c r="AD167" i="1" s="1"/>
  <c r="AD254" i="1" l="1"/>
  <c r="AD252" i="1"/>
  <c r="AD250" i="1"/>
  <c r="CX254" i="1"/>
  <c r="CX252" i="1"/>
  <c r="CX250" i="1"/>
  <c r="AE215" i="1"/>
  <c r="AD171" i="1"/>
  <c r="AD174" i="1"/>
  <c r="AD115" i="1" s="1"/>
  <c r="AD217" i="1"/>
  <c r="CY215" i="1"/>
  <c r="CX171" i="1"/>
  <c r="CX174" i="1"/>
  <c r="CX217" i="1"/>
  <c r="AD172" i="1" l="1"/>
  <c r="CX115" i="1"/>
  <c r="CY42" i="1"/>
  <c r="CY258" i="1" s="1"/>
  <c r="CX172" i="1"/>
  <c r="CY44" i="1" l="1"/>
  <c r="CX116" i="1"/>
  <c r="CX119" i="1" s="1"/>
  <c r="CX117" i="1"/>
  <c r="CX120" i="1" s="1"/>
  <c r="CY45" i="1" l="1"/>
  <c r="CY47" i="1" l="1"/>
  <c r="CY48" i="1" l="1"/>
  <c r="CY251" i="1" s="1"/>
  <c r="CY240" i="1"/>
  <c r="CY49" i="1"/>
  <c r="CY50" i="1"/>
  <c r="CY54" i="1"/>
  <c r="CY233" i="1"/>
  <c r="CY72" i="1" l="1"/>
  <c r="CY199" i="1"/>
  <c r="CY201" i="1" s="1"/>
  <c r="CY205" i="1" s="1"/>
  <c r="CY219" i="1" s="1"/>
  <c r="CY125" i="1"/>
  <c r="CY126" i="1" l="1"/>
  <c r="CY75" i="1"/>
  <c r="CY76" i="1" s="1"/>
  <c r="CY84" i="1" l="1"/>
  <c r="CY91" i="1"/>
  <c r="CY85" i="1"/>
  <c r="CY98" i="1"/>
  <c r="CY100" i="1" s="1"/>
  <c r="CY135" i="1"/>
  <c r="CY61" i="1" s="1"/>
  <c r="CY213" i="1"/>
  <c r="CY211" i="1" s="1"/>
  <c r="CY216" i="1" s="1"/>
  <c r="CY60" i="1"/>
  <c r="CY166" i="1" l="1"/>
  <c r="CY167" i="1" s="1"/>
  <c r="CY114" i="1"/>
  <c r="CY88" i="1"/>
  <c r="CY87" i="1"/>
  <c r="CY113" i="1"/>
  <c r="CY217" i="1" l="1"/>
  <c r="CY254" i="1"/>
  <c r="CY252" i="1"/>
  <c r="CY250" i="1"/>
  <c r="CZ215" i="1"/>
  <c r="CY171" i="1"/>
  <c r="CY174" i="1"/>
  <c r="CY172" i="1" l="1"/>
  <c r="CZ42" i="1"/>
  <c r="CZ258" i="1" s="1"/>
  <c r="CY115" i="1"/>
  <c r="CY117" i="1" l="1"/>
  <c r="CY120" i="1" s="1"/>
  <c r="CY116" i="1"/>
  <c r="CY119" i="1" s="1"/>
  <c r="CZ44" i="1"/>
  <c r="CZ45" i="1" l="1"/>
  <c r="CZ47" i="1" l="1"/>
  <c r="CZ240" i="1" l="1"/>
  <c r="CZ49" i="1"/>
  <c r="CZ48" i="1"/>
  <c r="CZ251" i="1" s="1"/>
  <c r="CZ50" i="1"/>
  <c r="CZ54" i="1"/>
  <c r="CZ233" i="1"/>
  <c r="CZ199" i="1" l="1"/>
  <c r="CZ201" i="1" s="1"/>
  <c r="CZ205" i="1" s="1"/>
  <c r="CZ219" i="1" s="1"/>
  <c r="CZ72" i="1"/>
  <c r="CZ125" i="1"/>
  <c r="CZ126" i="1" l="1"/>
  <c r="CZ75" i="1"/>
  <c r="CZ76" i="1" s="1"/>
  <c r="CZ91" i="1" l="1"/>
  <c r="CZ85" i="1"/>
  <c r="CZ84" i="1"/>
  <c r="CZ135" i="1"/>
  <c r="CZ61" i="1" s="1"/>
  <c r="CZ213" i="1"/>
  <c r="CZ211" i="1" s="1"/>
  <c r="CZ216" i="1" s="1"/>
  <c r="CZ98" i="1"/>
  <c r="CZ100" i="1" s="1"/>
  <c r="CZ60" i="1"/>
  <c r="CZ166" i="1" l="1"/>
  <c r="CZ167" i="1" s="1"/>
  <c r="CZ113" i="1"/>
  <c r="CZ87" i="1"/>
  <c r="CZ88" i="1"/>
  <c r="CZ114" i="1"/>
  <c r="CZ252" i="1" l="1"/>
  <c r="CZ250" i="1"/>
  <c r="CZ254" i="1"/>
  <c r="CZ171" i="1"/>
  <c r="CZ174" i="1"/>
  <c r="DA215" i="1"/>
  <c r="CZ217" i="1"/>
  <c r="CZ115" i="1" l="1"/>
  <c r="DA42" i="1"/>
  <c r="DA258" i="1" s="1"/>
  <c r="CZ172" i="1"/>
  <c r="DA44" i="1" l="1"/>
  <c r="CZ116" i="1"/>
  <c r="CZ119" i="1" s="1"/>
  <c r="CZ117" i="1"/>
  <c r="CZ120" i="1" s="1"/>
  <c r="DA45" i="1" l="1"/>
  <c r="DA47" i="1" l="1"/>
  <c r="DA240" i="1" l="1"/>
  <c r="DA54" i="1"/>
  <c r="DA49" i="1"/>
  <c r="DA50" i="1"/>
  <c r="DA48" i="1"/>
  <c r="DA251" i="1" s="1"/>
  <c r="DA233" i="1"/>
  <c r="DA72" i="1" l="1"/>
  <c r="DA199" i="1"/>
  <c r="DA201" i="1" s="1"/>
  <c r="DA205" i="1" s="1"/>
  <c r="DA219" i="1" s="1"/>
  <c r="DA125" i="1"/>
  <c r="DA126" i="1" l="1"/>
  <c r="DA75" i="1"/>
  <c r="DA76" i="1" s="1"/>
  <c r="DA85" i="1" l="1"/>
  <c r="DA84" i="1"/>
  <c r="DA91" i="1"/>
  <c r="DA135" i="1"/>
  <c r="DA61" i="1" s="1"/>
  <c r="DA213" i="1"/>
  <c r="DA211" i="1" s="1"/>
  <c r="DA216" i="1" s="1"/>
  <c r="DA98" i="1"/>
  <c r="DA100" i="1" s="1"/>
  <c r="DA60" i="1"/>
  <c r="DA166" i="1" l="1"/>
  <c r="DA167" i="1" s="1"/>
  <c r="DA113" i="1"/>
  <c r="DA87" i="1"/>
  <c r="DA88" i="1"/>
  <c r="DA114" i="1"/>
  <c r="DA217" i="1" l="1"/>
  <c r="DA254" i="1"/>
  <c r="DA250" i="1"/>
  <c r="DA252" i="1"/>
  <c r="DA174" i="1"/>
  <c r="DB215" i="1"/>
  <c r="DA171" i="1"/>
  <c r="DA172" i="1" l="1"/>
  <c r="DA115" i="1"/>
  <c r="DB42" i="1"/>
  <c r="DB258" i="1" s="1"/>
  <c r="DA117" i="1" l="1"/>
  <c r="DA120" i="1" s="1"/>
  <c r="DA116" i="1"/>
  <c r="DA119" i="1" s="1"/>
  <c r="DB44" i="1"/>
  <c r="AE42" i="1"/>
  <c r="AE43" i="1" l="1"/>
  <c r="AE258" i="1"/>
  <c r="AE44" i="1"/>
  <c r="DB45" i="1"/>
  <c r="AE45" i="1" s="1"/>
  <c r="AE46" i="1" l="1"/>
  <c r="DB47" i="1"/>
  <c r="AE47" i="1"/>
  <c r="AE49" i="1" s="1"/>
  <c r="AE48" i="1" l="1"/>
  <c r="AE251" i="1" s="1"/>
  <c r="AE54" i="1"/>
  <c r="AE67" i="1"/>
  <c r="DB49" i="1"/>
  <c r="DB50" i="1"/>
  <c r="DB240" i="1"/>
  <c r="DB48" i="1"/>
  <c r="DB251" i="1" s="1"/>
  <c r="DB54" i="1"/>
  <c r="DB233" i="1"/>
  <c r="AE57" i="1" l="1"/>
  <c r="AE58" i="1" s="1"/>
  <c r="AE199" i="1"/>
  <c r="AE201" i="1" s="1"/>
  <c r="AE205" i="1" s="1"/>
  <c r="AE219" i="1" s="1"/>
  <c r="DB199" i="1"/>
  <c r="DB201" i="1" s="1"/>
  <c r="DB205" i="1" s="1"/>
  <c r="DB219" i="1" s="1"/>
  <c r="DB72" i="1"/>
  <c r="DB75" i="1" s="1"/>
  <c r="DB125" i="1"/>
  <c r="DB76" i="1" l="1"/>
  <c r="DB78" i="1"/>
  <c r="AE125" i="1"/>
  <c r="AE126" i="1" s="1"/>
  <c r="DB126" i="1"/>
  <c r="DB85" i="1"/>
  <c r="DB84" i="1"/>
  <c r="DB91" i="1"/>
  <c r="DB113" i="1" l="1"/>
  <c r="DB87" i="1"/>
  <c r="AE84" i="1"/>
  <c r="DB114" i="1"/>
  <c r="DB88" i="1"/>
  <c r="AE85" i="1"/>
  <c r="DB213" i="1"/>
  <c r="DB211" i="1" s="1"/>
  <c r="DB216" i="1" s="1"/>
  <c r="DB135" i="1"/>
  <c r="DB61" i="1" s="1"/>
  <c r="DB98" i="1"/>
  <c r="DB100" i="1" s="1"/>
  <c r="DB60" i="1"/>
  <c r="AE213" i="1"/>
  <c r="AE211" i="1" s="1"/>
  <c r="AE216" i="1" s="1"/>
  <c r="AE135" i="1"/>
  <c r="AE61" i="1" s="1"/>
  <c r="AE181" i="1"/>
  <c r="AE60" i="1"/>
  <c r="AE88" i="1" l="1"/>
  <c r="AE87" i="1"/>
  <c r="DB166" i="1"/>
  <c r="AE166" i="1" l="1"/>
  <c r="AE167" i="1" s="1"/>
  <c r="DB167" i="1"/>
  <c r="DB250" i="1" l="1"/>
  <c r="DB254" i="1"/>
  <c r="DB252" i="1"/>
  <c r="AE252" i="1"/>
  <c r="AE250" i="1"/>
  <c r="AE254" i="1"/>
  <c r="DB171" i="1"/>
  <c r="DB174" i="1"/>
  <c r="DB115" i="1" s="1"/>
  <c r="DB217" i="1"/>
  <c r="AE174" i="1"/>
  <c r="AE115" i="1" s="1"/>
  <c r="AE171" i="1"/>
  <c r="AE217" i="1"/>
  <c r="AE172" i="1" l="1"/>
  <c r="DB116" i="1"/>
  <c r="DB119" i="1" s="1"/>
  <c r="DB117" i="1"/>
  <c r="DB120" i="1" s="1"/>
  <c r="DB172" i="1"/>
  <c r="AA69" i="1" l="1"/>
  <c r="AB69" i="1"/>
  <c r="AA71" i="1"/>
  <c r="AA72" i="1"/>
  <c r="AA75" i="1"/>
  <c r="AA76" i="1"/>
  <c r="AA114" i="1"/>
  <c r="AA117" i="1"/>
  <c r="AA92" i="1"/>
  <c r="AA120" i="1"/>
  <c r="AA113" i="1"/>
  <c r="AA116" i="1"/>
  <c r="AA119" i="1"/>
  <c r="AA93" i="1"/>
  <c r="AA91" i="1"/>
  <c r="AA98" i="1"/>
  <c r="AA105" i="1"/>
  <c r="AA101" i="1"/>
  <c r="AA102" i="1"/>
  <c r="AA100" i="1"/>
  <c r="AA109" i="1"/>
  <c r="AA108" i="1"/>
  <c r="AA110" i="1"/>
  <c r="AA74" i="1"/>
  <c r="AA70" i="1"/>
  <c r="AB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AC70" i="1"/>
  <c r="AD70" i="1"/>
  <c r="AE70" i="1"/>
  <c r="AB71" i="1"/>
  <c r="Z69" i="1"/>
  <c r="AC69" i="1"/>
  <c r="Y69" i="1"/>
  <c r="Z71" i="1"/>
  <c r="AC71" i="1"/>
  <c r="AD69" i="1"/>
  <c r="Z114" i="1"/>
  <c r="Z117" i="1"/>
  <c r="Z120" i="1"/>
  <c r="Z105" i="1"/>
  <c r="Z113" i="1"/>
  <c r="Z116" i="1"/>
  <c r="Z119" i="1"/>
  <c r="Z98" i="1"/>
  <c r="Z72" i="1"/>
  <c r="X69" i="1"/>
  <c r="Y71" i="1"/>
  <c r="AD71" i="1"/>
  <c r="AE69" i="1"/>
  <c r="AE71" i="1"/>
  <c r="Y114" i="1"/>
  <c r="Y117" i="1"/>
  <c r="Y120" i="1"/>
  <c r="Y113" i="1"/>
  <c r="Y116" i="1"/>
  <c r="Y119" i="1"/>
  <c r="Y98" i="1"/>
  <c r="Y105" i="1"/>
  <c r="Y72" i="1"/>
  <c r="W69" i="1"/>
  <c r="V69" i="1"/>
  <c r="U69" i="1"/>
  <c r="T69" i="1"/>
  <c r="S69" i="1"/>
  <c r="U71" i="1"/>
  <c r="U98" i="1"/>
  <c r="U101" i="1"/>
  <c r="X71" i="1"/>
  <c r="X114" i="1"/>
  <c r="X117" i="1"/>
  <c r="X120" i="1"/>
  <c r="Y74" i="1"/>
  <c r="Y75" i="1"/>
  <c r="Y109" i="1"/>
  <c r="Y108" i="1"/>
  <c r="Y100" i="1"/>
  <c r="AC113" i="1"/>
  <c r="Z109" i="1"/>
  <c r="X95" i="1"/>
  <c r="R69" i="1"/>
  <c r="Q69" i="1"/>
  <c r="P69" i="1"/>
  <c r="O69" i="1"/>
  <c r="N69" i="1"/>
  <c r="M69" i="1"/>
  <c r="L69" i="1"/>
  <c r="K69" i="1"/>
  <c r="J69" i="1"/>
  <c r="I69" i="1"/>
  <c r="H69" i="1"/>
  <c r="U113" i="1"/>
  <c r="Z75" i="1"/>
  <c r="I71" i="1"/>
  <c r="I113" i="1"/>
  <c r="I116" i="1"/>
  <c r="N71" i="1"/>
  <c r="N105" i="1"/>
  <c r="N110" i="1"/>
  <c r="AB72" i="1"/>
  <c r="AB113" i="1"/>
  <c r="AB116" i="1"/>
  <c r="AC114" i="1"/>
  <c r="AC117" i="1"/>
  <c r="AC120" i="1"/>
  <c r="AD98" i="1"/>
  <c r="AD102" i="1"/>
  <c r="AD113" i="1"/>
  <c r="AE72" i="1"/>
  <c r="AE114" i="1"/>
  <c r="AE117" i="1"/>
  <c r="AE120" i="1"/>
  <c r="Z102" i="1"/>
  <c r="Z108" i="1"/>
  <c r="I98" i="1"/>
  <c r="I101" i="1"/>
  <c r="M71" i="1"/>
  <c r="M98" i="1"/>
  <c r="M102" i="1"/>
  <c r="Y93" i="1"/>
  <c r="Y95" i="1"/>
  <c r="L71" i="1"/>
  <c r="L72" i="1"/>
  <c r="L75" i="1"/>
  <c r="L93" i="1"/>
  <c r="V71" i="1"/>
  <c r="V105" i="1"/>
  <c r="V110" i="1"/>
  <c r="L98" i="1"/>
  <c r="L101" i="1"/>
  <c r="P71" i="1"/>
  <c r="P105" i="1"/>
  <c r="P110" i="1"/>
  <c r="X98" i="1"/>
  <c r="AD72" i="1"/>
  <c r="Z110" i="1"/>
  <c r="AC105" i="1"/>
  <c r="U102" i="1"/>
  <c r="Q71" i="1"/>
  <c r="H71" i="1"/>
  <c r="S71" i="1"/>
  <c r="G69" i="1"/>
  <c r="G71" i="1"/>
  <c r="G72" i="1"/>
  <c r="U105" i="1"/>
  <c r="R71" i="1"/>
  <c r="O71" i="1"/>
  <c r="O105" i="1"/>
  <c r="S72" i="1"/>
  <c r="L105" i="1"/>
  <c r="G105" i="1"/>
  <c r="U72" i="1"/>
  <c r="U75" i="1"/>
  <c r="U76" i="1"/>
  <c r="S74" i="1"/>
  <c r="J71" i="1"/>
  <c r="J105" i="1"/>
  <c r="J108" i="1"/>
  <c r="R72" i="1"/>
  <c r="R75" i="1"/>
  <c r="R93" i="1"/>
  <c r="G113" i="1"/>
  <c r="U108" i="1"/>
  <c r="L113" i="1"/>
  <c r="F69" i="1"/>
  <c r="F71" i="1"/>
  <c r="F72" i="1"/>
  <c r="F75" i="1"/>
  <c r="E95" i="1"/>
  <c r="S114" i="1"/>
  <c r="N72" i="1"/>
  <c r="N74" i="1"/>
  <c r="R113" i="1"/>
  <c r="L108" i="1"/>
  <c r="O110" i="1"/>
  <c r="U93" i="1"/>
  <c r="L109" i="1"/>
  <c r="K71" i="1"/>
  <c r="K72" i="1"/>
  <c r="K74" i="1"/>
  <c r="K75" i="1"/>
  <c r="O108" i="1"/>
  <c r="G110" i="1"/>
  <c r="P72" i="1"/>
  <c r="P75" i="1"/>
  <c r="P93" i="1"/>
  <c r="F93" i="1"/>
  <c r="O95" i="1"/>
  <c r="L110" i="1"/>
  <c r="E69" i="1"/>
  <c r="E71" i="1"/>
  <c r="E72" i="1"/>
  <c r="E75" i="1"/>
  <c r="D95" i="1"/>
  <c r="S98" i="1"/>
  <c r="P76" i="1"/>
  <c r="O72" i="1"/>
  <c r="O75" i="1"/>
  <c r="O92" i="1"/>
  <c r="O91" i="1"/>
  <c r="W71" i="1"/>
  <c r="W98" i="1"/>
  <c r="W101" i="1"/>
  <c r="L116" i="1"/>
  <c r="U100" i="1"/>
  <c r="J98" i="1"/>
  <c r="J113" i="1"/>
  <c r="V113" i="1"/>
  <c r="Z74" i="1"/>
  <c r="G75" i="1"/>
  <c r="S105" i="1"/>
  <c r="Q95" i="1"/>
  <c r="Z91" i="1"/>
  <c r="J100" i="1"/>
  <c r="I114" i="1"/>
  <c r="N75" i="1"/>
  <c r="M95" i="1"/>
  <c r="N113" i="1"/>
  <c r="Z95" i="1"/>
  <c r="J72" i="1"/>
  <c r="J75" i="1"/>
  <c r="T71" i="1"/>
  <c r="Y101" i="1"/>
  <c r="H114" i="1"/>
  <c r="H117" i="1"/>
  <c r="U114" i="1"/>
  <c r="N98" i="1"/>
  <c r="I102" i="1"/>
  <c r="R74" i="1"/>
  <c r="P74" i="1"/>
  <c r="K113" i="1"/>
  <c r="K116" i="1"/>
  <c r="I100" i="1"/>
  <c r="G116" i="1"/>
  <c r="G119" i="1"/>
  <c r="Y102" i="1"/>
  <c r="L114" i="1"/>
  <c r="H113" i="1"/>
  <c r="F91" i="1"/>
  <c r="AB98" i="1"/>
  <c r="AC98" i="1"/>
  <c r="AC116" i="1"/>
  <c r="AD101" i="1"/>
  <c r="AE74" i="1"/>
  <c r="X113" i="1"/>
  <c r="L100" i="1"/>
  <c r="U92" i="1"/>
  <c r="O109" i="1"/>
  <c r="G74" i="1"/>
  <c r="N109" i="1"/>
  <c r="J110" i="1"/>
  <c r="K93" i="1"/>
  <c r="P98" i="1"/>
  <c r="P102" i="1"/>
  <c r="I119" i="1"/>
  <c r="F98" i="1"/>
  <c r="F101" i="1"/>
  <c r="J95" i="1"/>
  <c r="R76" i="1"/>
  <c r="F76" i="1"/>
  <c r="O93" i="1"/>
  <c r="M105" i="1"/>
  <c r="M110" i="1"/>
  <c r="AB119" i="1"/>
  <c r="AD75" i="1"/>
  <c r="AE75" i="1"/>
  <c r="K119" i="1"/>
  <c r="Q98" i="1"/>
  <c r="Q101" i="1"/>
  <c r="AE93" i="1"/>
  <c r="G108" i="1"/>
  <c r="P91" i="1"/>
  <c r="J109" i="1"/>
  <c r="K91" i="1"/>
  <c r="AB75" i="1"/>
  <c r="AB114" i="1"/>
  <c r="AC102" i="1"/>
  <c r="AD114" i="1"/>
  <c r="AD117" i="1"/>
  <c r="AD120" i="1"/>
  <c r="AE98" i="1"/>
  <c r="Z100" i="1"/>
  <c r="E114" i="1"/>
  <c r="R91" i="1"/>
  <c r="M114" i="1"/>
  <c r="U110" i="1"/>
  <c r="M108" i="1"/>
  <c r="P114" i="1"/>
  <c r="P117" i="1"/>
  <c r="P120" i="1"/>
  <c r="J114" i="1"/>
  <c r="J117" i="1"/>
  <c r="AB101" i="1"/>
  <c r="AC109" i="1"/>
  <c r="AD76" i="1"/>
  <c r="AC72" i="1"/>
  <c r="AC75" i="1"/>
  <c r="AC92" i="1"/>
  <c r="X72" i="1"/>
  <c r="X75" i="1"/>
  <c r="X93" i="1"/>
  <c r="AB95" i="1"/>
  <c r="P100" i="1"/>
  <c r="M117" i="1"/>
  <c r="M120" i="1"/>
  <c r="S75" i="1"/>
  <c r="S76" i="1"/>
  <c r="AD74" i="1"/>
  <c r="S91" i="1"/>
  <c r="O113" i="1"/>
  <c r="E92" i="1"/>
  <c r="M109" i="1"/>
  <c r="E113" i="1"/>
  <c r="R92" i="1"/>
  <c r="E91" i="1"/>
  <c r="S117" i="1"/>
  <c r="P92" i="1"/>
  <c r="N108" i="1"/>
  <c r="H98" i="1"/>
  <c r="S113" i="1"/>
  <c r="S116" i="1"/>
  <c r="S119" i="1"/>
  <c r="T95" i="1"/>
  <c r="K98" i="1"/>
  <c r="U116" i="1"/>
  <c r="AB117" i="1"/>
  <c r="AB120" i="1"/>
  <c r="M72" i="1"/>
  <c r="H72" i="1"/>
  <c r="M75" i="1"/>
  <c r="Z93" i="1"/>
  <c r="S102" i="1"/>
  <c r="T113" i="1"/>
  <c r="T116" i="1"/>
  <c r="T119" i="1"/>
  <c r="I105" i="1"/>
  <c r="AC108" i="1"/>
  <c r="K114" i="1"/>
  <c r="K117" i="1"/>
  <c r="O74" i="1"/>
  <c r="S120" i="1"/>
  <c r="J91" i="1"/>
  <c r="Z101" i="1"/>
  <c r="S108" i="1"/>
  <c r="L92" i="1"/>
  <c r="L95" i="1"/>
  <c r="K105" i="1"/>
  <c r="K109" i="1"/>
  <c r="Q102" i="1"/>
  <c r="P101" i="1"/>
  <c r="Y91" i="1"/>
  <c r="F113" i="1"/>
  <c r="F116" i="1"/>
  <c r="M113" i="1"/>
  <c r="M116" i="1"/>
  <c r="V98" i="1"/>
  <c r="W114" i="1"/>
  <c r="AD91" i="1"/>
  <c r="R98" i="1"/>
  <c r="R102" i="1"/>
  <c r="AE91" i="1"/>
  <c r="AD100" i="1"/>
  <c r="N102" i="1"/>
  <c r="N101" i="1"/>
  <c r="S92" i="1"/>
  <c r="AC101" i="1"/>
  <c r="W102" i="1"/>
  <c r="AB93" i="1"/>
  <c r="X101" i="1"/>
  <c r="J76" i="1"/>
  <c r="E74" i="1"/>
  <c r="K95" i="1"/>
  <c r="AB91" i="1"/>
  <c r="Q72" i="1"/>
  <c r="Q74" i="1"/>
  <c r="J74" i="1"/>
  <c r="Q75" i="1"/>
  <c r="P95" i="1"/>
  <c r="Q91" i="1"/>
  <c r="N95" i="1"/>
  <c r="G98" i="1"/>
  <c r="G102" i="1"/>
  <c r="V109" i="1"/>
  <c r="V108" i="1"/>
  <c r="Q92" i="1"/>
  <c r="L91" i="1"/>
  <c r="N100" i="1"/>
  <c r="G114" i="1"/>
  <c r="G117" i="1"/>
  <c r="G120" i="1"/>
  <c r="H105" i="1"/>
  <c r="E98" i="1"/>
  <c r="E102" i="1"/>
  <c r="P109" i="1"/>
  <c r="E100" i="1"/>
  <c r="E101" i="1"/>
  <c r="V72" i="1"/>
  <c r="V75" i="1"/>
  <c r="U95" i="1"/>
  <c r="H101" i="1"/>
  <c r="AB92" i="1"/>
  <c r="V102" i="1"/>
  <c r="X116" i="1"/>
  <c r="T98" i="1"/>
  <c r="T100" i="1"/>
  <c r="X92" i="1"/>
  <c r="H100" i="1"/>
  <c r="R100" i="1"/>
  <c r="Q105" i="1"/>
  <c r="I72" i="1"/>
  <c r="H120" i="1"/>
  <c r="V114" i="1"/>
  <c r="W95" i="1"/>
  <c r="F114" i="1"/>
  <c r="F117" i="1"/>
  <c r="Q113" i="1"/>
  <c r="Q116" i="1"/>
  <c r="O116" i="1"/>
  <c r="E116" i="1"/>
  <c r="E119" i="1"/>
  <c r="F120" i="1"/>
  <c r="N114" i="1"/>
  <c r="N117" i="1"/>
  <c r="R116" i="1"/>
  <c r="AE113" i="1"/>
  <c r="E76" i="1"/>
  <c r="W72" i="1"/>
  <c r="W75" i="1"/>
  <c r="W92" i="1"/>
  <c r="W100" i="1"/>
  <c r="W113" i="1"/>
  <c r="W116" i="1"/>
  <c r="AB105" i="1"/>
  <c r="AD105" i="1"/>
  <c r="AE105" i="1"/>
  <c r="AB74" i="1"/>
  <c r="AB102" i="1"/>
  <c r="AC100" i="1"/>
  <c r="AC119" i="1"/>
  <c r="AC95" i="1"/>
  <c r="AD116" i="1"/>
  <c r="AE116" i="1"/>
  <c r="X105" i="1"/>
  <c r="F92" i="1"/>
  <c r="U109" i="1"/>
  <c r="G109" i="1"/>
  <c r="S101" i="1"/>
  <c r="P113" i="1"/>
  <c r="P116" i="1"/>
  <c r="O98" i="1"/>
  <c r="Y92" i="1"/>
  <c r="Q114" i="1"/>
  <c r="O114" i="1"/>
  <c r="H116" i="1"/>
  <c r="N116" i="1"/>
  <c r="N119" i="1"/>
  <c r="R114" i="1"/>
  <c r="R117" i="1"/>
  <c r="T114" i="1"/>
  <c r="T117" i="1"/>
  <c r="V116" i="1"/>
  <c r="R105" i="1"/>
  <c r="T105" i="1"/>
  <c r="S110" i="1"/>
  <c r="K102" i="1"/>
  <c r="O100" i="1"/>
  <c r="X74" i="1"/>
  <c r="AC76" i="1"/>
  <c r="Q117" i="1"/>
  <c r="AD95" i="1"/>
  <c r="AA95" i="1"/>
  <c r="V74" i="1"/>
  <c r="L76" i="1"/>
  <c r="F102" i="1"/>
  <c r="T72" i="1"/>
  <c r="T75" i="1"/>
  <c r="T76" i="1"/>
  <c r="I110" i="1"/>
  <c r="R109" i="1"/>
  <c r="N120" i="1"/>
  <c r="G93" i="1"/>
  <c r="G101" i="1"/>
  <c r="G100" i="1"/>
  <c r="F105" i="1"/>
  <c r="F108" i="1"/>
  <c r="R110" i="1"/>
  <c r="Q110" i="1"/>
  <c r="I95" i="1"/>
  <c r="Q76" i="1"/>
  <c r="F100" i="1"/>
  <c r="T91" i="1"/>
  <c r="O101" i="1"/>
  <c r="H102" i="1"/>
  <c r="W105" i="1"/>
  <c r="M100" i="1"/>
  <c r="V76" i="1"/>
  <c r="V91" i="1"/>
  <c r="P108" i="1"/>
  <c r="V93" i="1"/>
  <c r="W109" i="1"/>
  <c r="K76" i="1"/>
  <c r="N76" i="1"/>
  <c r="AB100" i="1"/>
  <c r="U91" i="1"/>
  <c r="K92" i="1"/>
  <c r="O102" i="1"/>
  <c r="W91" i="1"/>
  <c r="M119" i="1"/>
  <c r="AE101" i="1"/>
  <c r="I117" i="1"/>
  <c r="I120" i="1"/>
  <c r="R95" i="1"/>
  <c r="Q120" i="1"/>
  <c r="R119" i="1"/>
  <c r="AE92" i="1"/>
  <c r="AB108" i="1"/>
  <c r="AE109" i="1"/>
  <c r="J102" i="1"/>
  <c r="AD119" i="1"/>
  <c r="G76" i="1"/>
  <c r="H74" i="1"/>
  <c r="T109" i="1"/>
  <c r="L74" i="1"/>
  <c r="M93" i="1"/>
  <c r="N93" i="1"/>
  <c r="Q108" i="1"/>
  <c r="J92" i="1"/>
  <c r="Q93" i="1"/>
  <c r="U74" i="1"/>
  <c r="T92" i="1"/>
  <c r="Q109" i="1"/>
  <c r="E93" i="1"/>
  <c r="T101" i="1"/>
  <c r="J93" i="1"/>
  <c r="X100" i="1"/>
  <c r="K110" i="1"/>
  <c r="H75" i="1"/>
  <c r="G95" i="1"/>
  <c r="S109" i="1"/>
  <c r="H91" i="1"/>
  <c r="I74" i="1"/>
  <c r="M92" i="1"/>
  <c r="E117" i="1"/>
  <c r="E120" i="1"/>
  <c r="P119" i="1"/>
  <c r="O119" i="1"/>
  <c r="K108" i="1"/>
  <c r="X102" i="1"/>
  <c r="H108" i="1"/>
  <c r="H109" i="1"/>
  <c r="V92" i="1"/>
  <c r="W108" i="1"/>
  <c r="H110" i="1"/>
  <c r="AD110" i="1"/>
  <c r="W119" i="1"/>
  <c r="W110" i="1"/>
  <c r="AE108" i="1"/>
  <c r="AD108" i="1"/>
  <c r="H119" i="1"/>
  <c r="I108" i="1"/>
  <c r="AD109" i="1"/>
  <c r="W74" i="1"/>
  <c r="F110" i="1"/>
  <c r="R120" i="1"/>
  <c r="U117" i="1"/>
  <c r="U120" i="1"/>
  <c r="K120" i="1"/>
  <c r="AB110" i="1"/>
  <c r="F95" i="1"/>
  <c r="T93" i="1"/>
  <c r="F109" i="1"/>
  <c r="I109" i="1"/>
  <c r="N91" i="1"/>
  <c r="H93" i="1"/>
  <c r="M74" i="1"/>
  <c r="T102" i="1"/>
  <c r="M76" i="1"/>
  <c r="R108" i="1"/>
  <c r="M91" i="1"/>
  <c r="O76" i="1"/>
  <c r="L117" i="1"/>
  <c r="L120" i="1"/>
  <c r="X76" i="1"/>
  <c r="L119" i="1"/>
  <c r="X91" i="1"/>
  <c r="L102" i="1"/>
  <c r="V119" i="1"/>
  <c r="Y110" i="1"/>
  <c r="Y76" i="1"/>
  <c r="E105" i="1"/>
  <c r="AB109" i="1"/>
  <c r="X109" i="1"/>
  <c r="Q100" i="1"/>
  <c r="O117" i="1"/>
  <c r="F119" i="1"/>
  <c r="AC110" i="1"/>
  <c r="W117" i="1"/>
  <c r="V117" i="1"/>
  <c r="J120" i="1"/>
  <c r="V95" i="1"/>
  <c r="J116" i="1"/>
  <c r="J119" i="1"/>
  <c r="N92" i="1"/>
  <c r="I75" i="1"/>
  <c r="AE100" i="1"/>
  <c r="S95" i="1"/>
  <c r="I93" i="1"/>
  <c r="H92" i="1"/>
  <c r="Q119" i="1"/>
  <c r="J101" i="1"/>
  <c r="S100" i="1"/>
  <c r="U119" i="1"/>
  <c r="G91" i="1"/>
  <c r="X119" i="1"/>
  <c r="Z92" i="1"/>
  <c r="Z76" i="1"/>
  <c r="K100" i="1"/>
  <c r="AE76" i="1"/>
  <c r="AC91" i="1"/>
  <c r="S93" i="1"/>
  <c r="R101" i="1"/>
  <c r="M101" i="1"/>
  <c r="F74" i="1"/>
  <c r="H76" i="1"/>
  <c r="G92" i="1"/>
  <c r="K101" i="1"/>
  <c r="X110" i="1"/>
  <c r="V100" i="1"/>
  <c r="O120" i="1"/>
  <c r="AD92" i="1"/>
  <c r="AC93" i="1"/>
  <c r="AB76" i="1"/>
  <c r="AE102" i="1"/>
  <c r="V101" i="1"/>
  <c r="AC74" i="1"/>
  <c r="AD93" i="1"/>
  <c r="W76" i="1"/>
  <c r="T108" i="1"/>
  <c r="AE110" i="1"/>
  <c r="T120" i="1"/>
  <c r="AE119" i="1"/>
  <c r="T110" i="1"/>
  <c r="X108" i="1"/>
  <c r="W93" i="1"/>
  <c r="I91" i="1"/>
  <c r="E108" i="1"/>
  <c r="I76" i="1"/>
  <c r="E110" i="1"/>
  <c r="I92" i="1"/>
  <c r="T74" i="1"/>
  <c r="W120" i="1"/>
  <c r="V120" i="1"/>
  <c r="H95" i="1"/>
  <c r="E1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<sst xmlns="http://schemas.openxmlformats.org/spreadsheetml/2006/main" count="668" uniqueCount="529">
  <si>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</si>
  <si>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</si>
  <si>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</si>
  <si>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</si>
  <si>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</si>
  <si>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</si>
  <si>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</si>
  <si>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</si>
  <si>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</si>
  <si>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</si>
  <si>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</si>
  <si>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</si>
  <si>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</si>
  <si>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</si>
  <si>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</si>
  <si>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</si>
  <si>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</si>
  <si>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</si>
  <si>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</si>
  <si>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</si>
  <si>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</si>
  <si>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</si>
  <si>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</si>
  <si>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</si>
  <si>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</si>
  <si>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</si>
  <si>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</si>
  <si>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</si>
  <si>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</si>
  <si>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</si>
  <si>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</si>
  <si>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</si>
  <si>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</si>
  <si>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</si>
  <si>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</si>
  <si>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</si>
  <si>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</si>
  <si>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</si>
  <si>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</si>
  <si>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</si>
  <si>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</si>
  <si>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</si>
  <si>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</si>
  <si>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</si>
  <si>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</si>
  <si>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</si>
  <si>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</si>
  <si>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</si>
  <si>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</si>
  <si>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</si>
  <si>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</si>
  <si>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</si>
  <si>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</si>
  <si>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</si>
  <si>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</si>
  <si>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</si>
  <si>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</si>
  <si>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</si>
  <si>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</si>
  <si>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</si>
  <si>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</si>
  <si>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</si>
  <si>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</si>
  <si>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</si>
  <si>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</si>
  <si>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</si>
  <si>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</si>
  <si>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</si>
  <si>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</si>
  <si>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</si>
  <si>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</si>
  <si>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</si>
  <si>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</si>
  <si>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</si>
  <si>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</si>
  <si>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</si>
  <si>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</si>
  <si>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</si>
  <si>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</si>
  <si>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</si>
  <si>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</si>
  <si>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</si>
  <si>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</si>
  <si>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</si>
  <si>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</si>
  <si>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</si>
  <si>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</si>
  <si>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</si>
  <si>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</si>
  <si>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</si>
  <si>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</si>
  <si>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</si>
  <si>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</si>
  <si>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</si>
  <si>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</si>
  <si>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</si>
  <si>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</si>
  <si>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</si>
  <si>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</si>
  <si>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</si>
  <si>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</si>
  <si>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</si>
  <si>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</si>
  <si>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</si>
  <si>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</si>
  <si>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</si>
  <si>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</si>
  <si>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</si>
  <si>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</si>
  <si>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</si>
  <si>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</si>
  <si>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</si>
  <si>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</si>
  <si>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</si>
  <si>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</si>
  <si>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</si>
  <si>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</si>
  <si>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</si>
  <si>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</si>
  <si>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</si>
  <si>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</si>
  <si>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</si>
  <si>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</si>
  <si>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</si>
  <si>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</si>
  <si>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</si>
  <si>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</si>
  <si>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</si>
  <si>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</si>
  <si>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</si>
  <si>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</si>
  <si>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</si>
  <si>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</si>
  <si>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</si>
  <si>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</si>
  <si>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</si>
  <si>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</si>
  <si>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</si>
  <si>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</si>
  <si>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</si>
  <si>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</si>
  <si>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</si>
  <si>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</si>
  <si>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</si>
  <si>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</si>
  <si>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</si>
  <si>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</si>
  <si>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</si>
  <si>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</si>
  <si>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</si>
  <si>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</si>
  <si>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</si>
  <si>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</si>
  <si>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</si>
  <si>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</si>
  <si>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</si>
  <si>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</si>
  <si>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</si>
  <si>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</si>
  <si>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</si>
  <si>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</si>
  <si>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</si>
  <si>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</si>
  <si>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</si>
  <si>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</si>
  <si>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</si>
  <si>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</si>
  <si>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</si>
  <si>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</si>
  <si>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</si>
  <si>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</si>
  <si>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</si>
  <si>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</si>
  <si>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</si>
  <si>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</si>
  <si>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</si>
  <si>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</si>
  <si>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</si>
  <si>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</si>
  <si>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</si>
  <si>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</si>
  <si>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</si>
  <si>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</si>
  <si>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</si>
  <si>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</si>
  <si>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</si>
  <si>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</si>
  <si>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</si>
  <si>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</si>
  <si>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</si>
  <si>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</si>
  <si>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</si>
  <si>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</si>
  <si>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</si>
  <si>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</si>
  <si>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</si>
  <si>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</si>
  <si>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</si>
  <si>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</si>
  <si>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</si>
  <si>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</si>
  <si>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</si>
  <si>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</si>
  <si>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</si>
  <si>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</si>
  <si>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</si>
  <si>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</si>
  <si>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</si>
  <si>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</si>
  <si>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</si>
  <si>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</si>
  <si>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</si>
  <si>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</si>
  <si>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</si>
  <si>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</si>
  <si>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</si>
  <si>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</si>
  <si>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</si>
  <si>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</si>
  <si>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</si>
  <si>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</si>
  <si>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</si>
  <si>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</si>
  <si>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</si>
  <si>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</si>
  <si>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</si>
  <si>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</si>
  <si>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</si>
  <si>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</si>
  <si>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</si>
  <si>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</si>
  <si>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</si>
  <si>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</si>
  <si>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</si>
  <si>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</si>
  <si>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</si>
  <si>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</si>
  <si>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</si>
  <si>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</si>
  <si>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</si>
  <si>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</si>
  <si>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</si>
  <si>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</si>
  <si>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</si>
  <si>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</si>
  <si>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</si>
  <si>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</si>
  <si>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</si>
  <si>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</si>
  <si>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</si>
  <si>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</si>
  <si>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</si>
  <si>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</si>
  <si>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</si>
  <si>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</si>
  <si>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</si>
  <si>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</si>
  <si>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</si>
  <si>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</si>
  <si>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</si>
  <si>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</si>
  <si>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</si>
  <si>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</si>
  <si>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</si>
  <si>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</si>
  <si>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</si>
  <si>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</si>
  <si>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</si>
  <si>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</si>
  <si>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</si>
  <si>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</si>
  <si>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</si>
  <si>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</si>
  <si>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</si>
  <si>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</si>
  <si>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</si>
  <si>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</si>
  <si>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</si>
  <si>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</si>
  <si>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</si>
  <si>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</si>
  <si>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</si>
  <si>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</si>
  <si>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</si>
  <si>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</si>
  <si>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</si>
  <si>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</si>
  <si>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</si>
  <si>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</si>
  <si>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</si>
  <si>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</si>
  <si>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</si>
  <si>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</si>
  <si>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</si>
  <si>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</si>
  <si>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</si>
  <si>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</si>
  <si>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</si>
  <si>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</si>
  <si>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</si>
  <si>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</si>
  <si>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</si>
  <si>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</si>
  <si>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</si>
  <si>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</si>
  <si>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</si>
  <si>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</si>
  <si>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</si>
  <si>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</si>
  <si>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</si>
  <si>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</si>
  <si>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</si>
  <si>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</si>
  <si>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</si>
  <si>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</si>
  <si>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</si>
  <si>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</si>
  <si>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</si>
  <si>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</si>
  <si>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</si>
  <si>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</si>
  <si>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</si>
  <si>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</si>
  <si>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</si>
  <si>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</si>
  <si>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</si>
  <si>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</si>
  <si>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</si>
  <si>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</si>
  <si>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</si>
  <si>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</si>
  <si>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</si>
  <si>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</si>
  <si>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</si>
  <si>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</si>
  <si>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</si>
  <si>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</si>
  <si>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</si>
  <si>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</si>
  <si>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</si>
  <si>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</si>
  <si>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</si>
  <si>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</si>
  <si>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</si>
  <si>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</si>
  <si>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</si>
  <si>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</si>
  <si>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</si>
  <si>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</si>
  <si>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</si>
  <si>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</si>
  <si>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</si>
  <si>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</si>
  <si>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</si>
  <si>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</si>
  <si>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</si>
  <si>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</si>
  <si>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</si>
  <si>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</si>
  <si>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</si>
  <si>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</si>
  <si>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</si>
  <si>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</si>
  <si>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</si>
  <si>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</si>
  <si>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</si>
  <si>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</si>
  <si>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</si>
  <si>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</si>
  <si>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</si>
  <si>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</si>
  <si>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</si>
  <si>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</si>
  <si>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</si>
  <si>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</si>
  <si>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</si>
  <si>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</si>
  <si>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</si>
  <si>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</si>
  <si>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</si>
  <si>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</si>
  <si>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</si>
  <si>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</si>
  <si>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</si>
  <si>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</si>
  <si>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</si>
  <si>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</si>
  <si>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</si>
  <si>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</si>
  <si>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</si>
  <si>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</si>
  <si>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</si>
  <si>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</si>
  <si>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</si>
  <si>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</si>
  <si>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</si>
  <si>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</si>
  <si>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</si>
  <si>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</si>
  <si>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</si>
  <si>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</si>
  <si>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</si>
  <si>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</si>
  <si>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</si>
  <si>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</si>
  <si>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</si>
  <si>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</si>
  <si>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</si>
  <si>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</si>
  <si>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</si>
  <si>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</si>
  <si>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</si>
  <si>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</si>
  <si>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</si>
  <si>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</si>
  <si>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</si>
  <si>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</si>
  <si>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</si>
  <si>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</si>
  <si>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</si>
  <si>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</si>
  <si>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</si>
  <si>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</si>
  <si>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</si>
  <si>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</si>
  <si>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</si>
  <si>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</si>
  <si>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</si>
  <si>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</si>
  <si>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</si>
  <si>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</si>
  <si>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</si>
  <si>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</si>
  <si>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</si>
  <si>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</si>
  <si>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</si>
  <si>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</si>
  <si>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</si>
  <si>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</si>
  <si>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</si>
  <si>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</si>
  <si>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</si>
  <si>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</si>
  <si>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</si>
  <si>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</si>
  <si>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</si>
  <si>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</si>
  <si>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</si>
  <si>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</si>
  <si>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</si>
  <si>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</si>
  <si>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</si>
  <si>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</si>
  <si>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</si>
  <si>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</si>
  <si>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</si>
  <si>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</si>
  <si>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</si>
  <si>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</si>
  <si>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</si>
  <si>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</si>
  <si>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</si>
  <si>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</si>
  <si>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</si>
  <si>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</si>
  <si>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</si>
  <si>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</si>
  <si>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</si>
  <si>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</si>
  <si>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</si>
  <si>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</si>
  <si>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</si>
  <si>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</si>
  <si>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</si>
  <si>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</si>
  <si>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</si>
  <si>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</si>
  <si>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</si>
  <si>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</si>
  <si>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</si>
  <si>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</si>
  <si>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</si>
  <si>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</si>
  <si>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</si>
  <si>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</si>
  <si>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</si>
  <si>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</si>
  <si>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</si>
  <si>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</si>
  <si>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</si>
  <si>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</si>
  <si>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</si>
  <si>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</si>
  <si>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</si>
  <si>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</si>
  <si>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</si>
  <si>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</si>
  <si>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</si>
  <si>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</si>
  <si>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</si>
  <si>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</si>
  <si>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</si>
  <si>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</si>
  <si>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</si>
  <si>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</si>
  <si>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</si>
  <si>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</si>
  <si>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</si>
  <si>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</si>
  <si>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</si>
  <si>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</si>
  <si>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</si>
  <si>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</si>
  <si>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</si>
  <si>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</si>
  <si>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Technologies Ltd.</t>
  </si>
  <si>
    <t>DATE</t>
  </si>
  <si>
    <t>ADJHIGH</t>
  </si>
  <si>
    <t>ADJCLOSE</t>
  </si>
  <si>
    <t>ADJLOW</t>
  </si>
  <si>
    <t>ADJOPEN</t>
  </si>
  <si>
    <t>CLOSE</t>
  </si>
  <si>
    <t>VOLUME</t>
  </si>
  <si>
    <t>Revenue Mn $</t>
  </si>
  <si>
    <t>Forex</t>
  </si>
  <si>
    <t>Revenue Mn $ QoQ%</t>
  </si>
  <si>
    <t>Employee</t>
  </si>
  <si>
    <t>Net Employee Additions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</si>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</sst>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165" fontId="18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165" fontId="18" fillId="2" borderId="0" xfId="2" applyNumberFormat="1" applyFont="1" applyFill="1" applyAlignment="1">
      <alignment horizontal="center"/>
    </xf>
    <xf numFmtId="165" fontId="5" fillId="7" borderId="0" xfId="2" applyNumberFormat="1" applyFont="1" applyFill="1"/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0"/>
  <sheetViews>
    <sheetView tabSelected="1" zoomScaleNormal="100"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A6" sqref="AA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Technologies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9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>
        <f>+SUM(BW4:BZ4)</f>
        <v>306.89999999999998</v>
      </c>
      <c r="Y4" s="107">
        <f>+SUM(CA4:CD4)</f>
        <v>617.9</v>
      </c>
      <c r="Z4" s="107">
        <f>+SUM(CE4:CH4)</f>
        <v>610.70000000000005</v>
      </c>
      <c r="AA4" s="108">
        <f>SUM(CI4:CL4)</f>
        <v>619.70000000000005</v>
      </c>
      <c r="AB4" s="108">
        <f>+SUM(CM4:CP4)</f>
        <v>0</v>
      </c>
      <c r="AC4" s="108">
        <f>+SUM(CQ4:CT4)</f>
        <v>0</v>
      </c>
      <c r="AD4" s="108">
        <f>+SUM(CU4:CX4)</f>
        <v>0</v>
      </c>
      <c r="AE4" s="108">
        <f>+SUM(CY4:DB4)</f>
        <v>0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>
        <v>136.5</v>
      </c>
      <c r="BZ4" s="107">
        <v>170.4</v>
      </c>
      <c r="CA4" s="107">
        <v>153.1</v>
      </c>
      <c r="CB4" s="107">
        <v>153.4</v>
      </c>
      <c r="CC4" s="107">
        <v>154.80000000000001</v>
      </c>
      <c r="CD4" s="107">
        <v>156.6</v>
      </c>
      <c r="CE4" s="107">
        <v>152.1</v>
      </c>
      <c r="CF4" s="107">
        <v>154.6</v>
      </c>
      <c r="CG4" s="107">
        <v>155.69999999999999</v>
      </c>
      <c r="CH4" s="107">
        <v>148.30000000000001</v>
      </c>
      <c r="CI4" s="107">
        <v>145.30000000000001</v>
      </c>
      <c r="CJ4" s="107">
        <v>150.9</v>
      </c>
      <c r="CK4" s="107">
        <v>152.69999999999999</v>
      </c>
      <c r="CL4" s="107">
        <v>170.8</v>
      </c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E4" s="117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>
        <f>+BZ5</f>
        <v>82.299882629107998</v>
      </c>
      <c r="Y5" s="156">
        <f>+CD5</f>
        <v>83.08109833971902</v>
      </c>
      <c r="Z5" s="156">
        <f>+CH5</f>
        <v>85.46</v>
      </c>
      <c r="AA5" s="24">
        <f t="shared" ref="AA5" si="32">+CL5</f>
        <v>93.48</v>
      </c>
      <c r="AB5" s="24">
        <f t="shared" ref="AB5" si="33">+CP5</f>
        <v>0</v>
      </c>
      <c r="AC5" s="24">
        <f t="shared" ref="AC5" si="34">+CT5</f>
        <v>0</v>
      </c>
      <c r="AD5" s="24">
        <f t="shared" ref="AD5" si="35">+CX5</f>
        <v>0</v>
      </c>
      <c r="AE5" s="24">
        <f t="shared" ref="AE5" si="36">+DB5</f>
        <v>0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>
        <v>82.336263736263746</v>
      </c>
      <c r="BZ5" s="156">
        <v>82.299882629107998</v>
      </c>
      <c r="CA5" s="156">
        <v>82.137818419333755</v>
      </c>
      <c r="CB5" s="156">
        <v>82.735984354628428</v>
      </c>
      <c r="CC5" s="156">
        <v>83.297803617571063</v>
      </c>
      <c r="CD5" s="156">
        <v>83.08109833971902</v>
      </c>
      <c r="CE5" s="156">
        <v>83.429980276134131</v>
      </c>
      <c r="CF5" s="156">
        <v>83.75</v>
      </c>
      <c r="CG5" s="156">
        <v>83.554000000000002</v>
      </c>
      <c r="CH5" s="156">
        <v>85.46</v>
      </c>
      <c r="CI5" s="156">
        <v>85.7</v>
      </c>
      <c r="CJ5" s="156">
        <v>88.840999999999994</v>
      </c>
      <c r="CK5" s="156">
        <v>89.870999999999995</v>
      </c>
      <c r="CL5" s="156">
        <v>93.48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89">
        <f t="shared" ref="BZ6:CD6" si="37">+BZ4/BY4-1</f>
        <v>0.24835164835164836</v>
      </c>
      <c r="CA6" s="189">
        <f t="shared" si="37"/>
        <v>-0.10152582159624424</v>
      </c>
      <c r="CB6" s="189">
        <f t="shared" si="37"/>
        <v>1.9595035924233617E-3</v>
      </c>
      <c r="CC6" s="189">
        <f t="shared" si="37"/>
        <v>9.1264667535855271E-3</v>
      </c>
      <c r="CD6" s="189">
        <f t="shared" si="37"/>
        <v>1.1627906976743985E-2</v>
      </c>
      <c r="CE6" s="189">
        <f>+CE4/CD4-1</f>
        <v>-2.8735632183908066E-2</v>
      </c>
      <c r="CF6" s="189">
        <f t="shared" ref="CF6:CJ6" si="38">+CF4/CE4-1</f>
        <v>1.643655489809337E-2</v>
      </c>
      <c r="CG6" s="189">
        <f t="shared" si="38"/>
        <v>7.115135834411257E-3</v>
      </c>
      <c r="CH6" s="189">
        <f t="shared" si="38"/>
        <v>-4.7527296082209181E-2</v>
      </c>
      <c r="CI6" s="189">
        <f t="shared" si="38"/>
        <v>-2.0229265003371522E-2</v>
      </c>
      <c r="CJ6" s="189">
        <f t="shared" si="38"/>
        <v>3.8540949759118925E-2</v>
      </c>
      <c r="CK6" s="189">
        <f t="shared" ref="CK6" si="39">+CK4/CJ4-1</f>
        <v>1.1928429423459175E-2</v>
      </c>
      <c r="CL6" s="189">
        <f t="shared" ref="CL6" si="40">+CL4/CK4-1</f>
        <v>0.11853307138179447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>
        <f t="shared" ref="CF7:CK7" si="41">CF4*CF5/10</f>
        <v>1294.7750000000001</v>
      </c>
      <c r="CG7" s="156">
        <f t="shared" si="41"/>
        <v>1300.93578</v>
      </c>
      <c r="CH7" s="156">
        <f t="shared" si="41"/>
        <v>1267.3718000000001</v>
      </c>
      <c r="CI7" s="156">
        <f t="shared" si="41"/>
        <v>1245.221</v>
      </c>
      <c r="CJ7" s="156">
        <f t="shared" si="41"/>
        <v>1340.61069</v>
      </c>
      <c r="CK7" s="156">
        <f t="shared" si="41"/>
        <v>1372.3301699999997</v>
      </c>
      <c r="CL7" s="156">
        <f>CL4*CL5/10</f>
        <v>1596.6384000000003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7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90"/>
      <c r="P8" s="190"/>
      <c r="Q8" s="190"/>
      <c r="R8" s="190"/>
      <c r="S8" s="190"/>
      <c r="T8" s="190"/>
      <c r="U8" s="190"/>
      <c r="V8" s="190"/>
      <c r="W8" s="190"/>
      <c r="X8" s="190">
        <f>+BZ8</f>
        <v>11616</v>
      </c>
      <c r="Y8" s="190">
        <f>+CD8</f>
        <v>12688</v>
      </c>
      <c r="Z8" s="190">
        <f>+CH8</f>
        <v>12644</v>
      </c>
      <c r="AA8" s="191">
        <f t="shared" ref="AA8" si="42">+CL8</f>
        <v>12646</v>
      </c>
      <c r="AB8" s="191">
        <f t="shared" ref="AB8" si="43">+CP8</f>
        <v>0</v>
      </c>
      <c r="AC8" s="191">
        <f t="shared" ref="AC8" si="44">+CT8</f>
        <v>0</v>
      </c>
      <c r="AD8" s="191">
        <f t="shared" ref="AD8" si="45">+CX8</f>
        <v>0</v>
      </c>
      <c r="AE8" s="191">
        <f t="shared" ref="AE8" si="46">+DB8</f>
        <v>0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>
        <v>11081</v>
      </c>
      <c r="BZ8" s="107">
        <v>11616</v>
      </c>
      <c r="CA8" s="107">
        <v>11833</v>
      </c>
      <c r="CB8" s="107">
        <v>12451</v>
      </c>
      <c r="CC8" s="107">
        <v>12623</v>
      </c>
      <c r="CD8" s="107">
        <v>12688</v>
      </c>
      <c r="CE8" s="107">
        <v>12505</v>
      </c>
      <c r="CF8" s="107">
        <v>12680</v>
      </c>
      <c r="CG8" s="107">
        <v>12659</v>
      </c>
      <c r="CH8" s="107">
        <v>12644</v>
      </c>
      <c r="CI8" s="107">
        <v>12407</v>
      </c>
      <c r="CJ8" s="107">
        <v>12402</v>
      </c>
      <c r="CK8" s="107">
        <v>12580</v>
      </c>
      <c r="CL8" s="107">
        <v>12646</v>
      </c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x14ac:dyDescent="0.2">
      <c r="A9" s="188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92"/>
      <c r="P9" s="192"/>
      <c r="Q9" s="192"/>
      <c r="R9" s="192"/>
      <c r="S9" s="192"/>
      <c r="T9" s="192"/>
      <c r="U9" s="192"/>
      <c r="V9" s="192"/>
      <c r="W9" s="192"/>
      <c r="X9" s="192">
        <f t="shared" ref="X9:AE9" si="47">+X8-W8</f>
        <v>11616</v>
      </c>
      <c r="Y9" s="192">
        <f t="shared" si="47"/>
        <v>1072</v>
      </c>
      <c r="Z9" s="192">
        <f t="shared" si="47"/>
        <v>-44</v>
      </c>
      <c r="AA9" s="193">
        <f t="shared" si="47"/>
        <v>2</v>
      </c>
      <c r="AB9" s="193">
        <f t="shared" si="47"/>
        <v>-12646</v>
      </c>
      <c r="AC9" s="193">
        <f t="shared" si="47"/>
        <v>0</v>
      </c>
      <c r="AD9" s="193">
        <f t="shared" si="47"/>
        <v>0</v>
      </c>
      <c r="AE9" s="193">
        <f t="shared" si="47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>
        <f t="shared" ref="BZ9:CI9" si="48">+BZ8-BY8</f>
        <v>535</v>
      </c>
      <c r="CA9" s="156">
        <f t="shared" si="48"/>
        <v>217</v>
      </c>
      <c r="CB9" s="156">
        <f t="shared" si="48"/>
        <v>618</v>
      </c>
      <c r="CC9" s="156">
        <f t="shared" si="48"/>
        <v>172</v>
      </c>
      <c r="CD9" s="156">
        <f t="shared" si="48"/>
        <v>65</v>
      </c>
      <c r="CE9" s="156">
        <f t="shared" si="48"/>
        <v>-183</v>
      </c>
      <c r="CF9" s="156">
        <f t="shared" si="48"/>
        <v>175</v>
      </c>
      <c r="CG9" s="156">
        <f t="shared" si="48"/>
        <v>-21</v>
      </c>
      <c r="CH9" s="156">
        <f t="shared" si="48"/>
        <v>-15</v>
      </c>
      <c r="CI9" s="156">
        <f t="shared" si="48"/>
        <v>-237</v>
      </c>
      <c r="CJ9" s="156">
        <f>+CJ8-CI8</f>
        <v>-5</v>
      </c>
      <c r="CK9" s="156">
        <f t="shared" ref="CK9:CL9" si="49">+CK8-CJ8</f>
        <v>178</v>
      </c>
      <c r="CL9" s="156">
        <f t="shared" si="49"/>
        <v>66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06" customFormat="1" x14ac:dyDescent="0.2">
      <c r="A12" s="151" t="s">
        <v>500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57"/>
      <c r="AB12" s="157"/>
      <c r="AC12" s="157"/>
      <c r="AD12" s="105"/>
      <c r="AE12" s="105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E12" s="118"/>
    </row>
    <row r="13" spans="1:110" s="106" customFormat="1" x14ac:dyDescent="0.2">
      <c r="A13" s="151" t="s">
        <v>485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57"/>
      <c r="AC13" s="157"/>
      <c r="AD13" s="105"/>
      <c r="AE13" s="105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60"/>
      <c r="CK13" s="160"/>
      <c r="CL13" s="160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E13" s="118"/>
    </row>
    <row r="14" spans="1:110" s="25" customFormat="1" outlineLevel="1" x14ac:dyDescent="0.2">
      <c r="A14" s="25" t="s">
        <v>430</v>
      </c>
      <c r="B14" s="25">
        <f>'Annual Raw'!C6</f>
        <v>0</v>
      </c>
      <c r="C14" s="25">
        <f>'Annual Raw'!D6</f>
        <v>0</v>
      </c>
      <c r="D14" s="25">
        <f>'Annual Raw'!E6</f>
        <v>0</v>
      </c>
      <c r="E14" s="25">
        <f>'Annual Raw'!F6</f>
        <v>135.0073275</v>
      </c>
      <c r="F14" s="25">
        <f>'Annual Raw'!G6</f>
        <v>178.75420879999999</v>
      </c>
      <c r="G14" s="25">
        <f>'Annual Raw'!H6</f>
        <v>536.55330000000004</v>
      </c>
      <c r="H14" s="25">
        <f>'Annual Raw'!I6</f>
        <v>929.78840000000002</v>
      </c>
      <c r="I14" s="25">
        <f>'Annual Raw'!J6</f>
        <v>1084.0029999999999</v>
      </c>
      <c r="J14" s="25">
        <f>'Annual Raw'!K6</f>
        <v>1202.4367</v>
      </c>
      <c r="K14" s="25">
        <f>'Annual Raw'!L6</f>
        <v>1070.3864000000001</v>
      </c>
      <c r="L14" s="25">
        <f>'Annual Raw'!M6</f>
        <v>1249.3227999999999</v>
      </c>
      <c r="M14" s="25">
        <f>'Annual Raw'!N6</f>
        <v>1642.61</v>
      </c>
      <c r="N14" s="25">
        <f>'Annual Raw'!O6</f>
        <v>1995</v>
      </c>
      <c r="O14" s="25">
        <f>'Annual Raw'!P6</f>
        <v>2344.4499999999998</v>
      </c>
      <c r="P14" s="25">
        <f>'Annual Raw'!Q6</f>
        <v>2594.1999999999998</v>
      </c>
      <c r="Q14" s="25">
        <f>'Annual Raw'!R6</f>
        <v>2683.38</v>
      </c>
      <c r="R14" s="25">
        <f>'Annual Raw'!S6</f>
        <v>2801.95</v>
      </c>
      <c r="S14" s="25">
        <f>'Annual Raw'!T6</f>
        <v>2691.48</v>
      </c>
      <c r="T14" s="25">
        <f>'Annual Raw'!U6</f>
        <v>2942.21</v>
      </c>
      <c r="U14" s="25">
        <f>'Annual Raw'!V6</f>
        <v>2852.0549999999998</v>
      </c>
      <c r="V14" s="25">
        <f>'Annual Raw'!W6</f>
        <v>2380.9110000000001</v>
      </c>
      <c r="W14" s="25">
        <f>'Annual Raw'!X6</f>
        <v>3529.58</v>
      </c>
      <c r="X14" s="25">
        <f>'Annual Raw'!Y6</f>
        <v>4414.18</v>
      </c>
      <c r="Y14" s="25">
        <f>'Annual Raw'!Z6</f>
        <v>5117.2</v>
      </c>
      <c r="Z14" s="25">
        <f>'Annual Raw'!AA6</f>
        <v>5168.45</v>
      </c>
      <c r="AA14" s="25">
        <f>'Annual Raw'!AB6</f>
        <v>5505.57</v>
      </c>
      <c r="AB14" s="17">
        <f>+SUM(CM14:CP14)</f>
        <v>6353.1815861670484</v>
      </c>
      <c r="AC14" s="17">
        <f>+SUM(CQ14:CT14)</f>
        <v>7771.4460109315969</v>
      </c>
      <c r="AD14" s="17">
        <f>+SUM(CU14:CX14)</f>
        <v>9550.7962473609659</v>
      </c>
      <c r="AE14" s="17">
        <f>+SUM(CY14:DB14)</f>
        <v>11748.666267617224</v>
      </c>
      <c r="AI14" s="25">
        <f>'QTR Raw'!C6+'QTR Raw'!C8</f>
        <v>0</v>
      </c>
      <c r="AJ14" s="25">
        <f>'QTR Raw'!D6+'QTR Raw'!D8</f>
        <v>0</v>
      </c>
      <c r="AK14" s="25">
        <f>'QTR Raw'!E6+'QTR Raw'!E8</f>
        <v>0</v>
      </c>
      <c r="AL14" s="25">
        <f>'QTR Raw'!F6+'QTR Raw'!F8</f>
        <v>0</v>
      </c>
      <c r="AM14" s="25">
        <f>'QTR Raw'!G6+'QTR Raw'!G8</f>
        <v>0</v>
      </c>
      <c r="AN14" s="25">
        <f>'QTR Raw'!H6+'QTR Raw'!H8</f>
        <v>0</v>
      </c>
      <c r="AO14" s="25">
        <f>'QTR Raw'!I6+'QTR Raw'!I8</f>
        <v>0</v>
      </c>
      <c r="AP14" s="25">
        <f>'QTR Raw'!J6+'QTR Raw'!J8</f>
        <v>0</v>
      </c>
      <c r="AQ14" s="25">
        <f>'QTR Raw'!K6+'QTR Raw'!K8</f>
        <v>0</v>
      </c>
      <c r="AR14" s="25">
        <f>'QTR Raw'!L6+'QTR Raw'!L8</f>
        <v>0</v>
      </c>
      <c r="AS14" s="25">
        <f>'QTR Raw'!M6+'QTR Raw'!M8</f>
        <v>0</v>
      </c>
      <c r="AT14" s="25">
        <f>'QTR Raw'!N6+'QTR Raw'!N8</f>
        <v>0</v>
      </c>
      <c r="AU14" s="25">
        <f>'QTR Raw'!O6+'QTR Raw'!O8</f>
        <v>0</v>
      </c>
      <c r="AV14" s="25">
        <f>'QTR Raw'!P6+'QTR Raw'!P8</f>
        <v>0</v>
      </c>
      <c r="AW14" s="25">
        <f>'QTR Raw'!Q6+'QTR Raw'!Q8</f>
        <v>0</v>
      </c>
      <c r="AX14" s="25">
        <f>'QTR Raw'!R6+'QTR Raw'!R8</f>
        <v>0</v>
      </c>
      <c r="AY14" s="25">
        <f>'QTR Raw'!S6+'QTR Raw'!S8</f>
        <v>0</v>
      </c>
      <c r="AZ14" s="25">
        <f>'QTR Raw'!T6+'QTR Raw'!T8</f>
        <v>0</v>
      </c>
      <c r="BA14" s="25">
        <f>'QTR Raw'!U6+'QTR Raw'!U8</f>
        <v>0</v>
      </c>
      <c r="BB14" s="25">
        <f>'QTR Raw'!V6+'QTR Raw'!V8</f>
        <v>0</v>
      </c>
      <c r="BC14" s="25">
        <f>'QTR Raw'!W6+'QTR Raw'!W8</f>
        <v>0</v>
      </c>
      <c r="BD14" s="25">
        <f>'QTR Raw'!X6+'QTR Raw'!X8</f>
        <v>0</v>
      </c>
      <c r="BE14" s="25">
        <f>'QTR Raw'!Y6+'QTR Raw'!Y8</f>
        <v>0</v>
      </c>
      <c r="BF14" s="25">
        <f>'QTR Raw'!Z6+'QTR Raw'!Z8</f>
        <v>0</v>
      </c>
      <c r="BG14" s="25">
        <f>'QTR Raw'!AA6+'QTR Raw'!AA8</f>
        <v>0</v>
      </c>
      <c r="BH14" s="25">
        <f>'QTR Raw'!AB6+'QTR Raw'!AB8</f>
        <v>0</v>
      </c>
      <c r="BI14" s="25">
        <f>'QTR Raw'!AC6+'QTR Raw'!AC8</f>
        <v>0</v>
      </c>
      <c r="BJ14" s="25">
        <f>'QTR Raw'!AD6+'QTR Raw'!AD8</f>
        <v>0</v>
      </c>
      <c r="BK14" s="25">
        <f>'QTR Raw'!AE6+'QTR Raw'!AE8</f>
        <v>0</v>
      </c>
      <c r="BL14" s="25">
        <f>'QTR Raw'!AF6+'QTR Raw'!AF8</f>
        <v>0</v>
      </c>
      <c r="BM14" s="25">
        <f>'QTR Raw'!AG6+'QTR Raw'!AG8</f>
        <v>0</v>
      </c>
      <c r="BN14" s="25">
        <f>'QTR Raw'!AH6+'QTR Raw'!AH8</f>
        <v>0</v>
      </c>
      <c r="BO14" s="25">
        <f>'QTR Raw'!AI6+'QTR Raw'!AI8</f>
        <v>0</v>
      </c>
      <c r="BP14" s="25">
        <f>'QTR Raw'!AJ6+'QTR Raw'!AJ8</f>
        <v>0</v>
      </c>
      <c r="BQ14" s="25">
        <f>'QTR Raw'!AK6+'QTR Raw'!AK8</f>
        <v>0</v>
      </c>
      <c r="BR14" s="25">
        <f>'QTR Raw'!AL6+'QTR Raw'!AL8</f>
        <v>0</v>
      </c>
      <c r="BS14" s="25">
        <f>'QTR Raw'!AM6+'QTR Raw'!AM8</f>
        <v>0</v>
      </c>
      <c r="BT14" s="25">
        <f>'QTR Raw'!AN6+'QTR Raw'!AN8</f>
        <v>0</v>
      </c>
      <c r="BU14" s="25">
        <f>'QTR Raw'!AO6+'QTR Raw'!AO8</f>
        <v>0</v>
      </c>
      <c r="BV14" s="25">
        <f>'QTR Raw'!AP6+'QTR Raw'!AP8</f>
        <v>0</v>
      </c>
      <c r="BW14" s="25">
        <f>'QTR Raw'!AQ6+'QTR Raw'!AQ8</f>
        <v>0</v>
      </c>
      <c r="BX14" s="25">
        <f>'QTR Raw'!AR6+'QTR Raw'!AR8</f>
        <v>0</v>
      </c>
      <c r="BY14" s="25">
        <f>'QTR Raw'!AS6+'QTR Raw'!AS8</f>
        <v>1123.8900000000001</v>
      </c>
      <c r="BZ14" s="25">
        <f>'QTR Raw'!AT6+'QTR Raw'!AT8</f>
        <v>1402.39</v>
      </c>
      <c r="CA14" s="25">
        <f>'QTR Raw'!AU6+'QTR Raw'!AU8</f>
        <v>1257.53</v>
      </c>
      <c r="CB14" s="25">
        <f>'QTR Raw'!AV6+'QTR Raw'!AV8</f>
        <v>1269.17</v>
      </c>
      <c r="CC14" s="25">
        <f>'QTR Raw'!AW6+'QTR Raw'!AW8</f>
        <v>1289.45</v>
      </c>
      <c r="CD14" s="25">
        <f>'QTR Raw'!AX6+'QTR Raw'!AX8</f>
        <v>1301.05</v>
      </c>
      <c r="CE14" s="25">
        <f>'QTR Raw'!AY6+'QTR Raw'!AY8</f>
        <v>1268.97</v>
      </c>
      <c r="CF14" s="25">
        <f>'QTR Raw'!AZ6+'QTR Raw'!AZ8</f>
        <v>1296.45</v>
      </c>
      <c r="CG14" s="25">
        <f>'QTR Raw'!BA6+'QTR Raw'!BA8</f>
        <v>1317.38</v>
      </c>
      <c r="CH14" s="25">
        <f>'QTR Raw'!BB6+'QTR Raw'!BB8</f>
        <v>1285.6500000000001</v>
      </c>
      <c r="CI14" s="25">
        <f>'QTR Raw'!BC6+'QTR Raw'!BC8</f>
        <v>1244.29</v>
      </c>
      <c r="CJ14" s="25">
        <f>'QTR Raw'!BD6+'QTR Raw'!BD8</f>
        <v>1323.33</v>
      </c>
      <c r="CK14" s="25">
        <f>'QTR Raw'!BE6+'QTR Raw'!BE8</f>
        <v>1365.73</v>
      </c>
      <c r="CL14" s="25">
        <f>'QTR Raw'!BF6+'QTR Raw'!BF8</f>
        <v>1572.22</v>
      </c>
      <c r="CM14" s="17">
        <f t="shared" ref="CM14:DB14" si="50">+CI16+(CM17*CI16)</f>
        <v>1375.2158284995132</v>
      </c>
      <c r="CN14" s="17">
        <f t="shared" si="50"/>
        <v>1503.8174612185232</v>
      </c>
      <c r="CO14" s="17">
        <f t="shared" si="50"/>
        <v>1591.4888308068805</v>
      </c>
      <c r="CP14" s="17">
        <f t="shared" si="50"/>
        <v>1882.659465642131</v>
      </c>
      <c r="CQ14" s="17">
        <f t="shared" si="50"/>
        <v>1638.007812136123</v>
      </c>
      <c r="CR14" s="17">
        <f t="shared" si="50"/>
        <v>1823.4673687569004</v>
      </c>
      <c r="CS14" s="17">
        <f t="shared" si="50"/>
        <v>1960.0800523224884</v>
      </c>
      <c r="CT14" s="17">
        <f t="shared" si="50"/>
        <v>2349.8907777160857</v>
      </c>
      <c r="CU14" s="17">
        <f t="shared" si="50"/>
        <v>1999.7733704462962</v>
      </c>
      <c r="CV14" s="17">
        <f t="shared" si="50"/>
        <v>2239.7621228848702</v>
      </c>
      <c r="CW14" s="17">
        <f t="shared" si="50"/>
        <v>2415.2759182439163</v>
      </c>
      <c r="CX14" s="17">
        <f t="shared" si="50"/>
        <v>2895.9848357858837</v>
      </c>
      <c r="CY14" s="17">
        <f t="shared" si="50"/>
        <v>2456.6116154898909</v>
      </c>
      <c r="CZ14" s="17">
        <f t="shared" si="50"/>
        <v>2755.6734113146604</v>
      </c>
      <c r="DA14" s="17">
        <f t="shared" si="50"/>
        <v>2972.8493466804539</v>
      </c>
      <c r="DB14" s="17">
        <f t="shared" si="50"/>
        <v>3563.531894132218</v>
      </c>
      <c r="DE14" s="119"/>
      <c r="DF14" s="25">
        <v>1358.3373529217174</v>
      </c>
    </row>
    <row r="15" spans="1:110" s="92" customFormat="1" outlineLevel="1" x14ac:dyDescent="0.2">
      <c r="A15" s="92" t="s">
        <v>109</v>
      </c>
      <c r="B15" s="92">
        <f>'Annual Raw'!C7+'Annual Raw'!C8+'Annual Raw'!C9</f>
        <v>0</v>
      </c>
      <c r="C15" s="92">
        <f>'Annual Raw'!D7+'Annual Raw'!D8+'Annual Raw'!D9</f>
        <v>0</v>
      </c>
      <c r="D15" s="92">
        <f>'Annual Raw'!E7+'Annual Raw'!E8+'Annual Raw'!E9</f>
        <v>0</v>
      </c>
      <c r="E15" s="92">
        <f>'Annual Raw'!F7+'Annual Raw'!F8+'Annual Raw'!F9</f>
        <v>0</v>
      </c>
      <c r="F15" s="92">
        <f>'Annual Raw'!G7+'Annual Raw'!G8+'Annual Raw'!G9</f>
        <v>0</v>
      </c>
      <c r="G15" s="92">
        <f>'Annual Raw'!H7+'Annual Raw'!H8+'Annual Raw'!H9</f>
        <v>0</v>
      </c>
      <c r="H15" s="92">
        <f>'Annual Raw'!I7+'Annual Raw'!I8+'Annual Raw'!I9</f>
        <v>0</v>
      </c>
      <c r="I15" s="92">
        <f>'Annual Raw'!J7+'Annual Raw'!J8+'Annual Raw'!J9</f>
        <v>0</v>
      </c>
      <c r="J15" s="92">
        <f>'Annual Raw'!K7+'Annual Raw'!K8+'Annual Raw'!K9</f>
        <v>0</v>
      </c>
      <c r="K15" s="92">
        <f>'Annual Raw'!L7+'Annual Raw'!L8+'Annual Raw'!L9</f>
        <v>0</v>
      </c>
      <c r="L15" s="92">
        <f>'Annual Raw'!M7+'Annual Raw'!M8+'Annual Raw'!M9</f>
        <v>0</v>
      </c>
      <c r="M15" s="92">
        <f>'Annual Raw'!N7+'Annual Raw'!N8+'Annual Raw'!N9</f>
        <v>0</v>
      </c>
      <c r="N15" s="92">
        <f>'Annual Raw'!O7+'Annual Raw'!O8+'Annual Raw'!O9</f>
        <v>0</v>
      </c>
      <c r="O15" s="92">
        <f>'Annual Raw'!P7+'Annual Raw'!P8+'Annual Raw'!P9</f>
        <v>0</v>
      </c>
      <c r="P15" s="92">
        <f>'Annual Raw'!Q7+'Annual Raw'!Q8+'Annual Raw'!Q9</f>
        <v>0</v>
      </c>
      <c r="Q15" s="92">
        <f>'Annual Raw'!R7+'Annual Raw'!R8+'Annual Raw'!R9</f>
        <v>0</v>
      </c>
      <c r="R15" s="92">
        <f>'Annual Raw'!S7+'Annual Raw'!S8+'Annual Raw'!S9</f>
        <v>0</v>
      </c>
      <c r="S15" s="92">
        <f>'Annual Raw'!T7+'Annual Raw'!T8+'Annual Raw'!T9</f>
        <v>0</v>
      </c>
      <c r="T15" s="92">
        <f>'Annual Raw'!U7+'Annual Raw'!U8+'Annual Raw'!U9</f>
        <v>0</v>
      </c>
      <c r="U15" s="92">
        <f>'Annual Raw'!V7+'Annual Raw'!V8+'Annual Raw'!V9</f>
        <v>0</v>
      </c>
      <c r="V15" s="92">
        <f>'Annual Raw'!W7+'Annual Raw'!W8+'Annual Raw'!W9</f>
        <v>0</v>
      </c>
      <c r="W15" s="92">
        <f>'Annual Raw'!X7+'Annual Raw'!X8+'Annual Raw'!X9</f>
        <v>0</v>
      </c>
      <c r="X15" s="92">
        <f>'Annual Raw'!Y7+'Annual Raw'!Y8+'Annual Raw'!Y9</f>
        <v>0</v>
      </c>
      <c r="Y15" s="92">
        <f>'Annual Raw'!Z7+'Annual Raw'!Z8+'Annual Raw'!Z9</f>
        <v>0</v>
      </c>
      <c r="Z15" s="92">
        <f>'Annual Raw'!AA7+'Annual Raw'!AA8+'Annual Raw'!AA9</f>
        <v>0</v>
      </c>
      <c r="AA15" s="92">
        <f>'Annual Raw'!AB7+'Annual Raw'!AB8+'Annual Raw'!AB9</f>
        <v>0</v>
      </c>
      <c r="AB15" s="76">
        <f>+SUM(CM15:CP15)</f>
        <v>0</v>
      </c>
      <c r="AC15" s="76">
        <f>+SUM(CQ15:CT15)</f>
        <v>0</v>
      </c>
      <c r="AD15" s="76">
        <f>+SUM(CU15:CX15)</f>
        <v>0</v>
      </c>
      <c r="AE15" s="76">
        <f>+SUM(CY15:DB15)</f>
        <v>0</v>
      </c>
      <c r="AI15" s="92">
        <f>+'QTR Raw'!C20+'QTR Raw'!C19+'QTR Raw'!C13+'QTR Raw'!C7</f>
        <v>0</v>
      </c>
      <c r="AJ15" s="92">
        <f>+'QTR Raw'!D20+'QTR Raw'!D19+'QTR Raw'!D13+'QTR Raw'!D7</f>
        <v>0</v>
      </c>
      <c r="AK15" s="92">
        <f>+'QTR Raw'!E20+'QTR Raw'!E19+'QTR Raw'!E13+'QTR Raw'!E7</f>
        <v>0</v>
      </c>
      <c r="AL15" s="92">
        <f>+'QTR Raw'!F20+'QTR Raw'!F19+'QTR Raw'!F13+'QTR Raw'!F7</f>
        <v>0</v>
      </c>
      <c r="AM15" s="92">
        <f>+'QTR Raw'!G20+'QTR Raw'!G19+'QTR Raw'!G13+'QTR Raw'!G7</f>
        <v>0</v>
      </c>
      <c r="AN15" s="92">
        <f>+'QTR Raw'!H20+'QTR Raw'!H19+'QTR Raw'!H13+'QTR Raw'!H7</f>
        <v>0</v>
      </c>
      <c r="AO15" s="92">
        <f>+'QTR Raw'!I20+'QTR Raw'!I19+'QTR Raw'!I13+'QTR Raw'!I7</f>
        <v>0</v>
      </c>
      <c r="AP15" s="92">
        <f>+'QTR Raw'!J20+'QTR Raw'!J19+'QTR Raw'!J13+'QTR Raw'!J7</f>
        <v>0</v>
      </c>
      <c r="AQ15" s="92">
        <f>+'QTR Raw'!K20+'QTR Raw'!K19+'QTR Raw'!K13+'QTR Raw'!K7</f>
        <v>0</v>
      </c>
      <c r="AR15" s="92">
        <f>+'QTR Raw'!L20+'QTR Raw'!L19+'QTR Raw'!L13+'QTR Raw'!L7</f>
        <v>0</v>
      </c>
      <c r="AS15" s="92">
        <f>+'QTR Raw'!M20+'QTR Raw'!M19+'QTR Raw'!M13+'QTR Raw'!M7</f>
        <v>0</v>
      </c>
      <c r="AT15" s="92">
        <f>+'QTR Raw'!N20+'QTR Raw'!N19+'QTR Raw'!N13+'QTR Raw'!N7</f>
        <v>0</v>
      </c>
      <c r="AU15" s="92">
        <f>+'QTR Raw'!O20+'QTR Raw'!O19+'QTR Raw'!O13+'QTR Raw'!O7</f>
        <v>0</v>
      </c>
      <c r="AV15" s="92">
        <f>+'QTR Raw'!P20+'QTR Raw'!P19+'QTR Raw'!P13+'QTR Raw'!P7</f>
        <v>0</v>
      </c>
      <c r="AW15" s="92">
        <f>+'QTR Raw'!Q20+'QTR Raw'!Q19+'QTR Raw'!Q13+'QTR Raw'!Q7</f>
        <v>0</v>
      </c>
      <c r="AX15" s="92">
        <f>+'QTR Raw'!R20+'QTR Raw'!R19+'QTR Raw'!R13+'QTR Raw'!R7</f>
        <v>0</v>
      </c>
      <c r="AY15" s="92">
        <f>+'QTR Raw'!S20+'QTR Raw'!S19+'QTR Raw'!S13+'QTR Raw'!S7</f>
        <v>0</v>
      </c>
      <c r="AZ15" s="92">
        <f>+'QTR Raw'!T20+'QTR Raw'!T19+'QTR Raw'!T13+'QTR Raw'!T7</f>
        <v>0</v>
      </c>
      <c r="BA15" s="92">
        <f>+'QTR Raw'!U20+'QTR Raw'!U19+'QTR Raw'!U13+'QTR Raw'!U7</f>
        <v>0</v>
      </c>
      <c r="BB15" s="92">
        <f>+'QTR Raw'!V20+'QTR Raw'!V19+'QTR Raw'!V13+'QTR Raw'!V7</f>
        <v>0</v>
      </c>
      <c r="BC15" s="92">
        <f>+'QTR Raw'!W20+'QTR Raw'!W19+'QTR Raw'!W13+'QTR Raw'!W7</f>
        <v>0</v>
      </c>
      <c r="BD15" s="92">
        <f>+'QTR Raw'!X20+'QTR Raw'!X19+'QTR Raw'!X13+'QTR Raw'!X7</f>
        <v>0</v>
      </c>
      <c r="BE15" s="92">
        <f>+'QTR Raw'!Y20+'QTR Raw'!Y19+'QTR Raw'!Y13+'QTR Raw'!Y7</f>
        <v>0</v>
      </c>
      <c r="BF15" s="92">
        <f>+'QTR Raw'!Z20+'QTR Raw'!Z19+'QTR Raw'!Z13+'QTR Raw'!Z7</f>
        <v>0</v>
      </c>
      <c r="BG15" s="92">
        <f>+'QTR Raw'!AA20+'QTR Raw'!AA19+'QTR Raw'!AA13+'QTR Raw'!AA7</f>
        <v>0</v>
      </c>
      <c r="BH15" s="92">
        <f>+'QTR Raw'!AB20+'QTR Raw'!AB19+'QTR Raw'!AB13+'QTR Raw'!AB7</f>
        <v>0</v>
      </c>
      <c r="BI15" s="92">
        <f>+'QTR Raw'!AC20+'QTR Raw'!AC19+'QTR Raw'!AC13+'QTR Raw'!AC7</f>
        <v>0</v>
      </c>
      <c r="BJ15" s="92">
        <f>+'QTR Raw'!AD20+'QTR Raw'!AD19+'QTR Raw'!AD13+'QTR Raw'!AD7</f>
        <v>0</v>
      </c>
      <c r="BK15" s="92">
        <f>+'QTR Raw'!AE20+'QTR Raw'!AE19+'QTR Raw'!AE13+'QTR Raw'!AE7</f>
        <v>0</v>
      </c>
      <c r="BL15" s="92">
        <f>+'QTR Raw'!AF20+'QTR Raw'!AF19+'QTR Raw'!AF13+'QTR Raw'!AF7</f>
        <v>0</v>
      </c>
      <c r="BM15" s="92">
        <f>+'QTR Raw'!AG20+'QTR Raw'!AG19+'QTR Raw'!AG13+'QTR Raw'!AG7</f>
        <v>0</v>
      </c>
      <c r="BN15" s="92">
        <f>+'QTR Raw'!AH20+'QTR Raw'!AH19+'QTR Raw'!AH13+'QTR Raw'!AH7</f>
        <v>0</v>
      </c>
      <c r="BO15" s="92">
        <f>+'QTR Raw'!AI20+'QTR Raw'!AI19+'QTR Raw'!AI13+'QTR Raw'!AI7</f>
        <v>0</v>
      </c>
      <c r="BP15" s="92">
        <f>+'QTR Raw'!AJ20+'QTR Raw'!AJ19+'QTR Raw'!AJ13+'QTR Raw'!AJ7</f>
        <v>0</v>
      </c>
      <c r="BQ15" s="92">
        <f>+'QTR Raw'!AK20+'QTR Raw'!AK19+'QTR Raw'!AK13+'QTR Raw'!AK7</f>
        <v>0</v>
      </c>
      <c r="BR15" s="92">
        <f>+'QTR Raw'!AL20+'QTR Raw'!AL19+'QTR Raw'!AL13+'QTR Raw'!AL7</f>
        <v>0</v>
      </c>
      <c r="BS15" s="92">
        <f>+'QTR Raw'!AM20+'QTR Raw'!AM19+'QTR Raw'!AM13+'QTR Raw'!AM7</f>
        <v>0</v>
      </c>
      <c r="BT15" s="92">
        <f>+'QTR Raw'!AN20+'QTR Raw'!AN19+'QTR Raw'!AN13+'QTR Raw'!AN7</f>
        <v>0</v>
      </c>
      <c r="BU15" s="92">
        <f>+'QTR Raw'!AO20+'QTR Raw'!AO19+'QTR Raw'!AO13+'QTR Raw'!AO7</f>
        <v>0</v>
      </c>
      <c r="BV15" s="92">
        <f>+'QTR Raw'!AP20+'QTR Raw'!AP19+'QTR Raw'!AP13+'QTR Raw'!AP7</f>
        <v>0</v>
      </c>
      <c r="BW15" s="92">
        <f>+'QTR Raw'!AQ20+'QTR Raw'!AQ19+'QTR Raw'!AQ13+'QTR Raw'!AQ7</f>
        <v>0</v>
      </c>
      <c r="BX15" s="92">
        <f>+'QTR Raw'!AR20+'QTR Raw'!AR19+'QTR Raw'!AR13+'QTR Raw'!AR7</f>
        <v>0</v>
      </c>
      <c r="BY15" s="92">
        <f>+'QTR Raw'!AS20+'QTR Raw'!AS19+'QTR Raw'!AS13+'QTR Raw'!AS7</f>
        <v>0</v>
      </c>
      <c r="BZ15" s="92">
        <f>+'QTR Raw'!AT20+'QTR Raw'!AT19+'QTR Raw'!AT13+'QTR Raw'!AT7</f>
        <v>0</v>
      </c>
      <c r="CA15" s="92">
        <f>+'QTR Raw'!AU20+'QTR Raw'!AU19+'QTR Raw'!AU13+'QTR Raw'!AU7</f>
        <v>0</v>
      </c>
      <c r="CB15" s="92">
        <f>+'QTR Raw'!AV20+'QTR Raw'!AV19+'QTR Raw'!AV13+'QTR Raw'!AV7</f>
        <v>0</v>
      </c>
      <c r="CC15" s="92">
        <f>+'QTR Raw'!AW20+'QTR Raw'!AW19+'QTR Raw'!AW13+'QTR Raw'!AW7</f>
        <v>0</v>
      </c>
      <c r="CD15" s="92">
        <f>+'QTR Raw'!AX20+'QTR Raw'!AX19+'QTR Raw'!AX13+'QTR Raw'!AX7</f>
        <v>0</v>
      </c>
      <c r="CE15" s="92">
        <f>+'QTR Raw'!AY20+'QTR Raw'!AY19+'QTR Raw'!AY13+'QTR Raw'!AY7</f>
        <v>0</v>
      </c>
      <c r="CF15" s="92">
        <f>+'QTR Raw'!AZ20+'QTR Raw'!AZ19+'QTR Raw'!AZ13+'QTR Raw'!AZ7</f>
        <v>0</v>
      </c>
      <c r="CG15" s="92">
        <f>+'QTR Raw'!BA20+'QTR Raw'!BA19+'QTR Raw'!BA13+'QTR Raw'!BA7</f>
        <v>0</v>
      </c>
      <c r="CH15" s="92">
        <f>+'QTR Raw'!BB20+'QTR Raw'!BB19+'QTR Raw'!BB13+'QTR Raw'!BB7</f>
        <v>0</v>
      </c>
      <c r="CI15" s="92">
        <f>+'QTR Raw'!BC20+'QTR Raw'!BC19+'QTR Raw'!BC13+'QTR Raw'!BC7</f>
        <v>0</v>
      </c>
      <c r="CJ15" s="92">
        <f>+'QTR Raw'!BD20+'QTR Raw'!BD19+'QTR Raw'!BD13+'QTR Raw'!BD7</f>
        <v>0</v>
      </c>
      <c r="CK15" s="92">
        <f>+'QTR Raw'!BE20+'QTR Raw'!BE19+'QTR Raw'!BE13+'QTR Raw'!BE7</f>
        <v>0</v>
      </c>
      <c r="CL15" s="92">
        <f>+'QTR Raw'!BF20+'QTR Raw'!BF19+'QTR Raw'!BF13+'QTR Raw'!BF7</f>
        <v>0</v>
      </c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E15" s="120"/>
      <c r="DF15" s="92">
        <v>0</v>
      </c>
    </row>
    <row r="16" spans="1:110" s="26" customFormat="1" x14ac:dyDescent="0.2">
      <c r="A16" s="26" t="s">
        <v>431</v>
      </c>
      <c r="B16" s="26">
        <f>+B14-B15</f>
        <v>0</v>
      </c>
      <c r="C16" s="26">
        <f>+C14-C15</f>
        <v>0</v>
      </c>
      <c r="D16" s="26">
        <f t="shared" ref="D16:U16" si="51">+D14-D15</f>
        <v>0</v>
      </c>
      <c r="E16" s="26">
        <f t="shared" si="51"/>
        <v>135.0073275</v>
      </c>
      <c r="F16" s="26">
        <f t="shared" si="51"/>
        <v>178.75420879999999</v>
      </c>
      <c r="G16" s="26">
        <f t="shared" si="51"/>
        <v>536.55330000000004</v>
      </c>
      <c r="H16" s="26">
        <f t="shared" si="51"/>
        <v>929.78840000000002</v>
      </c>
      <c r="I16" s="26">
        <f t="shared" si="51"/>
        <v>1084.0029999999999</v>
      </c>
      <c r="J16" s="26">
        <f t="shared" si="51"/>
        <v>1202.4367</v>
      </c>
      <c r="K16" s="26">
        <f t="shared" si="51"/>
        <v>1070.3864000000001</v>
      </c>
      <c r="L16" s="26">
        <f t="shared" si="51"/>
        <v>1249.3227999999999</v>
      </c>
      <c r="M16" s="26">
        <f t="shared" si="51"/>
        <v>1642.61</v>
      </c>
      <c r="N16" s="26">
        <f t="shared" si="51"/>
        <v>1995</v>
      </c>
      <c r="O16" s="26">
        <f t="shared" si="51"/>
        <v>2344.4499999999998</v>
      </c>
      <c r="P16" s="26">
        <f t="shared" si="51"/>
        <v>2594.1999999999998</v>
      </c>
      <c r="Q16" s="26">
        <f t="shared" si="51"/>
        <v>2683.38</v>
      </c>
      <c r="R16" s="26">
        <f t="shared" si="51"/>
        <v>2801.95</v>
      </c>
      <c r="S16" s="26">
        <f t="shared" si="51"/>
        <v>2691.48</v>
      </c>
      <c r="T16" s="26">
        <f t="shared" si="51"/>
        <v>2942.21</v>
      </c>
      <c r="U16" s="26">
        <f t="shared" si="51"/>
        <v>2852.0549999999998</v>
      </c>
      <c r="V16" s="26">
        <f>+V14-V15</f>
        <v>2380.9110000000001</v>
      </c>
      <c r="W16" s="26">
        <f>+W14-W15</f>
        <v>3529.58</v>
      </c>
      <c r="X16" s="26">
        <f>+X14-X15</f>
        <v>4414.18</v>
      </c>
      <c r="Y16" s="26">
        <f>+Y14-Y15</f>
        <v>5117.2</v>
      </c>
      <c r="Z16" s="26">
        <f>+Z14-Z15</f>
        <v>5168.45</v>
      </c>
      <c r="AA16" s="26">
        <f>+AA14-AA15</f>
        <v>5505.57</v>
      </c>
      <c r="AB16" s="27">
        <f t="shared" ref="AB16:AD16" si="52">+AB14-AB15</f>
        <v>6353.1815861670484</v>
      </c>
      <c r="AC16" s="27">
        <f t="shared" si="52"/>
        <v>7771.4460109315969</v>
      </c>
      <c r="AD16" s="27">
        <f t="shared" si="52"/>
        <v>9550.7962473609659</v>
      </c>
      <c r="AE16" s="27">
        <f t="shared" ref="AE16" si="53">+AE14-AE15</f>
        <v>11748.666267617224</v>
      </c>
      <c r="AI16" s="26">
        <f t="shared" ref="AI16" si="54">+AI14-AI15</f>
        <v>0</v>
      </c>
      <c r="AJ16" s="26">
        <f t="shared" ref="AJ16" si="55">+AJ14-AJ15</f>
        <v>0</v>
      </c>
      <c r="AK16" s="26">
        <f t="shared" ref="AK16:AM16" si="56">+AK14-AK15</f>
        <v>0</v>
      </c>
      <c r="AL16" s="26">
        <f t="shared" si="56"/>
        <v>0</v>
      </c>
      <c r="AM16" s="26">
        <f t="shared" si="56"/>
        <v>0</v>
      </c>
      <c r="AN16" s="26">
        <f t="shared" ref="AN16:AO16" si="57">+AN14-AN15</f>
        <v>0</v>
      </c>
      <c r="AO16" s="26">
        <f t="shared" si="57"/>
        <v>0</v>
      </c>
      <c r="AP16" s="26">
        <f t="shared" ref="AP16:AW16" si="58">+AP14-AP15</f>
        <v>0</v>
      </c>
      <c r="AQ16" s="26">
        <f t="shared" si="58"/>
        <v>0</v>
      </c>
      <c r="AR16" s="26">
        <f t="shared" si="58"/>
        <v>0</v>
      </c>
      <c r="AS16" s="26">
        <f t="shared" si="58"/>
        <v>0</v>
      </c>
      <c r="AT16" s="26">
        <f t="shared" si="58"/>
        <v>0</v>
      </c>
      <c r="AU16" s="26">
        <f t="shared" si="58"/>
        <v>0</v>
      </c>
      <c r="AV16" s="26">
        <f t="shared" si="58"/>
        <v>0</v>
      </c>
      <c r="AW16" s="26">
        <f t="shared" si="58"/>
        <v>0</v>
      </c>
      <c r="AX16" s="26">
        <f t="shared" ref="AX16:CF16" si="59">+AX14-AX15</f>
        <v>0</v>
      </c>
      <c r="AY16" s="26">
        <f t="shared" si="59"/>
        <v>0</v>
      </c>
      <c r="AZ16" s="26">
        <f t="shared" si="59"/>
        <v>0</v>
      </c>
      <c r="BA16" s="26">
        <f t="shared" si="59"/>
        <v>0</v>
      </c>
      <c r="BB16" s="26">
        <f t="shared" si="59"/>
        <v>0</v>
      </c>
      <c r="BC16" s="26">
        <f t="shared" si="59"/>
        <v>0</v>
      </c>
      <c r="BD16" s="26">
        <f t="shared" si="59"/>
        <v>0</v>
      </c>
      <c r="BE16" s="26">
        <f t="shared" si="59"/>
        <v>0</v>
      </c>
      <c r="BF16" s="26">
        <f t="shared" si="59"/>
        <v>0</v>
      </c>
      <c r="BG16" s="26">
        <f t="shared" si="59"/>
        <v>0</v>
      </c>
      <c r="BH16" s="26">
        <f t="shared" si="59"/>
        <v>0</v>
      </c>
      <c r="BI16" s="26">
        <f t="shared" si="59"/>
        <v>0</v>
      </c>
      <c r="BJ16" s="26">
        <f t="shared" si="59"/>
        <v>0</v>
      </c>
      <c r="BK16" s="26">
        <f t="shared" si="59"/>
        <v>0</v>
      </c>
      <c r="BL16" s="26">
        <f t="shared" si="59"/>
        <v>0</v>
      </c>
      <c r="BM16" s="26">
        <f t="shared" si="59"/>
        <v>0</v>
      </c>
      <c r="BN16" s="26">
        <f t="shared" si="59"/>
        <v>0</v>
      </c>
      <c r="BO16" s="26">
        <f t="shared" si="59"/>
        <v>0</v>
      </c>
      <c r="BP16" s="26">
        <f t="shared" si="59"/>
        <v>0</v>
      </c>
      <c r="BQ16" s="26">
        <f t="shared" si="59"/>
        <v>0</v>
      </c>
      <c r="BR16" s="26">
        <f t="shared" si="59"/>
        <v>0</v>
      </c>
      <c r="BS16" s="26">
        <f t="shared" si="59"/>
        <v>0</v>
      </c>
      <c r="BT16" s="26">
        <f t="shared" si="59"/>
        <v>0</v>
      </c>
      <c r="BU16" s="26">
        <f t="shared" si="59"/>
        <v>0</v>
      </c>
      <c r="BV16" s="26">
        <f t="shared" si="59"/>
        <v>0</v>
      </c>
      <c r="BW16" s="26">
        <f t="shared" si="59"/>
        <v>0</v>
      </c>
      <c r="BX16" s="26">
        <f t="shared" si="59"/>
        <v>0</v>
      </c>
      <c r="BY16" s="26">
        <f t="shared" si="59"/>
        <v>1123.8900000000001</v>
      </c>
      <c r="BZ16" s="26">
        <f t="shared" si="59"/>
        <v>1402.39</v>
      </c>
      <c r="CA16" s="26">
        <f t="shared" si="59"/>
        <v>1257.53</v>
      </c>
      <c r="CB16" s="26">
        <f t="shared" si="59"/>
        <v>1269.17</v>
      </c>
      <c r="CC16" s="26">
        <f t="shared" si="59"/>
        <v>1289.45</v>
      </c>
      <c r="CD16" s="26">
        <f t="shared" si="59"/>
        <v>1301.05</v>
      </c>
      <c r="CE16" s="26">
        <f t="shared" si="59"/>
        <v>1268.97</v>
      </c>
      <c r="CF16" s="26">
        <f t="shared" si="59"/>
        <v>1296.45</v>
      </c>
      <c r="CG16" s="26">
        <f t="shared" ref="CG16:CH16" si="60">+CG14-CG15</f>
        <v>1317.38</v>
      </c>
      <c r="CH16" s="26">
        <f t="shared" si="60"/>
        <v>1285.6500000000001</v>
      </c>
      <c r="CI16" s="26">
        <f t="shared" ref="CI16:CJ16" si="61">+CI14-CI15</f>
        <v>1244.29</v>
      </c>
      <c r="CJ16" s="26">
        <f t="shared" si="61"/>
        <v>1323.33</v>
      </c>
      <c r="CK16" s="26">
        <f t="shared" ref="CK16:CL16" si="62">+CK14-CK15</f>
        <v>1365.73</v>
      </c>
      <c r="CL16" s="26">
        <f t="shared" si="62"/>
        <v>1572.22</v>
      </c>
      <c r="CM16" s="27">
        <f t="shared" ref="CM16:DB16" si="63">+CM14-CM15</f>
        <v>1375.2158284995132</v>
      </c>
      <c r="CN16" s="27">
        <f t="shared" si="63"/>
        <v>1503.8174612185232</v>
      </c>
      <c r="CO16" s="27">
        <f t="shared" si="63"/>
        <v>1591.4888308068805</v>
      </c>
      <c r="CP16" s="27">
        <f t="shared" si="63"/>
        <v>1882.659465642131</v>
      </c>
      <c r="CQ16" s="27">
        <f t="shared" si="63"/>
        <v>1638.007812136123</v>
      </c>
      <c r="CR16" s="27">
        <f t="shared" si="63"/>
        <v>1823.4673687569004</v>
      </c>
      <c r="CS16" s="27">
        <f t="shared" si="63"/>
        <v>1960.0800523224884</v>
      </c>
      <c r="CT16" s="27">
        <f t="shared" si="63"/>
        <v>2349.8907777160857</v>
      </c>
      <c r="CU16" s="27">
        <f t="shared" si="63"/>
        <v>1999.7733704462962</v>
      </c>
      <c r="CV16" s="27">
        <f t="shared" si="63"/>
        <v>2239.7621228848702</v>
      </c>
      <c r="CW16" s="27">
        <f t="shared" si="63"/>
        <v>2415.2759182439163</v>
      </c>
      <c r="CX16" s="27">
        <f t="shared" si="63"/>
        <v>2895.9848357858837</v>
      </c>
      <c r="CY16" s="27">
        <f t="shared" si="63"/>
        <v>2456.6116154898909</v>
      </c>
      <c r="CZ16" s="27">
        <f t="shared" si="63"/>
        <v>2755.6734113146604</v>
      </c>
      <c r="DA16" s="27">
        <f t="shared" si="63"/>
        <v>2972.8493466804539</v>
      </c>
      <c r="DB16" s="27">
        <f t="shared" si="63"/>
        <v>3563.531894132218</v>
      </c>
      <c r="DE16" s="121"/>
      <c r="DF16" s="26">
        <v>1358.3373529217174</v>
      </c>
    </row>
    <row r="17" spans="1:110" s="39" customFormat="1" x14ac:dyDescent="0.2">
      <c r="A17" s="39" t="s">
        <v>484</v>
      </c>
      <c r="C17" s="39" t="e">
        <f t="shared" ref="C17" si="64">C16/B16-1</f>
        <v>#DIV/0!</v>
      </c>
      <c r="D17" s="39" t="e">
        <f t="shared" ref="D17" si="65">D16/C16-1</f>
        <v>#DIV/0!</v>
      </c>
      <c r="E17" s="39" t="e">
        <f t="shared" ref="E17" si="66">E16/D16-1</f>
        <v>#DIV/0!</v>
      </c>
      <c r="F17" s="39">
        <f t="shared" ref="F17:R17" si="67">F16/E16-1</f>
        <v>0.32403338478054078</v>
      </c>
      <c r="G17" s="39">
        <f t="shared" si="67"/>
        <v>2.0016261077260862</v>
      </c>
      <c r="H17" s="39">
        <f t="shared" si="67"/>
        <v>0.73289102871979339</v>
      </c>
      <c r="I17" s="39">
        <f t="shared" si="67"/>
        <v>0.1658598881207809</v>
      </c>
      <c r="J17" s="39">
        <f t="shared" si="67"/>
        <v>0.109255878443141</v>
      </c>
      <c r="K17" s="39">
        <f>K16/J16-1</f>
        <v>-0.10981892019762862</v>
      </c>
      <c r="L17" s="39">
        <f t="shared" si="67"/>
        <v>0.16716991172533557</v>
      </c>
      <c r="M17" s="39">
        <f t="shared" si="67"/>
        <v>0.31480030621389443</v>
      </c>
      <c r="N17" s="39">
        <f t="shared" si="67"/>
        <v>0.21453053372376885</v>
      </c>
      <c r="O17" s="39">
        <f t="shared" si="67"/>
        <v>0.17516290726817041</v>
      </c>
      <c r="P17" s="39">
        <f t="shared" si="67"/>
        <v>0.10652818358250338</v>
      </c>
      <c r="Q17" s="39">
        <f t="shared" si="67"/>
        <v>3.4376686454398397E-2</v>
      </c>
      <c r="R17" s="39">
        <f t="shared" si="67"/>
        <v>4.4186809173504926E-2</v>
      </c>
      <c r="S17" s="39">
        <f t="shared" ref="S17:AA17" si="68">S16/R16-1</f>
        <v>-3.942611395635176E-2</v>
      </c>
      <c r="T17" s="39">
        <f t="shared" si="68"/>
        <v>9.315692481460025E-2</v>
      </c>
      <c r="U17" s="39">
        <f t="shared" si="68"/>
        <v>-3.064193242494595E-2</v>
      </c>
      <c r="V17" s="39">
        <f t="shared" si="68"/>
        <v>-0.16519457023093864</v>
      </c>
      <c r="W17" s="39">
        <f t="shared" si="68"/>
        <v>0.48244936496996305</v>
      </c>
      <c r="X17" s="39">
        <f t="shared" si="68"/>
        <v>0.25062472022166959</v>
      </c>
      <c r="Y17" s="39">
        <f t="shared" si="68"/>
        <v>0.15926400826427556</v>
      </c>
      <c r="Z17" s="39">
        <f t="shared" si="68"/>
        <v>1.0015242710857519E-2</v>
      </c>
      <c r="AA17" s="39">
        <f t="shared" si="68"/>
        <v>6.5226518588745064E-2</v>
      </c>
      <c r="AB17" s="40">
        <f t="shared" ref="AB17" si="69">AB16/AA16-1</f>
        <v>0.15395528277127513</v>
      </c>
      <c r="AC17" s="40">
        <f t="shared" ref="AC17" si="70">AC16/AB16-1</f>
        <v>0.22323687833078365</v>
      </c>
      <c r="AD17" s="40">
        <f t="shared" ref="AD17" si="71">AD16/AC16-1</f>
        <v>0.22895999456555072</v>
      </c>
      <c r="AE17" s="40">
        <f t="shared" ref="AE17" si="72">AE16/AD16-1</f>
        <v>0.23012427061917107</v>
      </c>
      <c r="AM17" s="39" t="e">
        <f t="shared" ref="AM17:CI17" si="73">+IF(AI16&lt;0,1-AM16/AI16,AM16/AI16-1)</f>
        <v>#DIV/0!</v>
      </c>
      <c r="AN17" s="39" t="e">
        <f t="shared" si="73"/>
        <v>#DIV/0!</v>
      </c>
      <c r="AO17" s="39" t="e">
        <f t="shared" si="73"/>
        <v>#DIV/0!</v>
      </c>
      <c r="AP17" s="39" t="e">
        <f t="shared" si="73"/>
        <v>#DIV/0!</v>
      </c>
      <c r="AQ17" s="39" t="e">
        <f t="shared" si="73"/>
        <v>#DIV/0!</v>
      </c>
      <c r="AR17" s="39" t="e">
        <f t="shared" si="73"/>
        <v>#DIV/0!</v>
      </c>
      <c r="AS17" s="39" t="e">
        <f t="shared" si="73"/>
        <v>#DIV/0!</v>
      </c>
      <c r="AT17" s="39" t="e">
        <f t="shared" si="73"/>
        <v>#DIV/0!</v>
      </c>
      <c r="AU17" s="39" t="e">
        <f t="shared" si="73"/>
        <v>#DIV/0!</v>
      </c>
      <c r="AV17" s="39" t="e">
        <f t="shared" si="73"/>
        <v>#DIV/0!</v>
      </c>
      <c r="AW17" s="39" t="e">
        <f t="shared" si="73"/>
        <v>#DIV/0!</v>
      </c>
      <c r="AX17" s="39" t="e">
        <f t="shared" si="73"/>
        <v>#DIV/0!</v>
      </c>
      <c r="AY17" s="39" t="e">
        <f t="shared" si="73"/>
        <v>#DIV/0!</v>
      </c>
      <c r="AZ17" s="39" t="e">
        <f t="shared" si="73"/>
        <v>#DIV/0!</v>
      </c>
      <c r="BA17" s="39" t="e">
        <f t="shared" si="73"/>
        <v>#DIV/0!</v>
      </c>
      <c r="BB17" s="39" t="e">
        <f t="shared" si="73"/>
        <v>#DIV/0!</v>
      </c>
      <c r="BC17" s="39" t="e">
        <f t="shared" si="73"/>
        <v>#DIV/0!</v>
      </c>
      <c r="BD17" s="39" t="e">
        <f t="shared" si="73"/>
        <v>#DIV/0!</v>
      </c>
      <c r="BE17" s="39" t="e">
        <f t="shared" si="73"/>
        <v>#DIV/0!</v>
      </c>
      <c r="BF17" s="39" t="e">
        <f t="shared" si="73"/>
        <v>#DIV/0!</v>
      </c>
      <c r="BG17" s="39" t="e">
        <f t="shared" si="73"/>
        <v>#DIV/0!</v>
      </c>
      <c r="BH17" s="39" t="e">
        <f t="shared" si="73"/>
        <v>#DIV/0!</v>
      </c>
      <c r="BI17" s="39" t="e">
        <f t="shared" si="73"/>
        <v>#DIV/0!</v>
      </c>
      <c r="BJ17" s="39" t="e">
        <f t="shared" si="73"/>
        <v>#DIV/0!</v>
      </c>
      <c r="BK17" s="39" t="e">
        <f t="shared" si="73"/>
        <v>#DIV/0!</v>
      </c>
      <c r="BL17" s="39" t="e">
        <f t="shared" si="73"/>
        <v>#DIV/0!</v>
      </c>
      <c r="BM17" s="39" t="e">
        <f t="shared" si="73"/>
        <v>#DIV/0!</v>
      </c>
      <c r="BN17" s="39" t="e">
        <f t="shared" si="73"/>
        <v>#DIV/0!</v>
      </c>
      <c r="BO17" s="39" t="e">
        <f t="shared" si="73"/>
        <v>#DIV/0!</v>
      </c>
      <c r="BP17" s="39" t="e">
        <f t="shared" si="73"/>
        <v>#DIV/0!</v>
      </c>
      <c r="BQ17" s="39" t="e">
        <f t="shared" si="73"/>
        <v>#DIV/0!</v>
      </c>
      <c r="BR17" s="39" t="e">
        <f t="shared" si="73"/>
        <v>#DIV/0!</v>
      </c>
      <c r="BS17" s="39" t="e">
        <f t="shared" si="73"/>
        <v>#DIV/0!</v>
      </c>
      <c r="BT17" s="39" t="e">
        <f t="shared" si="73"/>
        <v>#DIV/0!</v>
      </c>
      <c r="BU17" s="39" t="e">
        <f t="shared" si="73"/>
        <v>#DIV/0!</v>
      </c>
      <c r="BV17" s="39" t="e">
        <f t="shared" si="73"/>
        <v>#DIV/0!</v>
      </c>
      <c r="BW17" s="39" t="e">
        <f t="shared" si="73"/>
        <v>#DIV/0!</v>
      </c>
      <c r="BX17" s="39" t="e">
        <f t="shared" si="73"/>
        <v>#DIV/0!</v>
      </c>
      <c r="BY17" s="39" t="e">
        <f t="shared" si="73"/>
        <v>#DIV/0!</v>
      </c>
      <c r="BZ17" s="39" t="e">
        <f t="shared" si="73"/>
        <v>#DIV/0!</v>
      </c>
      <c r="CA17" s="39" t="e">
        <f t="shared" si="73"/>
        <v>#DIV/0!</v>
      </c>
      <c r="CB17" s="39" t="e">
        <f t="shared" si="73"/>
        <v>#DIV/0!</v>
      </c>
      <c r="CC17" s="39">
        <f t="shared" si="73"/>
        <v>0.14730979010401368</v>
      </c>
      <c r="CD17" s="39">
        <f t="shared" si="73"/>
        <v>-7.22623521274397E-2</v>
      </c>
      <c r="CE17" s="39">
        <f t="shared" si="73"/>
        <v>9.0971984763783542E-3</v>
      </c>
      <c r="CF17" s="39">
        <f t="shared" si="73"/>
        <v>2.1494362457354033E-2</v>
      </c>
      <c r="CG17" s="39">
        <f t="shared" si="73"/>
        <v>2.1660397844042167E-2</v>
      </c>
      <c r="CH17" s="39">
        <f t="shared" si="73"/>
        <v>-1.1836593520617833E-2</v>
      </c>
      <c r="CI17" s="39">
        <f t="shared" si="73"/>
        <v>-1.9448844338321725E-2</v>
      </c>
      <c r="CJ17" s="39">
        <f>+IF(CF16&lt;0,1-CJ16/CF16,CJ16/CF16-1)</f>
        <v>2.0733541594353699E-2</v>
      </c>
      <c r="CK17" s="39">
        <f>+IF(CG16&lt;0,1-CK16/CG16,CK16/CG16-1)</f>
        <v>3.6701635063535187E-2</v>
      </c>
      <c r="CL17" s="39">
        <f>+IF(CH16&lt;0,1-CL16/CH16,CL16/CH16-1)</f>
        <v>0.22289892272391398</v>
      </c>
      <c r="CM17" s="40">
        <f>+AVERAGE(CI17:CL17)+4%</f>
        <v>0.10522131376087029</v>
      </c>
      <c r="CN17" s="40">
        <f t="shared" ref="CN17:CT17" si="74">+AVERAGE(CJ17:CM17)+4%</f>
        <v>0.1363888532856683</v>
      </c>
      <c r="CO17" s="40">
        <f t="shared" si="74"/>
        <v>0.16530268120849695</v>
      </c>
      <c r="CP17" s="40">
        <f t="shared" si="74"/>
        <v>0.19745294274473738</v>
      </c>
      <c r="CQ17" s="40">
        <f t="shared" si="74"/>
        <v>0.19109144774994324</v>
      </c>
      <c r="CR17" s="40">
        <f t="shared" si="74"/>
        <v>0.21255898124721148</v>
      </c>
      <c r="CS17" s="40">
        <f t="shared" si="74"/>
        <v>0.23160151323759728</v>
      </c>
      <c r="CT17" s="40">
        <f t="shared" si="74"/>
        <v>0.24817622124487235</v>
      </c>
      <c r="CU17" s="40">
        <f t="shared" ref="CU17" si="75">+AVERAGE(CQ17:CT17)</f>
        <v>0.2208570408699061</v>
      </c>
      <c r="CV17" s="40">
        <f t="shared" ref="CV17" si="76">+AVERAGE(CR17:CU17)</f>
        <v>0.22829843914989681</v>
      </c>
      <c r="CW17" s="40">
        <f t="shared" ref="CW17" si="77">+AVERAGE(CS17:CV17)</f>
        <v>0.23223330362556813</v>
      </c>
      <c r="CX17" s="40">
        <f t="shared" ref="CX17" si="78">+AVERAGE(CT17:CW17)</f>
        <v>0.23239125122256085</v>
      </c>
      <c r="CY17" s="40">
        <f t="shared" ref="CY17" si="79">+AVERAGE(CU17:CX17)</f>
        <v>0.22844500871698298</v>
      </c>
      <c r="CZ17" s="40">
        <f t="shared" ref="CZ17" si="80">+AVERAGE(CV17:CY17)</f>
        <v>0.23034200067875221</v>
      </c>
      <c r="DA17" s="40">
        <f t="shared" ref="DA17" si="81">+AVERAGE(CW17:CZ17)</f>
        <v>0.23085289106096604</v>
      </c>
      <c r="DB17" s="40">
        <f t="shared" ref="DB17" si="82">+AVERAGE(CX17:DA17)</f>
        <v>0.23050778791981552</v>
      </c>
      <c r="DE17" s="122"/>
      <c r="DF17" s="39">
        <v>5.6537434699737335E-2</v>
      </c>
    </row>
    <row r="18" spans="1:110" s="39" customFormat="1" x14ac:dyDescent="0.2">
      <c r="A18" s="39" t="s">
        <v>446</v>
      </c>
      <c r="AB18" s="40"/>
      <c r="AC18" s="40"/>
      <c r="AD18" s="40"/>
      <c r="AE18" s="40"/>
      <c r="AJ18" s="39" t="e">
        <f t="shared" ref="AJ18:AL18" si="83">+IF(AI16&lt;0,1-AJ16/AI16,AJ16/AI16-1)</f>
        <v>#DIV/0!</v>
      </c>
      <c r="AK18" s="39" t="e">
        <f t="shared" si="83"/>
        <v>#DIV/0!</v>
      </c>
      <c r="AL18" s="39" t="e">
        <f t="shared" si="83"/>
        <v>#DIV/0!</v>
      </c>
      <c r="AM18" s="39" t="e">
        <f t="shared" ref="AM18:CI18" si="84">+IF(AL16&lt;0,1-AM16/AL16,AM16/AL16-1)</f>
        <v>#DIV/0!</v>
      </c>
      <c r="AN18" s="39" t="e">
        <f t="shared" si="84"/>
        <v>#DIV/0!</v>
      </c>
      <c r="AO18" s="39" t="e">
        <f t="shared" si="84"/>
        <v>#DIV/0!</v>
      </c>
      <c r="AP18" s="39" t="e">
        <f t="shared" si="84"/>
        <v>#DIV/0!</v>
      </c>
      <c r="AQ18" s="39" t="e">
        <f t="shared" si="84"/>
        <v>#DIV/0!</v>
      </c>
      <c r="AR18" s="39" t="e">
        <f t="shared" si="84"/>
        <v>#DIV/0!</v>
      </c>
      <c r="AS18" s="39" t="e">
        <f t="shared" si="84"/>
        <v>#DIV/0!</v>
      </c>
      <c r="AT18" s="39" t="e">
        <f t="shared" si="84"/>
        <v>#DIV/0!</v>
      </c>
      <c r="AU18" s="39" t="e">
        <f t="shared" si="84"/>
        <v>#DIV/0!</v>
      </c>
      <c r="AV18" s="39" t="e">
        <f t="shared" si="84"/>
        <v>#DIV/0!</v>
      </c>
      <c r="AW18" s="39" t="e">
        <f t="shared" si="84"/>
        <v>#DIV/0!</v>
      </c>
      <c r="AX18" s="39" t="e">
        <f t="shared" si="84"/>
        <v>#DIV/0!</v>
      </c>
      <c r="AY18" s="39" t="e">
        <f t="shared" si="84"/>
        <v>#DIV/0!</v>
      </c>
      <c r="AZ18" s="39" t="e">
        <f t="shared" si="84"/>
        <v>#DIV/0!</v>
      </c>
      <c r="BA18" s="39" t="e">
        <f t="shared" si="84"/>
        <v>#DIV/0!</v>
      </c>
      <c r="BB18" s="39" t="e">
        <f t="shared" si="84"/>
        <v>#DIV/0!</v>
      </c>
      <c r="BC18" s="39" t="e">
        <f t="shared" si="84"/>
        <v>#DIV/0!</v>
      </c>
      <c r="BD18" s="39" t="e">
        <f t="shared" si="84"/>
        <v>#DIV/0!</v>
      </c>
      <c r="BE18" s="39" t="e">
        <f t="shared" si="84"/>
        <v>#DIV/0!</v>
      </c>
      <c r="BF18" s="39" t="e">
        <f t="shared" si="84"/>
        <v>#DIV/0!</v>
      </c>
      <c r="BG18" s="39" t="e">
        <f t="shared" si="84"/>
        <v>#DIV/0!</v>
      </c>
      <c r="BH18" s="39" t="e">
        <f t="shared" si="84"/>
        <v>#DIV/0!</v>
      </c>
      <c r="BI18" s="39" t="e">
        <f t="shared" si="84"/>
        <v>#DIV/0!</v>
      </c>
      <c r="BJ18" s="39" t="e">
        <f t="shared" si="84"/>
        <v>#DIV/0!</v>
      </c>
      <c r="BK18" s="39" t="e">
        <f t="shared" si="84"/>
        <v>#DIV/0!</v>
      </c>
      <c r="BL18" s="39" t="e">
        <f t="shared" si="84"/>
        <v>#DIV/0!</v>
      </c>
      <c r="BM18" s="39" t="e">
        <f t="shared" si="84"/>
        <v>#DIV/0!</v>
      </c>
      <c r="BN18" s="39" t="e">
        <f t="shared" si="84"/>
        <v>#DIV/0!</v>
      </c>
      <c r="BO18" s="39" t="e">
        <f t="shared" si="84"/>
        <v>#DIV/0!</v>
      </c>
      <c r="BP18" s="39" t="e">
        <f t="shared" si="84"/>
        <v>#DIV/0!</v>
      </c>
      <c r="BQ18" s="39" t="e">
        <f t="shared" si="84"/>
        <v>#DIV/0!</v>
      </c>
      <c r="BR18" s="39" t="e">
        <f t="shared" si="84"/>
        <v>#DIV/0!</v>
      </c>
      <c r="BS18" s="39" t="e">
        <f t="shared" si="84"/>
        <v>#DIV/0!</v>
      </c>
      <c r="BT18" s="39" t="e">
        <f t="shared" si="84"/>
        <v>#DIV/0!</v>
      </c>
      <c r="BU18" s="39" t="e">
        <f t="shared" si="84"/>
        <v>#DIV/0!</v>
      </c>
      <c r="BV18" s="39" t="e">
        <f t="shared" si="84"/>
        <v>#DIV/0!</v>
      </c>
      <c r="BW18" s="39" t="e">
        <f t="shared" si="84"/>
        <v>#DIV/0!</v>
      </c>
      <c r="BX18" s="39" t="e">
        <f t="shared" si="84"/>
        <v>#DIV/0!</v>
      </c>
      <c r="BY18" s="39" t="e">
        <f t="shared" si="84"/>
        <v>#DIV/0!</v>
      </c>
      <c r="BZ18" s="39">
        <f t="shared" si="84"/>
        <v>0.247800051606474</v>
      </c>
      <c r="CA18" s="39">
        <f t="shared" si="84"/>
        <v>-0.1032950890978972</v>
      </c>
      <c r="CB18" s="39">
        <f t="shared" si="84"/>
        <v>9.2562404077836113E-3</v>
      </c>
      <c r="CC18" s="39">
        <f t="shared" si="84"/>
        <v>1.5978946870789601E-2</v>
      </c>
      <c r="CD18" s="39">
        <f t="shared" si="84"/>
        <v>8.9960836015354761E-3</v>
      </c>
      <c r="CE18" s="39">
        <f t="shared" si="84"/>
        <v>-2.4657007801391129E-2</v>
      </c>
      <c r="CF18" s="39">
        <f t="shared" si="84"/>
        <v>2.1655358282701709E-2</v>
      </c>
      <c r="CG18" s="39">
        <f t="shared" si="84"/>
        <v>1.6144085772687111E-2</v>
      </c>
      <c r="CH18" s="39">
        <f t="shared" si="84"/>
        <v>-2.4085685223701581E-2</v>
      </c>
      <c r="CI18" s="39">
        <f t="shared" si="84"/>
        <v>-3.2170497413759658E-2</v>
      </c>
      <c r="CJ18" s="39">
        <f>+IF(CI16&lt;0,1-CJ16/CI16,CJ16/CI16-1)</f>
        <v>6.3522169269221829E-2</v>
      </c>
      <c r="CK18" s="39">
        <f>+IF(CJ16&lt;0,1-CK16/CJ16,CK16/CJ16-1)</f>
        <v>3.2040382973256953E-2</v>
      </c>
      <c r="CL18" s="39">
        <f>+IF(CK16&lt;0,1-CL16/CK16,CL16/CK16-1)</f>
        <v>0.15119386701617454</v>
      </c>
      <c r="CM18" s="40">
        <f t="shared" ref="CM18" si="85">+CM16/CL16-1</f>
        <v>-0.12530318371505689</v>
      </c>
      <c r="CN18" s="40">
        <f t="shared" ref="CN18" si="86">+CN16/CM16-1</f>
        <v>9.3513781658058903E-2</v>
      </c>
      <c r="CO18" s="40">
        <f t="shared" ref="CO18" si="87">+CO16/CN16-1</f>
        <v>5.8299209744059111E-2</v>
      </c>
      <c r="CP18" s="40">
        <f t="shared" ref="CP18" si="88">+CP16/CO16-1</f>
        <v>0.18295487168931479</v>
      </c>
      <c r="CQ18" s="40">
        <f t="shared" ref="CQ18" si="89">+CQ16/CP16-1</f>
        <v>-0.12995002971637415</v>
      </c>
      <c r="CR18" s="40">
        <f t="shared" ref="CR18" si="90">+CR16/CQ16-1</f>
        <v>0.11322263254588516</v>
      </c>
      <c r="CS18" s="40">
        <f t="shared" ref="CS18" si="91">+CS16/CR16-1</f>
        <v>7.4919181942213697E-2</v>
      </c>
      <c r="CT18" s="40">
        <f t="shared" ref="CT18" si="92">+CT16/CS16-1</f>
        <v>0.19887490050812606</v>
      </c>
      <c r="CU18" s="40">
        <f t="shared" ref="CU18" si="93">+CU16/CT16-1</f>
        <v>-0.14899305558791842</v>
      </c>
      <c r="CV18" s="40">
        <f t="shared" ref="CV18" si="94">+CV16/CU16-1</f>
        <v>0.12000797489618287</v>
      </c>
      <c r="CW18" s="40">
        <f t="shared" ref="CW18" si="95">+CW16/CV16-1</f>
        <v>7.8362694665529808E-2</v>
      </c>
      <c r="CX18" s="40">
        <f t="shared" ref="CX18" si="96">+CX16/CW16-1</f>
        <v>0.19902857222684456</v>
      </c>
      <c r="CY18" s="40">
        <f t="shared" ref="CY18" si="97">+CY16/CX16-1</f>
        <v>-0.15171806663716869</v>
      </c>
      <c r="CZ18" s="40">
        <f t="shared" ref="CZ18" si="98">+CZ16/CY16-1</f>
        <v>0.12173751599115978</v>
      </c>
      <c r="DA18" s="40">
        <f t="shared" ref="DA18" si="99">+DA16/CZ16-1</f>
        <v>7.8810476769155535E-2</v>
      </c>
      <c r="DB18" s="40">
        <f t="shared" ref="DB18" si="100">+DB16/DA16-1</f>
        <v>0.19869239190049526</v>
      </c>
      <c r="DE18" s="122"/>
      <c r="DF18" s="39">
        <v>-5.4129638202884411E-3</v>
      </c>
    </row>
    <row r="19" spans="1:110" s="23" customFormat="1" outlineLevel="1" x14ac:dyDescent="0.2">
      <c r="A19" s="23" t="s">
        <v>2</v>
      </c>
      <c r="B19" s="23">
        <f>'Annual Raw'!C11</f>
        <v>0</v>
      </c>
      <c r="C19" s="23">
        <f>'Annual Raw'!D11</f>
        <v>0</v>
      </c>
      <c r="D19" s="23">
        <f>'Annual Raw'!E11</f>
        <v>0</v>
      </c>
      <c r="E19" s="23">
        <f>'Annual Raw'!F11</f>
        <v>-6.0921900000000001E-2</v>
      </c>
      <c r="F19" s="23">
        <f>'Annual Raw'!G11</f>
        <v>4.22113E-2</v>
      </c>
      <c r="G19" s="23">
        <f>'Annual Raw'!H11</f>
        <v>0.85960000000000003</v>
      </c>
      <c r="H19" s="23">
        <f>'Annual Raw'!I11</f>
        <v>-4.4999999999999997E-3</v>
      </c>
      <c r="I19" s="23">
        <f>'Annual Raw'!J11</f>
        <v>2.7972999999999999</v>
      </c>
      <c r="J19" s="23">
        <f>'Annual Raw'!K11</f>
        <v>0.2974</v>
      </c>
      <c r="K19" s="23">
        <f>'Annual Raw'!L11</f>
        <v>-3.4687000000000001</v>
      </c>
      <c r="L19" s="23">
        <f>'Annual Raw'!M11</f>
        <v>4.5732999999999997</v>
      </c>
      <c r="M19" s="23">
        <f>'Annual Raw'!N11</f>
        <v>0.72</v>
      </c>
      <c r="N19" s="23">
        <f>'Annual Raw'!O11</f>
        <v>-0.01</v>
      </c>
      <c r="O19" s="23">
        <f>'Annual Raw'!P11</f>
        <v>0.06</v>
      </c>
      <c r="P19" s="23">
        <f>'Annual Raw'!Q11</f>
        <v>0</v>
      </c>
      <c r="Q19" s="23">
        <f>'Annual Raw'!R11</f>
        <v>0</v>
      </c>
      <c r="R19" s="23">
        <f>'Annual Raw'!S11</f>
        <v>0</v>
      </c>
      <c r="S19" s="23">
        <f>'Annual Raw'!T11</f>
        <v>0</v>
      </c>
      <c r="T19" s="23">
        <f>'Annual Raw'!U11</f>
        <v>0</v>
      </c>
      <c r="U19" s="23">
        <f>'Annual Raw'!V11</f>
        <v>0</v>
      </c>
      <c r="V19" s="23">
        <f>'Annual Raw'!W11</f>
        <v>0</v>
      </c>
      <c r="W19" s="23">
        <f>'Annual Raw'!X11</f>
        <v>0</v>
      </c>
      <c r="X19" s="23">
        <f>'Annual Raw'!Y11</f>
        <v>0</v>
      </c>
      <c r="Y19" s="23">
        <f>'Annual Raw'!Z11</f>
        <v>0</v>
      </c>
      <c r="Z19" s="23">
        <f>'Annual Raw'!AA11</f>
        <v>0</v>
      </c>
      <c r="AA19" s="23">
        <f>'Annual Raw'!AB11</f>
        <v>0</v>
      </c>
      <c r="AB19" s="76">
        <f>+SUM(CM19:CP19)</f>
        <v>0</v>
      </c>
      <c r="AC19" s="76">
        <f>+SUM(CQ19:CT19)</f>
        <v>0</v>
      </c>
      <c r="AD19" s="76">
        <f>+SUM(CU19:CX19)</f>
        <v>0</v>
      </c>
      <c r="AE19" s="76">
        <f>+SUM(CY19:DB19)</f>
        <v>0</v>
      </c>
      <c r="AI19" s="23">
        <f>'QTR Raw'!C10</f>
        <v>0</v>
      </c>
      <c r="AJ19" s="23">
        <f>'QTR Raw'!D10</f>
        <v>0</v>
      </c>
      <c r="AK19" s="23">
        <f>'QTR Raw'!E10</f>
        <v>0</v>
      </c>
      <c r="AL19" s="23">
        <f>'QTR Raw'!F10</f>
        <v>0</v>
      </c>
      <c r="AM19" s="23">
        <f>'QTR Raw'!G10</f>
        <v>0</v>
      </c>
      <c r="AN19" s="23">
        <f>'QTR Raw'!H10</f>
        <v>0</v>
      </c>
      <c r="AO19" s="23">
        <f>'QTR Raw'!I10</f>
        <v>0</v>
      </c>
      <c r="AP19" s="23">
        <f>'QTR Raw'!J10</f>
        <v>0</v>
      </c>
      <c r="AQ19" s="23">
        <f>'QTR Raw'!K10</f>
        <v>0</v>
      </c>
      <c r="AR19" s="23">
        <f>'QTR Raw'!L10</f>
        <v>0</v>
      </c>
      <c r="AS19" s="23">
        <f>'QTR Raw'!M10</f>
        <v>0</v>
      </c>
      <c r="AT19" s="23">
        <f>'QTR Raw'!N10</f>
        <v>0</v>
      </c>
      <c r="AU19" s="23">
        <f>'QTR Raw'!O10</f>
        <v>0</v>
      </c>
      <c r="AV19" s="23">
        <f>'QTR Raw'!P10</f>
        <v>0</v>
      </c>
      <c r="AW19" s="23">
        <f>'QTR Raw'!Q10</f>
        <v>0</v>
      </c>
      <c r="AX19" s="23">
        <f>'QTR Raw'!R10</f>
        <v>0</v>
      </c>
      <c r="AY19" s="23">
        <f>'QTR Raw'!S10</f>
        <v>0</v>
      </c>
      <c r="AZ19" s="23">
        <f>'QTR Raw'!T10</f>
        <v>0</v>
      </c>
      <c r="BA19" s="23">
        <f>'QTR Raw'!U10</f>
        <v>0</v>
      </c>
      <c r="BB19" s="23">
        <f>'QTR Raw'!V10</f>
        <v>0</v>
      </c>
      <c r="BC19" s="23">
        <f>'QTR Raw'!W10</f>
        <v>0</v>
      </c>
      <c r="BD19" s="23">
        <f>'QTR Raw'!X10</f>
        <v>0</v>
      </c>
      <c r="BE19" s="23">
        <f>'QTR Raw'!Y10</f>
        <v>0</v>
      </c>
      <c r="BF19" s="23">
        <f>'QTR Raw'!Z10</f>
        <v>0</v>
      </c>
      <c r="BG19" s="23">
        <f>'QTR Raw'!AA10</f>
        <v>0</v>
      </c>
      <c r="BH19" s="23">
        <f>'QTR Raw'!AB10</f>
        <v>0</v>
      </c>
      <c r="BI19" s="23">
        <f>'QTR Raw'!AC10</f>
        <v>0</v>
      </c>
      <c r="BJ19" s="23">
        <f>'QTR Raw'!AD10</f>
        <v>0</v>
      </c>
      <c r="BK19" s="23">
        <f>'QTR Raw'!AE10</f>
        <v>0</v>
      </c>
      <c r="BL19" s="23">
        <f>'QTR Raw'!AF10</f>
        <v>0</v>
      </c>
      <c r="BM19" s="23">
        <f>'QTR Raw'!AG10</f>
        <v>0</v>
      </c>
      <c r="BN19" s="23">
        <f>'QTR Raw'!AH10</f>
        <v>0</v>
      </c>
      <c r="BO19" s="23">
        <f>'QTR Raw'!AI10</f>
        <v>0</v>
      </c>
      <c r="BP19" s="23">
        <f>'QTR Raw'!AJ10</f>
        <v>0</v>
      </c>
      <c r="BQ19" s="23">
        <f>'QTR Raw'!AK10</f>
        <v>0</v>
      </c>
      <c r="BR19" s="23">
        <f>'QTR Raw'!AL10</f>
        <v>0</v>
      </c>
      <c r="BS19" s="23">
        <f>'QTR Raw'!AM10</f>
        <v>0</v>
      </c>
      <c r="BT19" s="23">
        <f>'QTR Raw'!AN10</f>
        <v>0</v>
      </c>
      <c r="BU19" s="23">
        <f>'QTR Raw'!AO10</f>
        <v>0</v>
      </c>
      <c r="BV19" s="23">
        <f>'QTR Raw'!AP10</f>
        <v>0</v>
      </c>
      <c r="BW19" s="23">
        <f>'QTR Raw'!AQ10</f>
        <v>0</v>
      </c>
      <c r="BX19" s="23">
        <f>'QTR Raw'!AR10</f>
        <v>0</v>
      </c>
      <c r="BY19" s="23">
        <f>'QTR Raw'!AS10</f>
        <v>0</v>
      </c>
      <c r="BZ19" s="23">
        <f>'QTR Raw'!AT10</f>
        <v>0</v>
      </c>
      <c r="CA19" s="23">
        <f>'QTR Raw'!AU10</f>
        <v>0</v>
      </c>
      <c r="CB19" s="23">
        <f>'QTR Raw'!AV10</f>
        <v>0</v>
      </c>
      <c r="CC19" s="23">
        <f>'QTR Raw'!AW10</f>
        <v>0</v>
      </c>
      <c r="CD19" s="23">
        <f>'QTR Raw'!AX10</f>
        <v>0</v>
      </c>
      <c r="CE19" s="23">
        <f>'QTR Raw'!AY10</f>
        <v>0</v>
      </c>
      <c r="CF19" s="23">
        <f>'QTR Raw'!AZ10</f>
        <v>0</v>
      </c>
      <c r="CG19" s="23">
        <f>'QTR Raw'!BA10</f>
        <v>0</v>
      </c>
      <c r="CH19" s="23">
        <f>'QTR Raw'!BB10</f>
        <v>0</v>
      </c>
      <c r="CI19" s="23">
        <f>'QTR Raw'!BC10</f>
        <v>0</v>
      </c>
      <c r="CJ19" s="23">
        <f>'QTR Raw'!BD10</f>
        <v>0</v>
      </c>
      <c r="CK19" s="23">
        <f>'QTR Raw'!BE10</f>
        <v>0</v>
      </c>
      <c r="CL19" s="23">
        <f>'QTR Raw'!BF10</f>
        <v>0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E19" s="123"/>
      <c r="DF19" s="23">
        <v>0</v>
      </c>
    </row>
    <row r="20" spans="1:110" s="23" customFormat="1" outlineLevel="1" x14ac:dyDescent="0.2">
      <c r="A20" s="23" t="s">
        <v>3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76">
        <f>+SUM(CM20:CP20)</f>
        <v>0</v>
      </c>
      <c r="AC20" s="76">
        <f>+SUM(CQ20:CT20)</f>
        <v>0</v>
      </c>
      <c r="AD20" s="76">
        <f>+SUM(CU20:CX20)</f>
        <v>0</v>
      </c>
      <c r="AE20" s="76">
        <f>+SUM(CY20:DB20)</f>
        <v>0</v>
      </c>
      <c r="AI20" s="23">
        <f>'QTR Raw'!C12</f>
        <v>0</v>
      </c>
      <c r="AJ20" s="23">
        <f>'QTR Raw'!D12</f>
        <v>0</v>
      </c>
      <c r="AK20" s="23">
        <f>'QTR Raw'!E12</f>
        <v>0</v>
      </c>
      <c r="AL20" s="23">
        <f>'QTR Raw'!F12</f>
        <v>0</v>
      </c>
      <c r="AM20" s="23">
        <f>'QTR Raw'!G12</f>
        <v>0</v>
      </c>
      <c r="AN20" s="23">
        <f>'QTR Raw'!H12</f>
        <v>0</v>
      </c>
      <c r="AO20" s="23">
        <f>'QTR Raw'!I12</f>
        <v>0</v>
      </c>
      <c r="AP20" s="23">
        <f>'QTR Raw'!J12</f>
        <v>0</v>
      </c>
      <c r="AQ20" s="23">
        <f>'QTR Raw'!K12</f>
        <v>0</v>
      </c>
      <c r="AR20" s="23">
        <f>'QTR Raw'!L12</f>
        <v>0</v>
      </c>
      <c r="AS20" s="23">
        <f>'QTR Raw'!M12</f>
        <v>0</v>
      </c>
      <c r="AT20" s="23">
        <f>'QTR Raw'!N12</f>
        <v>0</v>
      </c>
      <c r="AU20" s="23">
        <f>'QTR Raw'!O12</f>
        <v>0</v>
      </c>
      <c r="AV20" s="23">
        <f>'QTR Raw'!P12</f>
        <v>0</v>
      </c>
      <c r="AW20" s="23">
        <f>'QTR Raw'!Q12</f>
        <v>0</v>
      </c>
      <c r="AX20" s="23">
        <f>'QTR Raw'!R12</f>
        <v>0</v>
      </c>
      <c r="AY20" s="23">
        <f>'QTR Raw'!S12</f>
        <v>0</v>
      </c>
      <c r="AZ20" s="23">
        <f>'QTR Raw'!T12</f>
        <v>0</v>
      </c>
      <c r="BA20" s="23">
        <f>'QTR Raw'!U12</f>
        <v>0</v>
      </c>
      <c r="BB20" s="23">
        <f>'QTR Raw'!V12</f>
        <v>0</v>
      </c>
      <c r="BC20" s="23">
        <f>'QTR Raw'!W12</f>
        <v>0</v>
      </c>
      <c r="BD20" s="23">
        <f>'QTR Raw'!X12</f>
        <v>0</v>
      </c>
      <c r="BE20" s="23">
        <f>'QTR Raw'!Y12</f>
        <v>0</v>
      </c>
      <c r="BF20" s="23">
        <f>'QTR Raw'!Z12</f>
        <v>0</v>
      </c>
      <c r="BG20" s="23">
        <f>'QTR Raw'!AA12</f>
        <v>0</v>
      </c>
      <c r="BH20" s="23">
        <f>'QTR Raw'!AB12</f>
        <v>0</v>
      </c>
      <c r="BI20" s="23">
        <f>'QTR Raw'!AC12</f>
        <v>0</v>
      </c>
      <c r="BJ20" s="23">
        <f>'QTR Raw'!AD12</f>
        <v>0</v>
      </c>
      <c r="BK20" s="23">
        <f>'QTR Raw'!AE12</f>
        <v>0</v>
      </c>
      <c r="BL20" s="23">
        <f>'QTR Raw'!AF12</f>
        <v>0</v>
      </c>
      <c r="BM20" s="23">
        <f>'QTR Raw'!AG12</f>
        <v>0</v>
      </c>
      <c r="BN20" s="23">
        <f>'QTR Raw'!AH12</f>
        <v>0</v>
      </c>
      <c r="BO20" s="23">
        <f>'QTR Raw'!AI12</f>
        <v>0</v>
      </c>
      <c r="BP20" s="23">
        <f>'QTR Raw'!AJ12</f>
        <v>0</v>
      </c>
      <c r="BQ20" s="23">
        <f>'QTR Raw'!AK12</f>
        <v>0</v>
      </c>
      <c r="BR20" s="23">
        <f>'QTR Raw'!AL12</f>
        <v>0</v>
      </c>
      <c r="BS20" s="23">
        <f>'QTR Raw'!AM12</f>
        <v>0</v>
      </c>
      <c r="BT20" s="23">
        <f>'QTR Raw'!AN12</f>
        <v>0</v>
      </c>
      <c r="BU20" s="23">
        <f>'QTR Raw'!AO12</f>
        <v>0</v>
      </c>
      <c r="BV20" s="23">
        <f>'QTR Raw'!AP12</f>
        <v>0</v>
      </c>
      <c r="BW20" s="23">
        <f>'QTR Raw'!AQ12</f>
        <v>0</v>
      </c>
      <c r="BX20" s="23">
        <f>'QTR Raw'!AR12</f>
        <v>0</v>
      </c>
      <c r="BY20" s="23">
        <f>'QTR Raw'!AS12</f>
        <v>163.05000000000001</v>
      </c>
      <c r="BZ20" s="23">
        <f>'QTR Raw'!AT12</f>
        <v>342.09</v>
      </c>
      <c r="CA20" s="23">
        <f>'QTR Raw'!AU12</f>
        <v>208.95</v>
      </c>
      <c r="CB20" s="23">
        <f>'QTR Raw'!AV12</f>
        <v>214.57</v>
      </c>
      <c r="CC20" s="23">
        <f>'QTR Raw'!AW12</f>
        <v>230.65</v>
      </c>
      <c r="CD20" s="23">
        <f>'QTR Raw'!AX12</f>
        <v>241.16</v>
      </c>
      <c r="CE20" s="23">
        <f>'QTR Raw'!AY12</f>
        <v>224.96</v>
      </c>
      <c r="CF20" s="23">
        <f>'QTR Raw'!AZ12</f>
        <v>230.95</v>
      </c>
      <c r="CG20" s="23">
        <f>'QTR Raw'!BA12</f>
        <v>240.49</v>
      </c>
      <c r="CH20" s="23">
        <f>'QTR Raw'!BB12</f>
        <v>203.31</v>
      </c>
      <c r="CI20" s="23">
        <f>'QTR Raw'!BC12</f>
        <v>218.48</v>
      </c>
      <c r="CJ20" s="23">
        <f>'QTR Raw'!BD12</f>
        <v>243.05</v>
      </c>
      <c r="CK20" s="23">
        <f>'QTR Raw'!BE12</f>
        <v>235.3</v>
      </c>
      <c r="CL20" s="23">
        <f>'QTR Raw'!BF12</f>
        <v>270.36</v>
      </c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E20" s="123"/>
      <c r="DF20" s="23">
        <v>967.18999999999994</v>
      </c>
    </row>
    <row r="21" spans="1:110" s="23" customFormat="1" outlineLevel="1" x14ac:dyDescent="0.2">
      <c r="A21" s="23" t="s">
        <v>4</v>
      </c>
      <c r="B21" s="23">
        <f>'Annual Raw'!C12</f>
        <v>0</v>
      </c>
      <c r="C21" s="23">
        <f>'Annual Raw'!D12</f>
        <v>0</v>
      </c>
      <c r="D21" s="23">
        <f>'Annual Raw'!E12</f>
        <v>0</v>
      </c>
      <c r="E21" s="23">
        <f>'Annual Raw'!F12</f>
        <v>6.2431425000000003</v>
      </c>
      <c r="F21" s="23">
        <f>'Annual Raw'!G12</f>
        <v>3.8731935000000002</v>
      </c>
      <c r="G21" s="23">
        <f>'Annual Raw'!H12</f>
        <v>79.792400000000001</v>
      </c>
      <c r="H21" s="23">
        <f>'Annual Raw'!I12</f>
        <v>142.29929999999999</v>
      </c>
      <c r="I21" s="23">
        <f>'Annual Raw'!J12</f>
        <v>224.58029999999999</v>
      </c>
      <c r="J21" s="23">
        <f>'Annual Raw'!K12</f>
        <v>235.36160000000001</v>
      </c>
      <c r="K21" s="23">
        <f>'Annual Raw'!L12</f>
        <v>191.5333</v>
      </c>
      <c r="L21" s="23">
        <f>'Annual Raw'!M12</f>
        <v>261.70400000000001</v>
      </c>
      <c r="M21" s="23">
        <f>'Annual Raw'!N12</f>
        <v>314.8</v>
      </c>
      <c r="N21" s="23">
        <f>'Annual Raw'!O12</f>
        <v>349.41</v>
      </c>
      <c r="O21" s="23">
        <f>'Annual Raw'!P12</f>
        <v>402.17</v>
      </c>
      <c r="P21" s="23">
        <f>'Annual Raw'!Q12</f>
        <v>437.97</v>
      </c>
      <c r="Q21" s="23">
        <f>'Annual Raw'!R12</f>
        <v>371.66</v>
      </c>
      <c r="R21" s="23">
        <f>'Annual Raw'!S12</f>
        <v>320.48</v>
      </c>
      <c r="S21" s="23">
        <f>'Annual Raw'!T12</f>
        <v>336.41</v>
      </c>
      <c r="T21" s="23">
        <f>'Annual Raw'!U12</f>
        <v>344.66</v>
      </c>
      <c r="U21" s="23">
        <f>'Annual Raw'!V12</f>
        <v>367.92399999999998</v>
      </c>
      <c r="V21" s="23">
        <f>'Annual Raw'!W12</f>
        <v>338.298</v>
      </c>
      <c r="W21" s="23">
        <f>'Annual Raw'!X12</f>
        <v>688.54</v>
      </c>
      <c r="X21" s="23">
        <f>'Annual Raw'!Y12</f>
        <v>682.48</v>
      </c>
      <c r="Y21" s="23">
        <f>'Annual Raw'!Z12</f>
        <v>895.33</v>
      </c>
      <c r="Z21" s="23">
        <f>'Annual Raw'!AA12</f>
        <v>899.71</v>
      </c>
      <c r="AA21" s="23">
        <f>'Annual Raw'!AB12</f>
        <v>967.19</v>
      </c>
      <c r="AB21" s="24">
        <f>+SUM(CM21:CP21)</f>
        <v>1111.8378999169347</v>
      </c>
      <c r="AC21" s="24">
        <f>+SUM(CQ21:CT21)</f>
        <v>1358.523653950368</v>
      </c>
      <c r="AD21" s="24">
        <f>+SUM(CU21:CX21)</f>
        <v>1669.1942021700402</v>
      </c>
      <c r="AE21" s="24">
        <f>+SUM(CY21:DB21)</f>
        <v>2053.2387665895612</v>
      </c>
      <c r="AI21" s="23">
        <f>'QTR Raw'!C11</f>
        <v>0</v>
      </c>
      <c r="AJ21" s="23">
        <f>'QTR Raw'!D11</f>
        <v>0</v>
      </c>
      <c r="AK21" s="23">
        <f>'QTR Raw'!E11</f>
        <v>0</v>
      </c>
      <c r="AL21" s="23">
        <f>'QTR Raw'!F11</f>
        <v>0</v>
      </c>
      <c r="AM21" s="23">
        <f>'QTR Raw'!G11</f>
        <v>0</v>
      </c>
      <c r="AN21" s="23">
        <f>'QTR Raw'!H11</f>
        <v>0</v>
      </c>
      <c r="AO21" s="23">
        <f>'QTR Raw'!I11</f>
        <v>0</v>
      </c>
      <c r="AP21" s="23">
        <f>'QTR Raw'!J11</f>
        <v>0</v>
      </c>
      <c r="AQ21" s="23">
        <f>'QTR Raw'!K11</f>
        <v>0</v>
      </c>
      <c r="AR21" s="23">
        <f>'QTR Raw'!L11</f>
        <v>0</v>
      </c>
      <c r="AS21" s="23">
        <f>'QTR Raw'!M11</f>
        <v>0</v>
      </c>
      <c r="AT21" s="23">
        <f>'QTR Raw'!N11</f>
        <v>0</v>
      </c>
      <c r="AU21" s="23">
        <f>'QTR Raw'!O11</f>
        <v>0</v>
      </c>
      <c r="AV21" s="23">
        <f>'QTR Raw'!P11</f>
        <v>0</v>
      </c>
      <c r="AW21" s="23">
        <f>'QTR Raw'!Q11</f>
        <v>0</v>
      </c>
      <c r="AX21" s="23">
        <f>'QTR Raw'!R11</f>
        <v>0</v>
      </c>
      <c r="AY21" s="23">
        <f>'QTR Raw'!S11</f>
        <v>0</v>
      </c>
      <c r="AZ21" s="23">
        <f>'QTR Raw'!T11</f>
        <v>0</v>
      </c>
      <c r="BA21" s="23">
        <f>'QTR Raw'!U11</f>
        <v>0</v>
      </c>
      <c r="BB21" s="23">
        <f>'QTR Raw'!V11</f>
        <v>0</v>
      </c>
      <c r="BC21" s="23">
        <f>'QTR Raw'!W11</f>
        <v>0</v>
      </c>
      <c r="BD21" s="23">
        <f>'QTR Raw'!X11</f>
        <v>0</v>
      </c>
      <c r="BE21" s="23">
        <f>'QTR Raw'!Y11</f>
        <v>0</v>
      </c>
      <c r="BF21" s="23">
        <f>'QTR Raw'!Z11</f>
        <v>0</v>
      </c>
      <c r="BG21" s="23">
        <f>'QTR Raw'!AA11</f>
        <v>0</v>
      </c>
      <c r="BH21" s="23">
        <f>'QTR Raw'!AB11</f>
        <v>0</v>
      </c>
      <c r="BI21" s="23">
        <f>'QTR Raw'!AC11</f>
        <v>0</v>
      </c>
      <c r="BJ21" s="23">
        <f>'QTR Raw'!AD11</f>
        <v>0</v>
      </c>
      <c r="BK21" s="23">
        <f>'QTR Raw'!AE11</f>
        <v>0</v>
      </c>
      <c r="BL21" s="23">
        <f>'QTR Raw'!AF11</f>
        <v>0</v>
      </c>
      <c r="BM21" s="23">
        <f>'QTR Raw'!AG11</f>
        <v>0</v>
      </c>
      <c r="BN21" s="23">
        <f>'QTR Raw'!AH11</f>
        <v>0</v>
      </c>
      <c r="BO21" s="23">
        <f>'QTR Raw'!AI11</f>
        <v>0</v>
      </c>
      <c r="BP21" s="23">
        <f>'QTR Raw'!AJ11</f>
        <v>0</v>
      </c>
      <c r="BQ21" s="23">
        <f>'QTR Raw'!AK11</f>
        <v>0</v>
      </c>
      <c r="BR21" s="23">
        <f>'QTR Raw'!AL11</f>
        <v>0</v>
      </c>
      <c r="BS21" s="23">
        <f>'QTR Raw'!AM11</f>
        <v>0</v>
      </c>
      <c r="BT21" s="23">
        <f>'QTR Raw'!AN11</f>
        <v>0</v>
      </c>
      <c r="BU21" s="23">
        <f>'QTR Raw'!AO11</f>
        <v>0</v>
      </c>
      <c r="BV21" s="23">
        <f>'QTR Raw'!AP11</f>
        <v>0</v>
      </c>
      <c r="BW21" s="23">
        <f>'QTR Raw'!AQ11</f>
        <v>0</v>
      </c>
      <c r="BX21" s="23">
        <f>'QTR Raw'!AR11</f>
        <v>0</v>
      </c>
      <c r="BY21" s="23">
        <f>'QTR Raw'!AS11</f>
        <v>0</v>
      </c>
      <c r="BZ21" s="23">
        <f>'QTR Raw'!AT11</f>
        <v>0</v>
      </c>
      <c r="CA21" s="23">
        <f>'QTR Raw'!AU11</f>
        <v>0</v>
      </c>
      <c r="CB21" s="23">
        <f>'QTR Raw'!AV11</f>
        <v>0</v>
      </c>
      <c r="CC21" s="23">
        <f>'QTR Raw'!AW11</f>
        <v>0</v>
      </c>
      <c r="CD21" s="23">
        <f>'QTR Raw'!AX11</f>
        <v>0</v>
      </c>
      <c r="CE21" s="23">
        <f>'QTR Raw'!AY11</f>
        <v>0</v>
      </c>
      <c r="CF21" s="23">
        <f>'QTR Raw'!AZ11</f>
        <v>0</v>
      </c>
      <c r="CG21" s="23">
        <f>'QTR Raw'!BA11</f>
        <v>0</v>
      </c>
      <c r="CH21" s="23">
        <f>'QTR Raw'!BB11</f>
        <v>0</v>
      </c>
      <c r="CI21" s="23">
        <f>'QTR Raw'!BC11</f>
        <v>0</v>
      </c>
      <c r="CJ21" s="23">
        <f>'QTR Raw'!BD11</f>
        <v>0</v>
      </c>
      <c r="CK21" s="23">
        <f>'QTR Raw'!BE11</f>
        <v>0</v>
      </c>
      <c r="CL21" s="23">
        <f>'QTR Raw'!BF11</f>
        <v>0</v>
      </c>
      <c r="CM21" s="24">
        <f t="shared" ref="CM21:DB21" si="101">+CM16-CM22</f>
        <v>241.86643001294033</v>
      </c>
      <c r="CN21" s="24">
        <f t="shared" si="101"/>
        <v>264.59299096417953</v>
      </c>
      <c r="CO21" s="24">
        <f t="shared" si="101"/>
        <v>276.94781346599643</v>
      </c>
      <c r="CP21" s="24">
        <f t="shared" si="101"/>
        <v>328.43066547381841</v>
      </c>
      <c r="CQ21" s="24">
        <f t="shared" si="101"/>
        <v>286.77063440445704</v>
      </c>
      <c r="CR21" s="24">
        <f t="shared" si="101"/>
        <v>318.87375508782247</v>
      </c>
      <c r="CS21" s="24">
        <f t="shared" si="101"/>
        <v>342.23657647568598</v>
      </c>
      <c r="CT21" s="24">
        <f t="shared" si="101"/>
        <v>410.64268798240255</v>
      </c>
      <c r="CU21" s="24">
        <f t="shared" si="101"/>
        <v>349.60941616609352</v>
      </c>
      <c r="CV21" s="24">
        <f t="shared" si="101"/>
        <v>391.42630426570668</v>
      </c>
      <c r="CW21" s="24">
        <f t="shared" si="101"/>
        <v>422.0332503796767</v>
      </c>
      <c r="CX21" s="24">
        <f t="shared" si="101"/>
        <v>506.12523135856327</v>
      </c>
      <c r="CY21" s="24">
        <f t="shared" si="101"/>
        <v>429.34808186616578</v>
      </c>
      <c r="CZ21" s="24">
        <f t="shared" si="101"/>
        <v>481.57999438965089</v>
      </c>
      <c r="DA21" s="24">
        <f t="shared" si="101"/>
        <v>519.53132425870626</v>
      </c>
      <c r="DB21" s="24">
        <f t="shared" si="101"/>
        <v>622.77936607503807</v>
      </c>
      <c r="DE21" s="123"/>
      <c r="DF21" s="23">
        <v>234.20393100139268</v>
      </c>
    </row>
    <row r="22" spans="1:110" s="31" customFormat="1" x14ac:dyDescent="0.2">
      <c r="A22" s="31" t="s">
        <v>5</v>
      </c>
      <c r="B22" s="31">
        <f t="shared" ref="B22:T22" si="102">B16-B19-B21-B20</f>
        <v>0</v>
      </c>
      <c r="C22" s="31">
        <f t="shared" si="102"/>
        <v>0</v>
      </c>
      <c r="D22" s="31">
        <f t="shared" si="102"/>
        <v>0</v>
      </c>
      <c r="E22" s="31">
        <f t="shared" si="102"/>
        <v>128.82510690000001</v>
      </c>
      <c r="F22" s="31">
        <f t="shared" si="102"/>
        <v>174.83880399999998</v>
      </c>
      <c r="G22" s="31">
        <f t="shared" si="102"/>
        <v>455.90130000000005</v>
      </c>
      <c r="H22" s="31">
        <f t="shared" si="102"/>
        <v>787.49360000000001</v>
      </c>
      <c r="I22" s="31">
        <f t="shared" si="102"/>
        <v>856.62540000000001</v>
      </c>
      <c r="J22" s="31">
        <f t="shared" si="102"/>
        <v>966.7777000000001</v>
      </c>
      <c r="K22" s="31">
        <f t="shared" si="102"/>
        <v>882.32179999999994</v>
      </c>
      <c r="L22" s="31">
        <f t="shared" si="102"/>
        <v>983.04549999999995</v>
      </c>
      <c r="M22" s="31">
        <f t="shared" si="102"/>
        <v>1327.09</v>
      </c>
      <c r="N22" s="31">
        <f t="shared" si="102"/>
        <v>1645.6</v>
      </c>
      <c r="O22" s="31">
        <f t="shared" si="102"/>
        <v>1942.2199999999998</v>
      </c>
      <c r="P22" s="31">
        <f t="shared" si="102"/>
        <v>2156.2299999999996</v>
      </c>
      <c r="Q22" s="31">
        <f t="shared" si="102"/>
        <v>2311.7200000000003</v>
      </c>
      <c r="R22" s="31">
        <f t="shared" si="102"/>
        <v>2481.4699999999998</v>
      </c>
      <c r="S22" s="31">
        <f t="shared" si="102"/>
        <v>2355.0700000000002</v>
      </c>
      <c r="T22" s="31">
        <f t="shared" si="102"/>
        <v>2597.5500000000002</v>
      </c>
      <c r="U22" s="31">
        <f t="shared" ref="U22:Z22" si="103">U16-U19-U21-U20</f>
        <v>2484.1309999999999</v>
      </c>
      <c r="V22" s="31">
        <f t="shared" si="103"/>
        <v>2042.6130000000001</v>
      </c>
      <c r="W22" s="31">
        <f t="shared" si="103"/>
        <v>2841.04</v>
      </c>
      <c r="X22" s="31">
        <f t="shared" si="103"/>
        <v>3731.7000000000003</v>
      </c>
      <c r="Y22" s="31">
        <f t="shared" si="103"/>
        <v>4221.87</v>
      </c>
      <c r="Z22" s="31">
        <f t="shared" si="103"/>
        <v>4268.74</v>
      </c>
      <c r="AA22" s="31">
        <f t="shared" ref="AA22" si="104">AA16-AA19-AA21-AA20</f>
        <v>4538.3799999999992</v>
      </c>
      <c r="AB22" s="32">
        <f t="shared" ref="AA22:AD22" si="105">AB16-AB19-AB21-AB20</f>
        <v>5241.3436862501139</v>
      </c>
      <c r="AC22" s="32">
        <f t="shared" si="105"/>
        <v>6412.9223569812293</v>
      </c>
      <c r="AD22" s="32">
        <f t="shared" si="105"/>
        <v>7881.6020451909262</v>
      </c>
      <c r="AE22" s="32">
        <f t="shared" ref="AE22" si="106">AE16-AE19-AE21-AE20</f>
        <v>9695.4275010276615</v>
      </c>
      <c r="AI22" s="31">
        <f t="shared" ref="AI22" si="107">AI16-AI19-AI21-AI20</f>
        <v>0</v>
      </c>
      <c r="AJ22" s="31">
        <f t="shared" ref="AJ22" si="108">AJ16-AJ19-AJ21-AJ20</f>
        <v>0</v>
      </c>
      <c r="AK22" s="31">
        <f t="shared" ref="AK22:AM22" si="109">AK16-AK19-AK21-AK20</f>
        <v>0</v>
      </c>
      <c r="AL22" s="31">
        <f t="shared" si="109"/>
        <v>0</v>
      </c>
      <c r="AM22" s="31">
        <f t="shared" si="109"/>
        <v>0</v>
      </c>
      <c r="AN22" s="31">
        <f t="shared" ref="AN22:AO22" si="110">AN16-AN19-AN21-AN20</f>
        <v>0</v>
      </c>
      <c r="AO22" s="31">
        <f t="shared" si="110"/>
        <v>0</v>
      </c>
      <c r="AP22" s="31">
        <f t="shared" ref="AP22:CD22" si="111">AP16-AP19-AP21-AP20</f>
        <v>0</v>
      </c>
      <c r="AQ22" s="31">
        <f t="shared" si="111"/>
        <v>0</v>
      </c>
      <c r="AR22" s="31">
        <f t="shared" si="111"/>
        <v>0</v>
      </c>
      <c r="AS22" s="31">
        <f t="shared" si="111"/>
        <v>0</v>
      </c>
      <c r="AT22" s="31">
        <f t="shared" si="111"/>
        <v>0</v>
      </c>
      <c r="AU22" s="31">
        <f t="shared" si="111"/>
        <v>0</v>
      </c>
      <c r="AV22" s="31">
        <f t="shared" si="111"/>
        <v>0</v>
      </c>
      <c r="AW22" s="31">
        <f t="shared" si="111"/>
        <v>0</v>
      </c>
      <c r="AX22" s="31">
        <f t="shared" si="111"/>
        <v>0</v>
      </c>
      <c r="AY22" s="31">
        <f t="shared" si="111"/>
        <v>0</v>
      </c>
      <c r="AZ22" s="31">
        <f t="shared" si="111"/>
        <v>0</v>
      </c>
      <c r="BA22" s="31">
        <f t="shared" si="111"/>
        <v>0</v>
      </c>
      <c r="BB22" s="31">
        <f t="shared" si="111"/>
        <v>0</v>
      </c>
      <c r="BC22" s="31">
        <f t="shared" si="111"/>
        <v>0</v>
      </c>
      <c r="BD22" s="31">
        <f t="shared" si="111"/>
        <v>0</v>
      </c>
      <c r="BE22" s="31">
        <f t="shared" si="111"/>
        <v>0</v>
      </c>
      <c r="BF22" s="31">
        <f t="shared" si="111"/>
        <v>0</v>
      </c>
      <c r="BG22" s="31">
        <f t="shared" si="111"/>
        <v>0</v>
      </c>
      <c r="BH22" s="31">
        <f t="shared" si="111"/>
        <v>0</v>
      </c>
      <c r="BI22" s="31">
        <f t="shared" si="111"/>
        <v>0</v>
      </c>
      <c r="BJ22" s="31">
        <f t="shared" si="111"/>
        <v>0</v>
      </c>
      <c r="BK22" s="31">
        <f t="shared" si="111"/>
        <v>0</v>
      </c>
      <c r="BL22" s="31">
        <f t="shared" si="111"/>
        <v>0</v>
      </c>
      <c r="BM22" s="31">
        <f t="shared" si="111"/>
        <v>0</v>
      </c>
      <c r="BN22" s="31">
        <f t="shared" si="111"/>
        <v>0</v>
      </c>
      <c r="BO22" s="31">
        <f t="shared" si="111"/>
        <v>0</v>
      </c>
      <c r="BP22" s="31">
        <f t="shared" si="111"/>
        <v>0</v>
      </c>
      <c r="BQ22" s="31">
        <f t="shared" si="111"/>
        <v>0</v>
      </c>
      <c r="BR22" s="31">
        <f t="shared" si="111"/>
        <v>0</v>
      </c>
      <c r="BS22" s="31">
        <f t="shared" si="111"/>
        <v>0</v>
      </c>
      <c r="BT22" s="31">
        <f t="shared" si="111"/>
        <v>0</v>
      </c>
      <c r="BU22" s="31">
        <f t="shared" si="111"/>
        <v>0</v>
      </c>
      <c r="BV22" s="31">
        <f t="shared" si="111"/>
        <v>0</v>
      </c>
      <c r="BW22" s="31">
        <f t="shared" si="111"/>
        <v>0</v>
      </c>
      <c r="BX22" s="31">
        <f t="shared" si="111"/>
        <v>0</v>
      </c>
      <c r="BY22" s="31">
        <f t="shared" si="111"/>
        <v>960.84000000000015</v>
      </c>
      <c r="BZ22" s="31">
        <f t="shared" si="111"/>
        <v>1060.3000000000002</v>
      </c>
      <c r="CA22" s="31">
        <f t="shared" si="111"/>
        <v>1048.58</v>
      </c>
      <c r="CB22" s="31">
        <f t="shared" si="111"/>
        <v>1054.6000000000001</v>
      </c>
      <c r="CC22" s="31">
        <f t="shared" si="111"/>
        <v>1058.8</v>
      </c>
      <c r="CD22" s="31">
        <f t="shared" si="111"/>
        <v>1059.8899999999999</v>
      </c>
      <c r="CE22" s="31">
        <f t="shared" ref="CE22:CF22" si="112">CE16-CE19-CE21-CE20</f>
        <v>1044.01</v>
      </c>
      <c r="CF22" s="31">
        <f t="shared" si="112"/>
        <v>1065.5</v>
      </c>
      <c r="CG22" s="31">
        <f t="shared" ref="CG22:CH22" si="113">CG16-CG19-CG21-CG20</f>
        <v>1076.8900000000001</v>
      </c>
      <c r="CH22" s="31">
        <f t="shared" si="113"/>
        <v>1082.3400000000001</v>
      </c>
      <c r="CI22" s="31">
        <f t="shared" ref="CI22:CJ22" si="114">CI16-CI19-CI21-CI20</f>
        <v>1025.81</v>
      </c>
      <c r="CJ22" s="31">
        <f t="shared" si="114"/>
        <v>1080.28</v>
      </c>
      <c r="CK22" s="31">
        <f t="shared" ref="CK22:CL22" si="115">CK16-CK19-CK21-CK20</f>
        <v>1130.43</v>
      </c>
      <c r="CL22" s="31">
        <f t="shared" si="115"/>
        <v>1301.8600000000001</v>
      </c>
      <c r="CM22" s="32">
        <f t="shared" ref="CM22:DB22" si="116">+CM23*CM16</f>
        <v>1133.3493984865729</v>
      </c>
      <c r="CN22" s="32">
        <f t="shared" si="116"/>
        <v>1239.2244702543437</v>
      </c>
      <c r="CO22" s="32">
        <f t="shared" si="116"/>
        <v>1314.5410173408841</v>
      </c>
      <c r="CP22" s="32">
        <f t="shared" si="116"/>
        <v>1554.2288001683125</v>
      </c>
      <c r="CQ22" s="32">
        <f t="shared" si="116"/>
        <v>1351.237177731666</v>
      </c>
      <c r="CR22" s="32">
        <f t="shared" si="116"/>
        <v>1504.593613669078</v>
      </c>
      <c r="CS22" s="32">
        <f t="shared" si="116"/>
        <v>1617.8434758468024</v>
      </c>
      <c r="CT22" s="32">
        <f t="shared" si="116"/>
        <v>1939.2480897336832</v>
      </c>
      <c r="CU22" s="32">
        <f t="shared" si="116"/>
        <v>1650.1639542802027</v>
      </c>
      <c r="CV22" s="32">
        <f t="shared" si="116"/>
        <v>1848.3358186191635</v>
      </c>
      <c r="CW22" s="32">
        <f t="shared" si="116"/>
        <v>1993.2426678642396</v>
      </c>
      <c r="CX22" s="32">
        <f t="shared" si="116"/>
        <v>2389.8596044273204</v>
      </c>
      <c r="CY22" s="32">
        <f t="shared" si="116"/>
        <v>2027.2635336237252</v>
      </c>
      <c r="CZ22" s="32">
        <f t="shared" si="116"/>
        <v>2274.0934169250095</v>
      </c>
      <c r="DA22" s="32">
        <f t="shared" si="116"/>
        <v>2453.3180224217476</v>
      </c>
      <c r="DB22" s="32">
        <f t="shared" si="116"/>
        <v>2940.7525280571799</v>
      </c>
      <c r="DE22" s="124"/>
      <c r="DF22" s="31">
        <v>1124.1334219203247</v>
      </c>
    </row>
    <row r="23" spans="1:110" s="41" customFormat="1" x14ac:dyDescent="0.2">
      <c r="A23" s="41" t="s">
        <v>6</v>
      </c>
      <c r="B23" s="41" t="e">
        <f>B22/B16</f>
        <v>#DIV/0!</v>
      </c>
      <c r="C23" s="41" t="e">
        <f t="shared" ref="C23:U23" si="117">C22/C16</f>
        <v>#DIV/0!</v>
      </c>
      <c r="D23" s="41" t="e">
        <f t="shared" si="117"/>
        <v>#DIV/0!</v>
      </c>
      <c r="E23" s="41">
        <f t="shared" si="117"/>
        <v>0.95420825880728588</v>
      </c>
      <c r="F23" s="41">
        <f t="shared" si="117"/>
        <v>0.97809615322467303</v>
      </c>
      <c r="G23" s="41">
        <f t="shared" si="117"/>
        <v>0.84968501731328461</v>
      </c>
      <c r="H23" s="41">
        <f t="shared" si="117"/>
        <v>0.84696001799979437</v>
      </c>
      <c r="I23" s="41">
        <f t="shared" si="117"/>
        <v>0.79024264692994395</v>
      </c>
      <c r="J23" s="41">
        <f t="shared" si="117"/>
        <v>0.80401546293455628</v>
      </c>
      <c r="K23" s="41">
        <f t="shared" si="117"/>
        <v>0.82430213986276346</v>
      </c>
      <c r="L23" s="41">
        <f t="shared" si="117"/>
        <v>0.78686269073133064</v>
      </c>
      <c r="M23" s="41">
        <f t="shared" si="117"/>
        <v>0.80791545162881029</v>
      </c>
      <c r="N23" s="41">
        <f t="shared" si="117"/>
        <v>0.82486215538847119</v>
      </c>
      <c r="O23" s="41">
        <f t="shared" si="117"/>
        <v>0.82843310797841707</v>
      </c>
      <c r="P23" s="41">
        <f t="shared" si="117"/>
        <v>0.83117338678590691</v>
      </c>
      <c r="Q23" s="41">
        <f t="shared" si="117"/>
        <v>0.86149557647444641</v>
      </c>
      <c r="R23" s="41">
        <f t="shared" si="117"/>
        <v>0.8856225128928068</v>
      </c>
      <c r="S23" s="41">
        <f t="shared" si="117"/>
        <v>0.87500928856985749</v>
      </c>
      <c r="T23" s="41">
        <f t="shared" si="117"/>
        <v>0.88285676413308367</v>
      </c>
      <c r="U23" s="41">
        <f t="shared" si="117"/>
        <v>0.87099687768994638</v>
      </c>
      <c r="V23" s="41">
        <f>V22/V16</f>
        <v>0.85791237051699953</v>
      </c>
      <c r="W23" s="41">
        <f>W22/W16</f>
        <v>0.80492296533865215</v>
      </c>
      <c r="X23" s="41">
        <f>X22/X16</f>
        <v>0.84538917760490062</v>
      </c>
      <c r="Y23" s="41">
        <f>Y22/Y16</f>
        <v>0.82503517548659422</v>
      </c>
      <c r="Z23" s="41">
        <f>Z22/Z16</f>
        <v>0.82592266540258685</v>
      </c>
      <c r="AA23" s="41">
        <f>AA22/AA16</f>
        <v>0.82432518340516958</v>
      </c>
      <c r="AB23" s="42">
        <f t="shared" ref="AA23:AD23" si="118">AB22/AB16</f>
        <v>0.82499510129888798</v>
      </c>
      <c r="AC23" s="42">
        <f t="shared" si="118"/>
        <v>0.82519036328124529</v>
      </c>
      <c r="AD23" s="42">
        <f t="shared" si="118"/>
        <v>0.82522983854552812</v>
      </c>
      <c r="AE23" s="42">
        <f t="shared" ref="AE23" si="119">AE22/AE16</f>
        <v>0.82523643792241408</v>
      </c>
      <c r="AI23" s="41" t="e">
        <f t="shared" ref="AI23" si="120">AI22/AI16</f>
        <v>#DIV/0!</v>
      </c>
      <c r="AJ23" s="41" t="e">
        <f t="shared" ref="AJ23" si="121">AJ22/AJ16</f>
        <v>#DIV/0!</v>
      </c>
      <c r="AK23" s="41" t="e">
        <f t="shared" ref="AK23:AM23" si="122">AK22/AK16</f>
        <v>#DIV/0!</v>
      </c>
      <c r="AL23" s="41" t="e">
        <f t="shared" si="122"/>
        <v>#DIV/0!</v>
      </c>
      <c r="AM23" s="41" t="e">
        <f t="shared" si="122"/>
        <v>#DIV/0!</v>
      </c>
      <c r="AN23" s="41" t="e">
        <f t="shared" ref="AN23:AO23" si="123">AN22/AN16</f>
        <v>#DIV/0!</v>
      </c>
      <c r="AO23" s="41" t="e">
        <f t="shared" si="123"/>
        <v>#DIV/0!</v>
      </c>
      <c r="AP23" s="41" t="e">
        <f t="shared" ref="AP23:CD23" si="124">AP22/AP16</f>
        <v>#DIV/0!</v>
      </c>
      <c r="AQ23" s="41" t="e">
        <f t="shared" si="124"/>
        <v>#DIV/0!</v>
      </c>
      <c r="AR23" s="41" t="e">
        <f t="shared" si="124"/>
        <v>#DIV/0!</v>
      </c>
      <c r="AS23" s="41" t="e">
        <f t="shared" si="124"/>
        <v>#DIV/0!</v>
      </c>
      <c r="AT23" s="41" t="e">
        <f t="shared" si="124"/>
        <v>#DIV/0!</v>
      </c>
      <c r="AU23" s="41" t="e">
        <f t="shared" si="124"/>
        <v>#DIV/0!</v>
      </c>
      <c r="AV23" s="41" t="e">
        <f t="shared" si="124"/>
        <v>#DIV/0!</v>
      </c>
      <c r="AW23" s="41" t="e">
        <f t="shared" si="124"/>
        <v>#DIV/0!</v>
      </c>
      <c r="AX23" s="41" t="e">
        <f t="shared" si="124"/>
        <v>#DIV/0!</v>
      </c>
      <c r="AY23" s="41" t="e">
        <f t="shared" si="124"/>
        <v>#DIV/0!</v>
      </c>
      <c r="AZ23" s="41" t="e">
        <f t="shared" si="124"/>
        <v>#DIV/0!</v>
      </c>
      <c r="BA23" s="41" t="e">
        <f t="shared" si="124"/>
        <v>#DIV/0!</v>
      </c>
      <c r="BB23" s="41" t="e">
        <f t="shared" si="124"/>
        <v>#DIV/0!</v>
      </c>
      <c r="BC23" s="41" t="e">
        <f t="shared" si="124"/>
        <v>#DIV/0!</v>
      </c>
      <c r="BD23" s="41" t="e">
        <f t="shared" si="124"/>
        <v>#DIV/0!</v>
      </c>
      <c r="BE23" s="41" t="e">
        <f t="shared" si="124"/>
        <v>#DIV/0!</v>
      </c>
      <c r="BF23" s="41" t="e">
        <f t="shared" si="124"/>
        <v>#DIV/0!</v>
      </c>
      <c r="BG23" s="41" t="e">
        <f t="shared" si="124"/>
        <v>#DIV/0!</v>
      </c>
      <c r="BH23" s="41" t="e">
        <f t="shared" si="124"/>
        <v>#DIV/0!</v>
      </c>
      <c r="BI23" s="41" t="e">
        <f t="shared" si="124"/>
        <v>#DIV/0!</v>
      </c>
      <c r="BJ23" s="41" t="e">
        <f t="shared" si="124"/>
        <v>#DIV/0!</v>
      </c>
      <c r="BK23" s="41" t="e">
        <f t="shared" si="124"/>
        <v>#DIV/0!</v>
      </c>
      <c r="BL23" s="41" t="e">
        <f t="shared" si="124"/>
        <v>#DIV/0!</v>
      </c>
      <c r="BM23" s="41" t="e">
        <f t="shared" si="124"/>
        <v>#DIV/0!</v>
      </c>
      <c r="BN23" s="41" t="e">
        <f t="shared" si="124"/>
        <v>#DIV/0!</v>
      </c>
      <c r="BO23" s="41" t="e">
        <f t="shared" si="124"/>
        <v>#DIV/0!</v>
      </c>
      <c r="BP23" s="41" t="e">
        <f t="shared" si="124"/>
        <v>#DIV/0!</v>
      </c>
      <c r="BQ23" s="41" t="e">
        <f t="shared" si="124"/>
        <v>#DIV/0!</v>
      </c>
      <c r="BR23" s="41" t="e">
        <f t="shared" si="124"/>
        <v>#DIV/0!</v>
      </c>
      <c r="BS23" s="41" t="e">
        <f t="shared" si="124"/>
        <v>#DIV/0!</v>
      </c>
      <c r="BT23" s="41" t="e">
        <f t="shared" si="124"/>
        <v>#DIV/0!</v>
      </c>
      <c r="BU23" s="41" t="e">
        <f t="shared" si="124"/>
        <v>#DIV/0!</v>
      </c>
      <c r="BV23" s="41" t="e">
        <f t="shared" si="124"/>
        <v>#DIV/0!</v>
      </c>
      <c r="BW23" s="41" t="e">
        <f t="shared" si="124"/>
        <v>#DIV/0!</v>
      </c>
      <c r="BX23" s="41" t="e">
        <f t="shared" si="124"/>
        <v>#DIV/0!</v>
      </c>
      <c r="BY23" s="41">
        <f t="shared" si="124"/>
        <v>0.85492352454421705</v>
      </c>
      <c r="BZ23" s="41">
        <f t="shared" si="124"/>
        <v>0.75606642945257752</v>
      </c>
      <c r="CA23" s="41">
        <f t="shared" si="124"/>
        <v>0.83384094216440163</v>
      </c>
      <c r="CB23" s="41">
        <f t="shared" si="124"/>
        <v>0.83093675394155242</v>
      </c>
      <c r="CC23" s="41">
        <f t="shared" si="124"/>
        <v>0.8211252859746403</v>
      </c>
      <c r="CD23" s="41">
        <f t="shared" si="124"/>
        <v>0.81464201990699814</v>
      </c>
      <c r="CE23" s="41">
        <f t="shared" ref="CE23:CF23" si="125">CE22/CE16</f>
        <v>0.8227223653829483</v>
      </c>
      <c r="CF23" s="41">
        <f t="shared" si="125"/>
        <v>0.82185969377916612</v>
      </c>
      <c r="CG23" s="41">
        <f t="shared" ref="CG23:CH23" si="126">CG22/CG16</f>
        <v>0.81744826853299735</v>
      </c>
      <c r="CH23" s="41">
        <f t="shared" si="126"/>
        <v>0.84186209310465532</v>
      </c>
      <c r="CI23" s="41">
        <f t="shared" ref="CI23:CJ23" si="127">CI22/CI16</f>
        <v>0.82441392279934744</v>
      </c>
      <c r="CJ23" s="41">
        <f t="shared" si="127"/>
        <v>0.81633454996108301</v>
      </c>
      <c r="CK23" s="41">
        <f t="shared" ref="CK23:CL23" si="128">CK22/CK16</f>
        <v>0.82771118742357574</v>
      </c>
      <c r="CL23" s="41">
        <f t="shared" si="128"/>
        <v>0.82803933291778509</v>
      </c>
      <c r="CM23" s="42">
        <f t="shared" ref="CM23:DB23" si="129">AVERAGE(CI23:CL23)</f>
        <v>0.8241247482754479</v>
      </c>
      <c r="CN23" s="42">
        <f t="shared" si="129"/>
        <v>0.82405245464447296</v>
      </c>
      <c r="CO23" s="42">
        <f t="shared" si="129"/>
        <v>0.82598193081532045</v>
      </c>
      <c r="CP23" s="42">
        <f t="shared" si="129"/>
        <v>0.82554961666325655</v>
      </c>
      <c r="CQ23" s="42">
        <f t="shared" si="129"/>
        <v>0.82492718759962447</v>
      </c>
      <c r="CR23" s="42">
        <f t="shared" si="129"/>
        <v>0.82512779743066855</v>
      </c>
      <c r="CS23" s="42">
        <f t="shared" si="129"/>
        <v>0.82539663312721756</v>
      </c>
      <c r="CT23" s="42">
        <f t="shared" si="129"/>
        <v>0.82525030870519189</v>
      </c>
      <c r="CU23" s="42">
        <f t="shared" si="129"/>
        <v>0.82517548171567556</v>
      </c>
      <c r="CV23" s="42">
        <f t="shared" si="129"/>
        <v>0.82523755524468834</v>
      </c>
      <c r="CW23" s="42">
        <f t="shared" si="129"/>
        <v>0.82526499469819337</v>
      </c>
      <c r="CX23" s="42">
        <f t="shared" si="129"/>
        <v>0.82523208509093726</v>
      </c>
      <c r="CY23" s="42">
        <f t="shared" si="129"/>
        <v>0.82522752918737363</v>
      </c>
      <c r="CZ23" s="42">
        <f t="shared" si="129"/>
        <v>0.82524054105529809</v>
      </c>
      <c r="DA23" s="42">
        <f t="shared" si="129"/>
        <v>0.82524128750795067</v>
      </c>
      <c r="DB23" s="42">
        <f t="shared" si="129"/>
        <v>0.82523536071038994</v>
      </c>
      <c r="DE23" s="125"/>
      <c r="DF23" s="41">
        <v>0.82758043832216532</v>
      </c>
    </row>
    <row r="24" spans="1:110" s="39" customFormat="1" x14ac:dyDescent="0.2">
      <c r="A24" s="39" t="s">
        <v>447</v>
      </c>
      <c r="C24" s="39" t="e">
        <f t="shared" ref="C24:AE24" si="130">+IF(B22&lt;0,1-C22/B22,C22/B22-1)</f>
        <v>#DIV/0!</v>
      </c>
      <c r="D24" s="39" t="e">
        <f t="shared" si="130"/>
        <v>#DIV/0!</v>
      </c>
      <c r="E24" s="39" t="e">
        <f t="shared" si="130"/>
        <v>#DIV/0!</v>
      </c>
      <c r="F24" s="39">
        <f t="shared" si="130"/>
        <v>0.35717957630509045</v>
      </c>
      <c r="G24" s="39">
        <f t="shared" si="130"/>
        <v>1.6075521541545212</v>
      </c>
      <c r="H24" s="39">
        <f t="shared" si="130"/>
        <v>0.72733352591887757</v>
      </c>
      <c r="I24" s="39">
        <f t="shared" si="130"/>
        <v>8.7787126142993444E-2</v>
      </c>
      <c r="J24" s="39">
        <f t="shared" si="130"/>
        <v>0.12858864563203487</v>
      </c>
      <c r="K24" s="39">
        <f t="shared" si="130"/>
        <v>-8.7358138277289776E-2</v>
      </c>
      <c r="L24" s="39">
        <f t="shared" si="130"/>
        <v>0.11415755566733132</v>
      </c>
      <c r="M24" s="39">
        <f t="shared" si="130"/>
        <v>0.34997820548489367</v>
      </c>
      <c r="N24" s="39">
        <f t="shared" si="130"/>
        <v>0.24000632963853241</v>
      </c>
      <c r="O24" s="39">
        <f t="shared" si="130"/>
        <v>0.18025036460865329</v>
      </c>
      <c r="P24" s="39">
        <f t="shared" si="130"/>
        <v>0.1101883411765916</v>
      </c>
      <c r="Q24" s="39">
        <f t="shared" si="130"/>
        <v>7.2111973212505509E-2</v>
      </c>
      <c r="R24" s="39">
        <f t="shared" si="130"/>
        <v>7.3430173204367177E-2</v>
      </c>
      <c r="S24" s="39">
        <f t="shared" si="130"/>
        <v>-5.0937549114033032E-2</v>
      </c>
      <c r="T24" s="39">
        <f t="shared" si="130"/>
        <v>0.10296084617442358</v>
      </c>
      <c r="U24" s="39">
        <f t="shared" si="130"/>
        <v>-4.3663837077245971E-2</v>
      </c>
      <c r="V24" s="39">
        <f t="shared" si="130"/>
        <v>-0.17773539318176046</v>
      </c>
      <c r="W24" s="39">
        <f t="shared" si="130"/>
        <v>0.39088510647880925</v>
      </c>
      <c r="X24" s="39">
        <f t="shared" si="130"/>
        <v>0.31349787401796547</v>
      </c>
      <c r="Y24" s="39">
        <f t="shared" si="130"/>
        <v>0.13135300265294636</v>
      </c>
      <c r="Z24" s="39">
        <f t="shared" si="130"/>
        <v>1.1101715590484673E-2</v>
      </c>
      <c r="AA24" s="39">
        <f t="shared" si="130"/>
        <v>6.3166180184316634E-2</v>
      </c>
      <c r="AB24" s="40">
        <f t="shared" si="130"/>
        <v>0.15489308657497047</v>
      </c>
      <c r="AC24" s="40">
        <f t="shared" si="130"/>
        <v>0.22352639721081036</v>
      </c>
      <c r="AD24" s="40">
        <f t="shared" si="130"/>
        <v>0.22901878526735375</v>
      </c>
      <c r="AE24" s="40">
        <f t="shared" si="130"/>
        <v>0.23013410794363409</v>
      </c>
      <c r="AM24" s="39" t="e">
        <f>+IF(AI22&lt;0,1-AM22/AI22,AM22/AI22-1)</f>
        <v>#DIV/0!</v>
      </c>
      <c r="AN24" s="39" t="e">
        <f t="shared" ref="AN24" si="131">+IF(AJ22&lt;0,1-AN22/AJ22,AN22/AJ22-1)</f>
        <v>#DIV/0!</v>
      </c>
      <c r="AO24" s="39" t="e">
        <f t="shared" ref="AO24" si="132">+IF(AK22&lt;0,1-AO22/AK22,AO22/AK22-1)</f>
        <v>#DIV/0!</v>
      </c>
      <c r="AP24" s="39" t="e">
        <f t="shared" ref="AP24" si="133">+IF(AL22&lt;0,1-AP22/AL22,AP22/AL22-1)</f>
        <v>#DIV/0!</v>
      </c>
      <c r="AQ24" s="39" t="e">
        <f t="shared" ref="AQ24" si="134">+IF(AM22&lt;0,1-AQ22/AM22,AQ22/AM22-1)</f>
        <v>#DIV/0!</v>
      </c>
      <c r="AR24" s="39" t="e">
        <f t="shared" ref="AR24" si="135">+IF(AN22&lt;0,1-AR22/AN22,AR22/AN22-1)</f>
        <v>#DIV/0!</v>
      </c>
      <c r="AS24" s="39" t="e">
        <f t="shared" ref="AS24" si="136">+IF(AO22&lt;0,1-AS22/AO22,AS22/AO22-1)</f>
        <v>#DIV/0!</v>
      </c>
      <c r="AT24" s="39" t="e">
        <f t="shared" ref="AT24" si="137">+IF(AP22&lt;0,1-AT22/AP22,AT22/AP22-1)</f>
        <v>#DIV/0!</v>
      </c>
      <c r="AU24" s="39" t="e">
        <f t="shared" ref="AU24" si="138">+IF(AQ22&lt;0,1-AU22/AQ22,AU22/AQ22-1)</f>
        <v>#DIV/0!</v>
      </c>
      <c r="AV24" s="39" t="e">
        <f t="shared" ref="AV24" si="139">+IF(AR22&lt;0,1-AV22/AR22,AV22/AR22-1)</f>
        <v>#DIV/0!</v>
      </c>
      <c r="AW24" s="39" t="e">
        <f t="shared" ref="AW24" si="140">+IF(AS22&lt;0,1-AW22/AS22,AW22/AS22-1)</f>
        <v>#DIV/0!</v>
      </c>
      <c r="AX24" s="39" t="e">
        <f t="shared" ref="AX24" si="141">+IF(AT22&lt;0,1-AX22/AT22,AX22/AT22-1)</f>
        <v>#DIV/0!</v>
      </c>
      <c r="AY24" s="39" t="e">
        <f t="shared" ref="AY24" si="142">+IF(AU22&lt;0,1-AY22/AU22,AY22/AU22-1)</f>
        <v>#DIV/0!</v>
      </c>
      <c r="AZ24" s="39" t="e">
        <f t="shared" ref="AZ24" si="143">+IF(AV22&lt;0,1-AZ22/AV22,AZ22/AV22-1)</f>
        <v>#DIV/0!</v>
      </c>
      <c r="BA24" s="39" t="e">
        <f t="shared" ref="BA24" si="144">+IF(AW22&lt;0,1-BA22/AW22,BA22/AW22-1)</f>
        <v>#DIV/0!</v>
      </c>
      <c r="BB24" s="39" t="e">
        <f t="shared" ref="BB24" si="145">+IF(AX22&lt;0,1-BB22/AX22,BB22/AX22-1)</f>
        <v>#DIV/0!</v>
      </c>
      <c r="BC24" s="39" t="e">
        <f t="shared" ref="BC24" si="146">+IF(AY22&lt;0,1-BC22/AY22,BC22/AY22-1)</f>
        <v>#DIV/0!</v>
      </c>
      <c r="BD24" s="39" t="e">
        <f t="shared" ref="BD24" si="147">+IF(AZ22&lt;0,1-BD22/AZ22,BD22/AZ22-1)</f>
        <v>#DIV/0!</v>
      </c>
      <c r="BE24" s="39" t="e">
        <f t="shared" ref="BE24" si="148">+IF(BA22&lt;0,1-BE22/BA22,BE22/BA22-1)</f>
        <v>#DIV/0!</v>
      </c>
      <c r="BF24" s="39" t="e">
        <f t="shared" ref="BF24" si="149">+IF(BB22&lt;0,1-BF22/BB22,BF22/BB22-1)</f>
        <v>#DIV/0!</v>
      </c>
      <c r="BG24" s="39" t="e">
        <f t="shared" ref="BG24" si="150">+IF(BC22&lt;0,1-BG22/BC22,BG22/BC22-1)</f>
        <v>#DIV/0!</v>
      </c>
      <c r="BH24" s="39" t="e">
        <f t="shared" ref="BH24" si="151">+IF(BD22&lt;0,1-BH22/BD22,BH22/BD22-1)</f>
        <v>#DIV/0!</v>
      </c>
      <c r="BI24" s="39" t="e">
        <f t="shared" ref="BI24" si="152">+IF(BE22&lt;0,1-BI22/BE22,BI22/BE22-1)</f>
        <v>#DIV/0!</v>
      </c>
      <c r="BJ24" s="39" t="e">
        <f t="shared" ref="BJ24" si="153">+IF(BF22&lt;0,1-BJ22/BF22,BJ22/BF22-1)</f>
        <v>#DIV/0!</v>
      </c>
      <c r="BK24" s="39" t="e">
        <f t="shared" ref="BK24" si="154">+IF(BG22&lt;0,1-BK22/BG22,BK22/BG22-1)</f>
        <v>#DIV/0!</v>
      </c>
      <c r="BL24" s="39" t="e">
        <f t="shared" ref="BL24" si="155">+IF(BH22&lt;0,1-BL22/BH22,BL22/BH22-1)</f>
        <v>#DIV/0!</v>
      </c>
      <c r="BM24" s="39" t="e">
        <f t="shared" ref="BM24" si="156">+IF(BI22&lt;0,1-BM22/BI22,BM22/BI22-1)</f>
        <v>#DIV/0!</v>
      </c>
      <c r="BN24" s="39" t="e">
        <f t="shared" ref="BN24" si="157">+IF(BJ22&lt;0,1-BN22/BJ22,BN22/BJ22-1)</f>
        <v>#DIV/0!</v>
      </c>
      <c r="BO24" s="39" t="e">
        <f t="shared" ref="BO24" si="158">+IF(BK22&lt;0,1-BO22/BK22,BO22/BK22-1)</f>
        <v>#DIV/0!</v>
      </c>
      <c r="BP24" s="39" t="e">
        <f t="shared" ref="BP24" si="159">+IF(BL22&lt;0,1-BP22/BL22,BP22/BL22-1)</f>
        <v>#DIV/0!</v>
      </c>
      <c r="BQ24" s="39" t="e">
        <f t="shared" ref="BQ24" si="160">+IF(BM22&lt;0,1-BQ22/BM22,BQ22/BM22-1)</f>
        <v>#DIV/0!</v>
      </c>
      <c r="BR24" s="39" t="e">
        <f t="shared" ref="BR24" si="161">+IF(BN22&lt;0,1-BR22/BN22,BR22/BN22-1)</f>
        <v>#DIV/0!</v>
      </c>
      <c r="BS24" s="39" t="e">
        <f t="shared" ref="BS24" si="162">+IF(BO22&lt;0,1-BS22/BO22,BS22/BO22-1)</f>
        <v>#DIV/0!</v>
      </c>
      <c r="BT24" s="39" t="e">
        <f t="shared" ref="BT24" si="163">+IF(BP22&lt;0,1-BT22/BP22,BT22/BP22-1)</f>
        <v>#DIV/0!</v>
      </c>
      <c r="BU24" s="39" t="e">
        <f t="shared" ref="BU24" si="164">+IF(BQ22&lt;0,1-BU22/BQ22,BU22/BQ22-1)</f>
        <v>#DIV/0!</v>
      </c>
      <c r="BV24" s="39" t="e">
        <f t="shared" ref="BV24" si="165">+IF(BR22&lt;0,1-BV22/BR22,BV22/BR22-1)</f>
        <v>#DIV/0!</v>
      </c>
      <c r="BW24" s="39" t="e">
        <f t="shared" ref="BW24" si="166">+IF(BS22&lt;0,1-BW22/BS22,BW22/BS22-1)</f>
        <v>#DIV/0!</v>
      </c>
      <c r="BX24" s="39" t="e">
        <f t="shared" ref="BX24" si="167">+IF(BT22&lt;0,1-BX22/BT22,BX22/BT22-1)</f>
        <v>#DIV/0!</v>
      </c>
      <c r="BY24" s="39" t="e">
        <f t="shared" ref="BY24" si="168">+IF(BU22&lt;0,1-BY22/BU22,BY22/BU22-1)</f>
        <v>#DIV/0!</v>
      </c>
      <c r="BZ24" s="39" t="e">
        <f t="shared" ref="BZ24" si="169">+IF(BV22&lt;0,1-BZ22/BV22,BZ22/BV22-1)</f>
        <v>#DIV/0!</v>
      </c>
      <c r="CA24" s="39" t="e">
        <f t="shared" ref="CA24" si="170">+IF(BW22&lt;0,1-CA22/BW22,CA22/BW22-1)</f>
        <v>#DIV/0!</v>
      </c>
      <c r="CB24" s="39" t="e">
        <f t="shared" ref="CB24" si="171">+IF(BX22&lt;0,1-CB22/BX22,CB22/BX22-1)</f>
        <v>#DIV/0!</v>
      </c>
      <c r="CC24" s="39">
        <f t="shared" ref="CC24" si="172">+IF(BY22&lt;0,1-CC22/BY22,CC22/BY22-1)</f>
        <v>0.10195245826568389</v>
      </c>
      <c r="CD24" s="39">
        <f t="shared" ref="CD24" si="173">+IF(BZ22&lt;0,1-CD22/BZ22,CD22/BZ22-1)</f>
        <v>-3.8668301424149565E-4</v>
      </c>
      <c r="CE24" s="39">
        <f t="shared" ref="CE24" si="174">+IF(CA22&lt;0,1-CE22/CA22,CE22/CA22-1)</f>
        <v>-4.3582750004768078E-3</v>
      </c>
      <c r="CF24" s="39">
        <f t="shared" ref="CF24" si="175">+IF(CB22&lt;0,1-CF22/CB22,CF22/CB22-1)</f>
        <v>1.0335672292812292E-2</v>
      </c>
      <c r="CG24" s="39">
        <f t="shared" ref="CG24" si="176">+IF(CC22&lt;0,1-CG22/CC22,CG22/CC22-1)</f>
        <v>1.708537967510404E-2</v>
      </c>
      <c r="CH24" s="39">
        <f t="shared" ref="CH24:CL24" si="177">+IF(CD22&lt;0,1-CH22/CD22,CH22/CD22-1)</f>
        <v>2.1181443357329854E-2</v>
      </c>
      <c r="CI24" s="39">
        <f t="shared" si="177"/>
        <v>-1.7432783210888814E-2</v>
      </c>
      <c r="CJ24" s="39">
        <f t="shared" si="177"/>
        <v>1.3871421867667655E-2</v>
      </c>
      <c r="CK24" s="39">
        <f t="shared" si="177"/>
        <v>4.971724131526889E-2</v>
      </c>
      <c r="CL24" s="39">
        <f t="shared" si="177"/>
        <v>0.20281981632389079</v>
      </c>
      <c r="CM24" s="40">
        <f t="shared" ref="CM24" si="178">+CM22/CI22-1</f>
        <v>0.1048336421818592</v>
      </c>
      <c r="CN24" s="40">
        <f t="shared" ref="CN24" si="179">+CN22/CJ22-1</f>
        <v>0.14713266028654037</v>
      </c>
      <c r="CO24" s="40">
        <f t="shared" ref="CO24" si="180">+CO22/CK22-1</f>
        <v>0.16286812747439816</v>
      </c>
      <c r="CP24" s="40">
        <f t="shared" ref="CP24" si="181">+CP22/CL22-1</f>
        <v>0.19385248810802413</v>
      </c>
      <c r="CQ24" s="40">
        <f t="shared" ref="CQ24" si="182">+CQ22/CM22-1</f>
        <v>0.19225119767659571</v>
      </c>
      <c r="CR24" s="40">
        <f t="shared" ref="CR24" si="183">+CR22/CN22-1</f>
        <v>0.21414130352047422</v>
      </c>
      <c r="CS24" s="40">
        <f t="shared" ref="CS24" si="184">+CS22/CO22-1</f>
        <v>0.23072879012893255</v>
      </c>
      <c r="CT24" s="40">
        <f t="shared" ref="CT24" si="185">+CT22/CP22-1</f>
        <v>0.24772368748003881</v>
      </c>
      <c r="CU24" s="40">
        <f t="shared" ref="CU24" si="186">+CU22/CQ22-1</f>
        <v>0.22122450556781437</v>
      </c>
      <c r="CV24" s="40">
        <f t="shared" ref="CV24" si="187">+CV22/CR22-1</f>
        <v>0.22846182638768564</v>
      </c>
      <c r="CW24" s="40">
        <f t="shared" ref="CW24" si="188">+CW22/CS22-1</f>
        <v>0.23203678082698809</v>
      </c>
      <c r="CX24" s="40">
        <f t="shared" ref="CX24" si="189">+CX22/CT22-1</f>
        <v>0.23236403690644836</v>
      </c>
      <c r="CY24" s="40">
        <f t="shared" ref="CY24" si="190">+CY22/CU22-1</f>
        <v>0.22852249218351894</v>
      </c>
      <c r="CZ24" s="40">
        <f t="shared" ref="CZ24" si="191">+CZ22/CV22-1</f>
        <v>0.23034645220689209</v>
      </c>
      <c r="DA24" s="40">
        <f t="shared" ref="DA24" si="192">+DA22/CW22-1</f>
        <v>0.2308175326441706</v>
      </c>
      <c r="DB24" s="40">
        <f t="shared" ref="DB24" si="193">+DB22/CX22-1</f>
        <v>0.23051267221275507</v>
      </c>
      <c r="DE24" s="122"/>
      <c r="DF24" s="39">
        <v>3.8613949332302777E-2</v>
      </c>
    </row>
    <row r="25" spans="1:110" s="39" customFormat="1" x14ac:dyDescent="0.2">
      <c r="A25" s="39" t="s">
        <v>448</v>
      </c>
      <c r="AB25" s="40"/>
      <c r="AC25" s="40"/>
      <c r="AD25" s="40"/>
      <c r="AE25" s="40"/>
      <c r="AJ25" s="39" t="e">
        <f>+IF(AI22&lt;0,1-AJ22/AI22,AJ22/AI22-1)</f>
        <v>#DIV/0!</v>
      </c>
      <c r="AK25" s="39" t="e">
        <f t="shared" ref="AK25" si="194">+IF(AJ22&lt;0,1-AK22/AJ22,AK22/AJ22-1)</f>
        <v>#DIV/0!</v>
      </c>
      <c r="AL25" s="39" t="e">
        <f t="shared" ref="AL25" si="195">+IF(AK22&lt;0,1-AL22/AK22,AL22/AK22-1)</f>
        <v>#DIV/0!</v>
      </c>
      <c r="AM25" s="39" t="e">
        <f t="shared" ref="AM25" si="196">+IF(AL22&lt;0,1-AM22/AL22,AM22/AL22-1)</f>
        <v>#DIV/0!</v>
      </c>
      <c r="AN25" s="39" t="e">
        <f t="shared" ref="AN25" si="197">+IF(AM22&lt;0,1-AN22/AM22,AN22/AM22-1)</f>
        <v>#DIV/0!</v>
      </c>
      <c r="AO25" s="39" t="e">
        <f t="shared" ref="AO25" si="198">+IF(AN22&lt;0,1-AO22/AN22,AO22/AN22-1)</f>
        <v>#DIV/0!</v>
      </c>
      <c r="AP25" s="39" t="e">
        <f t="shared" ref="AP25" si="199">+IF(AO22&lt;0,1-AP22/AO22,AP22/AO22-1)</f>
        <v>#DIV/0!</v>
      </c>
      <c r="AQ25" s="39" t="e">
        <f t="shared" ref="AQ25" si="200">+IF(AP22&lt;0,1-AQ22/AP22,AQ22/AP22-1)</f>
        <v>#DIV/0!</v>
      </c>
      <c r="AR25" s="39" t="e">
        <f t="shared" ref="AR25" si="201">+IF(AQ22&lt;0,1-AR22/AQ22,AR22/AQ22-1)</f>
        <v>#DIV/0!</v>
      </c>
      <c r="AS25" s="39" t="e">
        <f t="shared" ref="AS25" si="202">+IF(AR22&lt;0,1-AS22/AR22,AS22/AR22-1)</f>
        <v>#DIV/0!</v>
      </c>
      <c r="AT25" s="39" t="e">
        <f t="shared" ref="AT25" si="203">+IF(AS22&lt;0,1-AT22/AS22,AT22/AS22-1)</f>
        <v>#DIV/0!</v>
      </c>
      <c r="AU25" s="39" t="e">
        <f t="shared" ref="AU25" si="204">+IF(AT22&lt;0,1-AU22/AT22,AU22/AT22-1)</f>
        <v>#DIV/0!</v>
      </c>
      <c r="AV25" s="39" t="e">
        <f t="shared" ref="AV25" si="205">+IF(AU22&lt;0,1-AV22/AU22,AV22/AU22-1)</f>
        <v>#DIV/0!</v>
      </c>
      <c r="AW25" s="39" t="e">
        <f t="shared" ref="AW25" si="206">+IF(AV22&lt;0,1-AW22/AV22,AW22/AV22-1)</f>
        <v>#DIV/0!</v>
      </c>
      <c r="AX25" s="39" t="e">
        <f t="shared" ref="AX25" si="207">+IF(AW22&lt;0,1-AX22/AW22,AX22/AW22-1)</f>
        <v>#DIV/0!</v>
      </c>
      <c r="AY25" s="39" t="e">
        <f t="shared" ref="AY25" si="208">+IF(AX22&lt;0,1-AY22/AX22,AY22/AX22-1)</f>
        <v>#DIV/0!</v>
      </c>
      <c r="AZ25" s="39" t="e">
        <f t="shared" ref="AZ25" si="209">+IF(AY22&lt;0,1-AZ22/AY22,AZ22/AY22-1)</f>
        <v>#DIV/0!</v>
      </c>
      <c r="BA25" s="39" t="e">
        <f t="shared" ref="BA25" si="210">+IF(AZ22&lt;0,1-BA22/AZ22,BA22/AZ22-1)</f>
        <v>#DIV/0!</v>
      </c>
      <c r="BB25" s="39" t="e">
        <f t="shared" ref="BB25" si="211">+IF(BA22&lt;0,1-BB22/BA22,BB22/BA22-1)</f>
        <v>#DIV/0!</v>
      </c>
      <c r="BC25" s="39" t="e">
        <f t="shared" ref="BC25" si="212">+IF(BB22&lt;0,1-BC22/BB22,BC22/BB22-1)</f>
        <v>#DIV/0!</v>
      </c>
      <c r="BD25" s="39" t="e">
        <f t="shared" ref="BD25" si="213">+IF(BC22&lt;0,1-BD22/BC22,BD22/BC22-1)</f>
        <v>#DIV/0!</v>
      </c>
      <c r="BE25" s="39" t="e">
        <f t="shared" ref="BE25" si="214">+IF(BD22&lt;0,1-BE22/BD22,BE22/BD22-1)</f>
        <v>#DIV/0!</v>
      </c>
      <c r="BF25" s="39" t="e">
        <f t="shared" ref="BF25" si="215">+IF(BE22&lt;0,1-BF22/BE22,BF22/BE22-1)</f>
        <v>#DIV/0!</v>
      </c>
      <c r="BG25" s="39" t="e">
        <f t="shared" ref="BG25" si="216">+IF(BF22&lt;0,1-BG22/BF22,BG22/BF22-1)</f>
        <v>#DIV/0!</v>
      </c>
      <c r="BH25" s="39" t="e">
        <f t="shared" ref="BH25" si="217">+IF(BG22&lt;0,1-BH22/BG22,BH22/BG22-1)</f>
        <v>#DIV/0!</v>
      </c>
      <c r="BI25" s="39" t="e">
        <f t="shared" ref="BI25" si="218">+IF(BH22&lt;0,1-BI22/BH22,BI22/BH22-1)</f>
        <v>#DIV/0!</v>
      </c>
      <c r="BJ25" s="39" t="e">
        <f t="shared" ref="BJ25" si="219">+IF(BI22&lt;0,1-BJ22/BI22,BJ22/BI22-1)</f>
        <v>#DIV/0!</v>
      </c>
      <c r="BK25" s="39" t="e">
        <f t="shared" ref="BK25" si="220">+IF(BJ22&lt;0,1-BK22/BJ22,BK22/BJ22-1)</f>
        <v>#DIV/0!</v>
      </c>
      <c r="BL25" s="39" t="e">
        <f t="shared" ref="BL25" si="221">+IF(BK22&lt;0,1-BL22/BK22,BL22/BK22-1)</f>
        <v>#DIV/0!</v>
      </c>
      <c r="BM25" s="39" t="e">
        <f t="shared" ref="BM25" si="222">+IF(BL22&lt;0,1-BM22/BL22,BM22/BL22-1)</f>
        <v>#DIV/0!</v>
      </c>
      <c r="BN25" s="39" t="e">
        <f t="shared" ref="BN25" si="223">+IF(BM22&lt;0,1-BN22/BM22,BN22/BM22-1)</f>
        <v>#DIV/0!</v>
      </c>
      <c r="BO25" s="39" t="e">
        <f t="shared" ref="BO25" si="224">+IF(BN22&lt;0,1-BO22/BN22,BO22/BN22-1)</f>
        <v>#DIV/0!</v>
      </c>
      <c r="BP25" s="39" t="e">
        <f t="shared" ref="BP25" si="225">+IF(BO22&lt;0,1-BP22/BO22,BP22/BO22-1)</f>
        <v>#DIV/0!</v>
      </c>
      <c r="BQ25" s="39" t="e">
        <f t="shared" ref="BQ25" si="226">+IF(BP22&lt;0,1-BQ22/BP22,BQ22/BP22-1)</f>
        <v>#DIV/0!</v>
      </c>
      <c r="BR25" s="39" t="e">
        <f t="shared" ref="BR25" si="227">+IF(BQ22&lt;0,1-BR22/BQ22,BR22/BQ22-1)</f>
        <v>#DIV/0!</v>
      </c>
      <c r="BS25" s="39" t="e">
        <f t="shared" ref="BS25" si="228">+IF(BR22&lt;0,1-BS22/BR22,BS22/BR22-1)</f>
        <v>#DIV/0!</v>
      </c>
      <c r="BT25" s="39" t="e">
        <f t="shared" ref="BT25" si="229">+IF(BS22&lt;0,1-BT22/BS22,BT22/BS22-1)</f>
        <v>#DIV/0!</v>
      </c>
      <c r="BU25" s="39" t="e">
        <f t="shared" ref="BU25" si="230">+IF(BT22&lt;0,1-BU22/BT22,BU22/BT22-1)</f>
        <v>#DIV/0!</v>
      </c>
      <c r="BV25" s="39" t="e">
        <f t="shared" ref="BV25" si="231">+IF(BU22&lt;0,1-BV22/BU22,BV22/BU22-1)</f>
        <v>#DIV/0!</v>
      </c>
      <c r="BW25" s="39" t="e">
        <f t="shared" ref="BW25" si="232">+IF(BV22&lt;0,1-BW22/BV22,BW22/BV22-1)</f>
        <v>#DIV/0!</v>
      </c>
      <c r="BX25" s="39" t="e">
        <f t="shared" ref="BX25" si="233">+IF(BW22&lt;0,1-BX22/BW22,BX22/BW22-1)</f>
        <v>#DIV/0!</v>
      </c>
      <c r="BY25" s="39" t="e">
        <f t="shared" ref="BY25" si="234">+IF(BX22&lt;0,1-BY22/BX22,BY22/BX22-1)</f>
        <v>#DIV/0!</v>
      </c>
      <c r="BZ25" s="39">
        <f t="shared" ref="BZ25" si="235">+IF(BY22&lt;0,1-BZ22/BY22,BZ22/BY22-1)</f>
        <v>0.10351359227342738</v>
      </c>
      <c r="CA25" s="39">
        <f t="shared" ref="CA25" si="236">+IF(BZ22&lt;0,1-CA22/BZ22,CA22/BZ22-1)</f>
        <v>-1.1053475431481941E-2</v>
      </c>
      <c r="CB25" s="39">
        <f t="shared" ref="CB25" si="237">+IF(CA22&lt;0,1-CB22/CA22,CB22/CA22-1)</f>
        <v>5.7410974842169171E-3</v>
      </c>
      <c r="CC25" s="39">
        <f t="shared" ref="CC25" si="238">+IF(CB22&lt;0,1-CC22/CB22,CC22/CB22-1)</f>
        <v>3.9825526265881983E-3</v>
      </c>
      <c r="CD25" s="39">
        <f t="shared" ref="CD25" si="239">+IF(CC22&lt;0,1-CD22/CC22,CD22/CC22-1)</f>
        <v>1.0294673214958916E-3</v>
      </c>
      <c r="CE25" s="39">
        <f t="shared" ref="CE25" si="240">+IF(CD22&lt;0,1-CE22/CD22,CE22/CD22-1)</f>
        <v>-1.498268688260096E-2</v>
      </c>
      <c r="CF25" s="39">
        <f t="shared" ref="CF25" si="241">+IF(CE22&lt;0,1-CF22/CE22,CF22/CE22-1)</f>
        <v>2.0584094022087829E-2</v>
      </c>
      <c r="CG25" s="39">
        <f t="shared" ref="CG25" si="242">+IF(CF22&lt;0,1-CG22/CF22,CG22/CF22-1)</f>
        <v>1.0689816987329959E-2</v>
      </c>
      <c r="CH25" s="39">
        <f t="shared" ref="CH25:CL25" si="243">+IF(CG22&lt;0,1-CH22/CG22,CH22/CG22-1)</f>
        <v>5.0608697267131575E-3</v>
      </c>
      <c r="CI25" s="39">
        <f t="shared" si="243"/>
        <v>-5.2229428830127489E-2</v>
      </c>
      <c r="CJ25" s="39">
        <f t="shared" si="243"/>
        <v>5.309950185706902E-2</v>
      </c>
      <c r="CK25" s="39">
        <f t="shared" si="243"/>
        <v>4.6423149553819432E-2</v>
      </c>
      <c r="CL25" s="39">
        <f t="shared" si="243"/>
        <v>0.15165025698185652</v>
      </c>
      <c r="CM25" s="40">
        <f t="shared" ref="CM25" si="244">+CM22/CL22-1</f>
        <v>-0.12943834322694237</v>
      </c>
      <c r="CN25" s="40">
        <f t="shared" ref="CN25" si="245">+CN22/CM22-1</f>
        <v>9.3417856760811713E-2</v>
      </c>
      <c r="CO25" s="40">
        <f t="shared" ref="CO25" si="246">+CO22/CN22-1</f>
        <v>6.0777162567716259E-2</v>
      </c>
      <c r="CP25" s="40">
        <f t="shared" ref="CP25" si="247">+CP22/CO22-1</f>
        <v>0.18233571997036679</v>
      </c>
      <c r="CQ25" s="40">
        <f t="shared" ref="CQ25" si="248">+CQ22/CP22-1</f>
        <v>-0.13060601014127649</v>
      </c>
      <c r="CR25" s="40">
        <f t="shared" ref="CR25" si="249">+CR22/CQ22-1</f>
        <v>0.11349335147427841</v>
      </c>
      <c r="CS25" s="40">
        <f t="shared" ref="CS25" si="250">+CS22/CR22-1</f>
        <v>7.5269402414619657E-2</v>
      </c>
      <c r="CT25" s="40">
        <f t="shared" ref="CT25" si="251">+CT22/CS22-1</f>
        <v>0.19866236671545301</v>
      </c>
      <c r="CU25" s="40">
        <f t="shared" ref="CU25" si="252">+CU22/CT22-1</f>
        <v>-0.14907021797978437</v>
      </c>
      <c r="CV25" s="40">
        <f t="shared" ref="CV25" si="253">+CV22/CU22-1</f>
        <v>0.12009222709352119</v>
      </c>
      <c r="CW25" s="40">
        <f t="shared" ref="CW25" si="254">+CW22/CV22-1</f>
        <v>7.8398550623409724E-2</v>
      </c>
      <c r="CX25" s="40">
        <f t="shared" ref="CX25" si="255">+CX22/CW22-1</f>
        <v>0.19898075781613489</v>
      </c>
      <c r="CY25" s="40">
        <f t="shared" ref="CY25" si="256">+CY22/CX22-1</f>
        <v>-0.15172274979328071</v>
      </c>
      <c r="CZ25" s="40">
        <f t="shared" ref="CZ25" si="257">+CZ22/CY22-1</f>
        <v>0.12175520311366572</v>
      </c>
      <c r="DA25" s="40">
        <f t="shared" ref="DA25" si="258">+DA22/CZ22-1</f>
        <v>7.8811452582753905E-2</v>
      </c>
      <c r="DB25" s="40">
        <f t="shared" ref="DB25" si="259">+DB22/DA22-1</f>
        <v>0.19868378301573397</v>
      </c>
      <c r="DE25" s="122"/>
      <c r="DF25" s="39">
        <v>-5.5700734054079382E-3</v>
      </c>
    </row>
    <row r="26" spans="1:110" s="23" customFormat="1" outlineLevel="1" x14ac:dyDescent="0.2">
      <c r="A26" s="23" t="s">
        <v>8</v>
      </c>
      <c r="B26" s="23">
        <f>'Annual Raw'!C14</f>
        <v>0</v>
      </c>
      <c r="C26" s="23">
        <f>'Annual Raw'!D14</f>
        <v>0</v>
      </c>
      <c r="D26" s="23">
        <f>'Annual Raw'!E14</f>
        <v>0</v>
      </c>
      <c r="E26" s="23">
        <f>'Annual Raw'!F14</f>
        <v>86.435705799999994</v>
      </c>
      <c r="F26" s="23">
        <f>'Annual Raw'!G14</f>
        <v>102.7099892</v>
      </c>
      <c r="G26" s="23">
        <f>'Annual Raw'!H14</f>
        <v>291.91669999999999</v>
      </c>
      <c r="H26" s="23">
        <f>'Annual Raw'!I14</f>
        <v>527.0788</v>
      </c>
      <c r="I26" s="23">
        <f>'Annual Raw'!J14</f>
        <v>529.33709999999996</v>
      </c>
      <c r="J26" s="23">
        <f>'Annual Raw'!K14</f>
        <v>568.04939999999999</v>
      </c>
      <c r="K26" s="23">
        <f>'Annual Raw'!L14</f>
        <v>486.22050000000002</v>
      </c>
      <c r="L26" s="23">
        <f>'Annual Raw'!M14</f>
        <v>546.86710000000005</v>
      </c>
      <c r="M26" s="23">
        <f>'Annual Raw'!N14</f>
        <v>699.66</v>
      </c>
      <c r="N26" s="23">
        <f>'Annual Raw'!O14</f>
        <v>847.9</v>
      </c>
      <c r="O26" s="23">
        <f>'Annual Raw'!P14</f>
        <v>1055.21</v>
      </c>
      <c r="P26" s="23">
        <f>'Annual Raw'!Q14</f>
        <v>1153.92</v>
      </c>
      <c r="Q26" s="23">
        <f>'Annual Raw'!R14</f>
        <v>1196.25</v>
      </c>
      <c r="R26" s="23">
        <f>'Annual Raw'!S14</f>
        <v>1283.25</v>
      </c>
      <c r="S26" s="23">
        <f>'Annual Raw'!T14</f>
        <v>1323.25</v>
      </c>
      <c r="T26" s="23">
        <f>'Annual Raw'!U14</f>
        <v>1390.09</v>
      </c>
      <c r="U26" s="23">
        <f>'Annual Raw'!V14</f>
        <v>1418.5350000000001</v>
      </c>
      <c r="V26" s="23">
        <f>'Annual Raw'!W14</f>
        <v>1216.0039999999999</v>
      </c>
      <c r="W26" s="23">
        <f>'Annual Raw'!X14</f>
        <v>1512.694</v>
      </c>
      <c r="X26" s="23">
        <f>'Annual Raw'!Y14</f>
        <v>1929.46</v>
      </c>
      <c r="Y26" s="23">
        <f>'Annual Raw'!Z14</f>
        <v>2363.7199999999998</v>
      </c>
      <c r="Z26" s="23">
        <f>'Annual Raw'!AA14</f>
        <v>2488.9299999999998</v>
      </c>
      <c r="AA26" s="23">
        <f>'Annual Raw'!AB14</f>
        <v>2737.42</v>
      </c>
      <c r="AB26" s="76">
        <f t="shared" ref="AB26:AB31" si="260">+SUM(CM26:CP26)</f>
        <v>2929.0394000000001</v>
      </c>
      <c r="AC26" s="76">
        <f t="shared" ref="AC26:AC31" si="261">+SUM(CQ26:CT26)</f>
        <v>3134.0721579999999</v>
      </c>
      <c r="AD26" s="76">
        <f t="shared" ref="AD26:AD31" si="262">+SUM(CU26:CX26)</f>
        <v>3353.4572090600004</v>
      </c>
      <c r="AE26" s="76">
        <f t="shared" ref="AE26:AE31" si="263">+SUM(CY26:DB26)</f>
        <v>3588.1992136942008</v>
      </c>
      <c r="AI26" s="23">
        <f>'QTR Raw'!C16</f>
        <v>0</v>
      </c>
      <c r="AJ26" s="23">
        <f>'QTR Raw'!D16</f>
        <v>0</v>
      </c>
      <c r="AK26" s="23">
        <f>'QTR Raw'!E16</f>
        <v>0</v>
      </c>
      <c r="AL26" s="23">
        <f>'QTR Raw'!F16</f>
        <v>0</v>
      </c>
      <c r="AM26" s="23">
        <f>'QTR Raw'!G16</f>
        <v>0</v>
      </c>
      <c r="AN26" s="23">
        <f>'QTR Raw'!H16</f>
        <v>0</v>
      </c>
      <c r="AO26" s="23">
        <f>'QTR Raw'!I16</f>
        <v>0</v>
      </c>
      <c r="AP26" s="23">
        <f>'QTR Raw'!J16</f>
        <v>0</v>
      </c>
      <c r="AQ26" s="23">
        <f>'QTR Raw'!K16</f>
        <v>0</v>
      </c>
      <c r="AR26" s="23">
        <f>'QTR Raw'!L16</f>
        <v>0</v>
      </c>
      <c r="AS26" s="23">
        <f>'QTR Raw'!M16</f>
        <v>0</v>
      </c>
      <c r="AT26" s="23">
        <f>'QTR Raw'!N16</f>
        <v>0</v>
      </c>
      <c r="AU26" s="23">
        <f>'QTR Raw'!O16</f>
        <v>0</v>
      </c>
      <c r="AV26" s="23">
        <f>'QTR Raw'!P16</f>
        <v>0</v>
      </c>
      <c r="AW26" s="23">
        <f>'QTR Raw'!Q16</f>
        <v>0</v>
      </c>
      <c r="AX26" s="23">
        <f>'QTR Raw'!R16</f>
        <v>0</v>
      </c>
      <c r="AY26" s="23">
        <f>'QTR Raw'!S16</f>
        <v>0</v>
      </c>
      <c r="AZ26" s="23">
        <f>'QTR Raw'!T16</f>
        <v>0</v>
      </c>
      <c r="BA26" s="23">
        <f>'QTR Raw'!U16</f>
        <v>0</v>
      </c>
      <c r="BB26" s="23">
        <f>'QTR Raw'!V16</f>
        <v>0</v>
      </c>
      <c r="BC26" s="23">
        <f>'QTR Raw'!W16</f>
        <v>0</v>
      </c>
      <c r="BD26" s="23">
        <f>'QTR Raw'!X16</f>
        <v>0</v>
      </c>
      <c r="BE26" s="23">
        <f>'QTR Raw'!Y16</f>
        <v>0</v>
      </c>
      <c r="BF26" s="23">
        <f>'QTR Raw'!Z16</f>
        <v>0</v>
      </c>
      <c r="BG26" s="23">
        <f>'QTR Raw'!AA16</f>
        <v>0</v>
      </c>
      <c r="BH26" s="23">
        <f>'QTR Raw'!AB16</f>
        <v>0</v>
      </c>
      <c r="BI26" s="23">
        <f>'QTR Raw'!AC16</f>
        <v>0</v>
      </c>
      <c r="BJ26" s="23">
        <f>'QTR Raw'!AD16</f>
        <v>0</v>
      </c>
      <c r="BK26" s="23">
        <f>'QTR Raw'!AE16</f>
        <v>0</v>
      </c>
      <c r="BL26" s="23">
        <f>'QTR Raw'!AF16</f>
        <v>0</v>
      </c>
      <c r="BM26" s="23">
        <f>'QTR Raw'!AG16</f>
        <v>0</v>
      </c>
      <c r="BN26" s="23">
        <f>'QTR Raw'!AH16</f>
        <v>0</v>
      </c>
      <c r="BO26" s="23">
        <f>'QTR Raw'!AI16</f>
        <v>0</v>
      </c>
      <c r="BP26" s="23">
        <f>'QTR Raw'!AJ16</f>
        <v>0</v>
      </c>
      <c r="BQ26" s="23">
        <f>'QTR Raw'!AK16</f>
        <v>0</v>
      </c>
      <c r="BR26" s="23">
        <f>'QTR Raw'!AL16</f>
        <v>0</v>
      </c>
      <c r="BS26" s="23">
        <f>'QTR Raw'!AM16</f>
        <v>0</v>
      </c>
      <c r="BT26" s="23">
        <f>'QTR Raw'!AN16</f>
        <v>0</v>
      </c>
      <c r="BU26" s="23">
        <f>'QTR Raw'!AO16</f>
        <v>0</v>
      </c>
      <c r="BV26" s="23">
        <f>'QTR Raw'!AP16</f>
        <v>0</v>
      </c>
      <c r="BW26" s="23">
        <f>'QTR Raw'!AQ16</f>
        <v>0</v>
      </c>
      <c r="BX26" s="23">
        <f>'QTR Raw'!AR16</f>
        <v>0</v>
      </c>
      <c r="BY26" s="23">
        <f>'QTR Raw'!AS16</f>
        <v>503.54</v>
      </c>
      <c r="BZ26" s="23">
        <f>'QTR Raw'!AT16</f>
        <v>534.78</v>
      </c>
      <c r="CA26" s="23">
        <f>'QTR Raw'!AU16</f>
        <v>537.20000000000005</v>
      </c>
      <c r="CB26" s="23">
        <f>'QTR Raw'!AV16</f>
        <v>594.74</v>
      </c>
      <c r="CC26" s="23">
        <f>'QTR Raw'!AW16</f>
        <v>612.22</v>
      </c>
      <c r="CD26" s="23">
        <f>'QTR Raw'!AX16</f>
        <v>619.55999999999995</v>
      </c>
      <c r="CE26" s="23">
        <f>'QTR Raw'!AY16</f>
        <v>614.13</v>
      </c>
      <c r="CF26" s="23">
        <f>'QTR Raw'!AZ16</f>
        <v>609.22</v>
      </c>
      <c r="CG26" s="23">
        <f>'QTR Raw'!BA16</f>
        <v>639.30999999999995</v>
      </c>
      <c r="CH26" s="23">
        <f>'QTR Raw'!BB16</f>
        <v>626.27</v>
      </c>
      <c r="CI26" s="23">
        <f>'QTR Raw'!BC16</f>
        <v>626.86</v>
      </c>
      <c r="CJ26" s="23">
        <f>'QTR Raw'!BD16</f>
        <v>650.15</v>
      </c>
      <c r="CK26" s="23">
        <f>'QTR Raw'!BE16</f>
        <v>697.74</v>
      </c>
      <c r="CL26" s="23">
        <f>'QTR Raw'!BF16</f>
        <v>762.67</v>
      </c>
      <c r="CM26" s="24">
        <f t="shared" ref="CM26:DB26" si="264">CI26*107%</f>
        <v>670.74020000000007</v>
      </c>
      <c r="CN26" s="24">
        <f t="shared" si="264"/>
        <v>695.66050000000007</v>
      </c>
      <c r="CO26" s="24">
        <f t="shared" si="264"/>
        <v>746.58180000000004</v>
      </c>
      <c r="CP26" s="24">
        <f t="shared" si="264"/>
        <v>816.05690000000004</v>
      </c>
      <c r="CQ26" s="24">
        <f t="shared" si="264"/>
        <v>717.69201400000009</v>
      </c>
      <c r="CR26" s="24">
        <f t="shared" si="264"/>
        <v>744.35673500000007</v>
      </c>
      <c r="CS26" s="24">
        <f t="shared" si="264"/>
        <v>798.84252600000013</v>
      </c>
      <c r="CT26" s="24">
        <f t="shared" si="264"/>
        <v>873.18088300000011</v>
      </c>
      <c r="CU26" s="24">
        <f t="shared" si="264"/>
        <v>767.93045498000015</v>
      </c>
      <c r="CV26" s="24">
        <f t="shared" si="264"/>
        <v>796.46170645000018</v>
      </c>
      <c r="CW26" s="24">
        <f t="shared" si="264"/>
        <v>854.76150282000015</v>
      </c>
      <c r="CX26" s="24">
        <f t="shared" si="264"/>
        <v>934.30354481000018</v>
      </c>
      <c r="CY26" s="24">
        <f t="shared" si="264"/>
        <v>821.68558682860021</v>
      </c>
      <c r="CZ26" s="24">
        <f t="shared" si="264"/>
        <v>852.21402590150024</v>
      </c>
      <c r="DA26" s="24">
        <f t="shared" si="264"/>
        <v>914.59480801740017</v>
      </c>
      <c r="DB26" s="24">
        <f t="shared" si="264"/>
        <v>999.70479294670019</v>
      </c>
      <c r="DE26" s="123"/>
      <c r="DF26" s="23">
        <v>670.10890000000006</v>
      </c>
    </row>
    <row r="27" spans="1:110" s="23" customFormat="1" outlineLevel="1" x14ac:dyDescent="0.2">
      <c r="A27" s="23" t="s">
        <v>10</v>
      </c>
      <c r="B27" s="23">
        <f>'Annual Raw'!C17</f>
        <v>0</v>
      </c>
      <c r="C27" s="23">
        <f>'Annual Raw'!D17</f>
        <v>0</v>
      </c>
      <c r="D27" s="23">
        <f>'Annual Raw'!E17</f>
        <v>0</v>
      </c>
      <c r="E27" s="23">
        <f>'Annual Raw'!F17</f>
        <v>16.826561300000002</v>
      </c>
      <c r="F27" s="23">
        <f>'Annual Raw'!G17</f>
        <v>20.4134472</v>
      </c>
      <c r="G27" s="23">
        <f>'Annual Raw'!H17</f>
        <v>50.501899999999999</v>
      </c>
      <c r="H27" s="23">
        <f>'Annual Raw'!I17</f>
        <v>76.3018</v>
      </c>
      <c r="I27" s="23">
        <f>'Annual Raw'!J17</f>
        <v>77.052899999999994</v>
      </c>
      <c r="J27" s="23">
        <f>'Annual Raw'!K17</f>
        <v>87.238200000000006</v>
      </c>
      <c r="K27" s="23">
        <f>'Annual Raw'!L17</f>
        <v>72.059299999999993</v>
      </c>
      <c r="L27" s="23">
        <f>'Annual Raw'!M17</f>
        <v>74.555300000000003</v>
      </c>
      <c r="M27" s="23">
        <f>'Annual Raw'!N17</f>
        <v>89.99</v>
      </c>
      <c r="N27" s="23">
        <f>'Annual Raw'!O17</f>
        <v>100.3</v>
      </c>
      <c r="O27" s="23">
        <f>'Annual Raw'!P17</f>
        <v>129.27000000000001</v>
      </c>
      <c r="P27" s="23">
        <f>'Annual Raw'!Q17</f>
        <v>147.21</v>
      </c>
      <c r="Q27" s="23">
        <f>'Annual Raw'!R17</f>
        <v>168.11</v>
      </c>
      <c r="R27" s="23">
        <f>'Annual Raw'!S17</f>
        <v>192.67</v>
      </c>
      <c r="S27" s="23">
        <f>'Annual Raw'!T17</f>
        <v>194.85</v>
      </c>
      <c r="T27" s="23">
        <f>'Annual Raw'!U17</f>
        <v>207.08</v>
      </c>
      <c r="U27" s="23">
        <f>'Annual Raw'!V17</f>
        <v>125.236</v>
      </c>
      <c r="V27" s="23">
        <f>'Annual Raw'!W17</f>
        <v>59.231999999999999</v>
      </c>
      <c r="W27" s="23">
        <f>'Annual Raw'!X17</f>
        <v>88.897000000000006</v>
      </c>
      <c r="X27" s="23">
        <f>'Annual Raw'!Y17</f>
        <v>144.07</v>
      </c>
      <c r="Y27" s="23">
        <f>'Annual Raw'!Z17</f>
        <v>157.6</v>
      </c>
      <c r="Z27" s="23">
        <f>'Annual Raw'!AA17</f>
        <v>167.32</v>
      </c>
      <c r="AA27" s="23">
        <f>'Annual Raw'!AB17</f>
        <v>215.13</v>
      </c>
      <c r="AB27" s="76">
        <f t="shared" si="260"/>
        <v>0</v>
      </c>
      <c r="AC27" s="76">
        <f t="shared" si="261"/>
        <v>0</v>
      </c>
      <c r="AD27" s="76">
        <f t="shared" si="262"/>
        <v>0</v>
      </c>
      <c r="AE27" s="76">
        <f t="shared" si="263"/>
        <v>0</v>
      </c>
      <c r="AI27" s="23">
        <f>'QTR Raw'!C17</f>
        <v>0</v>
      </c>
      <c r="AJ27" s="23">
        <f>'QTR Raw'!D17</f>
        <v>0</v>
      </c>
      <c r="AK27" s="23">
        <f>'QTR Raw'!E17</f>
        <v>0</v>
      </c>
      <c r="AL27" s="23">
        <f>'QTR Raw'!F17</f>
        <v>0</v>
      </c>
      <c r="AM27" s="23">
        <f>'QTR Raw'!G17</f>
        <v>0</v>
      </c>
      <c r="AN27" s="23">
        <f>'QTR Raw'!H17</f>
        <v>0</v>
      </c>
      <c r="AO27" s="23">
        <f>'QTR Raw'!I17</f>
        <v>0</v>
      </c>
      <c r="AP27" s="23">
        <f>'QTR Raw'!J17</f>
        <v>0</v>
      </c>
      <c r="AQ27" s="23">
        <f>'QTR Raw'!K17</f>
        <v>0</v>
      </c>
      <c r="AR27" s="23">
        <f>'QTR Raw'!L17</f>
        <v>0</v>
      </c>
      <c r="AS27" s="23">
        <f>'QTR Raw'!M17</f>
        <v>0</v>
      </c>
      <c r="AT27" s="23">
        <f>'QTR Raw'!N17</f>
        <v>0</v>
      </c>
      <c r="AU27" s="23">
        <f>'QTR Raw'!O17</f>
        <v>0</v>
      </c>
      <c r="AV27" s="23">
        <f>'QTR Raw'!P17</f>
        <v>0</v>
      </c>
      <c r="AW27" s="23">
        <f>'QTR Raw'!Q17</f>
        <v>0</v>
      </c>
      <c r="AX27" s="23">
        <f>'QTR Raw'!R17</f>
        <v>0</v>
      </c>
      <c r="AY27" s="23">
        <f>'QTR Raw'!S17</f>
        <v>0</v>
      </c>
      <c r="AZ27" s="23">
        <f>'QTR Raw'!T17</f>
        <v>0</v>
      </c>
      <c r="BA27" s="23">
        <f>'QTR Raw'!U17</f>
        <v>0</v>
      </c>
      <c r="BB27" s="23">
        <f>'QTR Raw'!V17</f>
        <v>0</v>
      </c>
      <c r="BC27" s="23">
        <f>'QTR Raw'!W17</f>
        <v>0</v>
      </c>
      <c r="BD27" s="23">
        <f>'QTR Raw'!X17</f>
        <v>0</v>
      </c>
      <c r="BE27" s="23">
        <f>'QTR Raw'!Y17</f>
        <v>0</v>
      </c>
      <c r="BF27" s="23">
        <f>'QTR Raw'!Z17</f>
        <v>0</v>
      </c>
      <c r="BG27" s="23">
        <f>'QTR Raw'!AA17</f>
        <v>0</v>
      </c>
      <c r="BH27" s="23">
        <f>'QTR Raw'!AB17</f>
        <v>0</v>
      </c>
      <c r="BI27" s="23">
        <f>'QTR Raw'!AC17</f>
        <v>0</v>
      </c>
      <c r="BJ27" s="23">
        <f>'QTR Raw'!AD17</f>
        <v>0</v>
      </c>
      <c r="BK27" s="23">
        <f>'QTR Raw'!AE17</f>
        <v>0</v>
      </c>
      <c r="BL27" s="23">
        <f>'QTR Raw'!AF17</f>
        <v>0</v>
      </c>
      <c r="BM27" s="23">
        <f>'QTR Raw'!AG17</f>
        <v>0</v>
      </c>
      <c r="BN27" s="23">
        <f>'QTR Raw'!AH17</f>
        <v>0</v>
      </c>
      <c r="BO27" s="23">
        <f>'QTR Raw'!AI17</f>
        <v>0</v>
      </c>
      <c r="BP27" s="23">
        <f>'QTR Raw'!AJ17</f>
        <v>0</v>
      </c>
      <c r="BQ27" s="23">
        <f>'QTR Raw'!AK17</f>
        <v>0</v>
      </c>
      <c r="BR27" s="23">
        <f>'QTR Raw'!AL17</f>
        <v>0</v>
      </c>
      <c r="BS27" s="23">
        <f>'QTR Raw'!AM17</f>
        <v>0</v>
      </c>
      <c r="BT27" s="23">
        <f>'QTR Raw'!AN17</f>
        <v>0</v>
      </c>
      <c r="BU27" s="23">
        <f>'QTR Raw'!AO17</f>
        <v>0</v>
      </c>
      <c r="BV27" s="23">
        <f>'QTR Raw'!AP17</f>
        <v>0</v>
      </c>
      <c r="BW27" s="23">
        <f>'QTR Raw'!AQ17</f>
        <v>0</v>
      </c>
      <c r="BX27" s="23">
        <f>'QTR Raw'!AR17</f>
        <v>0</v>
      </c>
      <c r="BY27" s="23">
        <f>'QTR Raw'!AS17</f>
        <v>145.41999999999999</v>
      </c>
      <c r="BZ27" s="23">
        <f>'QTR Raw'!AT17</f>
        <v>176.41</v>
      </c>
      <c r="CA27" s="23">
        <f>'QTR Raw'!AU17</f>
        <v>150.96</v>
      </c>
      <c r="CB27" s="23">
        <f>'QTR Raw'!AV17</f>
        <v>139.5</v>
      </c>
      <c r="CC27" s="23">
        <f>'QTR Raw'!AW17</f>
        <v>114.44</v>
      </c>
      <c r="CD27" s="23">
        <f>'QTR Raw'!AX17</f>
        <v>103.46</v>
      </c>
      <c r="CE27" s="23">
        <f>'QTR Raw'!AY17</f>
        <v>90.59</v>
      </c>
      <c r="CF27" s="23">
        <f>'QTR Raw'!AZ17</f>
        <v>101.48</v>
      </c>
      <c r="CG27" s="23">
        <f>'QTR Raw'!BA17</f>
        <v>97.34</v>
      </c>
      <c r="CH27" s="23">
        <f>'QTR Raw'!BB17</f>
        <v>101.01</v>
      </c>
      <c r="CI27" s="23">
        <f>'QTR Raw'!BC17</f>
        <v>88.11</v>
      </c>
      <c r="CJ27" s="23">
        <f>'QTR Raw'!BD17</f>
        <v>93.2</v>
      </c>
      <c r="CK27" s="23">
        <f>'QTR Raw'!BE17</f>
        <v>106.55</v>
      </c>
      <c r="CL27" s="23">
        <f>'QTR Raw'!BF17</f>
        <v>137.33000000000001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425.19000000000005</v>
      </c>
    </row>
    <row r="28" spans="1:110" s="23" customFormat="1" outlineLevel="1" x14ac:dyDescent="0.2">
      <c r="A28" s="23" t="s">
        <v>12</v>
      </c>
      <c r="B28" s="23">
        <f>'Annual Raw'!C19-'Annual Raw'!C20</f>
        <v>0</v>
      </c>
      <c r="C28" s="23">
        <f>'Annual Raw'!D19-'Annual Raw'!D20</f>
        <v>0</v>
      </c>
      <c r="D28" s="23">
        <f>'Annual Raw'!E19-'Annual Raw'!E20</f>
        <v>0</v>
      </c>
      <c r="E28" s="23">
        <f>'Annual Raw'!F19-'Annual Raw'!F20</f>
        <v>1.4599578</v>
      </c>
      <c r="F28" s="23">
        <f>'Annual Raw'!G19-'Annual Raw'!G20</f>
        <v>1.6967076999999999</v>
      </c>
      <c r="G28" s="23">
        <f>'Annual Raw'!H19-'Annual Raw'!H20</f>
        <v>1.0693999999999999</v>
      </c>
      <c r="H28" s="23">
        <f>'Annual Raw'!I19-'Annual Raw'!I20</f>
        <v>6.5792000000000002</v>
      </c>
      <c r="I28" s="23">
        <f>'Annual Raw'!J19-'Annual Raw'!J20</f>
        <v>6.4279999999999999</v>
      </c>
      <c r="J28" s="23">
        <f>'Annual Raw'!K19-'Annual Raw'!K20</f>
        <v>3.8412000000000002</v>
      </c>
      <c r="K28" s="23">
        <f>'Annual Raw'!L19-'Annual Raw'!L20</f>
        <v>6.5572999999999997</v>
      </c>
      <c r="L28" s="23">
        <f>'Annual Raw'!M19-'Annual Raw'!M20</f>
        <v>8.1668000000000003</v>
      </c>
      <c r="M28" s="23">
        <f>'Annual Raw'!N19-'Annual Raw'!N20</f>
        <v>9.5</v>
      </c>
      <c r="N28" s="23">
        <f>'Annual Raw'!O19-'Annual Raw'!O20</f>
        <v>7.09</v>
      </c>
      <c r="O28" s="23">
        <f>'Annual Raw'!P19-'Annual Raw'!P20</f>
        <v>17.84</v>
      </c>
      <c r="P28" s="23">
        <f>'Annual Raw'!Q19-'Annual Raw'!Q20</f>
        <v>12.26</v>
      </c>
      <c r="Q28" s="23">
        <f>'Annual Raw'!R19-'Annual Raw'!R20</f>
        <v>15.55</v>
      </c>
      <c r="R28" s="23">
        <f>'Annual Raw'!S19-'Annual Raw'!S20</f>
        <v>18.46</v>
      </c>
      <c r="S28" s="23">
        <f>'Annual Raw'!T19-'Annual Raw'!T20</f>
        <v>21.73</v>
      </c>
      <c r="T28" s="23">
        <f>'Annual Raw'!U19-'Annual Raw'!U20</f>
        <v>42.41</v>
      </c>
      <c r="U28" s="23">
        <f>'Annual Raw'!V19-'Annual Raw'!V20</f>
        <v>27.408999999999999</v>
      </c>
      <c r="V28" s="23">
        <f>'Annual Raw'!W19-'Annual Raw'!W20</f>
        <v>23.911000000000001</v>
      </c>
      <c r="W28" s="23">
        <f>'Annual Raw'!X19-'Annual Raw'!X20</f>
        <v>33.61</v>
      </c>
      <c r="X28" s="23">
        <f>'Annual Raw'!Y19-'Annual Raw'!Y20</f>
        <v>30.98</v>
      </c>
      <c r="Y28" s="23">
        <f>'Annual Raw'!Z19-'Annual Raw'!Z20</f>
        <v>26.49</v>
      </c>
      <c r="Z28" s="23">
        <f>'Annual Raw'!AA19-'Annual Raw'!AA20</f>
        <v>31.97</v>
      </c>
      <c r="AA28" s="23">
        <f>'Annual Raw'!AB19-'Annual Raw'!AB20</f>
        <v>46.13</v>
      </c>
      <c r="AB28" s="76">
        <f t="shared" si="260"/>
        <v>0</v>
      </c>
      <c r="AC28" s="76">
        <f t="shared" si="261"/>
        <v>0</v>
      </c>
      <c r="AD28" s="76">
        <f t="shared" si="262"/>
        <v>0</v>
      </c>
      <c r="AE28" s="76">
        <f t="shared" si="263"/>
        <v>0</v>
      </c>
      <c r="AI28" s="23">
        <f>+'QTR Raw'!C21</f>
        <v>0</v>
      </c>
      <c r="AJ28" s="23">
        <f>+'QTR Raw'!D21</f>
        <v>0</v>
      </c>
      <c r="AK28" s="23">
        <f>+'QTR Raw'!E21</f>
        <v>0</v>
      </c>
      <c r="AL28" s="23">
        <f>+'QTR Raw'!F21</f>
        <v>0</v>
      </c>
      <c r="AM28" s="23">
        <f>+'QTR Raw'!G21</f>
        <v>0</v>
      </c>
      <c r="AN28" s="23">
        <f>+'QTR Raw'!H21</f>
        <v>0</v>
      </c>
      <c r="AO28" s="23">
        <f>+'QTR Raw'!I21</f>
        <v>0</v>
      </c>
      <c r="AP28" s="23">
        <f>+'QTR Raw'!J21</f>
        <v>0</v>
      </c>
      <c r="AQ28" s="23">
        <f>+'QTR Raw'!K21</f>
        <v>0</v>
      </c>
      <c r="AR28" s="23">
        <f>+'QTR Raw'!L21</f>
        <v>0</v>
      </c>
      <c r="AS28" s="23">
        <f>+'QTR Raw'!M21</f>
        <v>0</v>
      </c>
      <c r="AT28" s="23">
        <f>+'QTR Raw'!N21</f>
        <v>0</v>
      </c>
      <c r="AU28" s="23">
        <f>+'QTR Raw'!O21</f>
        <v>0</v>
      </c>
      <c r="AV28" s="23">
        <f>+'QTR Raw'!P21</f>
        <v>0</v>
      </c>
      <c r="AW28" s="23">
        <f>+'QTR Raw'!Q21</f>
        <v>0</v>
      </c>
      <c r="AX28" s="23">
        <f>+'QTR Raw'!R21</f>
        <v>0</v>
      </c>
      <c r="AY28" s="23">
        <f>+'QTR Raw'!S21</f>
        <v>0</v>
      </c>
      <c r="AZ28" s="23">
        <f>+'QTR Raw'!T21</f>
        <v>0</v>
      </c>
      <c r="BA28" s="23">
        <f>+'QTR Raw'!U21</f>
        <v>0</v>
      </c>
      <c r="BB28" s="23">
        <f>+'QTR Raw'!V21</f>
        <v>0</v>
      </c>
      <c r="BC28" s="23">
        <f>+'QTR Raw'!W21</f>
        <v>0</v>
      </c>
      <c r="BD28" s="23">
        <f>+'QTR Raw'!X21</f>
        <v>0</v>
      </c>
      <c r="BE28" s="23">
        <f>+'QTR Raw'!Y21</f>
        <v>0</v>
      </c>
      <c r="BF28" s="23">
        <f>+'QTR Raw'!Z21</f>
        <v>0</v>
      </c>
      <c r="BG28" s="23">
        <f>+'QTR Raw'!AA21</f>
        <v>0</v>
      </c>
      <c r="BH28" s="23">
        <f>+'QTR Raw'!AB21</f>
        <v>0</v>
      </c>
      <c r="BI28" s="23">
        <f>+'QTR Raw'!AC21</f>
        <v>0</v>
      </c>
      <c r="BJ28" s="23">
        <f>+'QTR Raw'!AD21</f>
        <v>0</v>
      </c>
      <c r="BK28" s="23">
        <f>+'QTR Raw'!AE21</f>
        <v>0</v>
      </c>
      <c r="BL28" s="23">
        <f>+'QTR Raw'!AF21</f>
        <v>0</v>
      </c>
      <c r="BM28" s="23">
        <f>+'QTR Raw'!AG21</f>
        <v>0</v>
      </c>
      <c r="BN28" s="23">
        <f>+'QTR Raw'!AH21</f>
        <v>0</v>
      </c>
      <c r="BO28" s="23">
        <f>+'QTR Raw'!AI21</f>
        <v>0</v>
      </c>
      <c r="BP28" s="23">
        <f>+'QTR Raw'!AJ21</f>
        <v>0</v>
      </c>
      <c r="BQ28" s="23">
        <f>+'QTR Raw'!AK21</f>
        <v>0</v>
      </c>
      <c r="BR28" s="23">
        <f>+'QTR Raw'!AL21</f>
        <v>0</v>
      </c>
      <c r="BS28" s="23">
        <f>+'QTR Raw'!AM21</f>
        <v>0</v>
      </c>
      <c r="BT28" s="23">
        <f>+'QTR Raw'!AN21</f>
        <v>0</v>
      </c>
      <c r="BU28" s="23">
        <f>+'QTR Raw'!AO21</f>
        <v>0</v>
      </c>
      <c r="BV28" s="23">
        <f>+'QTR Raw'!AP21</f>
        <v>0</v>
      </c>
      <c r="BW28" s="23">
        <f>+'QTR Raw'!AQ21</f>
        <v>0</v>
      </c>
      <c r="BX28" s="23">
        <f>+'QTR Raw'!AR21</f>
        <v>0</v>
      </c>
      <c r="BY28" s="23">
        <f>+'QTR Raw'!AS21</f>
        <v>0</v>
      </c>
      <c r="BZ28" s="23">
        <f>+'QTR Raw'!AT21</f>
        <v>0</v>
      </c>
      <c r="CA28" s="23">
        <f>+'QTR Raw'!AU21</f>
        <v>0</v>
      </c>
      <c r="CB28" s="23">
        <f>+'QTR Raw'!AV21</f>
        <v>0</v>
      </c>
      <c r="CC28" s="23">
        <f>+'QTR Raw'!AW21</f>
        <v>0</v>
      </c>
      <c r="CD28" s="23">
        <f>+'QTR Raw'!AX21</f>
        <v>0</v>
      </c>
      <c r="CE28" s="23">
        <f>+'QTR Raw'!AY21</f>
        <v>0</v>
      </c>
      <c r="CF28" s="23">
        <f>+'QTR Raw'!AZ21</f>
        <v>0</v>
      </c>
      <c r="CG28" s="23">
        <f>+'QTR Raw'!BA21</f>
        <v>0</v>
      </c>
      <c r="CH28" s="23">
        <f>+'QTR Raw'!BB21</f>
        <v>0</v>
      </c>
      <c r="CI28" s="23">
        <f>+'QTR Raw'!BC21</f>
        <v>0</v>
      </c>
      <c r="CJ28" s="23">
        <f>+'QTR Raw'!BD21</f>
        <v>0</v>
      </c>
      <c r="CK28" s="23">
        <f>+'QTR Raw'!BE21</f>
        <v>0</v>
      </c>
      <c r="CL28" s="23">
        <f>+'QTR Raw'!BF21</f>
        <v>0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0" s="23" customFormat="1" outlineLevel="1" x14ac:dyDescent="0.2">
      <c r="A29" s="23" t="s">
        <v>9</v>
      </c>
      <c r="B29" s="23">
        <f>'Annual Raw'!C15+'Annual Raw'!C16</f>
        <v>0</v>
      </c>
      <c r="C29" s="23">
        <f>'Annual Raw'!D15+'Annual Raw'!D16</f>
        <v>0</v>
      </c>
      <c r="D29" s="23">
        <f>'Annual Raw'!E15+'Annual Raw'!E16</f>
        <v>0</v>
      </c>
      <c r="E29" s="23">
        <f>'Annual Raw'!F15+'Annual Raw'!F16</f>
        <v>9.0149054999999993</v>
      </c>
      <c r="F29" s="23">
        <f>'Annual Raw'!G15+'Annual Raw'!G16</f>
        <v>23.830530599999999</v>
      </c>
      <c r="G29" s="23">
        <f>'Annual Raw'!H15+'Annual Raw'!H16</f>
        <v>70.735199999999992</v>
      </c>
      <c r="H29" s="23">
        <f>'Annual Raw'!I15+'Annual Raw'!I16</f>
        <v>146.99469999999999</v>
      </c>
      <c r="I29" s="23">
        <f>'Annual Raw'!J15+'Annual Raw'!J16</f>
        <v>174.0942</v>
      </c>
      <c r="J29" s="23">
        <f>'Annual Raw'!K15+'Annual Raw'!K16</f>
        <v>218.40640000000002</v>
      </c>
      <c r="K29" s="23">
        <f>'Annual Raw'!L15+'Annual Raw'!L16</f>
        <v>184.5308</v>
      </c>
      <c r="L29" s="23">
        <f>'Annual Raw'!M15+'Annual Raw'!M16</f>
        <v>159.34030000000001</v>
      </c>
      <c r="M29" s="23">
        <f>'Annual Raw'!N15+'Annual Raw'!N16</f>
        <v>238.74</v>
      </c>
      <c r="N29" s="23">
        <f>'Annual Raw'!O15+'Annual Raw'!O16</f>
        <v>299</v>
      </c>
      <c r="O29" s="23">
        <f>'Annual Raw'!P15+'Annual Raw'!P16</f>
        <v>385.09000000000003</v>
      </c>
      <c r="P29" s="23">
        <f>'Annual Raw'!Q15+'Annual Raw'!Q16</f>
        <v>389.54</v>
      </c>
      <c r="Q29" s="23">
        <f>'Annual Raw'!R15+'Annual Raw'!R16</f>
        <v>415.47</v>
      </c>
      <c r="R29" s="23">
        <f>'Annual Raw'!S15+'Annual Raw'!S16</f>
        <v>482.51</v>
      </c>
      <c r="S29" s="23">
        <f>'Annual Raw'!T15+'Annual Raw'!T16</f>
        <v>467.67</v>
      </c>
      <c r="T29" s="23">
        <f>'Annual Raw'!U15+'Annual Raw'!U16</f>
        <v>440.95</v>
      </c>
      <c r="U29" s="23">
        <f>'Annual Raw'!V15+'Annual Raw'!V16</f>
        <v>430.07299999999998</v>
      </c>
      <c r="V29" s="23">
        <f>'Annual Raw'!W15+'Annual Raw'!W16</f>
        <v>357.52800000000002</v>
      </c>
      <c r="W29" s="23">
        <f>'Annual Raw'!X15+'Annual Raw'!X16</f>
        <v>559.96499999999992</v>
      </c>
      <c r="X29" s="23">
        <f>'Annual Raw'!Y15+'Annual Raw'!Y16</f>
        <v>809.30000000000007</v>
      </c>
      <c r="Y29" s="23">
        <f>'Annual Raw'!Z15+'Annual Raw'!Z16</f>
        <v>720.92000000000007</v>
      </c>
      <c r="Z29" s="23">
        <f>'Annual Raw'!AA15+'Annual Raw'!AA16</f>
        <v>635.27</v>
      </c>
      <c r="AA29" s="23">
        <f>'Annual Raw'!AB15+'Annual Raw'!AB16</f>
        <v>686.38000000000011</v>
      </c>
      <c r="AB29" s="76">
        <f t="shared" si="260"/>
        <v>1270.8022405552128</v>
      </c>
      <c r="AC29" s="76">
        <f t="shared" si="261"/>
        <v>1924.2647624030797</v>
      </c>
      <c r="AD29" s="76">
        <f t="shared" si="262"/>
        <v>2856.58294931201</v>
      </c>
      <c r="AE29" s="76">
        <f t="shared" si="263"/>
        <v>4049.0926940640243</v>
      </c>
      <c r="AI29" s="23">
        <f>'QTR Raw'!C14</f>
        <v>0</v>
      </c>
      <c r="AJ29" s="23">
        <f>'QTR Raw'!D14</f>
        <v>0</v>
      </c>
      <c r="AK29" s="23">
        <f>'QTR Raw'!E14</f>
        <v>0</v>
      </c>
      <c r="AL29" s="23">
        <f>'QTR Raw'!F14</f>
        <v>0</v>
      </c>
      <c r="AM29" s="23">
        <f>'QTR Raw'!G14</f>
        <v>0</v>
      </c>
      <c r="AN29" s="23">
        <f>'QTR Raw'!H14</f>
        <v>0</v>
      </c>
      <c r="AO29" s="23">
        <f>'QTR Raw'!I14</f>
        <v>0</v>
      </c>
      <c r="AP29" s="23">
        <f>'QTR Raw'!J14</f>
        <v>0</v>
      </c>
      <c r="AQ29" s="23">
        <f>'QTR Raw'!K14</f>
        <v>0</v>
      </c>
      <c r="AR29" s="23">
        <f>'QTR Raw'!L14</f>
        <v>0</v>
      </c>
      <c r="AS29" s="23">
        <f>'QTR Raw'!M14</f>
        <v>0</v>
      </c>
      <c r="AT29" s="23">
        <f>'QTR Raw'!N14</f>
        <v>0</v>
      </c>
      <c r="AU29" s="23">
        <f>'QTR Raw'!O14</f>
        <v>0</v>
      </c>
      <c r="AV29" s="23">
        <f>'QTR Raw'!P14</f>
        <v>0</v>
      </c>
      <c r="AW29" s="23">
        <f>'QTR Raw'!Q14</f>
        <v>0</v>
      </c>
      <c r="AX29" s="23">
        <f>'QTR Raw'!R14</f>
        <v>0</v>
      </c>
      <c r="AY29" s="23">
        <f>'QTR Raw'!S14</f>
        <v>0</v>
      </c>
      <c r="AZ29" s="23">
        <f>'QTR Raw'!T14</f>
        <v>0</v>
      </c>
      <c r="BA29" s="23">
        <f>'QTR Raw'!U14</f>
        <v>0</v>
      </c>
      <c r="BB29" s="23">
        <f>'QTR Raw'!V14</f>
        <v>0</v>
      </c>
      <c r="BC29" s="23">
        <f>'QTR Raw'!W14</f>
        <v>0</v>
      </c>
      <c r="BD29" s="23">
        <f>'QTR Raw'!X14</f>
        <v>0</v>
      </c>
      <c r="BE29" s="23">
        <f>'QTR Raw'!Y14</f>
        <v>0</v>
      </c>
      <c r="BF29" s="23">
        <f>'QTR Raw'!Z14</f>
        <v>0</v>
      </c>
      <c r="BG29" s="23">
        <f>'QTR Raw'!AA14</f>
        <v>0</v>
      </c>
      <c r="BH29" s="23">
        <f>'QTR Raw'!AB14</f>
        <v>0</v>
      </c>
      <c r="BI29" s="23">
        <f>'QTR Raw'!AC14</f>
        <v>0</v>
      </c>
      <c r="BJ29" s="23">
        <f>'QTR Raw'!AD14</f>
        <v>0</v>
      </c>
      <c r="BK29" s="23">
        <f>'QTR Raw'!AE14</f>
        <v>0</v>
      </c>
      <c r="BL29" s="23">
        <f>'QTR Raw'!AF14</f>
        <v>0</v>
      </c>
      <c r="BM29" s="23">
        <f>'QTR Raw'!AG14</f>
        <v>0</v>
      </c>
      <c r="BN29" s="23">
        <f>'QTR Raw'!AH14</f>
        <v>0</v>
      </c>
      <c r="BO29" s="23">
        <f>'QTR Raw'!AI14</f>
        <v>0</v>
      </c>
      <c r="BP29" s="23">
        <f>'QTR Raw'!AJ14</f>
        <v>0</v>
      </c>
      <c r="BQ29" s="23">
        <f>'QTR Raw'!AK14</f>
        <v>0</v>
      </c>
      <c r="BR29" s="23">
        <f>'QTR Raw'!AL14</f>
        <v>0</v>
      </c>
      <c r="BS29" s="23">
        <f>'QTR Raw'!AM14</f>
        <v>0</v>
      </c>
      <c r="BT29" s="23">
        <f>'QTR Raw'!AN14</f>
        <v>0</v>
      </c>
      <c r="BU29" s="23">
        <f>'QTR Raw'!AO14</f>
        <v>0</v>
      </c>
      <c r="BV29" s="23">
        <f>'QTR Raw'!AP14</f>
        <v>0</v>
      </c>
      <c r="BW29" s="23">
        <f>'QTR Raw'!AQ14</f>
        <v>0</v>
      </c>
      <c r="BX29" s="23">
        <f>'QTR Raw'!AR14</f>
        <v>0</v>
      </c>
      <c r="BY29" s="23">
        <f>'QTR Raw'!AS14</f>
        <v>106.13</v>
      </c>
      <c r="BZ29" s="23">
        <f>'QTR Raw'!AT14</f>
        <v>106.45</v>
      </c>
      <c r="CA29" s="23">
        <f>'QTR Raw'!AU14</f>
        <v>109.96</v>
      </c>
      <c r="CB29" s="23">
        <f>'QTR Raw'!AV14</f>
        <v>106.07</v>
      </c>
      <c r="CC29" s="23">
        <f>'QTR Raw'!AW14</f>
        <v>95.58</v>
      </c>
      <c r="CD29" s="23">
        <f>'QTR Raw'!AX14</f>
        <v>96.9</v>
      </c>
      <c r="CE29" s="23">
        <f>'QTR Raw'!AY14</f>
        <v>108.21</v>
      </c>
      <c r="CF29" s="23">
        <f>'QTR Raw'!AZ14</f>
        <v>119.26</v>
      </c>
      <c r="CG29" s="23">
        <f>'QTR Raw'!BA14</f>
        <v>106.22</v>
      </c>
      <c r="CH29" s="23">
        <f>'QTR Raw'!BB14</f>
        <v>121.65</v>
      </c>
      <c r="CI29" s="23">
        <f>'QTR Raw'!BC14</f>
        <v>110.7</v>
      </c>
      <c r="CJ29" s="23">
        <f>'QTR Raw'!BD14</f>
        <v>129.11000000000001</v>
      </c>
      <c r="CK29" s="23">
        <f>'QTR Raw'!BE14</f>
        <v>133.29</v>
      </c>
      <c r="CL29" s="23">
        <f>'QTR Raw'!BF14</f>
        <v>149.72</v>
      </c>
      <c r="CM29" s="24">
        <f t="shared" ref="CM29:DB29" si="265">CM32-CM26-CM27-CM28-CM30-CM31</f>
        <v>240.42975472728722</v>
      </c>
      <c r="CN29" s="24">
        <f t="shared" si="265"/>
        <v>300.34342010257569</v>
      </c>
      <c r="CO29" s="24">
        <f t="shared" si="265"/>
        <v>308.68016524215648</v>
      </c>
      <c r="CP29" s="24">
        <f t="shared" si="265"/>
        <v>421.34890048319335</v>
      </c>
      <c r="CQ29" s="24">
        <f t="shared" si="265"/>
        <v>354.69559070808771</v>
      </c>
      <c r="CR29" s="24">
        <f t="shared" si="265"/>
        <v>445.89541396534855</v>
      </c>
      <c r="CS29" s="24">
        <f t="shared" si="265"/>
        <v>475.93687918303476</v>
      </c>
      <c r="CT29" s="24">
        <f t="shared" si="265"/>
        <v>647.73687854660886</v>
      </c>
      <c r="CU29" s="24">
        <f t="shared" si="265"/>
        <v>534.43770855032358</v>
      </c>
      <c r="CV29" s="24">
        <f t="shared" si="265"/>
        <v>660.27914688898238</v>
      </c>
      <c r="CW29" s="24">
        <f t="shared" si="265"/>
        <v>714.71975479859509</v>
      </c>
      <c r="CX29" s="24">
        <f t="shared" si="265"/>
        <v>947.14633907410848</v>
      </c>
      <c r="CY29" s="24">
        <f t="shared" si="265"/>
        <v>775.81669534550451</v>
      </c>
      <c r="CZ29" s="24">
        <f t="shared" si="265"/>
        <v>939.0952711408604</v>
      </c>
      <c r="DA29" s="24">
        <f t="shared" si="265"/>
        <v>1017.6240773365397</v>
      </c>
      <c r="DB29" s="24">
        <f t="shared" si="265"/>
        <v>1316.5566502411198</v>
      </c>
      <c r="DE29" s="123"/>
      <c r="DF29" s="23">
        <v>236.47094049486827</v>
      </c>
    </row>
    <row r="30" spans="1:110" s="23" customFormat="1" outlineLevel="1" x14ac:dyDescent="0.2">
      <c r="A30" s="23" t="s">
        <v>7</v>
      </c>
      <c r="B30" s="23">
        <f>'Annual Raw'!C13</f>
        <v>0</v>
      </c>
      <c r="C30" s="23">
        <f>'Annual Raw'!D13</f>
        <v>0</v>
      </c>
      <c r="D30" s="23">
        <f>'Annual Raw'!E13</f>
        <v>0</v>
      </c>
      <c r="E30" s="23">
        <f>'Annual Raw'!F13</f>
        <v>0.61907049999999997</v>
      </c>
      <c r="F30" s="23">
        <f>'Annual Raw'!G13</f>
        <v>0.70971059999999997</v>
      </c>
      <c r="G30" s="23">
        <f>'Annual Raw'!H13</f>
        <v>1.4177999999999999</v>
      </c>
      <c r="H30" s="23">
        <f>'Annual Raw'!I13</f>
        <v>2.3767999999999998</v>
      </c>
      <c r="I30" s="23">
        <f>'Annual Raw'!J13</f>
        <v>3.1572</v>
      </c>
      <c r="J30" s="23">
        <f>'Annual Raw'!K13</f>
        <v>2.8605999999999998</v>
      </c>
      <c r="K30" s="23">
        <f>'Annual Raw'!L13</f>
        <v>3.3340999999999998</v>
      </c>
      <c r="L30" s="23">
        <f>'Annual Raw'!M13</f>
        <v>3.9096000000000002</v>
      </c>
      <c r="M30" s="23">
        <f>'Annual Raw'!N13</f>
        <v>4.26</v>
      </c>
      <c r="N30" s="23">
        <f>'Annual Raw'!O13</f>
        <v>4.9800000000000004</v>
      </c>
      <c r="O30" s="23">
        <f>'Annual Raw'!P13</f>
        <v>6.82</v>
      </c>
      <c r="P30" s="23">
        <f>'Annual Raw'!Q13</f>
        <v>7.8</v>
      </c>
      <c r="Q30" s="23">
        <f>'Annual Raw'!R13</f>
        <v>11.23</v>
      </c>
      <c r="R30" s="23">
        <f>'Annual Raw'!S13</f>
        <v>10.09</v>
      </c>
      <c r="S30" s="23">
        <f>'Annual Raw'!T13</f>
        <v>10.71</v>
      </c>
      <c r="T30" s="23">
        <f>'Annual Raw'!U13</f>
        <v>12.16</v>
      </c>
      <c r="U30" s="23">
        <f>'Annual Raw'!V13</f>
        <v>12.419</v>
      </c>
      <c r="V30" s="23">
        <f>'Annual Raw'!W13</f>
        <v>7.24</v>
      </c>
      <c r="W30" s="23">
        <f>'Annual Raw'!X13</f>
        <v>7.3940000000000001</v>
      </c>
      <c r="X30" s="23">
        <f>'Annual Raw'!Y13</f>
        <v>11.17</v>
      </c>
      <c r="Y30" s="23">
        <f>'Annual Raw'!Z13</f>
        <v>11.89</v>
      </c>
      <c r="Z30" s="23">
        <f>'Annual Raw'!AA13</f>
        <v>13.49</v>
      </c>
      <c r="AA30" s="23">
        <f>'Annual Raw'!AB13</f>
        <v>15</v>
      </c>
      <c r="AB30" s="76">
        <f t="shared" si="260"/>
        <v>0</v>
      </c>
      <c r="AC30" s="76">
        <f t="shared" si="261"/>
        <v>0</v>
      </c>
      <c r="AD30" s="76">
        <f t="shared" si="262"/>
        <v>0</v>
      </c>
      <c r="AE30" s="76">
        <f t="shared" si="263"/>
        <v>0</v>
      </c>
      <c r="AI30" s="23">
        <f>'QTR Raw'!C15</f>
        <v>0</v>
      </c>
      <c r="AJ30" s="23">
        <f>'QTR Raw'!D15</f>
        <v>0</v>
      </c>
      <c r="AK30" s="23">
        <f>'QTR Raw'!E15</f>
        <v>0</v>
      </c>
      <c r="AL30" s="23">
        <f>'QTR Raw'!F15</f>
        <v>0</v>
      </c>
      <c r="AM30" s="23">
        <f>'QTR Raw'!G15</f>
        <v>0</v>
      </c>
      <c r="AN30" s="23">
        <f>'QTR Raw'!H15</f>
        <v>0</v>
      </c>
      <c r="AO30" s="23">
        <f>'QTR Raw'!I15</f>
        <v>0</v>
      </c>
      <c r="AP30" s="23">
        <f>'QTR Raw'!J15</f>
        <v>0</v>
      </c>
      <c r="AQ30" s="23">
        <f>'QTR Raw'!K15</f>
        <v>0</v>
      </c>
      <c r="AR30" s="23">
        <f>'QTR Raw'!L15</f>
        <v>0</v>
      </c>
      <c r="AS30" s="23">
        <f>'QTR Raw'!M15</f>
        <v>0</v>
      </c>
      <c r="AT30" s="23">
        <f>'QTR Raw'!N15</f>
        <v>0</v>
      </c>
      <c r="AU30" s="23">
        <f>'QTR Raw'!O15</f>
        <v>0</v>
      </c>
      <c r="AV30" s="23">
        <f>'QTR Raw'!P15</f>
        <v>0</v>
      </c>
      <c r="AW30" s="23">
        <f>'QTR Raw'!Q15</f>
        <v>0</v>
      </c>
      <c r="AX30" s="23">
        <f>'QTR Raw'!R15</f>
        <v>0</v>
      </c>
      <c r="AY30" s="23">
        <f>'QTR Raw'!S15</f>
        <v>0</v>
      </c>
      <c r="AZ30" s="23">
        <f>'QTR Raw'!T15</f>
        <v>0</v>
      </c>
      <c r="BA30" s="23">
        <f>'QTR Raw'!U15</f>
        <v>0</v>
      </c>
      <c r="BB30" s="23">
        <f>'QTR Raw'!V15</f>
        <v>0</v>
      </c>
      <c r="BC30" s="23">
        <f>'QTR Raw'!W15</f>
        <v>0</v>
      </c>
      <c r="BD30" s="23">
        <f>'QTR Raw'!X15</f>
        <v>0</v>
      </c>
      <c r="BE30" s="23">
        <f>'QTR Raw'!Y15</f>
        <v>0</v>
      </c>
      <c r="BF30" s="23">
        <f>'QTR Raw'!Z15</f>
        <v>0</v>
      </c>
      <c r="BG30" s="23">
        <f>'QTR Raw'!AA15</f>
        <v>0</v>
      </c>
      <c r="BH30" s="23">
        <f>'QTR Raw'!AB15</f>
        <v>0</v>
      </c>
      <c r="BI30" s="23">
        <f>'QTR Raw'!AC15</f>
        <v>0</v>
      </c>
      <c r="BJ30" s="23">
        <f>'QTR Raw'!AD15</f>
        <v>0</v>
      </c>
      <c r="BK30" s="23">
        <f>'QTR Raw'!AE15</f>
        <v>0</v>
      </c>
      <c r="BL30" s="23">
        <f>'QTR Raw'!AF15</f>
        <v>0</v>
      </c>
      <c r="BM30" s="23">
        <f>'QTR Raw'!AG15</f>
        <v>0</v>
      </c>
      <c r="BN30" s="23">
        <f>'QTR Raw'!AH15</f>
        <v>0</v>
      </c>
      <c r="BO30" s="23">
        <f>'QTR Raw'!AI15</f>
        <v>0</v>
      </c>
      <c r="BP30" s="23">
        <f>'QTR Raw'!AJ15</f>
        <v>0</v>
      </c>
      <c r="BQ30" s="23">
        <f>'QTR Raw'!AK15</f>
        <v>0</v>
      </c>
      <c r="BR30" s="23">
        <f>'QTR Raw'!AL15</f>
        <v>0</v>
      </c>
      <c r="BS30" s="23">
        <f>'QTR Raw'!AM15</f>
        <v>0</v>
      </c>
      <c r="BT30" s="23">
        <f>'QTR Raw'!AN15</f>
        <v>0</v>
      </c>
      <c r="BU30" s="23">
        <f>'QTR Raw'!AO15</f>
        <v>0</v>
      </c>
      <c r="BV30" s="23">
        <f>'QTR Raw'!AP15</f>
        <v>0</v>
      </c>
      <c r="BW30" s="23">
        <f>'QTR Raw'!AQ15</f>
        <v>0</v>
      </c>
      <c r="BX30" s="23">
        <f>'QTR Raw'!AR15</f>
        <v>0</v>
      </c>
      <c r="BY30" s="23">
        <f>'QTR Raw'!AS15</f>
        <v>0</v>
      </c>
      <c r="BZ30" s="23">
        <f>'QTR Raw'!AT15</f>
        <v>0</v>
      </c>
      <c r="CA30" s="23">
        <f>'QTR Raw'!AU15</f>
        <v>0</v>
      </c>
      <c r="CB30" s="23">
        <f>'QTR Raw'!AV15</f>
        <v>0</v>
      </c>
      <c r="CC30" s="23">
        <f>'QTR Raw'!AW15</f>
        <v>0</v>
      </c>
      <c r="CD30" s="23">
        <f>'QTR Raw'!AX15</f>
        <v>0</v>
      </c>
      <c r="CE30" s="23">
        <f>'QTR Raw'!AY15</f>
        <v>0</v>
      </c>
      <c r="CF30" s="23">
        <f>'QTR Raw'!AZ15</f>
        <v>0</v>
      </c>
      <c r="CG30" s="23">
        <f>'QTR Raw'!BA15</f>
        <v>0</v>
      </c>
      <c r="CH30" s="23">
        <f>'QTR Raw'!BB15</f>
        <v>0</v>
      </c>
      <c r="CI30" s="23">
        <f>'QTR Raw'!BC15</f>
        <v>0</v>
      </c>
      <c r="CJ30" s="23">
        <f>'QTR Raw'!BD15</f>
        <v>0</v>
      </c>
      <c r="CK30" s="23">
        <f>'QTR Raw'!BE15</f>
        <v>0</v>
      </c>
      <c r="CL30" s="23">
        <f>'QTR Raw'!BF15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11</v>
      </c>
      <c r="B31" s="23">
        <f>'Annual Raw'!C18</f>
        <v>0</v>
      </c>
      <c r="C31" s="23">
        <f>'Annual Raw'!D18</f>
        <v>0</v>
      </c>
      <c r="D31" s="23">
        <f>'Annual Raw'!E18</f>
        <v>0</v>
      </c>
      <c r="E31" s="23">
        <f>'Annual Raw'!F18</f>
        <v>4.8446999999999997E-2</v>
      </c>
      <c r="F31" s="23">
        <f>'Annual Raw'!G18</f>
        <v>6.7853890999999997</v>
      </c>
      <c r="G31" s="23">
        <f>'Annual Raw'!H18</f>
        <v>4.9825999999999997</v>
      </c>
      <c r="H31" s="23">
        <f>'Annual Raw'!I18</f>
        <v>2.6046</v>
      </c>
      <c r="I31" s="23">
        <f>'Annual Raw'!J18</f>
        <v>6.3266999999999998</v>
      </c>
      <c r="J31" s="23">
        <f>'Annual Raw'!K18</f>
        <v>5.2396000000000003</v>
      </c>
      <c r="K31" s="23">
        <f>'Annual Raw'!L18</f>
        <v>3.2303000000000002</v>
      </c>
      <c r="L31" s="23">
        <f>'Annual Raw'!M18</f>
        <v>2.7803</v>
      </c>
      <c r="M31" s="23">
        <f>'Annual Raw'!N18</f>
        <v>4.03</v>
      </c>
      <c r="N31" s="23">
        <f>'Annual Raw'!O18</f>
        <v>3.61</v>
      </c>
      <c r="O31" s="23">
        <f>'Annual Raw'!P18</f>
        <v>4.93</v>
      </c>
      <c r="P31" s="23">
        <f>'Annual Raw'!Q18</f>
        <v>5.56</v>
      </c>
      <c r="Q31" s="23">
        <f>'Annual Raw'!R18</f>
        <v>5.38</v>
      </c>
      <c r="R31" s="23">
        <f>'Annual Raw'!S18</f>
        <v>4.8</v>
      </c>
      <c r="S31" s="23">
        <f>'Annual Raw'!T18</f>
        <v>4.1500000000000004</v>
      </c>
      <c r="T31" s="23">
        <f>'Annual Raw'!U18</f>
        <v>1.99</v>
      </c>
      <c r="U31" s="23">
        <f>'Annual Raw'!V18</f>
        <v>0</v>
      </c>
      <c r="V31" s="23">
        <f>'Annual Raw'!W18</f>
        <v>0</v>
      </c>
      <c r="W31" s="23">
        <f>'Annual Raw'!X18</f>
        <v>0</v>
      </c>
      <c r="X31" s="23">
        <f>'Annual Raw'!Y18</f>
        <v>0</v>
      </c>
      <c r="Y31" s="23">
        <f>'Annual Raw'!Z18</f>
        <v>0</v>
      </c>
      <c r="Z31" s="23">
        <f>'Annual Raw'!AA18</f>
        <v>0</v>
      </c>
      <c r="AA31" s="23">
        <f>'Annual Raw'!AB18</f>
        <v>0</v>
      </c>
      <c r="AB31" s="76">
        <f t="shared" si="260"/>
        <v>0</v>
      </c>
      <c r="AC31" s="76">
        <f t="shared" si="261"/>
        <v>0</v>
      </c>
      <c r="AD31" s="76">
        <f t="shared" si="262"/>
        <v>0</v>
      </c>
      <c r="AE31" s="76">
        <f t="shared" si="263"/>
        <v>0</v>
      </c>
      <c r="AI31" s="23">
        <f>'QTR Raw'!C18</f>
        <v>0</v>
      </c>
      <c r="AJ31" s="23">
        <f>'QTR Raw'!D18</f>
        <v>0</v>
      </c>
      <c r="AK31" s="23">
        <f>'QTR Raw'!E18</f>
        <v>0</v>
      </c>
      <c r="AL31" s="23">
        <f>'QTR Raw'!F18</f>
        <v>0</v>
      </c>
      <c r="AM31" s="23">
        <f>'QTR Raw'!G18</f>
        <v>0</v>
      </c>
      <c r="AN31" s="23">
        <f>'QTR Raw'!H18</f>
        <v>0</v>
      </c>
      <c r="AO31" s="23">
        <f>'QTR Raw'!I18</f>
        <v>0</v>
      </c>
      <c r="AP31" s="23">
        <f>'QTR Raw'!J18</f>
        <v>0</v>
      </c>
      <c r="AQ31" s="23">
        <f>'QTR Raw'!K18</f>
        <v>0</v>
      </c>
      <c r="AR31" s="23">
        <f>'QTR Raw'!L18</f>
        <v>0</v>
      </c>
      <c r="AS31" s="23">
        <f>'QTR Raw'!M18</f>
        <v>0</v>
      </c>
      <c r="AT31" s="23">
        <f>'QTR Raw'!N18</f>
        <v>0</v>
      </c>
      <c r="AU31" s="23">
        <f>'QTR Raw'!O18</f>
        <v>0</v>
      </c>
      <c r="AV31" s="23">
        <f>'QTR Raw'!P18</f>
        <v>0</v>
      </c>
      <c r="AW31" s="23">
        <f>'QTR Raw'!Q18</f>
        <v>0</v>
      </c>
      <c r="AX31" s="23">
        <f>'QTR Raw'!R18</f>
        <v>0</v>
      </c>
      <c r="AY31" s="23">
        <f>'QTR Raw'!S18</f>
        <v>0</v>
      </c>
      <c r="AZ31" s="23">
        <f>'QTR Raw'!T18</f>
        <v>0</v>
      </c>
      <c r="BA31" s="23">
        <f>'QTR Raw'!U18</f>
        <v>0</v>
      </c>
      <c r="BB31" s="23">
        <f>'QTR Raw'!V18</f>
        <v>0</v>
      </c>
      <c r="BC31" s="23">
        <f>'QTR Raw'!W18</f>
        <v>0</v>
      </c>
      <c r="BD31" s="23">
        <f>'QTR Raw'!X18</f>
        <v>0</v>
      </c>
      <c r="BE31" s="23">
        <f>'QTR Raw'!Y18</f>
        <v>0</v>
      </c>
      <c r="BF31" s="23">
        <f>'QTR Raw'!Z18</f>
        <v>0</v>
      </c>
      <c r="BG31" s="23">
        <f>'QTR Raw'!AA18</f>
        <v>0</v>
      </c>
      <c r="BH31" s="23">
        <f>'QTR Raw'!AB18</f>
        <v>0</v>
      </c>
      <c r="BI31" s="23">
        <f>'QTR Raw'!AC18</f>
        <v>0</v>
      </c>
      <c r="BJ31" s="23">
        <f>'QTR Raw'!AD18</f>
        <v>0</v>
      </c>
      <c r="BK31" s="23">
        <f>'QTR Raw'!AE18</f>
        <v>0</v>
      </c>
      <c r="BL31" s="23">
        <f>'QTR Raw'!AF18</f>
        <v>0</v>
      </c>
      <c r="BM31" s="23">
        <f>'QTR Raw'!AG18</f>
        <v>0</v>
      </c>
      <c r="BN31" s="23">
        <f>'QTR Raw'!AH18</f>
        <v>0</v>
      </c>
      <c r="BO31" s="23">
        <f>'QTR Raw'!AI18</f>
        <v>0</v>
      </c>
      <c r="BP31" s="23">
        <f>'QTR Raw'!AJ18</f>
        <v>0</v>
      </c>
      <c r="BQ31" s="23">
        <f>'QTR Raw'!AK18</f>
        <v>0</v>
      </c>
      <c r="BR31" s="23">
        <f>'QTR Raw'!AL18</f>
        <v>0</v>
      </c>
      <c r="BS31" s="23">
        <f>'QTR Raw'!AM18</f>
        <v>0</v>
      </c>
      <c r="BT31" s="23">
        <f>'QTR Raw'!AN18</f>
        <v>0</v>
      </c>
      <c r="BU31" s="23">
        <f>'QTR Raw'!AO18</f>
        <v>0</v>
      </c>
      <c r="BV31" s="23">
        <f>'QTR Raw'!AP18</f>
        <v>0</v>
      </c>
      <c r="BW31" s="23">
        <f>'QTR Raw'!AQ18</f>
        <v>0</v>
      </c>
      <c r="BX31" s="23">
        <f>'QTR Raw'!AR18</f>
        <v>0</v>
      </c>
      <c r="BY31" s="23">
        <f>'QTR Raw'!AS18</f>
        <v>0</v>
      </c>
      <c r="BZ31" s="23">
        <f>'QTR Raw'!AT18</f>
        <v>0</v>
      </c>
      <c r="CA31" s="23">
        <f>'QTR Raw'!AU18</f>
        <v>0</v>
      </c>
      <c r="CB31" s="23">
        <f>'QTR Raw'!AV18</f>
        <v>0</v>
      </c>
      <c r="CC31" s="23">
        <f>'QTR Raw'!AW18</f>
        <v>0</v>
      </c>
      <c r="CD31" s="23">
        <f>'QTR Raw'!AX18</f>
        <v>0</v>
      </c>
      <c r="CE31" s="23">
        <f>'QTR Raw'!AY18</f>
        <v>0</v>
      </c>
      <c r="CF31" s="23">
        <f>'QTR Raw'!AZ18</f>
        <v>0</v>
      </c>
      <c r="CG31" s="23">
        <f>'QTR Raw'!BA18</f>
        <v>0</v>
      </c>
      <c r="CH31" s="23">
        <f>'QTR Raw'!BB18</f>
        <v>0</v>
      </c>
      <c r="CI31" s="23">
        <f>'QTR Raw'!BC18</f>
        <v>0</v>
      </c>
      <c r="CJ31" s="23">
        <f>'QTR Raw'!BD18</f>
        <v>0</v>
      </c>
      <c r="CK31" s="23">
        <f>'QTR Raw'!BE18</f>
        <v>0</v>
      </c>
      <c r="CL31" s="23">
        <f>'QTR Raw'!BF18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2" customFormat="1" x14ac:dyDescent="0.2">
      <c r="A32" s="33" t="s">
        <v>348</v>
      </c>
      <c r="B32" s="22">
        <f t="shared" ref="B32:E32" si="266">+SUM(B26:B31)</f>
        <v>0</v>
      </c>
      <c r="C32" s="22">
        <f t="shared" si="266"/>
        <v>0</v>
      </c>
      <c r="D32" s="22">
        <f t="shared" si="266"/>
        <v>0</v>
      </c>
      <c r="E32" s="22">
        <f t="shared" si="266"/>
        <v>114.4046479</v>
      </c>
      <c r="F32" s="22">
        <f t="shared" ref="F32:AE32" si="267">+SUM(F26:F31)</f>
        <v>156.14577439999999</v>
      </c>
      <c r="G32" s="22">
        <f t="shared" si="267"/>
        <v>420.6235999999999</v>
      </c>
      <c r="H32" s="22">
        <f t="shared" si="267"/>
        <v>761.93589999999995</v>
      </c>
      <c r="I32" s="22">
        <f t="shared" si="267"/>
        <v>796.39609999999993</v>
      </c>
      <c r="J32" s="22">
        <f t="shared" si="267"/>
        <v>885.6354</v>
      </c>
      <c r="K32" s="22">
        <f t="shared" si="267"/>
        <v>755.93230000000017</v>
      </c>
      <c r="L32" s="22">
        <f t="shared" si="267"/>
        <v>795.61939999999993</v>
      </c>
      <c r="M32" s="22">
        <f t="shared" si="267"/>
        <v>1046.1799999999998</v>
      </c>
      <c r="N32" s="22">
        <f t="shared" si="267"/>
        <v>1262.8799999999999</v>
      </c>
      <c r="O32" s="22">
        <f t="shared" si="267"/>
        <v>1599.1599999999999</v>
      </c>
      <c r="P32" s="22">
        <f t="shared" si="267"/>
        <v>1716.29</v>
      </c>
      <c r="Q32" s="22">
        <f t="shared" si="267"/>
        <v>1811.9900000000002</v>
      </c>
      <c r="R32" s="22">
        <f t="shared" si="267"/>
        <v>1991.78</v>
      </c>
      <c r="S32" s="22">
        <f t="shared" si="267"/>
        <v>2022.3600000000001</v>
      </c>
      <c r="T32" s="22">
        <f t="shared" si="267"/>
        <v>2094.6799999999994</v>
      </c>
      <c r="U32" s="22">
        <f t="shared" si="267"/>
        <v>2013.6720000000003</v>
      </c>
      <c r="V32" s="22">
        <f t="shared" si="267"/>
        <v>1663.915</v>
      </c>
      <c r="W32" s="22">
        <f t="shared" si="267"/>
        <v>2202.5599999999995</v>
      </c>
      <c r="X32" s="22">
        <f t="shared" si="267"/>
        <v>2924.9800000000005</v>
      </c>
      <c r="Y32" s="22">
        <f t="shared" si="267"/>
        <v>3280.6199999999994</v>
      </c>
      <c r="Z32" s="22">
        <f t="shared" ref="Z32:AA32" si="268">+SUM(Z26:Z31)</f>
        <v>3336.9799999999996</v>
      </c>
      <c r="AA32" s="22">
        <f t="shared" si="268"/>
        <v>3700.0600000000004</v>
      </c>
      <c r="AB32" s="21">
        <f t="shared" si="267"/>
        <v>4199.8416405552125</v>
      </c>
      <c r="AC32" s="21">
        <f t="shared" si="267"/>
        <v>5058.3369204030796</v>
      </c>
      <c r="AD32" s="21">
        <f t="shared" si="267"/>
        <v>6210.0401583720104</v>
      </c>
      <c r="AE32" s="21">
        <f t="shared" si="267"/>
        <v>7637.2919077582246</v>
      </c>
      <c r="AI32" s="22">
        <f t="shared" ref="AI32:BN32" si="269">+SUM(AI26:AI31)</f>
        <v>0</v>
      </c>
      <c r="AJ32" s="22">
        <f t="shared" si="269"/>
        <v>0</v>
      </c>
      <c r="AK32" s="22">
        <f t="shared" si="269"/>
        <v>0</v>
      </c>
      <c r="AL32" s="22">
        <f t="shared" si="269"/>
        <v>0</v>
      </c>
      <c r="AM32" s="22">
        <f t="shared" si="269"/>
        <v>0</v>
      </c>
      <c r="AN32" s="22">
        <f t="shared" si="269"/>
        <v>0</v>
      </c>
      <c r="AO32" s="22">
        <f t="shared" si="269"/>
        <v>0</v>
      </c>
      <c r="AP32" s="22">
        <f t="shared" si="269"/>
        <v>0</v>
      </c>
      <c r="AQ32" s="22">
        <f t="shared" si="269"/>
        <v>0</v>
      </c>
      <c r="AR32" s="22">
        <f t="shared" si="269"/>
        <v>0</v>
      </c>
      <c r="AS32" s="22">
        <f t="shared" si="269"/>
        <v>0</v>
      </c>
      <c r="AT32" s="22">
        <f t="shared" si="269"/>
        <v>0</v>
      </c>
      <c r="AU32" s="22">
        <f t="shared" si="269"/>
        <v>0</v>
      </c>
      <c r="AV32" s="22">
        <f t="shared" si="269"/>
        <v>0</v>
      </c>
      <c r="AW32" s="22">
        <f t="shared" si="269"/>
        <v>0</v>
      </c>
      <c r="AX32" s="22">
        <f t="shared" si="269"/>
        <v>0</v>
      </c>
      <c r="AY32" s="22">
        <f t="shared" si="269"/>
        <v>0</v>
      </c>
      <c r="AZ32" s="22">
        <f t="shared" si="269"/>
        <v>0</v>
      </c>
      <c r="BA32" s="22">
        <f t="shared" si="269"/>
        <v>0</v>
      </c>
      <c r="BB32" s="22">
        <f t="shared" si="269"/>
        <v>0</v>
      </c>
      <c r="BC32" s="22">
        <f t="shared" si="269"/>
        <v>0</v>
      </c>
      <c r="BD32" s="22">
        <f t="shared" si="269"/>
        <v>0</v>
      </c>
      <c r="BE32" s="22">
        <f t="shared" si="269"/>
        <v>0</v>
      </c>
      <c r="BF32" s="22">
        <f t="shared" si="269"/>
        <v>0</v>
      </c>
      <c r="BG32" s="22">
        <f t="shared" si="269"/>
        <v>0</v>
      </c>
      <c r="BH32" s="22">
        <f t="shared" si="269"/>
        <v>0</v>
      </c>
      <c r="BI32" s="22">
        <f t="shared" si="269"/>
        <v>0</v>
      </c>
      <c r="BJ32" s="22">
        <f t="shared" si="269"/>
        <v>0</v>
      </c>
      <c r="BK32" s="22">
        <f t="shared" si="269"/>
        <v>0</v>
      </c>
      <c r="BL32" s="22">
        <f t="shared" si="269"/>
        <v>0</v>
      </c>
      <c r="BM32" s="22">
        <f t="shared" si="269"/>
        <v>0</v>
      </c>
      <c r="BN32" s="22">
        <f t="shared" si="269"/>
        <v>0</v>
      </c>
      <c r="BO32" s="22">
        <f t="shared" ref="BO32:CH32" si="270">+SUM(BO26:BO31)</f>
        <v>0</v>
      </c>
      <c r="BP32" s="22">
        <f t="shared" si="270"/>
        <v>0</v>
      </c>
      <c r="BQ32" s="22">
        <f t="shared" si="270"/>
        <v>0</v>
      </c>
      <c r="BR32" s="22">
        <f t="shared" si="270"/>
        <v>0</v>
      </c>
      <c r="BS32" s="22">
        <f t="shared" si="270"/>
        <v>0</v>
      </c>
      <c r="BT32" s="22">
        <f t="shared" si="270"/>
        <v>0</v>
      </c>
      <c r="BU32" s="22">
        <f t="shared" si="270"/>
        <v>0</v>
      </c>
      <c r="BV32" s="22">
        <f t="shared" si="270"/>
        <v>0</v>
      </c>
      <c r="BW32" s="22">
        <f t="shared" si="270"/>
        <v>0</v>
      </c>
      <c r="BX32" s="22">
        <f t="shared" si="270"/>
        <v>0</v>
      </c>
      <c r="BY32" s="22">
        <f t="shared" si="270"/>
        <v>755.09</v>
      </c>
      <c r="BZ32" s="22">
        <f t="shared" si="270"/>
        <v>817.64</v>
      </c>
      <c r="CA32" s="22">
        <f t="shared" si="270"/>
        <v>798.12000000000012</v>
      </c>
      <c r="CB32" s="22">
        <f t="shared" si="270"/>
        <v>840.31</v>
      </c>
      <c r="CC32" s="22">
        <f t="shared" si="270"/>
        <v>822.24000000000012</v>
      </c>
      <c r="CD32" s="22">
        <f t="shared" si="270"/>
        <v>819.92</v>
      </c>
      <c r="CE32" s="22">
        <f t="shared" si="270"/>
        <v>812.93000000000006</v>
      </c>
      <c r="CF32" s="22">
        <f t="shared" si="270"/>
        <v>829.96</v>
      </c>
      <c r="CG32" s="22">
        <f t="shared" si="270"/>
        <v>842.87</v>
      </c>
      <c r="CH32" s="22">
        <f t="shared" si="270"/>
        <v>848.93</v>
      </c>
      <c r="CI32" s="22">
        <f t="shared" ref="CI32:CJ32" si="271">+SUM(CI26:CI31)</f>
        <v>825.67000000000007</v>
      </c>
      <c r="CJ32" s="22">
        <f t="shared" si="271"/>
        <v>872.46</v>
      </c>
      <c r="CK32" s="22">
        <f t="shared" ref="CK32:CL32" si="272">+SUM(CK26:CK31)</f>
        <v>937.57999999999993</v>
      </c>
      <c r="CL32" s="22">
        <f t="shared" si="272"/>
        <v>1049.72</v>
      </c>
      <c r="CM32" s="21">
        <f t="shared" ref="CM32:DB32" si="273">CM33*CM16</f>
        <v>911.16995472728729</v>
      </c>
      <c r="CN32" s="21">
        <f t="shared" si="273"/>
        <v>996.00392010257576</v>
      </c>
      <c r="CO32" s="21">
        <f t="shared" si="273"/>
        <v>1055.2619652421565</v>
      </c>
      <c r="CP32" s="21">
        <f t="shared" si="273"/>
        <v>1237.4058004831934</v>
      </c>
      <c r="CQ32" s="21">
        <f t="shared" si="273"/>
        <v>1072.3876047080878</v>
      </c>
      <c r="CR32" s="21">
        <f t="shared" si="273"/>
        <v>1190.2521489653486</v>
      </c>
      <c r="CS32" s="21">
        <f t="shared" si="273"/>
        <v>1274.7794051830349</v>
      </c>
      <c r="CT32" s="21">
        <f t="shared" si="273"/>
        <v>1520.917761546609</v>
      </c>
      <c r="CU32" s="21">
        <f t="shared" si="273"/>
        <v>1302.3681635303237</v>
      </c>
      <c r="CV32" s="21">
        <f t="shared" si="273"/>
        <v>1456.7408533389826</v>
      </c>
      <c r="CW32" s="21">
        <f t="shared" si="273"/>
        <v>1569.4812576185952</v>
      </c>
      <c r="CX32" s="21">
        <f t="shared" si="273"/>
        <v>1881.4498838841087</v>
      </c>
      <c r="CY32" s="21">
        <f t="shared" si="273"/>
        <v>1597.5022821741047</v>
      </c>
      <c r="CZ32" s="21">
        <f t="shared" si="273"/>
        <v>1791.3092970423606</v>
      </c>
      <c r="DA32" s="21">
        <f t="shared" si="273"/>
        <v>1932.2188853539399</v>
      </c>
      <c r="DB32" s="21">
        <f t="shared" si="273"/>
        <v>2316.2614431878201</v>
      </c>
      <c r="DE32" s="126"/>
      <c r="DF32" s="22">
        <v>906.57984049486834</v>
      </c>
    </row>
    <row r="33" spans="1:110" s="44" customFormat="1" x14ac:dyDescent="0.2">
      <c r="A33" s="43" t="s">
        <v>349</v>
      </c>
      <c r="B33" s="44" t="e">
        <f t="shared" ref="B33:E33" si="274">B32/B16</f>
        <v>#DIV/0!</v>
      </c>
      <c r="C33" s="44" t="e">
        <f t="shared" si="274"/>
        <v>#DIV/0!</v>
      </c>
      <c r="D33" s="44" t="e">
        <f t="shared" si="274"/>
        <v>#DIV/0!</v>
      </c>
      <c r="E33" s="44">
        <f t="shared" si="274"/>
        <v>0.84739584153311975</v>
      </c>
      <c r="F33" s="44">
        <f t="shared" ref="F33:AE33" si="275">F32/F16</f>
        <v>0.87352222612394237</v>
      </c>
      <c r="G33" s="44">
        <f t="shared" si="275"/>
        <v>0.78393628368327972</v>
      </c>
      <c r="H33" s="44">
        <f t="shared" si="275"/>
        <v>0.81947236597057993</v>
      </c>
      <c r="I33" s="44">
        <f t="shared" si="275"/>
        <v>0.73468071582827721</v>
      </c>
      <c r="J33" s="44">
        <f t="shared" si="275"/>
        <v>0.73653390652497552</v>
      </c>
      <c r="K33" s="44">
        <f t="shared" si="275"/>
        <v>0.70622375246920188</v>
      </c>
      <c r="L33" s="44">
        <f t="shared" si="275"/>
        <v>0.63684053472809432</v>
      </c>
      <c r="M33" s="44">
        <f t="shared" si="275"/>
        <v>0.63690102945921423</v>
      </c>
      <c r="N33" s="44">
        <f t="shared" si="275"/>
        <v>0.63302255639097738</v>
      </c>
      <c r="O33" s="44">
        <f t="shared" si="275"/>
        <v>0.68210454477596028</v>
      </c>
      <c r="P33" s="44">
        <f t="shared" si="275"/>
        <v>0.66158738724847743</v>
      </c>
      <c r="Q33" s="44">
        <f t="shared" si="275"/>
        <v>0.67526403267520818</v>
      </c>
      <c r="R33" s="44">
        <f t="shared" si="275"/>
        <v>0.71085494030942742</v>
      </c>
      <c r="S33" s="44">
        <f t="shared" si="275"/>
        <v>0.7513932854786215</v>
      </c>
      <c r="T33" s="44">
        <f t="shared" si="275"/>
        <v>0.71194102392419278</v>
      </c>
      <c r="U33" s="44">
        <f t="shared" si="275"/>
        <v>0.70604248515544066</v>
      </c>
      <c r="V33" s="44">
        <f t="shared" si="275"/>
        <v>0.69885644612503361</v>
      </c>
      <c r="W33" s="44">
        <f t="shared" si="275"/>
        <v>0.62402892128808518</v>
      </c>
      <c r="X33" s="44">
        <f t="shared" si="275"/>
        <v>0.66263269735262276</v>
      </c>
      <c r="Y33" s="44">
        <f t="shared" si="275"/>
        <v>0.64109669350426002</v>
      </c>
      <c r="Z33" s="44">
        <f t="shared" ref="Z33:AA33" si="276">Z32/Z16</f>
        <v>0.64564424537337106</v>
      </c>
      <c r="AA33" s="44">
        <f t="shared" si="276"/>
        <v>0.67205757078740269</v>
      </c>
      <c r="AB33" s="52">
        <f t="shared" si="275"/>
        <v>0.66106116810821836</v>
      </c>
      <c r="AC33" s="52">
        <f t="shared" si="275"/>
        <v>0.650887481337172</v>
      </c>
      <c r="AD33" s="52">
        <f t="shared" si="275"/>
        <v>0.65021177266638286</v>
      </c>
      <c r="AE33" s="52">
        <f t="shared" si="275"/>
        <v>0.65005607732758952</v>
      </c>
      <c r="AI33" s="44" t="e">
        <f t="shared" ref="AI33:BN33" si="277">AI32/AI16</f>
        <v>#DIV/0!</v>
      </c>
      <c r="AJ33" s="44" t="e">
        <f t="shared" si="277"/>
        <v>#DIV/0!</v>
      </c>
      <c r="AK33" s="44" t="e">
        <f t="shared" si="277"/>
        <v>#DIV/0!</v>
      </c>
      <c r="AL33" s="44" t="e">
        <f t="shared" si="277"/>
        <v>#DIV/0!</v>
      </c>
      <c r="AM33" s="44" t="e">
        <f t="shared" si="277"/>
        <v>#DIV/0!</v>
      </c>
      <c r="AN33" s="44" t="e">
        <f t="shared" si="277"/>
        <v>#DIV/0!</v>
      </c>
      <c r="AO33" s="44" t="e">
        <f t="shared" si="277"/>
        <v>#DIV/0!</v>
      </c>
      <c r="AP33" s="44" t="e">
        <f t="shared" si="277"/>
        <v>#DIV/0!</v>
      </c>
      <c r="AQ33" s="44" t="e">
        <f t="shared" si="277"/>
        <v>#DIV/0!</v>
      </c>
      <c r="AR33" s="44" t="e">
        <f t="shared" si="277"/>
        <v>#DIV/0!</v>
      </c>
      <c r="AS33" s="44" t="e">
        <f t="shared" si="277"/>
        <v>#DIV/0!</v>
      </c>
      <c r="AT33" s="44" t="e">
        <f t="shared" si="277"/>
        <v>#DIV/0!</v>
      </c>
      <c r="AU33" s="44" t="e">
        <f t="shared" si="277"/>
        <v>#DIV/0!</v>
      </c>
      <c r="AV33" s="44" t="e">
        <f t="shared" si="277"/>
        <v>#DIV/0!</v>
      </c>
      <c r="AW33" s="44" t="e">
        <f t="shared" si="277"/>
        <v>#DIV/0!</v>
      </c>
      <c r="AX33" s="44" t="e">
        <f t="shared" si="277"/>
        <v>#DIV/0!</v>
      </c>
      <c r="AY33" s="44" t="e">
        <f t="shared" si="277"/>
        <v>#DIV/0!</v>
      </c>
      <c r="AZ33" s="44" t="e">
        <f t="shared" si="277"/>
        <v>#DIV/0!</v>
      </c>
      <c r="BA33" s="44" t="e">
        <f t="shared" si="277"/>
        <v>#DIV/0!</v>
      </c>
      <c r="BB33" s="44" t="e">
        <f t="shared" si="277"/>
        <v>#DIV/0!</v>
      </c>
      <c r="BC33" s="44" t="e">
        <f t="shared" si="277"/>
        <v>#DIV/0!</v>
      </c>
      <c r="BD33" s="44" t="e">
        <f t="shared" si="277"/>
        <v>#DIV/0!</v>
      </c>
      <c r="BE33" s="44" t="e">
        <f t="shared" si="277"/>
        <v>#DIV/0!</v>
      </c>
      <c r="BF33" s="44" t="e">
        <f t="shared" si="277"/>
        <v>#DIV/0!</v>
      </c>
      <c r="BG33" s="44" t="e">
        <f t="shared" si="277"/>
        <v>#DIV/0!</v>
      </c>
      <c r="BH33" s="44" t="e">
        <f t="shared" si="277"/>
        <v>#DIV/0!</v>
      </c>
      <c r="BI33" s="44" t="e">
        <f t="shared" si="277"/>
        <v>#DIV/0!</v>
      </c>
      <c r="BJ33" s="44" t="e">
        <f t="shared" si="277"/>
        <v>#DIV/0!</v>
      </c>
      <c r="BK33" s="44" t="e">
        <f t="shared" si="277"/>
        <v>#DIV/0!</v>
      </c>
      <c r="BL33" s="44" t="e">
        <f t="shared" si="277"/>
        <v>#DIV/0!</v>
      </c>
      <c r="BM33" s="44" t="e">
        <f t="shared" si="277"/>
        <v>#DIV/0!</v>
      </c>
      <c r="BN33" s="44" t="e">
        <f t="shared" si="277"/>
        <v>#DIV/0!</v>
      </c>
      <c r="BO33" s="44" t="e">
        <f t="shared" ref="BO33:CH33" si="278">BO32/BO16</f>
        <v>#DIV/0!</v>
      </c>
      <c r="BP33" s="44" t="e">
        <f t="shared" si="278"/>
        <v>#DIV/0!</v>
      </c>
      <c r="BQ33" s="44" t="e">
        <f t="shared" si="278"/>
        <v>#DIV/0!</v>
      </c>
      <c r="BR33" s="44" t="e">
        <f t="shared" si="278"/>
        <v>#DIV/0!</v>
      </c>
      <c r="BS33" s="44" t="e">
        <f t="shared" si="278"/>
        <v>#DIV/0!</v>
      </c>
      <c r="BT33" s="44" t="e">
        <f t="shared" si="278"/>
        <v>#DIV/0!</v>
      </c>
      <c r="BU33" s="44" t="e">
        <f t="shared" si="278"/>
        <v>#DIV/0!</v>
      </c>
      <c r="BV33" s="44" t="e">
        <f t="shared" si="278"/>
        <v>#DIV/0!</v>
      </c>
      <c r="BW33" s="44" t="e">
        <f t="shared" si="278"/>
        <v>#DIV/0!</v>
      </c>
      <c r="BX33" s="44" t="e">
        <f t="shared" si="278"/>
        <v>#DIV/0!</v>
      </c>
      <c r="BY33" s="44">
        <f t="shared" si="278"/>
        <v>0.67185400706474829</v>
      </c>
      <c r="BZ33" s="44">
        <f t="shared" si="278"/>
        <v>0.58303325037970888</v>
      </c>
      <c r="CA33" s="44">
        <f t="shared" si="278"/>
        <v>0.63467273146565106</v>
      </c>
      <c r="CB33" s="44">
        <f t="shared" si="278"/>
        <v>0.66209412450656724</v>
      </c>
      <c r="CC33" s="44">
        <f t="shared" si="278"/>
        <v>0.63766722245918805</v>
      </c>
      <c r="CD33" s="44">
        <f t="shared" si="278"/>
        <v>0.63019868567695325</v>
      </c>
      <c r="CE33" s="44">
        <f t="shared" si="278"/>
        <v>0.64062192171603749</v>
      </c>
      <c r="CF33" s="44">
        <f t="shared" si="278"/>
        <v>0.64017895021018933</v>
      </c>
      <c r="CG33" s="44">
        <f t="shared" si="278"/>
        <v>0.63980780033095985</v>
      </c>
      <c r="CH33" s="44">
        <f t="shared" si="278"/>
        <v>0.66031190448411303</v>
      </c>
      <c r="CI33" s="44">
        <f t="shared" ref="CI33:CJ33" si="279">CI32/CI16</f>
        <v>0.66356717485473649</v>
      </c>
      <c r="CJ33" s="44">
        <f t="shared" si="279"/>
        <v>0.65929133322753963</v>
      </c>
      <c r="CK33" s="44">
        <f t="shared" ref="CK33:CL33" si="280">CK32/CK16</f>
        <v>0.68650465318913689</v>
      </c>
      <c r="CL33" s="44">
        <f t="shared" si="280"/>
        <v>0.66766737479487603</v>
      </c>
      <c r="CM33" s="52">
        <f>AVERAGE(CI33:CL33)*0.99</f>
        <v>0.66256505767640661</v>
      </c>
      <c r="CN33" s="52">
        <f t="shared" ref="CN33:CT33" si="281">AVERAGE(CJ33:CM33)*0.99</f>
        <v>0.66231703367477002</v>
      </c>
      <c r="CO33" s="52">
        <f t="shared" si="281"/>
        <v>0.66306589453545939</v>
      </c>
      <c r="CP33" s="52">
        <f t="shared" si="281"/>
        <v>0.6572648017686743</v>
      </c>
      <c r="CQ33" s="52">
        <f t="shared" si="281"/>
        <v>0.65469016494468923</v>
      </c>
      <c r="CR33" s="52">
        <f t="shared" si="281"/>
        <v>0.65274112899358916</v>
      </c>
      <c r="CS33" s="52">
        <f t="shared" si="281"/>
        <v>0.65037109258499703</v>
      </c>
      <c r="CT33" s="52">
        <f t="shared" si="281"/>
        <v>0.64722912910225761</v>
      </c>
      <c r="CU33" s="52">
        <f t="shared" ref="CU33:DB33" si="282">AVERAGE(CQ33:CT33)</f>
        <v>0.6512578789063832</v>
      </c>
      <c r="CV33" s="52">
        <f t="shared" si="282"/>
        <v>0.6503998073968067</v>
      </c>
      <c r="CW33" s="52">
        <f t="shared" si="282"/>
        <v>0.64981447699761108</v>
      </c>
      <c r="CX33" s="52">
        <f t="shared" si="282"/>
        <v>0.64967532310076459</v>
      </c>
      <c r="CY33" s="52">
        <f t="shared" si="282"/>
        <v>0.65028687160039134</v>
      </c>
      <c r="CZ33" s="52">
        <f t="shared" si="282"/>
        <v>0.65004411977389343</v>
      </c>
      <c r="DA33" s="52">
        <f t="shared" si="282"/>
        <v>0.64995519786816514</v>
      </c>
      <c r="DB33" s="52">
        <f t="shared" si="282"/>
        <v>0.64999037808580362</v>
      </c>
      <c r="DE33" s="128"/>
      <c r="DF33" s="44">
        <v>0.66741876643888154</v>
      </c>
    </row>
    <row r="34" spans="1:110" s="26" customFormat="1" x14ac:dyDescent="0.2">
      <c r="A34" s="34" t="s">
        <v>13</v>
      </c>
      <c r="B34" s="26">
        <f t="shared" ref="B34:E34" si="283">B22-B32</f>
        <v>0</v>
      </c>
      <c r="C34" s="26">
        <f t="shared" si="283"/>
        <v>0</v>
      </c>
      <c r="D34" s="26">
        <f t="shared" si="283"/>
        <v>0</v>
      </c>
      <c r="E34" s="26">
        <f t="shared" si="283"/>
        <v>14.420459000000008</v>
      </c>
      <c r="F34" s="26">
        <f t="shared" ref="F34:AE34" si="284">F22-F32</f>
        <v>18.693029599999988</v>
      </c>
      <c r="G34" s="26">
        <f t="shared" si="284"/>
        <v>35.277700000000152</v>
      </c>
      <c r="H34" s="26">
        <f t="shared" si="284"/>
        <v>25.557700000000068</v>
      </c>
      <c r="I34" s="26">
        <f t="shared" si="284"/>
        <v>60.22930000000008</v>
      </c>
      <c r="J34" s="26">
        <f t="shared" si="284"/>
        <v>81.142300000000091</v>
      </c>
      <c r="K34" s="26">
        <f t="shared" si="284"/>
        <v>126.38949999999977</v>
      </c>
      <c r="L34" s="26">
        <f t="shared" si="284"/>
        <v>187.42610000000002</v>
      </c>
      <c r="M34" s="26">
        <f t="shared" si="284"/>
        <v>280.91000000000008</v>
      </c>
      <c r="N34" s="26">
        <f t="shared" si="284"/>
        <v>382.72</v>
      </c>
      <c r="O34" s="26">
        <f t="shared" si="284"/>
        <v>343.05999999999995</v>
      </c>
      <c r="P34" s="26">
        <f t="shared" si="284"/>
        <v>439.9399999999996</v>
      </c>
      <c r="Q34" s="26">
        <f t="shared" si="284"/>
        <v>499.73</v>
      </c>
      <c r="R34" s="26">
        <f t="shared" si="284"/>
        <v>489.68999999999983</v>
      </c>
      <c r="S34" s="26">
        <f t="shared" si="284"/>
        <v>332.71000000000004</v>
      </c>
      <c r="T34" s="26">
        <f t="shared" si="284"/>
        <v>502.8700000000008</v>
      </c>
      <c r="U34" s="26">
        <f t="shared" si="284"/>
        <v>470.45899999999961</v>
      </c>
      <c r="V34" s="26">
        <f t="shared" si="284"/>
        <v>378.69800000000009</v>
      </c>
      <c r="W34" s="26">
        <f t="shared" si="284"/>
        <v>638.48000000000047</v>
      </c>
      <c r="X34" s="26">
        <f t="shared" si="284"/>
        <v>806.7199999999998</v>
      </c>
      <c r="Y34" s="26">
        <f t="shared" si="284"/>
        <v>941.25000000000045</v>
      </c>
      <c r="Z34" s="26">
        <f t="shared" ref="Z34:AA34" si="285">Z22-Z32</f>
        <v>931.76000000000022</v>
      </c>
      <c r="AA34" s="26">
        <f t="shared" si="285"/>
        <v>838.3199999999988</v>
      </c>
      <c r="AB34" s="27">
        <f t="shared" si="284"/>
        <v>1041.5020456949014</v>
      </c>
      <c r="AC34" s="27">
        <f t="shared" si="284"/>
        <v>1354.5854365781497</v>
      </c>
      <c r="AD34" s="27">
        <f t="shared" si="284"/>
        <v>1671.5618868189158</v>
      </c>
      <c r="AE34" s="27">
        <f t="shared" si="284"/>
        <v>2058.1355932694369</v>
      </c>
      <c r="AI34" s="26">
        <f t="shared" ref="AI34:BN34" si="286">AI22-AI32</f>
        <v>0</v>
      </c>
      <c r="AJ34" s="26">
        <f t="shared" si="286"/>
        <v>0</v>
      </c>
      <c r="AK34" s="26">
        <f t="shared" si="286"/>
        <v>0</v>
      </c>
      <c r="AL34" s="26">
        <f t="shared" si="286"/>
        <v>0</v>
      </c>
      <c r="AM34" s="26">
        <f t="shared" si="286"/>
        <v>0</v>
      </c>
      <c r="AN34" s="26">
        <f t="shared" si="286"/>
        <v>0</v>
      </c>
      <c r="AO34" s="26">
        <f t="shared" si="286"/>
        <v>0</v>
      </c>
      <c r="AP34" s="26">
        <f t="shared" si="286"/>
        <v>0</v>
      </c>
      <c r="AQ34" s="26">
        <f t="shared" si="286"/>
        <v>0</v>
      </c>
      <c r="AR34" s="26">
        <f t="shared" si="286"/>
        <v>0</v>
      </c>
      <c r="AS34" s="26">
        <f t="shared" si="286"/>
        <v>0</v>
      </c>
      <c r="AT34" s="26">
        <f t="shared" si="286"/>
        <v>0</v>
      </c>
      <c r="AU34" s="26">
        <f t="shared" si="286"/>
        <v>0</v>
      </c>
      <c r="AV34" s="26">
        <f t="shared" si="286"/>
        <v>0</v>
      </c>
      <c r="AW34" s="26">
        <f t="shared" si="286"/>
        <v>0</v>
      </c>
      <c r="AX34" s="26">
        <f t="shared" si="286"/>
        <v>0</v>
      </c>
      <c r="AY34" s="26">
        <f t="shared" si="286"/>
        <v>0</v>
      </c>
      <c r="AZ34" s="26">
        <f t="shared" si="286"/>
        <v>0</v>
      </c>
      <c r="BA34" s="26">
        <f t="shared" si="286"/>
        <v>0</v>
      </c>
      <c r="BB34" s="26">
        <f t="shared" si="286"/>
        <v>0</v>
      </c>
      <c r="BC34" s="26">
        <f t="shared" si="286"/>
        <v>0</v>
      </c>
      <c r="BD34" s="26">
        <f t="shared" si="286"/>
        <v>0</v>
      </c>
      <c r="BE34" s="26">
        <f t="shared" si="286"/>
        <v>0</v>
      </c>
      <c r="BF34" s="26">
        <f t="shared" si="286"/>
        <v>0</v>
      </c>
      <c r="BG34" s="26">
        <f t="shared" si="286"/>
        <v>0</v>
      </c>
      <c r="BH34" s="26">
        <f t="shared" si="286"/>
        <v>0</v>
      </c>
      <c r="BI34" s="26">
        <f t="shared" si="286"/>
        <v>0</v>
      </c>
      <c r="BJ34" s="26">
        <f t="shared" si="286"/>
        <v>0</v>
      </c>
      <c r="BK34" s="26">
        <f t="shared" si="286"/>
        <v>0</v>
      </c>
      <c r="BL34" s="26">
        <f t="shared" si="286"/>
        <v>0</v>
      </c>
      <c r="BM34" s="26">
        <f t="shared" si="286"/>
        <v>0</v>
      </c>
      <c r="BN34" s="26">
        <f t="shared" si="286"/>
        <v>0</v>
      </c>
      <c r="BO34" s="26">
        <f t="shared" ref="BO34:CT34" si="287">BO22-BO32</f>
        <v>0</v>
      </c>
      <c r="BP34" s="26">
        <f t="shared" si="287"/>
        <v>0</v>
      </c>
      <c r="BQ34" s="26">
        <f t="shared" si="287"/>
        <v>0</v>
      </c>
      <c r="BR34" s="26">
        <f t="shared" si="287"/>
        <v>0</v>
      </c>
      <c r="BS34" s="26">
        <f t="shared" si="287"/>
        <v>0</v>
      </c>
      <c r="BT34" s="26">
        <f t="shared" si="287"/>
        <v>0</v>
      </c>
      <c r="BU34" s="26">
        <f t="shared" si="287"/>
        <v>0</v>
      </c>
      <c r="BV34" s="26">
        <f t="shared" si="287"/>
        <v>0</v>
      </c>
      <c r="BW34" s="26">
        <f t="shared" si="287"/>
        <v>0</v>
      </c>
      <c r="BX34" s="26">
        <f t="shared" si="287"/>
        <v>0</v>
      </c>
      <c r="BY34" s="26">
        <f t="shared" si="287"/>
        <v>205.75000000000011</v>
      </c>
      <c r="BZ34" s="26">
        <f t="shared" si="287"/>
        <v>242.6600000000002</v>
      </c>
      <c r="CA34" s="26">
        <f t="shared" si="287"/>
        <v>250.45999999999981</v>
      </c>
      <c r="CB34" s="26">
        <f t="shared" si="287"/>
        <v>214.29000000000019</v>
      </c>
      <c r="CC34" s="26">
        <f t="shared" si="287"/>
        <v>236.55999999999983</v>
      </c>
      <c r="CD34" s="26">
        <f t="shared" si="287"/>
        <v>239.96999999999991</v>
      </c>
      <c r="CE34" s="26">
        <f t="shared" si="287"/>
        <v>231.07999999999993</v>
      </c>
      <c r="CF34" s="26">
        <f t="shared" si="287"/>
        <v>235.53999999999996</v>
      </c>
      <c r="CG34" s="26">
        <f t="shared" si="287"/>
        <v>234.0200000000001</v>
      </c>
      <c r="CH34" s="26">
        <f t="shared" si="287"/>
        <v>233.4100000000002</v>
      </c>
      <c r="CI34" s="26">
        <f t="shared" ref="CI34:CJ34" si="288">CI22-CI32</f>
        <v>200.13999999999987</v>
      </c>
      <c r="CJ34" s="26">
        <f t="shared" si="288"/>
        <v>207.81999999999994</v>
      </c>
      <c r="CK34" s="26">
        <f t="shared" ref="CK34:CL34" si="289">CK22-CK32</f>
        <v>192.85000000000014</v>
      </c>
      <c r="CL34" s="26">
        <f t="shared" si="289"/>
        <v>252.1400000000001</v>
      </c>
      <c r="CM34" s="27">
        <f t="shared" si="287"/>
        <v>222.17944375928562</v>
      </c>
      <c r="CN34" s="27">
        <f t="shared" si="287"/>
        <v>243.22055015176795</v>
      </c>
      <c r="CO34" s="27">
        <f t="shared" si="287"/>
        <v>259.27905209872756</v>
      </c>
      <c r="CP34" s="27">
        <f t="shared" si="287"/>
        <v>316.82299968511916</v>
      </c>
      <c r="CQ34" s="27">
        <f t="shared" si="287"/>
        <v>278.84957302357816</v>
      </c>
      <c r="CR34" s="27">
        <f t="shared" si="287"/>
        <v>314.34146470372934</v>
      </c>
      <c r="CS34" s="27">
        <f t="shared" si="287"/>
        <v>343.06407066376755</v>
      </c>
      <c r="CT34" s="27">
        <f t="shared" si="287"/>
        <v>418.3303281870742</v>
      </c>
      <c r="CU34" s="27">
        <f t="shared" ref="CU34:DB34" si="290">CU22-CU32</f>
        <v>347.79579074987896</v>
      </c>
      <c r="CV34" s="27">
        <f t="shared" si="290"/>
        <v>391.59496528018099</v>
      </c>
      <c r="CW34" s="27">
        <f t="shared" si="290"/>
        <v>423.76141024564436</v>
      </c>
      <c r="CX34" s="27">
        <f t="shared" si="290"/>
        <v>508.40972054321173</v>
      </c>
      <c r="CY34" s="27">
        <f t="shared" si="290"/>
        <v>429.76125144962043</v>
      </c>
      <c r="CZ34" s="27">
        <f t="shared" si="290"/>
        <v>482.78411988264884</v>
      </c>
      <c r="DA34" s="27">
        <f t="shared" si="290"/>
        <v>521.09913706780776</v>
      </c>
      <c r="DB34" s="27">
        <f t="shared" si="290"/>
        <v>624.49108486935984</v>
      </c>
      <c r="DE34" s="121"/>
      <c r="DF34" s="26">
        <v>217.5535814254564</v>
      </c>
    </row>
    <row r="35" spans="1:110" s="168" customFormat="1" x14ac:dyDescent="0.2">
      <c r="A35" s="165" t="s">
        <v>14</v>
      </c>
      <c r="B35" s="166" t="e">
        <f t="shared" ref="B35:E35" si="291">B34/B16</f>
        <v>#DIV/0!</v>
      </c>
      <c r="C35" s="166" t="e">
        <f t="shared" si="291"/>
        <v>#DIV/0!</v>
      </c>
      <c r="D35" s="166" t="e">
        <f t="shared" si="291"/>
        <v>#DIV/0!</v>
      </c>
      <c r="E35" s="166">
        <f t="shared" si="291"/>
        <v>0.10681241727416615</v>
      </c>
      <c r="F35" s="166">
        <f t="shared" ref="F35:AE35" si="292">F34/F16</f>
        <v>0.10457392710073067</v>
      </c>
      <c r="G35" s="166">
        <f t="shared" si="292"/>
        <v>6.5748733630004982E-2</v>
      </c>
      <c r="H35" s="166">
        <f t="shared" si="292"/>
        <v>2.7487652029214462E-2</v>
      </c>
      <c r="I35" s="166">
        <f t="shared" si="292"/>
        <v>5.5561931101666767E-2</v>
      </c>
      <c r="J35" s="166">
        <f t="shared" si="292"/>
        <v>6.7481556409580729E-2</v>
      </c>
      <c r="K35" s="166">
        <f t="shared" si="292"/>
        <v>0.11807838739356158</v>
      </c>
      <c r="L35" s="166">
        <f t="shared" si="292"/>
        <v>0.15002215600323635</v>
      </c>
      <c r="M35" s="166">
        <f t="shared" si="292"/>
        <v>0.171014422169596</v>
      </c>
      <c r="N35" s="166">
        <f t="shared" si="292"/>
        <v>0.19183959899749375</v>
      </c>
      <c r="O35" s="166">
        <f t="shared" si="292"/>
        <v>0.14632856320245685</v>
      </c>
      <c r="P35" s="166">
        <f t="shared" si="292"/>
        <v>0.1695859995374295</v>
      </c>
      <c r="Q35" s="166">
        <f t="shared" si="292"/>
        <v>0.18623154379923829</v>
      </c>
      <c r="R35" s="166">
        <f t="shared" si="292"/>
        <v>0.17476757258337938</v>
      </c>
      <c r="S35" s="166">
        <f t="shared" si="292"/>
        <v>0.12361600309123606</v>
      </c>
      <c r="T35" s="166">
        <f t="shared" si="292"/>
        <v>0.17091574020889086</v>
      </c>
      <c r="U35" s="166">
        <f t="shared" si="292"/>
        <v>0.16495439253450569</v>
      </c>
      <c r="V35" s="166">
        <f t="shared" si="292"/>
        <v>0.15905592439196597</v>
      </c>
      <c r="W35" s="166">
        <f t="shared" si="292"/>
        <v>0.18089404405056705</v>
      </c>
      <c r="X35" s="166">
        <f t="shared" si="292"/>
        <v>0.18275648025227784</v>
      </c>
      <c r="Y35" s="166">
        <f t="shared" si="292"/>
        <v>0.18393848198233417</v>
      </c>
      <c r="Z35" s="166">
        <f t="shared" ref="Z35:AA35" si="293">Z34/Z16</f>
        <v>0.18027842002921576</v>
      </c>
      <c r="AA35" s="166">
        <f t="shared" si="293"/>
        <v>0.15226761261776689</v>
      </c>
      <c r="AB35" s="167">
        <f t="shared" si="292"/>
        <v>0.16393393319066962</v>
      </c>
      <c r="AC35" s="167">
        <f t="shared" si="292"/>
        <v>0.17430288194407331</v>
      </c>
      <c r="AD35" s="167">
        <f t="shared" si="292"/>
        <v>0.17501806587914537</v>
      </c>
      <c r="AE35" s="167">
        <f t="shared" si="292"/>
        <v>0.17518036059482456</v>
      </c>
      <c r="AI35" s="166" t="e">
        <f t="shared" ref="AI35:BN35" si="294">AI34/AI16</f>
        <v>#DIV/0!</v>
      </c>
      <c r="AJ35" s="166" t="e">
        <f t="shared" si="294"/>
        <v>#DIV/0!</v>
      </c>
      <c r="AK35" s="166" t="e">
        <f t="shared" si="294"/>
        <v>#DIV/0!</v>
      </c>
      <c r="AL35" s="166" t="e">
        <f t="shared" si="294"/>
        <v>#DIV/0!</v>
      </c>
      <c r="AM35" s="166" t="e">
        <f t="shared" si="294"/>
        <v>#DIV/0!</v>
      </c>
      <c r="AN35" s="166" t="e">
        <f t="shared" si="294"/>
        <v>#DIV/0!</v>
      </c>
      <c r="AO35" s="166" t="e">
        <f t="shared" si="294"/>
        <v>#DIV/0!</v>
      </c>
      <c r="AP35" s="166" t="e">
        <f t="shared" si="294"/>
        <v>#DIV/0!</v>
      </c>
      <c r="AQ35" s="166" t="e">
        <f t="shared" si="294"/>
        <v>#DIV/0!</v>
      </c>
      <c r="AR35" s="166" t="e">
        <f t="shared" si="294"/>
        <v>#DIV/0!</v>
      </c>
      <c r="AS35" s="166" t="e">
        <f t="shared" si="294"/>
        <v>#DIV/0!</v>
      </c>
      <c r="AT35" s="166" t="e">
        <f t="shared" si="294"/>
        <v>#DIV/0!</v>
      </c>
      <c r="AU35" s="166" t="e">
        <f t="shared" si="294"/>
        <v>#DIV/0!</v>
      </c>
      <c r="AV35" s="166" t="e">
        <f t="shared" si="294"/>
        <v>#DIV/0!</v>
      </c>
      <c r="AW35" s="166" t="e">
        <f t="shared" si="294"/>
        <v>#DIV/0!</v>
      </c>
      <c r="AX35" s="166" t="e">
        <f t="shared" si="294"/>
        <v>#DIV/0!</v>
      </c>
      <c r="AY35" s="166" t="e">
        <f t="shared" si="294"/>
        <v>#DIV/0!</v>
      </c>
      <c r="AZ35" s="166" t="e">
        <f t="shared" si="294"/>
        <v>#DIV/0!</v>
      </c>
      <c r="BA35" s="166" t="e">
        <f t="shared" si="294"/>
        <v>#DIV/0!</v>
      </c>
      <c r="BB35" s="166" t="e">
        <f t="shared" si="294"/>
        <v>#DIV/0!</v>
      </c>
      <c r="BC35" s="166" t="e">
        <f t="shared" si="294"/>
        <v>#DIV/0!</v>
      </c>
      <c r="BD35" s="166" t="e">
        <f t="shared" si="294"/>
        <v>#DIV/0!</v>
      </c>
      <c r="BE35" s="166" t="e">
        <f t="shared" si="294"/>
        <v>#DIV/0!</v>
      </c>
      <c r="BF35" s="166" t="e">
        <f t="shared" si="294"/>
        <v>#DIV/0!</v>
      </c>
      <c r="BG35" s="166" t="e">
        <f t="shared" si="294"/>
        <v>#DIV/0!</v>
      </c>
      <c r="BH35" s="166" t="e">
        <f t="shared" si="294"/>
        <v>#DIV/0!</v>
      </c>
      <c r="BI35" s="166" t="e">
        <f t="shared" si="294"/>
        <v>#DIV/0!</v>
      </c>
      <c r="BJ35" s="166" t="e">
        <f t="shared" si="294"/>
        <v>#DIV/0!</v>
      </c>
      <c r="BK35" s="166" t="e">
        <f t="shared" si="294"/>
        <v>#DIV/0!</v>
      </c>
      <c r="BL35" s="166" t="e">
        <f t="shared" si="294"/>
        <v>#DIV/0!</v>
      </c>
      <c r="BM35" s="166" t="e">
        <f t="shared" si="294"/>
        <v>#DIV/0!</v>
      </c>
      <c r="BN35" s="166" t="e">
        <f t="shared" si="294"/>
        <v>#DIV/0!</v>
      </c>
      <c r="BO35" s="166" t="e">
        <f t="shared" ref="BO35:CT35" si="295">BO34/BO16</f>
        <v>#DIV/0!</v>
      </c>
      <c r="BP35" s="166" t="e">
        <f t="shared" si="295"/>
        <v>#DIV/0!</v>
      </c>
      <c r="BQ35" s="166" t="e">
        <f t="shared" si="295"/>
        <v>#DIV/0!</v>
      </c>
      <c r="BR35" s="166" t="e">
        <f t="shared" si="295"/>
        <v>#DIV/0!</v>
      </c>
      <c r="BS35" s="166" t="e">
        <f t="shared" si="295"/>
        <v>#DIV/0!</v>
      </c>
      <c r="BT35" s="166" t="e">
        <f t="shared" si="295"/>
        <v>#DIV/0!</v>
      </c>
      <c r="BU35" s="166" t="e">
        <f t="shared" si="295"/>
        <v>#DIV/0!</v>
      </c>
      <c r="BV35" s="166" t="e">
        <f t="shared" si="295"/>
        <v>#DIV/0!</v>
      </c>
      <c r="BW35" s="166" t="e">
        <f t="shared" si="295"/>
        <v>#DIV/0!</v>
      </c>
      <c r="BX35" s="166" t="e">
        <f t="shared" si="295"/>
        <v>#DIV/0!</v>
      </c>
      <c r="BY35" s="166">
        <f t="shared" si="295"/>
        <v>0.18306951747946873</v>
      </c>
      <c r="BZ35" s="166">
        <f t="shared" si="295"/>
        <v>0.17303317907286858</v>
      </c>
      <c r="CA35" s="166">
        <f t="shared" si="295"/>
        <v>0.19916821069875057</v>
      </c>
      <c r="CB35" s="166">
        <f t="shared" si="295"/>
        <v>0.16884262943498521</v>
      </c>
      <c r="CC35" s="166">
        <f t="shared" si="295"/>
        <v>0.18345806351545219</v>
      </c>
      <c r="CD35" s="166">
        <f t="shared" si="295"/>
        <v>0.18444333423004491</v>
      </c>
      <c r="CE35" s="166">
        <f t="shared" si="295"/>
        <v>0.18210044366691089</v>
      </c>
      <c r="CF35" s="166">
        <f t="shared" si="295"/>
        <v>0.18168074356897679</v>
      </c>
      <c r="CG35" s="166">
        <f t="shared" si="295"/>
        <v>0.17764046820203744</v>
      </c>
      <c r="CH35" s="166">
        <f t="shared" si="295"/>
        <v>0.18155018862054229</v>
      </c>
      <c r="CI35" s="166">
        <f t="shared" ref="CI35:CJ35" si="296">CI34/CI16</f>
        <v>0.16084674794461087</v>
      </c>
      <c r="CJ35" s="166">
        <f t="shared" si="296"/>
        <v>0.15704321673354338</v>
      </c>
      <c r="CK35" s="166">
        <f t="shared" ref="CK35:CL35" si="297">CK34/CK16</f>
        <v>0.14120653423443882</v>
      </c>
      <c r="CL35" s="166">
        <f t="shared" si="297"/>
        <v>0.16037195812290908</v>
      </c>
      <c r="CM35" s="167">
        <f t="shared" si="295"/>
        <v>0.16155969059904132</v>
      </c>
      <c r="CN35" s="167">
        <f t="shared" si="295"/>
        <v>0.16173542096970306</v>
      </c>
      <c r="CO35" s="167">
        <f t="shared" si="295"/>
        <v>0.16291603627986115</v>
      </c>
      <c r="CP35" s="167">
        <f t="shared" si="295"/>
        <v>0.16828481489458225</v>
      </c>
      <c r="CQ35" s="167">
        <f t="shared" si="295"/>
        <v>0.17023702265493529</v>
      </c>
      <c r="CR35" s="167">
        <f t="shared" si="295"/>
        <v>0.17238666843707937</v>
      </c>
      <c r="CS35" s="167">
        <f t="shared" si="295"/>
        <v>0.17502554054222058</v>
      </c>
      <c r="CT35" s="167">
        <f t="shared" si="295"/>
        <v>0.17802117960293429</v>
      </c>
      <c r="CU35" s="167">
        <f t="shared" ref="CU35:DB35" si="298">CU34/CU16</f>
        <v>0.17391760280929244</v>
      </c>
      <c r="CV35" s="167">
        <f t="shared" si="298"/>
        <v>0.17483774784788161</v>
      </c>
      <c r="CW35" s="167">
        <f t="shared" si="298"/>
        <v>0.17545051770058229</v>
      </c>
      <c r="CX35" s="167">
        <f t="shared" si="298"/>
        <v>0.1755567619901727</v>
      </c>
      <c r="CY35" s="167">
        <f t="shared" si="298"/>
        <v>0.1749406575869823</v>
      </c>
      <c r="CZ35" s="167">
        <f t="shared" si="298"/>
        <v>0.1751964212814047</v>
      </c>
      <c r="DA35" s="167">
        <f t="shared" si="298"/>
        <v>0.17528608963978548</v>
      </c>
      <c r="DB35" s="167">
        <f t="shared" si="298"/>
        <v>0.17524498262458635</v>
      </c>
      <c r="DE35" s="169"/>
      <c r="DF35" s="168">
        <v>0.16016167188328381</v>
      </c>
    </row>
    <row r="36" spans="1:110" s="38" customFormat="1" x14ac:dyDescent="0.2">
      <c r="A36" s="39" t="s">
        <v>449</v>
      </c>
      <c r="B36" s="39"/>
      <c r="C36" s="39" t="e">
        <f t="shared" ref="C36:E36" si="299">+IF(B34&lt;0,1-C34/B34,C34/B34-1)</f>
        <v>#DIV/0!</v>
      </c>
      <c r="D36" s="39" t="e">
        <f t="shared" si="299"/>
        <v>#DIV/0!</v>
      </c>
      <c r="E36" s="39" t="e">
        <f t="shared" si="299"/>
        <v>#DIV/0!</v>
      </c>
      <c r="F36" s="39">
        <f t="shared" ref="F36:Y36" si="300">+IF(E34&lt;0,1-F34/E34,F34/E34-1)</f>
        <v>0.29628534015456642</v>
      </c>
      <c r="G36" s="39">
        <f t="shared" si="300"/>
        <v>0.88721147694540514</v>
      </c>
      <c r="H36" s="39">
        <f t="shared" si="300"/>
        <v>-0.27552816651879353</v>
      </c>
      <c r="I36" s="39">
        <f t="shared" si="300"/>
        <v>1.3566009460945203</v>
      </c>
      <c r="J36" s="39">
        <f t="shared" si="300"/>
        <v>0.34722302932293725</v>
      </c>
      <c r="K36" s="39">
        <f t="shared" si="300"/>
        <v>0.55762777244420758</v>
      </c>
      <c r="L36" s="39">
        <f t="shared" si="300"/>
        <v>0.48292461003485543</v>
      </c>
      <c r="M36" s="39">
        <f t="shared" si="300"/>
        <v>0.49877738479326017</v>
      </c>
      <c r="N36" s="39">
        <f t="shared" si="300"/>
        <v>0.36242924780178676</v>
      </c>
      <c r="O36" s="39">
        <f t="shared" si="300"/>
        <v>-0.10362667224080291</v>
      </c>
      <c r="P36" s="39">
        <f t="shared" si="300"/>
        <v>0.2823995802483521</v>
      </c>
      <c r="Q36" s="39">
        <f t="shared" si="300"/>
        <v>0.13590489612219958</v>
      </c>
      <c r="R36" s="39">
        <f t="shared" si="300"/>
        <v>-2.0090849058492011E-2</v>
      </c>
      <c r="S36" s="39">
        <f t="shared" si="300"/>
        <v>-0.32057015662970423</v>
      </c>
      <c r="T36" s="39">
        <f t="shared" si="300"/>
        <v>0.51143638604190067</v>
      </c>
      <c r="U36" s="39">
        <f t="shared" si="300"/>
        <v>-6.4452045260208646E-2</v>
      </c>
      <c r="V36" s="39">
        <f t="shared" si="300"/>
        <v>-0.19504568942245681</v>
      </c>
      <c r="W36" s="39">
        <f t="shared" si="300"/>
        <v>0.68598725105493119</v>
      </c>
      <c r="X36" s="39">
        <f t="shared" si="300"/>
        <v>0.26350081443428008</v>
      </c>
      <c r="Y36" s="39">
        <f t="shared" si="300"/>
        <v>0.16676170170567328</v>
      </c>
      <c r="Z36" s="39">
        <f t="shared" ref="Z36:AE36" si="301">+IF(Y34&lt;0,1-Z34/Y34,Z34/Y34-1)</f>
        <v>-1.0082337317397272E-2</v>
      </c>
      <c r="AA36" s="39">
        <f t="shared" si="301"/>
        <v>-0.1002833347643185</v>
      </c>
      <c r="AB36" s="40">
        <f t="shared" si="301"/>
        <v>0.2423681239799873</v>
      </c>
      <c r="AC36" s="40">
        <f t="shared" si="301"/>
        <v>0.30060756210455231</v>
      </c>
      <c r="AD36" s="40">
        <f t="shared" si="301"/>
        <v>0.23400255287070548</v>
      </c>
      <c r="AE36" s="40">
        <f t="shared" si="301"/>
        <v>0.23126496811086938</v>
      </c>
      <c r="AI36" s="39"/>
      <c r="AJ36" s="39"/>
      <c r="AK36" s="39"/>
      <c r="AL36" s="39"/>
      <c r="AM36" s="39" t="e">
        <f>+IF(AI34&lt;0,1-AM34/AI34,AM34/AI34-1)</f>
        <v>#DIV/0!</v>
      </c>
      <c r="AN36" s="39" t="e">
        <f t="shared" ref="AN36" si="302">+IF(AJ34&lt;0,1-AN34/AJ34,AN34/AJ34-1)</f>
        <v>#DIV/0!</v>
      </c>
      <c r="AO36" s="39" t="e">
        <f t="shared" ref="AO36" si="303">+IF(AK34&lt;0,1-AO34/AK34,AO34/AK34-1)</f>
        <v>#DIV/0!</v>
      </c>
      <c r="AP36" s="39" t="e">
        <f t="shared" ref="AP36" si="304">+IF(AL34&lt;0,1-AP34/AL34,AP34/AL34-1)</f>
        <v>#DIV/0!</v>
      </c>
      <c r="AQ36" s="39" t="e">
        <f t="shared" ref="AQ36" si="305">+IF(AM34&lt;0,1-AQ34/AM34,AQ34/AM34-1)</f>
        <v>#DIV/0!</v>
      </c>
      <c r="AR36" s="39" t="e">
        <f t="shared" ref="AR36" si="306">+IF(AN34&lt;0,1-AR34/AN34,AR34/AN34-1)</f>
        <v>#DIV/0!</v>
      </c>
      <c r="AS36" s="39" t="e">
        <f t="shared" ref="AS36" si="307">+IF(AO34&lt;0,1-AS34/AO34,AS34/AO34-1)</f>
        <v>#DIV/0!</v>
      </c>
      <c r="AT36" s="39" t="e">
        <f t="shared" ref="AT36" si="308">+IF(AP34&lt;0,1-AT34/AP34,AT34/AP34-1)</f>
        <v>#DIV/0!</v>
      </c>
      <c r="AU36" s="39" t="e">
        <f t="shared" ref="AU36" si="309">+IF(AQ34&lt;0,1-AU34/AQ34,AU34/AQ34-1)</f>
        <v>#DIV/0!</v>
      </c>
      <c r="AV36" s="39" t="e">
        <f t="shared" ref="AV36" si="310">+IF(AR34&lt;0,1-AV34/AR34,AV34/AR34-1)</f>
        <v>#DIV/0!</v>
      </c>
      <c r="AW36" s="39" t="e">
        <f t="shared" ref="AW36" si="311">+IF(AS34&lt;0,1-AW34/AS34,AW34/AS34-1)</f>
        <v>#DIV/0!</v>
      </c>
      <c r="AX36" s="39" t="e">
        <f t="shared" ref="AX36" si="312">+IF(AT34&lt;0,1-AX34/AT34,AX34/AT34-1)</f>
        <v>#DIV/0!</v>
      </c>
      <c r="AY36" s="39" t="e">
        <f t="shared" ref="AY36" si="313">+IF(AU34&lt;0,1-AY34/AU34,AY34/AU34-1)</f>
        <v>#DIV/0!</v>
      </c>
      <c r="AZ36" s="39" t="e">
        <f t="shared" ref="AZ36" si="314">+IF(AV34&lt;0,1-AZ34/AV34,AZ34/AV34-1)</f>
        <v>#DIV/0!</v>
      </c>
      <c r="BA36" s="39" t="e">
        <f t="shared" ref="BA36" si="315">+IF(AW34&lt;0,1-BA34/AW34,BA34/AW34-1)</f>
        <v>#DIV/0!</v>
      </c>
      <c r="BB36" s="39" t="e">
        <f t="shared" ref="BB36" si="316">+IF(AX34&lt;0,1-BB34/AX34,BB34/AX34-1)</f>
        <v>#DIV/0!</v>
      </c>
      <c r="BC36" s="39" t="e">
        <f t="shared" ref="BC36" si="317">+IF(AY34&lt;0,1-BC34/AY34,BC34/AY34-1)</f>
        <v>#DIV/0!</v>
      </c>
      <c r="BD36" s="39" t="e">
        <f t="shared" ref="BD36" si="318">+IF(AZ34&lt;0,1-BD34/AZ34,BD34/AZ34-1)</f>
        <v>#DIV/0!</v>
      </c>
      <c r="BE36" s="39" t="e">
        <f t="shared" ref="BE36" si="319">+IF(BA34&lt;0,1-BE34/BA34,BE34/BA34-1)</f>
        <v>#DIV/0!</v>
      </c>
      <c r="BF36" s="39" t="e">
        <f t="shared" ref="BF36" si="320">+IF(BB34&lt;0,1-BF34/BB34,BF34/BB34-1)</f>
        <v>#DIV/0!</v>
      </c>
      <c r="BG36" s="39" t="e">
        <f t="shared" ref="BG36" si="321">+IF(BC34&lt;0,1-BG34/BC34,BG34/BC34-1)</f>
        <v>#DIV/0!</v>
      </c>
      <c r="BH36" s="39" t="e">
        <f t="shared" ref="BH36" si="322">+IF(BD34&lt;0,1-BH34/BD34,BH34/BD34-1)</f>
        <v>#DIV/0!</v>
      </c>
      <c r="BI36" s="39" t="e">
        <f t="shared" ref="BI36" si="323">+IF(BE34&lt;0,1-BI34/BE34,BI34/BE34-1)</f>
        <v>#DIV/0!</v>
      </c>
      <c r="BJ36" s="39" t="e">
        <f t="shared" ref="BJ36" si="324">+IF(BF34&lt;0,1-BJ34/BF34,BJ34/BF34-1)</f>
        <v>#DIV/0!</v>
      </c>
      <c r="BK36" s="39" t="e">
        <f t="shared" ref="BK36" si="325">+IF(BG34&lt;0,1-BK34/BG34,BK34/BG34-1)</f>
        <v>#DIV/0!</v>
      </c>
      <c r="BL36" s="39" t="e">
        <f t="shared" ref="BL36" si="326">+IF(BH34&lt;0,1-BL34/BH34,BL34/BH34-1)</f>
        <v>#DIV/0!</v>
      </c>
      <c r="BM36" s="39" t="e">
        <f t="shared" ref="BM36" si="327">+IF(BI34&lt;0,1-BM34/BI34,BM34/BI34-1)</f>
        <v>#DIV/0!</v>
      </c>
      <c r="BN36" s="39" t="e">
        <f t="shared" ref="BN36" si="328">+IF(BJ34&lt;0,1-BN34/BJ34,BN34/BJ34-1)</f>
        <v>#DIV/0!</v>
      </c>
      <c r="BO36" s="39" t="e">
        <f t="shared" ref="BO36" si="329">+IF(BK34&lt;0,1-BO34/BK34,BO34/BK34-1)</f>
        <v>#DIV/0!</v>
      </c>
      <c r="BP36" s="39" t="e">
        <f t="shared" ref="BP36" si="330">+IF(BL34&lt;0,1-BP34/BL34,BP34/BL34-1)</f>
        <v>#DIV/0!</v>
      </c>
      <c r="BQ36" s="39" t="e">
        <f t="shared" ref="BQ36" si="331">+IF(BM34&lt;0,1-BQ34/BM34,BQ34/BM34-1)</f>
        <v>#DIV/0!</v>
      </c>
      <c r="BR36" s="39" t="e">
        <f t="shared" ref="BR36" si="332">+IF(BN34&lt;0,1-BR34/BN34,BR34/BN34-1)</f>
        <v>#DIV/0!</v>
      </c>
      <c r="BS36" s="39" t="e">
        <f t="shared" ref="BS36" si="333">+IF(BO34&lt;0,1-BS34/BO34,BS34/BO34-1)</f>
        <v>#DIV/0!</v>
      </c>
      <c r="BT36" s="39" t="e">
        <f t="shared" ref="BT36" si="334">+IF(BP34&lt;0,1-BT34/BP34,BT34/BP34-1)</f>
        <v>#DIV/0!</v>
      </c>
      <c r="BU36" s="39" t="e">
        <f t="shared" ref="BU36" si="335">+IF(BQ34&lt;0,1-BU34/BQ34,BU34/BQ34-1)</f>
        <v>#DIV/0!</v>
      </c>
      <c r="BV36" s="39" t="e">
        <f t="shared" ref="BV36" si="336">+IF(BR34&lt;0,1-BV34/BR34,BV34/BR34-1)</f>
        <v>#DIV/0!</v>
      </c>
      <c r="BW36" s="39" t="e">
        <f t="shared" ref="BW36" si="337">+IF(BS34&lt;0,1-BW34/BS34,BW34/BS34-1)</f>
        <v>#DIV/0!</v>
      </c>
      <c r="BX36" s="39" t="e">
        <f t="shared" ref="BX36" si="338">+IF(BT34&lt;0,1-BX34/BT34,BX34/BT34-1)</f>
        <v>#DIV/0!</v>
      </c>
      <c r="BY36" s="39" t="e">
        <f t="shared" ref="BY36" si="339">+IF(BU34&lt;0,1-BY34/BU34,BY34/BU34-1)</f>
        <v>#DIV/0!</v>
      </c>
      <c r="BZ36" s="39" t="e">
        <f t="shared" ref="BZ36" si="340">+IF(BV34&lt;0,1-BZ34/BV34,BZ34/BV34-1)</f>
        <v>#DIV/0!</v>
      </c>
      <c r="CA36" s="39" t="e">
        <f t="shared" ref="CA36" si="341">+IF(BW34&lt;0,1-CA34/BW34,CA34/BW34-1)</f>
        <v>#DIV/0!</v>
      </c>
      <c r="CB36" s="39" t="e">
        <f t="shared" ref="CB36" si="342">+IF(BX34&lt;0,1-CB34/BX34,CB34/BX34-1)</f>
        <v>#DIV/0!</v>
      </c>
      <c r="CC36" s="39">
        <f t="shared" ref="CC36" si="343">+IF(BY34&lt;0,1-CC34/BY34,CC34/BY34-1)</f>
        <v>0.14974483596597676</v>
      </c>
      <c r="CD36" s="39">
        <f t="shared" ref="CD36" si="344">+IF(BZ34&lt;0,1-CD34/BZ34,CD34/BZ34-1)</f>
        <v>-1.1085469381028057E-2</v>
      </c>
      <c r="CE36" s="39">
        <f t="shared" ref="CE36" si="345">+IF(CA34&lt;0,1-CE34/CA34,CE34/CA34-1)</f>
        <v>-7.7377625169687381E-2</v>
      </c>
      <c r="CF36" s="39">
        <f t="shared" ref="CF36" si="346">+IF(CB34&lt;0,1-CF34/CB34,CF34/CB34-1)</f>
        <v>9.9164683372997997E-2</v>
      </c>
      <c r="CG36" s="39">
        <f t="shared" ref="CG36" si="347">+IF(CC34&lt;0,1-CG34/CC34,CG34/CC34-1)</f>
        <v>-1.0737233682785452E-2</v>
      </c>
      <c r="CH36" s="39">
        <f t="shared" ref="CH36:CL36" si="348">+IF(CD34&lt;0,1-CH34/CD34,CH34/CD34-1)</f>
        <v>-2.733675042713557E-2</v>
      </c>
      <c r="CI36" s="39">
        <f t="shared" si="348"/>
        <v>-0.13389302406093151</v>
      </c>
      <c r="CJ36" s="39">
        <f t="shared" si="348"/>
        <v>-0.117687017067165</v>
      </c>
      <c r="CK36" s="39">
        <f t="shared" si="348"/>
        <v>-0.17592513460387982</v>
      </c>
      <c r="CL36" s="39">
        <f t="shared" si="348"/>
        <v>8.02450623366604E-2</v>
      </c>
      <c r="CM36" s="40">
        <f t="shared" ref="CM36" si="349">+CM34/CI34-1</f>
        <v>0.11012013470213722</v>
      </c>
      <c r="CN36" s="40">
        <f t="shared" ref="CN36" si="350">+CN34/CJ34-1</f>
        <v>0.17034236431415661</v>
      </c>
      <c r="CO36" s="40">
        <f t="shared" ref="CO36" si="351">+CO34/CK34-1</f>
        <v>0.34445969457468184</v>
      </c>
      <c r="CP36" s="40">
        <f t="shared" ref="CP36" si="352">+CP34/CL34-1</f>
        <v>0.25653605015118197</v>
      </c>
      <c r="CQ36" s="40">
        <f t="shared" ref="CQ36" si="353">+CQ34/CM34-1</f>
        <v>0.25506468242710278</v>
      </c>
      <c r="CR36" s="40">
        <f t="shared" ref="CR36" si="354">+CR34/CN34-1</f>
        <v>0.2924132623973692</v>
      </c>
      <c r="CS36" s="40">
        <f t="shared" ref="CS36" si="355">+CS34/CO34-1</f>
        <v>0.32314611568826845</v>
      </c>
      <c r="CT36" s="40">
        <f t="shared" ref="CT36" si="356">+CT34/CP34-1</f>
        <v>0.32039128662641314</v>
      </c>
      <c r="CU36" s="40">
        <f t="shared" ref="CU36" si="357">+CU34/CQ34-1</f>
        <v>0.24725236972290809</v>
      </c>
      <c r="CV36" s="40">
        <f t="shared" ref="CV36" si="358">+CV34/CR34-1</f>
        <v>0.24576299741195129</v>
      </c>
      <c r="CW36" s="40">
        <f t="shared" ref="CW36" si="359">+CW34/CS34-1</f>
        <v>0.23522527271871363</v>
      </c>
      <c r="CX36" s="40">
        <f t="shared" ref="CX36" si="360">+CX34/CT34-1</f>
        <v>0.21533077160940306</v>
      </c>
      <c r="CY36" s="40">
        <f t="shared" ref="CY36" si="361">+CY34/CU34-1</f>
        <v>0.2356712268512986</v>
      </c>
      <c r="CZ36" s="40">
        <f t="shared" ref="CZ36" si="362">+CZ34/CV34-1</f>
        <v>0.2328660036198964</v>
      </c>
      <c r="DA36" s="40">
        <f t="shared" ref="DA36" si="363">+DA34/CW34-1</f>
        <v>0.2296993649462773</v>
      </c>
      <c r="DB36" s="40">
        <f t="shared" ref="DB36" si="364">+DB34/CX34-1</f>
        <v>0.2283224722810584</v>
      </c>
      <c r="DE36" s="122"/>
      <c r="DF36" s="38">
        <v>-6.7933758513104792E-2</v>
      </c>
    </row>
    <row r="37" spans="1:110" s="38" customFormat="1" x14ac:dyDescent="0.2">
      <c r="A37" s="39" t="s">
        <v>450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0"/>
      <c r="AD37" s="40"/>
      <c r="AE37" s="40"/>
      <c r="AI37" s="39"/>
      <c r="AJ37" s="39" t="e">
        <f>+IF(AI34&lt;0,1-AJ34/AI34,AJ34/AI34-1)</f>
        <v>#DIV/0!</v>
      </c>
      <c r="AK37" s="39" t="e">
        <f t="shared" ref="AK37:AM37" si="365">+IF(AJ34&lt;0,1-AK34/AJ34,AK34/AJ34-1)</f>
        <v>#DIV/0!</v>
      </c>
      <c r="AL37" s="39" t="e">
        <f t="shared" si="365"/>
        <v>#DIV/0!</v>
      </c>
      <c r="AM37" s="39" t="e">
        <f t="shared" si="365"/>
        <v>#DIV/0!</v>
      </c>
      <c r="AN37" s="39" t="e">
        <f t="shared" ref="AN37" si="366">+IF(AM34&lt;0,1-AN34/AM34,AN34/AM34-1)</f>
        <v>#DIV/0!</v>
      </c>
      <c r="AO37" s="39" t="e">
        <f t="shared" ref="AO37" si="367">+IF(AN34&lt;0,1-AO34/AN34,AO34/AN34-1)</f>
        <v>#DIV/0!</v>
      </c>
      <c r="AP37" s="39" t="e">
        <f t="shared" ref="AP37" si="368">+IF(AO34&lt;0,1-AP34/AO34,AP34/AO34-1)</f>
        <v>#DIV/0!</v>
      </c>
      <c r="AQ37" s="39" t="e">
        <f t="shared" ref="AQ37" si="369">+IF(AP34&lt;0,1-AQ34/AP34,AQ34/AP34-1)</f>
        <v>#DIV/0!</v>
      </c>
      <c r="AR37" s="39" t="e">
        <f t="shared" ref="AR37" si="370">+IF(AQ34&lt;0,1-AR34/AQ34,AR34/AQ34-1)</f>
        <v>#DIV/0!</v>
      </c>
      <c r="AS37" s="39" t="e">
        <f t="shared" ref="AS37" si="371">+IF(AR34&lt;0,1-AS34/AR34,AS34/AR34-1)</f>
        <v>#DIV/0!</v>
      </c>
      <c r="AT37" s="39" t="e">
        <f t="shared" ref="AT37" si="372">+IF(AS34&lt;0,1-AT34/AS34,AT34/AS34-1)</f>
        <v>#DIV/0!</v>
      </c>
      <c r="AU37" s="39" t="e">
        <f t="shared" ref="AU37" si="373">+IF(AT34&lt;0,1-AU34/AT34,AU34/AT34-1)</f>
        <v>#DIV/0!</v>
      </c>
      <c r="AV37" s="39" t="e">
        <f t="shared" ref="AV37" si="374">+IF(AU34&lt;0,1-AV34/AU34,AV34/AU34-1)</f>
        <v>#DIV/0!</v>
      </c>
      <c r="AW37" s="39" t="e">
        <f t="shared" ref="AW37" si="375">+IF(AV34&lt;0,1-AW34/AV34,AW34/AV34-1)</f>
        <v>#DIV/0!</v>
      </c>
      <c r="AX37" s="39" t="e">
        <f t="shared" ref="AX37" si="376">+IF(AW34&lt;0,1-AX34/AW34,AX34/AW34-1)</f>
        <v>#DIV/0!</v>
      </c>
      <c r="AY37" s="39" t="e">
        <f t="shared" ref="AY37" si="377">+IF(AX34&lt;0,1-AY34/AX34,AY34/AX34-1)</f>
        <v>#DIV/0!</v>
      </c>
      <c r="AZ37" s="39" t="e">
        <f t="shared" ref="AZ37" si="378">+IF(AY34&lt;0,1-AZ34/AY34,AZ34/AY34-1)</f>
        <v>#DIV/0!</v>
      </c>
      <c r="BA37" s="39" t="e">
        <f t="shared" ref="BA37" si="379">+IF(AZ34&lt;0,1-BA34/AZ34,BA34/AZ34-1)</f>
        <v>#DIV/0!</v>
      </c>
      <c r="BB37" s="39" t="e">
        <f t="shared" ref="BB37" si="380">+IF(BA34&lt;0,1-BB34/BA34,BB34/BA34-1)</f>
        <v>#DIV/0!</v>
      </c>
      <c r="BC37" s="39" t="e">
        <f t="shared" ref="BC37" si="381">+IF(BB34&lt;0,1-BC34/BB34,BC34/BB34-1)</f>
        <v>#DIV/0!</v>
      </c>
      <c r="BD37" s="39" t="e">
        <f t="shared" ref="BD37" si="382">+IF(BC34&lt;0,1-BD34/BC34,BD34/BC34-1)</f>
        <v>#DIV/0!</v>
      </c>
      <c r="BE37" s="39" t="e">
        <f t="shared" ref="BE37" si="383">+IF(BD34&lt;0,1-BE34/BD34,BE34/BD34-1)</f>
        <v>#DIV/0!</v>
      </c>
      <c r="BF37" s="39" t="e">
        <f t="shared" ref="BF37" si="384">+IF(BE34&lt;0,1-BF34/BE34,BF34/BE34-1)</f>
        <v>#DIV/0!</v>
      </c>
      <c r="BG37" s="39" t="e">
        <f t="shared" ref="BG37" si="385">+IF(BF34&lt;0,1-BG34/BF34,BG34/BF34-1)</f>
        <v>#DIV/0!</v>
      </c>
      <c r="BH37" s="39" t="e">
        <f t="shared" ref="BH37" si="386">+IF(BG34&lt;0,1-BH34/BG34,BH34/BG34-1)</f>
        <v>#DIV/0!</v>
      </c>
      <c r="BI37" s="39" t="e">
        <f t="shared" ref="BI37" si="387">+IF(BH34&lt;0,1-BI34/BH34,BI34/BH34-1)</f>
        <v>#DIV/0!</v>
      </c>
      <c r="BJ37" s="39" t="e">
        <f t="shared" ref="BJ37" si="388">+IF(BI34&lt;0,1-BJ34/BI34,BJ34/BI34-1)</f>
        <v>#DIV/0!</v>
      </c>
      <c r="BK37" s="39" t="e">
        <f t="shared" ref="BK37" si="389">+IF(BJ34&lt;0,1-BK34/BJ34,BK34/BJ34-1)</f>
        <v>#DIV/0!</v>
      </c>
      <c r="BL37" s="39" t="e">
        <f t="shared" ref="BL37" si="390">+IF(BK34&lt;0,1-BL34/BK34,BL34/BK34-1)</f>
        <v>#DIV/0!</v>
      </c>
      <c r="BM37" s="39" t="e">
        <f t="shared" ref="BM37" si="391">+IF(BL34&lt;0,1-BM34/BL34,BM34/BL34-1)</f>
        <v>#DIV/0!</v>
      </c>
      <c r="BN37" s="39" t="e">
        <f t="shared" ref="BN37" si="392">+IF(BM34&lt;0,1-BN34/BM34,BN34/BM34-1)</f>
        <v>#DIV/0!</v>
      </c>
      <c r="BO37" s="39" t="e">
        <f t="shared" ref="BO37" si="393">+IF(BN34&lt;0,1-BO34/BN34,BO34/BN34-1)</f>
        <v>#DIV/0!</v>
      </c>
      <c r="BP37" s="39" t="e">
        <f t="shared" ref="BP37" si="394">+IF(BO34&lt;0,1-BP34/BO34,BP34/BO34-1)</f>
        <v>#DIV/0!</v>
      </c>
      <c r="BQ37" s="39" t="e">
        <f t="shared" ref="BQ37" si="395">+IF(BP34&lt;0,1-BQ34/BP34,BQ34/BP34-1)</f>
        <v>#DIV/0!</v>
      </c>
      <c r="BR37" s="39" t="e">
        <f t="shared" ref="BR37" si="396">+IF(BQ34&lt;0,1-BR34/BQ34,BR34/BQ34-1)</f>
        <v>#DIV/0!</v>
      </c>
      <c r="BS37" s="39" t="e">
        <f t="shared" ref="BS37" si="397">+IF(BR34&lt;0,1-BS34/BR34,BS34/BR34-1)</f>
        <v>#DIV/0!</v>
      </c>
      <c r="BT37" s="39" t="e">
        <f t="shared" ref="BT37" si="398">+IF(BS34&lt;0,1-BT34/BS34,BT34/BS34-1)</f>
        <v>#DIV/0!</v>
      </c>
      <c r="BU37" s="39" t="e">
        <f t="shared" ref="BU37" si="399">+IF(BT34&lt;0,1-BU34/BT34,BU34/BT34-1)</f>
        <v>#DIV/0!</v>
      </c>
      <c r="BV37" s="39" t="e">
        <f t="shared" ref="BV37" si="400">+IF(BU34&lt;0,1-BV34/BU34,BV34/BU34-1)</f>
        <v>#DIV/0!</v>
      </c>
      <c r="BW37" s="39" t="e">
        <f t="shared" ref="BW37" si="401">+IF(BV34&lt;0,1-BW34/BV34,BW34/BV34-1)</f>
        <v>#DIV/0!</v>
      </c>
      <c r="BX37" s="39" t="e">
        <f t="shared" ref="BX37" si="402">+IF(BW34&lt;0,1-BX34/BW34,BX34/BW34-1)</f>
        <v>#DIV/0!</v>
      </c>
      <c r="BY37" s="39" t="e">
        <f t="shared" ref="BY37" si="403">+IF(BX34&lt;0,1-BY34/BX34,BY34/BX34-1)</f>
        <v>#DIV/0!</v>
      </c>
      <c r="BZ37" s="39">
        <f t="shared" ref="BZ37" si="404">+IF(BY34&lt;0,1-BZ34/BY34,BZ34/BY34-1)</f>
        <v>0.17939246658566255</v>
      </c>
      <c r="CA37" s="39">
        <f t="shared" ref="CA37" si="405">+IF(BZ34&lt;0,1-CA34/BZ34,CA34/BZ34-1)</f>
        <v>3.2143740212641658E-2</v>
      </c>
      <c r="CB37" s="39">
        <f t="shared" ref="CB37" si="406">+IF(CA34&lt;0,1-CB34/CA34,CB34/CA34-1)</f>
        <v>-0.1444142777289773</v>
      </c>
      <c r="CC37" s="39">
        <f t="shared" ref="CC37" si="407">+IF(CB34&lt;0,1-CC34/CB34,CC34/CB34-1)</f>
        <v>0.10392458817490136</v>
      </c>
      <c r="CD37" s="39">
        <f t="shared" ref="CD37" si="408">+IF(CC34&lt;0,1-CD34/CC34,CD34/CC34-1)</f>
        <v>1.441494758200923E-2</v>
      </c>
      <c r="CE37" s="39">
        <f t="shared" ref="CE37" si="409">+IF(CD34&lt;0,1-CE34/CD34,CE34/CD34-1)</f>
        <v>-3.7046297453848354E-2</v>
      </c>
      <c r="CF37" s="39">
        <f t="shared" ref="CF37" si="410">+IF(CE34&lt;0,1-CF34/CE34,CF34/CE34-1)</f>
        <v>1.9300675090877739E-2</v>
      </c>
      <c r="CG37" s="39">
        <f t="shared" ref="CG37" si="411">+IF(CF34&lt;0,1-CG34/CF34,CG34/CF34-1)</f>
        <v>-6.4532563471166871E-3</v>
      </c>
      <c r="CH37" s="39">
        <f t="shared" ref="CH37:CI37" si="412">+IF(CG34&lt;0,1-CH34/CG34,CH34/CG34-1)</f>
        <v>-2.6066148192458449E-3</v>
      </c>
      <c r="CI37" s="39">
        <f t="shared" si="412"/>
        <v>-0.1425388800822599</v>
      </c>
      <c r="CJ37" s="39">
        <f>+IF(CI34&gt;1,CJ34/CI34-1,1-CJ34/CI34)</f>
        <v>3.8373138802838325E-2</v>
      </c>
      <c r="CK37" s="39">
        <f>+IF(CJ34&gt;1,CK34/CJ34-1,1-CK34/CJ34)</f>
        <v>-7.2033490520641896E-2</v>
      </c>
      <c r="CL37" s="39">
        <f>+IF(CK34&gt;1,CL34/CK34-1,1-CL34/CK34)</f>
        <v>0.30744101633393783</v>
      </c>
      <c r="CM37" s="40">
        <f t="shared" ref="CM37" si="413">+CM34/CL34-1</f>
        <v>-0.11882508225872324</v>
      </c>
      <c r="CN37" s="40">
        <f t="shared" ref="CN37" si="414">+CN34/CM34-1</f>
        <v>9.4703209425975432E-2</v>
      </c>
      <c r="CO37" s="40">
        <f t="shared" ref="CO37" si="415">+CO34/CN34-1</f>
        <v>6.6024445454708536E-2</v>
      </c>
      <c r="CP37" s="40">
        <f t="shared" ref="CP37" si="416">+CP34/CO34-1</f>
        <v>0.22193828279069838</v>
      </c>
      <c r="CQ37" s="40">
        <f t="shared" ref="CQ37" si="417">+CQ34/CP34-1</f>
        <v>-0.11985691284812539</v>
      </c>
      <c r="CR37" s="40">
        <f t="shared" ref="CR37" si="418">+CR34/CQ34-1</f>
        <v>0.12727970602684113</v>
      </c>
      <c r="CS37" s="40">
        <f t="shared" ref="CS37" si="419">+CS34/CR34-1</f>
        <v>9.1373901267240099E-2</v>
      </c>
      <c r="CT37" s="40">
        <f t="shared" ref="CT37" si="420">+CT34/CS34-1</f>
        <v>0.21939417140850659</v>
      </c>
      <c r="CU37" s="40">
        <f t="shared" ref="CU37" si="421">+CU34/CT34-1</f>
        <v>-0.16860966725236504</v>
      </c>
      <c r="CV37" s="40">
        <f t="shared" ref="CV37" si="422">+CV34/CU34-1</f>
        <v>0.12593359579156216</v>
      </c>
      <c r="CW37" s="40">
        <f t="shared" ref="CW37" si="423">+CW34/CV34-1</f>
        <v>8.2142131072723945E-2</v>
      </c>
      <c r="CX37" s="40">
        <f t="shared" ref="CX37" si="424">+CX34/CW34-1</f>
        <v>0.19975464554098687</v>
      </c>
      <c r="CY37" s="40">
        <f t="shared" ref="CY37" si="425">+CY34/CX34-1</f>
        <v>-0.15469505384271398</v>
      </c>
      <c r="CZ37" s="40">
        <f t="shared" ref="CZ37" si="426">+CZ34/CY34-1</f>
        <v>0.12337749914441543</v>
      </c>
      <c r="DA37" s="40">
        <f t="shared" ref="DA37" si="427">+DA34/CZ34-1</f>
        <v>7.9362629397321971E-2</v>
      </c>
      <c r="DB37" s="40">
        <f t="shared" ref="DB37" si="428">+DB34/DA34-1</f>
        <v>0.19841128193635504</v>
      </c>
      <c r="DE37" s="122"/>
      <c r="DF37" s="38">
        <v>0.12809738877602417</v>
      </c>
    </row>
    <row r="38" spans="1:110" s="23" customFormat="1" x14ac:dyDescent="0.2">
      <c r="A38" s="23" t="s">
        <v>15</v>
      </c>
      <c r="B38" s="23">
        <f>'Annual Raw'!C27</f>
        <v>0</v>
      </c>
      <c r="C38" s="23">
        <f>'Annual Raw'!D27</f>
        <v>0</v>
      </c>
      <c r="D38" s="23">
        <f>'Annual Raw'!E27</f>
        <v>0</v>
      </c>
      <c r="E38" s="23">
        <f>'Annual Raw'!F27</f>
        <v>6.5950357000000004</v>
      </c>
      <c r="F38" s="23">
        <f>'Annual Raw'!G27</f>
        <v>7.3184203999999999</v>
      </c>
      <c r="G38" s="23">
        <f>'Annual Raw'!H27</f>
        <v>11.6248</v>
      </c>
      <c r="H38" s="23">
        <f>'Annual Raw'!I27</f>
        <v>14.649699999999999</v>
      </c>
      <c r="I38" s="23">
        <f>'Annual Raw'!J27</f>
        <v>14.4755</v>
      </c>
      <c r="J38" s="23">
        <f>'Annual Raw'!K27</f>
        <v>14.7905</v>
      </c>
      <c r="K38" s="23">
        <f>'Annual Raw'!L27</f>
        <v>14.6762</v>
      </c>
      <c r="L38" s="23">
        <f>'Annual Raw'!M27</f>
        <v>18.872599999999998</v>
      </c>
      <c r="M38" s="23">
        <f>'Annual Raw'!N27</f>
        <v>26.19</v>
      </c>
      <c r="N38" s="23">
        <f>'Annual Raw'!O27</f>
        <v>33.090000000000003</v>
      </c>
      <c r="O38" s="23">
        <f>'Annual Raw'!P27</f>
        <v>48.11</v>
      </c>
      <c r="P38" s="23">
        <f>'Annual Raw'!Q27</f>
        <v>51.22</v>
      </c>
      <c r="Q38" s="23">
        <f>'Annual Raw'!R27</f>
        <v>58.53</v>
      </c>
      <c r="R38" s="23">
        <f>'Annual Raw'!S27</f>
        <v>62.84</v>
      </c>
      <c r="S38" s="23">
        <f>'Annual Raw'!T27</f>
        <v>71.430000000000007</v>
      </c>
      <c r="T38" s="23">
        <f>'Annual Raw'!U27</f>
        <v>68.64</v>
      </c>
      <c r="U38" s="23">
        <f>'Annual Raw'!V27</f>
        <v>99.153000000000006</v>
      </c>
      <c r="V38" s="23">
        <f>'Annual Raw'!W27</f>
        <v>92.2</v>
      </c>
      <c r="W38" s="23">
        <f>'Annual Raw'!X27</f>
        <v>85.71</v>
      </c>
      <c r="X38" s="23">
        <f>'Annual Raw'!Y27</f>
        <v>94.55</v>
      </c>
      <c r="Y38" s="23">
        <f>'Annual Raw'!Z27</f>
        <v>105.87</v>
      </c>
      <c r="Z38" s="23">
        <f>'Annual Raw'!AA27</f>
        <v>121.21</v>
      </c>
      <c r="AA38" s="23">
        <f>'Annual Raw'!AB27</f>
        <v>144.94999999999999</v>
      </c>
      <c r="AB38" s="76">
        <f>+SUM(CM38:CP38)</f>
        <v>502.91729880405364</v>
      </c>
      <c r="AC38" s="76">
        <f>+SUM(CQ38:CT38)</f>
        <v>173.36829373776834</v>
      </c>
      <c r="AD38" s="76">
        <f>+SUM(CU38:CX38)</f>
        <v>73.811173421039527</v>
      </c>
      <c r="AE38" s="76">
        <f>+SUM(CY38:DB38)</f>
        <v>10.287277165503996</v>
      </c>
      <c r="AI38" s="23">
        <f>'QTR Raw'!C28</f>
        <v>0</v>
      </c>
      <c r="AJ38" s="23">
        <f>'QTR Raw'!D28</f>
        <v>0</v>
      </c>
      <c r="AK38" s="23">
        <f>'QTR Raw'!E28</f>
        <v>0</v>
      </c>
      <c r="AL38" s="23">
        <f>'QTR Raw'!F28</f>
        <v>0</v>
      </c>
      <c r="AM38" s="23">
        <f>'QTR Raw'!G28</f>
        <v>0</v>
      </c>
      <c r="AN38" s="23">
        <f>'QTR Raw'!H28</f>
        <v>0</v>
      </c>
      <c r="AO38" s="23">
        <f>'QTR Raw'!I28</f>
        <v>0</v>
      </c>
      <c r="AP38" s="23">
        <f>'QTR Raw'!J28</f>
        <v>0</v>
      </c>
      <c r="AQ38" s="23">
        <f>'QTR Raw'!K28</f>
        <v>0</v>
      </c>
      <c r="AR38" s="23">
        <f>'QTR Raw'!L28</f>
        <v>0</v>
      </c>
      <c r="AS38" s="23">
        <f>'QTR Raw'!M28</f>
        <v>0</v>
      </c>
      <c r="AT38" s="23">
        <f>'QTR Raw'!N28</f>
        <v>0</v>
      </c>
      <c r="AU38" s="23">
        <f>'QTR Raw'!O28</f>
        <v>0</v>
      </c>
      <c r="AV38" s="23">
        <f>'QTR Raw'!P28</f>
        <v>0</v>
      </c>
      <c r="AW38" s="23">
        <f>'QTR Raw'!Q28</f>
        <v>0</v>
      </c>
      <c r="AX38" s="23">
        <f>'QTR Raw'!R28</f>
        <v>0</v>
      </c>
      <c r="AY38" s="23">
        <f>'QTR Raw'!S28</f>
        <v>0</v>
      </c>
      <c r="AZ38" s="23">
        <f>'QTR Raw'!T28</f>
        <v>0</v>
      </c>
      <c r="BA38" s="23">
        <f>'QTR Raw'!U28</f>
        <v>0</v>
      </c>
      <c r="BB38" s="23">
        <f>'QTR Raw'!V28</f>
        <v>0</v>
      </c>
      <c r="BC38" s="23">
        <f>'QTR Raw'!W28</f>
        <v>0</v>
      </c>
      <c r="BD38" s="23">
        <f>'QTR Raw'!X28</f>
        <v>0</v>
      </c>
      <c r="BE38" s="23">
        <f>'QTR Raw'!Y28</f>
        <v>0</v>
      </c>
      <c r="BF38" s="23">
        <f>'QTR Raw'!Z28</f>
        <v>0</v>
      </c>
      <c r="BG38" s="23">
        <f>'QTR Raw'!AA28</f>
        <v>0</v>
      </c>
      <c r="BH38" s="23">
        <f>'QTR Raw'!AB28</f>
        <v>0</v>
      </c>
      <c r="BI38" s="23">
        <f>'QTR Raw'!AC28</f>
        <v>0</v>
      </c>
      <c r="BJ38" s="23">
        <f>'QTR Raw'!AD28</f>
        <v>0</v>
      </c>
      <c r="BK38" s="23">
        <f>'QTR Raw'!AE28</f>
        <v>0</v>
      </c>
      <c r="BL38" s="23">
        <f>'QTR Raw'!AF28</f>
        <v>0</v>
      </c>
      <c r="BM38" s="23">
        <f>'QTR Raw'!AG28</f>
        <v>0</v>
      </c>
      <c r="BN38" s="23">
        <f>'QTR Raw'!AH28</f>
        <v>0</v>
      </c>
      <c r="BO38" s="23">
        <f>'QTR Raw'!AI28</f>
        <v>0</v>
      </c>
      <c r="BP38" s="23">
        <f>'QTR Raw'!AJ28</f>
        <v>0</v>
      </c>
      <c r="BQ38" s="23">
        <f>'QTR Raw'!AK28</f>
        <v>0</v>
      </c>
      <c r="BR38" s="23">
        <f>'QTR Raw'!AL28</f>
        <v>0</v>
      </c>
      <c r="BS38" s="23">
        <f>'QTR Raw'!AM28</f>
        <v>0</v>
      </c>
      <c r="BT38" s="23">
        <f>'QTR Raw'!AN28</f>
        <v>0</v>
      </c>
      <c r="BU38" s="23">
        <f>'QTR Raw'!AO28</f>
        <v>0</v>
      </c>
      <c r="BV38" s="23">
        <f>'QTR Raw'!AP28</f>
        <v>0</v>
      </c>
      <c r="BW38" s="23">
        <f>'QTR Raw'!AQ28</f>
        <v>0</v>
      </c>
      <c r="BX38" s="23">
        <f>'QTR Raw'!AR28</f>
        <v>0</v>
      </c>
      <c r="BY38" s="23">
        <f>'QTR Raw'!AS28</f>
        <v>23.92</v>
      </c>
      <c r="BZ38" s="23">
        <f>'QTR Raw'!AT28</f>
        <v>25.02</v>
      </c>
      <c r="CA38" s="23">
        <f>'QTR Raw'!AU28</f>
        <v>23.57</v>
      </c>
      <c r="CB38" s="23">
        <f>'QTR Raw'!AV28</f>
        <v>26.17</v>
      </c>
      <c r="CC38" s="23">
        <f>'QTR Raw'!AW28</f>
        <v>27.17</v>
      </c>
      <c r="CD38" s="23">
        <f>'QTR Raw'!AX28</f>
        <v>28.96</v>
      </c>
      <c r="CE38" s="23">
        <f>'QTR Raw'!AY28</f>
        <v>29.71</v>
      </c>
      <c r="CF38" s="23">
        <f>'QTR Raw'!AZ28</f>
        <v>29.9</v>
      </c>
      <c r="CG38" s="23">
        <f>'QTR Raw'!BA28</f>
        <v>30.45</v>
      </c>
      <c r="CH38" s="23">
        <f>'QTR Raw'!BB28</f>
        <v>31.15</v>
      </c>
      <c r="CI38" s="23">
        <f>'QTR Raw'!BC28</f>
        <v>31.33</v>
      </c>
      <c r="CJ38" s="23">
        <f>'QTR Raw'!BD28</f>
        <v>30.89</v>
      </c>
      <c r="CK38" s="23">
        <f>'QTR Raw'!BE28</f>
        <v>36</v>
      </c>
      <c r="CL38" s="23">
        <f>'QTR Raw'!BF28</f>
        <v>46.73</v>
      </c>
      <c r="CM38" s="24">
        <f t="shared" ref="CM38:DB38" si="429">CM39*CL140</f>
        <v>203.07497294597519</v>
      </c>
      <c r="CN38" s="24">
        <f t="shared" si="429"/>
        <v>135.74962968646119</v>
      </c>
      <c r="CO38" s="24">
        <f t="shared" si="429"/>
        <v>94.61352550558766</v>
      </c>
      <c r="CP38" s="24">
        <f t="shared" si="429"/>
        <v>69.479170666029603</v>
      </c>
      <c r="CQ38" s="24">
        <f t="shared" si="429"/>
        <v>54.121960600071354</v>
      </c>
      <c r="CR38" s="24">
        <f t="shared" si="429"/>
        <v>44.738632381963178</v>
      </c>
      <c r="CS38" s="24">
        <f t="shared" si="429"/>
        <v>39.005374318122811</v>
      </c>
      <c r="CT38" s="24">
        <f t="shared" si="429"/>
        <v>35.502326437611003</v>
      </c>
      <c r="CU38" s="24">
        <f t="shared" si="429"/>
        <v>33.361947561147517</v>
      </c>
      <c r="CV38" s="24">
        <f t="shared" si="429"/>
        <v>20.384308257622845</v>
      </c>
      <c r="CW38" s="24">
        <f t="shared" si="429"/>
        <v>12.454909066091009</v>
      </c>
      <c r="CX38" s="24">
        <f t="shared" si="429"/>
        <v>7.6100085361781522</v>
      </c>
      <c r="CY38" s="24">
        <f t="shared" si="429"/>
        <v>4.649751324027938</v>
      </c>
      <c r="CZ38" s="24">
        <f t="shared" si="429"/>
        <v>2.8410201213989308</v>
      </c>
      <c r="DA38" s="24">
        <f t="shared" si="429"/>
        <v>1.735876774416713</v>
      </c>
      <c r="DB38" s="24">
        <f t="shared" si="429"/>
        <v>1.0606289456604141</v>
      </c>
      <c r="DE38" s="123"/>
      <c r="DF38" s="23">
        <v>34.287481170221199</v>
      </c>
    </row>
    <row r="39" spans="1:110" s="46" customFormat="1" x14ac:dyDescent="0.2">
      <c r="A39" s="46" t="s">
        <v>483</v>
      </c>
      <c r="B39" s="46" t="e">
        <f t="shared" ref="B39:D39" si="430">+B38/B140</f>
        <v>#DIV/0!</v>
      </c>
      <c r="C39" s="46" t="e">
        <f t="shared" si="430"/>
        <v>#DIV/0!</v>
      </c>
      <c r="D39" s="46" t="e">
        <f t="shared" si="430"/>
        <v>#DIV/0!</v>
      </c>
      <c r="E39" s="46">
        <f t="shared" ref="E39:AE39" si="431">+E38/E140</f>
        <v>0.21503649712052858</v>
      </c>
      <c r="F39" s="46">
        <f t="shared" si="431"/>
        <v>0.20365653571263823</v>
      </c>
      <c r="G39" s="46">
        <f t="shared" si="431"/>
        <v>0.21617359642809988</v>
      </c>
      <c r="H39" s="46">
        <f t="shared" si="431"/>
        <v>0.26133624941800204</v>
      </c>
      <c r="I39" s="46">
        <f t="shared" si="431"/>
        <v>0.2460321776877343</v>
      </c>
      <c r="J39" s="46">
        <f t="shared" si="431"/>
        <v>0.24869017513653113</v>
      </c>
      <c r="K39" s="46">
        <f t="shared" si="431"/>
        <v>0.19827049314317127</v>
      </c>
      <c r="L39" s="46">
        <f t="shared" si="431"/>
        <v>0.23962285232530389</v>
      </c>
      <c r="M39" s="46">
        <f t="shared" si="431"/>
        <v>0.24531659797677036</v>
      </c>
      <c r="N39" s="46">
        <f t="shared" si="431"/>
        <v>0.30368942731277548</v>
      </c>
      <c r="O39" s="46">
        <f t="shared" si="431"/>
        <v>0.36694378765921765</v>
      </c>
      <c r="P39" s="46">
        <f t="shared" si="431"/>
        <v>0.37485362997658073</v>
      </c>
      <c r="Q39" s="46">
        <f t="shared" si="431"/>
        <v>0.36656854762948565</v>
      </c>
      <c r="R39" s="46">
        <f t="shared" si="431"/>
        <v>0.34306927990391434</v>
      </c>
      <c r="S39" s="46">
        <f t="shared" si="431"/>
        <v>0.41051724137931056</v>
      </c>
      <c r="T39" s="46">
        <f t="shared" si="431"/>
        <v>0.49735526411129599</v>
      </c>
      <c r="U39" s="46">
        <f t="shared" si="431"/>
        <v>0.24618749906891058</v>
      </c>
      <c r="V39" s="46">
        <f t="shared" si="431"/>
        <v>0.26502020707218787</v>
      </c>
      <c r="W39" s="46">
        <f t="shared" si="431"/>
        <v>0.26324841977234881</v>
      </c>
      <c r="X39" s="46">
        <f t="shared" si="431"/>
        <v>0.29348770797119433</v>
      </c>
      <c r="Y39" s="46">
        <f t="shared" si="431"/>
        <v>0.29383846794338059</v>
      </c>
      <c r="Z39" s="46">
        <f t="shared" si="431"/>
        <v>0.39547782961923716</v>
      </c>
      <c r="AA39" s="46">
        <f t="shared" ref="AA39" si="432">+AA38/AA140</f>
        <v>0.40305313794733472</v>
      </c>
      <c r="AB39" s="110">
        <f t="shared" si="431"/>
        <v>3.6146592029128688</v>
      </c>
      <c r="AC39" s="110">
        <f t="shared" si="431"/>
        <v>2.0214480444269336</v>
      </c>
      <c r="AD39" s="110">
        <f t="shared" si="431"/>
        <v>6.174996088231036</v>
      </c>
      <c r="AE39" s="110">
        <f t="shared" si="431"/>
        <v>6.1749960882313566</v>
      </c>
      <c r="AI39" s="46" t="e">
        <f t="shared" ref="AI39:BN39" si="433">+AI38/AH140</f>
        <v>#DIV/0!</v>
      </c>
      <c r="AJ39" s="46" t="e">
        <f t="shared" si="433"/>
        <v>#DIV/0!</v>
      </c>
      <c r="AK39" s="46" t="e">
        <f t="shared" si="433"/>
        <v>#DIV/0!</v>
      </c>
      <c r="AL39" s="46" t="e">
        <f t="shared" si="433"/>
        <v>#DIV/0!</v>
      </c>
      <c r="AM39" s="46" t="e">
        <f t="shared" si="433"/>
        <v>#DIV/0!</v>
      </c>
      <c r="AN39" s="46" t="e">
        <f t="shared" si="433"/>
        <v>#DIV/0!</v>
      </c>
      <c r="AO39" s="46" t="e">
        <f t="shared" si="433"/>
        <v>#DIV/0!</v>
      </c>
      <c r="AP39" s="46" t="e">
        <f t="shared" si="433"/>
        <v>#DIV/0!</v>
      </c>
      <c r="AQ39" s="46" t="e">
        <f t="shared" si="433"/>
        <v>#DIV/0!</v>
      </c>
      <c r="AR39" s="46" t="e">
        <f t="shared" si="433"/>
        <v>#DIV/0!</v>
      </c>
      <c r="AS39" s="46" t="e">
        <f t="shared" si="433"/>
        <v>#DIV/0!</v>
      </c>
      <c r="AT39" s="46" t="e">
        <f t="shared" si="433"/>
        <v>#DIV/0!</v>
      </c>
      <c r="AU39" s="46" t="e">
        <f t="shared" si="433"/>
        <v>#DIV/0!</v>
      </c>
      <c r="AV39" s="46" t="e">
        <f t="shared" si="433"/>
        <v>#DIV/0!</v>
      </c>
      <c r="AW39" s="46" t="e">
        <f t="shared" si="433"/>
        <v>#DIV/0!</v>
      </c>
      <c r="AX39" s="46" t="e">
        <f t="shared" si="433"/>
        <v>#DIV/0!</v>
      </c>
      <c r="AY39" s="46" t="e">
        <f t="shared" si="433"/>
        <v>#DIV/0!</v>
      </c>
      <c r="AZ39" s="46" t="e">
        <f t="shared" si="433"/>
        <v>#DIV/0!</v>
      </c>
      <c r="BA39" s="46" t="e">
        <f t="shared" si="433"/>
        <v>#DIV/0!</v>
      </c>
      <c r="BB39" s="46" t="e">
        <f t="shared" si="433"/>
        <v>#DIV/0!</v>
      </c>
      <c r="BC39" s="46" t="e">
        <f t="shared" si="433"/>
        <v>#DIV/0!</v>
      </c>
      <c r="BD39" s="46" t="e">
        <f t="shared" si="433"/>
        <v>#DIV/0!</v>
      </c>
      <c r="BE39" s="46" t="e">
        <f t="shared" si="433"/>
        <v>#DIV/0!</v>
      </c>
      <c r="BF39" s="46" t="e">
        <f t="shared" si="433"/>
        <v>#DIV/0!</v>
      </c>
      <c r="BG39" s="46" t="e">
        <f t="shared" si="433"/>
        <v>#DIV/0!</v>
      </c>
      <c r="BH39" s="46" t="e">
        <f t="shared" si="433"/>
        <v>#DIV/0!</v>
      </c>
      <c r="BI39" s="46" t="e">
        <f t="shared" si="433"/>
        <v>#DIV/0!</v>
      </c>
      <c r="BJ39" s="46" t="e">
        <f t="shared" si="433"/>
        <v>#DIV/0!</v>
      </c>
      <c r="BK39" s="46" t="e">
        <f t="shared" si="433"/>
        <v>#DIV/0!</v>
      </c>
      <c r="BL39" s="46" t="e">
        <f t="shared" si="433"/>
        <v>#DIV/0!</v>
      </c>
      <c r="BM39" s="46" t="e">
        <f t="shared" si="433"/>
        <v>#DIV/0!</v>
      </c>
      <c r="BN39" s="46" t="e">
        <f t="shared" si="433"/>
        <v>#DIV/0!</v>
      </c>
      <c r="BO39" s="46" t="e">
        <f t="shared" ref="BO39:CL39" si="434">+BO38/BN140</f>
        <v>#DIV/0!</v>
      </c>
      <c r="BP39" s="46" t="e">
        <f t="shared" si="434"/>
        <v>#DIV/0!</v>
      </c>
      <c r="BQ39" s="46" t="e">
        <f t="shared" si="434"/>
        <v>#DIV/0!</v>
      </c>
      <c r="BR39" s="46" t="e">
        <f t="shared" si="434"/>
        <v>#DIV/0!</v>
      </c>
      <c r="BS39" s="46" t="e">
        <f t="shared" si="434"/>
        <v>#DIV/0!</v>
      </c>
      <c r="BT39" s="46" t="e">
        <f t="shared" si="434"/>
        <v>#DIV/0!</v>
      </c>
      <c r="BU39" s="46" t="e">
        <f t="shared" si="434"/>
        <v>#DIV/0!</v>
      </c>
      <c r="BV39" s="46" t="e">
        <f t="shared" si="434"/>
        <v>#DIV/0!</v>
      </c>
      <c r="BW39" s="46" t="e">
        <f t="shared" si="434"/>
        <v>#DIV/0!</v>
      </c>
      <c r="BX39" s="46" t="e">
        <f t="shared" si="434"/>
        <v>#DIV/0!</v>
      </c>
      <c r="BY39" s="46" t="e">
        <f t="shared" si="434"/>
        <v>#DIV/0!</v>
      </c>
      <c r="BZ39" s="46" t="e">
        <f t="shared" si="434"/>
        <v>#DIV/0!</v>
      </c>
      <c r="CA39" s="46">
        <f t="shared" si="434"/>
        <v>0.15485184941856645</v>
      </c>
      <c r="CB39" s="46">
        <f t="shared" si="434"/>
        <v>0.17193351290979567</v>
      </c>
      <c r="CC39" s="46" t="e">
        <f t="shared" si="434"/>
        <v>#DIV/0!</v>
      </c>
      <c r="CD39" s="46" t="e">
        <f t="shared" si="434"/>
        <v>#DIV/0!</v>
      </c>
      <c r="CE39" s="46">
        <f t="shared" si="434"/>
        <v>0.15886850970536337</v>
      </c>
      <c r="CF39" s="46">
        <f t="shared" si="434"/>
        <v>0.15988449815517886</v>
      </c>
      <c r="CG39" s="46">
        <f t="shared" si="434"/>
        <v>0.18397679898495559</v>
      </c>
      <c r="CH39" s="46">
        <f t="shared" si="434"/>
        <v>0.18820615068575916</v>
      </c>
      <c r="CI39" s="46">
        <f t="shared" si="434"/>
        <v>0.10222193220007177</v>
      </c>
      <c r="CJ39" s="46">
        <f t="shared" si="434"/>
        <v>0.11226195667974997</v>
      </c>
      <c r="CK39" s="46">
        <f t="shared" si="434"/>
        <v>0.28541980496313329</v>
      </c>
      <c r="CL39" s="46">
        <f t="shared" si="434"/>
        <v>0.38899525514026473</v>
      </c>
      <c r="CM39" s="47">
        <f t="shared" ref="CM39" si="435">CL39</f>
        <v>0.38899525514026473</v>
      </c>
      <c r="CN39" s="47">
        <f t="shared" ref="CN39" si="436">CM39</f>
        <v>0.38899525514026473</v>
      </c>
      <c r="CO39" s="47">
        <f t="shared" ref="CO39" si="437">CN39</f>
        <v>0.38899525514026473</v>
      </c>
      <c r="CP39" s="47">
        <f t="shared" ref="CP39" si="438">CO39</f>
        <v>0.38899525514026473</v>
      </c>
      <c r="CQ39" s="47">
        <f t="shared" ref="CQ39" si="439">CP39</f>
        <v>0.38899525514026473</v>
      </c>
      <c r="CR39" s="47">
        <f t="shared" ref="CR39" si="440">CQ39</f>
        <v>0.38899525514026473</v>
      </c>
      <c r="CS39" s="47">
        <f t="shared" ref="CS39" si="441">CR39</f>
        <v>0.38899525514026473</v>
      </c>
      <c r="CT39" s="47">
        <f t="shared" ref="CT39" si="442">CS39</f>
        <v>0.38899525514026473</v>
      </c>
      <c r="CU39" s="47">
        <f t="shared" ref="CU39" si="443">CT39</f>
        <v>0.38899525514026473</v>
      </c>
      <c r="CV39" s="47">
        <f t="shared" ref="CV39" si="444">CU39</f>
        <v>0.38899525514026473</v>
      </c>
      <c r="CW39" s="47">
        <f t="shared" ref="CW39" si="445">CV39</f>
        <v>0.38899525514026473</v>
      </c>
      <c r="CX39" s="47">
        <f t="shared" ref="CX39" si="446">CW39</f>
        <v>0.38899525514026473</v>
      </c>
      <c r="CY39" s="47">
        <f t="shared" ref="CY39" si="447">CX39</f>
        <v>0.38899525514026473</v>
      </c>
      <c r="CZ39" s="47">
        <f t="shared" ref="CZ39" si="448">CY39</f>
        <v>0.38899525514026473</v>
      </c>
      <c r="DA39" s="47">
        <f t="shared" ref="DA39" si="449">CZ39</f>
        <v>0.38899525514026473</v>
      </c>
      <c r="DB39" s="47">
        <f t="shared" ref="DB39" si="450">DA39</f>
        <v>0.38899525514026473</v>
      </c>
      <c r="DE39" s="130"/>
      <c r="DF39" s="46">
        <v>0.28541980496313329</v>
      </c>
    </row>
    <row r="40" spans="1:110" s="26" customFormat="1" x14ac:dyDescent="0.2">
      <c r="A40" s="34" t="s">
        <v>16</v>
      </c>
      <c r="B40" s="26">
        <f>B34-B38</f>
        <v>0</v>
      </c>
      <c r="C40" s="26">
        <f t="shared" ref="C40:T40" si="451">C34-C38</f>
        <v>0</v>
      </c>
      <c r="D40" s="26">
        <f>D34-D38</f>
        <v>0</v>
      </c>
      <c r="E40" s="26">
        <f t="shared" si="451"/>
        <v>7.8254233000000077</v>
      </c>
      <c r="F40" s="26">
        <f t="shared" si="451"/>
        <v>11.374609199999988</v>
      </c>
      <c r="G40" s="26">
        <f t="shared" si="451"/>
        <v>23.652900000000152</v>
      </c>
      <c r="H40" s="26">
        <f t="shared" si="451"/>
        <v>10.908000000000069</v>
      </c>
      <c r="I40" s="26">
        <f t="shared" si="451"/>
        <v>45.753800000000084</v>
      </c>
      <c r="J40" s="26">
        <f t="shared" si="451"/>
        <v>66.351800000000097</v>
      </c>
      <c r="K40" s="26">
        <f t="shared" si="451"/>
        <v>111.71329999999978</v>
      </c>
      <c r="L40" s="26">
        <f t="shared" si="451"/>
        <v>168.55350000000001</v>
      </c>
      <c r="M40" s="26">
        <f t="shared" si="451"/>
        <v>254.72000000000008</v>
      </c>
      <c r="N40" s="26">
        <f t="shared" si="451"/>
        <v>349.63</v>
      </c>
      <c r="O40" s="26">
        <f t="shared" si="451"/>
        <v>294.94999999999993</v>
      </c>
      <c r="P40" s="26">
        <f t="shared" si="451"/>
        <v>388.71999999999957</v>
      </c>
      <c r="Q40" s="26">
        <f t="shared" si="451"/>
        <v>441.20000000000005</v>
      </c>
      <c r="R40" s="26">
        <f t="shared" si="451"/>
        <v>426.8499999999998</v>
      </c>
      <c r="S40" s="26">
        <f t="shared" si="451"/>
        <v>261.28000000000003</v>
      </c>
      <c r="T40" s="26">
        <f t="shared" si="451"/>
        <v>434.23000000000081</v>
      </c>
      <c r="U40" s="26">
        <f t="shared" ref="U40:Z40" si="452">U34-U38</f>
        <v>371.30599999999959</v>
      </c>
      <c r="V40" s="26">
        <f t="shared" si="452"/>
        <v>286.4980000000001</v>
      </c>
      <c r="W40" s="26">
        <f t="shared" si="452"/>
        <v>552.77000000000044</v>
      </c>
      <c r="X40" s="26">
        <f t="shared" si="452"/>
        <v>712.16999999999985</v>
      </c>
      <c r="Y40" s="26">
        <f t="shared" si="452"/>
        <v>835.38000000000045</v>
      </c>
      <c r="Z40" s="26">
        <f t="shared" si="452"/>
        <v>810.55000000000018</v>
      </c>
      <c r="AA40" s="26">
        <f t="shared" ref="AA40" si="453">AA34-AA38</f>
        <v>693.36999999999875</v>
      </c>
      <c r="AB40" s="27">
        <f t="shared" ref="AA40:AD40" si="454">AB34-AB38</f>
        <v>538.58474689084778</v>
      </c>
      <c r="AC40" s="27">
        <f t="shared" si="454"/>
        <v>1181.2171428403813</v>
      </c>
      <c r="AD40" s="27">
        <f t="shared" si="454"/>
        <v>1597.7507133978763</v>
      </c>
      <c r="AE40" s="27">
        <f t="shared" ref="AE40" si="455">AE34-AE38</f>
        <v>2047.8483161039328</v>
      </c>
      <c r="AI40" s="26">
        <f t="shared" ref="AI40" si="456">AI34-AI38</f>
        <v>0</v>
      </c>
      <c r="AJ40" s="26">
        <f t="shared" ref="AJ40" si="457">AJ34-AJ38</f>
        <v>0</v>
      </c>
      <c r="AK40" s="26">
        <f t="shared" ref="AK40:AM40" si="458">AK34-AK38</f>
        <v>0</v>
      </c>
      <c r="AL40" s="26">
        <f t="shared" si="458"/>
        <v>0</v>
      </c>
      <c r="AM40" s="26">
        <f t="shared" si="458"/>
        <v>0</v>
      </c>
      <c r="AN40" s="26">
        <f t="shared" ref="AN40:AO40" si="459">AN34-AN38</f>
        <v>0</v>
      </c>
      <c r="AO40" s="26">
        <f t="shared" si="459"/>
        <v>0</v>
      </c>
      <c r="AP40" s="26">
        <f t="shared" ref="AP40:CD40" si="460">AP34-AP38</f>
        <v>0</v>
      </c>
      <c r="AQ40" s="26">
        <f t="shared" si="460"/>
        <v>0</v>
      </c>
      <c r="AR40" s="26">
        <f t="shared" si="460"/>
        <v>0</v>
      </c>
      <c r="AS40" s="26">
        <f t="shared" si="460"/>
        <v>0</v>
      </c>
      <c r="AT40" s="26">
        <f t="shared" si="460"/>
        <v>0</v>
      </c>
      <c r="AU40" s="26">
        <f t="shared" si="460"/>
        <v>0</v>
      </c>
      <c r="AV40" s="26">
        <f t="shared" si="460"/>
        <v>0</v>
      </c>
      <c r="AW40" s="26">
        <f t="shared" si="460"/>
        <v>0</v>
      </c>
      <c r="AX40" s="26">
        <f t="shared" si="460"/>
        <v>0</v>
      </c>
      <c r="AY40" s="26">
        <f t="shared" si="460"/>
        <v>0</v>
      </c>
      <c r="AZ40" s="26">
        <f t="shared" si="460"/>
        <v>0</v>
      </c>
      <c r="BA40" s="26">
        <f t="shared" si="460"/>
        <v>0</v>
      </c>
      <c r="BB40" s="26">
        <f t="shared" si="460"/>
        <v>0</v>
      </c>
      <c r="BC40" s="26">
        <f t="shared" si="460"/>
        <v>0</v>
      </c>
      <c r="BD40" s="26">
        <f t="shared" si="460"/>
        <v>0</v>
      </c>
      <c r="BE40" s="26">
        <f t="shared" si="460"/>
        <v>0</v>
      </c>
      <c r="BF40" s="26">
        <f t="shared" si="460"/>
        <v>0</v>
      </c>
      <c r="BG40" s="26">
        <f t="shared" si="460"/>
        <v>0</v>
      </c>
      <c r="BH40" s="26">
        <f t="shared" si="460"/>
        <v>0</v>
      </c>
      <c r="BI40" s="26">
        <f t="shared" si="460"/>
        <v>0</v>
      </c>
      <c r="BJ40" s="26">
        <f t="shared" si="460"/>
        <v>0</v>
      </c>
      <c r="BK40" s="26">
        <f t="shared" si="460"/>
        <v>0</v>
      </c>
      <c r="BL40" s="26">
        <f t="shared" si="460"/>
        <v>0</v>
      </c>
      <c r="BM40" s="26">
        <f t="shared" si="460"/>
        <v>0</v>
      </c>
      <c r="BN40" s="26">
        <f t="shared" si="460"/>
        <v>0</v>
      </c>
      <c r="BO40" s="26">
        <f t="shared" si="460"/>
        <v>0</v>
      </c>
      <c r="BP40" s="26">
        <f t="shared" si="460"/>
        <v>0</v>
      </c>
      <c r="BQ40" s="26">
        <f t="shared" si="460"/>
        <v>0</v>
      </c>
      <c r="BR40" s="26">
        <f t="shared" si="460"/>
        <v>0</v>
      </c>
      <c r="BS40" s="26">
        <f t="shared" si="460"/>
        <v>0</v>
      </c>
      <c r="BT40" s="26">
        <f t="shared" si="460"/>
        <v>0</v>
      </c>
      <c r="BU40" s="26">
        <f t="shared" si="460"/>
        <v>0</v>
      </c>
      <c r="BV40" s="26">
        <f t="shared" si="460"/>
        <v>0</v>
      </c>
      <c r="BW40" s="26">
        <f t="shared" si="460"/>
        <v>0</v>
      </c>
      <c r="BX40" s="26">
        <f t="shared" si="460"/>
        <v>0</v>
      </c>
      <c r="BY40" s="26">
        <f t="shared" si="460"/>
        <v>181.8300000000001</v>
      </c>
      <c r="BZ40" s="26">
        <f t="shared" si="460"/>
        <v>217.64000000000019</v>
      </c>
      <c r="CA40" s="26">
        <f t="shared" si="460"/>
        <v>226.88999999999982</v>
      </c>
      <c r="CB40" s="26">
        <f t="shared" si="460"/>
        <v>188.12000000000018</v>
      </c>
      <c r="CC40" s="26">
        <f t="shared" si="460"/>
        <v>209.38999999999982</v>
      </c>
      <c r="CD40" s="26">
        <f t="shared" si="460"/>
        <v>211.00999999999991</v>
      </c>
      <c r="CE40" s="26">
        <f t="shared" ref="CE40:CF40" si="461">CE34-CE38</f>
        <v>201.36999999999992</v>
      </c>
      <c r="CF40" s="26">
        <f t="shared" si="461"/>
        <v>205.63999999999996</v>
      </c>
      <c r="CG40" s="26">
        <f t="shared" ref="CG40:CH40" si="462">CG34-CG38</f>
        <v>203.57000000000011</v>
      </c>
      <c r="CH40" s="26">
        <f t="shared" si="462"/>
        <v>202.26000000000019</v>
      </c>
      <c r="CI40" s="26">
        <f t="shared" ref="CI40:CJ40" si="463">CI34-CI38</f>
        <v>168.80999999999989</v>
      </c>
      <c r="CJ40" s="26">
        <f t="shared" si="463"/>
        <v>176.92999999999995</v>
      </c>
      <c r="CK40" s="26">
        <f t="shared" ref="CK40:CL40" si="464">CK34-CK38</f>
        <v>156.85000000000014</v>
      </c>
      <c r="CL40" s="26">
        <f t="shared" si="464"/>
        <v>205.41000000000011</v>
      </c>
      <c r="CM40" s="27">
        <f t="shared" ref="CM40:DB40" si="465">CM34-CM38</f>
        <v>19.104470813310428</v>
      </c>
      <c r="CN40" s="27">
        <f t="shared" si="465"/>
        <v>107.47092046530676</v>
      </c>
      <c r="CO40" s="27">
        <f t="shared" si="465"/>
        <v>164.6655265931399</v>
      </c>
      <c r="CP40" s="27">
        <f t="shared" si="465"/>
        <v>247.34382901908955</v>
      </c>
      <c r="CQ40" s="27">
        <f t="shared" si="465"/>
        <v>224.7276124235068</v>
      </c>
      <c r="CR40" s="27">
        <f t="shared" si="465"/>
        <v>269.60283232176619</v>
      </c>
      <c r="CS40" s="27">
        <f t="shared" si="465"/>
        <v>304.05869634564476</v>
      </c>
      <c r="CT40" s="27">
        <f t="shared" si="465"/>
        <v>382.82800174946317</v>
      </c>
      <c r="CU40" s="27">
        <f t="shared" si="465"/>
        <v>314.43384318873143</v>
      </c>
      <c r="CV40" s="27">
        <f t="shared" si="465"/>
        <v>371.21065702255817</v>
      </c>
      <c r="CW40" s="27">
        <f t="shared" si="465"/>
        <v>411.30650117955332</v>
      </c>
      <c r="CX40" s="27">
        <f t="shared" si="465"/>
        <v>500.79971200703358</v>
      </c>
      <c r="CY40" s="27">
        <f t="shared" si="465"/>
        <v>425.1115001255925</v>
      </c>
      <c r="CZ40" s="27">
        <f t="shared" si="465"/>
        <v>479.94309976124993</v>
      </c>
      <c r="DA40" s="27">
        <f t="shared" si="465"/>
        <v>519.36326029339102</v>
      </c>
      <c r="DB40" s="27">
        <f t="shared" si="465"/>
        <v>623.43045592369947</v>
      </c>
      <c r="DE40" s="121"/>
      <c r="DF40" s="26">
        <v>183.26610025523519</v>
      </c>
    </row>
    <row r="41" spans="1:110" s="23" customFormat="1" x14ac:dyDescent="0.2">
      <c r="A41" s="23" t="s">
        <v>17</v>
      </c>
      <c r="B41" s="23">
        <f>'Annual Raw'!C23</f>
        <v>0</v>
      </c>
      <c r="C41" s="23">
        <f>'Annual Raw'!D23</f>
        <v>0</v>
      </c>
      <c r="D41" s="23">
        <f>'Annual Raw'!E23</f>
        <v>0</v>
      </c>
      <c r="E41" s="23">
        <f>'Annual Raw'!F23</f>
        <v>1.6361485</v>
      </c>
      <c r="F41" s="23">
        <f>'Annual Raw'!G23</f>
        <v>1.6743325</v>
      </c>
      <c r="G41" s="23">
        <f>'Annual Raw'!H23</f>
        <v>8.8795000000000002</v>
      </c>
      <c r="H41" s="23">
        <f>'Annual Raw'!I23</f>
        <v>31.4115</v>
      </c>
      <c r="I41" s="23">
        <f>'Annual Raw'!J23</f>
        <v>16.251000000000001</v>
      </c>
      <c r="J41" s="23">
        <f>'Annual Raw'!K23</f>
        <v>38.752600000000001</v>
      </c>
      <c r="K41" s="23">
        <f>'Annual Raw'!L23</f>
        <v>27.5825</v>
      </c>
      <c r="L41" s="23">
        <f>'Annual Raw'!M23</f>
        <v>18.736699999999999</v>
      </c>
      <c r="M41" s="23">
        <f>'Annual Raw'!N23</f>
        <v>24.34</v>
      </c>
      <c r="N41" s="23">
        <f>'Annual Raw'!O23</f>
        <v>50.42</v>
      </c>
      <c r="O41" s="23">
        <f>'Annual Raw'!P23</f>
        <v>50.28</v>
      </c>
      <c r="P41" s="23">
        <f>'Annual Raw'!Q23</f>
        <v>50.03</v>
      </c>
      <c r="Q41" s="23">
        <f>'Annual Raw'!R23</f>
        <v>28.36</v>
      </c>
      <c r="R41" s="23">
        <f>'Annual Raw'!S23</f>
        <v>37.33</v>
      </c>
      <c r="S41" s="23">
        <f>'Annual Raw'!T23</f>
        <v>88.28</v>
      </c>
      <c r="T41" s="23">
        <f>'Annual Raw'!U23</f>
        <v>44.22</v>
      </c>
      <c r="U41" s="23">
        <f>'Annual Raw'!V23</f>
        <v>44.905000000000001</v>
      </c>
      <c r="V41" s="23">
        <f>'Annual Raw'!W23</f>
        <v>51.838000000000001</v>
      </c>
      <c r="W41" s="23">
        <f>'Annual Raw'!X23</f>
        <v>55.984000000000002</v>
      </c>
      <c r="X41" s="23">
        <f>'Annual Raw'!Y23</f>
        <v>101.96</v>
      </c>
      <c r="Y41" s="23">
        <f>'Annual Raw'!Z23</f>
        <v>115.58</v>
      </c>
      <c r="Z41" s="23">
        <f>'Annual Raw'!AA23</f>
        <v>126.42</v>
      </c>
      <c r="AA41" s="23">
        <f>'Annual Raw'!AB23</f>
        <v>189.18</v>
      </c>
      <c r="AB41" s="76">
        <f t="shared" ref="AB41:AB42" si="466">+SUM(CM41:CP41)</f>
        <v>0</v>
      </c>
      <c r="AC41" s="76">
        <f t="shared" ref="AC41:AC42" si="467">+SUM(CQ41:CT41)</f>
        <v>0</v>
      </c>
      <c r="AD41" s="76">
        <f t="shared" ref="AD41:AD42" si="468">+SUM(CU41:CX41)</f>
        <v>0</v>
      </c>
      <c r="AE41" s="76">
        <f t="shared" ref="AE41:AE42" si="469">+SUM(CY41:DB41)</f>
        <v>0</v>
      </c>
      <c r="AI41" s="23">
        <f>'QTR Raw'!C23</f>
        <v>0</v>
      </c>
      <c r="AJ41" s="23">
        <f>'QTR Raw'!D23</f>
        <v>0</v>
      </c>
      <c r="AK41" s="23">
        <f>'QTR Raw'!E23</f>
        <v>0</v>
      </c>
      <c r="AL41" s="23">
        <f>'QTR Raw'!F23</f>
        <v>0</v>
      </c>
      <c r="AM41" s="23">
        <f>'QTR Raw'!G23</f>
        <v>0</v>
      </c>
      <c r="AN41" s="23">
        <f>'QTR Raw'!H23</f>
        <v>0</v>
      </c>
      <c r="AO41" s="23">
        <f>'QTR Raw'!I23</f>
        <v>0</v>
      </c>
      <c r="AP41" s="23">
        <f>'QTR Raw'!J23</f>
        <v>0</v>
      </c>
      <c r="AQ41" s="23">
        <f>'QTR Raw'!K23</f>
        <v>0</v>
      </c>
      <c r="AR41" s="23">
        <f>'QTR Raw'!L23</f>
        <v>0</v>
      </c>
      <c r="AS41" s="23">
        <f>'QTR Raw'!M23</f>
        <v>0</v>
      </c>
      <c r="AT41" s="23">
        <f>'QTR Raw'!N23</f>
        <v>0</v>
      </c>
      <c r="AU41" s="23">
        <f>'QTR Raw'!O23</f>
        <v>0</v>
      </c>
      <c r="AV41" s="23">
        <f>'QTR Raw'!P23</f>
        <v>0</v>
      </c>
      <c r="AW41" s="23">
        <f>'QTR Raw'!Q23</f>
        <v>0</v>
      </c>
      <c r="AX41" s="23">
        <f>'QTR Raw'!R23</f>
        <v>0</v>
      </c>
      <c r="AY41" s="23">
        <f>'QTR Raw'!S23</f>
        <v>0</v>
      </c>
      <c r="AZ41" s="23">
        <f>'QTR Raw'!T23</f>
        <v>0</v>
      </c>
      <c r="BA41" s="23">
        <f>'QTR Raw'!U23</f>
        <v>0</v>
      </c>
      <c r="BB41" s="23">
        <f>'QTR Raw'!V23</f>
        <v>0</v>
      </c>
      <c r="BC41" s="23">
        <f>'QTR Raw'!W23</f>
        <v>0</v>
      </c>
      <c r="BD41" s="23">
        <f>'QTR Raw'!X23</f>
        <v>0</v>
      </c>
      <c r="BE41" s="23">
        <f>'QTR Raw'!Y23</f>
        <v>0</v>
      </c>
      <c r="BF41" s="23">
        <f>'QTR Raw'!Z23</f>
        <v>0</v>
      </c>
      <c r="BG41" s="23">
        <f>'QTR Raw'!AA23</f>
        <v>0</v>
      </c>
      <c r="BH41" s="23">
        <f>'QTR Raw'!AB23</f>
        <v>0</v>
      </c>
      <c r="BI41" s="23">
        <f>'QTR Raw'!AC23</f>
        <v>0</v>
      </c>
      <c r="BJ41" s="23">
        <f>'QTR Raw'!AD23</f>
        <v>0</v>
      </c>
      <c r="BK41" s="23">
        <f>'QTR Raw'!AE23</f>
        <v>0</v>
      </c>
      <c r="BL41" s="23">
        <f>'QTR Raw'!AF23</f>
        <v>0</v>
      </c>
      <c r="BM41" s="23">
        <f>'QTR Raw'!AG23</f>
        <v>0</v>
      </c>
      <c r="BN41" s="23">
        <f>'QTR Raw'!AH23</f>
        <v>0</v>
      </c>
      <c r="BO41" s="23">
        <f>'QTR Raw'!AI23</f>
        <v>0</v>
      </c>
      <c r="BP41" s="23">
        <f>'QTR Raw'!AJ23</f>
        <v>0</v>
      </c>
      <c r="BQ41" s="23">
        <f>'QTR Raw'!AK23</f>
        <v>0</v>
      </c>
      <c r="BR41" s="23">
        <f>'QTR Raw'!AL23</f>
        <v>0</v>
      </c>
      <c r="BS41" s="23">
        <f>'QTR Raw'!AM23</f>
        <v>0</v>
      </c>
      <c r="BT41" s="23">
        <f>'QTR Raw'!AN23</f>
        <v>0</v>
      </c>
      <c r="BU41" s="23">
        <f>'QTR Raw'!AO23</f>
        <v>0</v>
      </c>
      <c r="BV41" s="23">
        <f>'QTR Raw'!AP23</f>
        <v>0</v>
      </c>
      <c r="BW41" s="23">
        <f>'QTR Raw'!AQ23</f>
        <v>0</v>
      </c>
      <c r="BX41" s="23">
        <f>'QTR Raw'!AR23</f>
        <v>0</v>
      </c>
      <c r="BY41" s="23">
        <f>'QTR Raw'!AS23</f>
        <v>18.02</v>
      </c>
      <c r="BZ41" s="23">
        <f>'QTR Raw'!AT23</f>
        <v>47.23</v>
      </c>
      <c r="CA41" s="23">
        <f>'QTR Raw'!AU23</f>
        <v>30.87</v>
      </c>
      <c r="CB41" s="23">
        <f>'QTR Raw'!AV23</f>
        <v>29.85</v>
      </c>
      <c r="CC41" s="23">
        <f>'QTR Raw'!AW23</f>
        <v>30.69</v>
      </c>
      <c r="CD41" s="23">
        <f>'QTR Raw'!AX23</f>
        <v>24.14</v>
      </c>
      <c r="CE41" s="23">
        <f>'QTR Raw'!AY23</f>
        <v>23</v>
      </c>
      <c r="CF41" s="23">
        <f>'QTR Raw'!AZ23</f>
        <v>16.43</v>
      </c>
      <c r="CG41" s="23">
        <f>'QTR Raw'!BA23</f>
        <v>27.62</v>
      </c>
      <c r="CH41" s="23">
        <f>'QTR Raw'!BB23</f>
        <v>57.08</v>
      </c>
      <c r="CI41" s="23">
        <f>'QTR Raw'!BC23</f>
        <v>63.57</v>
      </c>
      <c r="CJ41" s="23">
        <f>'QTR Raw'!BD23</f>
        <v>48.2</v>
      </c>
      <c r="CK41" s="23">
        <f>'QTR Raw'!BE23</f>
        <v>31.82</v>
      </c>
      <c r="CL41" s="23">
        <f>'QTR Raw'!BF23</f>
        <v>30.96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174.55</v>
      </c>
    </row>
    <row r="42" spans="1:110" s="23" customFormat="1" x14ac:dyDescent="0.2">
      <c r="A42" s="23" t="s">
        <v>18</v>
      </c>
      <c r="B42" s="23">
        <f>'Annual Raw'!C25</f>
        <v>0</v>
      </c>
      <c r="C42" s="23">
        <f>'Annual Raw'!D25</f>
        <v>0</v>
      </c>
      <c r="D42" s="23">
        <f>'Annual Raw'!E25</f>
        <v>0</v>
      </c>
      <c r="E42" s="23">
        <f>'Annual Raw'!F25</f>
        <v>1.5206294</v>
      </c>
      <c r="F42" s="23">
        <f>'Annual Raw'!G25</f>
        <v>2.3850418000000002</v>
      </c>
      <c r="G42" s="23">
        <f>'Annual Raw'!H25</f>
        <v>13.1218</v>
      </c>
      <c r="H42" s="23">
        <f>'Annual Raw'!I25</f>
        <v>14.602600000000001</v>
      </c>
      <c r="I42" s="23">
        <f>'Annual Raw'!J25</f>
        <v>11.278700000000001</v>
      </c>
      <c r="J42" s="23">
        <f>'Annual Raw'!K25</f>
        <v>12.213800000000001</v>
      </c>
      <c r="K42" s="23">
        <f>'Annual Raw'!L25</f>
        <v>12.052199999999999</v>
      </c>
      <c r="L42" s="23">
        <f>'Annual Raw'!M25</f>
        <v>7.3780000000000001</v>
      </c>
      <c r="M42" s="23">
        <f>'Annual Raw'!N25</f>
        <v>7.23</v>
      </c>
      <c r="N42" s="23">
        <f>'Annual Raw'!O25</f>
        <v>7.62</v>
      </c>
      <c r="O42" s="23">
        <f>'Annual Raw'!P25</f>
        <v>7.66</v>
      </c>
      <c r="P42" s="23">
        <f>'Annual Raw'!Q25</f>
        <v>8.99</v>
      </c>
      <c r="Q42" s="23">
        <f>'Annual Raw'!R25</f>
        <v>6.2</v>
      </c>
      <c r="R42" s="23">
        <f>'Annual Raw'!S25</f>
        <v>4.3099999999999996</v>
      </c>
      <c r="S42" s="23">
        <f>'Annual Raw'!T25</f>
        <v>4.7</v>
      </c>
      <c r="T42" s="23">
        <f>'Annual Raw'!U25</f>
        <v>1.29</v>
      </c>
      <c r="U42" s="23">
        <f>'Annual Raw'!V25</f>
        <v>15.643000000000001</v>
      </c>
      <c r="V42" s="23">
        <f>'Annual Raw'!W25</f>
        <v>17.655999999999999</v>
      </c>
      <c r="W42" s="23">
        <f>'Annual Raw'!X25</f>
        <v>21.898</v>
      </c>
      <c r="X42" s="23">
        <f>'Annual Raw'!Y25</f>
        <v>17.98</v>
      </c>
      <c r="Y42" s="23">
        <f>'Annual Raw'!Z25</f>
        <v>18.91</v>
      </c>
      <c r="Z42" s="23">
        <f>'Annual Raw'!AA25</f>
        <v>19.63</v>
      </c>
      <c r="AA42" s="23">
        <f>'Annual Raw'!AB25</f>
        <v>34.119999999999997</v>
      </c>
      <c r="AB42" s="76">
        <f t="shared" si="466"/>
        <v>-72.158923802229381</v>
      </c>
      <c r="AC42" s="76">
        <f t="shared" si="467"/>
        <v>-117.20015590308864</v>
      </c>
      <c r="AD42" s="76">
        <f t="shared" si="468"/>
        <v>-175.49977858598913</v>
      </c>
      <c r="AE42" s="76">
        <f t="shared" si="469"/>
        <v>-252.1403669461057</v>
      </c>
      <c r="AI42" s="23">
        <f>'QTR Raw'!C25</f>
        <v>0</v>
      </c>
      <c r="AJ42" s="23">
        <f>'QTR Raw'!D25</f>
        <v>0</v>
      </c>
      <c r="AK42" s="23">
        <f>'QTR Raw'!E25</f>
        <v>0</v>
      </c>
      <c r="AL42" s="23">
        <f>'QTR Raw'!F25</f>
        <v>0</v>
      </c>
      <c r="AM42" s="23">
        <f>'QTR Raw'!G25</f>
        <v>0</v>
      </c>
      <c r="AN42" s="23">
        <f>'QTR Raw'!H25</f>
        <v>0</v>
      </c>
      <c r="AO42" s="23">
        <f>'QTR Raw'!I25</f>
        <v>0</v>
      </c>
      <c r="AP42" s="23">
        <f>'QTR Raw'!J25</f>
        <v>0</v>
      </c>
      <c r="AQ42" s="23">
        <f>'QTR Raw'!K25</f>
        <v>0</v>
      </c>
      <c r="AR42" s="23">
        <f>'QTR Raw'!L25</f>
        <v>0</v>
      </c>
      <c r="AS42" s="23">
        <f>'QTR Raw'!M25</f>
        <v>0</v>
      </c>
      <c r="AT42" s="23">
        <f>'QTR Raw'!N25</f>
        <v>0</v>
      </c>
      <c r="AU42" s="23">
        <f>'QTR Raw'!O25</f>
        <v>0</v>
      </c>
      <c r="AV42" s="23">
        <f>'QTR Raw'!P25</f>
        <v>0</v>
      </c>
      <c r="AW42" s="23">
        <f>'QTR Raw'!Q25</f>
        <v>0</v>
      </c>
      <c r="AX42" s="23">
        <f>'QTR Raw'!R25</f>
        <v>0</v>
      </c>
      <c r="AY42" s="23">
        <f>'QTR Raw'!S25</f>
        <v>0</v>
      </c>
      <c r="AZ42" s="23">
        <f>'QTR Raw'!T25</f>
        <v>0</v>
      </c>
      <c r="BA42" s="23">
        <f>'QTR Raw'!U25</f>
        <v>0</v>
      </c>
      <c r="BB42" s="23">
        <f>'QTR Raw'!V25</f>
        <v>0</v>
      </c>
      <c r="BC42" s="23">
        <f>'QTR Raw'!W25</f>
        <v>0</v>
      </c>
      <c r="BD42" s="23">
        <f>'QTR Raw'!X25</f>
        <v>0</v>
      </c>
      <c r="BE42" s="23">
        <f>'QTR Raw'!Y25</f>
        <v>0</v>
      </c>
      <c r="BF42" s="23">
        <f>'QTR Raw'!Z25</f>
        <v>0</v>
      </c>
      <c r="BG42" s="23">
        <f>'QTR Raw'!AA25</f>
        <v>0</v>
      </c>
      <c r="BH42" s="23">
        <f>'QTR Raw'!AB25</f>
        <v>0</v>
      </c>
      <c r="BI42" s="23">
        <f>'QTR Raw'!AC25</f>
        <v>0</v>
      </c>
      <c r="BJ42" s="23">
        <f>'QTR Raw'!AD25</f>
        <v>0</v>
      </c>
      <c r="BK42" s="23">
        <f>'QTR Raw'!AE25</f>
        <v>0</v>
      </c>
      <c r="BL42" s="23">
        <f>'QTR Raw'!AF25</f>
        <v>0</v>
      </c>
      <c r="BM42" s="23">
        <f>'QTR Raw'!AG25</f>
        <v>0</v>
      </c>
      <c r="BN42" s="23">
        <f>'QTR Raw'!AH25</f>
        <v>0</v>
      </c>
      <c r="BO42" s="23">
        <f>'QTR Raw'!AI25</f>
        <v>0</v>
      </c>
      <c r="BP42" s="23">
        <f>'QTR Raw'!AJ25</f>
        <v>0</v>
      </c>
      <c r="BQ42" s="23">
        <f>'QTR Raw'!AK25</f>
        <v>0</v>
      </c>
      <c r="BR42" s="23">
        <f>'QTR Raw'!AL25</f>
        <v>0</v>
      </c>
      <c r="BS42" s="23">
        <f>'QTR Raw'!AM25</f>
        <v>0</v>
      </c>
      <c r="BT42" s="23">
        <f>'QTR Raw'!AN25</f>
        <v>0</v>
      </c>
      <c r="BU42" s="23">
        <f>'QTR Raw'!AO25</f>
        <v>0</v>
      </c>
      <c r="BV42" s="23">
        <f>'QTR Raw'!AP25</f>
        <v>0</v>
      </c>
      <c r="BW42" s="23">
        <f>'QTR Raw'!AQ25</f>
        <v>0</v>
      </c>
      <c r="BX42" s="23">
        <f>'QTR Raw'!AR25</f>
        <v>0</v>
      </c>
      <c r="BY42" s="23">
        <f>'QTR Raw'!AS25</f>
        <v>5.36</v>
      </c>
      <c r="BZ42" s="23">
        <f>'QTR Raw'!AT25</f>
        <v>4.53</v>
      </c>
      <c r="CA42" s="23">
        <f>'QTR Raw'!AU25</f>
        <v>4.78</v>
      </c>
      <c r="CB42" s="23">
        <f>'QTR Raw'!AV25</f>
        <v>4.6900000000000004</v>
      </c>
      <c r="CC42" s="23">
        <f>'QTR Raw'!AW25</f>
        <v>5.08</v>
      </c>
      <c r="CD42" s="23">
        <f>'QTR Raw'!AX25</f>
        <v>4.3600000000000003</v>
      </c>
      <c r="CE42" s="23">
        <f>'QTR Raw'!AY25</f>
        <v>4.7300000000000004</v>
      </c>
      <c r="CF42" s="23">
        <f>'QTR Raw'!AZ25</f>
        <v>4.59</v>
      </c>
      <c r="CG42" s="23">
        <f>'QTR Raw'!BA25</f>
        <v>5.5</v>
      </c>
      <c r="CH42" s="23">
        <f>'QTR Raw'!BB25</f>
        <v>4.8099999999999996</v>
      </c>
      <c r="CI42" s="23">
        <f>'QTR Raw'!BC25</f>
        <v>4.63</v>
      </c>
      <c r="CJ42" s="23">
        <f>'QTR Raw'!BD25</f>
        <v>4.57</v>
      </c>
      <c r="CK42" s="23">
        <f>'QTR Raw'!BE25</f>
        <v>9.11</v>
      </c>
      <c r="CL42" s="23">
        <f>'QTR Raw'!BF25</f>
        <v>15.81</v>
      </c>
      <c r="CM42" s="24">
        <f t="shared" ref="CM42:DB42" si="470">CM43*CL174</f>
        <v>-12.856864840964409</v>
      </c>
      <c r="CN42" s="24">
        <f t="shared" si="470"/>
        <v>-17.516691638591695</v>
      </c>
      <c r="CO42" s="24">
        <f t="shared" si="470"/>
        <v>-19.632605859468903</v>
      </c>
      <c r="CP42" s="24">
        <f t="shared" si="470"/>
        <v>-22.152761463204374</v>
      </c>
      <c r="CQ42" s="24">
        <f t="shared" si="470"/>
        <v>-23.510935802552776</v>
      </c>
      <c r="CR42" s="24">
        <f t="shared" si="470"/>
        <v>-28.751254920328041</v>
      </c>
      <c r="CS42" s="24">
        <f t="shared" si="470"/>
        <v>-30.99279877066666</v>
      </c>
      <c r="CT42" s="24">
        <f t="shared" si="470"/>
        <v>-33.94516640954118</v>
      </c>
      <c r="CU42" s="24">
        <f t="shared" si="470"/>
        <v>-35.729514295229734</v>
      </c>
      <c r="CV42" s="24">
        <f t="shared" si="470"/>
        <v>-43.099281092836804</v>
      </c>
      <c r="CW42" s="24">
        <f t="shared" si="470"/>
        <v>-46.296684382422733</v>
      </c>
      <c r="CX42" s="24">
        <f t="shared" si="470"/>
        <v>-50.374298815499863</v>
      </c>
      <c r="CY42" s="24">
        <f t="shared" si="470"/>
        <v>-53.005375335729262</v>
      </c>
      <c r="CZ42" s="24">
        <f t="shared" si="470"/>
        <v>-62.097252196271583</v>
      </c>
      <c r="DA42" s="24">
        <f t="shared" si="470"/>
        <v>-66.003120313152962</v>
      </c>
      <c r="DB42" s="24">
        <f t="shared" si="470"/>
        <v>-71.0346191009519</v>
      </c>
      <c r="DE42" s="123"/>
      <c r="DF42" s="23">
        <v>-22.161271187516036</v>
      </c>
    </row>
    <row r="43" spans="1:110" s="46" customFormat="1" x14ac:dyDescent="0.2">
      <c r="A43" s="46" t="s">
        <v>482</v>
      </c>
      <c r="B43" s="46" t="e">
        <f t="shared" ref="B43:D43" si="471">+B42/B134</f>
        <v>#DIV/0!</v>
      </c>
      <c r="C43" s="46" t="e">
        <f t="shared" si="471"/>
        <v>#DIV/0!</v>
      </c>
      <c r="D43" s="46" t="e">
        <f t="shared" si="471"/>
        <v>#DIV/0!</v>
      </c>
      <c r="E43" s="46">
        <f t="shared" ref="E43:AE43" si="472">+E42/E134</f>
        <v>8.5538938700103623E-2</v>
      </c>
      <c r="F43" s="46">
        <f t="shared" si="472"/>
        <v>0.28368525547639739</v>
      </c>
      <c r="G43" s="46">
        <f t="shared" si="472"/>
        <v>4.8307268657595569E-2</v>
      </c>
      <c r="H43" s="46">
        <f t="shared" si="472"/>
        <v>6.7054164607949926E-2</v>
      </c>
      <c r="I43" s="46">
        <f t="shared" si="472"/>
        <v>5.1509592255498761E-2</v>
      </c>
      <c r="J43" s="46">
        <f t="shared" si="472"/>
        <v>3.7061739423849535E-2</v>
      </c>
      <c r="K43" s="46">
        <f t="shared" si="472"/>
        <v>4.0477554675026242E-2</v>
      </c>
      <c r="L43" s="46">
        <f t="shared" si="472"/>
        <v>2.4369475332925081E-2</v>
      </c>
      <c r="M43" s="46">
        <f t="shared" si="472"/>
        <v>2.127283961514697E-2</v>
      </c>
      <c r="N43" s="46">
        <f t="shared" si="472"/>
        <v>2.566347837801428E-2</v>
      </c>
      <c r="O43" s="46">
        <f t="shared" si="472"/>
        <v>1.8653354438085964E-2</v>
      </c>
      <c r="P43" s="46">
        <f t="shared" si="472"/>
        <v>2.4803421161539524E-2</v>
      </c>
      <c r="Q43" s="46">
        <f t="shared" si="472"/>
        <v>1.5656961034369556E-2</v>
      </c>
      <c r="R43" s="46">
        <f t="shared" si="472"/>
        <v>1.9819736963119654E-2</v>
      </c>
      <c r="S43" s="46">
        <f t="shared" si="472"/>
        <v>6.9763989906486565E-2</v>
      </c>
      <c r="T43" s="46" t="e">
        <f t="shared" si="472"/>
        <v>#DIV/0!</v>
      </c>
      <c r="U43" s="46" t="e">
        <f t="shared" si="472"/>
        <v>#DIV/0!</v>
      </c>
      <c r="V43" s="46" t="e">
        <f t="shared" si="472"/>
        <v>#DIV/0!</v>
      </c>
      <c r="W43" s="46" t="e">
        <f t="shared" si="472"/>
        <v>#DIV/0!</v>
      </c>
      <c r="X43" s="46" t="e">
        <f t="shared" si="472"/>
        <v>#DIV/0!</v>
      </c>
      <c r="Y43" s="46" t="e">
        <f t="shared" si="472"/>
        <v>#DIV/0!</v>
      </c>
      <c r="Z43" s="46" t="e">
        <f t="shared" si="472"/>
        <v>#DIV/0!</v>
      </c>
      <c r="AA43" s="46">
        <f t="shared" ref="AA43" si="473">+AA42/AA134</f>
        <v>5.1265100066109744E-2</v>
      </c>
      <c r="AB43" s="110">
        <f t="shared" si="472"/>
        <v>-0.10841836018124494</v>
      </c>
      <c r="AC43" s="110">
        <f t="shared" si="472"/>
        <v>-0.17609254748345551</v>
      </c>
      <c r="AD43" s="110">
        <f t="shared" si="472"/>
        <v>-0.26368738894463178</v>
      </c>
      <c r="AE43" s="110">
        <f t="shared" si="472"/>
        <v>-0.37883942386277081</v>
      </c>
      <c r="AI43" s="46" t="e">
        <f t="shared" ref="AI43:BN43" si="474">(AI42-AI41)/AH174</f>
        <v>#DIV/0!</v>
      </c>
      <c r="AJ43" s="46" t="e">
        <f t="shared" si="474"/>
        <v>#DIV/0!</v>
      </c>
      <c r="AK43" s="46" t="e">
        <f t="shared" si="474"/>
        <v>#DIV/0!</v>
      </c>
      <c r="AL43" s="46" t="e">
        <f t="shared" si="474"/>
        <v>#DIV/0!</v>
      </c>
      <c r="AM43" s="46" t="e">
        <f t="shared" si="474"/>
        <v>#DIV/0!</v>
      </c>
      <c r="AN43" s="46" t="e">
        <f t="shared" si="474"/>
        <v>#DIV/0!</v>
      </c>
      <c r="AO43" s="46" t="e">
        <f t="shared" si="474"/>
        <v>#DIV/0!</v>
      </c>
      <c r="AP43" s="46" t="e">
        <f t="shared" si="474"/>
        <v>#DIV/0!</v>
      </c>
      <c r="AQ43" s="46" t="e">
        <f t="shared" si="474"/>
        <v>#DIV/0!</v>
      </c>
      <c r="AR43" s="46" t="e">
        <f t="shared" si="474"/>
        <v>#DIV/0!</v>
      </c>
      <c r="AS43" s="46" t="e">
        <f t="shared" si="474"/>
        <v>#DIV/0!</v>
      </c>
      <c r="AT43" s="46" t="e">
        <f t="shared" si="474"/>
        <v>#DIV/0!</v>
      </c>
      <c r="AU43" s="46" t="e">
        <f t="shared" si="474"/>
        <v>#DIV/0!</v>
      </c>
      <c r="AV43" s="46" t="e">
        <f t="shared" si="474"/>
        <v>#DIV/0!</v>
      </c>
      <c r="AW43" s="46" t="e">
        <f t="shared" si="474"/>
        <v>#DIV/0!</v>
      </c>
      <c r="AX43" s="46" t="e">
        <f t="shared" si="474"/>
        <v>#DIV/0!</v>
      </c>
      <c r="AY43" s="46" t="e">
        <f t="shared" si="474"/>
        <v>#DIV/0!</v>
      </c>
      <c r="AZ43" s="46" t="e">
        <f t="shared" si="474"/>
        <v>#DIV/0!</v>
      </c>
      <c r="BA43" s="46" t="e">
        <f t="shared" si="474"/>
        <v>#DIV/0!</v>
      </c>
      <c r="BB43" s="46" t="e">
        <f t="shared" si="474"/>
        <v>#DIV/0!</v>
      </c>
      <c r="BC43" s="46" t="e">
        <f t="shared" si="474"/>
        <v>#DIV/0!</v>
      </c>
      <c r="BD43" s="46" t="e">
        <f t="shared" si="474"/>
        <v>#DIV/0!</v>
      </c>
      <c r="BE43" s="46" t="e">
        <f t="shared" si="474"/>
        <v>#DIV/0!</v>
      </c>
      <c r="BF43" s="46" t="e">
        <f t="shared" si="474"/>
        <v>#DIV/0!</v>
      </c>
      <c r="BG43" s="46" t="e">
        <f t="shared" si="474"/>
        <v>#DIV/0!</v>
      </c>
      <c r="BH43" s="46" t="e">
        <f t="shared" si="474"/>
        <v>#DIV/0!</v>
      </c>
      <c r="BI43" s="46" t="e">
        <f t="shared" si="474"/>
        <v>#DIV/0!</v>
      </c>
      <c r="BJ43" s="46" t="e">
        <f t="shared" si="474"/>
        <v>#DIV/0!</v>
      </c>
      <c r="BK43" s="46" t="e">
        <f t="shared" si="474"/>
        <v>#DIV/0!</v>
      </c>
      <c r="BL43" s="46" t="e">
        <f t="shared" si="474"/>
        <v>#DIV/0!</v>
      </c>
      <c r="BM43" s="46" t="e">
        <f t="shared" si="474"/>
        <v>#DIV/0!</v>
      </c>
      <c r="BN43" s="46" t="e">
        <f t="shared" si="474"/>
        <v>#DIV/0!</v>
      </c>
      <c r="BO43" s="46" t="e">
        <f t="shared" ref="BO43:CL43" si="475">(BO42-BO41)/BN174</f>
        <v>#DIV/0!</v>
      </c>
      <c r="BP43" s="46" t="e">
        <f t="shared" si="475"/>
        <v>#DIV/0!</v>
      </c>
      <c r="BQ43" s="46" t="e">
        <f t="shared" si="475"/>
        <v>#DIV/0!</v>
      </c>
      <c r="BR43" s="46" t="e">
        <f t="shared" si="475"/>
        <v>#DIV/0!</v>
      </c>
      <c r="BS43" s="46" t="e">
        <f t="shared" si="475"/>
        <v>#DIV/0!</v>
      </c>
      <c r="BT43" s="46" t="e">
        <f t="shared" si="475"/>
        <v>#DIV/0!</v>
      </c>
      <c r="BU43" s="46" t="e">
        <f t="shared" si="475"/>
        <v>#DIV/0!</v>
      </c>
      <c r="BV43" s="46" t="e">
        <f t="shared" si="475"/>
        <v>#DIV/0!</v>
      </c>
      <c r="BW43" s="46" t="e">
        <f t="shared" si="475"/>
        <v>#DIV/0!</v>
      </c>
      <c r="BX43" s="46" t="e">
        <f t="shared" si="475"/>
        <v>#DIV/0!</v>
      </c>
      <c r="BY43" s="46" t="e">
        <f t="shared" si="475"/>
        <v>#DIV/0!</v>
      </c>
      <c r="BZ43" s="46" t="e">
        <f t="shared" si="475"/>
        <v>#DIV/0!</v>
      </c>
      <c r="CA43" s="46">
        <f t="shared" si="475"/>
        <v>2.5355206126455324E-2</v>
      </c>
      <c r="CB43" s="46">
        <f t="shared" si="475"/>
        <v>1.986061964113298E-2</v>
      </c>
      <c r="CC43" s="46" t="e">
        <f t="shared" si="475"/>
        <v>#DIV/0!</v>
      </c>
      <c r="CD43" s="46">
        <f t="shared" si="475"/>
        <v>0.11620256139114102</v>
      </c>
      <c r="CE43" s="46">
        <f t="shared" si="475"/>
        <v>1.7175249591065485E-2</v>
      </c>
      <c r="CF43" s="46">
        <f t="shared" si="475"/>
        <v>9.5314503048410035E-3</v>
      </c>
      <c r="CG43" s="46">
        <f t="shared" si="475"/>
        <v>2.2162108005209898E-2</v>
      </c>
      <c r="CH43" s="46">
        <f t="shared" si="475"/>
        <v>4.5179491605731696E-2</v>
      </c>
      <c r="CI43" s="46">
        <f t="shared" si="475"/>
        <v>3.892253135132636E-2</v>
      </c>
      <c r="CJ43" s="46">
        <f t="shared" si="475"/>
        <v>2.5149035959354773E-2</v>
      </c>
      <c r="CK43" s="46">
        <f t="shared" si="475"/>
        <v>2.2193122184327025E-2</v>
      </c>
      <c r="CL43" s="46">
        <f t="shared" si="475"/>
        <v>1.5171774139109778E-2</v>
      </c>
      <c r="CM43" s="47">
        <f t="shared" ref="CM43" si="476">+CL43</f>
        <v>1.5171774139109778E-2</v>
      </c>
      <c r="CN43" s="47">
        <f t="shared" ref="CN43" si="477">+CM43</f>
        <v>1.5171774139109778E-2</v>
      </c>
      <c r="CO43" s="47">
        <f t="shared" ref="CO43" si="478">+CN43</f>
        <v>1.5171774139109778E-2</v>
      </c>
      <c r="CP43" s="47">
        <f t="shared" ref="CP43" si="479">+CO43</f>
        <v>1.5171774139109778E-2</v>
      </c>
      <c r="CQ43" s="47">
        <f t="shared" ref="CQ43" si="480">+CP43</f>
        <v>1.5171774139109778E-2</v>
      </c>
      <c r="CR43" s="47">
        <f t="shared" ref="CR43" si="481">+CQ43</f>
        <v>1.5171774139109778E-2</v>
      </c>
      <c r="CS43" s="47">
        <f t="shared" ref="CS43" si="482">+CR43</f>
        <v>1.5171774139109778E-2</v>
      </c>
      <c r="CT43" s="47">
        <f t="shared" ref="CT43" si="483">+CS43</f>
        <v>1.5171774139109778E-2</v>
      </c>
      <c r="CU43" s="47">
        <f t="shared" ref="CU43" si="484">+CT43</f>
        <v>1.5171774139109778E-2</v>
      </c>
      <c r="CV43" s="47">
        <f t="shared" ref="CV43" si="485">+CU43</f>
        <v>1.5171774139109778E-2</v>
      </c>
      <c r="CW43" s="47">
        <f t="shared" ref="CW43" si="486">+CV43</f>
        <v>1.5171774139109778E-2</v>
      </c>
      <c r="CX43" s="47">
        <f t="shared" ref="CX43" si="487">+CW43</f>
        <v>1.5171774139109778E-2</v>
      </c>
      <c r="CY43" s="47">
        <f t="shared" ref="CY43" si="488">+CX43</f>
        <v>1.5171774139109778E-2</v>
      </c>
      <c r="CZ43" s="47">
        <f t="shared" ref="CZ43" si="489">+CY43</f>
        <v>1.5171774139109778E-2</v>
      </c>
      <c r="DA43" s="47">
        <f t="shared" ref="DA43" si="490">+CZ43</f>
        <v>1.5171774139109778E-2</v>
      </c>
      <c r="DB43" s="47">
        <f t="shared" ref="DB43" si="491">+DA43</f>
        <v>1.5171774139109778E-2</v>
      </c>
      <c r="DE43" s="130"/>
      <c r="DF43" s="46">
        <v>2.2193122184327025E-2</v>
      </c>
    </row>
    <row r="44" spans="1:110" s="26" customFormat="1" x14ac:dyDescent="0.2">
      <c r="A44" s="26" t="s">
        <v>20</v>
      </c>
      <c r="B44" s="26">
        <f>B40+B41-B42</f>
        <v>0</v>
      </c>
      <c r="C44" s="26">
        <f t="shared" ref="C44:T44" si="492">C40+C41-C42</f>
        <v>0</v>
      </c>
      <c r="D44" s="26">
        <f>D40+D41-D42</f>
        <v>0</v>
      </c>
      <c r="E44" s="26">
        <f t="shared" si="492"/>
        <v>7.9409424000000088</v>
      </c>
      <c r="F44" s="26">
        <f t="shared" si="492"/>
        <v>10.663899899999988</v>
      </c>
      <c r="G44" s="26">
        <f t="shared" si="492"/>
        <v>19.410600000000152</v>
      </c>
      <c r="H44" s="26">
        <f t="shared" si="492"/>
        <v>27.716900000000066</v>
      </c>
      <c r="I44" s="26">
        <f t="shared" si="492"/>
        <v>50.726100000000088</v>
      </c>
      <c r="J44" s="26">
        <f t="shared" si="492"/>
        <v>92.890600000000092</v>
      </c>
      <c r="K44" s="26">
        <f t="shared" si="492"/>
        <v>127.24359999999979</v>
      </c>
      <c r="L44" s="26">
        <f t="shared" si="492"/>
        <v>179.91220000000004</v>
      </c>
      <c r="M44" s="26">
        <f t="shared" si="492"/>
        <v>271.83000000000004</v>
      </c>
      <c r="N44" s="26">
        <f t="shared" si="492"/>
        <v>392.43</v>
      </c>
      <c r="O44" s="26">
        <f t="shared" si="492"/>
        <v>337.56999999999988</v>
      </c>
      <c r="P44" s="26">
        <f t="shared" si="492"/>
        <v>429.75999999999954</v>
      </c>
      <c r="Q44" s="26">
        <f t="shared" si="492"/>
        <v>463.36000000000007</v>
      </c>
      <c r="R44" s="26">
        <f t="shared" si="492"/>
        <v>459.86999999999978</v>
      </c>
      <c r="S44" s="26">
        <f t="shared" si="492"/>
        <v>344.86000000000007</v>
      </c>
      <c r="T44" s="26">
        <f t="shared" si="492"/>
        <v>477.16000000000082</v>
      </c>
      <c r="U44" s="26">
        <f t="shared" ref="U44:Z44" si="493">U40+U41-U42</f>
        <v>400.56799999999953</v>
      </c>
      <c r="V44" s="26">
        <f t="shared" si="493"/>
        <v>320.68000000000012</v>
      </c>
      <c r="W44" s="26">
        <f t="shared" si="493"/>
        <v>586.85600000000045</v>
      </c>
      <c r="X44" s="26">
        <f t="shared" si="493"/>
        <v>796.14999999999986</v>
      </c>
      <c r="Y44" s="26">
        <f t="shared" si="493"/>
        <v>932.05000000000052</v>
      </c>
      <c r="Z44" s="26">
        <f t="shared" si="493"/>
        <v>917.34000000000015</v>
      </c>
      <c r="AA44" s="26">
        <f t="shared" ref="AA44" si="494">AA40+AA41-AA42</f>
        <v>848.42999999999881</v>
      </c>
      <c r="AB44" s="27">
        <f t="shared" ref="AB44:AD44" si="495">AB40+AB41-AB42</f>
        <v>610.74367069307721</v>
      </c>
      <c r="AC44" s="27">
        <f t="shared" si="495"/>
        <v>1298.4172987434699</v>
      </c>
      <c r="AD44" s="27">
        <f t="shared" si="495"/>
        <v>1773.2504919838655</v>
      </c>
      <c r="AE44" s="27">
        <f t="shared" ref="AE44" si="496">AE40+AE41-AE42</f>
        <v>2299.9886830500386</v>
      </c>
      <c r="AI44" s="26">
        <f>AI40+AI41-AI42</f>
        <v>0</v>
      </c>
      <c r="AJ44" s="26">
        <f t="shared" ref="AJ44" si="497">AJ40+AJ41-AJ42</f>
        <v>0</v>
      </c>
      <c r="AK44" s="26">
        <f t="shared" ref="AK44:AM44" si="498">AK40+AK41-AK42</f>
        <v>0</v>
      </c>
      <c r="AL44" s="26">
        <f t="shared" si="498"/>
        <v>0</v>
      </c>
      <c r="AM44" s="26">
        <f t="shared" si="498"/>
        <v>0</v>
      </c>
      <c r="AN44" s="26">
        <f t="shared" ref="AN44:AO44" si="499">AN40+AN41-AN42</f>
        <v>0</v>
      </c>
      <c r="AO44" s="26">
        <f t="shared" si="499"/>
        <v>0</v>
      </c>
      <c r="AP44" s="26">
        <f t="shared" ref="AP44:CD44" si="500">AP40+AP41-AP42</f>
        <v>0</v>
      </c>
      <c r="AQ44" s="26">
        <f t="shared" si="500"/>
        <v>0</v>
      </c>
      <c r="AR44" s="26">
        <f t="shared" si="500"/>
        <v>0</v>
      </c>
      <c r="AS44" s="26">
        <f t="shared" si="500"/>
        <v>0</v>
      </c>
      <c r="AT44" s="26">
        <f t="shared" si="500"/>
        <v>0</v>
      </c>
      <c r="AU44" s="26">
        <f t="shared" si="500"/>
        <v>0</v>
      </c>
      <c r="AV44" s="26">
        <f t="shared" si="500"/>
        <v>0</v>
      </c>
      <c r="AW44" s="26">
        <f t="shared" si="500"/>
        <v>0</v>
      </c>
      <c r="AX44" s="26">
        <f t="shared" si="500"/>
        <v>0</v>
      </c>
      <c r="AY44" s="26">
        <f t="shared" si="500"/>
        <v>0</v>
      </c>
      <c r="AZ44" s="26">
        <f t="shared" si="500"/>
        <v>0</v>
      </c>
      <c r="BA44" s="26">
        <f t="shared" si="500"/>
        <v>0</v>
      </c>
      <c r="BB44" s="26">
        <f t="shared" si="500"/>
        <v>0</v>
      </c>
      <c r="BC44" s="26">
        <f t="shared" si="500"/>
        <v>0</v>
      </c>
      <c r="BD44" s="26">
        <f t="shared" si="500"/>
        <v>0</v>
      </c>
      <c r="BE44" s="26">
        <f t="shared" si="500"/>
        <v>0</v>
      </c>
      <c r="BF44" s="26">
        <f t="shared" si="500"/>
        <v>0</v>
      </c>
      <c r="BG44" s="26">
        <f t="shared" si="500"/>
        <v>0</v>
      </c>
      <c r="BH44" s="26">
        <f t="shared" si="500"/>
        <v>0</v>
      </c>
      <c r="BI44" s="26">
        <f t="shared" si="500"/>
        <v>0</v>
      </c>
      <c r="BJ44" s="26">
        <f t="shared" si="500"/>
        <v>0</v>
      </c>
      <c r="BK44" s="26">
        <f t="shared" si="500"/>
        <v>0</v>
      </c>
      <c r="BL44" s="26">
        <f t="shared" si="500"/>
        <v>0</v>
      </c>
      <c r="BM44" s="26">
        <f t="shared" si="500"/>
        <v>0</v>
      </c>
      <c r="BN44" s="26">
        <f t="shared" si="500"/>
        <v>0</v>
      </c>
      <c r="BO44" s="26">
        <f t="shared" si="500"/>
        <v>0</v>
      </c>
      <c r="BP44" s="26">
        <f t="shared" si="500"/>
        <v>0</v>
      </c>
      <c r="BQ44" s="26">
        <f t="shared" si="500"/>
        <v>0</v>
      </c>
      <c r="BR44" s="26">
        <f t="shared" si="500"/>
        <v>0</v>
      </c>
      <c r="BS44" s="26">
        <f t="shared" si="500"/>
        <v>0</v>
      </c>
      <c r="BT44" s="26">
        <f t="shared" si="500"/>
        <v>0</v>
      </c>
      <c r="BU44" s="26">
        <f t="shared" si="500"/>
        <v>0</v>
      </c>
      <c r="BV44" s="26">
        <f t="shared" si="500"/>
        <v>0</v>
      </c>
      <c r="BW44" s="26">
        <f t="shared" si="500"/>
        <v>0</v>
      </c>
      <c r="BX44" s="26">
        <f t="shared" si="500"/>
        <v>0</v>
      </c>
      <c r="BY44" s="26">
        <f t="shared" si="500"/>
        <v>194.49000000000009</v>
      </c>
      <c r="BZ44" s="26">
        <f t="shared" si="500"/>
        <v>260.3400000000002</v>
      </c>
      <c r="CA44" s="26">
        <f t="shared" si="500"/>
        <v>252.97999999999982</v>
      </c>
      <c r="CB44" s="26">
        <f t="shared" si="500"/>
        <v>213.28000000000017</v>
      </c>
      <c r="CC44" s="26">
        <f t="shared" si="500"/>
        <v>234.9999999999998</v>
      </c>
      <c r="CD44" s="26">
        <f t="shared" si="500"/>
        <v>230.78999999999991</v>
      </c>
      <c r="CE44" s="26">
        <f t="shared" ref="CE44:CF44" si="501">CE40+CE41-CE42</f>
        <v>219.63999999999993</v>
      </c>
      <c r="CF44" s="26">
        <f t="shared" si="501"/>
        <v>217.47999999999996</v>
      </c>
      <c r="CG44" s="26">
        <f t="shared" ref="CG44:CH44" si="502">CG40+CG41-CG42</f>
        <v>225.69000000000011</v>
      </c>
      <c r="CH44" s="26">
        <f t="shared" si="502"/>
        <v>254.5300000000002</v>
      </c>
      <c r="CI44" s="26">
        <f t="shared" ref="CI44:CJ44" si="503">CI40+CI41-CI42</f>
        <v>227.74999999999989</v>
      </c>
      <c r="CJ44" s="26">
        <f t="shared" si="503"/>
        <v>220.55999999999995</v>
      </c>
      <c r="CK44" s="26">
        <f t="shared" ref="CK44:CL44" si="504">CK40+CK41-CK42</f>
        <v>179.56000000000012</v>
      </c>
      <c r="CL44" s="26">
        <f t="shared" si="504"/>
        <v>220.56000000000012</v>
      </c>
      <c r="CM44" s="27">
        <f t="shared" ref="CM44:DB44" si="505">CM40+CM41-CM42</f>
        <v>31.961335654274837</v>
      </c>
      <c r="CN44" s="27">
        <f t="shared" si="505"/>
        <v>124.98761210389846</v>
      </c>
      <c r="CO44" s="27">
        <f t="shared" si="505"/>
        <v>184.2981324526088</v>
      </c>
      <c r="CP44" s="27">
        <f t="shared" si="505"/>
        <v>269.49659048229393</v>
      </c>
      <c r="CQ44" s="27">
        <f t="shared" si="505"/>
        <v>248.23854822605958</v>
      </c>
      <c r="CR44" s="27">
        <f t="shared" si="505"/>
        <v>298.35408724209424</v>
      </c>
      <c r="CS44" s="27">
        <f t="shared" si="505"/>
        <v>335.0514951163114</v>
      </c>
      <c r="CT44" s="27">
        <f t="shared" si="505"/>
        <v>416.77316815900434</v>
      </c>
      <c r="CU44" s="27">
        <f t="shared" si="505"/>
        <v>350.16335748396114</v>
      </c>
      <c r="CV44" s="27">
        <f t="shared" si="505"/>
        <v>414.30993811539497</v>
      </c>
      <c r="CW44" s="27">
        <f t="shared" si="505"/>
        <v>457.60318556197603</v>
      </c>
      <c r="CX44" s="27">
        <f t="shared" si="505"/>
        <v>551.17401082253343</v>
      </c>
      <c r="CY44" s="27">
        <f t="shared" si="505"/>
        <v>478.11687546132174</v>
      </c>
      <c r="CZ44" s="27">
        <f t="shared" si="505"/>
        <v>542.04035195752147</v>
      </c>
      <c r="DA44" s="27">
        <f t="shared" si="505"/>
        <v>585.366380606544</v>
      </c>
      <c r="DB44" s="27">
        <f t="shared" si="505"/>
        <v>694.46507502465136</v>
      </c>
      <c r="DE44" s="121"/>
      <c r="DF44" s="26">
        <v>205.42737144275122</v>
      </c>
    </row>
    <row r="45" spans="1:110" s="23" customFormat="1" x14ac:dyDescent="0.2">
      <c r="A45" s="23" t="s">
        <v>21</v>
      </c>
      <c r="B45" s="23">
        <f>'Annual Raw'!C30</f>
        <v>0</v>
      </c>
      <c r="C45" s="23">
        <f>'Annual Raw'!D30</f>
        <v>0</v>
      </c>
      <c r="D45" s="23">
        <f>'Annual Raw'!E30</f>
        <v>0</v>
      </c>
      <c r="E45" s="23">
        <f>'Annual Raw'!F30</f>
        <v>-6.5331299999999995E-2</v>
      </c>
      <c r="F45" s="23">
        <f>'Annual Raw'!G30</f>
        <v>2.9473897</v>
      </c>
      <c r="G45" s="23">
        <f>'Annual Raw'!H30</f>
        <v>7.9183000000000003</v>
      </c>
      <c r="H45" s="23">
        <f>'Annual Raw'!I30</f>
        <v>8.1417000000000002</v>
      </c>
      <c r="I45" s="23">
        <f>'Annual Raw'!J30</f>
        <v>21.371400000000001</v>
      </c>
      <c r="J45" s="23">
        <f>'Annual Raw'!K30</f>
        <v>27.025099999999998</v>
      </c>
      <c r="K45" s="23">
        <f>'Annual Raw'!L30</f>
        <v>34.967700000000001</v>
      </c>
      <c r="L45" s="23">
        <f>'Annual Raw'!M30</f>
        <v>40.899099999999997</v>
      </c>
      <c r="M45" s="23">
        <f>'Annual Raw'!N30</f>
        <v>63.46</v>
      </c>
      <c r="N45" s="23">
        <f>'Annual Raw'!O30</f>
        <v>91.7</v>
      </c>
      <c r="O45" s="23">
        <f>'Annual Raw'!P30</f>
        <v>64.349999999999994</v>
      </c>
      <c r="P45" s="23">
        <f>'Annual Raw'!Q30</f>
        <v>95.69</v>
      </c>
      <c r="Q45" s="23">
        <f>'Annual Raw'!R30</f>
        <v>79.97</v>
      </c>
      <c r="R45" s="23">
        <f>'Annual Raw'!S30</f>
        <v>99.18</v>
      </c>
      <c r="S45" s="23">
        <f>'Annual Raw'!T30</f>
        <v>90.72</v>
      </c>
      <c r="T45" s="23">
        <f>'Annual Raw'!U30</f>
        <v>118.34</v>
      </c>
      <c r="U45" s="23">
        <f>'Annual Raw'!V30</f>
        <v>140.42400000000001</v>
      </c>
      <c r="V45" s="23">
        <f>'Annual Raw'!W30</f>
        <v>76.091999999999999</v>
      </c>
      <c r="W45" s="23">
        <f>'Annual Raw'!X30</f>
        <v>149.86500000000001</v>
      </c>
      <c r="X45" s="23">
        <f>'Annual Raw'!Y30</f>
        <v>172.12</v>
      </c>
      <c r="Y45" s="23">
        <f>'Annual Raw'!Z30</f>
        <v>252.68</v>
      </c>
      <c r="Z45" s="23">
        <f>'Annual Raw'!AA30</f>
        <v>244.45</v>
      </c>
      <c r="AA45" s="23">
        <f>'Annual Raw'!AB30</f>
        <v>218.13</v>
      </c>
      <c r="AB45" s="24">
        <f>+SUM(CM45:CP45)</f>
        <v>155.00962462477716</v>
      </c>
      <c r="AC45" s="24">
        <f>+SUM(CQ45:CT45)</f>
        <v>327.69846294760839</v>
      </c>
      <c r="AD45" s="24">
        <f>+SUM(CU45:CX45)</f>
        <v>448.23642023302568</v>
      </c>
      <c r="AE45" s="24">
        <f>+SUM(CY45:DB45)</f>
        <v>581.65535227394741</v>
      </c>
      <c r="AI45" s="23">
        <f>'QTR Raw'!C29</f>
        <v>0</v>
      </c>
      <c r="AJ45" s="23">
        <f>'QTR Raw'!D29</f>
        <v>0</v>
      </c>
      <c r="AK45" s="23">
        <f>'QTR Raw'!E29</f>
        <v>0</v>
      </c>
      <c r="AL45" s="23">
        <f>'QTR Raw'!F29</f>
        <v>0</v>
      </c>
      <c r="AM45" s="23">
        <f>'QTR Raw'!G29</f>
        <v>0</v>
      </c>
      <c r="AN45" s="23">
        <f>'QTR Raw'!H29</f>
        <v>0</v>
      </c>
      <c r="AO45" s="23">
        <f>'QTR Raw'!I29</f>
        <v>0</v>
      </c>
      <c r="AP45" s="23">
        <f>'QTR Raw'!J29</f>
        <v>0</v>
      </c>
      <c r="AQ45" s="23">
        <f>'QTR Raw'!K29</f>
        <v>0</v>
      </c>
      <c r="AR45" s="23">
        <f>'QTR Raw'!L29</f>
        <v>0</v>
      </c>
      <c r="AS45" s="23">
        <f>'QTR Raw'!M29</f>
        <v>0</v>
      </c>
      <c r="AT45" s="23">
        <f>'QTR Raw'!N29</f>
        <v>0</v>
      </c>
      <c r="AU45" s="23">
        <f>'QTR Raw'!O29</f>
        <v>0</v>
      </c>
      <c r="AV45" s="23">
        <f>'QTR Raw'!P29</f>
        <v>0</v>
      </c>
      <c r="AW45" s="23">
        <f>'QTR Raw'!Q29</f>
        <v>0</v>
      </c>
      <c r="AX45" s="23">
        <f>'QTR Raw'!R29</f>
        <v>0</v>
      </c>
      <c r="AY45" s="23">
        <f>'QTR Raw'!S29</f>
        <v>0</v>
      </c>
      <c r="AZ45" s="23">
        <f>'QTR Raw'!T29</f>
        <v>0</v>
      </c>
      <c r="BA45" s="23">
        <f>'QTR Raw'!U29</f>
        <v>0</v>
      </c>
      <c r="BB45" s="23">
        <f>'QTR Raw'!V29</f>
        <v>0</v>
      </c>
      <c r="BC45" s="23">
        <f>'QTR Raw'!W29</f>
        <v>0</v>
      </c>
      <c r="BD45" s="23">
        <f>'QTR Raw'!X29</f>
        <v>0</v>
      </c>
      <c r="BE45" s="23">
        <f>'QTR Raw'!Y29</f>
        <v>0</v>
      </c>
      <c r="BF45" s="23">
        <f>'QTR Raw'!Z29</f>
        <v>0</v>
      </c>
      <c r="BG45" s="23">
        <f>'QTR Raw'!AA29</f>
        <v>0</v>
      </c>
      <c r="BH45" s="23">
        <f>'QTR Raw'!AB29</f>
        <v>0</v>
      </c>
      <c r="BI45" s="23">
        <f>'QTR Raw'!AC29</f>
        <v>0</v>
      </c>
      <c r="BJ45" s="23">
        <f>'QTR Raw'!AD29</f>
        <v>0</v>
      </c>
      <c r="BK45" s="23">
        <f>'QTR Raw'!AE29</f>
        <v>0</v>
      </c>
      <c r="BL45" s="23">
        <f>'QTR Raw'!AF29</f>
        <v>0</v>
      </c>
      <c r="BM45" s="23">
        <f>'QTR Raw'!AG29</f>
        <v>0</v>
      </c>
      <c r="BN45" s="23">
        <f>'QTR Raw'!AH29</f>
        <v>0</v>
      </c>
      <c r="BO45" s="23">
        <f>'QTR Raw'!AI29</f>
        <v>0</v>
      </c>
      <c r="BP45" s="23">
        <f>'QTR Raw'!AJ29</f>
        <v>0</v>
      </c>
      <c r="BQ45" s="23">
        <f>'QTR Raw'!AK29</f>
        <v>0</v>
      </c>
      <c r="BR45" s="23">
        <f>'QTR Raw'!AL29</f>
        <v>0</v>
      </c>
      <c r="BS45" s="23">
        <f>'QTR Raw'!AM29</f>
        <v>0</v>
      </c>
      <c r="BT45" s="23">
        <f>'QTR Raw'!AN29</f>
        <v>0</v>
      </c>
      <c r="BU45" s="23">
        <f>'QTR Raw'!AO29</f>
        <v>0</v>
      </c>
      <c r="BV45" s="23">
        <f>'QTR Raw'!AP29</f>
        <v>0</v>
      </c>
      <c r="BW45" s="23">
        <f>'QTR Raw'!AQ29</f>
        <v>0</v>
      </c>
      <c r="BX45" s="23">
        <f>'QTR Raw'!AR29</f>
        <v>0</v>
      </c>
      <c r="BY45" s="23">
        <f>'QTR Raw'!AS29</f>
        <v>46.11</v>
      </c>
      <c r="BZ45" s="23">
        <f>'QTR Raw'!AT29</f>
        <v>43.78</v>
      </c>
      <c r="CA45" s="23">
        <f>'QTR Raw'!AU29</f>
        <v>61.45</v>
      </c>
      <c r="CB45" s="23">
        <f>'QTR Raw'!AV29</f>
        <v>52.9</v>
      </c>
      <c r="CC45" s="23">
        <f>'QTR Raw'!AW29</f>
        <v>64.78</v>
      </c>
      <c r="CD45" s="23">
        <f>'QTR Raw'!AX29</f>
        <v>73.55</v>
      </c>
      <c r="CE45" s="23">
        <f>'QTR Raw'!AY29</f>
        <v>57.61</v>
      </c>
      <c r="CF45" s="23">
        <f>'QTR Raw'!AZ29</f>
        <v>60.07</v>
      </c>
      <c r="CG45" s="23">
        <f>'QTR Raw'!BA29</f>
        <v>57.55</v>
      </c>
      <c r="CH45" s="23">
        <f>'QTR Raw'!BB29</f>
        <v>69.22</v>
      </c>
      <c r="CI45" s="23">
        <f>'QTR Raw'!BC29</f>
        <v>62.27</v>
      </c>
      <c r="CJ45" s="23">
        <f>'QTR Raw'!BD29</f>
        <v>60.37</v>
      </c>
      <c r="CK45" s="23">
        <f>'QTR Raw'!BE29</f>
        <v>16.329999999999998</v>
      </c>
      <c r="CL45" s="23">
        <f>'QTR Raw'!BF29</f>
        <v>79.16</v>
      </c>
      <c r="CM45" s="24">
        <f t="shared" ref="CM45:DB45" si="506">+CM44*CM46</f>
        <v>7.9661658462526921</v>
      </c>
      <c r="CN45" s="24">
        <f t="shared" si="506"/>
        <v>30.397154131494908</v>
      </c>
      <c r="CO45" s="24">
        <f t="shared" si="506"/>
        <v>43.415770243669222</v>
      </c>
      <c r="CP45" s="24">
        <f t="shared" si="506"/>
        <v>73.230534403360338</v>
      </c>
      <c r="CQ45" s="24">
        <f t="shared" si="506"/>
        <v>62.044096340654562</v>
      </c>
      <c r="CR45" s="24">
        <f t="shared" si="506"/>
        <v>74.621575412235941</v>
      </c>
      <c r="CS45" s="24">
        <f t="shared" si="506"/>
        <v>84.378748464406769</v>
      </c>
      <c r="CT45" s="24">
        <f t="shared" si="506"/>
        <v>106.65404273031112</v>
      </c>
      <c r="CU45" s="24">
        <f t="shared" si="506"/>
        <v>88.22283716765179</v>
      </c>
      <c r="CV45" s="24">
        <f t="shared" si="506"/>
        <v>104.59263548350067</v>
      </c>
      <c r="CW45" s="24">
        <f t="shared" si="506"/>
        <v>115.78965855705559</v>
      </c>
      <c r="CX45" s="24">
        <f t="shared" si="506"/>
        <v>139.63128902481765</v>
      </c>
      <c r="CY45" s="24">
        <f t="shared" si="506"/>
        <v>120.81622215677679</v>
      </c>
      <c r="CZ45" s="24">
        <f t="shared" si="506"/>
        <v>137.07000295752206</v>
      </c>
      <c r="DA45" s="24">
        <f t="shared" si="506"/>
        <v>148.088777274943</v>
      </c>
      <c r="DB45" s="24">
        <f t="shared" si="506"/>
        <v>175.68034988470558</v>
      </c>
      <c r="DE45" s="123"/>
      <c r="DF45" s="23">
        <v>46.735905962122096</v>
      </c>
    </row>
    <row r="46" spans="1:110" s="90" customFormat="1" x14ac:dyDescent="0.2">
      <c r="A46" s="90" t="s">
        <v>106</v>
      </c>
      <c r="B46" s="90" t="e">
        <f t="shared" ref="B46:E46" si="507">B45/B44</f>
        <v>#DIV/0!</v>
      </c>
      <c r="C46" s="90" t="e">
        <f t="shared" si="507"/>
        <v>#DIV/0!</v>
      </c>
      <c r="D46" s="90" t="e">
        <f t="shared" si="507"/>
        <v>#DIV/0!</v>
      </c>
      <c r="E46" s="90">
        <f t="shared" si="507"/>
        <v>-8.227146944171251E-3</v>
      </c>
      <c r="F46" s="90">
        <f t="shared" ref="F46:T46" si="508">F45/F44</f>
        <v>0.2763894754863559</v>
      </c>
      <c r="G46" s="90">
        <f t="shared" si="508"/>
        <v>0.40793690045644848</v>
      </c>
      <c r="H46" s="90">
        <f t="shared" si="508"/>
        <v>0.29374497147949374</v>
      </c>
      <c r="I46" s="90">
        <f t="shared" si="508"/>
        <v>0.42130973995635312</v>
      </c>
      <c r="J46" s="90">
        <f t="shared" si="508"/>
        <v>0.29093471244668428</v>
      </c>
      <c r="K46" s="90">
        <f t="shared" si="508"/>
        <v>0.27480910631261657</v>
      </c>
      <c r="L46" s="90">
        <f t="shared" si="508"/>
        <v>0.22732810782148175</v>
      </c>
      <c r="M46" s="90">
        <f t="shared" si="508"/>
        <v>0.23345473273737258</v>
      </c>
      <c r="N46" s="90">
        <f t="shared" si="508"/>
        <v>0.23367224727976965</v>
      </c>
      <c r="O46" s="90">
        <f t="shared" si="508"/>
        <v>0.1906271291880203</v>
      </c>
      <c r="P46" s="90">
        <f t="shared" si="508"/>
        <v>0.22265915860014915</v>
      </c>
      <c r="Q46" s="90">
        <f t="shared" si="508"/>
        <v>0.17258718922651931</v>
      </c>
      <c r="R46" s="90">
        <f t="shared" si="508"/>
        <v>0.21566964576945671</v>
      </c>
      <c r="S46" s="90">
        <f t="shared" si="508"/>
        <v>0.26306327205242702</v>
      </c>
      <c r="T46" s="90">
        <f t="shared" si="508"/>
        <v>0.24800905356693728</v>
      </c>
      <c r="U46" s="90">
        <f t="shared" ref="U46:Z46" si="509">U45/U44</f>
        <v>0.3505622016736239</v>
      </c>
      <c r="V46" s="90">
        <f t="shared" si="509"/>
        <v>0.23728327304477975</v>
      </c>
      <c r="W46" s="90">
        <f t="shared" si="509"/>
        <v>0.25536928991098307</v>
      </c>
      <c r="X46" s="90">
        <f t="shared" si="509"/>
        <v>0.21619041637882314</v>
      </c>
      <c r="Y46" s="90">
        <f t="shared" si="509"/>
        <v>0.27110133576524847</v>
      </c>
      <c r="Z46" s="90">
        <f t="shared" si="509"/>
        <v>0.26647698781258849</v>
      </c>
      <c r="AA46" s="90">
        <f t="shared" ref="AA46" si="510">AA45/AA44</f>
        <v>0.25709840528977085</v>
      </c>
      <c r="AB46" s="91">
        <f t="shared" ref="AA46:AD46" si="511">AB45/AB44</f>
        <v>0.25380471720463493</v>
      </c>
      <c r="AC46" s="91">
        <f t="shared" si="511"/>
        <v>0.25238300757756016</v>
      </c>
      <c r="AD46" s="91">
        <f t="shared" si="511"/>
        <v>0.25277670710332117</v>
      </c>
      <c r="AE46" s="91">
        <f t="shared" ref="AE46" si="512">AE45/AE44</f>
        <v>0.25289487577069653</v>
      </c>
      <c r="AI46" s="90" t="e">
        <f t="shared" ref="AI46" si="513">AI45/AI44</f>
        <v>#DIV/0!</v>
      </c>
      <c r="AJ46" s="90" t="e">
        <f t="shared" ref="AJ46" si="514">AJ45/AJ44</f>
        <v>#DIV/0!</v>
      </c>
      <c r="AK46" s="90" t="e">
        <f t="shared" ref="AK46:AM46" si="515">AK45/AK44</f>
        <v>#DIV/0!</v>
      </c>
      <c r="AL46" s="90" t="e">
        <f t="shared" si="515"/>
        <v>#DIV/0!</v>
      </c>
      <c r="AM46" s="90" t="e">
        <f t="shared" si="515"/>
        <v>#DIV/0!</v>
      </c>
      <c r="AN46" s="90" t="e">
        <f t="shared" ref="AN46:AO46" si="516">AN45/AN44</f>
        <v>#DIV/0!</v>
      </c>
      <c r="AO46" s="90" t="e">
        <f t="shared" si="516"/>
        <v>#DIV/0!</v>
      </c>
      <c r="AP46" s="90" t="e">
        <f t="shared" ref="AP46:CD46" si="517">AP45/AP44</f>
        <v>#DIV/0!</v>
      </c>
      <c r="AQ46" s="90" t="e">
        <f t="shared" si="517"/>
        <v>#DIV/0!</v>
      </c>
      <c r="AR46" s="90" t="e">
        <f t="shared" si="517"/>
        <v>#DIV/0!</v>
      </c>
      <c r="AS46" s="90" t="e">
        <f t="shared" si="517"/>
        <v>#DIV/0!</v>
      </c>
      <c r="AT46" s="90" t="e">
        <f t="shared" si="517"/>
        <v>#DIV/0!</v>
      </c>
      <c r="AU46" s="90" t="e">
        <f t="shared" si="517"/>
        <v>#DIV/0!</v>
      </c>
      <c r="AV46" s="90" t="e">
        <f t="shared" si="517"/>
        <v>#DIV/0!</v>
      </c>
      <c r="AW46" s="90" t="e">
        <f t="shared" si="517"/>
        <v>#DIV/0!</v>
      </c>
      <c r="AX46" s="90" t="e">
        <f t="shared" si="517"/>
        <v>#DIV/0!</v>
      </c>
      <c r="AY46" s="90" t="e">
        <f t="shared" si="517"/>
        <v>#DIV/0!</v>
      </c>
      <c r="AZ46" s="90" t="e">
        <f t="shared" si="517"/>
        <v>#DIV/0!</v>
      </c>
      <c r="BA46" s="90" t="e">
        <f t="shared" si="517"/>
        <v>#DIV/0!</v>
      </c>
      <c r="BB46" s="90" t="e">
        <f t="shared" si="517"/>
        <v>#DIV/0!</v>
      </c>
      <c r="BC46" s="90" t="e">
        <f t="shared" si="517"/>
        <v>#DIV/0!</v>
      </c>
      <c r="BD46" s="90" t="e">
        <f t="shared" si="517"/>
        <v>#DIV/0!</v>
      </c>
      <c r="BE46" s="90" t="e">
        <f t="shared" si="517"/>
        <v>#DIV/0!</v>
      </c>
      <c r="BF46" s="90" t="e">
        <f t="shared" si="517"/>
        <v>#DIV/0!</v>
      </c>
      <c r="BG46" s="90" t="e">
        <f t="shared" si="517"/>
        <v>#DIV/0!</v>
      </c>
      <c r="BH46" s="90" t="e">
        <f t="shared" si="517"/>
        <v>#DIV/0!</v>
      </c>
      <c r="BI46" s="90" t="e">
        <f t="shared" si="517"/>
        <v>#DIV/0!</v>
      </c>
      <c r="BJ46" s="90" t="e">
        <f t="shared" si="517"/>
        <v>#DIV/0!</v>
      </c>
      <c r="BK46" s="90" t="e">
        <f t="shared" si="517"/>
        <v>#DIV/0!</v>
      </c>
      <c r="BL46" s="90" t="e">
        <f t="shared" si="517"/>
        <v>#DIV/0!</v>
      </c>
      <c r="BM46" s="90" t="e">
        <f t="shared" si="517"/>
        <v>#DIV/0!</v>
      </c>
      <c r="BN46" s="90" t="e">
        <f t="shared" si="517"/>
        <v>#DIV/0!</v>
      </c>
      <c r="BO46" s="90" t="e">
        <f t="shared" si="517"/>
        <v>#DIV/0!</v>
      </c>
      <c r="BP46" s="90" t="e">
        <f t="shared" si="517"/>
        <v>#DIV/0!</v>
      </c>
      <c r="BQ46" s="90" t="e">
        <f t="shared" si="517"/>
        <v>#DIV/0!</v>
      </c>
      <c r="BR46" s="90" t="e">
        <f t="shared" si="517"/>
        <v>#DIV/0!</v>
      </c>
      <c r="BS46" s="90" t="e">
        <f t="shared" si="517"/>
        <v>#DIV/0!</v>
      </c>
      <c r="BT46" s="90" t="e">
        <f t="shared" si="517"/>
        <v>#DIV/0!</v>
      </c>
      <c r="BU46" s="90" t="e">
        <f t="shared" si="517"/>
        <v>#DIV/0!</v>
      </c>
      <c r="BV46" s="90" t="e">
        <f t="shared" si="517"/>
        <v>#DIV/0!</v>
      </c>
      <c r="BW46" s="90" t="e">
        <f t="shared" si="517"/>
        <v>#DIV/0!</v>
      </c>
      <c r="BX46" s="90" t="e">
        <f t="shared" si="517"/>
        <v>#DIV/0!</v>
      </c>
      <c r="BY46" s="90">
        <f t="shared" si="517"/>
        <v>0.2370815980256053</v>
      </c>
      <c r="BZ46" s="90">
        <f t="shared" si="517"/>
        <v>0.16816470768994379</v>
      </c>
      <c r="CA46" s="90">
        <f t="shared" si="517"/>
        <v>0.24290457743695174</v>
      </c>
      <c r="CB46" s="90">
        <f t="shared" si="517"/>
        <v>0.24803075768942215</v>
      </c>
      <c r="CC46" s="90">
        <f t="shared" si="517"/>
        <v>0.27565957446808537</v>
      </c>
      <c r="CD46" s="90">
        <f t="shared" si="517"/>
        <v>0.31868798474803944</v>
      </c>
      <c r="CE46" s="90">
        <f t="shared" ref="CE46:CF46" si="518">CE45/CE44</f>
        <v>0.262292842833728</v>
      </c>
      <c r="CF46" s="90">
        <f t="shared" si="518"/>
        <v>0.27620930660290605</v>
      </c>
      <c r="CG46" s="90">
        <f t="shared" ref="CG46:CH46" si="519">CG45/CG44</f>
        <v>0.25499579068633954</v>
      </c>
      <c r="CH46" s="90">
        <f t="shared" si="519"/>
        <v>0.27195222567084409</v>
      </c>
      <c r="CI46" s="90">
        <f t="shared" ref="CI46:CJ46" si="520">CI45/CI44</f>
        <v>0.27341383095499466</v>
      </c>
      <c r="CJ46" s="90">
        <f t="shared" si="520"/>
        <v>0.27371236851650349</v>
      </c>
      <c r="CK46" s="90">
        <f t="shared" ref="CK46:CL46" si="521">CK45/CK44</f>
        <v>9.0944531075963397E-2</v>
      </c>
      <c r="CL46" s="90">
        <f t="shared" si="521"/>
        <v>0.35890460645629285</v>
      </c>
      <c r="CM46" s="91">
        <f t="shared" ref="CM46:DB46" si="522">AVERAGE(CI46:CL46)</f>
        <v>0.2492438342509386</v>
      </c>
      <c r="CN46" s="91">
        <f t="shared" si="522"/>
        <v>0.24320133507492459</v>
      </c>
      <c r="CO46" s="91">
        <f t="shared" si="522"/>
        <v>0.23557357671452986</v>
      </c>
      <c r="CP46" s="91">
        <f t="shared" si="522"/>
        <v>0.27173083812417148</v>
      </c>
      <c r="CQ46" s="91">
        <f t="shared" si="522"/>
        <v>0.24993739604114112</v>
      </c>
      <c r="CR46" s="91">
        <f t="shared" si="522"/>
        <v>0.25011078648869173</v>
      </c>
      <c r="CS46" s="91">
        <f t="shared" si="522"/>
        <v>0.25183814934213355</v>
      </c>
      <c r="CT46" s="91">
        <f t="shared" si="522"/>
        <v>0.25590429249903446</v>
      </c>
      <c r="CU46" s="91">
        <f t="shared" si="522"/>
        <v>0.25194765609275022</v>
      </c>
      <c r="CV46" s="91">
        <f t="shared" si="522"/>
        <v>0.25245022110565252</v>
      </c>
      <c r="CW46" s="91">
        <f t="shared" si="522"/>
        <v>0.2530350797598927</v>
      </c>
      <c r="CX46" s="91">
        <f t="shared" si="522"/>
        <v>0.25333431236433246</v>
      </c>
      <c r="CY46" s="91">
        <f t="shared" si="522"/>
        <v>0.25269181733065699</v>
      </c>
      <c r="CZ46" s="91">
        <f t="shared" si="522"/>
        <v>0.25287785764013365</v>
      </c>
      <c r="DA46" s="91">
        <f t="shared" si="522"/>
        <v>0.25298476677375392</v>
      </c>
      <c r="DB46" s="91">
        <f t="shared" si="522"/>
        <v>0.25297218852721925</v>
      </c>
      <c r="DE46" s="127"/>
      <c r="DF46" s="90">
        <v>0.22750573905457638</v>
      </c>
    </row>
    <row r="47" spans="1:110" s="26" customFormat="1" x14ac:dyDescent="0.2">
      <c r="A47" s="26" t="s">
        <v>22</v>
      </c>
      <c r="B47" s="26">
        <f t="shared" ref="B47:E47" si="523">B44-B45</f>
        <v>0</v>
      </c>
      <c r="C47" s="26">
        <f t="shared" si="523"/>
        <v>0</v>
      </c>
      <c r="D47" s="26">
        <f t="shared" si="523"/>
        <v>0</v>
      </c>
      <c r="E47" s="26">
        <f t="shared" si="523"/>
        <v>8.0062737000000084</v>
      </c>
      <c r="F47" s="26">
        <f t="shared" ref="F47:T47" si="524">F44-F45</f>
        <v>7.7165101999999877</v>
      </c>
      <c r="G47" s="26">
        <f t="shared" si="524"/>
        <v>11.492300000000151</v>
      </c>
      <c r="H47" s="26">
        <f t="shared" si="524"/>
        <v>19.575200000000066</v>
      </c>
      <c r="I47" s="26">
        <f t="shared" si="524"/>
        <v>29.354700000000086</v>
      </c>
      <c r="J47" s="26">
        <f t="shared" si="524"/>
        <v>65.865500000000097</v>
      </c>
      <c r="K47" s="26">
        <f t="shared" si="524"/>
        <v>92.27589999999978</v>
      </c>
      <c r="L47" s="26">
        <f t="shared" si="524"/>
        <v>139.01310000000004</v>
      </c>
      <c r="M47" s="26">
        <f t="shared" si="524"/>
        <v>208.37000000000003</v>
      </c>
      <c r="N47" s="26">
        <f t="shared" si="524"/>
        <v>300.73</v>
      </c>
      <c r="O47" s="26">
        <f t="shared" si="524"/>
        <v>273.21999999999991</v>
      </c>
      <c r="P47" s="26">
        <f t="shared" si="524"/>
        <v>334.06999999999954</v>
      </c>
      <c r="Q47" s="26">
        <f t="shared" si="524"/>
        <v>383.3900000000001</v>
      </c>
      <c r="R47" s="26">
        <f t="shared" si="524"/>
        <v>360.68999999999977</v>
      </c>
      <c r="S47" s="26">
        <f t="shared" si="524"/>
        <v>254.14000000000007</v>
      </c>
      <c r="T47" s="26">
        <f t="shared" si="524"/>
        <v>358.82000000000085</v>
      </c>
      <c r="U47" s="26">
        <f t="shared" ref="U47:Z47" si="525">U44-U45</f>
        <v>260.14399999999955</v>
      </c>
      <c r="V47" s="26">
        <f t="shared" si="525"/>
        <v>244.58800000000014</v>
      </c>
      <c r="W47" s="26">
        <f t="shared" si="525"/>
        <v>436.99100000000044</v>
      </c>
      <c r="X47" s="26">
        <f t="shared" si="525"/>
        <v>624.02999999999986</v>
      </c>
      <c r="Y47" s="26">
        <f t="shared" si="525"/>
        <v>679.37000000000057</v>
      </c>
      <c r="Z47" s="26">
        <f t="shared" si="525"/>
        <v>672.8900000000001</v>
      </c>
      <c r="AA47" s="26">
        <f t="shared" ref="AA47" si="526">AA44-AA45</f>
        <v>630.29999999999882</v>
      </c>
      <c r="AB47" s="27">
        <f t="shared" ref="AA47:AD47" si="527">AB44-AB45</f>
        <v>455.73404606830002</v>
      </c>
      <c r="AC47" s="27">
        <f t="shared" si="527"/>
        <v>970.71883579586154</v>
      </c>
      <c r="AD47" s="27">
        <f t="shared" si="527"/>
        <v>1325.0140717508398</v>
      </c>
      <c r="AE47" s="27">
        <f t="shared" ref="AE47" si="528">AE44-AE45</f>
        <v>1718.3333307760913</v>
      </c>
      <c r="AI47" s="26">
        <f>AI44-AI45</f>
        <v>0</v>
      </c>
      <c r="AJ47" s="26">
        <f t="shared" ref="AJ47" si="529">AJ44-AJ45</f>
        <v>0</v>
      </c>
      <c r="AK47" s="26">
        <f t="shared" ref="AK47:AM47" si="530">AK44-AK45</f>
        <v>0</v>
      </c>
      <c r="AL47" s="26">
        <f t="shared" si="530"/>
        <v>0</v>
      </c>
      <c r="AM47" s="26">
        <f t="shared" si="530"/>
        <v>0</v>
      </c>
      <c r="AN47" s="26">
        <f t="shared" ref="AN47:AO47" si="531">AN44-AN45</f>
        <v>0</v>
      </c>
      <c r="AO47" s="26">
        <f t="shared" si="531"/>
        <v>0</v>
      </c>
      <c r="AP47" s="26">
        <f t="shared" ref="AP47:CD47" si="532">AP44-AP45</f>
        <v>0</v>
      </c>
      <c r="AQ47" s="26">
        <f t="shared" si="532"/>
        <v>0</v>
      </c>
      <c r="AR47" s="26">
        <f t="shared" si="532"/>
        <v>0</v>
      </c>
      <c r="AS47" s="26">
        <f t="shared" si="532"/>
        <v>0</v>
      </c>
      <c r="AT47" s="26">
        <f t="shared" si="532"/>
        <v>0</v>
      </c>
      <c r="AU47" s="26">
        <f t="shared" si="532"/>
        <v>0</v>
      </c>
      <c r="AV47" s="26">
        <f t="shared" si="532"/>
        <v>0</v>
      </c>
      <c r="AW47" s="26">
        <f t="shared" si="532"/>
        <v>0</v>
      </c>
      <c r="AX47" s="26">
        <f t="shared" si="532"/>
        <v>0</v>
      </c>
      <c r="AY47" s="26">
        <f t="shared" si="532"/>
        <v>0</v>
      </c>
      <c r="AZ47" s="26">
        <f t="shared" si="532"/>
        <v>0</v>
      </c>
      <c r="BA47" s="26">
        <f t="shared" si="532"/>
        <v>0</v>
      </c>
      <c r="BB47" s="26">
        <f t="shared" si="532"/>
        <v>0</v>
      </c>
      <c r="BC47" s="26">
        <f t="shared" si="532"/>
        <v>0</v>
      </c>
      <c r="BD47" s="26">
        <f t="shared" si="532"/>
        <v>0</v>
      </c>
      <c r="BE47" s="26">
        <f t="shared" si="532"/>
        <v>0</v>
      </c>
      <c r="BF47" s="26">
        <f t="shared" si="532"/>
        <v>0</v>
      </c>
      <c r="BG47" s="26">
        <f t="shared" si="532"/>
        <v>0</v>
      </c>
      <c r="BH47" s="26">
        <f t="shared" si="532"/>
        <v>0</v>
      </c>
      <c r="BI47" s="26">
        <f t="shared" si="532"/>
        <v>0</v>
      </c>
      <c r="BJ47" s="26">
        <f t="shared" si="532"/>
        <v>0</v>
      </c>
      <c r="BK47" s="26">
        <f t="shared" si="532"/>
        <v>0</v>
      </c>
      <c r="BL47" s="26">
        <f t="shared" si="532"/>
        <v>0</v>
      </c>
      <c r="BM47" s="26">
        <f t="shared" si="532"/>
        <v>0</v>
      </c>
      <c r="BN47" s="26">
        <f t="shared" si="532"/>
        <v>0</v>
      </c>
      <c r="BO47" s="26">
        <f t="shared" si="532"/>
        <v>0</v>
      </c>
      <c r="BP47" s="26">
        <f t="shared" si="532"/>
        <v>0</v>
      </c>
      <c r="BQ47" s="26">
        <f t="shared" si="532"/>
        <v>0</v>
      </c>
      <c r="BR47" s="26">
        <f t="shared" si="532"/>
        <v>0</v>
      </c>
      <c r="BS47" s="26">
        <f t="shared" si="532"/>
        <v>0</v>
      </c>
      <c r="BT47" s="26">
        <f t="shared" si="532"/>
        <v>0</v>
      </c>
      <c r="BU47" s="26">
        <f t="shared" si="532"/>
        <v>0</v>
      </c>
      <c r="BV47" s="26">
        <f t="shared" si="532"/>
        <v>0</v>
      </c>
      <c r="BW47" s="26">
        <f t="shared" si="532"/>
        <v>0</v>
      </c>
      <c r="BX47" s="26">
        <f t="shared" si="532"/>
        <v>0</v>
      </c>
      <c r="BY47" s="26">
        <f t="shared" si="532"/>
        <v>148.38000000000011</v>
      </c>
      <c r="BZ47" s="26">
        <f t="shared" si="532"/>
        <v>216.5600000000002</v>
      </c>
      <c r="CA47" s="26">
        <f t="shared" si="532"/>
        <v>191.5299999999998</v>
      </c>
      <c r="CB47" s="26">
        <f t="shared" si="532"/>
        <v>160.38000000000017</v>
      </c>
      <c r="CC47" s="26">
        <f t="shared" si="532"/>
        <v>170.2199999999998</v>
      </c>
      <c r="CD47" s="26">
        <f t="shared" si="532"/>
        <v>157.2399999999999</v>
      </c>
      <c r="CE47" s="26">
        <f t="shared" ref="CE47:CF47" si="533">CE44-CE45</f>
        <v>162.02999999999992</v>
      </c>
      <c r="CF47" s="26">
        <f t="shared" si="533"/>
        <v>157.40999999999997</v>
      </c>
      <c r="CG47" s="26">
        <f t="shared" ref="CG47:CH47" si="534">CG44-CG45</f>
        <v>168.1400000000001</v>
      </c>
      <c r="CH47" s="26">
        <f t="shared" si="534"/>
        <v>185.3100000000002</v>
      </c>
      <c r="CI47" s="26">
        <f t="shared" ref="CI47:CJ47" si="535">CI44-CI45</f>
        <v>165.47999999999988</v>
      </c>
      <c r="CJ47" s="26">
        <f t="shared" si="535"/>
        <v>160.18999999999994</v>
      </c>
      <c r="CK47" s="26">
        <f t="shared" ref="CK47:CL47" si="536">CK44-CK45</f>
        <v>163.23000000000013</v>
      </c>
      <c r="CL47" s="26">
        <f t="shared" si="536"/>
        <v>141.40000000000012</v>
      </c>
      <c r="CM47" s="27">
        <f t="shared" ref="CM47:DB47" si="537">CM44-CM45</f>
        <v>23.995169808022144</v>
      </c>
      <c r="CN47" s="27">
        <f t="shared" si="537"/>
        <v>94.590457972403556</v>
      </c>
      <c r="CO47" s="27">
        <f t="shared" si="537"/>
        <v>140.88236220893958</v>
      </c>
      <c r="CP47" s="27">
        <f t="shared" si="537"/>
        <v>196.26605607893359</v>
      </c>
      <c r="CQ47" s="27">
        <f t="shared" si="537"/>
        <v>186.19445188540502</v>
      </c>
      <c r="CR47" s="27">
        <f t="shared" si="537"/>
        <v>223.73251182985831</v>
      </c>
      <c r="CS47" s="27">
        <f t="shared" si="537"/>
        <v>250.67274665190462</v>
      </c>
      <c r="CT47" s="27">
        <f t="shared" si="537"/>
        <v>310.11912542869322</v>
      </c>
      <c r="CU47" s="27">
        <f t="shared" si="537"/>
        <v>261.94052031630935</v>
      </c>
      <c r="CV47" s="27">
        <f t="shared" si="537"/>
        <v>309.71730263189431</v>
      </c>
      <c r="CW47" s="27">
        <f t="shared" si="537"/>
        <v>341.81352700492045</v>
      </c>
      <c r="CX47" s="27">
        <f t="shared" si="537"/>
        <v>411.54272179771579</v>
      </c>
      <c r="CY47" s="27">
        <f t="shared" si="537"/>
        <v>357.30065330454494</v>
      </c>
      <c r="CZ47" s="27">
        <f t="shared" si="537"/>
        <v>404.97034899999937</v>
      </c>
      <c r="DA47" s="27">
        <f t="shared" si="537"/>
        <v>437.27760333160097</v>
      </c>
      <c r="DB47" s="27">
        <f t="shared" si="537"/>
        <v>518.78472513994575</v>
      </c>
      <c r="DE47" s="121"/>
      <c r="DF47" s="26">
        <v>158.69146548062912</v>
      </c>
    </row>
    <row r="48" spans="1:110" s="45" customFormat="1" x14ac:dyDescent="0.2">
      <c r="A48" s="45" t="s">
        <v>107</v>
      </c>
      <c r="B48" s="45" t="e">
        <f t="shared" ref="B48:E48" si="538">+B47/B16</f>
        <v>#DIV/0!</v>
      </c>
      <c r="C48" s="45" t="e">
        <f t="shared" si="538"/>
        <v>#DIV/0!</v>
      </c>
      <c r="D48" s="45" t="e">
        <f t="shared" si="538"/>
        <v>#DIV/0!</v>
      </c>
      <c r="E48" s="45">
        <f t="shared" si="538"/>
        <v>5.9302512302526748E-2</v>
      </c>
      <c r="F48" s="45">
        <f t="shared" ref="F48:AE48" si="539">+F47/F16</f>
        <v>4.3168271403520586E-2</v>
      </c>
      <c r="G48" s="45">
        <f t="shared" si="539"/>
        <v>2.1418748146736121E-2</v>
      </c>
      <c r="H48" s="45">
        <f t="shared" si="539"/>
        <v>2.1053392363251752E-2</v>
      </c>
      <c r="I48" s="45">
        <f t="shared" si="539"/>
        <v>2.7079906605424604E-2</v>
      </c>
      <c r="J48" s="45">
        <f t="shared" si="539"/>
        <v>5.4776688036883854E-2</v>
      </c>
      <c r="K48" s="45">
        <f t="shared" si="539"/>
        <v>8.6208027306774238E-2</v>
      </c>
      <c r="L48" s="45">
        <f t="shared" si="539"/>
        <v>0.11127076204804719</v>
      </c>
      <c r="M48" s="45">
        <f t="shared" si="539"/>
        <v>0.12685299614637682</v>
      </c>
      <c r="N48" s="45">
        <f t="shared" si="539"/>
        <v>0.15074185463659148</v>
      </c>
      <c r="O48" s="45">
        <f t="shared" si="539"/>
        <v>0.11653906033398022</v>
      </c>
      <c r="P48" s="45">
        <f t="shared" si="539"/>
        <v>0.12877573047567634</v>
      </c>
      <c r="Q48" s="45">
        <f t="shared" si="539"/>
        <v>0.14287577607345964</v>
      </c>
      <c r="R48" s="45">
        <f t="shared" si="539"/>
        <v>0.128728207141455</v>
      </c>
      <c r="S48" s="45">
        <f t="shared" si="539"/>
        <v>9.4423885743159922E-2</v>
      </c>
      <c r="T48" s="45">
        <f t="shared" si="539"/>
        <v>0.12195594468103937</v>
      </c>
      <c r="U48" s="45">
        <f t="shared" si="539"/>
        <v>9.1212827242111244E-2</v>
      </c>
      <c r="V48" s="45">
        <f t="shared" si="539"/>
        <v>0.10272874542559556</v>
      </c>
      <c r="W48" s="45">
        <f t="shared" si="539"/>
        <v>0.12380821514174503</v>
      </c>
      <c r="X48" s="45">
        <f t="shared" si="539"/>
        <v>0.14136940496309616</v>
      </c>
      <c r="Y48" s="45">
        <f t="shared" si="539"/>
        <v>0.13276205737512714</v>
      </c>
      <c r="Z48" s="45">
        <f t="shared" ref="Z48:AA48" si="540">+Z47/Z16</f>
        <v>0.13019183701109618</v>
      </c>
      <c r="AA48" s="45">
        <f t="shared" si="540"/>
        <v>0.11448405887128832</v>
      </c>
      <c r="AB48" s="48">
        <f t="shared" si="539"/>
        <v>7.173320011198514E-2</v>
      </c>
      <c r="AC48" s="48">
        <f t="shared" si="539"/>
        <v>0.12490839342259</v>
      </c>
      <c r="AD48" s="48">
        <f t="shared" si="539"/>
        <v>0.13873336185105634</v>
      </c>
      <c r="AE48" s="48">
        <f t="shared" si="539"/>
        <v>0.14625773612382903</v>
      </c>
      <c r="AI48" s="45" t="e">
        <f t="shared" ref="AI48:BN48" si="541">+AI47/AI16</f>
        <v>#DIV/0!</v>
      </c>
      <c r="AJ48" s="45" t="e">
        <f t="shared" si="541"/>
        <v>#DIV/0!</v>
      </c>
      <c r="AK48" s="45" t="e">
        <f t="shared" si="541"/>
        <v>#DIV/0!</v>
      </c>
      <c r="AL48" s="45" t="e">
        <f t="shared" si="541"/>
        <v>#DIV/0!</v>
      </c>
      <c r="AM48" s="45" t="e">
        <f t="shared" si="541"/>
        <v>#DIV/0!</v>
      </c>
      <c r="AN48" s="45" t="e">
        <f t="shared" si="541"/>
        <v>#DIV/0!</v>
      </c>
      <c r="AO48" s="45" t="e">
        <f t="shared" si="541"/>
        <v>#DIV/0!</v>
      </c>
      <c r="AP48" s="45" t="e">
        <f t="shared" si="541"/>
        <v>#DIV/0!</v>
      </c>
      <c r="AQ48" s="45" t="e">
        <f t="shared" si="541"/>
        <v>#DIV/0!</v>
      </c>
      <c r="AR48" s="45" t="e">
        <f t="shared" si="541"/>
        <v>#DIV/0!</v>
      </c>
      <c r="AS48" s="45" t="e">
        <f t="shared" si="541"/>
        <v>#DIV/0!</v>
      </c>
      <c r="AT48" s="45" t="e">
        <f t="shared" si="541"/>
        <v>#DIV/0!</v>
      </c>
      <c r="AU48" s="45" t="e">
        <f t="shared" si="541"/>
        <v>#DIV/0!</v>
      </c>
      <c r="AV48" s="45" t="e">
        <f t="shared" si="541"/>
        <v>#DIV/0!</v>
      </c>
      <c r="AW48" s="45" t="e">
        <f t="shared" si="541"/>
        <v>#DIV/0!</v>
      </c>
      <c r="AX48" s="45" t="e">
        <f t="shared" si="541"/>
        <v>#DIV/0!</v>
      </c>
      <c r="AY48" s="45" t="e">
        <f t="shared" si="541"/>
        <v>#DIV/0!</v>
      </c>
      <c r="AZ48" s="45" t="e">
        <f t="shared" si="541"/>
        <v>#DIV/0!</v>
      </c>
      <c r="BA48" s="45" t="e">
        <f t="shared" si="541"/>
        <v>#DIV/0!</v>
      </c>
      <c r="BB48" s="45" t="e">
        <f t="shared" si="541"/>
        <v>#DIV/0!</v>
      </c>
      <c r="BC48" s="45" t="e">
        <f t="shared" si="541"/>
        <v>#DIV/0!</v>
      </c>
      <c r="BD48" s="45" t="e">
        <f t="shared" si="541"/>
        <v>#DIV/0!</v>
      </c>
      <c r="BE48" s="45" t="e">
        <f t="shared" si="541"/>
        <v>#DIV/0!</v>
      </c>
      <c r="BF48" s="45" t="e">
        <f t="shared" si="541"/>
        <v>#DIV/0!</v>
      </c>
      <c r="BG48" s="45" t="e">
        <f t="shared" si="541"/>
        <v>#DIV/0!</v>
      </c>
      <c r="BH48" s="45" t="e">
        <f t="shared" si="541"/>
        <v>#DIV/0!</v>
      </c>
      <c r="BI48" s="45" t="e">
        <f t="shared" si="541"/>
        <v>#DIV/0!</v>
      </c>
      <c r="BJ48" s="45" t="e">
        <f t="shared" si="541"/>
        <v>#DIV/0!</v>
      </c>
      <c r="BK48" s="45" t="e">
        <f t="shared" si="541"/>
        <v>#DIV/0!</v>
      </c>
      <c r="BL48" s="45" t="e">
        <f t="shared" si="541"/>
        <v>#DIV/0!</v>
      </c>
      <c r="BM48" s="45" t="e">
        <f t="shared" si="541"/>
        <v>#DIV/0!</v>
      </c>
      <c r="BN48" s="45" t="e">
        <f t="shared" si="541"/>
        <v>#DIV/0!</v>
      </c>
      <c r="BO48" s="45" t="e">
        <f t="shared" ref="BO48:CT48" si="542">+BO47/BO16</f>
        <v>#DIV/0!</v>
      </c>
      <c r="BP48" s="45" t="e">
        <f t="shared" si="542"/>
        <v>#DIV/0!</v>
      </c>
      <c r="BQ48" s="45" t="e">
        <f t="shared" si="542"/>
        <v>#DIV/0!</v>
      </c>
      <c r="BR48" s="45" t="e">
        <f t="shared" si="542"/>
        <v>#DIV/0!</v>
      </c>
      <c r="BS48" s="45" t="e">
        <f t="shared" si="542"/>
        <v>#DIV/0!</v>
      </c>
      <c r="BT48" s="45" t="e">
        <f t="shared" si="542"/>
        <v>#DIV/0!</v>
      </c>
      <c r="BU48" s="45" t="e">
        <f t="shared" si="542"/>
        <v>#DIV/0!</v>
      </c>
      <c r="BV48" s="45" t="e">
        <f t="shared" si="542"/>
        <v>#DIV/0!</v>
      </c>
      <c r="BW48" s="45" t="e">
        <f t="shared" si="542"/>
        <v>#DIV/0!</v>
      </c>
      <c r="BX48" s="45" t="e">
        <f t="shared" si="542"/>
        <v>#DIV/0!</v>
      </c>
      <c r="BY48" s="45">
        <f t="shared" si="542"/>
        <v>0.1320235966153272</v>
      </c>
      <c r="BZ48" s="45">
        <f t="shared" si="542"/>
        <v>0.15442209371144988</v>
      </c>
      <c r="CA48" s="45">
        <f t="shared" si="542"/>
        <v>0.15230650561020398</v>
      </c>
      <c r="CB48" s="45">
        <f t="shared" si="542"/>
        <v>0.12636605025331529</v>
      </c>
      <c r="CC48" s="45">
        <f t="shared" si="542"/>
        <v>0.13200977160804978</v>
      </c>
      <c r="CD48" s="45">
        <f t="shared" si="542"/>
        <v>0.12085623150532254</v>
      </c>
      <c r="CE48" s="45">
        <f t="shared" si="542"/>
        <v>0.12768623371710908</v>
      </c>
      <c r="CF48" s="45">
        <f t="shared" si="542"/>
        <v>0.12141617493925717</v>
      </c>
      <c r="CG48" s="45">
        <f t="shared" si="542"/>
        <v>0.12763211829540458</v>
      </c>
      <c r="CH48" s="45">
        <f t="shared" si="542"/>
        <v>0.14413720686034318</v>
      </c>
      <c r="CI48" s="45">
        <f t="shared" ref="CI48:CJ48" si="543">+CI47/CI16</f>
        <v>0.13299150519573402</v>
      </c>
      <c r="CJ48" s="45">
        <f t="shared" si="543"/>
        <v>0.12105068274731166</v>
      </c>
      <c r="CK48" s="45">
        <f t="shared" ref="CK48:CL48" si="544">+CK47/CK16</f>
        <v>0.1195184992641299</v>
      </c>
      <c r="CL48" s="45">
        <f t="shared" si="544"/>
        <v>8.9936522878477643E-2</v>
      </c>
      <c r="CM48" s="48">
        <f t="shared" si="542"/>
        <v>1.7448293795602306E-2</v>
      </c>
      <c r="CN48" s="48">
        <f t="shared" si="542"/>
        <v>6.2900225866348275E-2</v>
      </c>
      <c r="CO48" s="48">
        <f t="shared" si="542"/>
        <v>8.8522369420282146E-2</v>
      </c>
      <c r="CP48" s="48">
        <f t="shared" si="542"/>
        <v>0.10424936620813252</v>
      </c>
      <c r="CQ48" s="48">
        <f t="shared" si="542"/>
        <v>0.11367128441383266</v>
      </c>
      <c r="CR48" s="48">
        <f t="shared" si="542"/>
        <v>0.12269619718085874</v>
      </c>
      <c r="CS48" s="48">
        <f t="shared" si="542"/>
        <v>0.12788903512123589</v>
      </c>
      <c r="CT48" s="48">
        <f t="shared" si="542"/>
        <v>0.1319717190133004</v>
      </c>
      <c r="CU48" s="48">
        <f t="shared" ref="CU48:DB48" si="545">+CU47/CU16</f>
        <v>0.13098510270583871</v>
      </c>
      <c r="CV48" s="48">
        <f t="shared" si="545"/>
        <v>0.13828133776678508</v>
      </c>
      <c r="CW48" s="48">
        <f t="shared" si="545"/>
        <v>0.14152152324420311</v>
      </c>
      <c r="CX48" s="48">
        <f t="shared" si="545"/>
        <v>0.14210803755332352</v>
      </c>
      <c r="CY48" s="48">
        <f t="shared" si="545"/>
        <v>0.14544450211487459</v>
      </c>
      <c r="CZ48" s="48">
        <f t="shared" si="545"/>
        <v>0.14695876054731699</v>
      </c>
      <c r="DA48" s="48">
        <f t="shared" si="545"/>
        <v>0.14709040127441181</v>
      </c>
      <c r="DB48" s="48">
        <f t="shared" si="545"/>
        <v>0.14558161412675635</v>
      </c>
      <c r="DE48" s="129"/>
      <c r="DF48" s="45">
        <v>0.1168277270291445</v>
      </c>
    </row>
    <row r="49" spans="1:110" s="39" customFormat="1" x14ac:dyDescent="0.2">
      <c r="A49" s="39" t="s">
        <v>451</v>
      </c>
      <c r="C49" s="39" t="e">
        <f t="shared" ref="C49:E49" si="546">+IF(B47&lt;0,1-C47/B47,C47/B47-1)</f>
        <v>#DIV/0!</v>
      </c>
      <c r="D49" s="39" t="e">
        <f t="shared" si="546"/>
        <v>#DIV/0!</v>
      </c>
      <c r="E49" s="39" t="e">
        <f t="shared" si="546"/>
        <v>#DIV/0!</v>
      </c>
      <c r="F49" s="39">
        <f t="shared" ref="F49:AE49" si="547">+IF(E47&lt;0,1-F47/E47,F47/E47-1)</f>
        <v>-3.6192055237884269E-2</v>
      </c>
      <c r="G49" s="39">
        <f t="shared" si="547"/>
        <v>0.48931313536009702</v>
      </c>
      <c r="H49" s="39">
        <f t="shared" si="547"/>
        <v>0.70333179607213592</v>
      </c>
      <c r="I49" s="39">
        <f t="shared" si="547"/>
        <v>0.49958621112427903</v>
      </c>
      <c r="J49" s="39">
        <f t="shared" si="547"/>
        <v>1.2437803826985085</v>
      </c>
      <c r="K49" s="39">
        <f t="shared" si="547"/>
        <v>0.40097471362093429</v>
      </c>
      <c r="L49" s="39">
        <f t="shared" si="547"/>
        <v>0.5064941116803019</v>
      </c>
      <c r="M49" s="39">
        <f t="shared" si="547"/>
        <v>0.49892348275090614</v>
      </c>
      <c r="N49" s="39">
        <f t="shared" si="547"/>
        <v>0.44324998800211146</v>
      </c>
      <c r="O49" s="39">
        <f t="shared" si="547"/>
        <v>-9.1477404981212707E-2</v>
      </c>
      <c r="P49" s="39">
        <f t="shared" si="547"/>
        <v>0.222714296171582</v>
      </c>
      <c r="Q49" s="39">
        <f t="shared" si="547"/>
        <v>0.14763372945789999</v>
      </c>
      <c r="R49" s="39">
        <f t="shared" si="547"/>
        <v>-5.9208638722972218E-2</v>
      </c>
      <c r="S49" s="39">
        <f t="shared" si="547"/>
        <v>-0.29540602733649335</v>
      </c>
      <c r="T49" s="39">
        <f t="shared" si="547"/>
        <v>0.41189895333281168</v>
      </c>
      <c r="U49" s="39">
        <f t="shared" si="547"/>
        <v>-0.27500139345633201</v>
      </c>
      <c r="V49" s="39">
        <f t="shared" si="547"/>
        <v>-5.9797650532010915E-2</v>
      </c>
      <c r="W49" s="39">
        <f t="shared" si="547"/>
        <v>0.78664120889005273</v>
      </c>
      <c r="X49" s="39">
        <f t="shared" si="547"/>
        <v>0.42801567995679379</v>
      </c>
      <c r="Y49" s="39">
        <f t="shared" si="547"/>
        <v>8.868163389580741E-2</v>
      </c>
      <c r="Z49" s="39">
        <f t="shared" ref="Z49:AA49" si="548">+IF(Y47&lt;0,1-Z47/Y47,Z47/Y47-1)</f>
        <v>-9.5382486715640535E-3</v>
      </c>
      <c r="AA49" s="39">
        <f t="shared" si="548"/>
        <v>-6.3294149117985476E-2</v>
      </c>
      <c r="AB49" s="40">
        <f t="shared" si="547"/>
        <v>-0.27695693151150103</v>
      </c>
      <c r="AC49" s="40">
        <f t="shared" si="547"/>
        <v>1.1300116683632226</v>
      </c>
      <c r="AD49" s="40">
        <f t="shared" si="547"/>
        <v>0.36498234389827489</v>
      </c>
      <c r="AE49" s="40">
        <f t="shared" si="547"/>
        <v>0.2968415712789596</v>
      </c>
      <c r="AM49" s="39" t="e">
        <f>+IF(AI47&lt;0,1-AM47/AI47,AM47/AI47-1)</f>
        <v>#DIV/0!</v>
      </c>
      <c r="AN49" s="39" t="e">
        <f t="shared" ref="AN49" si="549">+IF(AJ47&lt;0,1-AN47/AJ47,AN47/AJ47-1)</f>
        <v>#DIV/0!</v>
      </c>
      <c r="AO49" s="39" t="e">
        <f t="shared" ref="AO49" si="550">+IF(AK47&lt;0,1-AO47/AK47,AO47/AK47-1)</f>
        <v>#DIV/0!</v>
      </c>
      <c r="AP49" s="39" t="e">
        <f t="shared" ref="AP49" si="551">+IF(AL47&lt;0,1-AP47/AL47,AP47/AL47-1)</f>
        <v>#DIV/0!</v>
      </c>
      <c r="AQ49" s="39" t="e">
        <f t="shared" ref="AQ49" si="552">+IF(AM47&lt;0,1-AQ47/AM47,AQ47/AM47-1)</f>
        <v>#DIV/0!</v>
      </c>
      <c r="AR49" s="39" t="e">
        <f t="shared" ref="AR49" si="553">+IF(AN47&lt;0,1-AR47/AN47,AR47/AN47-1)</f>
        <v>#DIV/0!</v>
      </c>
      <c r="AS49" s="39" t="e">
        <f t="shared" ref="AS49" si="554">+IF(AO47&lt;0,1-AS47/AO47,AS47/AO47-1)</f>
        <v>#DIV/0!</v>
      </c>
      <c r="AT49" s="39" t="e">
        <f t="shared" ref="AT49" si="555">+IF(AP47&lt;0,1-AT47/AP47,AT47/AP47-1)</f>
        <v>#DIV/0!</v>
      </c>
      <c r="AU49" s="39" t="e">
        <f t="shared" ref="AU49" si="556">+IF(AQ47&lt;0,1-AU47/AQ47,AU47/AQ47-1)</f>
        <v>#DIV/0!</v>
      </c>
      <c r="AV49" s="39" t="e">
        <f t="shared" ref="AV49" si="557">+IF(AR47&lt;0,1-AV47/AR47,AV47/AR47-1)</f>
        <v>#DIV/0!</v>
      </c>
      <c r="AW49" s="39" t="e">
        <f t="shared" ref="AW49" si="558">+IF(AS47&lt;0,1-AW47/AS47,AW47/AS47-1)</f>
        <v>#DIV/0!</v>
      </c>
      <c r="AX49" s="39" t="e">
        <f t="shared" ref="AX49" si="559">+IF(AT47&lt;0,1-AX47/AT47,AX47/AT47-1)</f>
        <v>#DIV/0!</v>
      </c>
      <c r="AY49" s="39" t="e">
        <f t="shared" ref="AY49" si="560">+IF(AU47&lt;0,1-AY47/AU47,AY47/AU47-1)</f>
        <v>#DIV/0!</v>
      </c>
      <c r="AZ49" s="39" t="e">
        <f t="shared" ref="AZ49" si="561">+IF(AV47&lt;0,1-AZ47/AV47,AZ47/AV47-1)</f>
        <v>#DIV/0!</v>
      </c>
      <c r="BA49" s="39" t="e">
        <f t="shared" ref="BA49" si="562">+IF(AW47&lt;0,1-BA47/AW47,BA47/AW47-1)</f>
        <v>#DIV/0!</v>
      </c>
      <c r="BB49" s="39" t="e">
        <f t="shared" ref="BB49" si="563">+IF(AX47&lt;0,1-BB47/AX47,BB47/AX47-1)</f>
        <v>#DIV/0!</v>
      </c>
      <c r="BC49" s="39" t="e">
        <f t="shared" ref="BC49" si="564">+IF(AY47&lt;0,1-BC47/AY47,BC47/AY47-1)</f>
        <v>#DIV/0!</v>
      </c>
      <c r="BD49" s="39" t="e">
        <f t="shared" ref="BD49" si="565">+IF(AZ47&lt;0,1-BD47/AZ47,BD47/AZ47-1)</f>
        <v>#DIV/0!</v>
      </c>
      <c r="BE49" s="39" t="e">
        <f t="shared" ref="BE49" si="566">+IF(BA47&lt;0,1-BE47/BA47,BE47/BA47-1)</f>
        <v>#DIV/0!</v>
      </c>
      <c r="BF49" s="39" t="e">
        <f t="shared" ref="BF49" si="567">+IF(BB47&lt;0,1-BF47/BB47,BF47/BB47-1)</f>
        <v>#DIV/0!</v>
      </c>
      <c r="BG49" s="39" t="e">
        <f t="shared" ref="BG49" si="568">+IF(BC47&lt;0,1-BG47/BC47,BG47/BC47-1)</f>
        <v>#DIV/0!</v>
      </c>
      <c r="BH49" s="39" t="e">
        <f t="shared" ref="BH49" si="569">+IF(BD47&lt;0,1-BH47/BD47,BH47/BD47-1)</f>
        <v>#DIV/0!</v>
      </c>
      <c r="BI49" s="39" t="e">
        <f t="shared" ref="BI49" si="570">+IF(BE47&lt;0,1-BI47/BE47,BI47/BE47-1)</f>
        <v>#DIV/0!</v>
      </c>
      <c r="BJ49" s="39" t="e">
        <f t="shared" ref="BJ49" si="571">+IF(BF47&lt;0,1-BJ47/BF47,BJ47/BF47-1)</f>
        <v>#DIV/0!</v>
      </c>
      <c r="BK49" s="39" t="e">
        <f t="shared" ref="BK49" si="572">+IF(BG47&lt;0,1-BK47/BG47,BK47/BG47-1)</f>
        <v>#DIV/0!</v>
      </c>
      <c r="BL49" s="39" t="e">
        <f t="shared" ref="BL49" si="573">+IF(BH47&lt;0,1-BL47/BH47,BL47/BH47-1)</f>
        <v>#DIV/0!</v>
      </c>
      <c r="BM49" s="39" t="e">
        <f t="shared" ref="BM49" si="574">+IF(BI47&lt;0,1-BM47/BI47,BM47/BI47-1)</f>
        <v>#DIV/0!</v>
      </c>
      <c r="BN49" s="39" t="e">
        <f t="shared" ref="BN49" si="575">+IF(BJ47&lt;0,1-BN47/BJ47,BN47/BJ47-1)</f>
        <v>#DIV/0!</v>
      </c>
      <c r="BO49" s="39" t="e">
        <f t="shared" ref="BO49" si="576">+IF(BK47&lt;0,1-BO47/BK47,BO47/BK47-1)</f>
        <v>#DIV/0!</v>
      </c>
      <c r="BP49" s="39" t="e">
        <f t="shared" ref="BP49" si="577">+IF(BL47&lt;0,1-BP47/BL47,BP47/BL47-1)</f>
        <v>#DIV/0!</v>
      </c>
      <c r="BQ49" s="39" t="e">
        <f t="shared" ref="BQ49" si="578">+IF(BM47&lt;0,1-BQ47/BM47,BQ47/BM47-1)</f>
        <v>#DIV/0!</v>
      </c>
      <c r="BR49" s="39" t="e">
        <f t="shared" ref="BR49" si="579">+IF(BN47&lt;0,1-BR47/BN47,BR47/BN47-1)</f>
        <v>#DIV/0!</v>
      </c>
      <c r="BS49" s="39" t="e">
        <f t="shared" ref="BS49" si="580">+IF(BO47&lt;0,1-BS47/BO47,BS47/BO47-1)</f>
        <v>#DIV/0!</v>
      </c>
      <c r="BT49" s="39" t="e">
        <f t="shared" ref="BT49" si="581">+IF(BP47&lt;0,1-BT47/BP47,BT47/BP47-1)</f>
        <v>#DIV/0!</v>
      </c>
      <c r="BU49" s="39" t="e">
        <f t="shared" ref="BU49" si="582">+IF(BQ47&lt;0,1-BU47/BQ47,BU47/BQ47-1)</f>
        <v>#DIV/0!</v>
      </c>
      <c r="BV49" s="39" t="e">
        <f t="shared" ref="BV49" si="583">+IF(BR47&lt;0,1-BV47/BR47,BV47/BR47-1)</f>
        <v>#DIV/0!</v>
      </c>
      <c r="BW49" s="39" t="e">
        <f t="shared" ref="BW49" si="584">+IF(BS47&lt;0,1-BW47/BS47,BW47/BS47-1)</f>
        <v>#DIV/0!</v>
      </c>
      <c r="BX49" s="39" t="e">
        <f t="shared" ref="BX49" si="585">+IF(BT47&lt;0,1-BX47/BT47,BX47/BT47-1)</f>
        <v>#DIV/0!</v>
      </c>
      <c r="BY49" s="39" t="e">
        <f t="shared" ref="BY49" si="586">+IF(BU47&lt;0,1-BY47/BU47,BY47/BU47-1)</f>
        <v>#DIV/0!</v>
      </c>
      <c r="BZ49" s="39" t="e">
        <f t="shared" ref="BZ49" si="587">+IF(BV47&lt;0,1-BZ47/BV47,BZ47/BV47-1)</f>
        <v>#DIV/0!</v>
      </c>
      <c r="CA49" s="39" t="e">
        <f t="shared" ref="CA49" si="588">+IF(BW47&lt;0,1-CA47/BW47,CA47/BW47-1)</f>
        <v>#DIV/0!</v>
      </c>
      <c r="CB49" s="39" t="e">
        <f t="shared" ref="CB49" si="589">+IF(BX47&lt;0,1-CB47/BX47,CB47/BX47-1)</f>
        <v>#DIV/0!</v>
      </c>
      <c r="CC49" s="39">
        <f t="shared" ref="CC49" si="590">+IF(BY47&lt;0,1-CC47/BY47,CC47/BY47-1)</f>
        <v>0.14718964820056391</v>
      </c>
      <c r="CD49" s="39">
        <f t="shared" ref="CD49" si="591">+IF(BZ47&lt;0,1-CD47/BZ47,CD47/BZ47-1)</f>
        <v>-0.27391946804580836</v>
      </c>
      <c r="CE49" s="39">
        <f t="shared" ref="CE49" si="592">+IF(CA47&lt;0,1-CE47/CA47,CE47/CA47-1)</f>
        <v>-0.15402286848013325</v>
      </c>
      <c r="CF49" s="39">
        <f t="shared" ref="CF49" si="593">+IF(CB47&lt;0,1-CF47/CB47,CF47/CB47-1)</f>
        <v>-1.8518518518519711E-2</v>
      </c>
      <c r="CG49" s="39">
        <f t="shared" ref="CG49" si="594">+IF(CC47&lt;0,1-CG47/CC47,CG47/CC47-1)</f>
        <v>-1.2219480672069682E-2</v>
      </c>
      <c r="CH49" s="39">
        <f t="shared" ref="CH49:CL49" si="595">+IF(CD47&lt;0,1-CH47/CD47,CH47/CD47-1)</f>
        <v>0.17851691681506177</v>
      </c>
      <c r="CI49" s="39">
        <f t="shared" si="595"/>
        <v>2.1292353267913011E-2</v>
      </c>
      <c r="CJ49" s="39">
        <f t="shared" si="595"/>
        <v>1.7660885585413677E-2</v>
      </c>
      <c r="CK49" s="39">
        <f t="shared" si="595"/>
        <v>-2.9201855596526549E-2</v>
      </c>
      <c r="CL49" s="39">
        <f t="shared" si="595"/>
        <v>-0.23695429280664848</v>
      </c>
      <c r="CM49" s="40">
        <f t="shared" ref="CM49" si="596">+CM47/CI47-1</f>
        <v>-0.85499655663510898</v>
      </c>
      <c r="CN49" s="40">
        <f t="shared" ref="CN49" si="597">+CN47/CJ47-1</f>
        <v>-0.40951084354576694</v>
      </c>
      <c r="CO49" s="40">
        <f t="shared" ref="CO49" si="598">+CO47/CK47-1</f>
        <v>-0.13690888801727952</v>
      </c>
      <c r="CP49" s="40">
        <f t="shared" ref="CP49" si="599">+CP47/CL47-1</f>
        <v>0.38802019857802983</v>
      </c>
      <c r="CQ49" s="40">
        <f t="shared" ref="CQ49" si="600">+CQ47/CM47-1</f>
        <v>6.75966385631311</v>
      </c>
      <c r="CR49" s="40">
        <f t="shared" ref="CR49" si="601">+CR47/CN47-1</f>
        <v>1.3652757014363068</v>
      </c>
      <c r="CS49" s="40">
        <f t="shared" ref="CS49" si="602">+CS47/CO47-1</f>
        <v>0.77930539154459444</v>
      </c>
      <c r="CT49" s="40">
        <f t="shared" ref="CT49" si="603">+CT47/CP47-1</f>
        <v>0.58009556835426812</v>
      </c>
      <c r="CU49" s="40">
        <f t="shared" ref="CU49" si="604">+CU47/CQ47-1</f>
        <v>0.40681162979830843</v>
      </c>
      <c r="CV49" s="40">
        <f t="shared" ref="CV49" si="605">+CV47/CR47-1</f>
        <v>0.38431960602768722</v>
      </c>
      <c r="CW49" s="40">
        <f t="shared" ref="CW49" si="606">+CW47/CS47-1</f>
        <v>0.3635847198003459</v>
      </c>
      <c r="CX49" s="40">
        <f t="shared" ref="CX49" si="607">+CX47/CT47-1</f>
        <v>0.32704721525581393</v>
      </c>
      <c r="CY49" s="40">
        <f t="shared" ref="CY49" si="608">+CY47/CU47-1</f>
        <v>0.36405262108009229</v>
      </c>
      <c r="CZ49" s="40">
        <f t="shared" ref="CZ49" si="609">+CZ47/CV47-1</f>
        <v>0.30754835315518481</v>
      </c>
      <c r="DA49" s="40">
        <f t="shared" ref="DA49" si="610">+DA47/CW47-1</f>
        <v>0.27928700529545258</v>
      </c>
      <c r="DB49" s="40">
        <f t="shared" ref="DB49" si="611">+DB47/CX47-1</f>
        <v>0.26058534791666732</v>
      </c>
      <c r="DE49" s="122"/>
      <c r="DF49" s="39">
        <v>-0.14364327084005746</v>
      </c>
    </row>
    <row r="50" spans="1:110" s="39" customFormat="1" x14ac:dyDescent="0.2">
      <c r="A50" s="39" t="s">
        <v>452</v>
      </c>
      <c r="AB50" s="40"/>
      <c r="AC50" s="40"/>
      <c r="AD50" s="40"/>
      <c r="AE50" s="40"/>
      <c r="AJ50" s="39" t="e">
        <f>+IF(AI47&lt;0,1-AJ47/AI47,AJ47/AI47-1)</f>
        <v>#DIV/0!</v>
      </c>
      <c r="AK50" s="39" t="e">
        <f t="shared" ref="AK50:AM50" si="612">+IF(AJ47&lt;0,1-AK47/AJ47,AK47/AJ47-1)</f>
        <v>#DIV/0!</v>
      </c>
      <c r="AL50" s="39" t="e">
        <f t="shared" si="612"/>
        <v>#DIV/0!</v>
      </c>
      <c r="AM50" s="39" t="e">
        <f t="shared" si="612"/>
        <v>#DIV/0!</v>
      </c>
      <c r="AN50" s="39" t="e">
        <f t="shared" ref="AN50" si="613">+IF(AM47&lt;0,1-AN47/AM47,AN47/AM47-1)</f>
        <v>#DIV/0!</v>
      </c>
      <c r="AO50" s="39" t="e">
        <f t="shared" ref="AO50" si="614">+IF(AN47&lt;0,1-AO47/AN47,AO47/AN47-1)</f>
        <v>#DIV/0!</v>
      </c>
      <c r="AP50" s="39" t="e">
        <f t="shared" ref="AP50" si="615">+IF(AO47&lt;0,1-AP47/AO47,AP47/AO47-1)</f>
        <v>#DIV/0!</v>
      </c>
      <c r="AQ50" s="39" t="e">
        <f t="shared" ref="AQ50" si="616">+IF(AP47&lt;0,1-AQ47/AP47,AQ47/AP47-1)</f>
        <v>#DIV/0!</v>
      </c>
      <c r="AR50" s="39" t="e">
        <f t="shared" ref="AR50" si="617">+IF(AQ47&lt;0,1-AR47/AQ47,AR47/AQ47-1)</f>
        <v>#DIV/0!</v>
      </c>
      <c r="AS50" s="39" t="e">
        <f t="shared" ref="AS50" si="618">+IF(AR47&lt;0,1-AS47/AR47,AS47/AR47-1)</f>
        <v>#DIV/0!</v>
      </c>
      <c r="AT50" s="39" t="e">
        <f t="shared" ref="AT50" si="619">+IF(AS47&lt;0,1-AT47/AS47,AT47/AS47-1)</f>
        <v>#DIV/0!</v>
      </c>
      <c r="AU50" s="39" t="e">
        <f t="shared" ref="AU50" si="620">+IF(AT47&lt;0,1-AU47/AT47,AU47/AT47-1)</f>
        <v>#DIV/0!</v>
      </c>
      <c r="AV50" s="39" t="e">
        <f t="shared" ref="AV50" si="621">+IF(AU47&lt;0,1-AV47/AU47,AV47/AU47-1)</f>
        <v>#DIV/0!</v>
      </c>
      <c r="AW50" s="39" t="e">
        <f t="shared" ref="AW50" si="622">+IF(AV47&lt;0,1-AW47/AV47,AW47/AV47-1)</f>
        <v>#DIV/0!</v>
      </c>
      <c r="AX50" s="39" t="e">
        <f t="shared" ref="AX50" si="623">+IF(AW47&lt;0,1-AX47/AW47,AX47/AW47-1)</f>
        <v>#DIV/0!</v>
      </c>
      <c r="AY50" s="39" t="e">
        <f t="shared" ref="AY50" si="624">+IF(AX47&lt;0,1-AY47/AX47,AY47/AX47-1)</f>
        <v>#DIV/0!</v>
      </c>
      <c r="AZ50" s="39" t="e">
        <f t="shared" ref="AZ50" si="625">+IF(AY47&lt;0,1-AZ47/AY47,AZ47/AY47-1)</f>
        <v>#DIV/0!</v>
      </c>
      <c r="BA50" s="39" t="e">
        <f t="shared" ref="BA50" si="626">+IF(AZ47&lt;0,1-BA47/AZ47,BA47/AZ47-1)</f>
        <v>#DIV/0!</v>
      </c>
      <c r="BB50" s="39" t="e">
        <f t="shared" ref="BB50" si="627">+IF(BA47&lt;0,1-BB47/BA47,BB47/BA47-1)</f>
        <v>#DIV/0!</v>
      </c>
      <c r="BC50" s="39" t="e">
        <f t="shared" ref="BC50" si="628">+IF(BB47&lt;0,1-BC47/BB47,BC47/BB47-1)</f>
        <v>#DIV/0!</v>
      </c>
      <c r="BD50" s="39" t="e">
        <f t="shared" ref="BD50" si="629">+IF(BC47&lt;0,1-BD47/BC47,BD47/BC47-1)</f>
        <v>#DIV/0!</v>
      </c>
      <c r="BE50" s="39" t="e">
        <f t="shared" ref="BE50" si="630">+IF(BD47&lt;0,1-BE47/BD47,BE47/BD47-1)</f>
        <v>#DIV/0!</v>
      </c>
      <c r="BF50" s="39" t="e">
        <f t="shared" ref="BF50" si="631">+IF(BE47&lt;0,1-BF47/BE47,BF47/BE47-1)</f>
        <v>#DIV/0!</v>
      </c>
      <c r="BG50" s="39" t="e">
        <f t="shared" ref="BG50" si="632">+IF(BF47&lt;0,1-BG47/BF47,BG47/BF47-1)</f>
        <v>#DIV/0!</v>
      </c>
      <c r="BH50" s="39" t="e">
        <f t="shared" ref="BH50" si="633">+IF(BG47&lt;0,1-BH47/BG47,BH47/BG47-1)</f>
        <v>#DIV/0!</v>
      </c>
      <c r="BI50" s="39" t="e">
        <f t="shared" ref="BI50" si="634">+IF(BH47&lt;0,1-BI47/BH47,BI47/BH47-1)</f>
        <v>#DIV/0!</v>
      </c>
      <c r="BJ50" s="39" t="e">
        <f t="shared" ref="BJ50" si="635">+IF(BI47&lt;0,1-BJ47/BI47,BJ47/BI47-1)</f>
        <v>#DIV/0!</v>
      </c>
      <c r="BK50" s="39" t="e">
        <f t="shared" ref="BK50" si="636">+IF(BJ47&lt;0,1-BK47/BJ47,BK47/BJ47-1)</f>
        <v>#DIV/0!</v>
      </c>
      <c r="BL50" s="39" t="e">
        <f t="shared" ref="BL50" si="637">+IF(BK47&lt;0,1-BL47/BK47,BL47/BK47-1)</f>
        <v>#DIV/0!</v>
      </c>
      <c r="BM50" s="39" t="e">
        <f t="shared" ref="BM50" si="638">+IF(BL47&lt;0,1-BM47/BL47,BM47/BL47-1)</f>
        <v>#DIV/0!</v>
      </c>
      <c r="BN50" s="39" t="e">
        <f t="shared" ref="BN50" si="639">+IF(BM47&lt;0,1-BN47/BM47,BN47/BM47-1)</f>
        <v>#DIV/0!</v>
      </c>
      <c r="BO50" s="39" t="e">
        <f t="shared" ref="BO50" si="640">+IF(BN47&lt;0,1-BO47/BN47,BO47/BN47-1)</f>
        <v>#DIV/0!</v>
      </c>
      <c r="BP50" s="39" t="e">
        <f t="shared" ref="BP50" si="641">+IF(BO47&lt;0,1-BP47/BO47,BP47/BO47-1)</f>
        <v>#DIV/0!</v>
      </c>
      <c r="BQ50" s="39" t="e">
        <f t="shared" ref="BQ50" si="642">+IF(BP47&lt;0,1-BQ47/BP47,BQ47/BP47-1)</f>
        <v>#DIV/0!</v>
      </c>
      <c r="BR50" s="39" t="e">
        <f t="shared" ref="BR50" si="643">+IF(BQ47&lt;0,1-BR47/BQ47,BR47/BQ47-1)</f>
        <v>#DIV/0!</v>
      </c>
      <c r="BS50" s="39" t="e">
        <f t="shared" ref="BS50" si="644">+IF(BR47&lt;0,1-BS47/BR47,BS47/BR47-1)</f>
        <v>#DIV/0!</v>
      </c>
      <c r="BT50" s="39" t="e">
        <f t="shared" ref="BT50" si="645">+IF(BS47&lt;0,1-BT47/BS47,BT47/BS47-1)</f>
        <v>#DIV/0!</v>
      </c>
      <c r="BU50" s="39" t="e">
        <f t="shared" ref="BU50" si="646">+IF(BT47&lt;0,1-BU47/BT47,BU47/BT47-1)</f>
        <v>#DIV/0!</v>
      </c>
      <c r="BV50" s="39" t="e">
        <f t="shared" ref="BV50" si="647">+IF(BU47&lt;0,1-BV47/BU47,BV47/BU47-1)</f>
        <v>#DIV/0!</v>
      </c>
      <c r="BW50" s="39" t="e">
        <f t="shared" ref="BW50" si="648">+IF(BV47&lt;0,1-BW47/BV47,BW47/BV47-1)</f>
        <v>#DIV/0!</v>
      </c>
      <c r="BX50" s="39" t="e">
        <f t="shared" ref="BX50" si="649">+IF(BW47&lt;0,1-BX47/BW47,BX47/BW47-1)</f>
        <v>#DIV/0!</v>
      </c>
      <c r="BY50" s="39" t="e">
        <f t="shared" ref="BY50" si="650">+IF(BX47&lt;0,1-BY47/BX47,BY47/BX47-1)</f>
        <v>#DIV/0!</v>
      </c>
      <c r="BZ50" s="39">
        <f t="shared" ref="BZ50" si="651">+IF(BY47&lt;0,1-BZ47/BY47,BZ47/BY47-1)</f>
        <v>0.45949588893381876</v>
      </c>
      <c r="CA50" s="39">
        <f t="shared" ref="CA50" si="652">+IF(BZ47&lt;0,1-CA47/BZ47,CA47/BZ47-1)</f>
        <v>-0.11557997783524365</v>
      </c>
      <c r="CB50" s="39">
        <f t="shared" ref="CB50" si="653">+IF(CA47&lt;0,1-CB47/CA47,CB47/CA47-1)</f>
        <v>-0.16263770688664791</v>
      </c>
      <c r="CC50" s="39">
        <f t="shared" ref="CC50" si="654">+IF(CB47&lt;0,1-CC47/CB47,CC47/CB47-1)</f>
        <v>6.1354283576503521E-2</v>
      </c>
      <c r="CD50" s="39">
        <f t="shared" ref="CD50" si="655">+IF(CC47&lt;0,1-CD47/CC47,CD47/CC47-1)</f>
        <v>-7.6254259193983764E-2</v>
      </c>
      <c r="CE50" s="39">
        <f t="shared" ref="CE50" si="656">+IF(CD47&lt;0,1-CE47/CD47,CE47/CD47-1)</f>
        <v>3.0462986517425739E-2</v>
      </c>
      <c r="CF50" s="39">
        <f t="shared" ref="CF50" si="657">+IF(CE47&lt;0,1-CF47/CE47,CF47/CE47-1)</f>
        <v>-2.8513238289205378E-2</v>
      </c>
      <c r="CG50" s="39">
        <f t="shared" ref="CG50" si="658">+IF(CF47&lt;0,1-CG47/CF47,CG47/CF47-1)</f>
        <v>6.8165936090465173E-2</v>
      </c>
      <c r="CH50" s="39">
        <f t="shared" ref="CH50:CL50" si="659">+IF(CG47&lt;0,1-CH47/CG47,CH47/CG47-1)</f>
        <v>0.10211728321636793</v>
      </c>
      <c r="CI50" s="39">
        <f t="shared" si="659"/>
        <v>-0.10700987534401973</v>
      </c>
      <c r="CJ50" s="39">
        <f t="shared" si="659"/>
        <v>-3.1967609378776518E-2</v>
      </c>
      <c r="CK50" s="39">
        <f t="shared" si="659"/>
        <v>1.8977464261191068E-2</v>
      </c>
      <c r="CL50" s="39">
        <f t="shared" si="659"/>
        <v>-0.13373767077130427</v>
      </c>
      <c r="CM50" s="40">
        <f t="shared" ref="CM50" si="660">+CM47/CL47-1</f>
        <v>-0.83030290093336545</v>
      </c>
      <c r="CN50" s="40">
        <f t="shared" ref="CN50" si="661">+CN47/CM47-1</f>
        <v>2.9420624537851681</v>
      </c>
      <c r="CO50" s="40">
        <f t="shared" ref="CO50" si="662">+CO47/CN47-1</f>
        <v>0.48939296022904899</v>
      </c>
      <c r="CP50" s="40">
        <f t="shared" ref="CP50" si="663">+CP47/CO47-1</f>
        <v>0.39312013939584323</v>
      </c>
      <c r="CQ50" s="40">
        <f t="shared" ref="CQ50" si="664">+CQ47/CP47-1</f>
        <v>-5.1316077750489963E-2</v>
      </c>
      <c r="CR50" s="40">
        <f t="shared" ref="CR50" si="665">+CR47/CQ47-1</f>
        <v>0.20160675876398515</v>
      </c>
      <c r="CS50" s="40">
        <f t="shared" ref="CS50" si="666">+CS47/CR47-1</f>
        <v>0.12041269550727396</v>
      </c>
      <c r="CT50" s="40">
        <f t="shared" ref="CT50" si="667">+CT47/CS47-1</f>
        <v>0.23714735475148596</v>
      </c>
      <c r="CU50" s="40">
        <f t="shared" ref="CU50" si="668">+CU47/CT47-1</f>
        <v>-0.15535515600911154</v>
      </c>
      <c r="CV50" s="40">
        <f t="shared" ref="CV50" si="669">+CV47/CU47-1</f>
        <v>0.18239553871959768</v>
      </c>
      <c r="CW50" s="40">
        <f t="shared" ref="CW50" si="670">+CW47/CV47-1</f>
        <v>0.10363071129795154</v>
      </c>
      <c r="CX50" s="40">
        <f t="shared" ref="CX50" si="671">+CX47/CW47-1</f>
        <v>0.20399776276786019</v>
      </c>
      <c r="CY50" s="40">
        <f t="shared" ref="CY50" si="672">+CY47/CX47-1</f>
        <v>-0.13180179266985625</v>
      </c>
      <c r="CZ50" s="40">
        <f t="shared" ref="CZ50" si="673">+CZ47/CY47-1</f>
        <v>0.13341620076698613</v>
      </c>
      <c r="DA50" s="40">
        <f t="shared" ref="DA50" si="674">+DA47/CZ47-1</f>
        <v>7.9776838999147781E-2</v>
      </c>
      <c r="DB50" s="40">
        <f t="shared" ref="DB50" si="675">+DB47/DA47-1</f>
        <v>0.18639674473914325</v>
      </c>
      <c r="DE50" s="122"/>
      <c r="DF50" s="39">
        <v>-2.7804536662200618E-2</v>
      </c>
    </row>
    <row r="51" spans="1:110" s="75" customFormat="1" x14ac:dyDescent="0.2">
      <c r="A51" s="23" t="s">
        <v>23</v>
      </c>
      <c r="B51" s="75">
        <f>'Annual Raw'!C32</f>
        <v>0</v>
      </c>
      <c r="C51" s="75">
        <f>'Annual Raw'!D32</f>
        <v>0</v>
      </c>
      <c r="D51" s="75">
        <f>'Annual Raw'!E32</f>
        <v>0</v>
      </c>
      <c r="E51" s="75">
        <f>'Annual Raw'!F32</f>
        <v>0</v>
      </c>
      <c r="F51" s="75">
        <f>'Annual Raw'!G32</f>
        <v>0</v>
      </c>
      <c r="G51" s="75">
        <f>'Annual Raw'!H32</f>
        <v>0.1376</v>
      </c>
      <c r="H51" s="75">
        <f>'Annual Raw'!I32</f>
        <v>-0.22919999999999999</v>
      </c>
      <c r="I51" s="75">
        <f>'Annual Raw'!J32</f>
        <v>0</v>
      </c>
      <c r="J51" s="75">
        <f>'Annual Raw'!K32</f>
        <v>0</v>
      </c>
      <c r="K51" s="75">
        <f>'Annual Raw'!L32</f>
        <v>0</v>
      </c>
      <c r="L51" s="75">
        <f>'Annual Raw'!M32</f>
        <v>0</v>
      </c>
      <c r="M51" s="75">
        <f>'Annual Raw'!N32</f>
        <v>0</v>
      </c>
      <c r="N51" s="75">
        <f>'Annual Raw'!O32</f>
        <v>0</v>
      </c>
      <c r="O51" s="75">
        <f>'Annual Raw'!P32</f>
        <v>0</v>
      </c>
      <c r="P51" s="75">
        <f>'Annual Raw'!Q32</f>
        <v>0</v>
      </c>
      <c r="Q51" s="75">
        <f>'Annual Raw'!R32</f>
        <v>0</v>
      </c>
      <c r="R51" s="75">
        <f>'Annual Raw'!S32</f>
        <v>0</v>
      </c>
      <c r="S51" s="75">
        <f>'Annual Raw'!T32</f>
        <v>0</v>
      </c>
      <c r="T51" s="75">
        <f>'Annual Raw'!U32</f>
        <v>0</v>
      </c>
      <c r="U51" s="75">
        <f>'Annual Raw'!V32</f>
        <v>0</v>
      </c>
      <c r="V51" s="75">
        <f>'Annual Raw'!W32</f>
        <v>0</v>
      </c>
      <c r="W51" s="75">
        <f>'Annual Raw'!X32</f>
        <v>0</v>
      </c>
      <c r="X51" s="75">
        <f>'Annual Raw'!Y32</f>
        <v>0</v>
      </c>
      <c r="Y51" s="75">
        <f>'Annual Raw'!Z32</f>
        <v>0</v>
      </c>
      <c r="Z51" s="75">
        <f>'Annual Raw'!AA32</f>
        <v>0</v>
      </c>
      <c r="AA51" s="75">
        <f>'Annual Raw'!AB32</f>
        <v>0</v>
      </c>
      <c r="AB51" s="76">
        <f t="shared" ref="AB51:AB52" si="676">+SUM(CM51:CP51)</f>
        <v>0</v>
      </c>
      <c r="AC51" s="76">
        <f t="shared" ref="AC51:AC52" si="677">+SUM(CQ51:CT51)</f>
        <v>0</v>
      </c>
      <c r="AD51" s="76">
        <f t="shared" ref="AD51:AD52" si="678">+SUM(CU51:CX51)</f>
        <v>0</v>
      </c>
      <c r="AE51" s="76">
        <f t="shared" ref="AE51:AE52" si="679">+SUM(CY51:DB51)</f>
        <v>0</v>
      </c>
      <c r="AI51" s="75">
        <f>'QTR Raw'!C34</f>
        <v>0</v>
      </c>
      <c r="AJ51" s="75">
        <f>'QTR Raw'!D34</f>
        <v>0</v>
      </c>
      <c r="AK51" s="75">
        <f>'QTR Raw'!E34</f>
        <v>0</v>
      </c>
      <c r="AL51" s="75">
        <f>'QTR Raw'!F34</f>
        <v>0</v>
      </c>
      <c r="AM51" s="75">
        <f>'QTR Raw'!G34</f>
        <v>0</v>
      </c>
      <c r="AN51" s="75">
        <f>'QTR Raw'!H34</f>
        <v>0</v>
      </c>
      <c r="AO51" s="75">
        <f>'QTR Raw'!I34</f>
        <v>0</v>
      </c>
      <c r="AP51" s="75">
        <f>'QTR Raw'!J34</f>
        <v>0</v>
      </c>
      <c r="AQ51" s="75">
        <f>'QTR Raw'!K34</f>
        <v>0</v>
      </c>
      <c r="AR51" s="75">
        <f>'QTR Raw'!L34</f>
        <v>0</v>
      </c>
      <c r="AS51" s="75">
        <f>'QTR Raw'!M34</f>
        <v>0</v>
      </c>
      <c r="AT51" s="75">
        <f>'QTR Raw'!N34</f>
        <v>0</v>
      </c>
      <c r="AU51" s="75">
        <f>'QTR Raw'!O34</f>
        <v>0</v>
      </c>
      <c r="AV51" s="75">
        <f>'QTR Raw'!P34</f>
        <v>0</v>
      </c>
      <c r="AW51" s="75">
        <f>'QTR Raw'!Q34</f>
        <v>0</v>
      </c>
      <c r="AX51" s="75">
        <f>'QTR Raw'!R34</f>
        <v>0</v>
      </c>
      <c r="AY51" s="75">
        <f>'QTR Raw'!S34</f>
        <v>0</v>
      </c>
      <c r="AZ51" s="75">
        <f>'QTR Raw'!T34</f>
        <v>0</v>
      </c>
      <c r="BA51" s="75">
        <f>'QTR Raw'!U34</f>
        <v>0</v>
      </c>
      <c r="BB51" s="75">
        <f>'QTR Raw'!V34</f>
        <v>0</v>
      </c>
      <c r="BC51" s="75">
        <f>'QTR Raw'!W34</f>
        <v>0</v>
      </c>
      <c r="BD51" s="75">
        <f>'QTR Raw'!X34</f>
        <v>0</v>
      </c>
      <c r="BE51" s="75">
        <f>'QTR Raw'!Y34</f>
        <v>0</v>
      </c>
      <c r="BF51" s="75">
        <f>'QTR Raw'!Z34</f>
        <v>0</v>
      </c>
      <c r="BG51" s="75">
        <f>'QTR Raw'!AA34</f>
        <v>0</v>
      </c>
      <c r="BH51" s="75">
        <f>'QTR Raw'!AB34</f>
        <v>0</v>
      </c>
      <c r="BI51" s="75">
        <f>'QTR Raw'!AC34</f>
        <v>0</v>
      </c>
      <c r="BJ51" s="75">
        <f>'QTR Raw'!AD34</f>
        <v>0</v>
      </c>
      <c r="BK51" s="75">
        <f>'QTR Raw'!AE34</f>
        <v>0</v>
      </c>
      <c r="BL51" s="75">
        <f>'QTR Raw'!AF34</f>
        <v>0</v>
      </c>
      <c r="BM51" s="75">
        <f>'QTR Raw'!AG34</f>
        <v>0</v>
      </c>
      <c r="BN51" s="75">
        <f>'QTR Raw'!AH34</f>
        <v>0</v>
      </c>
      <c r="BO51" s="75">
        <f>'QTR Raw'!AI34</f>
        <v>0</v>
      </c>
      <c r="BP51" s="75">
        <f>'QTR Raw'!AJ34</f>
        <v>0</v>
      </c>
      <c r="BQ51" s="75">
        <f>'QTR Raw'!AK34</f>
        <v>0</v>
      </c>
      <c r="BR51" s="75">
        <f>'QTR Raw'!AL34</f>
        <v>0</v>
      </c>
      <c r="BS51" s="75">
        <f>'QTR Raw'!AM34</f>
        <v>0</v>
      </c>
      <c r="BT51" s="75">
        <f>'QTR Raw'!AN34</f>
        <v>0</v>
      </c>
      <c r="BU51" s="75">
        <f>'QTR Raw'!AO34</f>
        <v>0</v>
      </c>
      <c r="BV51" s="75">
        <f>'QTR Raw'!AP34</f>
        <v>0</v>
      </c>
      <c r="BW51" s="75">
        <f>'QTR Raw'!AQ34</f>
        <v>0</v>
      </c>
      <c r="BX51" s="75">
        <f>'QTR Raw'!AR34</f>
        <v>0</v>
      </c>
      <c r="BY51" s="75">
        <f>'QTR Raw'!AS34</f>
        <v>0</v>
      </c>
      <c r="BZ51" s="75">
        <f>'QTR Raw'!AT34</f>
        <v>0</v>
      </c>
      <c r="CA51" s="75">
        <f>'QTR Raw'!AU34</f>
        <v>0</v>
      </c>
      <c r="CB51" s="75">
        <f>'QTR Raw'!AV34</f>
        <v>0</v>
      </c>
      <c r="CC51" s="75">
        <f>'QTR Raw'!AW34</f>
        <v>0</v>
      </c>
      <c r="CD51" s="75">
        <f>'QTR Raw'!AX34</f>
        <v>0</v>
      </c>
      <c r="CE51" s="75">
        <f>'QTR Raw'!AY34</f>
        <v>0</v>
      </c>
      <c r="CF51" s="75">
        <f>'QTR Raw'!AZ34</f>
        <v>0</v>
      </c>
      <c r="CG51" s="75">
        <f>'QTR Raw'!BA34</f>
        <v>0</v>
      </c>
      <c r="CH51" s="75">
        <f>'QTR Raw'!BB34</f>
        <v>0</v>
      </c>
      <c r="CI51" s="75">
        <f>'QTR Raw'!BC34</f>
        <v>0</v>
      </c>
      <c r="CJ51" s="75">
        <f>'QTR Raw'!BD34</f>
        <v>0</v>
      </c>
      <c r="CK51" s="75">
        <f>'QTR Raw'!BE34</f>
        <v>0</v>
      </c>
      <c r="CL51" s="75">
        <f>'QTR Raw'!BF34</f>
        <v>0</v>
      </c>
      <c r="CM51" s="76">
        <f t="shared" ref="CM51:CM52" si="680">+CL51</f>
        <v>0</v>
      </c>
      <c r="CN51" s="76">
        <f t="shared" ref="CN51:CN52" si="681">+CM51</f>
        <v>0</v>
      </c>
      <c r="CO51" s="76">
        <f t="shared" ref="CO51:CO52" si="682">+CN51</f>
        <v>0</v>
      </c>
      <c r="CP51" s="76">
        <f t="shared" ref="CP51:CP52" si="683">+CO51</f>
        <v>0</v>
      </c>
      <c r="CQ51" s="76">
        <f t="shared" ref="CQ51:CQ52" si="684">+CP51</f>
        <v>0</v>
      </c>
      <c r="CR51" s="76">
        <f t="shared" ref="CR51:CR52" si="685">+CQ51</f>
        <v>0</v>
      </c>
      <c r="CS51" s="76">
        <f t="shared" ref="CS51:CS52" si="686">+CR51</f>
        <v>0</v>
      </c>
      <c r="CT51" s="76">
        <f t="shared" ref="CT51:CT52" si="687">+CS51</f>
        <v>0</v>
      </c>
      <c r="CU51" s="76">
        <f t="shared" ref="CU51:CU52" si="688">+CT51</f>
        <v>0</v>
      </c>
      <c r="CV51" s="76">
        <f t="shared" ref="CV51:CV52" si="689">+CU51</f>
        <v>0</v>
      </c>
      <c r="CW51" s="76">
        <f t="shared" ref="CW51:CW52" si="690">+CV51</f>
        <v>0</v>
      </c>
      <c r="CX51" s="76">
        <f t="shared" ref="CX51:CX52" si="691">+CW51</f>
        <v>0</v>
      </c>
      <c r="CY51" s="76">
        <f t="shared" ref="CY51:CY52" si="692">+CX51</f>
        <v>0</v>
      </c>
      <c r="CZ51" s="76">
        <f t="shared" ref="CZ51:CZ52" si="693">+CY51</f>
        <v>0</v>
      </c>
      <c r="DA51" s="76">
        <f t="shared" ref="DA51:DA52" si="694">+CZ51</f>
        <v>0</v>
      </c>
      <c r="DB51" s="76">
        <f t="shared" ref="DB51:DB52" si="695">+DA51</f>
        <v>0</v>
      </c>
      <c r="DE51" s="131"/>
      <c r="DF51" s="75">
        <v>0</v>
      </c>
    </row>
    <row r="52" spans="1:110" s="75" customFormat="1" x14ac:dyDescent="0.2">
      <c r="A52" s="23" t="s">
        <v>24</v>
      </c>
      <c r="B52" s="75">
        <f>'Annual Raw'!C33+'Annual Raw'!C28</f>
        <v>0</v>
      </c>
      <c r="C52" s="75">
        <f>'Annual Raw'!D33+'Annual Raw'!D28</f>
        <v>0</v>
      </c>
      <c r="D52" s="75">
        <f>'Annual Raw'!E33+'Annual Raw'!E28</f>
        <v>0</v>
      </c>
      <c r="E52" s="75">
        <f>'Annual Raw'!F33+'Annual Raw'!F28</f>
        <v>0</v>
      </c>
      <c r="F52" s="75">
        <f>'Annual Raw'!G33+'Annual Raw'!G28</f>
        <v>0</v>
      </c>
      <c r="G52" s="75">
        <f>'Annual Raw'!H33+'Annual Raw'!H28</f>
        <v>0</v>
      </c>
      <c r="H52" s="75">
        <f>'Annual Raw'!I33+'Annual Raw'!I28</f>
        <v>0</v>
      </c>
      <c r="I52" s="75">
        <f>'Annual Raw'!J33+'Annual Raw'!J28</f>
        <v>0</v>
      </c>
      <c r="J52" s="75">
        <f>'Annual Raw'!K33+'Annual Raw'!K28</f>
        <v>0</v>
      </c>
      <c r="K52" s="75">
        <f>'Annual Raw'!L33+'Annual Raw'!L28</f>
        <v>0</v>
      </c>
      <c r="L52" s="75">
        <f>'Annual Raw'!M33+'Annual Raw'!M28</f>
        <v>0</v>
      </c>
      <c r="M52" s="75">
        <f>'Annual Raw'!N33+'Annual Raw'!N28</f>
        <v>0</v>
      </c>
      <c r="N52" s="75">
        <f>'Annual Raw'!O33+'Annual Raw'!O28</f>
        <v>0</v>
      </c>
      <c r="O52" s="75">
        <f>'Annual Raw'!P33+'Annual Raw'!P28</f>
        <v>0</v>
      </c>
      <c r="P52" s="75">
        <f>'Annual Raw'!Q33+'Annual Raw'!Q28</f>
        <v>0</v>
      </c>
      <c r="Q52" s="75">
        <f>'Annual Raw'!R33+'Annual Raw'!R28</f>
        <v>0.17</v>
      </c>
      <c r="R52" s="75">
        <f>'Annual Raw'!S33+'Annual Raw'!S28</f>
        <v>-1.46</v>
      </c>
      <c r="S52" s="75">
        <f>'Annual Raw'!T33+'Annual Raw'!T28</f>
        <v>0</v>
      </c>
      <c r="T52" s="75">
        <f>'Annual Raw'!U33+'Annual Raw'!U28</f>
        <v>0</v>
      </c>
      <c r="U52" s="75">
        <f>'Annual Raw'!V33+'Annual Raw'!V28</f>
        <v>0</v>
      </c>
      <c r="V52" s="75">
        <f>'Annual Raw'!W33+'Annual Raw'!W28</f>
        <v>0</v>
      </c>
      <c r="W52" s="75">
        <f>'Annual Raw'!X33+'Annual Raw'!X28</f>
        <v>0</v>
      </c>
      <c r="X52" s="75">
        <f>'Annual Raw'!Y33+'Annual Raw'!Y28</f>
        <v>0</v>
      </c>
      <c r="Y52" s="75">
        <f>'Annual Raw'!Z33+'Annual Raw'!Z28</f>
        <v>0</v>
      </c>
      <c r="Z52" s="75">
        <f>'Annual Raw'!AA33+'Annual Raw'!AA28</f>
        <v>4.0599999999999996</v>
      </c>
      <c r="AA52" s="75">
        <f>'Annual Raw'!AB33+'Annual Raw'!AB28</f>
        <v>24.02</v>
      </c>
      <c r="AB52" s="76">
        <f t="shared" si="676"/>
        <v>26.56</v>
      </c>
      <c r="AC52" s="76">
        <f t="shared" si="677"/>
        <v>26.56</v>
      </c>
      <c r="AD52" s="76">
        <f t="shared" si="678"/>
        <v>26.56</v>
      </c>
      <c r="AE52" s="76">
        <f t="shared" si="679"/>
        <v>26.56</v>
      </c>
      <c r="AI52" s="75">
        <f>'QTR Raw'!C35</f>
        <v>0</v>
      </c>
      <c r="AJ52" s="75">
        <f>'QTR Raw'!D35</f>
        <v>0</v>
      </c>
      <c r="AK52" s="75">
        <f>'QTR Raw'!E35</f>
        <v>0</v>
      </c>
      <c r="AL52" s="75">
        <f>'QTR Raw'!F35</f>
        <v>0</v>
      </c>
      <c r="AM52" s="75">
        <f>'QTR Raw'!G35</f>
        <v>0</v>
      </c>
      <c r="AN52" s="75">
        <f>'QTR Raw'!H35</f>
        <v>0</v>
      </c>
      <c r="AO52" s="75">
        <f>'QTR Raw'!I35</f>
        <v>0</v>
      </c>
      <c r="AP52" s="75">
        <f>'QTR Raw'!J35</f>
        <v>0</v>
      </c>
      <c r="AQ52" s="75">
        <f>'QTR Raw'!K35</f>
        <v>0</v>
      </c>
      <c r="AR52" s="75">
        <f>'QTR Raw'!L35</f>
        <v>0</v>
      </c>
      <c r="AS52" s="75">
        <f>'QTR Raw'!M35</f>
        <v>0</v>
      </c>
      <c r="AT52" s="75">
        <f>'QTR Raw'!N35</f>
        <v>0</v>
      </c>
      <c r="AU52" s="75">
        <f>'QTR Raw'!O35</f>
        <v>0</v>
      </c>
      <c r="AV52" s="75">
        <f>'QTR Raw'!P35</f>
        <v>0</v>
      </c>
      <c r="AW52" s="75">
        <f>'QTR Raw'!Q35</f>
        <v>0</v>
      </c>
      <c r="AX52" s="75">
        <f>'QTR Raw'!R35</f>
        <v>0</v>
      </c>
      <c r="AY52" s="75">
        <f>'QTR Raw'!S35</f>
        <v>0</v>
      </c>
      <c r="AZ52" s="75">
        <f>'QTR Raw'!T35</f>
        <v>0</v>
      </c>
      <c r="BA52" s="75">
        <f>'QTR Raw'!U35</f>
        <v>0</v>
      </c>
      <c r="BB52" s="75">
        <f>'QTR Raw'!V35</f>
        <v>0</v>
      </c>
      <c r="BC52" s="75">
        <f>'QTR Raw'!W35</f>
        <v>0</v>
      </c>
      <c r="BD52" s="75">
        <f>'QTR Raw'!X35</f>
        <v>0</v>
      </c>
      <c r="BE52" s="75">
        <f>'QTR Raw'!Y35</f>
        <v>0</v>
      </c>
      <c r="BF52" s="75">
        <f>'QTR Raw'!Z35</f>
        <v>0</v>
      </c>
      <c r="BG52" s="75">
        <f>'QTR Raw'!AA35</f>
        <v>0</v>
      </c>
      <c r="BH52" s="75">
        <f>'QTR Raw'!AB35</f>
        <v>0</v>
      </c>
      <c r="BI52" s="75">
        <f>'QTR Raw'!AC35</f>
        <v>0</v>
      </c>
      <c r="BJ52" s="75">
        <f>'QTR Raw'!AD35</f>
        <v>0</v>
      </c>
      <c r="BK52" s="75">
        <f>'QTR Raw'!AE35</f>
        <v>0</v>
      </c>
      <c r="BL52" s="75">
        <f>'QTR Raw'!AF35</f>
        <v>0</v>
      </c>
      <c r="BM52" s="75">
        <f>'QTR Raw'!AG35</f>
        <v>0</v>
      </c>
      <c r="BN52" s="75">
        <f>'QTR Raw'!AH35</f>
        <v>0</v>
      </c>
      <c r="BO52" s="75">
        <f>'QTR Raw'!AI35</f>
        <v>0</v>
      </c>
      <c r="BP52" s="75">
        <f>'QTR Raw'!AJ35</f>
        <v>0</v>
      </c>
      <c r="BQ52" s="75">
        <f>'QTR Raw'!AK35</f>
        <v>0</v>
      </c>
      <c r="BR52" s="75">
        <f>'QTR Raw'!AL35</f>
        <v>0</v>
      </c>
      <c r="BS52" s="75">
        <f>'QTR Raw'!AM35</f>
        <v>0</v>
      </c>
      <c r="BT52" s="75">
        <f>'QTR Raw'!AN35</f>
        <v>0</v>
      </c>
      <c r="BU52" s="75">
        <f>'QTR Raw'!AO35</f>
        <v>0</v>
      </c>
      <c r="BV52" s="75">
        <f>'QTR Raw'!AP35</f>
        <v>0</v>
      </c>
      <c r="BW52" s="75">
        <f>'QTR Raw'!AQ35</f>
        <v>0</v>
      </c>
      <c r="BX52" s="75">
        <f>'QTR Raw'!AR35</f>
        <v>0</v>
      </c>
      <c r="BY52" s="75">
        <f>'QTR Raw'!AS35</f>
        <v>0</v>
      </c>
      <c r="BZ52" s="75">
        <f>'QTR Raw'!AT35</f>
        <v>0</v>
      </c>
      <c r="CA52" s="75">
        <f>'QTR Raw'!AU35</f>
        <v>0</v>
      </c>
      <c r="CB52" s="75">
        <f>'QTR Raw'!AV35</f>
        <v>0</v>
      </c>
      <c r="CC52" s="75">
        <f>'QTR Raw'!AW35</f>
        <v>0</v>
      </c>
      <c r="CD52" s="75">
        <f>'QTR Raw'!AX35</f>
        <v>0</v>
      </c>
      <c r="CE52" s="75">
        <f>'QTR Raw'!AY35</f>
        <v>0</v>
      </c>
      <c r="CF52" s="75">
        <f>'QTR Raw'!AZ35</f>
        <v>0</v>
      </c>
      <c r="CG52" s="75">
        <f>'QTR Raw'!BA35</f>
        <v>0.5</v>
      </c>
      <c r="CH52" s="75">
        <f>'QTR Raw'!BB35</f>
        <v>3.56</v>
      </c>
      <c r="CI52" s="75">
        <f>'QTR Raw'!BC35</f>
        <v>4.8</v>
      </c>
      <c r="CJ52" s="75">
        <f>'QTR Raw'!BD35</f>
        <v>5.31</v>
      </c>
      <c r="CK52" s="75">
        <f>'QTR Raw'!BE35</f>
        <v>7.27</v>
      </c>
      <c r="CL52" s="75">
        <f>'QTR Raw'!BF35</f>
        <v>6.64</v>
      </c>
      <c r="CM52" s="76">
        <f t="shared" si="680"/>
        <v>6.64</v>
      </c>
      <c r="CN52" s="76">
        <f t="shared" si="681"/>
        <v>6.64</v>
      </c>
      <c r="CO52" s="76">
        <f t="shared" si="682"/>
        <v>6.64</v>
      </c>
      <c r="CP52" s="76">
        <f t="shared" si="683"/>
        <v>6.64</v>
      </c>
      <c r="CQ52" s="76">
        <f t="shared" si="684"/>
        <v>6.64</v>
      </c>
      <c r="CR52" s="76">
        <f t="shared" si="685"/>
        <v>6.64</v>
      </c>
      <c r="CS52" s="76">
        <f t="shared" si="686"/>
        <v>6.64</v>
      </c>
      <c r="CT52" s="76">
        <f t="shared" si="687"/>
        <v>6.64</v>
      </c>
      <c r="CU52" s="76">
        <f t="shared" si="688"/>
        <v>6.64</v>
      </c>
      <c r="CV52" s="76">
        <f t="shared" si="689"/>
        <v>6.64</v>
      </c>
      <c r="CW52" s="76">
        <f t="shared" si="690"/>
        <v>6.64</v>
      </c>
      <c r="CX52" s="76">
        <f t="shared" si="691"/>
        <v>6.64</v>
      </c>
      <c r="CY52" s="76">
        <f t="shared" si="692"/>
        <v>6.64</v>
      </c>
      <c r="CZ52" s="76">
        <f t="shared" si="693"/>
        <v>6.64</v>
      </c>
      <c r="DA52" s="76">
        <f t="shared" si="694"/>
        <v>6.64</v>
      </c>
      <c r="DB52" s="76">
        <f t="shared" si="695"/>
        <v>6.64</v>
      </c>
      <c r="DE52" s="131"/>
      <c r="DF52" s="75">
        <v>7.27</v>
      </c>
    </row>
    <row r="53" spans="1:110" s="23" customFormat="1" x14ac:dyDescent="0.2">
      <c r="A53" s="23" t="s">
        <v>19</v>
      </c>
      <c r="B53" s="75">
        <f>'Annual Raw'!C29+'Annual Raw'!C31+'Annual Raw'!C34+'Annual Raw'!C36</f>
        <v>0</v>
      </c>
      <c r="C53" s="75">
        <f>'Annual Raw'!D29+'Annual Raw'!D31+'Annual Raw'!D34+'Annual Raw'!D36</f>
        <v>0</v>
      </c>
      <c r="D53" s="75">
        <f>'Annual Raw'!E29+'Annual Raw'!E31+'Annual Raw'!E34+'Annual Raw'!E36</f>
        <v>0</v>
      </c>
      <c r="E53" s="75">
        <f>'Annual Raw'!F29+'Annual Raw'!F31+'Annual Raw'!F34+'Annual Raw'!F36</f>
        <v>0</v>
      </c>
      <c r="F53" s="75">
        <f>'Annual Raw'!G29+'Annual Raw'!G31+'Annual Raw'!G34+'Annual Raw'!G36</f>
        <v>0</v>
      </c>
      <c r="G53" s="75">
        <f>'Annual Raw'!H29+'Annual Raw'!H31+'Annual Raw'!H34+'Annual Raw'!H36</f>
        <v>0</v>
      </c>
      <c r="H53" s="75">
        <f>'Annual Raw'!I29+'Annual Raw'!I31+'Annual Raw'!I34+'Annual Raw'!I36</f>
        <v>-3.0613000000000001</v>
      </c>
      <c r="I53" s="75">
        <f>'Annual Raw'!J29+'Annual Raw'!J31+'Annual Raw'!J34+'Annual Raw'!J36</f>
        <v>0.6431</v>
      </c>
      <c r="J53" s="75">
        <f>'Annual Raw'!K29+'Annual Raw'!K31+'Annual Raw'!K34+'Annual Raw'!K36</f>
        <v>0</v>
      </c>
      <c r="K53" s="75">
        <f>'Annual Raw'!L29+'Annual Raw'!L31+'Annual Raw'!L34+'Annual Raw'!L36</f>
        <v>-1.2763</v>
      </c>
      <c r="L53" s="75">
        <f>'Annual Raw'!M29+'Annual Raw'!M31+'Annual Raw'!M34+'Annual Raw'!M36</f>
        <v>5.5999999999999999E-3</v>
      </c>
      <c r="M53" s="75">
        <f>'Annual Raw'!N29+'Annual Raw'!N31+'Annual Raw'!N34+'Annual Raw'!N36</f>
        <v>0</v>
      </c>
      <c r="N53" s="75">
        <f>'Annual Raw'!O29+'Annual Raw'!O31+'Annual Raw'!O34+'Annual Raw'!O36</f>
        <v>0</v>
      </c>
      <c r="O53" s="75">
        <f>'Annual Raw'!P29+'Annual Raw'!P31+'Annual Raw'!P34+'Annual Raw'!P36</f>
        <v>0</v>
      </c>
      <c r="P53" s="75">
        <f>'Annual Raw'!Q29+'Annual Raw'!Q31+'Annual Raw'!Q34+'Annual Raw'!Q36</f>
        <v>0</v>
      </c>
      <c r="Q53" s="75">
        <f>'Annual Raw'!R29+'Annual Raw'!R31+'Annual Raw'!R34+'Annual Raw'!R36</f>
        <v>0</v>
      </c>
      <c r="R53" s="75">
        <f>'Annual Raw'!S29+'Annual Raw'!S31+'Annual Raw'!S34+'Annual Raw'!S36</f>
        <v>-8.25</v>
      </c>
      <c r="S53" s="75">
        <f>'Annual Raw'!T29+'Annual Raw'!T31+'Annual Raw'!T34+'Annual Raw'!T36</f>
        <v>-8.33</v>
      </c>
      <c r="T53" s="75">
        <f>'Annual Raw'!U29+'Annual Raw'!U31+'Annual Raw'!U34+'Annual Raw'!U36</f>
        <v>-6.22</v>
      </c>
      <c r="U53" s="75">
        <f>'Annual Raw'!V29+'Annual Raw'!V31+'Annual Raw'!V34+'Annual Raw'!V36</f>
        <v>-8.577</v>
      </c>
      <c r="V53" s="75">
        <f>'Annual Raw'!W29+'Annual Raw'!W31+'Annual Raw'!W34+'Annual Raw'!W36</f>
        <v>-5.415</v>
      </c>
      <c r="W53" s="75">
        <f>'Annual Raw'!X29+'Annual Raw'!X31+'Annual Raw'!X34+'Annual Raw'!X36</f>
        <v>0</v>
      </c>
      <c r="X53" s="75">
        <f>'Annual Raw'!Y29+'Annual Raw'!Y31+'Annual Raw'!Y34+'Annual Raw'!Y36</f>
        <v>0</v>
      </c>
      <c r="Y53" s="75">
        <f>'Annual Raw'!Z29+'Annual Raw'!Z31+'Annual Raw'!Z34+'Annual Raw'!Z36</f>
        <v>0</v>
      </c>
      <c r="Z53" s="75">
        <f>'Annual Raw'!AA29+'Annual Raw'!AA31+'Annual Raw'!AA34+'Annual Raw'!AA36</f>
        <v>0</v>
      </c>
      <c r="AA53" s="75">
        <f>'Annual Raw'!AB29+'Annual Raw'!AB31+'Annual Raw'!AB34+'Annual Raw'!AB36</f>
        <v>-107.73</v>
      </c>
      <c r="AB53" s="76">
        <f>+SUM(CM53:CP53)</f>
        <v>0</v>
      </c>
      <c r="AC53" s="76">
        <f>+SUM(CQ53:CT53)</f>
        <v>0</v>
      </c>
      <c r="AD53" s="76">
        <f>+SUM(CU53:CX53)</f>
        <v>0</v>
      </c>
      <c r="AE53" s="76">
        <f>+SUM(CY53:DB53)</f>
        <v>0</v>
      </c>
      <c r="AI53" s="75">
        <f>'QTR Raw'!C26+'QTR Raw'!C31+'QTR Raw'!C32+'QTR Raw'!C33+'QTR Raw'!C36+'QTR Raw'!C37+'QTR Raw'!C39</f>
        <v>0</v>
      </c>
      <c r="AJ53" s="75">
        <f>'QTR Raw'!D26+'QTR Raw'!D31+'QTR Raw'!D32+'QTR Raw'!D33+'QTR Raw'!D36+'QTR Raw'!D37+'QTR Raw'!D39</f>
        <v>0</v>
      </c>
      <c r="AK53" s="75">
        <f>'QTR Raw'!E26+'QTR Raw'!E31+'QTR Raw'!E32+'QTR Raw'!E33+'QTR Raw'!E36+'QTR Raw'!E37+'QTR Raw'!E39</f>
        <v>0</v>
      </c>
      <c r="AL53" s="75">
        <f>'QTR Raw'!F26+'QTR Raw'!F31+'QTR Raw'!F32+'QTR Raw'!F33+'QTR Raw'!F36+'QTR Raw'!F37+'QTR Raw'!F39</f>
        <v>0</v>
      </c>
      <c r="AM53" s="75">
        <f>'QTR Raw'!G26+'QTR Raw'!G31+'QTR Raw'!G32+'QTR Raw'!G33+'QTR Raw'!G36+'QTR Raw'!G37+'QTR Raw'!G39</f>
        <v>0</v>
      </c>
      <c r="AN53" s="75">
        <f>'QTR Raw'!H26+'QTR Raw'!H31+'QTR Raw'!H32+'QTR Raw'!H33+'QTR Raw'!H36+'QTR Raw'!H37+'QTR Raw'!H39</f>
        <v>0</v>
      </c>
      <c r="AO53" s="75">
        <f>'QTR Raw'!I26+'QTR Raw'!I31+'QTR Raw'!I32+'QTR Raw'!I33+'QTR Raw'!I36+'QTR Raw'!I37+'QTR Raw'!I39</f>
        <v>0</v>
      </c>
      <c r="AP53" s="75">
        <f>'QTR Raw'!J26+'QTR Raw'!J31+'QTR Raw'!J32+'QTR Raw'!J33+'QTR Raw'!J36+'QTR Raw'!J37+'QTR Raw'!J39</f>
        <v>0</v>
      </c>
      <c r="AQ53" s="75">
        <f>'QTR Raw'!K26+'QTR Raw'!K31+'QTR Raw'!K32+'QTR Raw'!K33+'QTR Raw'!K36+'QTR Raw'!K37+'QTR Raw'!K39</f>
        <v>0</v>
      </c>
      <c r="AR53" s="75">
        <f>'QTR Raw'!L26+'QTR Raw'!L31+'QTR Raw'!L32+'QTR Raw'!L33+'QTR Raw'!L36+'QTR Raw'!L37+'QTR Raw'!L39</f>
        <v>0</v>
      </c>
      <c r="AS53" s="75">
        <f>'QTR Raw'!M26+'QTR Raw'!M31+'QTR Raw'!M32+'QTR Raw'!M33+'QTR Raw'!M36+'QTR Raw'!M37+'QTR Raw'!M39</f>
        <v>0</v>
      </c>
      <c r="AT53" s="75">
        <f>'QTR Raw'!N26+'QTR Raw'!N31+'QTR Raw'!N32+'QTR Raw'!N33+'QTR Raw'!N36+'QTR Raw'!N37+'QTR Raw'!N39</f>
        <v>0</v>
      </c>
      <c r="AU53" s="75">
        <f>'QTR Raw'!O26+'QTR Raw'!O31+'QTR Raw'!O32+'QTR Raw'!O33+'QTR Raw'!O36+'QTR Raw'!O37+'QTR Raw'!O39</f>
        <v>0</v>
      </c>
      <c r="AV53" s="75">
        <f>'QTR Raw'!P26+'QTR Raw'!P31+'QTR Raw'!P32+'QTR Raw'!P33+'QTR Raw'!P36+'QTR Raw'!P37+'QTR Raw'!P39</f>
        <v>0</v>
      </c>
      <c r="AW53" s="75">
        <f>'QTR Raw'!Q26+'QTR Raw'!Q31+'QTR Raw'!Q32+'QTR Raw'!Q33+'QTR Raw'!Q36+'QTR Raw'!Q37+'QTR Raw'!Q39</f>
        <v>0</v>
      </c>
      <c r="AX53" s="75">
        <f>'QTR Raw'!R26+'QTR Raw'!R31+'QTR Raw'!R32+'QTR Raw'!R33+'QTR Raw'!R36+'QTR Raw'!R37+'QTR Raw'!R39</f>
        <v>0</v>
      </c>
      <c r="AY53" s="75">
        <f>'QTR Raw'!S26+'QTR Raw'!S31+'QTR Raw'!S32+'QTR Raw'!S33+'QTR Raw'!S36+'QTR Raw'!S37+'QTR Raw'!S39</f>
        <v>0</v>
      </c>
      <c r="AZ53" s="75">
        <f>'QTR Raw'!T26+'QTR Raw'!T31+'QTR Raw'!T32+'QTR Raw'!T33+'QTR Raw'!T36+'QTR Raw'!T37+'QTR Raw'!T39</f>
        <v>0</v>
      </c>
      <c r="BA53" s="75">
        <f>'QTR Raw'!U26+'QTR Raw'!U31+'QTR Raw'!U32+'QTR Raw'!U33+'QTR Raw'!U36+'QTR Raw'!U37+'QTR Raw'!U39</f>
        <v>0</v>
      </c>
      <c r="BB53" s="75">
        <f>'QTR Raw'!V26+'QTR Raw'!V31+'QTR Raw'!V32+'QTR Raw'!V33+'QTR Raw'!V36+'QTR Raw'!V37+'QTR Raw'!V39</f>
        <v>0</v>
      </c>
      <c r="BC53" s="75">
        <f>'QTR Raw'!W26+'QTR Raw'!W31+'QTR Raw'!W32+'QTR Raw'!W33+'QTR Raw'!W36+'QTR Raw'!W37+'QTR Raw'!W39</f>
        <v>0</v>
      </c>
      <c r="BD53" s="75">
        <f>'QTR Raw'!X26+'QTR Raw'!X31+'QTR Raw'!X32+'QTR Raw'!X33+'QTR Raw'!X36+'QTR Raw'!X37+'QTR Raw'!X39</f>
        <v>0</v>
      </c>
      <c r="BE53" s="75">
        <f>'QTR Raw'!Y26+'QTR Raw'!Y31+'QTR Raw'!Y32+'QTR Raw'!Y33+'QTR Raw'!Y36+'QTR Raw'!Y37+'QTR Raw'!Y39</f>
        <v>0</v>
      </c>
      <c r="BF53" s="75">
        <f>'QTR Raw'!Z26+'QTR Raw'!Z31+'QTR Raw'!Z32+'QTR Raw'!Z33+'QTR Raw'!Z36+'QTR Raw'!Z37+'QTR Raw'!Z39</f>
        <v>0</v>
      </c>
      <c r="BG53" s="75">
        <f>'QTR Raw'!AA26+'QTR Raw'!AA31+'QTR Raw'!AA32+'QTR Raw'!AA33+'QTR Raw'!AA36+'QTR Raw'!AA37+'QTR Raw'!AA39</f>
        <v>0</v>
      </c>
      <c r="BH53" s="75">
        <f>'QTR Raw'!AB26+'QTR Raw'!AB31+'QTR Raw'!AB32+'QTR Raw'!AB33+'QTR Raw'!AB36+'QTR Raw'!AB37+'QTR Raw'!AB39</f>
        <v>0</v>
      </c>
      <c r="BI53" s="75">
        <f>'QTR Raw'!AC26+'QTR Raw'!AC31+'QTR Raw'!AC32+'QTR Raw'!AC33+'QTR Raw'!AC36+'QTR Raw'!AC37+'QTR Raw'!AC39</f>
        <v>0</v>
      </c>
      <c r="BJ53" s="75">
        <f>'QTR Raw'!AD26+'QTR Raw'!AD31+'QTR Raw'!AD32+'QTR Raw'!AD33+'QTR Raw'!AD36+'QTR Raw'!AD37+'QTR Raw'!AD39</f>
        <v>0</v>
      </c>
      <c r="BK53" s="75">
        <f>'QTR Raw'!AE26+'QTR Raw'!AE31+'QTR Raw'!AE32+'QTR Raw'!AE33+'QTR Raw'!AE36+'QTR Raw'!AE37+'QTR Raw'!AE39</f>
        <v>0</v>
      </c>
      <c r="BL53" s="75">
        <f>'QTR Raw'!AF26+'QTR Raw'!AF31+'QTR Raw'!AF32+'QTR Raw'!AF33+'QTR Raw'!AF36+'QTR Raw'!AF37+'QTR Raw'!AF39</f>
        <v>0</v>
      </c>
      <c r="BM53" s="75">
        <f>'QTR Raw'!AG26+'QTR Raw'!AG31+'QTR Raw'!AG32+'QTR Raw'!AG33+'QTR Raw'!AG36+'QTR Raw'!AG37+'QTR Raw'!AG39</f>
        <v>0</v>
      </c>
      <c r="BN53" s="75">
        <f>'QTR Raw'!AH26+'QTR Raw'!AH31+'QTR Raw'!AH32+'QTR Raw'!AH33+'QTR Raw'!AH36+'QTR Raw'!AH37+'QTR Raw'!AH39</f>
        <v>0</v>
      </c>
      <c r="BO53" s="75">
        <f>'QTR Raw'!AI26+'QTR Raw'!AI31+'QTR Raw'!AI32+'QTR Raw'!AI33+'QTR Raw'!AI36+'QTR Raw'!AI37+'QTR Raw'!AI39</f>
        <v>0</v>
      </c>
      <c r="BP53" s="75">
        <f>'QTR Raw'!AJ26+'QTR Raw'!AJ31+'QTR Raw'!AJ32+'QTR Raw'!AJ33+'QTR Raw'!AJ36+'QTR Raw'!AJ37+'QTR Raw'!AJ39</f>
        <v>0</v>
      </c>
      <c r="BQ53" s="75">
        <f>'QTR Raw'!AK26+'QTR Raw'!AK31+'QTR Raw'!AK32+'QTR Raw'!AK33+'QTR Raw'!AK36+'QTR Raw'!AK37+'QTR Raw'!AK39</f>
        <v>0</v>
      </c>
      <c r="BR53" s="75">
        <f>'QTR Raw'!AL26+'QTR Raw'!AL31+'QTR Raw'!AL32+'QTR Raw'!AL33+'QTR Raw'!AL36+'QTR Raw'!AL37+'QTR Raw'!AL39</f>
        <v>0</v>
      </c>
      <c r="BS53" s="75">
        <f>'QTR Raw'!AM26+'QTR Raw'!AM31+'QTR Raw'!AM32+'QTR Raw'!AM33+'QTR Raw'!AM36+'QTR Raw'!AM37+'QTR Raw'!AM39</f>
        <v>0</v>
      </c>
      <c r="BT53" s="75">
        <f>'QTR Raw'!AN26+'QTR Raw'!AN31+'QTR Raw'!AN32+'QTR Raw'!AN33+'QTR Raw'!AN36+'QTR Raw'!AN37+'QTR Raw'!AN39</f>
        <v>0</v>
      </c>
      <c r="BU53" s="75">
        <f>'QTR Raw'!AO26+'QTR Raw'!AO31+'QTR Raw'!AO32+'QTR Raw'!AO33+'QTR Raw'!AO36+'QTR Raw'!AO37+'QTR Raw'!AO39</f>
        <v>0</v>
      </c>
      <c r="BV53" s="75">
        <f>'QTR Raw'!AP26+'QTR Raw'!AP31+'QTR Raw'!AP32+'QTR Raw'!AP33+'QTR Raw'!AP36+'QTR Raw'!AP37+'QTR Raw'!AP39</f>
        <v>0</v>
      </c>
      <c r="BW53" s="75">
        <f>'QTR Raw'!AQ26+'QTR Raw'!AQ31+'QTR Raw'!AQ32+'QTR Raw'!AQ33+'QTR Raw'!AQ36+'QTR Raw'!AQ37+'QTR Raw'!AQ39</f>
        <v>0</v>
      </c>
      <c r="BX53" s="75">
        <f>'QTR Raw'!AR26+'QTR Raw'!AR31+'QTR Raw'!AR32+'QTR Raw'!AR33+'QTR Raw'!AR36+'QTR Raw'!AR37+'QTR Raw'!AR39</f>
        <v>0</v>
      </c>
      <c r="BY53" s="75">
        <f>'QTR Raw'!AS26+'QTR Raw'!AS31+'QTR Raw'!AS32+'QTR Raw'!AS33+'QTR Raw'!AS36+'QTR Raw'!AS37+'QTR Raw'!AS39</f>
        <v>0</v>
      </c>
      <c r="BZ53" s="75">
        <f>'QTR Raw'!AT26+'QTR Raw'!AT31+'QTR Raw'!AT32+'QTR Raw'!AT33+'QTR Raw'!AT36+'QTR Raw'!AT37+'QTR Raw'!AT39</f>
        <v>0</v>
      </c>
      <c r="CA53" s="75">
        <f>'QTR Raw'!AU26+'QTR Raw'!AU31+'QTR Raw'!AU32+'QTR Raw'!AU33+'QTR Raw'!AU36+'QTR Raw'!AU37+'QTR Raw'!AU39</f>
        <v>0</v>
      </c>
      <c r="CB53" s="75">
        <f>'QTR Raw'!AV26+'QTR Raw'!AV31+'QTR Raw'!AV32+'QTR Raw'!AV33+'QTR Raw'!AV36+'QTR Raw'!AV37+'QTR Raw'!AV39</f>
        <v>0</v>
      </c>
      <c r="CC53" s="75">
        <f>'QTR Raw'!AW26+'QTR Raw'!AW31+'QTR Raw'!AW32+'QTR Raw'!AW33+'QTR Raw'!AW36+'QTR Raw'!AW37+'QTR Raw'!AW39</f>
        <v>0</v>
      </c>
      <c r="CD53" s="75">
        <f>'QTR Raw'!AX26+'QTR Raw'!AX31+'QTR Raw'!AX32+'QTR Raw'!AX33+'QTR Raw'!AX36+'QTR Raw'!AX37+'QTR Raw'!AX39</f>
        <v>0</v>
      </c>
      <c r="CE53" s="75">
        <f>'QTR Raw'!AY26+'QTR Raw'!AY31+'QTR Raw'!AY32+'QTR Raw'!AY33+'QTR Raw'!AY36+'QTR Raw'!AY37+'QTR Raw'!AY39</f>
        <v>0</v>
      </c>
      <c r="CF53" s="75">
        <f>'QTR Raw'!AZ26+'QTR Raw'!AZ31+'QTR Raw'!AZ32+'QTR Raw'!AZ33+'QTR Raw'!AZ36+'QTR Raw'!AZ37+'QTR Raw'!AZ39</f>
        <v>0</v>
      </c>
      <c r="CG53" s="75">
        <f>'QTR Raw'!BA26+'QTR Raw'!BA31+'QTR Raw'!BA32+'QTR Raw'!BA33+'QTR Raw'!BA36+'QTR Raw'!BA37+'QTR Raw'!BA39</f>
        <v>0</v>
      </c>
      <c r="CH53" s="75">
        <f>'QTR Raw'!BB26+'QTR Raw'!BB31+'QTR Raw'!BB32+'QTR Raw'!BB33+'QTR Raw'!BB36+'QTR Raw'!BB37+'QTR Raw'!BB39</f>
        <v>0</v>
      </c>
      <c r="CI53" s="75">
        <f>'QTR Raw'!BC26+'QTR Raw'!BC31+'QTR Raw'!BC32+'QTR Raw'!BC33+'QTR Raw'!BC36+'QTR Raw'!BC37+'QTR Raw'!BC39</f>
        <v>0</v>
      </c>
      <c r="CJ53" s="75">
        <f>'QTR Raw'!BD26+'QTR Raw'!BD31+'QTR Raw'!BD32+'QTR Raw'!BD33+'QTR Raw'!BD36+'QTR Raw'!BD37+'QTR Raw'!BD39</f>
        <v>0</v>
      </c>
      <c r="CK53" s="75">
        <f>'QTR Raw'!BE26+'QTR Raw'!BE31+'QTR Raw'!BE32+'QTR Raw'!BE33+'QTR Raw'!BE36+'QTR Raw'!BE37+'QTR Raw'!BE39</f>
        <v>-163.86</v>
      </c>
      <c r="CL53" s="75">
        <f>'QTR Raw'!BF26+'QTR Raw'!BF31+'QTR Raw'!BF32+'QTR Raw'!BF33+'QTR Raw'!BF36+'QTR Raw'!BF37+'QTR Raw'!BF39</f>
        <v>56.13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123"/>
      <c r="DF53" s="23">
        <v>-107.73000000000002</v>
      </c>
    </row>
    <row r="54" spans="1:110" s="26" customFormat="1" x14ac:dyDescent="0.2">
      <c r="A54" s="35" t="s">
        <v>25</v>
      </c>
      <c r="B54" s="26">
        <f>B47+B51+B52+B53</f>
        <v>0</v>
      </c>
      <c r="C54" s="26">
        <f>C47+C51+C52+C53</f>
        <v>0</v>
      </c>
      <c r="D54" s="26">
        <f>D47+D51+D52+D53</f>
        <v>0</v>
      </c>
      <c r="E54" s="26">
        <f t="shared" ref="E54:U54" si="696">E47+E51+E52+E53</f>
        <v>8.0062737000000084</v>
      </c>
      <c r="F54" s="26">
        <f t="shared" si="696"/>
        <v>7.7165101999999877</v>
      </c>
      <c r="G54" s="26">
        <f t="shared" si="696"/>
        <v>11.629900000000152</v>
      </c>
      <c r="H54" s="26">
        <f t="shared" si="696"/>
        <v>16.284700000000068</v>
      </c>
      <c r="I54" s="26">
        <f t="shared" si="696"/>
        <v>29.997800000000087</v>
      </c>
      <c r="J54" s="26">
        <f t="shared" si="696"/>
        <v>65.865500000000097</v>
      </c>
      <c r="K54" s="26">
        <f t="shared" si="696"/>
        <v>90.999599999999774</v>
      </c>
      <c r="L54" s="26">
        <f t="shared" si="696"/>
        <v>139.01870000000002</v>
      </c>
      <c r="M54" s="26">
        <f t="shared" si="696"/>
        <v>208.37000000000003</v>
      </c>
      <c r="N54" s="26">
        <f t="shared" si="696"/>
        <v>300.73</v>
      </c>
      <c r="O54" s="26">
        <f t="shared" si="696"/>
        <v>273.21999999999991</v>
      </c>
      <c r="P54" s="26">
        <f t="shared" si="696"/>
        <v>334.06999999999954</v>
      </c>
      <c r="Q54" s="26">
        <f t="shared" si="696"/>
        <v>383.56000000000012</v>
      </c>
      <c r="R54" s="26">
        <f t="shared" si="696"/>
        <v>350.97999999999979</v>
      </c>
      <c r="S54" s="26">
        <f t="shared" si="696"/>
        <v>245.81000000000006</v>
      </c>
      <c r="T54" s="26">
        <f t="shared" si="696"/>
        <v>352.60000000000082</v>
      </c>
      <c r="U54" s="26">
        <f t="shared" si="696"/>
        <v>251.56699999999955</v>
      </c>
      <c r="V54" s="26">
        <f>V47+V51+V52+V53</f>
        <v>239.17300000000014</v>
      </c>
      <c r="W54" s="26">
        <f>W47+W51+W52+W53</f>
        <v>436.99100000000044</v>
      </c>
      <c r="X54" s="26">
        <f>X47+X51+X52+X53</f>
        <v>624.02999999999986</v>
      </c>
      <c r="Y54" s="26">
        <f>Y47+Y51+Y52+Y53</f>
        <v>679.37000000000057</v>
      </c>
      <c r="Z54" s="26">
        <f>Z47+Z51+Z52+Z53</f>
        <v>676.95</v>
      </c>
      <c r="AA54" s="26">
        <f>AA47+AA51+AA52+AA53</f>
        <v>546.58999999999878</v>
      </c>
      <c r="AB54" s="27">
        <f t="shared" ref="AA54:AD54" si="697">AB47+AB51+AB52+AB53</f>
        <v>482.29404606830002</v>
      </c>
      <c r="AC54" s="27">
        <f t="shared" si="697"/>
        <v>997.27883579586148</v>
      </c>
      <c r="AD54" s="27">
        <f t="shared" si="697"/>
        <v>1351.5740717508397</v>
      </c>
      <c r="AE54" s="27">
        <f t="shared" ref="AE54" si="698">AE47+AE51+AE52+AE53</f>
        <v>1744.8933307760913</v>
      </c>
      <c r="AI54" s="26">
        <f t="shared" ref="AI54" si="699">AI47+AI51+AI52+AI53</f>
        <v>0</v>
      </c>
      <c r="AJ54" s="26">
        <f t="shared" ref="AJ54" si="700">AJ47+AJ51+AJ52+AJ53</f>
        <v>0</v>
      </c>
      <c r="AK54" s="26">
        <f t="shared" ref="AK54:AM54" si="701">AK47+AK51+AK52+AK53</f>
        <v>0</v>
      </c>
      <c r="AL54" s="26">
        <f t="shared" si="701"/>
        <v>0</v>
      </c>
      <c r="AM54" s="26">
        <f t="shared" si="701"/>
        <v>0</v>
      </c>
      <c r="AN54" s="26">
        <f t="shared" ref="AN54:AO54" si="702">AN47+AN51+AN52+AN53</f>
        <v>0</v>
      </c>
      <c r="AO54" s="26">
        <f t="shared" si="702"/>
        <v>0</v>
      </c>
      <c r="AP54" s="26">
        <f t="shared" ref="AP54:CD54" si="703">AP47+AP51+AP52+AP53</f>
        <v>0</v>
      </c>
      <c r="AQ54" s="26">
        <f t="shared" si="703"/>
        <v>0</v>
      </c>
      <c r="AR54" s="26">
        <f t="shared" si="703"/>
        <v>0</v>
      </c>
      <c r="AS54" s="26">
        <f t="shared" si="703"/>
        <v>0</v>
      </c>
      <c r="AT54" s="26">
        <f t="shared" si="703"/>
        <v>0</v>
      </c>
      <c r="AU54" s="26">
        <f t="shared" si="703"/>
        <v>0</v>
      </c>
      <c r="AV54" s="26">
        <f t="shared" si="703"/>
        <v>0</v>
      </c>
      <c r="AW54" s="26">
        <f t="shared" si="703"/>
        <v>0</v>
      </c>
      <c r="AX54" s="26">
        <f t="shared" si="703"/>
        <v>0</v>
      </c>
      <c r="AY54" s="26">
        <f t="shared" si="703"/>
        <v>0</v>
      </c>
      <c r="AZ54" s="26">
        <f t="shared" si="703"/>
        <v>0</v>
      </c>
      <c r="BA54" s="26">
        <f t="shared" si="703"/>
        <v>0</v>
      </c>
      <c r="BB54" s="26">
        <f t="shared" si="703"/>
        <v>0</v>
      </c>
      <c r="BC54" s="26">
        <f t="shared" si="703"/>
        <v>0</v>
      </c>
      <c r="BD54" s="26">
        <f t="shared" si="703"/>
        <v>0</v>
      </c>
      <c r="BE54" s="26">
        <f t="shared" si="703"/>
        <v>0</v>
      </c>
      <c r="BF54" s="26">
        <f t="shared" si="703"/>
        <v>0</v>
      </c>
      <c r="BG54" s="26">
        <f t="shared" si="703"/>
        <v>0</v>
      </c>
      <c r="BH54" s="26">
        <f t="shared" si="703"/>
        <v>0</v>
      </c>
      <c r="BI54" s="26">
        <f t="shared" si="703"/>
        <v>0</v>
      </c>
      <c r="BJ54" s="26">
        <f t="shared" si="703"/>
        <v>0</v>
      </c>
      <c r="BK54" s="26">
        <f t="shared" si="703"/>
        <v>0</v>
      </c>
      <c r="BL54" s="26">
        <f t="shared" si="703"/>
        <v>0</v>
      </c>
      <c r="BM54" s="26">
        <f t="shared" si="703"/>
        <v>0</v>
      </c>
      <c r="BN54" s="26">
        <f t="shared" si="703"/>
        <v>0</v>
      </c>
      <c r="BO54" s="26">
        <f t="shared" si="703"/>
        <v>0</v>
      </c>
      <c r="BP54" s="26">
        <f t="shared" si="703"/>
        <v>0</v>
      </c>
      <c r="BQ54" s="26">
        <f t="shared" si="703"/>
        <v>0</v>
      </c>
      <c r="BR54" s="26">
        <f t="shared" si="703"/>
        <v>0</v>
      </c>
      <c r="BS54" s="26">
        <f t="shared" si="703"/>
        <v>0</v>
      </c>
      <c r="BT54" s="26">
        <f t="shared" si="703"/>
        <v>0</v>
      </c>
      <c r="BU54" s="26">
        <f t="shared" si="703"/>
        <v>0</v>
      </c>
      <c r="BV54" s="26">
        <f t="shared" si="703"/>
        <v>0</v>
      </c>
      <c r="BW54" s="26">
        <f t="shared" si="703"/>
        <v>0</v>
      </c>
      <c r="BX54" s="26">
        <f t="shared" si="703"/>
        <v>0</v>
      </c>
      <c r="BY54" s="26">
        <f t="shared" si="703"/>
        <v>148.38000000000011</v>
      </c>
      <c r="BZ54" s="26">
        <f t="shared" si="703"/>
        <v>216.5600000000002</v>
      </c>
      <c r="CA54" s="26">
        <f t="shared" si="703"/>
        <v>191.5299999999998</v>
      </c>
      <c r="CB54" s="26">
        <f t="shared" si="703"/>
        <v>160.38000000000017</v>
      </c>
      <c r="CC54" s="26">
        <f t="shared" si="703"/>
        <v>170.2199999999998</v>
      </c>
      <c r="CD54" s="26">
        <f t="shared" si="703"/>
        <v>157.2399999999999</v>
      </c>
      <c r="CE54" s="26">
        <f t="shared" ref="CE54:CF54" si="704">CE47+CE51+CE52+CE53</f>
        <v>162.02999999999992</v>
      </c>
      <c r="CF54" s="26">
        <f t="shared" si="704"/>
        <v>157.40999999999997</v>
      </c>
      <c r="CG54" s="26">
        <f t="shared" ref="CG54:CH54" si="705">CG47+CG51+CG52+CG53</f>
        <v>168.6400000000001</v>
      </c>
      <c r="CH54" s="26">
        <f t="shared" si="705"/>
        <v>188.8700000000002</v>
      </c>
      <c r="CI54" s="26">
        <f t="shared" ref="CI54:CJ54" si="706">CI47+CI51+CI52+CI53</f>
        <v>170.27999999999989</v>
      </c>
      <c r="CJ54" s="26">
        <f t="shared" si="706"/>
        <v>165.49999999999994</v>
      </c>
      <c r="CK54" s="26">
        <f t="shared" ref="CK54:CL54" si="707">CK47+CK51+CK52+CK53</f>
        <v>6.6400000000001285</v>
      </c>
      <c r="CL54" s="26">
        <f t="shared" si="707"/>
        <v>204.1700000000001</v>
      </c>
      <c r="CM54" s="27">
        <f t="shared" ref="CM54:DB54" si="708">CM47+CM51+CM52+CM53</f>
        <v>30.635169808022145</v>
      </c>
      <c r="CN54" s="27">
        <f t="shared" si="708"/>
        <v>101.23045797240356</v>
      </c>
      <c r="CO54" s="27">
        <f t="shared" si="708"/>
        <v>147.52236220893957</v>
      </c>
      <c r="CP54" s="27">
        <f t="shared" si="708"/>
        <v>202.90605607893357</v>
      </c>
      <c r="CQ54" s="27">
        <f t="shared" si="708"/>
        <v>192.834451885405</v>
      </c>
      <c r="CR54" s="27">
        <f t="shared" si="708"/>
        <v>230.3725118298583</v>
      </c>
      <c r="CS54" s="27">
        <f t="shared" si="708"/>
        <v>257.3127466519046</v>
      </c>
      <c r="CT54" s="27">
        <f t="shared" si="708"/>
        <v>316.75912542869321</v>
      </c>
      <c r="CU54" s="27">
        <f t="shared" si="708"/>
        <v>268.58052031630933</v>
      </c>
      <c r="CV54" s="27">
        <f t="shared" si="708"/>
        <v>316.3573026318943</v>
      </c>
      <c r="CW54" s="27">
        <f t="shared" si="708"/>
        <v>348.45352700492043</v>
      </c>
      <c r="CX54" s="27">
        <f t="shared" si="708"/>
        <v>418.18272179771577</v>
      </c>
      <c r="CY54" s="27">
        <f t="shared" si="708"/>
        <v>363.94065330454492</v>
      </c>
      <c r="CZ54" s="27">
        <f t="shared" si="708"/>
        <v>411.61034899999936</v>
      </c>
      <c r="DA54" s="27">
        <f t="shared" si="708"/>
        <v>443.91760333160096</v>
      </c>
      <c r="DB54" s="27">
        <f t="shared" si="708"/>
        <v>525.42472513994574</v>
      </c>
      <c r="DE54" s="121"/>
      <c r="DF54" s="26">
        <v>165.96146548062913</v>
      </c>
    </row>
    <row r="55" spans="1:110" s="25" customFormat="1" x14ac:dyDescent="0.2">
      <c r="A55" s="151" t="s">
        <v>486</v>
      </c>
      <c r="AB55" s="17"/>
      <c r="AC55" s="17"/>
      <c r="AD55" s="17"/>
      <c r="AE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E55" s="119"/>
    </row>
    <row r="56" spans="1:110" s="1" customFormat="1" x14ac:dyDescent="0.2">
      <c r="AB56" s="20"/>
      <c r="AC56" s="20"/>
      <c r="AD56" s="20"/>
      <c r="AE56" s="20"/>
      <c r="BV56" s="183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22" customFormat="1" x14ac:dyDescent="0.2">
      <c r="A57" s="22" t="s">
        <v>434</v>
      </c>
      <c r="B57" s="22">
        <f>'Annual Raw'!C35</f>
        <v>0</v>
      </c>
      <c r="C57" s="22">
        <f>'Annual Raw'!D35</f>
        <v>0</v>
      </c>
      <c r="D57" s="22">
        <f>'Annual Raw'!E35</f>
        <v>0</v>
      </c>
      <c r="E57" s="22">
        <f>'Annual Raw'!F35</f>
        <v>8.0062736999999995</v>
      </c>
      <c r="F57" s="22">
        <f>'Annual Raw'!G35</f>
        <v>7.7165102000000001</v>
      </c>
      <c r="G57" s="22">
        <f>'Annual Raw'!H35</f>
        <v>11.629899999999999</v>
      </c>
      <c r="H57" s="22">
        <f>'Annual Raw'!I35</f>
        <v>16.284700000000001</v>
      </c>
      <c r="I57" s="22">
        <f>'Annual Raw'!J35</f>
        <v>29.997800000000002</v>
      </c>
      <c r="J57" s="22">
        <f>'Annual Raw'!K35</f>
        <v>65.865499999999997</v>
      </c>
      <c r="K57" s="22">
        <f>'Annual Raw'!L35</f>
        <v>90.999600000000001</v>
      </c>
      <c r="L57" s="22">
        <f>'Annual Raw'!M35</f>
        <v>139.0187</v>
      </c>
      <c r="M57" s="22">
        <f>'Annual Raw'!N35</f>
        <v>208.37</v>
      </c>
      <c r="N57" s="22">
        <f>'Annual Raw'!O35</f>
        <v>300.73</v>
      </c>
      <c r="O57" s="22">
        <f>'Annual Raw'!P35</f>
        <v>273.22000000000003</v>
      </c>
      <c r="P57" s="22">
        <f>'Annual Raw'!Q35</f>
        <v>334.07</v>
      </c>
      <c r="Q57" s="22">
        <f>'Annual Raw'!R35</f>
        <v>383.56</v>
      </c>
      <c r="R57" s="22">
        <f>'Annual Raw'!S35</f>
        <v>350.98</v>
      </c>
      <c r="S57" s="22">
        <f>'Annual Raw'!T35</f>
        <v>245.81</v>
      </c>
      <c r="T57" s="22">
        <f>'Annual Raw'!U35</f>
        <v>352.6</v>
      </c>
      <c r="U57" s="22">
        <f>'Annual Raw'!V35</f>
        <v>251.56700000000001</v>
      </c>
      <c r="V57" s="22">
        <f>'Annual Raw'!W35</f>
        <v>239.173</v>
      </c>
      <c r="W57" s="22">
        <f>'Annual Raw'!X35</f>
        <v>436.99099999999999</v>
      </c>
      <c r="X57" s="22">
        <f>'Annual Raw'!Y35</f>
        <v>624.03</v>
      </c>
      <c r="Y57" s="22">
        <f>'Annual Raw'!Z35</f>
        <v>679.37</v>
      </c>
      <c r="Z57" s="22">
        <f>'Annual Raw'!AA35</f>
        <v>676.95</v>
      </c>
      <c r="AA57" s="22">
        <f>'Annual Raw'!AB35</f>
        <v>546.59</v>
      </c>
      <c r="AB57" s="21">
        <f t="shared" ref="AA57:AD57" si="709">+AB54</f>
        <v>482.29404606830002</v>
      </c>
      <c r="AC57" s="21">
        <f t="shared" si="709"/>
        <v>997.27883579586148</v>
      </c>
      <c r="AD57" s="21">
        <f t="shared" si="709"/>
        <v>1351.5740717508397</v>
      </c>
      <c r="AE57" s="21">
        <f t="shared" ref="AE57" si="710">+AE54</f>
        <v>1744.8933307760913</v>
      </c>
      <c r="AI57" s="22">
        <f>'QTR Raw'!C42</f>
        <v>0</v>
      </c>
      <c r="AJ57" s="22">
        <f>'QTR Raw'!D42</f>
        <v>0</v>
      </c>
      <c r="AK57" s="22">
        <f>'QTR Raw'!E42</f>
        <v>0</v>
      </c>
      <c r="AL57" s="22">
        <f>'QTR Raw'!F42</f>
        <v>0</v>
      </c>
      <c r="AM57" s="22">
        <f>'QTR Raw'!G42</f>
        <v>0</v>
      </c>
      <c r="AN57" s="22">
        <f>'QTR Raw'!H42</f>
        <v>0</v>
      </c>
      <c r="AO57" s="22">
        <f>'QTR Raw'!I42</f>
        <v>0</v>
      </c>
      <c r="AP57" s="22">
        <f>'QTR Raw'!J42</f>
        <v>0</v>
      </c>
      <c r="AQ57" s="22">
        <f>'QTR Raw'!K42</f>
        <v>0</v>
      </c>
      <c r="AR57" s="22">
        <f>'QTR Raw'!L42</f>
        <v>0</v>
      </c>
      <c r="AS57" s="22">
        <f>'QTR Raw'!M42</f>
        <v>0</v>
      </c>
      <c r="AT57" s="22">
        <f>'QTR Raw'!N42</f>
        <v>0</v>
      </c>
      <c r="AU57" s="22">
        <f>'QTR Raw'!O42</f>
        <v>0</v>
      </c>
      <c r="AV57" s="22">
        <f>'QTR Raw'!P42</f>
        <v>0</v>
      </c>
      <c r="AW57" s="22">
        <f>'QTR Raw'!Q42</f>
        <v>0</v>
      </c>
      <c r="AX57" s="22">
        <f>'QTR Raw'!R42</f>
        <v>0</v>
      </c>
      <c r="AY57" s="22">
        <f>'QTR Raw'!S42</f>
        <v>0</v>
      </c>
      <c r="AZ57" s="22">
        <f>'QTR Raw'!T42</f>
        <v>0</v>
      </c>
      <c r="BA57" s="22">
        <f>'QTR Raw'!U42</f>
        <v>0</v>
      </c>
      <c r="BB57" s="22">
        <f>'QTR Raw'!V42</f>
        <v>0</v>
      </c>
      <c r="BC57" s="22">
        <f>'QTR Raw'!W42</f>
        <v>0</v>
      </c>
      <c r="BD57" s="22">
        <f>'QTR Raw'!X42</f>
        <v>0</v>
      </c>
      <c r="BE57" s="22">
        <f>'QTR Raw'!Y42</f>
        <v>0</v>
      </c>
      <c r="BF57" s="22">
        <f>'QTR Raw'!Z42</f>
        <v>0</v>
      </c>
      <c r="BG57" s="22">
        <f>'QTR Raw'!AA42</f>
        <v>0</v>
      </c>
      <c r="BH57" s="22">
        <f>'QTR Raw'!AB42</f>
        <v>0</v>
      </c>
      <c r="BI57" s="22">
        <f>'QTR Raw'!AC42</f>
        <v>0</v>
      </c>
      <c r="BJ57" s="22">
        <f>'QTR Raw'!AD42</f>
        <v>0</v>
      </c>
      <c r="BK57" s="22">
        <f>'QTR Raw'!AE42</f>
        <v>0</v>
      </c>
      <c r="BL57" s="22">
        <f>'QTR Raw'!AF42</f>
        <v>0</v>
      </c>
      <c r="BM57" s="22">
        <f>'QTR Raw'!AG42</f>
        <v>0</v>
      </c>
      <c r="BN57" s="22">
        <f>'QTR Raw'!AH42</f>
        <v>0</v>
      </c>
      <c r="BO57" s="22">
        <f>'QTR Raw'!AI42</f>
        <v>0</v>
      </c>
      <c r="BP57" s="22">
        <f>'QTR Raw'!AJ42</f>
        <v>0</v>
      </c>
      <c r="BQ57" s="22">
        <f>'QTR Raw'!AK42</f>
        <v>0</v>
      </c>
      <c r="BR57" s="22">
        <f>'QTR Raw'!AL42</f>
        <v>0</v>
      </c>
      <c r="BS57" s="22">
        <f>'QTR Raw'!AM42</f>
        <v>0</v>
      </c>
      <c r="BT57" s="22">
        <f>'QTR Raw'!AN42</f>
        <v>0</v>
      </c>
      <c r="BU57" s="22">
        <f>'QTR Raw'!AO42</f>
        <v>0</v>
      </c>
      <c r="BV57" s="22">
        <f>'QTR Raw'!AP42</f>
        <v>0</v>
      </c>
      <c r="BW57" s="22">
        <f>'QTR Raw'!AQ42</f>
        <v>0</v>
      </c>
      <c r="BX57" s="22">
        <f>'QTR Raw'!AR42</f>
        <v>0</v>
      </c>
      <c r="BY57" s="22">
        <f>'QTR Raw'!AS42</f>
        <v>148.38</v>
      </c>
      <c r="BZ57" s="22">
        <f>'QTR Raw'!AT42</f>
        <v>216.56</v>
      </c>
      <c r="CA57" s="22">
        <f>'QTR Raw'!AU42</f>
        <v>191.53</v>
      </c>
      <c r="CB57" s="22">
        <f>'QTR Raw'!AV42</f>
        <v>160.38</v>
      </c>
      <c r="CC57" s="22">
        <f>'QTR Raw'!AW42</f>
        <v>170.22</v>
      </c>
      <c r="CD57" s="22">
        <f>'QTR Raw'!AX42</f>
        <v>157.24</v>
      </c>
      <c r="CE57" s="22">
        <f>'QTR Raw'!AY42</f>
        <v>162.03</v>
      </c>
      <c r="CF57" s="22">
        <f>'QTR Raw'!AZ42</f>
        <v>157.41</v>
      </c>
      <c r="CG57" s="22">
        <f>'QTR Raw'!BA42</f>
        <v>168.64</v>
      </c>
      <c r="CH57" s="22">
        <f>'QTR Raw'!BB42</f>
        <v>188.87</v>
      </c>
      <c r="CI57" s="22">
        <f>'QTR Raw'!BC42</f>
        <v>170.28</v>
      </c>
      <c r="CJ57" s="22">
        <f>'QTR Raw'!BD42</f>
        <v>165.5</v>
      </c>
      <c r="CK57" s="22">
        <f>'QTR Raw'!BE42</f>
        <v>6.64</v>
      </c>
      <c r="CL57" s="22">
        <f>'QTR Raw'!BF42</f>
        <v>204.17</v>
      </c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  <c r="DF57" s="22">
        <v>546.58999999999969</v>
      </c>
    </row>
    <row r="58" spans="1:110" s="25" customFormat="1" x14ac:dyDescent="0.2">
      <c r="A58" s="36" t="s">
        <v>435</v>
      </c>
      <c r="B58" s="25">
        <f t="shared" ref="B58:V58" si="711">B57-B54</f>
        <v>0</v>
      </c>
      <c r="C58" s="25">
        <f>C57-C54</f>
        <v>0</v>
      </c>
      <c r="D58" s="25">
        <f t="shared" si="711"/>
        <v>0</v>
      </c>
      <c r="E58" s="25">
        <f t="shared" si="711"/>
        <v>0</v>
      </c>
      <c r="F58" s="25">
        <f t="shared" si="711"/>
        <v>1.2434497875801753E-14</v>
      </c>
      <c r="G58" s="25">
        <f t="shared" si="711"/>
        <v>-1.5276668818842154E-13</v>
      </c>
      <c r="H58" s="25">
        <f t="shared" si="711"/>
        <v>-6.7501559897209518E-14</v>
      </c>
      <c r="I58" s="25">
        <f t="shared" si="711"/>
        <v>-8.5265128291212022E-14</v>
      </c>
      <c r="J58" s="25">
        <f t="shared" si="711"/>
        <v>0</v>
      </c>
      <c r="K58" s="25">
        <f t="shared" si="711"/>
        <v>2.2737367544323206E-13</v>
      </c>
      <c r="L58" s="25">
        <f t="shared" si="711"/>
        <v>0</v>
      </c>
      <c r="M58" s="25">
        <f t="shared" si="711"/>
        <v>0</v>
      </c>
      <c r="N58" s="25">
        <f t="shared" si="711"/>
        <v>0</v>
      </c>
      <c r="O58" s="25">
        <f t="shared" si="711"/>
        <v>0</v>
      </c>
      <c r="P58" s="25">
        <f t="shared" si="711"/>
        <v>4.5474735088646412E-13</v>
      </c>
      <c r="Q58" s="25">
        <f t="shared" si="711"/>
        <v>0</v>
      </c>
      <c r="R58" s="25">
        <f t="shared" si="711"/>
        <v>0</v>
      </c>
      <c r="S58" s="25">
        <f t="shared" si="711"/>
        <v>0</v>
      </c>
      <c r="T58" s="25">
        <f t="shared" si="711"/>
        <v>-7.9580786405131221E-13</v>
      </c>
      <c r="U58" s="25">
        <f t="shared" si="711"/>
        <v>4.5474735088646412E-13</v>
      </c>
      <c r="V58" s="25">
        <f t="shared" si="711"/>
        <v>0</v>
      </c>
      <c r="W58" s="25">
        <f t="shared" ref="W58" si="712">W57-W54</f>
        <v>-4.5474735088646412E-13</v>
      </c>
      <c r="X58" s="25">
        <f t="shared" ref="X58:Y58" si="713">X57-X54</f>
        <v>0</v>
      </c>
      <c r="Y58" s="25">
        <f t="shared" si="713"/>
        <v>0</v>
      </c>
      <c r="Z58" s="25">
        <f t="shared" ref="Z58:AA58" si="714">Z57-Z54</f>
        <v>0</v>
      </c>
      <c r="AA58" s="25">
        <f t="shared" si="714"/>
        <v>1.2505552149377763E-12</v>
      </c>
      <c r="AB58" s="17">
        <f t="shared" ref="AA58:AD58" si="715">AB57-AB54</f>
        <v>0</v>
      </c>
      <c r="AC58" s="17">
        <f t="shared" si="715"/>
        <v>0</v>
      </c>
      <c r="AD58" s="17">
        <f t="shared" si="715"/>
        <v>0</v>
      </c>
      <c r="AE58" s="17">
        <f t="shared" ref="AE58" si="716">AE57-AE54</f>
        <v>0</v>
      </c>
      <c r="AI58" s="25">
        <f t="shared" ref="AI58" si="717">AI57-AI54</f>
        <v>0</v>
      </c>
      <c r="AJ58" s="25">
        <f t="shared" ref="AJ58" si="718">AJ57-AJ54</f>
        <v>0</v>
      </c>
      <c r="AK58" s="25">
        <f t="shared" ref="AK58:AM58" si="719">AK57-AK54</f>
        <v>0</v>
      </c>
      <c r="AL58" s="25">
        <f t="shared" si="719"/>
        <v>0</v>
      </c>
      <c r="AM58" s="25">
        <f t="shared" si="719"/>
        <v>0</v>
      </c>
      <c r="AN58" s="25">
        <f t="shared" ref="AN58:AO58" si="720">AN57-AN54</f>
        <v>0</v>
      </c>
      <c r="AO58" s="25">
        <f t="shared" si="720"/>
        <v>0</v>
      </c>
      <c r="AP58" s="25">
        <f t="shared" ref="AP58:CD58" si="721">AP57-AP54</f>
        <v>0</v>
      </c>
      <c r="AQ58" s="25">
        <f t="shared" si="721"/>
        <v>0</v>
      </c>
      <c r="AR58" s="25">
        <f t="shared" si="721"/>
        <v>0</v>
      </c>
      <c r="AS58" s="25">
        <f t="shared" si="721"/>
        <v>0</v>
      </c>
      <c r="AT58" s="25">
        <f t="shared" si="721"/>
        <v>0</v>
      </c>
      <c r="AU58" s="25">
        <f t="shared" si="721"/>
        <v>0</v>
      </c>
      <c r="AV58" s="25">
        <f t="shared" si="721"/>
        <v>0</v>
      </c>
      <c r="AW58" s="25">
        <f t="shared" si="721"/>
        <v>0</v>
      </c>
      <c r="AX58" s="25">
        <f t="shared" si="721"/>
        <v>0</v>
      </c>
      <c r="AY58" s="25">
        <f t="shared" si="721"/>
        <v>0</v>
      </c>
      <c r="AZ58" s="25">
        <f t="shared" si="721"/>
        <v>0</v>
      </c>
      <c r="BA58" s="25">
        <f t="shared" si="721"/>
        <v>0</v>
      </c>
      <c r="BB58" s="25">
        <f t="shared" si="721"/>
        <v>0</v>
      </c>
      <c r="BC58" s="25">
        <f t="shared" si="721"/>
        <v>0</v>
      </c>
      <c r="BD58" s="25">
        <f t="shared" si="721"/>
        <v>0</v>
      </c>
      <c r="BE58" s="25">
        <f t="shared" si="721"/>
        <v>0</v>
      </c>
      <c r="BF58" s="25">
        <f t="shared" si="721"/>
        <v>0</v>
      </c>
      <c r="BG58" s="25">
        <f t="shared" si="721"/>
        <v>0</v>
      </c>
      <c r="BH58" s="25">
        <f t="shared" si="721"/>
        <v>0</v>
      </c>
      <c r="BI58" s="25">
        <f t="shared" si="721"/>
        <v>0</v>
      </c>
      <c r="BJ58" s="25">
        <f t="shared" si="721"/>
        <v>0</v>
      </c>
      <c r="BK58" s="25">
        <f t="shared" si="721"/>
        <v>0</v>
      </c>
      <c r="BL58" s="25">
        <f t="shared" si="721"/>
        <v>0</v>
      </c>
      <c r="BM58" s="25">
        <f t="shared" si="721"/>
        <v>0</v>
      </c>
      <c r="BN58" s="25">
        <f t="shared" si="721"/>
        <v>0</v>
      </c>
      <c r="BO58" s="25">
        <f t="shared" si="721"/>
        <v>0</v>
      </c>
      <c r="BP58" s="25">
        <f t="shared" si="721"/>
        <v>0</v>
      </c>
      <c r="BQ58" s="25">
        <f t="shared" si="721"/>
        <v>0</v>
      </c>
      <c r="BR58" s="25">
        <f t="shared" si="721"/>
        <v>0</v>
      </c>
      <c r="BS58" s="25">
        <f t="shared" si="721"/>
        <v>0</v>
      </c>
      <c r="BT58" s="25">
        <f t="shared" si="721"/>
        <v>0</v>
      </c>
      <c r="BU58" s="25">
        <f t="shared" si="721"/>
        <v>0</v>
      </c>
      <c r="BV58" s="25">
        <f t="shared" si="721"/>
        <v>0</v>
      </c>
      <c r="BW58" s="25">
        <f t="shared" si="721"/>
        <v>0</v>
      </c>
      <c r="BX58" s="25">
        <f t="shared" si="721"/>
        <v>0</v>
      </c>
      <c r="BY58" s="25">
        <f t="shared" si="721"/>
        <v>0</v>
      </c>
      <c r="BZ58" s="25">
        <f t="shared" si="721"/>
        <v>0</v>
      </c>
      <c r="CA58" s="25">
        <f t="shared" si="721"/>
        <v>0</v>
      </c>
      <c r="CB58" s="25">
        <f t="shared" si="721"/>
        <v>0</v>
      </c>
      <c r="CC58" s="25">
        <f t="shared" si="721"/>
        <v>0</v>
      </c>
      <c r="CD58" s="25">
        <f t="shared" si="721"/>
        <v>0</v>
      </c>
      <c r="CE58" s="25">
        <f t="shared" ref="CE58:CF58" si="722">CE57-CE54</f>
        <v>0</v>
      </c>
      <c r="CF58" s="25">
        <f t="shared" si="722"/>
        <v>0</v>
      </c>
      <c r="CG58" s="25">
        <f t="shared" ref="CG58:CH58" si="723">CG57-CG54</f>
        <v>0</v>
      </c>
      <c r="CH58" s="25">
        <f t="shared" si="723"/>
        <v>0</v>
      </c>
      <c r="CI58" s="25">
        <f t="shared" ref="CI58:CJ58" si="724">CI57-CI54</f>
        <v>0</v>
      </c>
      <c r="CJ58" s="25">
        <f t="shared" si="724"/>
        <v>0</v>
      </c>
      <c r="CK58" s="25">
        <f t="shared" ref="CK58:CL58" si="725">CK57-CK54</f>
        <v>-1.2878587085651816E-13</v>
      </c>
      <c r="CL58" s="25">
        <f t="shared" si="725"/>
        <v>0</v>
      </c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  <c r="DF58" s="25">
        <v>0</v>
      </c>
    </row>
    <row r="59" spans="1:110" s="1" customFormat="1" x14ac:dyDescent="0.2">
      <c r="A59" s="150" t="s">
        <v>487</v>
      </c>
      <c r="AB59" s="20"/>
      <c r="AC59" s="20"/>
      <c r="AD59" s="20"/>
      <c r="AE59" s="20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38" customFormat="1" x14ac:dyDescent="0.2">
      <c r="A60" s="38" t="s">
        <v>350</v>
      </c>
      <c r="B60" s="39" t="e">
        <f t="shared" ref="B60:AE60" si="726">(B54-B53)/B126</f>
        <v>#DIV/0!</v>
      </c>
      <c r="C60" s="39" t="e">
        <f t="shared" si="726"/>
        <v>#DIV/0!</v>
      </c>
      <c r="D60" s="39" t="e">
        <f t="shared" si="726"/>
        <v>#DIV/0!</v>
      </c>
      <c r="E60" s="39">
        <f t="shared" si="726"/>
        <v>0.27082169367267539</v>
      </c>
      <c r="F60" s="39">
        <f t="shared" si="726"/>
        <v>0.22788813557519011</v>
      </c>
      <c r="G60" s="39">
        <f t="shared" si="726"/>
        <v>4.1375573544024991E-2</v>
      </c>
      <c r="H60" s="39">
        <f t="shared" si="726"/>
        <v>5.6273592163933031E-2</v>
      </c>
      <c r="I60" s="39">
        <f t="shared" si="726"/>
        <v>8.0398570640952238E-2</v>
      </c>
      <c r="J60" s="39">
        <f t="shared" si="726"/>
        <v>0.19265080701253587</v>
      </c>
      <c r="K60" s="39">
        <f t="shared" si="726"/>
        <v>0.26576532466687075</v>
      </c>
      <c r="L60" s="39">
        <f t="shared" si="726"/>
        <v>0.29718506749420287</v>
      </c>
      <c r="M60" s="39">
        <f t="shared" si="726"/>
        <v>0.26685706235672302</v>
      </c>
      <c r="N60" s="39">
        <f t="shared" si="726"/>
        <v>0.31560443712153813</v>
      </c>
      <c r="O60" s="39">
        <f t="shared" si="726"/>
        <v>0.23141685865293396</v>
      </c>
      <c r="P60" s="39">
        <f t="shared" si="726"/>
        <v>0.31363363250591414</v>
      </c>
      <c r="Q60" s="39">
        <f t="shared" si="726"/>
        <v>0.27352792258266961</v>
      </c>
      <c r="R60" s="39">
        <f t="shared" si="726"/>
        <v>0.25279550748400792</v>
      </c>
      <c r="S60" s="39">
        <f t="shared" si="726"/>
        <v>0.16391053093235647</v>
      </c>
      <c r="T60" s="39">
        <f t="shared" si="726"/>
        <v>0.20422310756972159</v>
      </c>
      <c r="U60" s="39">
        <f t="shared" si="726"/>
        <v>0.14042110570069374</v>
      </c>
      <c r="V60" s="39">
        <f t="shared" si="726"/>
        <v>0.11417853244911437</v>
      </c>
      <c r="W60" s="39">
        <f t="shared" si="726"/>
        <v>0.19164918617588869</v>
      </c>
      <c r="X60" s="39">
        <f t="shared" si="726"/>
        <v>0.20874408335981529</v>
      </c>
      <c r="Y60" s="39">
        <f t="shared" si="726"/>
        <v>0.21093075676380565</v>
      </c>
      <c r="Z60" s="39">
        <f t="shared" si="726"/>
        <v>0.18912281878069631</v>
      </c>
      <c r="AA60" s="39">
        <f t="shared" ref="AA60" si="727">(AA54-AA53)/AA126</f>
        <v>0.166774991907467</v>
      </c>
      <c r="AB60" s="40">
        <f t="shared" si="726"/>
        <v>0.10947136255173806</v>
      </c>
      <c r="AC60" s="40">
        <f t="shared" si="726"/>
        <v>0.18458067345916002</v>
      </c>
      <c r="AD60" s="40">
        <f t="shared" si="726"/>
        <v>0.20009929370707713</v>
      </c>
      <c r="AE60" s="40">
        <f t="shared" si="726"/>
        <v>0.20529581140241399</v>
      </c>
      <c r="AF60" s="39"/>
      <c r="AG60" s="39"/>
      <c r="AH60" s="39"/>
      <c r="AI60" s="39"/>
      <c r="AJ60" s="39"/>
      <c r="AK60" s="39"/>
      <c r="AL60" s="39" t="e">
        <f t="shared" ref="AL60:BQ60" si="728">(SUM(AI54:AL54)-SUM(AI53:AL53))/AL126</f>
        <v>#DIV/0!</v>
      </c>
      <c r="AM60" s="39" t="e">
        <f t="shared" si="728"/>
        <v>#DIV/0!</v>
      </c>
      <c r="AN60" s="39" t="e">
        <f t="shared" si="728"/>
        <v>#DIV/0!</v>
      </c>
      <c r="AO60" s="39" t="e">
        <f t="shared" si="728"/>
        <v>#DIV/0!</v>
      </c>
      <c r="AP60" s="39" t="e">
        <f t="shared" si="728"/>
        <v>#DIV/0!</v>
      </c>
      <c r="AQ60" s="39" t="e">
        <f t="shared" si="728"/>
        <v>#DIV/0!</v>
      </c>
      <c r="AR60" s="39" t="e">
        <f t="shared" si="728"/>
        <v>#DIV/0!</v>
      </c>
      <c r="AS60" s="39" t="e">
        <f t="shared" si="728"/>
        <v>#DIV/0!</v>
      </c>
      <c r="AT60" s="39" t="e">
        <f t="shared" si="728"/>
        <v>#DIV/0!</v>
      </c>
      <c r="AU60" s="39" t="e">
        <f t="shared" si="728"/>
        <v>#DIV/0!</v>
      </c>
      <c r="AV60" s="39" t="e">
        <f t="shared" si="728"/>
        <v>#DIV/0!</v>
      </c>
      <c r="AW60" s="39" t="e">
        <f t="shared" si="728"/>
        <v>#DIV/0!</v>
      </c>
      <c r="AX60" s="39" t="e">
        <f t="shared" si="728"/>
        <v>#DIV/0!</v>
      </c>
      <c r="AY60" s="39" t="e">
        <f t="shared" si="728"/>
        <v>#DIV/0!</v>
      </c>
      <c r="AZ60" s="39" t="e">
        <f t="shared" si="728"/>
        <v>#DIV/0!</v>
      </c>
      <c r="BA60" s="39" t="e">
        <f t="shared" si="728"/>
        <v>#DIV/0!</v>
      </c>
      <c r="BB60" s="39" t="e">
        <f t="shared" si="728"/>
        <v>#DIV/0!</v>
      </c>
      <c r="BC60" s="39" t="e">
        <f t="shared" si="728"/>
        <v>#DIV/0!</v>
      </c>
      <c r="BD60" s="39" t="e">
        <f t="shared" si="728"/>
        <v>#DIV/0!</v>
      </c>
      <c r="BE60" s="39" t="e">
        <f t="shared" si="728"/>
        <v>#DIV/0!</v>
      </c>
      <c r="BF60" s="39" t="e">
        <f t="shared" si="728"/>
        <v>#DIV/0!</v>
      </c>
      <c r="BG60" s="39" t="e">
        <f t="shared" si="728"/>
        <v>#DIV/0!</v>
      </c>
      <c r="BH60" s="39" t="e">
        <f t="shared" si="728"/>
        <v>#DIV/0!</v>
      </c>
      <c r="BI60" s="39" t="e">
        <f t="shared" si="728"/>
        <v>#DIV/0!</v>
      </c>
      <c r="BJ60" s="39" t="e">
        <f t="shared" si="728"/>
        <v>#DIV/0!</v>
      </c>
      <c r="BK60" s="39" t="e">
        <f t="shared" si="728"/>
        <v>#DIV/0!</v>
      </c>
      <c r="BL60" s="39" t="e">
        <f t="shared" si="728"/>
        <v>#DIV/0!</v>
      </c>
      <c r="BM60" s="39" t="e">
        <f t="shared" si="728"/>
        <v>#DIV/0!</v>
      </c>
      <c r="BN60" s="39" t="e">
        <f t="shared" si="728"/>
        <v>#DIV/0!</v>
      </c>
      <c r="BO60" s="39" t="e">
        <f t="shared" si="728"/>
        <v>#DIV/0!</v>
      </c>
      <c r="BP60" s="39" t="e">
        <f t="shared" si="728"/>
        <v>#DIV/0!</v>
      </c>
      <c r="BQ60" s="39" t="e">
        <f t="shared" si="728"/>
        <v>#DIV/0!</v>
      </c>
      <c r="BR60" s="39" t="e">
        <f t="shared" ref="BR60:CW60" si="729">(SUM(BO54:BR54)-SUM(BO53:BR53))/BR126</f>
        <v>#DIV/0!</v>
      </c>
      <c r="BS60" s="39" t="e">
        <f t="shared" si="729"/>
        <v>#DIV/0!</v>
      </c>
      <c r="BT60" s="39" t="e">
        <f t="shared" si="729"/>
        <v>#DIV/0!</v>
      </c>
      <c r="BU60" s="39" t="e">
        <f t="shared" si="729"/>
        <v>#DIV/0!</v>
      </c>
      <c r="BV60" s="39" t="e">
        <f t="shared" si="729"/>
        <v>#DIV/0!</v>
      </c>
      <c r="BW60" s="39" t="e">
        <f t="shared" si="729"/>
        <v>#DIV/0!</v>
      </c>
      <c r="BX60" s="39" t="e">
        <f t="shared" si="729"/>
        <v>#DIV/0!</v>
      </c>
      <c r="BY60" s="39">
        <f t="shared" si="729"/>
        <v>1</v>
      </c>
      <c r="BZ60" s="39">
        <f t="shared" si="729"/>
        <v>0.12207596715114828</v>
      </c>
      <c r="CA60" s="39">
        <f t="shared" si="729"/>
        <v>0.17493665474162051</v>
      </c>
      <c r="CB60" s="39" t="e">
        <f t="shared" si="729"/>
        <v>#DIV/0!</v>
      </c>
      <c r="CC60" s="39">
        <f t="shared" si="729"/>
        <v>4.3396193161790677</v>
      </c>
      <c r="CD60" s="39">
        <f t="shared" si="729"/>
        <v>0.21093075676380538</v>
      </c>
      <c r="CE60" s="39">
        <f t="shared" si="729"/>
        <v>0.19210724684807184</v>
      </c>
      <c r="CF60" s="39">
        <f t="shared" si="729"/>
        <v>0.20120743120721335</v>
      </c>
      <c r="CG60" s="39">
        <f t="shared" si="729"/>
        <v>0.19071261595931113</v>
      </c>
      <c r="CH60" s="39">
        <f t="shared" si="729"/>
        <v>0.18912281878069637</v>
      </c>
      <c r="CI60" s="39">
        <f t="shared" si="729"/>
        <v>0.18273461876950162</v>
      </c>
      <c r="CJ60" s="39">
        <f t="shared" si="729"/>
        <v>0.19439763343474425</v>
      </c>
      <c r="CK60" s="39">
        <f t="shared" si="729"/>
        <v>0.19455693970596061</v>
      </c>
      <c r="CL60" s="39">
        <f t="shared" si="729"/>
        <v>0.16677499190746733</v>
      </c>
      <c r="CM60" s="40">
        <f t="shared" si="729"/>
        <v>0.13016552778888027</v>
      </c>
      <c r="CN60" s="40">
        <f t="shared" si="729"/>
        <v>0.11106768363715254</v>
      </c>
      <c r="CO60" s="40">
        <f t="shared" si="729"/>
        <v>0.10170178511526592</v>
      </c>
      <c r="CP60" s="40">
        <f t="shared" si="729"/>
        <v>0.1094713625517378</v>
      </c>
      <c r="CQ60" s="40">
        <f t="shared" si="729"/>
        <v>0.14015299307643053</v>
      </c>
      <c r="CR60" s="40">
        <f t="shared" si="729"/>
        <v>0.16021040537958209</v>
      </c>
      <c r="CS60" s="40">
        <f t="shared" si="729"/>
        <v>0.1736912798969005</v>
      </c>
      <c r="CT60" s="40">
        <f t="shared" si="729"/>
        <v>0.18458067345915996</v>
      </c>
      <c r="CU60" s="40">
        <f t="shared" si="729"/>
        <v>0.18919518234099697</v>
      </c>
      <c r="CV60" s="40">
        <f t="shared" si="729"/>
        <v>0.19355924945153366</v>
      </c>
      <c r="CW60" s="40">
        <f t="shared" si="729"/>
        <v>0.1972986950568846</v>
      </c>
      <c r="CX60" s="40">
        <f t="shared" ref="CX60:DB60" si="730">(SUM(CU54:CX54)-SUM(CU53:CX53))/CX126</f>
        <v>0.20009929370707713</v>
      </c>
      <c r="CY60" s="40">
        <f t="shared" si="730"/>
        <v>0.20326512913872991</v>
      </c>
      <c r="CZ60" s="40">
        <f t="shared" si="730"/>
        <v>0.20480389554716233</v>
      </c>
      <c r="DA60" s="40">
        <f t="shared" si="730"/>
        <v>0.2053742529711399</v>
      </c>
      <c r="DB60" s="40">
        <f t="shared" si="730"/>
        <v>0.20529581140241393</v>
      </c>
      <c r="DE60" s="122"/>
      <c r="DF60" s="38">
        <v>0.17979411385438104</v>
      </c>
    </row>
    <row r="61" spans="1:110" s="38" customFormat="1" x14ac:dyDescent="0.2">
      <c r="A61" s="38" t="s">
        <v>351</v>
      </c>
      <c r="B61" s="39" t="e">
        <f t="shared" ref="B61:AE61" si="731">+B40/B135</f>
        <v>#DIV/0!</v>
      </c>
      <c r="C61" s="39" t="e">
        <f t="shared" si="731"/>
        <v>#DIV/0!</v>
      </c>
      <c r="D61" s="39" t="e">
        <f t="shared" si="731"/>
        <v>#DIV/0!</v>
      </c>
      <c r="E61" s="39">
        <f t="shared" si="731"/>
        <v>0.16530277322111345</v>
      </c>
      <c r="F61" s="39">
        <f t="shared" si="731"/>
        <v>0.26910490761230649</v>
      </c>
      <c r="G61" s="39">
        <f t="shared" si="731"/>
        <v>4.226514094813149E-2</v>
      </c>
      <c r="H61" s="39">
        <f t="shared" si="731"/>
        <v>1.9424533071300518E-2</v>
      </c>
      <c r="I61" s="39">
        <f t="shared" si="731"/>
        <v>7.8335112205942567E-2</v>
      </c>
      <c r="J61" s="39">
        <f t="shared" si="731"/>
        <v>9.8819647344809844E-2</v>
      </c>
      <c r="K61" s="39">
        <f t="shared" si="731"/>
        <v>0.17321008610787886</v>
      </c>
      <c r="L61" s="39">
        <f t="shared" si="731"/>
        <v>0.21875238069158062</v>
      </c>
      <c r="M61" s="39">
        <f t="shared" si="731"/>
        <v>0.22728651735522448</v>
      </c>
      <c r="N61" s="39">
        <f t="shared" si="731"/>
        <v>0.27975099816769217</v>
      </c>
      <c r="O61" s="39">
        <f t="shared" si="731"/>
        <v>0.1853527641096217</v>
      </c>
      <c r="P61" s="39">
        <f t="shared" si="731"/>
        <v>0.27228724931879122</v>
      </c>
      <c r="Q61" s="39">
        <f t="shared" si="731"/>
        <v>0.24534828111619011</v>
      </c>
      <c r="R61" s="39">
        <f t="shared" si="731"/>
        <v>0.26051425397774769</v>
      </c>
      <c r="S61" s="39">
        <f t="shared" si="731"/>
        <v>0.16149828476063915</v>
      </c>
      <c r="T61" s="39">
        <f t="shared" si="731"/>
        <v>0.24714285714285761</v>
      </c>
      <c r="U61" s="39">
        <f t="shared" si="731"/>
        <v>0.20042437678094371</v>
      </c>
      <c r="V61" s="39">
        <f t="shared" si="731"/>
        <v>0.13374295218737781</v>
      </c>
      <c r="W61" s="39">
        <f t="shared" si="731"/>
        <v>0.24242586378768891</v>
      </c>
      <c r="X61" s="39">
        <f t="shared" si="731"/>
        <v>0.23822776764956757</v>
      </c>
      <c r="Y61" s="39">
        <f t="shared" si="731"/>
        <v>0.25936873218621359</v>
      </c>
      <c r="Z61" s="39">
        <f t="shared" si="731"/>
        <v>0.22644730151812309</v>
      </c>
      <c r="AA61" s="39">
        <f t="shared" ref="AA61" si="732">+AA40/AA135</f>
        <v>0.15109622504592546</v>
      </c>
      <c r="AB61" s="40">
        <f t="shared" si="731"/>
        <v>0.10620409234500505</v>
      </c>
      <c r="AC61" s="40">
        <f t="shared" si="731"/>
        <v>0.19464720802398758</v>
      </c>
      <c r="AD61" s="40">
        <f t="shared" si="731"/>
        <v>0.21532805163421728</v>
      </c>
      <c r="AE61" s="40">
        <f t="shared" si="731"/>
        <v>0.22344298481705216</v>
      </c>
      <c r="AF61" s="39"/>
      <c r="AG61" s="39"/>
      <c r="AH61" s="39"/>
      <c r="AI61" s="39"/>
      <c r="AJ61" s="39"/>
      <c r="AK61" s="39"/>
      <c r="AL61" s="39" t="e">
        <f t="shared" ref="AL61:BQ61" si="733">+SUM(AI40:AL40)/AL135</f>
        <v>#DIV/0!</v>
      </c>
      <c r="AM61" s="39" t="e">
        <f t="shared" si="733"/>
        <v>#DIV/0!</v>
      </c>
      <c r="AN61" s="39" t="e">
        <f t="shared" si="733"/>
        <v>#DIV/0!</v>
      </c>
      <c r="AO61" s="39" t="e">
        <f t="shared" si="733"/>
        <v>#DIV/0!</v>
      </c>
      <c r="AP61" s="39" t="e">
        <f t="shared" si="733"/>
        <v>#DIV/0!</v>
      </c>
      <c r="AQ61" s="39" t="e">
        <f t="shared" si="733"/>
        <v>#DIV/0!</v>
      </c>
      <c r="AR61" s="39" t="e">
        <f t="shared" si="733"/>
        <v>#DIV/0!</v>
      </c>
      <c r="AS61" s="39" t="e">
        <f t="shared" si="733"/>
        <v>#DIV/0!</v>
      </c>
      <c r="AT61" s="39" t="e">
        <f t="shared" si="733"/>
        <v>#DIV/0!</v>
      </c>
      <c r="AU61" s="39" t="e">
        <f t="shared" si="733"/>
        <v>#DIV/0!</v>
      </c>
      <c r="AV61" s="39" t="e">
        <f t="shared" si="733"/>
        <v>#DIV/0!</v>
      </c>
      <c r="AW61" s="39" t="e">
        <f t="shared" si="733"/>
        <v>#DIV/0!</v>
      </c>
      <c r="AX61" s="39" t="e">
        <f t="shared" si="733"/>
        <v>#DIV/0!</v>
      </c>
      <c r="AY61" s="39" t="e">
        <f t="shared" si="733"/>
        <v>#DIV/0!</v>
      </c>
      <c r="AZ61" s="39" t="e">
        <f t="shared" si="733"/>
        <v>#DIV/0!</v>
      </c>
      <c r="BA61" s="39" t="e">
        <f t="shared" si="733"/>
        <v>#DIV/0!</v>
      </c>
      <c r="BB61" s="39" t="e">
        <f t="shared" si="733"/>
        <v>#DIV/0!</v>
      </c>
      <c r="BC61" s="39" t="e">
        <f t="shared" si="733"/>
        <v>#DIV/0!</v>
      </c>
      <c r="BD61" s="39" t="e">
        <f t="shared" si="733"/>
        <v>#DIV/0!</v>
      </c>
      <c r="BE61" s="39" t="e">
        <f t="shared" si="733"/>
        <v>#DIV/0!</v>
      </c>
      <c r="BF61" s="39" t="e">
        <f t="shared" si="733"/>
        <v>#DIV/0!</v>
      </c>
      <c r="BG61" s="39" t="e">
        <f t="shared" si="733"/>
        <v>#DIV/0!</v>
      </c>
      <c r="BH61" s="39" t="e">
        <f t="shared" si="733"/>
        <v>#DIV/0!</v>
      </c>
      <c r="BI61" s="39" t="e">
        <f t="shared" si="733"/>
        <v>#DIV/0!</v>
      </c>
      <c r="BJ61" s="39" t="e">
        <f t="shared" si="733"/>
        <v>#DIV/0!</v>
      </c>
      <c r="BK61" s="39" t="e">
        <f t="shared" si="733"/>
        <v>#DIV/0!</v>
      </c>
      <c r="BL61" s="39" t="e">
        <f t="shared" si="733"/>
        <v>#DIV/0!</v>
      </c>
      <c r="BM61" s="39" t="e">
        <f t="shared" si="733"/>
        <v>#DIV/0!</v>
      </c>
      <c r="BN61" s="39" t="e">
        <f t="shared" si="733"/>
        <v>#DIV/0!</v>
      </c>
      <c r="BO61" s="39" t="e">
        <f t="shared" si="733"/>
        <v>#DIV/0!</v>
      </c>
      <c r="BP61" s="39" t="e">
        <f t="shared" si="733"/>
        <v>#DIV/0!</v>
      </c>
      <c r="BQ61" s="39" t="e">
        <f t="shared" si="733"/>
        <v>#DIV/0!</v>
      </c>
      <c r="BR61" s="39" t="e">
        <f t="shared" ref="BR61:CW61" si="734">+SUM(BO40:BR40)/BR135</f>
        <v>#DIV/0!</v>
      </c>
      <c r="BS61" s="39" t="e">
        <f t="shared" si="734"/>
        <v>#DIV/0!</v>
      </c>
      <c r="BT61" s="39" t="e">
        <f t="shared" si="734"/>
        <v>#DIV/0!</v>
      </c>
      <c r="BU61" s="39" t="e">
        <f t="shared" si="734"/>
        <v>#DIV/0!</v>
      </c>
      <c r="BV61" s="39" t="e">
        <f t="shared" si="734"/>
        <v>#DIV/0!</v>
      </c>
      <c r="BW61" s="39" t="e">
        <f t="shared" si="734"/>
        <v>#DIV/0!</v>
      </c>
      <c r="BX61" s="39" t="e">
        <f t="shared" si="734"/>
        <v>#DIV/0!</v>
      </c>
      <c r="BY61" s="39">
        <f t="shared" si="734"/>
        <v>1.2254346947027899</v>
      </c>
      <c r="BZ61" s="39">
        <f t="shared" si="734"/>
        <v>0.13362658683035347</v>
      </c>
      <c r="CA61" s="39">
        <f t="shared" si="734"/>
        <v>0.19690787115920255</v>
      </c>
      <c r="CB61" s="39" t="e">
        <f t="shared" si="734"/>
        <v>#DIV/0!</v>
      </c>
      <c r="CC61" s="39">
        <f t="shared" si="734"/>
        <v>4.9467747620726179</v>
      </c>
      <c r="CD61" s="39">
        <f t="shared" si="734"/>
        <v>0.2593780465844101</v>
      </c>
      <c r="CE61" s="39">
        <f t="shared" si="734"/>
        <v>0.23941055618782972</v>
      </c>
      <c r="CF61" s="39">
        <f t="shared" si="734"/>
        <v>0.25735204924278932</v>
      </c>
      <c r="CG61" s="39">
        <f t="shared" si="734"/>
        <v>0.24280601584641795</v>
      </c>
      <c r="CH61" s="39">
        <f t="shared" si="734"/>
        <v>0.22708706997223016</v>
      </c>
      <c r="CI61" s="39">
        <f t="shared" si="734"/>
        <v>0.20809131397178449</v>
      </c>
      <c r="CJ61" s="39">
        <f t="shared" si="734"/>
        <v>0.21073927124370856</v>
      </c>
      <c r="CK61" s="39">
        <f t="shared" si="734"/>
        <v>0.19727175278968037</v>
      </c>
      <c r="CL61" s="39">
        <f t="shared" si="734"/>
        <v>0.15428433207741241</v>
      </c>
      <c r="CM61" s="40">
        <f t="shared" si="734"/>
        <v>0.12085433375031528</v>
      </c>
      <c r="CN61" s="40">
        <f t="shared" si="734"/>
        <v>0.10354936536586586</v>
      </c>
      <c r="CO61" s="40">
        <f t="shared" si="734"/>
        <v>0.1020169427907157</v>
      </c>
      <c r="CP61" s="40">
        <f t="shared" si="734"/>
        <v>0.10620409234500483</v>
      </c>
      <c r="CQ61" s="40">
        <f t="shared" si="734"/>
        <v>0.14137530743443275</v>
      </c>
      <c r="CR61" s="40">
        <f t="shared" si="734"/>
        <v>0.16495607984587382</v>
      </c>
      <c r="CS61" s="40">
        <f t="shared" si="734"/>
        <v>0.18181146699033068</v>
      </c>
      <c r="CT61" s="40">
        <f t="shared" si="734"/>
        <v>0.19464720802398749</v>
      </c>
      <c r="CU61" s="40">
        <f t="shared" si="734"/>
        <v>0.20055336074136329</v>
      </c>
      <c r="CV61" s="40">
        <f t="shared" si="734"/>
        <v>0.20628893518411615</v>
      </c>
      <c r="CW61" s="40">
        <f t="shared" si="734"/>
        <v>0.21133981093516771</v>
      </c>
      <c r="CX61" s="40">
        <f t="shared" ref="CX61:DB61" si="735">+SUM(CU40:CX40)/CX135</f>
        <v>0.21532805163421731</v>
      </c>
      <c r="CY61" s="40">
        <f t="shared" si="735"/>
        <v>0.21947899614410468</v>
      </c>
      <c r="CZ61" s="40">
        <f t="shared" si="735"/>
        <v>0.22172319471394855</v>
      </c>
      <c r="DA61" s="40">
        <f t="shared" si="735"/>
        <v>0.22283782856214723</v>
      </c>
      <c r="DB61" s="40">
        <f t="shared" si="735"/>
        <v>0.22344298481705219</v>
      </c>
      <c r="DE61" s="122"/>
      <c r="DF61" s="38">
        <v>0.18343541139469449</v>
      </c>
    </row>
    <row r="62" spans="1:110" s="1" customFormat="1" x14ac:dyDescent="0.2">
      <c r="A62" s="150" t="s">
        <v>488</v>
      </c>
      <c r="AB62" s="20"/>
      <c r="AC62" s="20"/>
      <c r="AD62" s="20"/>
      <c r="AE62" s="20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8" customFormat="1" x14ac:dyDescent="0.2">
      <c r="A63" s="12" t="s">
        <v>26</v>
      </c>
      <c r="AB63" s="58"/>
      <c r="AC63" s="58"/>
      <c r="AD63" s="58"/>
      <c r="AE63" s="58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E63" s="132"/>
    </row>
    <row r="64" spans="1:110" s="9" customFormat="1" x14ac:dyDescent="0.2">
      <c r="A64" s="9" t="s">
        <v>453</v>
      </c>
      <c r="N64" s="9">
        <f>N16-SUM(AI16:AL16)</f>
        <v>1995</v>
      </c>
      <c r="O64" s="9">
        <f>O16-SUM(AM16:AP16)</f>
        <v>2344.4499999999998</v>
      </c>
      <c r="P64" s="9">
        <f>P16-SUM(AQ16:AT16)</f>
        <v>2594.1999999999998</v>
      </c>
      <c r="Q64" s="9">
        <f>Q16-SUM(AU16:AX16)</f>
        <v>2683.38</v>
      </c>
      <c r="R64" s="9">
        <f>R16-SUM(AY16:BB16)</f>
        <v>2801.95</v>
      </c>
      <c r="S64" s="9">
        <f>S16-SUM(BC16:BF16)</f>
        <v>2691.48</v>
      </c>
      <c r="T64" s="9">
        <f>T16-SUM(BG16:BJ16)</f>
        <v>2942.21</v>
      </c>
      <c r="U64" s="9">
        <f>U16-SUM(BK16:BN16)</f>
        <v>2852.0549999999998</v>
      </c>
      <c r="V64" s="9">
        <f>V16-SUM(BO16:BR16)</f>
        <v>2380.9110000000001</v>
      </c>
      <c r="W64" s="9">
        <f>W16-SUM(BS16:BV16)</f>
        <v>3529.58</v>
      </c>
      <c r="X64" s="9">
        <f>X16-SUM(BW16:BZ16)</f>
        <v>1887.9</v>
      </c>
      <c r="Y64" s="9">
        <f>Y16-SUM(CA16:CD16)</f>
        <v>0</v>
      </c>
      <c r="Z64" s="9">
        <f>Z16-SUM(CE16:CH16)</f>
        <v>0</v>
      </c>
      <c r="AA64" s="9">
        <f>AA16-SUM(CF16:CI16)</f>
        <v>361.79999999999927</v>
      </c>
      <c r="AB64" s="15">
        <f>AB16-SUM(CM16:CP16)</f>
        <v>0</v>
      </c>
      <c r="AC64" s="15">
        <f>AC16-SUM(CQ16:CT16)</f>
        <v>0</v>
      </c>
      <c r="AD64" s="15">
        <f>AD16-SUM(CU16:CX16)</f>
        <v>0</v>
      </c>
      <c r="AE64" s="15">
        <f>AE16-SUM(CY16:DB16)</f>
        <v>0</v>
      </c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E64" s="133"/>
      <c r="DF64" s="9">
        <v>0</v>
      </c>
    </row>
    <row r="65" spans="1:110" s="9" customFormat="1" x14ac:dyDescent="0.2">
      <c r="A65" s="9" t="s">
        <v>454</v>
      </c>
      <c r="N65" s="9">
        <f>N22-SUM(AI22:AL22)</f>
        <v>1645.6</v>
      </c>
      <c r="O65" s="9">
        <f>O22-SUM(AM22:AP22)</f>
        <v>1942.2199999999998</v>
      </c>
      <c r="P65" s="9">
        <f>P22-SUM(AQ22:AT22)</f>
        <v>2156.2299999999996</v>
      </c>
      <c r="Q65" s="9">
        <f>Q22-SUM(AU22:AX22)</f>
        <v>2311.7200000000003</v>
      </c>
      <c r="R65" s="9">
        <f>R22-SUM(AY22:BB22)</f>
        <v>2481.4699999999998</v>
      </c>
      <c r="S65" s="9">
        <f>S22-SUM(BC22:BF22)</f>
        <v>2355.0700000000002</v>
      </c>
      <c r="T65" s="9">
        <f>T22-SUM(BG22:BJ22)</f>
        <v>2597.5500000000002</v>
      </c>
      <c r="U65" s="9">
        <f>U22-SUM(BK22:BN22)</f>
        <v>2484.1309999999999</v>
      </c>
      <c r="V65" s="9">
        <f>V22-SUM(BO22:BR22)</f>
        <v>2042.6130000000001</v>
      </c>
      <c r="W65" s="9">
        <f>W22-SUM(BS22:BV22)</f>
        <v>2841.04</v>
      </c>
      <c r="X65" s="9">
        <f>X22-SUM(BW22:BZ22)</f>
        <v>1710.56</v>
      </c>
      <c r="Y65" s="9">
        <f>Y22-SUM(CA22:CD22)</f>
        <v>0</v>
      </c>
      <c r="Z65" s="9">
        <f>Z22-SUM(CE22:CH22)</f>
        <v>0</v>
      </c>
      <c r="AA65" s="9">
        <f>AA22-SUM(CF22:CI22)</f>
        <v>287.83999999999833</v>
      </c>
      <c r="AB65" s="15">
        <f>AB22-SUM(CM22:CP22)</f>
        <v>0</v>
      </c>
      <c r="AC65" s="15">
        <f>AC22-SUM(CQ22:CT22)</f>
        <v>0</v>
      </c>
      <c r="AD65" s="15">
        <f>AD22-SUM(CU22:CX22)</f>
        <v>0</v>
      </c>
      <c r="AE65" s="15">
        <f>AE22-SUM(CY22:DB22)</f>
        <v>0</v>
      </c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E65" s="133"/>
      <c r="DF65" s="9">
        <v>0</v>
      </c>
    </row>
    <row r="66" spans="1:110" s="9" customFormat="1" x14ac:dyDescent="0.2">
      <c r="A66" s="9" t="s">
        <v>455</v>
      </c>
      <c r="N66" s="9">
        <f>N34-SUM(AI34:AL34)</f>
        <v>382.72</v>
      </c>
      <c r="O66" s="9">
        <f>O34-SUM(AM34:AP34)</f>
        <v>343.05999999999995</v>
      </c>
      <c r="P66" s="9">
        <f>P34-SUM(AQ34:AT34)</f>
        <v>439.9399999999996</v>
      </c>
      <c r="Q66" s="9">
        <f>Q34-SUM(AU34:AX34)</f>
        <v>499.73</v>
      </c>
      <c r="R66" s="9">
        <f>R34-SUM(AY34:BB34)</f>
        <v>489.68999999999983</v>
      </c>
      <c r="S66" s="9">
        <f>S34-SUM(BC34:BF34)</f>
        <v>332.71000000000004</v>
      </c>
      <c r="T66" s="9">
        <f>T34-SUM(BG34:BJ34)</f>
        <v>502.8700000000008</v>
      </c>
      <c r="U66" s="9">
        <f>U34-SUM(BK34:BN34)</f>
        <v>470.45899999999961</v>
      </c>
      <c r="V66" s="9">
        <f>V34-SUM(BO34:BR34)</f>
        <v>378.69800000000009</v>
      </c>
      <c r="W66" s="9">
        <f>W34-SUM(BS34:BV34)</f>
        <v>638.48000000000047</v>
      </c>
      <c r="X66" s="9">
        <f>X34-SUM(BW34:BZ34)</f>
        <v>358.30999999999949</v>
      </c>
      <c r="Y66" s="9">
        <f>Y34-SUM(CA34:CD34)</f>
        <v>-2.9999999999290594E-2</v>
      </c>
      <c r="Z66" s="9">
        <f>Z34-SUM(CE34:CH34)</f>
        <v>-2.2899999999999636</v>
      </c>
      <c r="AA66" s="9">
        <f>AA34-SUM(CF34:CI34)</f>
        <v>-64.790000000001328</v>
      </c>
      <c r="AB66" s="15">
        <f>AB34-SUM(CM34:CP34)</f>
        <v>0</v>
      </c>
      <c r="AC66" s="15">
        <f>AC34-SUM(CQ34:CT34)</f>
        <v>0</v>
      </c>
      <c r="AD66" s="15">
        <f>AD34-SUM(CU34:CX34)</f>
        <v>0</v>
      </c>
      <c r="AE66" s="15">
        <f>AE34-SUM(CY34:DB34)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456</v>
      </c>
      <c r="N67" s="9">
        <f>N54-SUM(AI54:AL54)</f>
        <v>300.73</v>
      </c>
      <c r="O67" s="9">
        <f>O54-SUM(AM54:AP54)</f>
        <v>273.21999999999991</v>
      </c>
      <c r="P67" s="9">
        <f>P54-SUM(AQ54:AT54)</f>
        <v>334.06999999999954</v>
      </c>
      <c r="Q67" s="9">
        <f>Q54-SUM(AU54:AX54)</f>
        <v>383.56000000000012</v>
      </c>
      <c r="R67" s="9">
        <f>R54-SUM(AY54:BB54)</f>
        <v>350.97999999999979</v>
      </c>
      <c r="S67" s="9">
        <f>S54-SUM(BC54:BF54)</f>
        <v>245.81000000000006</v>
      </c>
      <c r="T67" s="9">
        <f>T54-SUM(BG54:BJ54)</f>
        <v>352.60000000000082</v>
      </c>
      <c r="U67" s="9">
        <f>U54-SUM(BK54:BN54)</f>
        <v>251.56699999999955</v>
      </c>
      <c r="V67" s="9">
        <f>V54-SUM(BO54:BR54)</f>
        <v>239.17300000000014</v>
      </c>
      <c r="W67" s="9">
        <f>W47-SUM(BS47:BV47)</f>
        <v>436.99100000000044</v>
      </c>
      <c r="X67" s="9">
        <f>X47-SUM(BW47:BZ47)</f>
        <v>259.08999999999958</v>
      </c>
      <c r="Y67" s="9">
        <f>Y47-SUM(CA47:CD47)</f>
        <v>9.0949470177292824E-13</v>
      </c>
      <c r="Z67" s="9">
        <f>Z47-SUM(CE47:CH47)</f>
        <v>0</v>
      </c>
      <c r="AA67" s="9">
        <f>AA47-SUM(CF47:CI47)</f>
        <v>-46.040000000001328</v>
      </c>
      <c r="AB67" s="15">
        <f>AB47-SUM(CM47:CP47)</f>
        <v>1.1368683772161603E-12</v>
      </c>
      <c r="AC67" s="15">
        <f>AC47-SUM(CQ47:CT47)</f>
        <v>0</v>
      </c>
      <c r="AD67" s="15">
        <f>AD47-SUM(CU47:CX47)</f>
        <v>0</v>
      </c>
      <c r="AE67" s="15">
        <f>AE47-SUM(CY47:DB47)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8" customFormat="1" x14ac:dyDescent="0.2">
      <c r="A68" s="149" t="s">
        <v>489</v>
      </c>
      <c r="AB68" s="58"/>
      <c r="AC68" s="58"/>
      <c r="AD68" s="58"/>
      <c r="AE68" s="58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E68" s="132"/>
    </row>
    <row r="69" spans="1:110" s="3" customFormat="1" x14ac:dyDescent="0.2">
      <c r="A69" s="3" t="s">
        <v>27</v>
      </c>
      <c r="B69" s="3">
        <f>'Annual Raw'!C104</f>
        <v>0</v>
      </c>
      <c r="C69" s="3">
        <f>'Annual Raw'!D104</f>
        <v>0</v>
      </c>
      <c r="D69" s="3">
        <f>'Annual Raw'!E104</f>
        <v>0</v>
      </c>
      <c r="E69" s="3">
        <f t="shared" ref="E69:Y69" ca="1" si="736">+F69</f>
        <v>0</v>
      </c>
      <c r="F69" s="3">
        <f t="shared" ca="1" si="736"/>
        <v>0</v>
      </c>
      <c r="G69" s="3">
        <f t="shared" ca="1" si="736"/>
        <v>0</v>
      </c>
      <c r="H69" s="3">
        <f t="shared" ca="1" si="736"/>
        <v>0</v>
      </c>
      <c r="I69" s="3">
        <f t="shared" ca="1" si="736"/>
        <v>0</v>
      </c>
      <c r="J69" s="3">
        <f t="shared" ca="1" si="736"/>
        <v>0</v>
      </c>
      <c r="K69" s="3">
        <f t="shared" ca="1" si="736"/>
        <v>0</v>
      </c>
      <c r="L69" s="3">
        <f t="shared" ca="1" si="736"/>
        <v>0</v>
      </c>
      <c r="M69" s="3">
        <f t="shared" ca="1" si="736"/>
        <v>0</v>
      </c>
      <c r="N69" s="3">
        <f t="shared" ca="1" si="736"/>
        <v>0</v>
      </c>
      <c r="O69" s="3">
        <f t="shared" ca="1" si="736"/>
        <v>0</v>
      </c>
      <c r="P69" s="3">
        <f t="shared" ca="1" si="736"/>
        <v>0</v>
      </c>
      <c r="Q69" s="3">
        <f t="shared" ca="1" si="736"/>
        <v>0</v>
      </c>
      <c r="R69" s="3">
        <f t="shared" ca="1" si="736"/>
        <v>0</v>
      </c>
      <c r="S69" s="3">
        <f t="shared" ca="1" si="736"/>
        <v>0</v>
      </c>
      <c r="T69" s="3">
        <f t="shared" ca="1" si="736"/>
        <v>0</v>
      </c>
      <c r="U69" s="3">
        <f t="shared" ca="1" si="736"/>
        <v>0</v>
      </c>
      <c r="V69" s="3">
        <f t="shared" ca="1" si="736"/>
        <v>0</v>
      </c>
      <c r="W69" s="3">
        <f t="shared" ca="1" si="736"/>
        <v>0</v>
      </c>
      <c r="X69" s="3">
        <f t="shared" ca="1" si="736"/>
        <v>0</v>
      </c>
      <c r="Y69" s="3">
        <f t="shared" ca="1" si="736"/>
        <v>0</v>
      </c>
      <c r="Z69" s="3">
        <f ca="1">+AA69</f>
        <v>0</v>
      </c>
      <c r="AA69" s="3">
        <f ca="1">+AB69</f>
        <v>0</v>
      </c>
      <c r="AB69" s="37">
        <f t="shared" ref="AB69:AB70" ca="1" si="737">AA69</f>
        <v>0</v>
      </c>
      <c r="AC69" s="37">
        <f t="shared" ref="AC69:AC70" ca="1" si="738">AB69</f>
        <v>0</v>
      </c>
      <c r="AD69" s="37">
        <f t="shared" ref="AD69:AD70" ca="1" si="739">AC69</f>
        <v>0</v>
      </c>
      <c r="AE69" s="37">
        <f t="shared" ref="AE69:AE70" ca="1" si="740">AD69</f>
        <v>0</v>
      </c>
      <c r="AI69" s="3">
        <f t="shared" ref="AI69:CH69" si="741">+AJ69</f>
        <v>81.14</v>
      </c>
      <c r="AJ69" s="3">
        <f t="shared" si="741"/>
        <v>81.14</v>
      </c>
      <c r="AK69" s="3">
        <f t="shared" si="741"/>
        <v>81.14</v>
      </c>
      <c r="AL69" s="3">
        <f t="shared" si="741"/>
        <v>81.14</v>
      </c>
      <c r="AM69" s="3">
        <f t="shared" si="741"/>
        <v>81.14</v>
      </c>
      <c r="AN69" s="3">
        <f t="shared" si="741"/>
        <v>81.14</v>
      </c>
      <c r="AO69" s="3">
        <f t="shared" si="741"/>
        <v>81.14</v>
      </c>
      <c r="AP69" s="3">
        <f t="shared" si="741"/>
        <v>81.14</v>
      </c>
      <c r="AQ69" s="3">
        <f t="shared" si="741"/>
        <v>81.14</v>
      </c>
      <c r="AR69" s="3">
        <f t="shared" si="741"/>
        <v>81.14</v>
      </c>
      <c r="AS69" s="3">
        <f t="shared" si="741"/>
        <v>81.14</v>
      </c>
      <c r="AT69" s="3">
        <f t="shared" si="741"/>
        <v>81.14</v>
      </c>
      <c r="AU69" s="3">
        <f t="shared" si="741"/>
        <v>81.14</v>
      </c>
      <c r="AV69" s="3">
        <f t="shared" si="741"/>
        <v>81.14</v>
      </c>
      <c r="AW69" s="3">
        <f t="shared" si="741"/>
        <v>81.14</v>
      </c>
      <c r="AX69" s="3">
        <f t="shared" si="741"/>
        <v>81.14</v>
      </c>
      <c r="AY69" s="3">
        <f t="shared" si="741"/>
        <v>81.14</v>
      </c>
      <c r="AZ69" s="3">
        <f t="shared" si="741"/>
        <v>81.14</v>
      </c>
      <c r="BA69" s="3">
        <f t="shared" si="741"/>
        <v>81.14</v>
      </c>
      <c r="BB69" s="3">
        <f t="shared" si="741"/>
        <v>81.14</v>
      </c>
      <c r="BC69" s="3">
        <f t="shared" si="741"/>
        <v>81.14</v>
      </c>
      <c r="BD69" s="3">
        <f t="shared" si="741"/>
        <v>81.14</v>
      </c>
      <c r="BE69" s="3">
        <f t="shared" si="741"/>
        <v>81.14</v>
      </c>
      <c r="BF69" s="3">
        <f t="shared" si="741"/>
        <v>81.14</v>
      </c>
      <c r="BG69" s="3">
        <f t="shared" si="741"/>
        <v>81.14</v>
      </c>
      <c r="BH69" s="3">
        <f t="shared" si="741"/>
        <v>81.14</v>
      </c>
      <c r="BI69" s="3">
        <f t="shared" si="741"/>
        <v>81.14</v>
      </c>
      <c r="BJ69" s="3">
        <f t="shared" si="741"/>
        <v>81.14</v>
      </c>
      <c r="BK69" s="3">
        <f t="shared" si="741"/>
        <v>81.14</v>
      </c>
      <c r="BL69" s="3">
        <f t="shared" si="741"/>
        <v>81.14</v>
      </c>
      <c r="BM69" s="3">
        <f t="shared" si="741"/>
        <v>81.14</v>
      </c>
      <c r="BN69" s="3">
        <f t="shared" si="741"/>
        <v>81.14</v>
      </c>
      <c r="BO69" s="3">
        <f t="shared" si="741"/>
        <v>81.14</v>
      </c>
      <c r="BP69" s="3">
        <f t="shared" si="741"/>
        <v>81.14</v>
      </c>
      <c r="BQ69" s="3">
        <f t="shared" si="741"/>
        <v>81.14</v>
      </c>
      <c r="BR69" s="3">
        <f t="shared" si="741"/>
        <v>81.14</v>
      </c>
      <c r="BS69" s="3">
        <f t="shared" si="741"/>
        <v>81.14</v>
      </c>
      <c r="BT69" s="3">
        <f t="shared" si="741"/>
        <v>81.14</v>
      </c>
      <c r="BU69" s="3">
        <f t="shared" si="741"/>
        <v>81.14</v>
      </c>
      <c r="BV69" s="3">
        <f t="shared" si="741"/>
        <v>81.14</v>
      </c>
      <c r="BW69" s="3">
        <f t="shared" si="741"/>
        <v>81.14</v>
      </c>
      <c r="BX69" s="3">
        <f t="shared" si="741"/>
        <v>81.14</v>
      </c>
      <c r="BY69" s="3">
        <f t="shared" si="741"/>
        <v>81.14</v>
      </c>
      <c r="BZ69" s="3">
        <f t="shared" si="741"/>
        <v>81.14</v>
      </c>
      <c r="CA69" s="3">
        <f t="shared" si="741"/>
        <v>81.14</v>
      </c>
      <c r="CB69" s="3">
        <f t="shared" si="741"/>
        <v>81.14</v>
      </c>
      <c r="CC69" s="3">
        <f t="shared" si="741"/>
        <v>81.14</v>
      </c>
      <c r="CD69" s="3">
        <f t="shared" si="741"/>
        <v>81.14</v>
      </c>
      <c r="CE69" s="3">
        <f t="shared" si="741"/>
        <v>81.14</v>
      </c>
      <c r="CF69" s="3">
        <f t="shared" si="741"/>
        <v>81.14</v>
      </c>
      <c r="CG69" s="3">
        <f t="shared" si="741"/>
        <v>81.14</v>
      </c>
      <c r="CH69" s="3">
        <f t="shared" si="741"/>
        <v>81.14</v>
      </c>
      <c r="CI69" s="3">
        <f>+CJ69</f>
        <v>81.14</v>
      </c>
      <c r="CJ69" s="3">
        <f>'QTR Raw'!BD45</f>
        <v>81.14</v>
      </c>
      <c r="CK69" s="3">
        <f>'QTR Raw'!BE45</f>
        <v>81.150000000000006</v>
      </c>
      <c r="CL69" s="3">
        <f>'QTR Raw'!BF45</f>
        <v>81.2</v>
      </c>
      <c r="CM69" s="37">
        <f t="shared" ref="CM69:CM70" si="742">+CL69</f>
        <v>81.2</v>
      </c>
      <c r="CN69" s="37">
        <f t="shared" ref="CN69:CN70" si="743">+CM69</f>
        <v>81.2</v>
      </c>
      <c r="CO69" s="37">
        <f t="shared" ref="CO69:CO70" si="744">+CN69</f>
        <v>81.2</v>
      </c>
      <c r="CP69" s="37">
        <f t="shared" ref="CP69:CP70" si="745">+CO69</f>
        <v>81.2</v>
      </c>
      <c r="CQ69" s="37">
        <f t="shared" ref="CQ69:CQ70" si="746">+CP69</f>
        <v>81.2</v>
      </c>
      <c r="CR69" s="37">
        <f t="shared" ref="CR69:CR70" si="747">+CQ69</f>
        <v>81.2</v>
      </c>
      <c r="CS69" s="37">
        <f t="shared" ref="CS69:CS70" si="748">+CR69</f>
        <v>81.2</v>
      </c>
      <c r="CT69" s="37">
        <f t="shared" ref="CT69:CT70" si="749">+CS69</f>
        <v>81.2</v>
      </c>
      <c r="CU69" s="37">
        <f t="shared" ref="CU69:CU70" si="750">+CT69</f>
        <v>81.2</v>
      </c>
      <c r="CV69" s="37">
        <f t="shared" ref="CV69:CV70" si="751">+CU69</f>
        <v>81.2</v>
      </c>
      <c r="CW69" s="37">
        <f t="shared" ref="CW69:CW70" si="752">+CV69</f>
        <v>81.2</v>
      </c>
      <c r="CX69" s="37">
        <f t="shared" ref="CX69:CX70" si="753">+CW69</f>
        <v>81.2</v>
      </c>
      <c r="CY69" s="37">
        <f t="shared" ref="CY69:CY70" si="754">+CX69</f>
        <v>81.2</v>
      </c>
      <c r="CZ69" s="37">
        <f t="shared" ref="CZ69:CZ70" si="755">+CY69</f>
        <v>81.2</v>
      </c>
      <c r="DA69" s="37">
        <f t="shared" ref="DA69:DA70" si="756">+CZ69</f>
        <v>81.2</v>
      </c>
      <c r="DB69" s="37">
        <f t="shared" ref="DB69:DB70" si="757">+DA69</f>
        <v>81.2</v>
      </c>
      <c r="DE69" s="134"/>
      <c r="DF69" s="3">
        <v>81.150000000000006</v>
      </c>
    </row>
    <row r="70" spans="1:110" s="3" customFormat="1" x14ac:dyDescent="0.2">
      <c r="A70" s="3" t="s">
        <v>28</v>
      </c>
      <c r="B70" s="3">
        <f>'Annual Raw'!C105</f>
        <v>0</v>
      </c>
      <c r="C70" s="3">
        <f>'Annual Raw'!D105</f>
        <v>0</v>
      </c>
      <c r="D70" s="3">
        <f>'Annual Raw'!E105</f>
        <v>0</v>
      </c>
      <c r="E70" s="3">
        <f t="shared" ref="E70:Y70" ca="1" si="758">+F70</f>
        <v>0</v>
      </c>
      <c r="F70" s="3">
        <f t="shared" ca="1" si="758"/>
        <v>0</v>
      </c>
      <c r="G70" s="3">
        <f t="shared" ca="1" si="758"/>
        <v>0</v>
      </c>
      <c r="H70" s="3">
        <f t="shared" ca="1" si="758"/>
        <v>0</v>
      </c>
      <c r="I70" s="3">
        <f t="shared" ca="1" si="758"/>
        <v>0</v>
      </c>
      <c r="J70" s="3">
        <f t="shared" ca="1" si="758"/>
        <v>0</v>
      </c>
      <c r="K70" s="3">
        <f t="shared" ca="1" si="758"/>
        <v>0</v>
      </c>
      <c r="L70" s="3">
        <f t="shared" ca="1" si="758"/>
        <v>0</v>
      </c>
      <c r="M70" s="3">
        <f t="shared" ca="1" si="758"/>
        <v>0</v>
      </c>
      <c r="N70" s="3">
        <f t="shared" ca="1" si="758"/>
        <v>0</v>
      </c>
      <c r="O70" s="3">
        <f t="shared" ca="1" si="758"/>
        <v>0</v>
      </c>
      <c r="P70" s="3">
        <f t="shared" ca="1" si="758"/>
        <v>0</v>
      </c>
      <c r="Q70" s="3">
        <f t="shared" ca="1" si="758"/>
        <v>0</v>
      </c>
      <c r="R70" s="3">
        <f t="shared" ca="1" si="758"/>
        <v>0</v>
      </c>
      <c r="S70" s="3">
        <f t="shared" ca="1" si="758"/>
        <v>0</v>
      </c>
      <c r="T70" s="3">
        <f t="shared" ca="1" si="758"/>
        <v>0</v>
      </c>
      <c r="U70" s="3">
        <f t="shared" ca="1" si="758"/>
        <v>0</v>
      </c>
      <c r="V70" s="3">
        <f t="shared" ca="1" si="758"/>
        <v>0</v>
      </c>
      <c r="W70" s="3">
        <f t="shared" ca="1" si="758"/>
        <v>0</v>
      </c>
      <c r="X70" s="3">
        <f t="shared" ca="1" si="758"/>
        <v>0</v>
      </c>
      <c r="Y70" s="3">
        <f t="shared" ca="1" si="758"/>
        <v>0</v>
      </c>
      <c r="Z70" s="3">
        <f ca="1">+AA70</f>
        <v>0</v>
      </c>
      <c r="AA70" s="3">
        <f ca="1">+AB70</f>
        <v>0</v>
      </c>
      <c r="AB70" s="37">
        <f t="shared" ca="1" si="737"/>
        <v>0</v>
      </c>
      <c r="AC70" s="37">
        <f t="shared" ca="1" si="738"/>
        <v>0</v>
      </c>
      <c r="AD70" s="37">
        <f t="shared" ca="1" si="739"/>
        <v>0</v>
      </c>
      <c r="AE70" s="37">
        <f t="shared" ca="1" si="740"/>
        <v>0</v>
      </c>
      <c r="AI70" s="3">
        <f t="shared" ref="AI70:CH70" si="759">AJ70</f>
        <v>2</v>
      </c>
      <c r="AJ70" s="3">
        <f t="shared" si="759"/>
        <v>2</v>
      </c>
      <c r="AK70" s="3">
        <f t="shared" si="759"/>
        <v>2</v>
      </c>
      <c r="AL70" s="3">
        <f t="shared" si="759"/>
        <v>2</v>
      </c>
      <c r="AM70" s="3">
        <f t="shared" si="759"/>
        <v>2</v>
      </c>
      <c r="AN70" s="3">
        <f t="shared" si="759"/>
        <v>2</v>
      </c>
      <c r="AO70" s="3">
        <f t="shared" si="759"/>
        <v>2</v>
      </c>
      <c r="AP70" s="3">
        <f t="shared" si="759"/>
        <v>2</v>
      </c>
      <c r="AQ70" s="3">
        <f t="shared" si="759"/>
        <v>2</v>
      </c>
      <c r="AR70" s="3">
        <f t="shared" si="759"/>
        <v>2</v>
      </c>
      <c r="AS70" s="3">
        <f t="shared" si="759"/>
        <v>2</v>
      </c>
      <c r="AT70" s="3">
        <f t="shared" si="759"/>
        <v>2</v>
      </c>
      <c r="AU70" s="3">
        <f t="shared" si="759"/>
        <v>2</v>
      </c>
      <c r="AV70" s="3">
        <f t="shared" si="759"/>
        <v>2</v>
      </c>
      <c r="AW70" s="3">
        <f t="shared" si="759"/>
        <v>2</v>
      </c>
      <c r="AX70" s="3">
        <f t="shared" si="759"/>
        <v>2</v>
      </c>
      <c r="AY70" s="3">
        <f t="shared" si="759"/>
        <v>2</v>
      </c>
      <c r="AZ70" s="3">
        <f t="shared" si="759"/>
        <v>2</v>
      </c>
      <c r="BA70" s="3">
        <f t="shared" si="759"/>
        <v>2</v>
      </c>
      <c r="BB70" s="3">
        <f t="shared" si="759"/>
        <v>2</v>
      </c>
      <c r="BC70" s="3">
        <f t="shared" si="759"/>
        <v>2</v>
      </c>
      <c r="BD70" s="3">
        <f t="shared" si="759"/>
        <v>2</v>
      </c>
      <c r="BE70" s="3">
        <f t="shared" si="759"/>
        <v>2</v>
      </c>
      <c r="BF70" s="3">
        <f t="shared" si="759"/>
        <v>2</v>
      </c>
      <c r="BG70" s="3">
        <f t="shared" si="759"/>
        <v>2</v>
      </c>
      <c r="BH70" s="3">
        <f t="shared" si="759"/>
        <v>2</v>
      </c>
      <c r="BI70" s="3">
        <f t="shared" si="759"/>
        <v>2</v>
      </c>
      <c r="BJ70" s="3">
        <f t="shared" si="759"/>
        <v>2</v>
      </c>
      <c r="BK70" s="3">
        <f t="shared" si="759"/>
        <v>2</v>
      </c>
      <c r="BL70" s="3">
        <f t="shared" si="759"/>
        <v>2</v>
      </c>
      <c r="BM70" s="3">
        <f t="shared" si="759"/>
        <v>2</v>
      </c>
      <c r="BN70" s="3">
        <f t="shared" si="759"/>
        <v>2</v>
      </c>
      <c r="BO70" s="3">
        <f t="shared" si="759"/>
        <v>2</v>
      </c>
      <c r="BP70" s="3">
        <f t="shared" si="759"/>
        <v>2</v>
      </c>
      <c r="BQ70" s="3">
        <f t="shared" si="759"/>
        <v>2</v>
      </c>
      <c r="BR70" s="3">
        <f t="shared" si="759"/>
        <v>2</v>
      </c>
      <c r="BS70" s="3">
        <f t="shared" si="759"/>
        <v>2</v>
      </c>
      <c r="BT70" s="3">
        <f t="shared" si="759"/>
        <v>2</v>
      </c>
      <c r="BU70" s="3">
        <f t="shared" si="759"/>
        <v>2</v>
      </c>
      <c r="BV70" s="3">
        <f t="shared" si="759"/>
        <v>2</v>
      </c>
      <c r="BW70" s="3">
        <f t="shared" si="759"/>
        <v>2</v>
      </c>
      <c r="BX70" s="3">
        <f t="shared" si="759"/>
        <v>2</v>
      </c>
      <c r="BY70" s="3">
        <f t="shared" si="759"/>
        <v>2</v>
      </c>
      <c r="BZ70" s="3">
        <f t="shared" si="759"/>
        <v>2</v>
      </c>
      <c r="CA70" s="3">
        <f t="shared" si="759"/>
        <v>2</v>
      </c>
      <c r="CB70" s="3">
        <f t="shared" si="759"/>
        <v>2</v>
      </c>
      <c r="CC70" s="3">
        <f t="shared" si="759"/>
        <v>2</v>
      </c>
      <c r="CD70" s="3">
        <f t="shared" si="759"/>
        <v>2</v>
      </c>
      <c r="CE70" s="3">
        <f t="shared" si="759"/>
        <v>2</v>
      </c>
      <c r="CF70" s="3">
        <f t="shared" si="759"/>
        <v>2</v>
      </c>
      <c r="CG70" s="3">
        <f t="shared" si="759"/>
        <v>2</v>
      </c>
      <c r="CH70" s="3">
        <f t="shared" si="759"/>
        <v>2</v>
      </c>
      <c r="CI70" s="3">
        <f>CJ70</f>
        <v>2</v>
      </c>
      <c r="CJ70" s="3">
        <f>'QTR Raw'!BD46</f>
        <v>2</v>
      </c>
      <c r="CK70" s="3">
        <f>'QTR Raw'!BE46</f>
        <v>2</v>
      </c>
      <c r="CL70" s="3">
        <f>'QTR Raw'!BF46</f>
        <v>2</v>
      </c>
      <c r="CM70" s="37">
        <f t="shared" si="742"/>
        <v>2</v>
      </c>
      <c r="CN70" s="37">
        <f t="shared" si="743"/>
        <v>2</v>
      </c>
      <c r="CO70" s="37">
        <f t="shared" si="744"/>
        <v>2</v>
      </c>
      <c r="CP70" s="37">
        <f t="shared" si="745"/>
        <v>2</v>
      </c>
      <c r="CQ70" s="37">
        <f t="shared" si="746"/>
        <v>2</v>
      </c>
      <c r="CR70" s="37">
        <f t="shared" si="747"/>
        <v>2</v>
      </c>
      <c r="CS70" s="37">
        <f t="shared" si="748"/>
        <v>2</v>
      </c>
      <c r="CT70" s="37">
        <f t="shared" si="749"/>
        <v>2</v>
      </c>
      <c r="CU70" s="37">
        <f t="shared" si="750"/>
        <v>2</v>
      </c>
      <c r="CV70" s="37">
        <f t="shared" si="751"/>
        <v>2</v>
      </c>
      <c r="CW70" s="37">
        <f t="shared" si="752"/>
        <v>2</v>
      </c>
      <c r="CX70" s="37">
        <f t="shared" si="753"/>
        <v>2</v>
      </c>
      <c r="CY70" s="37">
        <f t="shared" si="754"/>
        <v>2</v>
      </c>
      <c r="CZ70" s="37">
        <f t="shared" si="755"/>
        <v>2</v>
      </c>
      <c r="DA70" s="37">
        <f t="shared" si="756"/>
        <v>2</v>
      </c>
      <c r="DB70" s="37">
        <f t="shared" si="757"/>
        <v>2</v>
      </c>
      <c r="DE70" s="134"/>
      <c r="DF70" s="3">
        <v>2</v>
      </c>
    </row>
    <row r="71" spans="1:110" s="3" customFormat="1" x14ac:dyDescent="0.2">
      <c r="A71" s="3" t="s">
        <v>29</v>
      </c>
      <c r="B71" s="3" t="e">
        <f>B69/B70</f>
        <v>#DIV/0!</v>
      </c>
      <c r="C71" s="3" t="e">
        <f t="shared" ref="C71:W71" si="760">C69/C70</f>
        <v>#DIV/0!</v>
      </c>
      <c r="D71" s="3" t="e">
        <f t="shared" si="760"/>
        <v>#DIV/0!</v>
      </c>
      <c r="E71" s="3" t="e">
        <f t="shared" ca="1" si="760"/>
        <v>#DIV/0!</v>
      </c>
      <c r="F71" s="3" t="e">
        <f t="shared" ca="1" si="760"/>
        <v>#DIV/0!</v>
      </c>
      <c r="G71" s="3" t="e">
        <f t="shared" ca="1" si="760"/>
        <v>#DIV/0!</v>
      </c>
      <c r="H71" s="3" t="e">
        <f t="shared" ca="1" si="760"/>
        <v>#DIV/0!</v>
      </c>
      <c r="I71" s="3" t="e">
        <f t="shared" ca="1" si="760"/>
        <v>#DIV/0!</v>
      </c>
      <c r="J71" s="3" t="e">
        <f t="shared" ca="1" si="760"/>
        <v>#DIV/0!</v>
      </c>
      <c r="K71" s="3" t="e">
        <f t="shared" ca="1" si="760"/>
        <v>#DIV/0!</v>
      </c>
      <c r="L71" s="3" t="e">
        <f t="shared" ca="1" si="760"/>
        <v>#DIV/0!</v>
      </c>
      <c r="M71" s="3" t="e">
        <f t="shared" ca="1" si="760"/>
        <v>#DIV/0!</v>
      </c>
      <c r="N71" s="3" t="e">
        <f t="shared" ca="1" si="760"/>
        <v>#DIV/0!</v>
      </c>
      <c r="O71" s="3" t="e">
        <f t="shared" ca="1" si="760"/>
        <v>#DIV/0!</v>
      </c>
      <c r="P71" s="3" t="e">
        <f t="shared" ca="1" si="760"/>
        <v>#DIV/0!</v>
      </c>
      <c r="Q71" s="3" t="e">
        <f t="shared" ca="1" si="760"/>
        <v>#DIV/0!</v>
      </c>
      <c r="R71" s="3" t="e">
        <f t="shared" ca="1" si="760"/>
        <v>#DIV/0!</v>
      </c>
      <c r="S71" s="3" t="e">
        <f t="shared" ca="1" si="760"/>
        <v>#DIV/0!</v>
      </c>
      <c r="T71" s="3" t="e">
        <f t="shared" ca="1" si="760"/>
        <v>#DIV/0!</v>
      </c>
      <c r="U71" s="3" t="e">
        <f t="shared" ca="1" si="760"/>
        <v>#DIV/0!</v>
      </c>
      <c r="V71" s="3" t="e">
        <f ca="1">V69/V70</f>
        <v>#DIV/0!</v>
      </c>
      <c r="W71" s="3" t="e">
        <f t="shared" ca="1" si="760"/>
        <v>#DIV/0!</v>
      </c>
      <c r="X71" s="3" t="e">
        <f t="shared" ref="X71:Y71" ca="1" si="761">X69/X70</f>
        <v>#DIV/0!</v>
      </c>
      <c r="Y71" s="3" t="e">
        <f t="shared" ca="1" si="761"/>
        <v>#DIV/0!</v>
      </c>
      <c r="Z71" s="3" t="e">
        <f t="shared" ref="Z71:AA71" ca="1" si="762">Z69/Z70</f>
        <v>#DIV/0!</v>
      </c>
      <c r="AA71" s="3" t="e">
        <f t="shared" ca="1" si="762"/>
        <v>#DIV/0!</v>
      </c>
      <c r="AB71" s="37" t="e">
        <f t="shared" ref="AA71:AD71" ca="1" si="763">AB69/AB70</f>
        <v>#DIV/0!</v>
      </c>
      <c r="AC71" s="37" t="e">
        <f t="shared" ca="1" si="763"/>
        <v>#DIV/0!</v>
      </c>
      <c r="AD71" s="37" t="e">
        <f t="shared" ca="1" si="763"/>
        <v>#DIV/0!</v>
      </c>
      <c r="AE71" s="37" t="e">
        <f t="shared" ref="AE71" ca="1" si="764">AE69/AE70</f>
        <v>#DIV/0!</v>
      </c>
      <c r="AI71" s="3">
        <f t="shared" ref="AI71" si="765">AI69/AI70</f>
        <v>40.57</v>
      </c>
      <c r="AJ71" s="3">
        <f t="shared" ref="AJ71" si="766">AJ69/AJ70</f>
        <v>40.57</v>
      </c>
      <c r="AK71" s="3">
        <f t="shared" ref="AK71:AM71" si="767">AK69/AK70</f>
        <v>40.57</v>
      </c>
      <c r="AL71" s="3">
        <f t="shared" si="767"/>
        <v>40.57</v>
      </c>
      <c r="AM71" s="3">
        <f t="shared" si="767"/>
        <v>40.57</v>
      </c>
      <c r="AN71" s="3">
        <f t="shared" ref="AN71:AO71" si="768">AN69/AN70</f>
        <v>40.57</v>
      </c>
      <c r="AO71" s="3">
        <f t="shared" si="768"/>
        <v>40.57</v>
      </c>
      <c r="AP71" s="3">
        <f t="shared" ref="AP71:CD71" si="769">AP69/AP70</f>
        <v>40.57</v>
      </c>
      <c r="AQ71" s="3">
        <f t="shared" si="769"/>
        <v>40.57</v>
      </c>
      <c r="AR71" s="3">
        <f t="shared" si="769"/>
        <v>40.57</v>
      </c>
      <c r="AS71" s="3">
        <f t="shared" si="769"/>
        <v>40.57</v>
      </c>
      <c r="AT71" s="3">
        <f t="shared" si="769"/>
        <v>40.57</v>
      </c>
      <c r="AU71" s="3">
        <f t="shared" si="769"/>
        <v>40.57</v>
      </c>
      <c r="AV71" s="3">
        <f t="shared" si="769"/>
        <v>40.57</v>
      </c>
      <c r="AW71" s="3">
        <f t="shared" si="769"/>
        <v>40.57</v>
      </c>
      <c r="AX71" s="3">
        <f t="shared" si="769"/>
        <v>40.57</v>
      </c>
      <c r="AY71" s="3">
        <f t="shared" si="769"/>
        <v>40.57</v>
      </c>
      <c r="AZ71" s="3">
        <f t="shared" si="769"/>
        <v>40.57</v>
      </c>
      <c r="BA71" s="3">
        <f t="shared" si="769"/>
        <v>40.57</v>
      </c>
      <c r="BB71" s="3">
        <f t="shared" si="769"/>
        <v>40.57</v>
      </c>
      <c r="BC71" s="3">
        <f t="shared" si="769"/>
        <v>40.57</v>
      </c>
      <c r="BD71" s="3">
        <f t="shared" si="769"/>
        <v>40.57</v>
      </c>
      <c r="BE71" s="3">
        <f t="shared" si="769"/>
        <v>40.57</v>
      </c>
      <c r="BF71" s="3">
        <f t="shared" si="769"/>
        <v>40.57</v>
      </c>
      <c r="BG71" s="3">
        <f t="shared" si="769"/>
        <v>40.57</v>
      </c>
      <c r="BH71" s="3">
        <f t="shared" si="769"/>
        <v>40.57</v>
      </c>
      <c r="BI71" s="3">
        <f t="shared" si="769"/>
        <v>40.57</v>
      </c>
      <c r="BJ71" s="3">
        <f t="shared" si="769"/>
        <v>40.57</v>
      </c>
      <c r="BK71" s="3">
        <f t="shared" si="769"/>
        <v>40.57</v>
      </c>
      <c r="BL71" s="3">
        <f t="shared" si="769"/>
        <v>40.57</v>
      </c>
      <c r="BM71" s="3">
        <f t="shared" si="769"/>
        <v>40.57</v>
      </c>
      <c r="BN71" s="3">
        <f t="shared" si="769"/>
        <v>40.57</v>
      </c>
      <c r="BO71" s="3">
        <f t="shared" si="769"/>
        <v>40.57</v>
      </c>
      <c r="BP71" s="3">
        <f t="shared" si="769"/>
        <v>40.57</v>
      </c>
      <c r="BQ71" s="3">
        <f t="shared" si="769"/>
        <v>40.57</v>
      </c>
      <c r="BR71" s="3">
        <f t="shared" si="769"/>
        <v>40.57</v>
      </c>
      <c r="BS71" s="3">
        <f t="shared" si="769"/>
        <v>40.57</v>
      </c>
      <c r="BT71" s="3">
        <f t="shared" si="769"/>
        <v>40.57</v>
      </c>
      <c r="BU71" s="3">
        <f t="shared" si="769"/>
        <v>40.57</v>
      </c>
      <c r="BV71" s="3">
        <f t="shared" si="769"/>
        <v>40.57</v>
      </c>
      <c r="BW71" s="3">
        <f t="shared" si="769"/>
        <v>40.57</v>
      </c>
      <c r="BX71" s="3">
        <f t="shared" si="769"/>
        <v>40.57</v>
      </c>
      <c r="BY71" s="3">
        <f t="shared" si="769"/>
        <v>40.57</v>
      </c>
      <c r="BZ71" s="3">
        <f t="shared" si="769"/>
        <v>40.57</v>
      </c>
      <c r="CA71" s="3">
        <f t="shared" si="769"/>
        <v>40.57</v>
      </c>
      <c r="CB71" s="3">
        <f t="shared" si="769"/>
        <v>40.57</v>
      </c>
      <c r="CC71" s="3">
        <f t="shared" si="769"/>
        <v>40.57</v>
      </c>
      <c r="CD71" s="3">
        <f t="shared" si="769"/>
        <v>40.57</v>
      </c>
      <c r="CE71" s="3">
        <f t="shared" ref="CE71:CF71" si="770">CE69/CE70</f>
        <v>40.57</v>
      </c>
      <c r="CF71" s="3">
        <f t="shared" si="770"/>
        <v>40.57</v>
      </c>
      <c r="CG71" s="3">
        <f t="shared" ref="CG71:CH71" si="771">CG69/CG70</f>
        <v>40.57</v>
      </c>
      <c r="CH71" s="3">
        <f t="shared" si="771"/>
        <v>40.57</v>
      </c>
      <c r="CI71" s="3">
        <f t="shared" ref="CI71:CJ71" si="772">CI69/CI70</f>
        <v>40.57</v>
      </c>
      <c r="CJ71" s="3">
        <f t="shared" si="772"/>
        <v>40.57</v>
      </c>
      <c r="CK71" s="3">
        <f t="shared" ref="CK71:CL71" si="773">CK69/CK70</f>
        <v>40.575000000000003</v>
      </c>
      <c r="CL71" s="3">
        <f t="shared" si="773"/>
        <v>40.6</v>
      </c>
      <c r="CM71" s="37">
        <f t="shared" ref="CM71:DB71" si="774">CM69/CM70</f>
        <v>40.6</v>
      </c>
      <c r="CN71" s="37">
        <f t="shared" si="774"/>
        <v>40.6</v>
      </c>
      <c r="CO71" s="37">
        <f t="shared" si="774"/>
        <v>40.6</v>
      </c>
      <c r="CP71" s="37">
        <f t="shared" si="774"/>
        <v>40.6</v>
      </c>
      <c r="CQ71" s="37">
        <f t="shared" si="774"/>
        <v>40.6</v>
      </c>
      <c r="CR71" s="37">
        <f t="shared" si="774"/>
        <v>40.6</v>
      </c>
      <c r="CS71" s="37">
        <f t="shared" si="774"/>
        <v>40.6</v>
      </c>
      <c r="CT71" s="37">
        <f t="shared" si="774"/>
        <v>40.6</v>
      </c>
      <c r="CU71" s="37">
        <f t="shared" si="774"/>
        <v>40.6</v>
      </c>
      <c r="CV71" s="37">
        <f t="shared" si="774"/>
        <v>40.6</v>
      </c>
      <c r="CW71" s="37">
        <f t="shared" si="774"/>
        <v>40.6</v>
      </c>
      <c r="CX71" s="37">
        <f t="shared" si="774"/>
        <v>40.6</v>
      </c>
      <c r="CY71" s="37">
        <f t="shared" si="774"/>
        <v>40.6</v>
      </c>
      <c r="CZ71" s="37">
        <f t="shared" si="774"/>
        <v>40.6</v>
      </c>
      <c r="DA71" s="37">
        <f t="shared" si="774"/>
        <v>40.6</v>
      </c>
      <c r="DB71" s="37">
        <f t="shared" si="774"/>
        <v>40.6</v>
      </c>
      <c r="DE71" s="134"/>
      <c r="DF71" s="3">
        <v>40.575000000000003</v>
      </c>
    </row>
    <row r="72" spans="1:110" s="53" customFormat="1" x14ac:dyDescent="0.2">
      <c r="A72" s="53" t="s">
        <v>30</v>
      </c>
      <c r="B72" s="53" t="e">
        <f t="shared" ref="B72:AE72" si="775">(B54-B53)/B71</f>
        <v>#DIV/0!</v>
      </c>
      <c r="C72" s="53" t="e">
        <f t="shared" si="775"/>
        <v>#DIV/0!</v>
      </c>
      <c r="D72" s="53" t="e">
        <f t="shared" si="775"/>
        <v>#DIV/0!</v>
      </c>
      <c r="E72" s="53" t="e">
        <f t="shared" ca="1" si="775"/>
        <v>#DIV/0!</v>
      </c>
      <c r="F72" s="53" t="e">
        <f t="shared" ca="1" si="775"/>
        <v>#DIV/0!</v>
      </c>
      <c r="G72" s="53" t="e">
        <f t="shared" ca="1" si="775"/>
        <v>#DIV/0!</v>
      </c>
      <c r="H72" s="53" t="e">
        <f t="shared" ca="1" si="775"/>
        <v>#DIV/0!</v>
      </c>
      <c r="I72" s="53" t="e">
        <f t="shared" ca="1" si="775"/>
        <v>#DIV/0!</v>
      </c>
      <c r="J72" s="53" t="e">
        <f t="shared" ca="1" si="775"/>
        <v>#DIV/0!</v>
      </c>
      <c r="K72" s="53" t="e">
        <f t="shared" ca="1" si="775"/>
        <v>#DIV/0!</v>
      </c>
      <c r="L72" s="53" t="e">
        <f t="shared" ca="1" si="775"/>
        <v>#DIV/0!</v>
      </c>
      <c r="M72" s="53" t="e">
        <f t="shared" ca="1" si="775"/>
        <v>#DIV/0!</v>
      </c>
      <c r="N72" s="53" t="e">
        <f t="shared" ca="1" si="775"/>
        <v>#DIV/0!</v>
      </c>
      <c r="O72" s="53" t="e">
        <f t="shared" ca="1" si="775"/>
        <v>#DIV/0!</v>
      </c>
      <c r="P72" s="53" t="e">
        <f t="shared" ca="1" si="775"/>
        <v>#DIV/0!</v>
      </c>
      <c r="Q72" s="53" t="e">
        <f t="shared" ca="1" si="775"/>
        <v>#DIV/0!</v>
      </c>
      <c r="R72" s="53" t="e">
        <f t="shared" ca="1" si="775"/>
        <v>#DIV/0!</v>
      </c>
      <c r="S72" s="53" t="e">
        <f t="shared" ca="1" si="775"/>
        <v>#DIV/0!</v>
      </c>
      <c r="T72" s="53" t="e">
        <f t="shared" ca="1" si="775"/>
        <v>#DIV/0!</v>
      </c>
      <c r="U72" s="53" t="e">
        <f t="shared" ca="1" si="775"/>
        <v>#DIV/0!</v>
      </c>
      <c r="V72" s="53" t="e">
        <f t="shared" ca="1" si="775"/>
        <v>#DIV/0!</v>
      </c>
      <c r="W72" s="53" t="e">
        <f t="shared" ca="1" si="775"/>
        <v>#DIV/0!</v>
      </c>
      <c r="X72" s="53" t="e">
        <f t="shared" ca="1" si="775"/>
        <v>#DIV/0!</v>
      </c>
      <c r="Y72" s="53" t="e">
        <f t="shared" ca="1" si="775"/>
        <v>#DIV/0!</v>
      </c>
      <c r="Z72" s="53" t="e">
        <f t="shared" ca="1" si="775"/>
        <v>#DIV/0!</v>
      </c>
      <c r="AA72" s="53" t="e">
        <f t="shared" ref="AA72" ca="1" si="776">(AA54-AA53)/AA71</f>
        <v>#DIV/0!</v>
      </c>
      <c r="AB72" s="54" t="e">
        <f t="shared" ca="1" si="775"/>
        <v>#DIV/0!</v>
      </c>
      <c r="AC72" s="54" t="e">
        <f t="shared" ca="1" si="775"/>
        <v>#DIV/0!</v>
      </c>
      <c r="AD72" s="54" t="e">
        <f t="shared" ca="1" si="775"/>
        <v>#DIV/0!</v>
      </c>
      <c r="AE72" s="54" t="e">
        <f t="shared" ca="1" si="775"/>
        <v>#DIV/0!</v>
      </c>
      <c r="AI72" s="53">
        <f t="shared" ref="AI72:BN72" si="777">(AI54-AI53)/AI71</f>
        <v>0</v>
      </c>
      <c r="AJ72" s="53">
        <f t="shared" si="777"/>
        <v>0</v>
      </c>
      <c r="AK72" s="53">
        <f t="shared" si="777"/>
        <v>0</v>
      </c>
      <c r="AL72" s="53">
        <f t="shared" si="777"/>
        <v>0</v>
      </c>
      <c r="AM72" s="53">
        <f t="shared" si="777"/>
        <v>0</v>
      </c>
      <c r="AN72" s="53">
        <f t="shared" si="777"/>
        <v>0</v>
      </c>
      <c r="AO72" s="53">
        <f t="shared" si="777"/>
        <v>0</v>
      </c>
      <c r="AP72" s="53">
        <f t="shared" si="777"/>
        <v>0</v>
      </c>
      <c r="AQ72" s="53">
        <f t="shared" si="777"/>
        <v>0</v>
      </c>
      <c r="AR72" s="53">
        <f t="shared" si="777"/>
        <v>0</v>
      </c>
      <c r="AS72" s="53">
        <f t="shared" si="777"/>
        <v>0</v>
      </c>
      <c r="AT72" s="53">
        <f t="shared" si="777"/>
        <v>0</v>
      </c>
      <c r="AU72" s="53">
        <f t="shared" si="777"/>
        <v>0</v>
      </c>
      <c r="AV72" s="53">
        <f t="shared" si="777"/>
        <v>0</v>
      </c>
      <c r="AW72" s="53">
        <f t="shared" si="777"/>
        <v>0</v>
      </c>
      <c r="AX72" s="53">
        <f t="shared" si="777"/>
        <v>0</v>
      </c>
      <c r="AY72" s="53">
        <f t="shared" si="777"/>
        <v>0</v>
      </c>
      <c r="AZ72" s="53">
        <f t="shared" si="777"/>
        <v>0</v>
      </c>
      <c r="BA72" s="53">
        <f t="shared" si="777"/>
        <v>0</v>
      </c>
      <c r="BB72" s="53">
        <f t="shared" si="777"/>
        <v>0</v>
      </c>
      <c r="BC72" s="53">
        <f t="shared" si="777"/>
        <v>0</v>
      </c>
      <c r="BD72" s="53">
        <f t="shared" si="777"/>
        <v>0</v>
      </c>
      <c r="BE72" s="53">
        <f t="shared" si="777"/>
        <v>0</v>
      </c>
      <c r="BF72" s="53">
        <f t="shared" si="777"/>
        <v>0</v>
      </c>
      <c r="BG72" s="53">
        <f t="shared" si="777"/>
        <v>0</v>
      </c>
      <c r="BH72" s="53">
        <f t="shared" si="777"/>
        <v>0</v>
      </c>
      <c r="BI72" s="53">
        <f t="shared" si="777"/>
        <v>0</v>
      </c>
      <c r="BJ72" s="53">
        <f t="shared" si="777"/>
        <v>0</v>
      </c>
      <c r="BK72" s="53">
        <f t="shared" si="777"/>
        <v>0</v>
      </c>
      <c r="BL72" s="53">
        <f t="shared" si="777"/>
        <v>0</v>
      </c>
      <c r="BM72" s="53">
        <f t="shared" si="777"/>
        <v>0</v>
      </c>
      <c r="BN72" s="53">
        <f t="shared" si="777"/>
        <v>0</v>
      </c>
      <c r="BO72" s="53">
        <f t="shared" ref="BO72:CT72" si="778">(BO54-BO53)/BO71</f>
        <v>0</v>
      </c>
      <c r="BP72" s="53">
        <f t="shared" si="778"/>
        <v>0</v>
      </c>
      <c r="BQ72" s="53">
        <f t="shared" si="778"/>
        <v>0</v>
      </c>
      <c r="BR72" s="53">
        <f t="shared" si="778"/>
        <v>0</v>
      </c>
      <c r="BS72" s="53">
        <f t="shared" si="778"/>
        <v>0</v>
      </c>
      <c r="BT72" s="53">
        <f t="shared" si="778"/>
        <v>0</v>
      </c>
      <c r="BU72" s="53">
        <f t="shared" si="778"/>
        <v>0</v>
      </c>
      <c r="BV72" s="53">
        <f t="shared" si="778"/>
        <v>0</v>
      </c>
      <c r="BW72" s="53">
        <f t="shared" si="778"/>
        <v>0</v>
      </c>
      <c r="BX72" s="53">
        <f t="shared" si="778"/>
        <v>0</v>
      </c>
      <c r="BY72" s="53">
        <f t="shared" si="778"/>
        <v>3.6573823021937417</v>
      </c>
      <c r="BZ72" s="53">
        <f t="shared" si="778"/>
        <v>5.3379344343110722</v>
      </c>
      <c r="CA72" s="53">
        <f t="shared" si="778"/>
        <v>4.7209760907074143</v>
      </c>
      <c r="CB72" s="53">
        <f t="shared" si="778"/>
        <v>3.9531673650480692</v>
      </c>
      <c r="CC72" s="53">
        <f t="shared" si="778"/>
        <v>4.1957111165886074</v>
      </c>
      <c r="CD72" s="53">
        <f t="shared" si="778"/>
        <v>3.8757702736011805</v>
      </c>
      <c r="CE72" s="53">
        <f t="shared" si="778"/>
        <v>3.9938378111905326</v>
      </c>
      <c r="CF72" s="53">
        <f t="shared" si="778"/>
        <v>3.8799605619916187</v>
      </c>
      <c r="CG72" s="53">
        <f t="shared" si="778"/>
        <v>4.1567660833127951</v>
      </c>
      <c r="CH72" s="53">
        <f t="shared" si="778"/>
        <v>4.6554104017747155</v>
      </c>
      <c r="CI72" s="53">
        <f t="shared" si="778"/>
        <v>4.1971900419028811</v>
      </c>
      <c r="CJ72" s="53">
        <f t="shared" si="778"/>
        <v>4.0793689918659091</v>
      </c>
      <c r="CK72" s="53">
        <f t="shared" ref="CK72:CL72" si="779">(CK54-CK53)/CK71</f>
        <v>4.2020948860135583</v>
      </c>
      <c r="CL72" s="53">
        <f t="shared" si="779"/>
        <v>3.6463054187192143</v>
      </c>
      <c r="CM72" s="54">
        <f t="shared" si="778"/>
        <v>0.75456083270990504</v>
      </c>
      <c r="CN72" s="54">
        <f t="shared" si="778"/>
        <v>2.4933610338030432</v>
      </c>
      <c r="CO72" s="54">
        <f t="shared" si="778"/>
        <v>3.6335557194320089</v>
      </c>
      <c r="CP72" s="54">
        <f t="shared" si="778"/>
        <v>4.9976861103185604</v>
      </c>
      <c r="CQ72" s="54">
        <f t="shared" si="778"/>
        <v>4.7496170415124386</v>
      </c>
      <c r="CR72" s="54">
        <f t="shared" si="778"/>
        <v>5.6741997987649828</v>
      </c>
      <c r="CS72" s="54">
        <f t="shared" si="778"/>
        <v>6.3377523805887828</v>
      </c>
      <c r="CT72" s="54">
        <f t="shared" si="778"/>
        <v>7.8019489021845612</v>
      </c>
      <c r="CU72" s="54">
        <f t="shared" ref="CU72:DB72" si="780">(CU54-CU53)/CU71</f>
        <v>6.6152837516332346</v>
      </c>
      <c r="CV72" s="54">
        <f t="shared" si="780"/>
        <v>7.7920517889629135</v>
      </c>
      <c r="CW72" s="54">
        <f t="shared" si="780"/>
        <v>8.5825991873133116</v>
      </c>
      <c r="CX72" s="54">
        <f t="shared" si="780"/>
        <v>10.300067039352605</v>
      </c>
      <c r="CY72" s="54">
        <f t="shared" si="780"/>
        <v>8.9640555001119431</v>
      </c>
      <c r="CZ72" s="54">
        <f t="shared" si="780"/>
        <v>10.138185935960575</v>
      </c>
      <c r="DA72" s="54">
        <f t="shared" si="780"/>
        <v>10.933931116541896</v>
      </c>
      <c r="DB72" s="54">
        <f t="shared" si="780"/>
        <v>12.941495693102111</v>
      </c>
      <c r="DE72" s="132"/>
      <c r="DF72" s="53">
        <v>4.0902394449939399</v>
      </c>
    </row>
    <row r="73" spans="1:110" s="3" customFormat="1" x14ac:dyDescent="0.2">
      <c r="A73" s="3" t="s">
        <v>31</v>
      </c>
      <c r="B73" s="3">
        <f>'Annual Raw'!C110</f>
        <v>0</v>
      </c>
      <c r="C73" s="3">
        <f>'Annual Raw'!D110</f>
        <v>0</v>
      </c>
      <c r="D73" s="3">
        <f>'Annual Raw'!E110</f>
        <v>0</v>
      </c>
      <c r="E73" s="3">
        <f>'Annual Raw'!F110</f>
        <v>0.3</v>
      </c>
      <c r="F73" s="3">
        <f>'Annual Raw'!G110</f>
        <v>0.3</v>
      </c>
      <c r="G73" s="3">
        <f>'Annual Raw'!H110</f>
        <v>0.3</v>
      </c>
      <c r="H73" s="3">
        <f>'Annual Raw'!I110</f>
        <v>0.2</v>
      </c>
      <c r="I73" s="3">
        <f>'Annual Raw'!J110</f>
        <v>0.4</v>
      </c>
      <c r="J73" s="3">
        <f>'Annual Raw'!K110</f>
        <v>0.5</v>
      </c>
      <c r="K73" s="3">
        <f>'Annual Raw'!L110</f>
        <v>0.7</v>
      </c>
      <c r="L73" s="3">
        <f>'Annual Raw'!M110</f>
        <v>1.2</v>
      </c>
      <c r="M73" s="3">
        <f>'Annual Raw'!N110</f>
        <v>1.6</v>
      </c>
      <c r="N73" s="3">
        <f>'Annual Raw'!O110</f>
        <v>2.5</v>
      </c>
      <c r="O73" s="3">
        <f>'Annual Raw'!P110</f>
        <v>3</v>
      </c>
      <c r="P73" s="3">
        <f>'Annual Raw'!Q110</f>
        <v>7.5</v>
      </c>
      <c r="Q73" s="3">
        <f>'Annual Raw'!R110</f>
        <v>3.5</v>
      </c>
      <c r="R73" s="3">
        <f>'Annual Raw'!S110</f>
        <v>4</v>
      </c>
      <c r="S73" s="3">
        <f>'Annual Raw'!T110</f>
        <v>3</v>
      </c>
      <c r="T73" s="3">
        <f>'Annual Raw'!U110</f>
        <v>1.5</v>
      </c>
      <c r="U73" s="3">
        <f>'Annual Raw'!V110</f>
        <v>4</v>
      </c>
      <c r="V73" s="3">
        <f>'Annual Raw'!W110</f>
        <v>0</v>
      </c>
      <c r="W73" s="3">
        <f>'Annual Raw'!X110</f>
        <v>0</v>
      </c>
      <c r="X73" s="3">
        <f>'Annual Raw'!Y110</f>
        <v>12.3</v>
      </c>
      <c r="Y73" s="3">
        <f>'Annual Raw'!Z110</f>
        <v>10.050000000000001</v>
      </c>
      <c r="Z73" s="3">
        <f>'Annual Raw'!AA110</f>
        <v>11.7</v>
      </c>
      <c r="AA73" s="3">
        <f>'Annual Raw'!AB110</f>
        <v>11.7</v>
      </c>
      <c r="AB73" s="37"/>
      <c r="AC73" s="37"/>
      <c r="AD73" s="37"/>
      <c r="AE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32</v>
      </c>
      <c r="B74" s="3" t="e">
        <f>B73/B72</f>
        <v>#DIV/0!</v>
      </c>
      <c r="C74" s="3" t="e">
        <f t="shared" ref="C74:U74" si="781">C73/C72</f>
        <v>#DIV/0!</v>
      </c>
      <c r="D74" s="3" t="e">
        <f t="shared" si="781"/>
        <v>#DIV/0!</v>
      </c>
      <c r="E74" s="3" t="e">
        <f t="shared" ca="1" si="781"/>
        <v>#DIV/0!</v>
      </c>
      <c r="F74" s="3" t="e">
        <f t="shared" ca="1" si="781"/>
        <v>#DIV/0!</v>
      </c>
      <c r="G74" s="3" t="e">
        <f t="shared" ca="1" si="781"/>
        <v>#DIV/0!</v>
      </c>
      <c r="H74" s="3" t="e">
        <f t="shared" ca="1" si="781"/>
        <v>#DIV/0!</v>
      </c>
      <c r="I74" s="3" t="e">
        <f t="shared" ca="1" si="781"/>
        <v>#DIV/0!</v>
      </c>
      <c r="J74" s="3" t="e">
        <f t="shared" ca="1" si="781"/>
        <v>#DIV/0!</v>
      </c>
      <c r="K74" s="3" t="e">
        <f t="shared" ca="1" si="781"/>
        <v>#DIV/0!</v>
      </c>
      <c r="L74" s="3" t="e">
        <f t="shared" ca="1" si="781"/>
        <v>#DIV/0!</v>
      </c>
      <c r="M74" s="3" t="e">
        <f t="shared" ca="1" si="781"/>
        <v>#DIV/0!</v>
      </c>
      <c r="N74" s="3" t="e">
        <f t="shared" ca="1" si="781"/>
        <v>#DIV/0!</v>
      </c>
      <c r="O74" s="3" t="e">
        <f t="shared" ca="1" si="781"/>
        <v>#DIV/0!</v>
      </c>
      <c r="P74" s="3" t="e">
        <f t="shared" ca="1" si="781"/>
        <v>#DIV/0!</v>
      </c>
      <c r="Q74" s="3" t="e">
        <f t="shared" ca="1" si="781"/>
        <v>#DIV/0!</v>
      </c>
      <c r="R74" s="3" t="e">
        <f t="shared" ca="1" si="781"/>
        <v>#DIV/0!</v>
      </c>
      <c r="S74" s="3" t="e">
        <f t="shared" ca="1" si="781"/>
        <v>#DIV/0!</v>
      </c>
      <c r="T74" s="3" t="e">
        <f t="shared" ca="1" si="781"/>
        <v>#DIV/0!</v>
      </c>
      <c r="U74" s="3" t="e">
        <f t="shared" ca="1" si="781"/>
        <v>#DIV/0!</v>
      </c>
      <c r="V74" s="3" t="e">
        <f ca="1">V73/V72</f>
        <v>#DIV/0!</v>
      </c>
      <c r="W74" s="3" t="e">
        <f t="shared" ref="W74" ca="1" si="782">W73/W72</f>
        <v>#DIV/0!</v>
      </c>
      <c r="X74" s="3" t="e">
        <f t="shared" ref="X74:Y74" ca="1" si="783">X73/X72</f>
        <v>#DIV/0!</v>
      </c>
      <c r="Y74" s="3" t="e">
        <f t="shared" ca="1" si="783"/>
        <v>#DIV/0!</v>
      </c>
      <c r="Z74" s="3" t="e">
        <f t="shared" ref="Z74:AA74" ca="1" si="784">Z73/Z72</f>
        <v>#DIV/0!</v>
      </c>
      <c r="AA74" s="3" t="e">
        <f t="shared" ca="1" si="784"/>
        <v>#DIV/0!</v>
      </c>
      <c r="AB74" s="37" t="e">
        <f t="shared" ref="AA74:AD74" ca="1" si="785">AB73/AB72</f>
        <v>#DIV/0!</v>
      </c>
      <c r="AC74" s="37" t="e">
        <f t="shared" ca="1" si="785"/>
        <v>#DIV/0!</v>
      </c>
      <c r="AD74" s="37" t="e">
        <f t="shared" ca="1" si="785"/>
        <v>#DIV/0!</v>
      </c>
      <c r="AE74" s="37" t="e">
        <f t="shared" ref="AE74" ca="1" si="786">AE73/AE72</f>
        <v>#DIV/0!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75" s="3" t="s">
        <v>33</v>
      </c>
      <c r="B75" s="3" t="e">
        <f>+B72</f>
        <v>#DIV/0!</v>
      </c>
      <c r="C75" s="3" t="e">
        <f t="shared" ref="C75:U75" si="787">+C72</f>
        <v>#DIV/0!</v>
      </c>
      <c r="D75" s="3" t="e">
        <f t="shared" si="787"/>
        <v>#DIV/0!</v>
      </c>
      <c r="E75" s="3" t="e">
        <f t="shared" ca="1" si="787"/>
        <v>#DIV/0!</v>
      </c>
      <c r="F75" s="3" t="e">
        <f t="shared" ca="1" si="787"/>
        <v>#DIV/0!</v>
      </c>
      <c r="G75" s="3" t="e">
        <f t="shared" ca="1" si="787"/>
        <v>#DIV/0!</v>
      </c>
      <c r="H75" s="3" t="e">
        <f t="shared" ca="1" si="787"/>
        <v>#DIV/0!</v>
      </c>
      <c r="I75" s="3" t="e">
        <f t="shared" ca="1" si="787"/>
        <v>#DIV/0!</v>
      </c>
      <c r="J75" s="3" t="e">
        <f t="shared" ca="1" si="787"/>
        <v>#DIV/0!</v>
      </c>
      <c r="K75" s="3" t="e">
        <f t="shared" ca="1" si="787"/>
        <v>#DIV/0!</v>
      </c>
      <c r="L75" s="3" t="e">
        <f t="shared" ca="1" si="787"/>
        <v>#DIV/0!</v>
      </c>
      <c r="M75" s="3" t="e">
        <f t="shared" ca="1" si="787"/>
        <v>#DIV/0!</v>
      </c>
      <c r="N75" s="3" t="e">
        <f t="shared" ca="1" si="787"/>
        <v>#DIV/0!</v>
      </c>
      <c r="O75" s="3" t="e">
        <f t="shared" ca="1" si="787"/>
        <v>#DIV/0!</v>
      </c>
      <c r="P75" s="3" t="e">
        <f t="shared" ca="1" si="787"/>
        <v>#DIV/0!</v>
      </c>
      <c r="Q75" s="3" t="e">
        <f t="shared" ca="1" si="787"/>
        <v>#DIV/0!</v>
      </c>
      <c r="R75" s="3" t="e">
        <f t="shared" ca="1" si="787"/>
        <v>#DIV/0!</v>
      </c>
      <c r="S75" s="3" t="e">
        <f t="shared" ca="1" si="787"/>
        <v>#DIV/0!</v>
      </c>
      <c r="T75" s="3" t="e">
        <f ca="1">+T72</f>
        <v>#DIV/0!</v>
      </c>
      <c r="U75" s="3" t="e">
        <f t="shared" ca="1" si="787"/>
        <v>#DIV/0!</v>
      </c>
      <c r="V75" s="3" t="e">
        <f ca="1">+V72</f>
        <v>#DIV/0!</v>
      </c>
      <c r="W75" s="3" t="e">
        <f t="shared" ref="W75" ca="1" si="788">+W72</f>
        <v>#DIV/0!</v>
      </c>
      <c r="X75" s="3" t="e">
        <f t="shared" ref="X75:Y75" ca="1" si="789">+X72</f>
        <v>#DIV/0!</v>
      </c>
      <c r="Y75" s="3" t="e">
        <f t="shared" ca="1" si="789"/>
        <v>#DIV/0!</v>
      </c>
      <c r="Z75" s="3" t="e">
        <f t="shared" ref="Z75:AA75" ca="1" si="790">+Z72</f>
        <v>#DIV/0!</v>
      </c>
      <c r="AA75" s="3" t="e">
        <f t="shared" ca="1" si="790"/>
        <v>#DIV/0!</v>
      </c>
      <c r="AB75" s="37" t="e">
        <f t="shared" ref="AA75:AD75" ca="1" si="791">+AB72</f>
        <v>#DIV/0!</v>
      </c>
      <c r="AC75" s="37" t="e">
        <f t="shared" ca="1" si="791"/>
        <v>#DIV/0!</v>
      </c>
      <c r="AD75" s="37" t="e">
        <f t="shared" ca="1" si="791"/>
        <v>#DIV/0!</v>
      </c>
      <c r="AE75" s="37" t="e">
        <f t="shared" ref="AE75" ca="1" si="792">+AE72</f>
        <v>#DIV/0!</v>
      </c>
      <c r="AL75" s="3">
        <f>SUM(AI72:AL72)</f>
        <v>0</v>
      </c>
      <c r="AM75" s="3">
        <f t="shared" ref="AM75" si="793">SUM(AJ72:AM72)</f>
        <v>0</v>
      </c>
      <c r="AN75" s="3">
        <f t="shared" ref="AN75" si="794">SUM(AK72:AN72)</f>
        <v>0</v>
      </c>
      <c r="AO75" s="3">
        <f t="shared" ref="AO75" si="795">SUM(AL72:AO72)</f>
        <v>0</v>
      </c>
      <c r="AP75" s="3">
        <f t="shared" ref="AP75" si="796">SUM(AM72:AP72)</f>
        <v>0</v>
      </c>
      <c r="AQ75" s="3">
        <f t="shared" ref="AQ75" si="797">SUM(AN72:AQ72)</f>
        <v>0</v>
      </c>
      <c r="AR75" s="3">
        <f t="shared" ref="AR75" si="798">SUM(AO72:AR72)</f>
        <v>0</v>
      </c>
      <c r="AS75" s="3">
        <f t="shared" ref="AS75" si="799">SUM(AP72:AS72)</f>
        <v>0</v>
      </c>
      <c r="AT75" s="3">
        <f t="shared" ref="AT75" si="800">SUM(AQ72:AT72)</f>
        <v>0</v>
      </c>
      <c r="AU75" s="3">
        <f t="shared" ref="AU75" si="801">SUM(AR72:AU72)</f>
        <v>0</v>
      </c>
      <c r="AV75" s="3">
        <f t="shared" ref="AV75" si="802">SUM(AS72:AV72)</f>
        <v>0</v>
      </c>
      <c r="AW75" s="3">
        <f t="shared" ref="AW75" si="803">SUM(AT72:AW72)</f>
        <v>0</v>
      </c>
      <c r="AX75" s="3">
        <f t="shared" ref="AX75" si="804">SUM(AU72:AX72)</f>
        <v>0</v>
      </c>
      <c r="AY75" s="3">
        <f t="shared" ref="AY75" si="805">SUM(AV72:AY72)</f>
        <v>0</v>
      </c>
      <c r="AZ75" s="3">
        <f t="shared" ref="AZ75" si="806">SUM(AW72:AZ72)</f>
        <v>0</v>
      </c>
      <c r="BA75" s="3">
        <f t="shared" ref="BA75" si="807">SUM(AX72:BA72)</f>
        <v>0</v>
      </c>
      <c r="BB75" s="3">
        <f t="shared" ref="BB75" si="808">SUM(AY72:BB72)</f>
        <v>0</v>
      </c>
      <c r="BC75" s="3">
        <f t="shared" ref="BC75" si="809">SUM(AZ72:BC72)</f>
        <v>0</v>
      </c>
      <c r="BD75" s="3">
        <f t="shared" ref="BD75" si="810">SUM(BA72:BD72)</f>
        <v>0</v>
      </c>
      <c r="BE75" s="3">
        <f t="shared" ref="BE75" si="811">SUM(BB72:BE72)</f>
        <v>0</v>
      </c>
      <c r="BF75" s="3">
        <f t="shared" ref="BF75" si="812">SUM(BC72:BF72)</f>
        <v>0</v>
      </c>
      <c r="BG75" s="3">
        <f t="shared" ref="BG75" si="813">SUM(BD72:BG72)</f>
        <v>0</v>
      </c>
      <c r="BH75" s="3">
        <f t="shared" ref="BH75" si="814">SUM(BE72:BH72)</f>
        <v>0</v>
      </c>
      <c r="BI75" s="3">
        <f t="shared" ref="BI75" si="815">SUM(BF72:BI72)</f>
        <v>0</v>
      </c>
      <c r="BJ75" s="3">
        <f t="shared" ref="BJ75" si="816">SUM(BG72:BJ72)</f>
        <v>0</v>
      </c>
      <c r="BK75" s="3">
        <f t="shared" ref="BK75" si="817">SUM(BH72:BK72)</f>
        <v>0</v>
      </c>
      <c r="BL75" s="3">
        <f t="shared" ref="BL75" si="818">SUM(BI72:BL72)</f>
        <v>0</v>
      </c>
      <c r="BM75" s="3">
        <f t="shared" ref="BM75" si="819">SUM(BJ72:BM72)</f>
        <v>0</v>
      </c>
      <c r="BN75" s="3">
        <f t="shared" ref="BN75" si="820">SUM(BK72:BN72)</f>
        <v>0</v>
      </c>
      <c r="BO75" s="3">
        <f t="shared" ref="BO75" si="821">SUM(BL72:BO72)</f>
        <v>0</v>
      </c>
      <c r="BP75" s="3">
        <f t="shared" ref="BP75" si="822">SUM(BM72:BP72)</f>
        <v>0</v>
      </c>
      <c r="BQ75" s="3">
        <f t="shared" ref="BQ75" si="823">SUM(BN72:BQ72)</f>
        <v>0</v>
      </c>
      <c r="BR75" s="3">
        <f t="shared" ref="BR75" si="824">SUM(BO72:BR72)</f>
        <v>0</v>
      </c>
      <c r="BS75" s="3">
        <f t="shared" ref="BS75" si="825">SUM(BP72:BS72)</f>
        <v>0</v>
      </c>
      <c r="BT75" s="3">
        <f t="shared" ref="BT75" si="826">SUM(BQ72:BT72)</f>
        <v>0</v>
      </c>
      <c r="BU75" s="3">
        <f t="shared" ref="BU75" si="827">SUM(BR72:BU72)</f>
        <v>0</v>
      </c>
      <c r="BV75" s="3">
        <f t="shared" ref="BV75" si="828">SUM(BS72:BV72)</f>
        <v>0</v>
      </c>
      <c r="BW75" s="3">
        <f t="shared" ref="BW75" si="829">SUM(BT72:BW72)</f>
        <v>0</v>
      </c>
      <c r="BX75" s="3">
        <f t="shared" ref="BX75" si="830">SUM(BU72:BX72)</f>
        <v>0</v>
      </c>
      <c r="BY75" s="3">
        <f t="shared" ref="BY75" si="831">SUM(BV72:BY72)</f>
        <v>3.6573823021937417</v>
      </c>
      <c r="BZ75" s="3">
        <f t="shared" ref="BZ75" si="832">SUM(BW72:BZ72)</f>
        <v>8.9953167365048134</v>
      </c>
      <c r="CA75" s="3">
        <f t="shared" ref="CA75" si="833">SUM(BX72:CA72)</f>
        <v>13.716292827212229</v>
      </c>
      <c r="CB75" s="3">
        <f t="shared" ref="CB75" si="834">SUM(BY72:CB72)</f>
        <v>17.669460192260299</v>
      </c>
      <c r="CC75" s="3">
        <f t="shared" ref="CC75" si="835">SUM(BZ72:CC72)</f>
        <v>18.207789006655162</v>
      </c>
      <c r="CD75" s="3">
        <f t="shared" ref="CD75" si="836">SUM(CA72:CD72)</f>
        <v>16.745624845945272</v>
      </c>
      <c r="CE75" s="3">
        <f t="shared" ref="CE75" si="837">SUM(CB72:CE72)</f>
        <v>16.01848656642839</v>
      </c>
      <c r="CF75" s="3">
        <f t="shared" ref="CF75" si="838">SUM(CC72:CF72)</f>
        <v>15.945279763371939</v>
      </c>
      <c r="CG75" s="3">
        <f t="shared" ref="CG75" si="839">SUM(CD72:CG72)</f>
        <v>15.906334730096127</v>
      </c>
      <c r="CH75" s="3">
        <f t="shared" ref="CH75:CL75" si="840">SUM(CE72:CH72)</f>
        <v>16.685974858269663</v>
      </c>
      <c r="CI75" s="3">
        <f t="shared" si="840"/>
        <v>16.889327088982011</v>
      </c>
      <c r="CJ75" s="3">
        <f t="shared" si="840"/>
        <v>17.0887355188563</v>
      </c>
      <c r="CK75" s="3">
        <f t="shared" si="840"/>
        <v>17.134064321557062</v>
      </c>
      <c r="CL75" s="3">
        <f t="shared" si="840"/>
        <v>16.124959338501565</v>
      </c>
      <c r="CM75" s="37">
        <f t="shared" ref="CM75" si="841">SUM(CJ72:CM72)</f>
        <v>12.682330129308585</v>
      </c>
      <c r="CN75" s="37">
        <f t="shared" ref="CN75" si="842">SUM(CK72:CN72)</f>
        <v>11.096322171245721</v>
      </c>
      <c r="CO75" s="37">
        <f t="shared" ref="CO75" si="843">SUM(CL72:CO72)</f>
        <v>10.527783004664171</v>
      </c>
      <c r="CP75" s="37">
        <f t="shared" ref="CP75" si="844">SUM(CM72:CP72)</f>
        <v>11.879163696263518</v>
      </c>
      <c r="CQ75" s="37">
        <f t="shared" ref="CQ75" si="845">SUM(CN72:CQ72)</f>
        <v>15.874219905066051</v>
      </c>
      <c r="CR75" s="37">
        <f t="shared" ref="CR75" si="846">SUM(CO72:CR72)</f>
        <v>19.055058670027989</v>
      </c>
      <c r="CS75" s="37">
        <f t="shared" ref="CS75" si="847">SUM(CP72:CS72)</f>
        <v>21.759255331184765</v>
      </c>
      <c r="CT75" s="37">
        <f t="shared" ref="CT75" si="848">SUM(CQ72:CT72)</f>
        <v>24.563518123050763</v>
      </c>
      <c r="CU75" s="37">
        <f t="shared" ref="CU75" si="849">SUM(CR72:CU72)</f>
        <v>26.429184833171561</v>
      </c>
      <c r="CV75" s="37">
        <f t="shared" ref="CV75" si="850">SUM(CS72:CV72)</f>
        <v>28.547036823369496</v>
      </c>
      <c r="CW75" s="37">
        <f t="shared" ref="CW75" si="851">SUM(CT72:CW72)</f>
        <v>30.79188363009402</v>
      </c>
      <c r="CX75" s="37">
        <f t="shared" ref="CX75" si="852">SUM(CU72:CX72)</f>
        <v>33.290001767262062</v>
      </c>
      <c r="CY75" s="37">
        <f t="shared" ref="CY75" si="853">SUM(CV72:CY72)</f>
        <v>35.638773515740773</v>
      </c>
      <c r="CZ75" s="37">
        <f t="shared" ref="CZ75" si="854">SUM(CW72:CZ72)</f>
        <v>37.984907662738436</v>
      </c>
      <c r="DA75" s="37">
        <f t="shared" ref="DA75" si="855">SUM(CX72:DA72)</f>
        <v>40.336239591967015</v>
      </c>
      <c r="DB75" s="37">
        <f t="shared" ref="DB75" si="856">SUM(CY72:DB72)</f>
        <v>42.977668245716522</v>
      </c>
      <c r="DE75" s="134"/>
      <c r="DF75" s="3">
        <v>16.56889336477629</v>
      </c>
    </row>
    <row r="76" spans="1:110" s="97" customFormat="1" x14ac:dyDescent="0.2">
      <c r="A76" s="97" t="s">
        <v>425</v>
      </c>
      <c r="C76" s="101" t="e">
        <f t="shared" ref="C76:AA76" si="857">+C75/B75-1</f>
        <v>#DIV/0!</v>
      </c>
      <c r="D76" s="101" t="e">
        <f t="shared" si="857"/>
        <v>#DIV/0!</v>
      </c>
      <c r="E76" s="101" t="e">
        <f t="shared" ca="1" si="857"/>
        <v>#DIV/0!</v>
      </c>
      <c r="F76" s="101" t="e">
        <f t="shared" ca="1" si="857"/>
        <v>#DIV/0!</v>
      </c>
      <c r="G76" s="101" t="e">
        <f t="shared" ca="1" si="857"/>
        <v>#DIV/0!</v>
      </c>
      <c r="H76" s="101" t="e">
        <f t="shared" ca="1" si="857"/>
        <v>#DIV/0!</v>
      </c>
      <c r="I76" s="101" t="e">
        <f t="shared" ca="1" si="857"/>
        <v>#DIV/0!</v>
      </c>
      <c r="J76" s="101" t="e">
        <f t="shared" ca="1" si="857"/>
        <v>#DIV/0!</v>
      </c>
      <c r="K76" s="101" t="e">
        <f t="shared" ca="1" si="857"/>
        <v>#DIV/0!</v>
      </c>
      <c r="L76" s="101" t="e">
        <f t="shared" ca="1" si="857"/>
        <v>#DIV/0!</v>
      </c>
      <c r="M76" s="101" t="e">
        <f t="shared" ca="1" si="857"/>
        <v>#DIV/0!</v>
      </c>
      <c r="N76" s="101" t="e">
        <f t="shared" ca="1" si="857"/>
        <v>#DIV/0!</v>
      </c>
      <c r="O76" s="101" t="e">
        <f t="shared" ca="1" si="857"/>
        <v>#DIV/0!</v>
      </c>
      <c r="P76" s="101" t="e">
        <f t="shared" ca="1" si="857"/>
        <v>#DIV/0!</v>
      </c>
      <c r="Q76" s="101" t="e">
        <f t="shared" ca="1" si="857"/>
        <v>#DIV/0!</v>
      </c>
      <c r="R76" s="101" t="e">
        <f t="shared" ca="1" si="857"/>
        <v>#DIV/0!</v>
      </c>
      <c r="S76" s="101" t="e">
        <f t="shared" ca="1" si="857"/>
        <v>#DIV/0!</v>
      </c>
      <c r="T76" s="101" t="e">
        <f t="shared" ca="1" si="857"/>
        <v>#DIV/0!</v>
      </c>
      <c r="U76" s="101" t="e">
        <f t="shared" ca="1" si="857"/>
        <v>#DIV/0!</v>
      </c>
      <c r="V76" s="101" t="e">
        <f t="shared" ca="1" si="857"/>
        <v>#DIV/0!</v>
      </c>
      <c r="W76" s="101" t="e">
        <f t="shared" ca="1" si="857"/>
        <v>#DIV/0!</v>
      </c>
      <c r="X76" s="101" t="e">
        <f t="shared" ca="1" si="857"/>
        <v>#DIV/0!</v>
      </c>
      <c r="Y76" s="101" t="e">
        <f t="shared" ca="1" si="857"/>
        <v>#DIV/0!</v>
      </c>
      <c r="Z76" s="101" t="e">
        <f t="shared" ca="1" si="857"/>
        <v>#DIV/0!</v>
      </c>
      <c r="AA76" s="101" t="e">
        <f t="shared" ca="1" si="857"/>
        <v>#DIV/0!</v>
      </c>
      <c r="AB76" s="174" t="e">
        <f t="shared" ref="AB76" ca="1" si="858">+AB75/AA75-1</f>
        <v>#DIV/0!</v>
      </c>
      <c r="AC76" s="174" t="e">
        <f t="shared" ref="AC76" ca="1" si="859">+AC75/AB75-1</f>
        <v>#DIV/0!</v>
      </c>
      <c r="AD76" s="174" t="e">
        <f t="shared" ref="AD76" ca="1" si="860">+AD75/AC75-1</f>
        <v>#DIV/0!</v>
      </c>
      <c r="AE76" s="174" t="e">
        <f t="shared" ref="AE76" ca="1" si="861">+AE75/AD75-1</f>
        <v>#DIV/0!</v>
      </c>
      <c r="AL76" s="176"/>
      <c r="AM76" s="176"/>
      <c r="AN76" s="176"/>
      <c r="AO76" s="176"/>
      <c r="AP76" s="176" t="e">
        <f t="shared" ref="AP76:CL76" si="862">+IF(AL75&lt;0,1-AP75/AL75,AP75/AL75-1)</f>
        <v>#DIV/0!</v>
      </c>
      <c r="AQ76" s="176" t="e">
        <f t="shared" si="862"/>
        <v>#DIV/0!</v>
      </c>
      <c r="AR76" s="176" t="e">
        <f t="shared" si="862"/>
        <v>#DIV/0!</v>
      </c>
      <c r="AS76" s="176" t="e">
        <f t="shared" si="862"/>
        <v>#DIV/0!</v>
      </c>
      <c r="AT76" s="176" t="e">
        <f t="shared" si="862"/>
        <v>#DIV/0!</v>
      </c>
      <c r="AU76" s="176" t="e">
        <f t="shared" si="862"/>
        <v>#DIV/0!</v>
      </c>
      <c r="AV76" s="176" t="e">
        <f t="shared" si="862"/>
        <v>#DIV/0!</v>
      </c>
      <c r="AW76" s="176" t="e">
        <f t="shared" si="862"/>
        <v>#DIV/0!</v>
      </c>
      <c r="AX76" s="176" t="e">
        <f t="shared" si="862"/>
        <v>#DIV/0!</v>
      </c>
      <c r="AY76" s="176" t="e">
        <f t="shared" si="862"/>
        <v>#DIV/0!</v>
      </c>
      <c r="AZ76" s="176" t="e">
        <f t="shared" si="862"/>
        <v>#DIV/0!</v>
      </c>
      <c r="BA76" s="176" t="e">
        <f t="shared" si="862"/>
        <v>#DIV/0!</v>
      </c>
      <c r="BB76" s="176" t="e">
        <f t="shared" si="862"/>
        <v>#DIV/0!</v>
      </c>
      <c r="BC76" s="176" t="e">
        <f t="shared" si="862"/>
        <v>#DIV/0!</v>
      </c>
      <c r="BD76" s="176" t="e">
        <f t="shared" si="862"/>
        <v>#DIV/0!</v>
      </c>
      <c r="BE76" s="176" t="e">
        <f t="shared" si="862"/>
        <v>#DIV/0!</v>
      </c>
      <c r="BF76" s="176" t="e">
        <f t="shared" si="862"/>
        <v>#DIV/0!</v>
      </c>
      <c r="BG76" s="176" t="e">
        <f t="shared" si="862"/>
        <v>#DIV/0!</v>
      </c>
      <c r="BH76" s="176" t="e">
        <f t="shared" si="862"/>
        <v>#DIV/0!</v>
      </c>
      <c r="BI76" s="176" t="e">
        <f t="shared" si="862"/>
        <v>#DIV/0!</v>
      </c>
      <c r="BJ76" s="176" t="e">
        <f t="shared" si="862"/>
        <v>#DIV/0!</v>
      </c>
      <c r="BK76" s="176" t="e">
        <f t="shared" si="862"/>
        <v>#DIV/0!</v>
      </c>
      <c r="BL76" s="176" t="e">
        <f t="shared" si="862"/>
        <v>#DIV/0!</v>
      </c>
      <c r="BM76" s="176" t="e">
        <f t="shared" si="862"/>
        <v>#DIV/0!</v>
      </c>
      <c r="BN76" s="176" t="e">
        <f t="shared" si="862"/>
        <v>#DIV/0!</v>
      </c>
      <c r="BO76" s="176" t="e">
        <f t="shared" si="862"/>
        <v>#DIV/0!</v>
      </c>
      <c r="BP76" s="176" t="e">
        <f t="shared" si="862"/>
        <v>#DIV/0!</v>
      </c>
      <c r="BQ76" s="176" t="e">
        <f t="shared" si="862"/>
        <v>#DIV/0!</v>
      </c>
      <c r="BR76" s="176" t="e">
        <f t="shared" si="862"/>
        <v>#DIV/0!</v>
      </c>
      <c r="BS76" s="176" t="e">
        <f t="shared" si="862"/>
        <v>#DIV/0!</v>
      </c>
      <c r="BT76" s="176" t="e">
        <f t="shared" si="862"/>
        <v>#DIV/0!</v>
      </c>
      <c r="BU76" s="176" t="e">
        <f t="shared" si="862"/>
        <v>#DIV/0!</v>
      </c>
      <c r="BV76" s="176" t="e">
        <f t="shared" si="862"/>
        <v>#DIV/0!</v>
      </c>
      <c r="BW76" s="176" t="e">
        <f t="shared" si="862"/>
        <v>#DIV/0!</v>
      </c>
      <c r="BX76" s="176" t="e">
        <f t="shared" si="862"/>
        <v>#DIV/0!</v>
      </c>
      <c r="BY76" s="176" t="e">
        <f t="shared" si="862"/>
        <v>#DIV/0!</v>
      </c>
      <c r="BZ76" s="176" t="e">
        <f t="shared" si="862"/>
        <v>#DIV/0!</v>
      </c>
      <c r="CA76" s="176" t="e">
        <f t="shared" si="862"/>
        <v>#DIV/0!</v>
      </c>
      <c r="CB76" s="176" t="e">
        <f t="shared" si="862"/>
        <v>#DIV/0!</v>
      </c>
      <c r="CC76" s="176">
        <f t="shared" si="862"/>
        <v>3.9783663566518355</v>
      </c>
      <c r="CD76" s="176">
        <f t="shared" si="862"/>
        <v>0.86159368663341684</v>
      </c>
      <c r="CE76" s="176">
        <f t="shared" si="862"/>
        <v>0.16784372922170032</v>
      </c>
      <c r="CF76" s="176">
        <f t="shared" si="862"/>
        <v>-9.7579688916789697E-2</v>
      </c>
      <c r="CG76" s="176">
        <f t="shared" si="862"/>
        <v>-0.12639943684089405</v>
      </c>
      <c r="CH76" s="176">
        <f t="shared" si="862"/>
        <v>-3.5621237322805976E-3</v>
      </c>
      <c r="CI76" s="176">
        <f t="shared" si="862"/>
        <v>5.4364719097666381E-2</v>
      </c>
      <c r="CJ76" s="176">
        <f t="shared" si="862"/>
        <v>7.1711238213016726E-2</v>
      </c>
      <c r="CK76" s="176">
        <f t="shared" si="862"/>
        <v>7.7184946267851773E-2</v>
      </c>
      <c r="CL76" s="176">
        <f t="shared" si="862"/>
        <v>-3.3621980407698815E-2</v>
      </c>
      <c r="CM76" s="102">
        <f t="shared" ref="CM76:DB76" si="863">+IF(CI75&lt;0,1-CM75/CI75,CM75/CI75-1)</f>
        <v>-0.24909204123460427</v>
      </c>
      <c r="CN76" s="102">
        <f t="shared" si="863"/>
        <v>-0.35066452640678669</v>
      </c>
      <c r="CO76" s="102">
        <f t="shared" si="863"/>
        <v>-0.38556417163563816</v>
      </c>
      <c r="CP76" s="102">
        <f t="shared" si="863"/>
        <v>-0.26330582007114656</v>
      </c>
      <c r="CQ76" s="102">
        <f t="shared" si="863"/>
        <v>0.25168007323678454</v>
      </c>
      <c r="CR76" s="102">
        <f t="shared" si="863"/>
        <v>0.71724093586666182</v>
      </c>
      <c r="CS76" s="102">
        <f t="shared" si="863"/>
        <v>1.0668411688904174</v>
      </c>
      <c r="CT76" s="102">
        <f t="shared" si="863"/>
        <v>1.067781769080006</v>
      </c>
      <c r="CU76" s="102">
        <f t="shared" si="863"/>
        <v>0.66491235419619144</v>
      </c>
      <c r="CV76" s="102">
        <f t="shared" si="863"/>
        <v>0.49813429167088286</v>
      </c>
      <c r="CW76" s="102">
        <f t="shared" si="863"/>
        <v>0.41511660952679486</v>
      </c>
      <c r="CX76" s="102">
        <f t="shared" si="863"/>
        <v>0.35526196208930849</v>
      </c>
      <c r="CY76" s="102">
        <f t="shared" si="863"/>
        <v>0.34846283533535827</v>
      </c>
      <c r="CZ76" s="102">
        <f t="shared" si="863"/>
        <v>0.33060772288782014</v>
      </c>
      <c r="DA76" s="102">
        <f t="shared" si="863"/>
        <v>0.30996336815669667</v>
      </c>
      <c r="DB76" s="102">
        <f t="shared" si="863"/>
        <v>0.29100828970160864</v>
      </c>
      <c r="DE76" s="135"/>
      <c r="DF76" s="97">
        <v>-7.0167607519405761E-3</v>
      </c>
    </row>
    <row r="77" spans="1:110" s="144" customFormat="1" x14ac:dyDescent="0.2">
      <c r="A77" s="144" t="s">
        <v>424</v>
      </c>
      <c r="AB77" s="145"/>
      <c r="AC77" s="145"/>
      <c r="AD77" s="145"/>
      <c r="AE77" s="145"/>
      <c r="CM77" s="145"/>
      <c r="CN77" s="145"/>
      <c r="CO77" s="145"/>
      <c r="CP77" s="145">
        <v>20.158000000000001</v>
      </c>
      <c r="CQ77" s="145"/>
      <c r="CR77" s="145"/>
      <c r="CS77" s="145"/>
      <c r="CT77" s="145">
        <v>23.448</v>
      </c>
      <c r="CU77" s="145"/>
      <c r="CV77" s="145"/>
      <c r="CW77" s="145"/>
      <c r="CX77" s="145"/>
      <c r="CY77" s="145"/>
      <c r="CZ77" s="145"/>
      <c r="DA77" s="145"/>
      <c r="DB77" s="145"/>
      <c r="DE77" s="146"/>
      <c r="DF77" s="144">
        <v>17.029</v>
      </c>
    </row>
    <row r="78" spans="1:110" s="144" customFormat="1" x14ac:dyDescent="0.2">
      <c r="A78" s="144" t="s">
        <v>436</v>
      </c>
      <c r="AB78" s="145"/>
      <c r="AC78" s="145"/>
      <c r="AD78" s="145"/>
      <c r="AE78" s="145"/>
      <c r="CM78" s="145"/>
      <c r="CN78" s="145"/>
      <c r="CO78" s="145"/>
      <c r="CP78" s="145">
        <f>+CP75/CP77-1</f>
        <v>-0.41069730646574476</v>
      </c>
      <c r="CQ78" s="145"/>
      <c r="CR78" s="145"/>
      <c r="CS78" s="145"/>
      <c r="CT78" s="145">
        <f>+CT75/CT77-1</f>
        <v>4.7574126708067377E-2</v>
      </c>
      <c r="CU78" s="145"/>
      <c r="CV78" s="145"/>
      <c r="CW78" s="145"/>
      <c r="CX78" s="145" t="e">
        <f>+CX75/CX77-1</f>
        <v>#DIV/0!</v>
      </c>
      <c r="CY78" s="145"/>
      <c r="CZ78" s="145"/>
      <c r="DA78" s="145"/>
      <c r="DB78" s="145" t="e">
        <f>+DB75/DB77-1</f>
        <v>#DIV/0!</v>
      </c>
      <c r="DE78" s="146"/>
      <c r="DF78" s="144">
        <v>-2.7019004945898706E-2</v>
      </c>
    </row>
    <row r="79" spans="1:110" s="3" customFormat="1" x14ac:dyDescent="0.2">
      <c r="A79" s="3" t="s">
        <v>34</v>
      </c>
      <c r="B79" s="3">
        <f>'Annual Raw'!C112</f>
        <v>0</v>
      </c>
      <c r="C79" s="3">
        <f>'Annual Raw'!D112</f>
        <v>0</v>
      </c>
      <c r="D79" s="3">
        <f>'Annual Raw'!E112</f>
        <v>0</v>
      </c>
      <c r="E79" s="3">
        <f>'Annual Raw'!F112</f>
        <v>0</v>
      </c>
      <c r="F79" s="3">
        <f>'Annual Raw'!G112</f>
        <v>0</v>
      </c>
      <c r="G79" s="3">
        <f>'Annual Raw'!H112</f>
        <v>0</v>
      </c>
      <c r="H79" s="3">
        <f>'Annual Raw'!I112</f>
        <v>0</v>
      </c>
      <c r="I79" s="3">
        <f>'Annual Raw'!J112</f>
        <v>0</v>
      </c>
      <c r="J79" s="3">
        <f>'Annual Raw'!K112</f>
        <v>0</v>
      </c>
      <c r="K79" s="3">
        <f>'Annual Raw'!L112</f>
        <v>0</v>
      </c>
      <c r="L79" s="3">
        <f>'Annual Raw'!M112</f>
        <v>0</v>
      </c>
      <c r="M79" s="3">
        <f>'Annual Raw'!N112</f>
        <v>0</v>
      </c>
      <c r="N79" s="3">
        <f>'Annual Raw'!O112</f>
        <v>0</v>
      </c>
      <c r="O79" s="3">
        <f>'Annual Raw'!P112</f>
        <v>79.13</v>
      </c>
      <c r="P79" s="3">
        <f>'Annual Raw'!Q112</f>
        <v>87.42</v>
      </c>
      <c r="Q79" s="3">
        <f>'Annual Raw'!R112</f>
        <v>0</v>
      </c>
      <c r="R79" s="3">
        <f>'Annual Raw'!S112</f>
        <v>0</v>
      </c>
      <c r="S79" s="3">
        <f>'Annual Raw'!T112</f>
        <v>0</v>
      </c>
      <c r="T79" s="3">
        <f>'Annual Raw'!U112</f>
        <v>0</v>
      </c>
      <c r="U79" s="3">
        <f>'Annual Raw'!V112</f>
        <v>72.48</v>
      </c>
      <c r="V79" s="3">
        <f>'Annual Raw'!W112</f>
        <v>72.48</v>
      </c>
      <c r="W79" s="3">
        <f>'Annual Raw'!X112</f>
        <v>72.48</v>
      </c>
      <c r="X79" s="3">
        <f>'Annual Raw'!Y112</f>
        <v>0</v>
      </c>
      <c r="Y79" s="3">
        <f>'Annual Raw'!Z112</f>
        <v>55.39</v>
      </c>
      <c r="Z79" s="3">
        <f>'Annual Raw'!AA112</f>
        <v>55.22</v>
      </c>
      <c r="AA79" s="3">
        <f>'Annual Raw'!AB112</f>
        <v>55.18</v>
      </c>
      <c r="AB79" s="37"/>
      <c r="AC79" s="37"/>
      <c r="AD79" s="37"/>
      <c r="AE79" s="37"/>
      <c r="AI79" s="3">
        <f>'QTR Raw'!C49</f>
        <v>0</v>
      </c>
      <c r="AJ79" s="3">
        <f>'QTR Raw'!D49</f>
        <v>0</v>
      </c>
      <c r="AK79" s="3">
        <f>'QTR Raw'!E49</f>
        <v>0</v>
      </c>
      <c r="AL79" s="3">
        <f>'QTR Raw'!F49</f>
        <v>0</v>
      </c>
      <c r="AM79" s="3">
        <f>'QTR Raw'!G49</f>
        <v>0</v>
      </c>
      <c r="AN79" s="3">
        <f>'QTR Raw'!H49</f>
        <v>0</v>
      </c>
      <c r="AO79" s="3">
        <f>'QTR Raw'!I49</f>
        <v>0</v>
      </c>
      <c r="AP79" s="3">
        <f>'QTR Raw'!J49</f>
        <v>0</v>
      </c>
      <c r="AQ79" s="3">
        <f>'QTR Raw'!K49</f>
        <v>0</v>
      </c>
      <c r="AR79" s="3">
        <f>'QTR Raw'!L49</f>
        <v>0</v>
      </c>
      <c r="AS79" s="3">
        <f>'QTR Raw'!M49</f>
        <v>0</v>
      </c>
      <c r="AT79" s="3">
        <f>'QTR Raw'!N49</f>
        <v>0</v>
      </c>
      <c r="AU79" s="3">
        <f>'QTR Raw'!O49</f>
        <v>0</v>
      </c>
      <c r="AV79" s="3">
        <f>'QTR Raw'!P49</f>
        <v>0</v>
      </c>
      <c r="AW79" s="3">
        <f>'QTR Raw'!Q49</f>
        <v>0</v>
      </c>
      <c r="AX79" s="3">
        <f>'QTR Raw'!R49</f>
        <v>0</v>
      </c>
      <c r="AY79" s="3">
        <f>'QTR Raw'!S49</f>
        <v>0</v>
      </c>
      <c r="AZ79" s="3">
        <f>'QTR Raw'!T49</f>
        <v>0</v>
      </c>
      <c r="BA79" s="3">
        <f>'QTR Raw'!U49</f>
        <v>0</v>
      </c>
      <c r="BB79" s="3">
        <f>'QTR Raw'!V49</f>
        <v>0</v>
      </c>
      <c r="BC79" s="3">
        <f>'QTR Raw'!W49</f>
        <v>0</v>
      </c>
      <c r="BD79" s="3">
        <f>'QTR Raw'!X49</f>
        <v>0</v>
      </c>
      <c r="BE79" s="3">
        <f>'QTR Raw'!Y49</f>
        <v>0</v>
      </c>
      <c r="BF79" s="3">
        <f>'QTR Raw'!Z49</f>
        <v>0</v>
      </c>
      <c r="BG79" s="3">
        <f>'QTR Raw'!AA49</f>
        <v>0</v>
      </c>
      <c r="BH79" s="3">
        <f>'QTR Raw'!AB49</f>
        <v>0</v>
      </c>
      <c r="BI79" s="3">
        <f>'QTR Raw'!AC49</f>
        <v>0</v>
      </c>
      <c r="BJ79" s="3">
        <f>'QTR Raw'!AD49</f>
        <v>0</v>
      </c>
      <c r="BK79" s="3">
        <f>'QTR Raw'!AE49</f>
        <v>0</v>
      </c>
      <c r="BL79" s="3">
        <f>'QTR Raw'!AF49</f>
        <v>0</v>
      </c>
      <c r="BM79" s="3">
        <f>'QTR Raw'!AG49</f>
        <v>0</v>
      </c>
      <c r="BN79" s="3">
        <f>'QTR Raw'!AH49</f>
        <v>0</v>
      </c>
      <c r="BO79" s="3">
        <f>'QTR Raw'!AI49</f>
        <v>0</v>
      </c>
      <c r="BP79" s="3">
        <f>'QTR Raw'!AJ49</f>
        <v>0</v>
      </c>
      <c r="BQ79" s="3">
        <f>'QTR Raw'!AK49</f>
        <v>0</v>
      </c>
      <c r="BR79" s="3">
        <f>'QTR Raw'!AL49</f>
        <v>0</v>
      </c>
      <c r="BS79" s="3">
        <f>'QTR Raw'!AM49</f>
        <v>0</v>
      </c>
      <c r="BT79" s="3">
        <f>'QTR Raw'!AN49</f>
        <v>0</v>
      </c>
      <c r="BU79" s="3">
        <f>'QTR Raw'!AO49</f>
        <v>0</v>
      </c>
      <c r="BV79" s="3">
        <f>'QTR Raw'!AP49</f>
        <v>0</v>
      </c>
      <c r="BW79" s="3">
        <f>'QTR Raw'!AQ49</f>
        <v>0</v>
      </c>
      <c r="BX79" s="3">
        <f>'QTR Raw'!AR49</f>
        <v>0</v>
      </c>
      <c r="BY79" s="3">
        <f>'QTR Raw'!AS49</f>
        <v>0</v>
      </c>
      <c r="BZ79" s="3">
        <f>'QTR Raw'!AT49</f>
        <v>0</v>
      </c>
      <c r="CA79" s="3">
        <f>'QTR Raw'!AU49</f>
        <v>0</v>
      </c>
      <c r="CB79" s="3">
        <f>'QTR Raw'!AV49</f>
        <v>0</v>
      </c>
      <c r="CC79" s="3">
        <f>'QTR Raw'!AW49</f>
        <v>55.39</v>
      </c>
      <c r="CD79" s="3">
        <f>'QTR Raw'!AX49</f>
        <v>55.39</v>
      </c>
      <c r="CE79" s="3">
        <f>'QTR Raw'!AY49</f>
        <v>55.39</v>
      </c>
      <c r="CF79" s="3">
        <f>'QTR Raw'!AZ49</f>
        <v>55.22</v>
      </c>
      <c r="CG79" s="3">
        <f>'QTR Raw'!BA49</f>
        <v>55.22</v>
      </c>
      <c r="CH79" s="3">
        <f>'QTR Raw'!BB49</f>
        <v>55.22</v>
      </c>
      <c r="CI79" s="3">
        <f>'QTR Raw'!BC49</f>
        <v>55.22</v>
      </c>
      <c r="CJ79" s="3">
        <f>'QTR Raw'!BD49</f>
        <v>55.22</v>
      </c>
      <c r="CK79" s="3">
        <f>'QTR Raw'!BE49</f>
        <v>55.21</v>
      </c>
      <c r="CL79" s="3">
        <f>'QTR Raw'!BF49</f>
        <v>55.18</v>
      </c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</row>
    <row r="80" spans="1:110" s="3" customFormat="1" x14ac:dyDescent="0.2">
      <c r="A80" s="3" t="s">
        <v>35</v>
      </c>
      <c r="B80" s="3">
        <f>'Annual Raw'!C113</f>
        <v>0</v>
      </c>
      <c r="C80" s="3">
        <f>'Annual Raw'!D113</f>
        <v>0</v>
      </c>
      <c r="D80" s="3">
        <f>'Annual Raw'!E113</f>
        <v>0</v>
      </c>
      <c r="E80" s="3">
        <f>'Annual Raw'!F113</f>
        <v>0</v>
      </c>
      <c r="F80" s="3">
        <f>'Annual Raw'!G113</f>
        <v>0</v>
      </c>
      <c r="G80" s="3">
        <f>'Annual Raw'!H113</f>
        <v>0</v>
      </c>
      <c r="H80" s="3">
        <f>'Annual Raw'!I113</f>
        <v>0</v>
      </c>
      <c r="I80" s="3">
        <f>'Annual Raw'!J113</f>
        <v>0</v>
      </c>
      <c r="J80" s="3">
        <f>'Annual Raw'!K113</f>
        <v>0</v>
      </c>
      <c r="K80" s="3">
        <f>'Annual Raw'!L113</f>
        <v>0</v>
      </c>
      <c r="L80" s="3">
        <f>'Annual Raw'!M113</f>
        <v>0</v>
      </c>
      <c r="M80" s="3">
        <f>'Annual Raw'!N113</f>
        <v>0</v>
      </c>
      <c r="N80" s="3">
        <f>'Annual Raw'!O113</f>
        <v>0</v>
      </c>
      <c r="O80" s="3">
        <f>'Annual Raw'!P113</f>
        <v>0</v>
      </c>
      <c r="P80" s="3">
        <f>'Annual Raw'!Q113</f>
        <v>0</v>
      </c>
      <c r="Q80" s="3">
        <f>'Annual Raw'!R113</f>
        <v>0</v>
      </c>
      <c r="R80" s="3">
        <f>'Annual Raw'!S113</f>
        <v>0</v>
      </c>
      <c r="S80" s="3">
        <f>'Annual Raw'!T113</f>
        <v>0</v>
      </c>
      <c r="T80" s="3">
        <f>'Annual Raw'!U113</f>
        <v>0</v>
      </c>
      <c r="U80" s="3">
        <f>'Annual Raw'!V113</f>
        <v>0</v>
      </c>
      <c r="V80" s="3">
        <f>'Annual Raw'!W113</f>
        <v>0</v>
      </c>
      <c r="W80" s="3">
        <f>'Annual Raw'!X113</f>
        <v>0</v>
      </c>
      <c r="X80" s="3">
        <f>'Annual Raw'!Y113</f>
        <v>0</v>
      </c>
      <c r="Y80" s="3">
        <f>'Annual Raw'!Z113</f>
        <v>0</v>
      </c>
      <c r="Z80" s="3">
        <f>'Annual Raw'!AA113</f>
        <v>0</v>
      </c>
      <c r="AA80" s="3">
        <f>'Annual Raw'!AB113</f>
        <v>0</v>
      </c>
      <c r="AB80" s="37"/>
      <c r="AC80" s="37"/>
      <c r="AD80" s="37"/>
      <c r="AE80" s="37"/>
      <c r="AI80" s="3">
        <f>'QTR Raw'!C50</f>
        <v>0</v>
      </c>
      <c r="AJ80" s="3">
        <f>'QTR Raw'!D50</f>
        <v>0</v>
      </c>
      <c r="AK80" s="3">
        <f>'QTR Raw'!E50</f>
        <v>0</v>
      </c>
      <c r="AL80" s="3">
        <f>'QTR Raw'!F50</f>
        <v>0</v>
      </c>
      <c r="AM80" s="3">
        <f>'QTR Raw'!G50</f>
        <v>0</v>
      </c>
      <c r="AN80" s="3">
        <f>'QTR Raw'!H50</f>
        <v>0</v>
      </c>
      <c r="AO80" s="3">
        <f>'QTR Raw'!I50</f>
        <v>0</v>
      </c>
      <c r="AP80" s="3">
        <f>'QTR Raw'!J50</f>
        <v>0</v>
      </c>
      <c r="AQ80" s="3">
        <f>'QTR Raw'!K50</f>
        <v>0</v>
      </c>
      <c r="AR80" s="3">
        <f>'QTR Raw'!L50</f>
        <v>0</v>
      </c>
      <c r="AS80" s="3">
        <f>'QTR Raw'!M50</f>
        <v>0</v>
      </c>
      <c r="AT80" s="3">
        <f>'QTR Raw'!N50</f>
        <v>0</v>
      </c>
      <c r="AU80" s="3">
        <f>'QTR Raw'!O50</f>
        <v>0</v>
      </c>
      <c r="AV80" s="3">
        <f>'QTR Raw'!P50</f>
        <v>0</v>
      </c>
      <c r="AW80" s="3">
        <f>'QTR Raw'!Q50</f>
        <v>0</v>
      </c>
      <c r="AX80" s="3">
        <f>'QTR Raw'!R50</f>
        <v>0</v>
      </c>
      <c r="AY80" s="3">
        <f>'QTR Raw'!S50</f>
        <v>0</v>
      </c>
      <c r="AZ80" s="3">
        <f>'QTR Raw'!T50</f>
        <v>0</v>
      </c>
      <c r="BA80" s="3">
        <f>'QTR Raw'!U50</f>
        <v>0</v>
      </c>
      <c r="BB80" s="3">
        <f>'QTR Raw'!V50</f>
        <v>0</v>
      </c>
      <c r="BC80" s="3">
        <f>'QTR Raw'!W50</f>
        <v>0</v>
      </c>
      <c r="BD80" s="3">
        <f>'QTR Raw'!X50</f>
        <v>0</v>
      </c>
      <c r="BE80" s="3">
        <f>'QTR Raw'!Y50</f>
        <v>0</v>
      </c>
      <c r="BF80" s="3">
        <f>'QTR Raw'!Z50</f>
        <v>0</v>
      </c>
      <c r="BG80" s="3">
        <f>'QTR Raw'!AA50</f>
        <v>0</v>
      </c>
      <c r="BH80" s="3">
        <f>'QTR Raw'!AB50</f>
        <v>0</v>
      </c>
      <c r="BI80" s="3">
        <f>'QTR Raw'!AC50</f>
        <v>0</v>
      </c>
      <c r="BJ80" s="3">
        <f>'QTR Raw'!AD50</f>
        <v>0</v>
      </c>
      <c r="BK80" s="3">
        <f>'QTR Raw'!AE50</f>
        <v>0</v>
      </c>
      <c r="BL80" s="3">
        <f>'QTR Raw'!AF50</f>
        <v>0</v>
      </c>
      <c r="BM80" s="3">
        <f>'QTR Raw'!AG50</f>
        <v>0</v>
      </c>
      <c r="BN80" s="3">
        <f>'QTR Raw'!AH50</f>
        <v>0</v>
      </c>
      <c r="BO80" s="3">
        <f>'QTR Raw'!AI50</f>
        <v>0</v>
      </c>
      <c r="BP80" s="3">
        <f>'QTR Raw'!AJ50</f>
        <v>0</v>
      </c>
      <c r="BQ80" s="3">
        <f>'QTR Raw'!AK50</f>
        <v>0</v>
      </c>
      <c r="BR80" s="3">
        <f>'QTR Raw'!AL50</f>
        <v>0</v>
      </c>
      <c r="BS80" s="3">
        <f>'QTR Raw'!AM50</f>
        <v>0</v>
      </c>
      <c r="BT80" s="3">
        <f>'QTR Raw'!AN50</f>
        <v>0</v>
      </c>
      <c r="BU80" s="3">
        <f>'QTR Raw'!AO50</f>
        <v>0</v>
      </c>
      <c r="BV80" s="3">
        <f>'QTR Raw'!AP50</f>
        <v>0</v>
      </c>
      <c r="BW80" s="3">
        <f>'QTR Raw'!AQ50</f>
        <v>0</v>
      </c>
      <c r="BX80" s="3">
        <f>'QTR Raw'!AR50</f>
        <v>0</v>
      </c>
      <c r="BY80" s="3">
        <f>'QTR Raw'!AS50</f>
        <v>0</v>
      </c>
      <c r="BZ80" s="3">
        <f>'QTR Raw'!AT50</f>
        <v>0</v>
      </c>
      <c r="CA80" s="3">
        <f>'QTR Raw'!AU50</f>
        <v>0</v>
      </c>
      <c r="CB80" s="3">
        <f>'QTR Raw'!AV50</f>
        <v>0</v>
      </c>
      <c r="CC80" s="3">
        <f>'QTR Raw'!AW50</f>
        <v>0</v>
      </c>
      <c r="CD80" s="3">
        <f>'QTR Raw'!AX50</f>
        <v>0</v>
      </c>
      <c r="CE80" s="3">
        <f>'QTR Raw'!AY50</f>
        <v>0</v>
      </c>
      <c r="CF80" s="3">
        <f>'QTR Raw'!AZ50</f>
        <v>0</v>
      </c>
      <c r="CG80" s="3">
        <f>'QTR Raw'!BA50</f>
        <v>0</v>
      </c>
      <c r="CH80" s="3">
        <f>'QTR Raw'!BB50</f>
        <v>0</v>
      </c>
      <c r="CI80" s="3">
        <f>'QTR Raw'!BC50</f>
        <v>0</v>
      </c>
      <c r="CJ80" s="3">
        <f>'QTR Raw'!BD50</f>
        <v>0</v>
      </c>
      <c r="CK80" s="3">
        <f>'QTR Raw'!BE50</f>
        <v>0</v>
      </c>
      <c r="CL80" s="3">
        <f>'QTR Raw'!BF50</f>
        <v>0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3" customFormat="1" x14ac:dyDescent="0.2">
      <c r="AB81" s="37"/>
      <c r="AC81" s="37"/>
      <c r="AD81" s="37"/>
      <c r="AE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13" customFormat="1" x14ac:dyDescent="0.2">
      <c r="A82" s="13" t="s">
        <v>36</v>
      </c>
      <c r="AB82" s="37"/>
      <c r="AC82" s="37"/>
      <c r="AD82" s="37"/>
      <c r="AE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13" customFormat="1" x14ac:dyDescent="0.2">
      <c r="A83" s="13" t="s">
        <v>457</v>
      </c>
      <c r="B83" s="13">
        <f>'Annual Raw'!C106</f>
        <v>0</v>
      </c>
      <c r="C83" s="13">
        <f>'Annual Raw'!D106</f>
        <v>0</v>
      </c>
      <c r="D83" s="13">
        <f>'Annual Raw'!E106</f>
        <v>0</v>
      </c>
      <c r="E83" s="13">
        <f>'Annual Raw'!F106</f>
        <v>0</v>
      </c>
      <c r="F83" s="13">
        <f>'Annual Raw'!G106</f>
        <v>0</v>
      </c>
      <c r="G83" s="13">
        <f>'Annual Raw'!H106</f>
        <v>0</v>
      </c>
      <c r="H83" s="13">
        <f>'Annual Raw'!I106</f>
        <v>0</v>
      </c>
      <c r="I83" s="13">
        <f>'Annual Raw'!J106</f>
        <v>0</v>
      </c>
      <c r="J83" s="13">
        <f>'Annual Raw'!K106</f>
        <v>0</v>
      </c>
      <c r="K83" s="13">
        <f>'Annual Raw'!L106</f>
        <v>0</v>
      </c>
      <c r="L83" s="13">
        <f>'Annual Raw'!M106</f>
        <v>0</v>
      </c>
      <c r="M83" s="13">
        <f>'Annual Raw'!N106</f>
        <v>0</v>
      </c>
      <c r="N83" s="13">
        <f>'Annual Raw'!O106</f>
        <v>0</v>
      </c>
      <c r="O83" s="13">
        <f>'Annual Raw'!P106</f>
        <v>0</v>
      </c>
      <c r="P83" s="13">
        <f>'Annual Raw'!Q106</f>
        <v>0</v>
      </c>
      <c r="Q83" s="13">
        <f>'Annual Raw'!R106</f>
        <v>0</v>
      </c>
      <c r="R83" s="13">
        <f>'Annual Raw'!S106</f>
        <v>0</v>
      </c>
      <c r="S83" s="13">
        <f>'Annual Raw'!T106</f>
        <v>0</v>
      </c>
      <c r="T83" s="13">
        <f>'Annual Raw'!U106</f>
        <v>0</v>
      </c>
      <c r="U83" s="13">
        <f>'Annual Raw'!V106</f>
        <v>0</v>
      </c>
      <c r="V83" s="13">
        <f>'Annual Raw'!W106</f>
        <v>0</v>
      </c>
      <c r="W83" s="13">
        <f>'Annual Raw'!X106</f>
        <v>0</v>
      </c>
      <c r="X83" s="13">
        <f>'Annual Raw'!Y106</f>
        <v>0</v>
      </c>
      <c r="Y83" s="13">
        <f>'Annual Raw'!Z106</f>
        <v>1020.95</v>
      </c>
      <c r="Z83" s="13">
        <f>'Annual Raw'!AA106</f>
        <v>678.25</v>
      </c>
      <c r="AA83" s="13">
        <f>'Annual Raw'!AB106</f>
        <v>509.45</v>
      </c>
      <c r="AB83" s="37">
        <f>+CP83</f>
        <v>509.45</v>
      </c>
      <c r="AC83" s="37">
        <f>+CT83</f>
        <v>509.45</v>
      </c>
      <c r="AD83" s="37">
        <f>+CX83</f>
        <v>509.45</v>
      </c>
      <c r="AE83" s="37">
        <f>+DB83</f>
        <v>509.45</v>
      </c>
      <c r="AJ83" s="13">
        <f>'QTR Share Price'!HP21</f>
        <v>0</v>
      </c>
      <c r="AK83" s="13">
        <f>'QTR Share Price'!HQ21</f>
        <v>0</v>
      </c>
      <c r="AL83" s="13">
        <f>'QTR Share Price'!HR21</f>
        <v>0</v>
      </c>
      <c r="AM83" s="13">
        <f>'QTR Share Price'!HS21</f>
        <v>0</v>
      </c>
      <c r="AN83" s="13">
        <f>'QTR Share Price'!HT21</f>
        <v>0</v>
      </c>
      <c r="AO83" s="13">
        <f>'QTR Share Price'!HU21</f>
        <v>0</v>
      </c>
      <c r="AP83" s="13">
        <f>'QTR Share Price'!HV21</f>
        <v>0</v>
      </c>
      <c r="AQ83" s="13">
        <f>'QTR Share Price'!HW21</f>
        <v>0</v>
      </c>
      <c r="AR83" s="13">
        <f>'QTR Share Price'!HX21</f>
        <v>0</v>
      </c>
      <c r="AS83" s="13">
        <f>'QTR Share Price'!HY21</f>
        <v>0</v>
      </c>
      <c r="AT83" s="13">
        <f>'QTR Share Price'!HZ21</f>
        <v>0</v>
      </c>
      <c r="AU83" s="13">
        <f>'QTR Share Price'!IA21</f>
        <v>0</v>
      </c>
      <c r="AV83" s="13">
        <f>'QTR Share Price'!IB21</f>
        <v>0</v>
      </c>
      <c r="AW83" s="13">
        <f>'QTR Share Price'!IC21</f>
        <v>0</v>
      </c>
      <c r="AX83" s="13">
        <f>'QTR Share Price'!ID21</f>
        <v>0</v>
      </c>
      <c r="AY83" s="13">
        <f>'QTR Share Price'!IE21</f>
        <v>0</v>
      </c>
      <c r="AZ83" s="13">
        <f>'QTR Share Price'!IF21</f>
        <v>0</v>
      </c>
      <c r="BA83" s="13">
        <f>'QTR Share Price'!IG21</f>
        <v>0</v>
      </c>
      <c r="BB83" s="13">
        <f>'QTR Share Price'!IH21</f>
        <v>0</v>
      </c>
      <c r="BC83" s="13">
        <f>'QTR Share Price'!II21</f>
        <v>0</v>
      </c>
      <c r="BD83" s="13">
        <f>'QTR Share Price'!IJ21</f>
        <v>0</v>
      </c>
      <c r="BE83" s="13">
        <f>'QTR Share Price'!IK21</f>
        <v>0</v>
      </c>
      <c r="BF83" s="13">
        <f>'QTR Share Price'!IL21</f>
        <v>0</v>
      </c>
      <c r="BG83" s="13">
        <f>'QTR Share Price'!IM21</f>
        <v>0</v>
      </c>
      <c r="BH83" s="13">
        <f>'QTR Share Price'!IN21</f>
        <v>0</v>
      </c>
      <c r="BI83" s="13">
        <f>'QTR Share Price'!IO21</f>
        <v>0</v>
      </c>
      <c r="BJ83" s="13">
        <f>'QTR Share Price'!IP21</f>
        <v>0</v>
      </c>
      <c r="BK83" s="13">
        <f>'QTR Share Price'!IQ21</f>
        <v>0</v>
      </c>
      <c r="BL83" s="13">
        <f>'QTR Share Price'!IR21</f>
        <v>0</v>
      </c>
      <c r="BM83" s="13">
        <f>'QTR Share Price'!IS21</f>
        <v>0</v>
      </c>
      <c r="BN83" s="13">
        <f>'QTR Share Price'!IT21</f>
        <v>0</v>
      </c>
      <c r="BO83" s="13">
        <f>'QTR Share Price'!IU21</f>
        <v>0</v>
      </c>
      <c r="BP83" s="13">
        <f>'QTR Share Price'!IV21</f>
        <v>0</v>
      </c>
      <c r="BQ83" s="13">
        <f>'QTR Share Price'!IW21</f>
        <v>0</v>
      </c>
      <c r="BR83" s="13">
        <f>'QTR Share Price'!IX21</f>
        <v>0</v>
      </c>
      <c r="BS83" s="13">
        <f>'QTR Share Price'!IY21</f>
        <v>0</v>
      </c>
      <c r="BT83" s="13">
        <f>'QTR Share Price'!IZ21</f>
        <v>0</v>
      </c>
      <c r="BU83" s="13">
        <f>'QTR Share Price'!JA21</f>
        <v>0</v>
      </c>
      <c r="BV83" s="13">
        <f>'QTR Share Price'!JB21</f>
        <v>0</v>
      </c>
      <c r="BW83" s="13">
        <f>'QTR Share Price'!JC21</f>
        <v>0</v>
      </c>
      <c r="BX83" s="13">
        <f>'QTR Share Price'!JD21</f>
        <v>0</v>
      </c>
      <c r="BY83" s="13">
        <f>'QTR Share Price'!JE21</f>
        <v>0</v>
      </c>
      <c r="BZ83" s="13">
        <f>'QTR Share Price'!JF21</f>
        <v>0</v>
      </c>
      <c r="CA83" s="13">
        <f>'QTR Share Price'!JG21</f>
        <v>0</v>
      </c>
      <c r="CB83" s="13">
        <f>'QTR Share Price'!JH21</f>
        <v>0</v>
      </c>
      <c r="CC83" s="13">
        <f>'QTR Share Price'!JI21</f>
        <v>1180.45</v>
      </c>
      <c r="CD83" s="13">
        <f>'QTR Share Price'!JJ21</f>
        <v>1020.95</v>
      </c>
      <c r="CE83" s="13">
        <f>'QTR Share Price'!JK21</f>
        <v>1021.5</v>
      </c>
      <c r="CF83" s="13">
        <f>'QTR Share Price'!JL21</f>
        <v>1103.3499999999999</v>
      </c>
      <c r="CG83" s="13">
        <f>'QTR Share Price'!JM21</f>
        <v>891.45</v>
      </c>
      <c r="CH83" s="13">
        <f>'QTR Share Price'!JN21</f>
        <v>678.25</v>
      </c>
      <c r="CI83" s="13">
        <f>'QTR Share Price'!JO21</f>
        <v>711</v>
      </c>
      <c r="CJ83" s="13">
        <f>'QTR Share Price'!JP21</f>
        <v>669.4</v>
      </c>
      <c r="CK83" s="13">
        <f>'QTR Share Price'!JQ21</f>
        <v>642.1</v>
      </c>
      <c r="CL83" s="13">
        <f>'QTR Share Price'!JR21</f>
        <v>509.45</v>
      </c>
      <c r="CM83" s="37">
        <f t="shared" ref="CM83" si="864">+CL83</f>
        <v>509.45</v>
      </c>
      <c r="CN83" s="37">
        <f t="shared" ref="CN83" si="865">+CM83</f>
        <v>509.45</v>
      </c>
      <c r="CO83" s="37">
        <f t="shared" ref="CO83" si="866">+CN83</f>
        <v>509.45</v>
      </c>
      <c r="CP83" s="37">
        <f t="shared" ref="CP83" si="867">+CO83</f>
        <v>509.45</v>
      </c>
      <c r="CQ83" s="37">
        <f t="shared" ref="CQ83" si="868">+CP83</f>
        <v>509.45</v>
      </c>
      <c r="CR83" s="37">
        <f t="shared" ref="CR83" si="869">+CQ83</f>
        <v>509.45</v>
      </c>
      <c r="CS83" s="37">
        <f t="shared" ref="CS83" si="870">+CR83</f>
        <v>509.45</v>
      </c>
      <c r="CT83" s="37">
        <f t="shared" ref="CT83" si="871">+CS83</f>
        <v>509.45</v>
      </c>
      <c r="CU83" s="37">
        <f t="shared" ref="CU83" si="872">+CT83</f>
        <v>509.45</v>
      </c>
      <c r="CV83" s="37">
        <f t="shared" ref="CV83" si="873">+CU83</f>
        <v>509.45</v>
      </c>
      <c r="CW83" s="37">
        <f t="shared" ref="CW83" si="874">+CV83</f>
        <v>509.45</v>
      </c>
      <c r="CX83" s="37">
        <f t="shared" ref="CX83" si="875">+CW83</f>
        <v>509.45</v>
      </c>
      <c r="CY83" s="37">
        <f t="shared" ref="CY83" si="876">+CX83</f>
        <v>509.45</v>
      </c>
      <c r="CZ83" s="37">
        <f t="shared" ref="CZ83" si="877">+CY83</f>
        <v>509.45</v>
      </c>
      <c r="DA83" s="37">
        <f t="shared" ref="DA83" si="878">+CZ83</f>
        <v>509.45</v>
      </c>
      <c r="DB83" s="37">
        <f t="shared" ref="DB83" si="879">+DA83</f>
        <v>509.45</v>
      </c>
      <c r="DE83" s="134"/>
      <c r="DF83" s="13">
        <v>509.45</v>
      </c>
    </row>
    <row r="84" spans="1:110" s="13" customFormat="1" x14ac:dyDescent="0.2">
      <c r="A84" s="13" t="s">
        <v>458</v>
      </c>
      <c r="B84" s="13">
        <f>'Annual Raw'!C107</f>
        <v>0</v>
      </c>
      <c r="C84" s="13">
        <f>'Annual Raw'!D107</f>
        <v>0</v>
      </c>
      <c r="D84" s="13">
        <f>'Annual Raw'!E107</f>
        <v>0</v>
      </c>
      <c r="E84" s="13">
        <f>'Annual Raw'!F107</f>
        <v>0</v>
      </c>
      <c r="F84" s="13">
        <f>'Annual Raw'!G107</f>
        <v>0</v>
      </c>
      <c r="G84" s="13">
        <f>'Annual Raw'!H107</f>
        <v>0</v>
      </c>
      <c r="H84" s="13">
        <f>'Annual Raw'!I107</f>
        <v>0</v>
      </c>
      <c r="I84" s="13">
        <f>'Annual Raw'!J107</f>
        <v>0</v>
      </c>
      <c r="J84" s="13">
        <f>'Annual Raw'!K107</f>
        <v>0</v>
      </c>
      <c r="K84" s="13">
        <f>'Annual Raw'!L107</f>
        <v>0</v>
      </c>
      <c r="L84" s="13">
        <f>'Annual Raw'!M107</f>
        <v>0</v>
      </c>
      <c r="M84" s="13">
        <f>'Annual Raw'!N107</f>
        <v>0</v>
      </c>
      <c r="N84" s="13">
        <f>'Annual Raw'!O107</f>
        <v>0</v>
      </c>
      <c r="O84" s="13">
        <f>'Annual Raw'!P107</f>
        <v>0</v>
      </c>
      <c r="P84" s="13">
        <f>'Annual Raw'!Q107</f>
        <v>0</v>
      </c>
      <c r="Q84" s="13">
        <f>'Annual Raw'!R107</f>
        <v>0</v>
      </c>
      <c r="R84" s="13">
        <f>'Annual Raw'!S107</f>
        <v>0</v>
      </c>
      <c r="S84" s="13">
        <f>'Annual Raw'!T107</f>
        <v>0</v>
      </c>
      <c r="T84" s="13">
        <f>'Annual Raw'!U107</f>
        <v>0</v>
      </c>
      <c r="U84" s="13">
        <f>'Annual Raw'!V107</f>
        <v>0</v>
      </c>
      <c r="V84" s="13">
        <f>'Annual Raw'!W107</f>
        <v>0</v>
      </c>
      <c r="W84" s="13">
        <f>'Annual Raw'!X107</f>
        <v>0</v>
      </c>
      <c r="X84" s="13">
        <f>'Annual Raw'!Y107</f>
        <v>0</v>
      </c>
      <c r="Y84" s="13">
        <f>'Annual Raw'!Z107</f>
        <v>1400</v>
      </c>
      <c r="Z84" s="13">
        <f>'Annual Raw'!AA107</f>
        <v>1147</v>
      </c>
      <c r="AA84" s="13">
        <f>'Annual Raw'!AB107</f>
        <v>797</v>
      </c>
      <c r="AB84" s="37">
        <f>+MAX(CM84:CP84)</f>
        <v>542.8444234490828</v>
      </c>
      <c r="AC84" s="37">
        <f>+MAX(CQ84:CT84)</f>
        <v>1051.3973928634468</v>
      </c>
      <c r="AD84" s="37">
        <f>+MAX(CU84:CX84)</f>
        <v>1424.9188935876984</v>
      </c>
      <c r="AE84" s="37">
        <f>+MAX(CY84:DB84)</f>
        <v>1839.582103774163</v>
      </c>
      <c r="AJ84" s="13">
        <f>'QTR Share Price'!HP19</f>
        <v>0</v>
      </c>
      <c r="AK84" s="13">
        <f>'QTR Share Price'!HQ19</f>
        <v>0</v>
      </c>
      <c r="AL84" s="13">
        <f>'QTR Share Price'!HR19</f>
        <v>0</v>
      </c>
      <c r="AM84" s="13">
        <f>'QTR Share Price'!HS19</f>
        <v>0</v>
      </c>
      <c r="AN84" s="13">
        <f>'QTR Share Price'!HT19</f>
        <v>0</v>
      </c>
      <c r="AO84" s="13">
        <f>'QTR Share Price'!HU19</f>
        <v>0</v>
      </c>
      <c r="AP84" s="13">
        <f>'QTR Share Price'!HV19</f>
        <v>0</v>
      </c>
      <c r="AQ84" s="13">
        <f>'QTR Share Price'!HW19</f>
        <v>0</v>
      </c>
      <c r="AR84" s="13">
        <f>'QTR Share Price'!HX19</f>
        <v>0</v>
      </c>
      <c r="AS84" s="13">
        <f>'QTR Share Price'!HY19</f>
        <v>0</v>
      </c>
      <c r="AT84" s="13">
        <f>'QTR Share Price'!HZ19</f>
        <v>0</v>
      </c>
      <c r="AU84" s="13">
        <f>'QTR Share Price'!IA19</f>
        <v>0</v>
      </c>
      <c r="AV84" s="13">
        <f>'QTR Share Price'!IB19</f>
        <v>0</v>
      </c>
      <c r="AW84" s="13">
        <f>'QTR Share Price'!IC19</f>
        <v>0</v>
      </c>
      <c r="AX84" s="13">
        <f>'QTR Share Price'!ID19</f>
        <v>0</v>
      </c>
      <c r="AY84" s="13">
        <f>'QTR Share Price'!IE19</f>
        <v>0</v>
      </c>
      <c r="AZ84" s="13">
        <f>'QTR Share Price'!IF19</f>
        <v>0</v>
      </c>
      <c r="BA84" s="13">
        <f>'QTR Share Price'!IG19</f>
        <v>0</v>
      </c>
      <c r="BB84" s="13">
        <f>'QTR Share Price'!IH19</f>
        <v>0</v>
      </c>
      <c r="BC84" s="13">
        <f>'QTR Share Price'!II19</f>
        <v>0</v>
      </c>
      <c r="BD84" s="13">
        <f>'QTR Share Price'!IJ19</f>
        <v>0</v>
      </c>
      <c r="BE84" s="13">
        <f>'QTR Share Price'!IK19</f>
        <v>0</v>
      </c>
      <c r="BF84" s="13">
        <f>'QTR Share Price'!IL19</f>
        <v>0</v>
      </c>
      <c r="BG84" s="13">
        <f>'QTR Share Price'!IM19</f>
        <v>0</v>
      </c>
      <c r="BH84" s="13">
        <f>'QTR Share Price'!IN19</f>
        <v>0</v>
      </c>
      <c r="BI84" s="13">
        <f>'QTR Share Price'!IO19</f>
        <v>0</v>
      </c>
      <c r="BJ84" s="13">
        <f>'QTR Share Price'!IP19</f>
        <v>0</v>
      </c>
      <c r="BK84" s="13">
        <f>'QTR Share Price'!IQ19</f>
        <v>0</v>
      </c>
      <c r="BL84" s="13">
        <f>'QTR Share Price'!IR19</f>
        <v>0</v>
      </c>
      <c r="BM84" s="13">
        <f>'QTR Share Price'!IS19</f>
        <v>0</v>
      </c>
      <c r="BN84" s="13">
        <f>'QTR Share Price'!IT19</f>
        <v>0</v>
      </c>
      <c r="BO84" s="13">
        <f>'QTR Share Price'!IU19</f>
        <v>0</v>
      </c>
      <c r="BP84" s="13">
        <f>'QTR Share Price'!IV19</f>
        <v>0</v>
      </c>
      <c r="BQ84" s="13">
        <f>'QTR Share Price'!IW19</f>
        <v>0</v>
      </c>
      <c r="BR84" s="13">
        <f>'QTR Share Price'!IX19</f>
        <v>0</v>
      </c>
      <c r="BS84" s="13">
        <f>'QTR Share Price'!IY19</f>
        <v>0</v>
      </c>
      <c r="BT84" s="13">
        <f>'QTR Share Price'!IZ19</f>
        <v>0</v>
      </c>
      <c r="BU84" s="13">
        <f>'QTR Share Price'!JA19</f>
        <v>0</v>
      </c>
      <c r="BV84" s="13">
        <f>'QTR Share Price'!JB19</f>
        <v>0</v>
      </c>
      <c r="BW84" s="13">
        <f>'QTR Share Price'!JC19</f>
        <v>0</v>
      </c>
      <c r="BX84" s="13">
        <f>'QTR Share Price'!JD19</f>
        <v>0</v>
      </c>
      <c r="BY84" s="13">
        <f>'QTR Share Price'!JE19</f>
        <v>0</v>
      </c>
      <c r="BZ84" s="13">
        <f>'QTR Share Price'!JF19</f>
        <v>0</v>
      </c>
      <c r="CA84" s="13">
        <f>'QTR Share Price'!JG19</f>
        <v>0</v>
      </c>
      <c r="CB84" s="13">
        <f>'QTR Share Price'!JH19</f>
        <v>0</v>
      </c>
      <c r="CC84" s="13">
        <f>'QTR Share Price'!JI19</f>
        <v>1400</v>
      </c>
      <c r="CD84" s="13">
        <f>'QTR Share Price'!JJ19</f>
        <v>1200</v>
      </c>
      <c r="CE84" s="13">
        <f>'QTR Share Price'!JK19</f>
        <v>1147</v>
      </c>
      <c r="CF84" s="13">
        <f>'QTR Share Price'!JL19</f>
        <v>1135</v>
      </c>
      <c r="CG84" s="13">
        <f>'QTR Share Price'!JM19</f>
        <v>1111.8499999999999</v>
      </c>
      <c r="CH84" s="13">
        <f>'QTR Share Price'!JN19</f>
        <v>912.65</v>
      </c>
      <c r="CI84" s="13">
        <f>'QTR Share Price'!JO19</f>
        <v>797</v>
      </c>
      <c r="CJ84" s="13">
        <f>'QTR Share Price'!JP19</f>
        <v>745</v>
      </c>
      <c r="CK84" s="13">
        <f>'QTR Share Price'!JQ19</f>
        <v>722.7</v>
      </c>
      <c r="CL84" s="13">
        <f>'QTR Share Price'!JR19</f>
        <v>690.2</v>
      </c>
      <c r="CM84" s="37">
        <f t="shared" ref="CM84:DB84" si="880">+CM75*CM92</f>
        <v>542.8444234490828</v>
      </c>
      <c r="CN84" s="37">
        <f t="shared" si="880"/>
        <v>474.9581938050016</v>
      </c>
      <c r="CO84" s="37">
        <f t="shared" si="880"/>
        <v>450.62289319821872</v>
      </c>
      <c r="CP84" s="37">
        <f t="shared" si="880"/>
        <v>508.46632298689468</v>
      </c>
      <c r="CQ84" s="37">
        <f t="shared" si="880"/>
        <v>679.46754769892812</v>
      </c>
      <c r="CR84" s="37">
        <f t="shared" si="880"/>
        <v>815.61765322724023</v>
      </c>
      <c r="CS84" s="37">
        <f t="shared" si="880"/>
        <v>931.36594730658817</v>
      </c>
      <c r="CT84" s="37">
        <f t="shared" si="880"/>
        <v>1051.3973928634468</v>
      </c>
      <c r="CU84" s="37">
        <f t="shared" si="880"/>
        <v>1131.2539144393354</v>
      </c>
      <c r="CV84" s="37">
        <f t="shared" si="880"/>
        <v>1221.9047751918592</v>
      </c>
      <c r="CW84" s="37">
        <f t="shared" si="880"/>
        <v>1317.9914215812105</v>
      </c>
      <c r="CX84" s="37">
        <f t="shared" si="880"/>
        <v>1424.9188935876984</v>
      </c>
      <c r="CY84" s="37">
        <f t="shared" si="880"/>
        <v>1525.4538609490892</v>
      </c>
      <c r="CZ84" s="37">
        <f t="shared" si="880"/>
        <v>1625.8759305037936</v>
      </c>
      <c r="DA84" s="37">
        <f t="shared" si="880"/>
        <v>1726.5204818161553</v>
      </c>
      <c r="DB84" s="37">
        <f t="shared" si="880"/>
        <v>1839.582103774163</v>
      </c>
      <c r="DE84" s="134"/>
      <c r="DF84" s="13">
        <v>690.2</v>
      </c>
    </row>
    <row r="85" spans="1:110" s="13" customFormat="1" x14ac:dyDescent="0.2">
      <c r="A85" s="13" t="s">
        <v>459</v>
      </c>
      <c r="B85" s="13">
        <f>'Annual Raw'!C108</f>
        <v>0</v>
      </c>
      <c r="C85" s="13">
        <f>'Annual Raw'!D108</f>
        <v>0</v>
      </c>
      <c r="D85" s="13">
        <f>'Annual Raw'!E108</f>
        <v>0</v>
      </c>
      <c r="E85" s="13">
        <f>'Annual Raw'!F108</f>
        <v>0</v>
      </c>
      <c r="F85" s="13">
        <f>'Annual Raw'!G108</f>
        <v>0</v>
      </c>
      <c r="G85" s="13">
        <f>'Annual Raw'!H108</f>
        <v>0</v>
      </c>
      <c r="H85" s="13">
        <f>'Annual Raw'!I108</f>
        <v>0</v>
      </c>
      <c r="I85" s="13">
        <f>'Annual Raw'!J108</f>
        <v>0</v>
      </c>
      <c r="J85" s="13">
        <f>'Annual Raw'!K108</f>
        <v>0</v>
      </c>
      <c r="K85" s="13">
        <f>'Annual Raw'!L108</f>
        <v>0</v>
      </c>
      <c r="L85" s="13">
        <f>'Annual Raw'!M108</f>
        <v>0</v>
      </c>
      <c r="M85" s="13">
        <f>'Annual Raw'!N108</f>
        <v>0</v>
      </c>
      <c r="N85" s="13">
        <f>'Annual Raw'!O108</f>
        <v>0</v>
      </c>
      <c r="O85" s="13">
        <f>'Annual Raw'!P108</f>
        <v>0</v>
      </c>
      <c r="P85" s="13">
        <f>'Annual Raw'!Q108</f>
        <v>0</v>
      </c>
      <c r="Q85" s="13">
        <f>'Annual Raw'!R108</f>
        <v>0</v>
      </c>
      <c r="R85" s="13">
        <f>'Annual Raw'!S108</f>
        <v>0</v>
      </c>
      <c r="S85" s="13">
        <f>'Annual Raw'!T108</f>
        <v>0</v>
      </c>
      <c r="T85" s="13">
        <f>'Annual Raw'!U108</f>
        <v>0</v>
      </c>
      <c r="U85" s="13">
        <f>'Annual Raw'!V108</f>
        <v>0</v>
      </c>
      <c r="V85" s="13">
        <f>'Annual Raw'!W108</f>
        <v>0</v>
      </c>
      <c r="W85" s="13">
        <f>'Annual Raw'!X108</f>
        <v>0</v>
      </c>
      <c r="X85" s="13">
        <f>'Annual Raw'!Y108</f>
        <v>0</v>
      </c>
      <c r="Y85" s="13">
        <f>'Annual Raw'!Z108</f>
        <v>1020</v>
      </c>
      <c r="Z85" s="13">
        <f>'Annual Raw'!AA108</f>
        <v>626.9</v>
      </c>
      <c r="AA85" s="13">
        <f>'Annual Raw'!AB108</f>
        <v>507.5</v>
      </c>
      <c r="AB85" s="37">
        <f>+MIN(CM85:CP85)</f>
        <v>331.34036264574905</v>
      </c>
      <c r="AC85" s="37">
        <f>+MIN(CQ85:CT85)</f>
        <v>499.60849095509417</v>
      </c>
      <c r="AD85" s="37">
        <f>+MIN(CU85:CX85)</f>
        <v>831.80434885245245</v>
      </c>
      <c r="AE85" s="37">
        <f>+MIN(CY85:DB85)</f>
        <v>1121.6572506978596</v>
      </c>
      <c r="AJ85" s="13">
        <f>+'QTR Share Price'!HP20</f>
        <v>0</v>
      </c>
      <c r="AK85" s="13">
        <f>+'QTR Share Price'!HQ20</f>
        <v>0</v>
      </c>
      <c r="AL85" s="13">
        <f>+'QTR Share Price'!HR20</f>
        <v>0</v>
      </c>
      <c r="AM85" s="13">
        <f>+'QTR Share Price'!HS20</f>
        <v>0</v>
      </c>
      <c r="AN85" s="13">
        <f>+'QTR Share Price'!HT20</f>
        <v>0</v>
      </c>
      <c r="AO85" s="13">
        <f>+'QTR Share Price'!HU20</f>
        <v>0</v>
      </c>
      <c r="AP85" s="13">
        <f>+'QTR Share Price'!HV20</f>
        <v>0</v>
      </c>
      <c r="AQ85" s="13">
        <f>+'QTR Share Price'!HW20</f>
        <v>0</v>
      </c>
      <c r="AR85" s="13">
        <f>+'QTR Share Price'!HX20</f>
        <v>0</v>
      </c>
      <c r="AS85" s="13">
        <f>+'QTR Share Price'!HY20</f>
        <v>0</v>
      </c>
      <c r="AT85" s="13">
        <f>+'QTR Share Price'!HZ20</f>
        <v>0</v>
      </c>
      <c r="AU85" s="13">
        <f>+'QTR Share Price'!IA20</f>
        <v>0</v>
      </c>
      <c r="AV85" s="13">
        <f>+'QTR Share Price'!IB20</f>
        <v>0</v>
      </c>
      <c r="AW85" s="13">
        <f>+'QTR Share Price'!IC20</f>
        <v>0</v>
      </c>
      <c r="AX85" s="13">
        <f>+'QTR Share Price'!ID20</f>
        <v>0</v>
      </c>
      <c r="AY85" s="13">
        <f>+'QTR Share Price'!IE20</f>
        <v>0</v>
      </c>
      <c r="AZ85" s="13">
        <f>+'QTR Share Price'!IF20</f>
        <v>0</v>
      </c>
      <c r="BA85" s="13">
        <f>+'QTR Share Price'!IG20</f>
        <v>0</v>
      </c>
      <c r="BB85" s="13">
        <f>+'QTR Share Price'!IH20</f>
        <v>0</v>
      </c>
      <c r="BC85" s="13">
        <f>+'QTR Share Price'!II20</f>
        <v>0</v>
      </c>
      <c r="BD85" s="13">
        <f>+'QTR Share Price'!IJ20</f>
        <v>0</v>
      </c>
      <c r="BE85" s="13">
        <f>+'QTR Share Price'!IK20</f>
        <v>0</v>
      </c>
      <c r="BF85" s="13">
        <f>+'QTR Share Price'!IL20</f>
        <v>0</v>
      </c>
      <c r="BG85" s="13">
        <f>+'QTR Share Price'!IM20</f>
        <v>0</v>
      </c>
      <c r="BH85" s="13">
        <f>+'QTR Share Price'!IN20</f>
        <v>0</v>
      </c>
      <c r="BI85" s="13">
        <f>+'QTR Share Price'!IO20</f>
        <v>0</v>
      </c>
      <c r="BJ85" s="13">
        <f>+'QTR Share Price'!IP20</f>
        <v>0</v>
      </c>
      <c r="BK85" s="13">
        <f>+'QTR Share Price'!IQ20</f>
        <v>0</v>
      </c>
      <c r="BL85" s="13">
        <f>+'QTR Share Price'!IR20</f>
        <v>0</v>
      </c>
      <c r="BM85" s="13">
        <f>+'QTR Share Price'!IS20</f>
        <v>0</v>
      </c>
      <c r="BN85" s="13">
        <f>+'QTR Share Price'!IT20</f>
        <v>0</v>
      </c>
      <c r="BO85" s="13">
        <f>+'QTR Share Price'!IU20</f>
        <v>0</v>
      </c>
      <c r="BP85" s="13">
        <f>+'QTR Share Price'!IV20</f>
        <v>0</v>
      </c>
      <c r="BQ85" s="13">
        <f>+'QTR Share Price'!IW20</f>
        <v>0</v>
      </c>
      <c r="BR85" s="13">
        <f>+'QTR Share Price'!IX20</f>
        <v>0</v>
      </c>
      <c r="BS85" s="13">
        <f>+'QTR Share Price'!IY20</f>
        <v>0</v>
      </c>
      <c r="BT85" s="13">
        <f>+'QTR Share Price'!IZ20</f>
        <v>0</v>
      </c>
      <c r="BU85" s="13">
        <f>+'QTR Share Price'!JA20</f>
        <v>0</v>
      </c>
      <c r="BV85" s="13">
        <f>+'QTR Share Price'!JB20</f>
        <v>0</v>
      </c>
      <c r="BW85" s="13">
        <f>+'QTR Share Price'!JC20</f>
        <v>0</v>
      </c>
      <c r="BX85" s="13">
        <f>+'QTR Share Price'!JD20</f>
        <v>0</v>
      </c>
      <c r="BY85" s="13">
        <f>+'QTR Share Price'!JE20</f>
        <v>0</v>
      </c>
      <c r="BZ85" s="13">
        <f>+'QTR Share Price'!JF20</f>
        <v>0</v>
      </c>
      <c r="CA85" s="13">
        <f>+'QTR Share Price'!JG20</f>
        <v>0</v>
      </c>
      <c r="CB85" s="13">
        <f>+'QTR Share Price'!JH20</f>
        <v>0</v>
      </c>
      <c r="CC85" s="13">
        <f>+'QTR Share Price'!JI20</f>
        <v>0</v>
      </c>
      <c r="CD85" s="13">
        <f>+'QTR Share Price'!JJ20</f>
        <v>1020</v>
      </c>
      <c r="CE85" s="13">
        <f>+'QTR Share Price'!JK20</f>
        <v>982.25</v>
      </c>
      <c r="CF85" s="13">
        <f>+'QTR Share Price'!JL20</f>
        <v>970.55</v>
      </c>
      <c r="CG85" s="13">
        <f>+'QTR Share Price'!JM20</f>
        <v>883.55</v>
      </c>
      <c r="CH85" s="13">
        <f>+'QTR Share Price'!JN20</f>
        <v>626.9</v>
      </c>
      <c r="CI85" s="13">
        <f>+'QTR Share Price'!JO20</f>
        <v>595.04999999999995</v>
      </c>
      <c r="CJ85" s="13">
        <f>+'QTR Share Price'!JP20</f>
        <v>652.5</v>
      </c>
      <c r="CK85" s="13">
        <f>+'QTR Share Price'!JQ20</f>
        <v>637</v>
      </c>
      <c r="CL85" s="13">
        <f>+'QTR Share Price'!JR20</f>
        <v>507.5</v>
      </c>
      <c r="CM85" s="37">
        <f t="shared" ref="CM85:DB85" si="881">+CM93*CM75</f>
        <v>399.15031135961971</v>
      </c>
      <c r="CN85" s="37">
        <f t="shared" si="881"/>
        <v>349.23396603308942</v>
      </c>
      <c r="CO85" s="37">
        <f t="shared" si="881"/>
        <v>331.34036264574905</v>
      </c>
      <c r="CP85" s="37">
        <f t="shared" si="881"/>
        <v>373.87229631389312</v>
      </c>
      <c r="CQ85" s="37">
        <f t="shared" si="881"/>
        <v>499.60849095509417</v>
      </c>
      <c r="CR85" s="37">
        <f t="shared" si="881"/>
        <v>599.71886266708839</v>
      </c>
      <c r="CS85" s="37">
        <f t="shared" si="881"/>
        <v>684.82790243131478</v>
      </c>
      <c r="CT85" s="37">
        <f t="shared" si="881"/>
        <v>773.08631828194621</v>
      </c>
      <c r="CU85" s="37">
        <f t="shared" si="881"/>
        <v>831.80434885245245</v>
      </c>
      <c r="CV85" s="37">
        <f t="shared" si="881"/>
        <v>898.45939352342589</v>
      </c>
      <c r="CW85" s="37">
        <f t="shared" si="881"/>
        <v>969.11133939794888</v>
      </c>
      <c r="CX85" s="37">
        <f t="shared" si="881"/>
        <v>1047.7344805791899</v>
      </c>
      <c r="CY85" s="37">
        <f t="shared" si="881"/>
        <v>1121.6572506978596</v>
      </c>
      <c r="CZ85" s="37">
        <f t="shared" si="881"/>
        <v>1195.4970077233777</v>
      </c>
      <c r="DA85" s="37">
        <f t="shared" si="881"/>
        <v>1269.5003542765846</v>
      </c>
      <c r="DB85" s="37">
        <f t="shared" si="881"/>
        <v>1352.6338998339434</v>
      </c>
      <c r="DE85" s="134"/>
      <c r="DF85" s="13">
        <v>507.5</v>
      </c>
    </row>
    <row r="86" spans="1:110" s="14" customFormat="1" x14ac:dyDescent="0.2">
      <c r="AB86" s="16"/>
      <c r="AC86" s="16"/>
      <c r="AD86" s="16"/>
      <c r="AE86" s="16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51" customFormat="1" x14ac:dyDescent="0.2">
      <c r="A87" s="51" t="s">
        <v>346</v>
      </c>
      <c r="AB87" s="48">
        <f t="shared" ref="AB87:AD87" si="882">+AB84/AB83-1</f>
        <v>6.5549952790426635E-2</v>
      </c>
      <c r="AC87" s="48">
        <f t="shared" si="882"/>
        <v>1.0637891704062161</v>
      </c>
      <c r="AD87" s="48">
        <f t="shared" si="882"/>
        <v>1.7969749604233947</v>
      </c>
      <c r="AE87" s="48">
        <f t="shared" ref="AE87" si="883">+AE84/AE83-1</f>
        <v>2.6109178599944314</v>
      </c>
      <c r="CM87" s="48">
        <f t="shared" ref="CM87:DB87" si="884">+CM84/CM83-1</f>
        <v>6.5549952790426635E-2</v>
      </c>
      <c r="CN87" s="48">
        <f t="shared" si="884"/>
        <v>-6.7704006664046301E-2</v>
      </c>
      <c r="CO87" s="48">
        <f t="shared" si="884"/>
        <v>-0.11547179664693541</v>
      </c>
      <c r="CP87" s="48">
        <f t="shared" si="884"/>
        <v>-1.93086075788651E-3</v>
      </c>
      <c r="CQ87" s="48">
        <f t="shared" si="884"/>
        <v>0.33372764294617352</v>
      </c>
      <c r="CR87" s="48">
        <f t="shared" si="884"/>
        <v>0.60097684410097219</v>
      </c>
      <c r="CS87" s="48">
        <f t="shared" si="884"/>
        <v>0.82817930573478882</v>
      </c>
      <c r="CT87" s="48">
        <f t="shared" si="884"/>
        <v>1.0637891704062161</v>
      </c>
      <c r="CU87" s="48">
        <f t="shared" si="884"/>
        <v>1.2205396298740512</v>
      </c>
      <c r="CV87" s="48">
        <f t="shared" si="884"/>
        <v>1.3984783103186951</v>
      </c>
      <c r="CW87" s="48">
        <f t="shared" si="884"/>
        <v>1.587086900738464</v>
      </c>
      <c r="CX87" s="48">
        <f t="shared" si="884"/>
        <v>1.7969749604233947</v>
      </c>
      <c r="CY87" s="48">
        <f t="shared" si="884"/>
        <v>1.9943151652744904</v>
      </c>
      <c r="CZ87" s="48">
        <f t="shared" si="884"/>
        <v>2.1914337628889853</v>
      </c>
      <c r="DA87" s="48">
        <f t="shared" si="884"/>
        <v>2.3889890702054282</v>
      </c>
      <c r="DB87" s="48">
        <f t="shared" si="884"/>
        <v>2.6109178599944314</v>
      </c>
      <c r="DE87" s="129"/>
      <c r="DF87" s="51">
        <v>0.56443223083717742</v>
      </c>
    </row>
    <row r="88" spans="1:110" s="51" customFormat="1" x14ac:dyDescent="0.2">
      <c r="A88" s="51" t="s">
        <v>347</v>
      </c>
      <c r="AB88" s="48">
        <f t="shared" ref="AB88:AD88" si="885">+AB85/AB83-1</f>
        <v>-0.34961161518157025</v>
      </c>
      <c r="AC88" s="48">
        <f t="shared" si="885"/>
        <v>-1.931790959840185E-2</v>
      </c>
      <c r="AD88" s="48">
        <f t="shared" si="885"/>
        <v>0.63274972784856698</v>
      </c>
      <c r="AE88" s="48">
        <f t="shared" ref="AE88" si="886">+AE85/AE83-1</f>
        <v>1.2017023274077134</v>
      </c>
      <c r="CM88" s="48">
        <f t="shared" ref="CM88:DB88" si="887">+CM85/CM83-1</f>
        <v>-0.21650738765409816</v>
      </c>
      <c r="CN88" s="48">
        <f t="shared" si="887"/>
        <v>-0.31448824019415167</v>
      </c>
      <c r="CO88" s="48">
        <f t="shared" si="887"/>
        <v>-0.34961161518157025</v>
      </c>
      <c r="CP88" s="48">
        <f t="shared" si="887"/>
        <v>-0.26612563291021074</v>
      </c>
      <c r="CQ88" s="48">
        <f t="shared" si="887"/>
        <v>-1.931790959840185E-2</v>
      </c>
      <c r="CR88" s="48">
        <f t="shared" si="887"/>
        <v>0.17718885595659706</v>
      </c>
      <c r="CS88" s="48">
        <f t="shared" si="887"/>
        <v>0.34424948951087408</v>
      </c>
      <c r="CT88" s="48">
        <f t="shared" si="887"/>
        <v>0.51749203706339419</v>
      </c>
      <c r="CU88" s="48">
        <f t="shared" si="887"/>
        <v>0.63274972784856698</v>
      </c>
      <c r="CV88" s="48">
        <f t="shared" si="887"/>
        <v>0.76358699288139342</v>
      </c>
      <c r="CW88" s="48">
        <f t="shared" si="887"/>
        <v>0.90226977995475299</v>
      </c>
      <c r="CX88" s="48">
        <f t="shared" si="887"/>
        <v>1.0565992356054372</v>
      </c>
      <c r="CY88" s="48">
        <f t="shared" si="887"/>
        <v>1.2017023274077134</v>
      </c>
      <c r="CZ88" s="48">
        <f t="shared" si="887"/>
        <v>1.3466424727124893</v>
      </c>
      <c r="DA88" s="48">
        <f t="shared" si="887"/>
        <v>1.4919037280922263</v>
      </c>
      <c r="DB88" s="48">
        <f t="shared" si="887"/>
        <v>1.655086661760611</v>
      </c>
      <c r="DE88" s="129"/>
      <c r="DF88" s="51">
        <v>-3.8276572774560425E-3</v>
      </c>
    </row>
    <row r="89" spans="1:110" s="14" customFormat="1" x14ac:dyDescent="0.2">
      <c r="AB89" s="16"/>
      <c r="AC89" s="16"/>
      <c r="AD89" s="16"/>
      <c r="AE89" s="16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13" customFormat="1" x14ac:dyDescent="0.2">
      <c r="A90" s="13" t="s">
        <v>40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460</v>
      </c>
      <c r="B91" s="13" t="e">
        <f t="shared" ref="B91:D91" si="888">+B83/B75</f>
        <v>#DIV/0!</v>
      </c>
      <c r="C91" s="13" t="e">
        <f t="shared" si="888"/>
        <v>#DIV/0!</v>
      </c>
      <c r="D91" s="13" t="e">
        <f t="shared" si="888"/>
        <v>#DIV/0!</v>
      </c>
      <c r="E91" s="13" t="e">
        <f t="shared" ref="E91:AE91" ca="1" si="889">+E83/E75</f>
        <v>#DIV/0!</v>
      </c>
      <c r="F91" s="13" t="e">
        <f t="shared" ca="1" si="889"/>
        <v>#DIV/0!</v>
      </c>
      <c r="G91" s="13" t="e">
        <f t="shared" ca="1" si="889"/>
        <v>#DIV/0!</v>
      </c>
      <c r="H91" s="13" t="e">
        <f t="shared" ca="1" si="889"/>
        <v>#DIV/0!</v>
      </c>
      <c r="I91" s="13" t="e">
        <f t="shared" ca="1" si="889"/>
        <v>#DIV/0!</v>
      </c>
      <c r="J91" s="13" t="e">
        <f t="shared" ca="1" si="889"/>
        <v>#DIV/0!</v>
      </c>
      <c r="K91" s="13" t="e">
        <f t="shared" ca="1" si="889"/>
        <v>#DIV/0!</v>
      </c>
      <c r="L91" s="13" t="e">
        <f t="shared" ca="1" si="889"/>
        <v>#DIV/0!</v>
      </c>
      <c r="M91" s="13" t="e">
        <f t="shared" ca="1" si="889"/>
        <v>#DIV/0!</v>
      </c>
      <c r="N91" s="13" t="e">
        <f t="shared" ca="1" si="889"/>
        <v>#DIV/0!</v>
      </c>
      <c r="O91" s="13" t="e">
        <f t="shared" ca="1" si="889"/>
        <v>#DIV/0!</v>
      </c>
      <c r="P91" s="13" t="e">
        <f t="shared" ca="1" si="889"/>
        <v>#DIV/0!</v>
      </c>
      <c r="Q91" s="13" t="e">
        <f t="shared" ca="1" si="889"/>
        <v>#DIV/0!</v>
      </c>
      <c r="R91" s="13" t="e">
        <f t="shared" ca="1" si="889"/>
        <v>#DIV/0!</v>
      </c>
      <c r="S91" s="13" t="e">
        <f t="shared" ca="1" si="889"/>
        <v>#DIV/0!</v>
      </c>
      <c r="T91" s="13" t="e">
        <f t="shared" ca="1" si="889"/>
        <v>#DIV/0!</v>
      </c>
      <c r="U91" s="13" t="e">
        <f t="shared" ca="1" si="889"/>
        <v>#DIV/0!</v>
      </c>
      <c r="V91" s="13" t="e">
        <f t="shared" ca="1" si="889"/>
        <v>#DIV/0!</v>
      </c>
      <c r="W91" s="13" t="e">
        <f t="shared" ca="1" si="889"/>
        <v>#DIV/0!</v>
      </c>
      <c r="X91" s="13" t="e">
        <f t="shared" ca="1" si="889"/>
        <v>#DIV/0!</v>
      </c>
      <c r="Y91" s="13" t="e">
        <f t="shared" ca="1" si="889"/>
        <v>#DIV/0!</v>
      </c>
      <c r="Z91" s="13" t="e">
        <f t="shared" ref="Z91:AA91" ca="1" si="890">+Z83/Z75</f>
        <v>#DIV/0!</v>
      </c>
      <c r="AA91" s="13" t="e">
        <f t="shared" ca="1" si="890"/>
        <v>#DIV/0!</v>
      </c>
      <c r="AB91" s="37" t="e">
        <f t="shared" ca="1" si="889"/>
        <v>#DIV/0!</v>
      </c>
      <c r="AC91" s="37" t="e">
        <f t="shared" ca="1" si="889"/>
        <v>#DIV/0!</v>
      </c>
      <c r="AD91" s="37" t="e">
        <f t="shared" ca="1" si="889"/>
        <v>#DIV/0!</v>
      </c>
      <c r="AE91" s="37" t="e">
        <f t="shared" ca="1" si="889"/>
        <v>#DIV/0!</v>
      </c>
      <c r="AL91" s="13" t="e">
        <f t="shared" ref="AL91:BQ91" si="891">+AL83/AL75</f>
        <v>#DIV/0!</v>
      </c>
      <c r="AM91" s="13" t="e">
        <f t="shared" si="891"/>
        <v>#DIV/0!</v>
      </c>
      <c r="AN91" s="13" t="e">
        <f t="shared" si="891"/>
        <v>#DIV/0!</v>
      </c>
      <c r="AO91" s="13" t="e">
        <f t="shared" si="891"/>
        <v>#DIV/0!</v>
      </c>
      <c r="AP91" s="13" t="e">
        <f t="shared" si="891"/>
        <v>#DIV/0!</v>
      </c>
      <c r="AQ91" s="13" t="e">
        <f t="shared" si="891"/>
        <v>#DIV/0!</v>
      </c>
      <c r="AR91" s="13" t="e">
        <f t="shared" si="891"/>
        <v>#DIV/0!</v>
      </c>
      <c r="AS91" s="13" t="e">
        <f t="shared" si="891"/>
        <v>#DIV/0!</v>
      </c>
      <c r="AT91" s="13" t="e">
        <f t="shared" si="891"/>
        <v>#DIV/0!</v>
      </c>
      <c r="AU91" s="13" t="e">
        <f t="shared" si="891"/>
        <v>#DIV/0!</v>
      </c>
      <c r="AV91" s="13" t="e">
        <f t="shared" si="891"/>
        <v>#DIV/0!</v>
      </c>
      <c r="AW91" s="13" t="e">
        <f t="shared" si="891"/>
        <v>#DIV/0!</v>
      </c>
      <c r="AX91" s="13" t="e">
        <f t="shared" si="891"/>
        <v>#DIV/0!</v>
      </c>
      <c r="AY91" s="13" t="e">
        <f t="shared" si="891"/>
        <v>#DIV/0!</v>
      </c>
      <c r="AZ91" s="13" t="e">
        <f t="shared" si="891"/>
        <v>#DIV/0!</v>
      </c>
      <c r="BA91" s="13" t="e">
        <f t="shared" si="891"/>
        <v>#DIV/0!</v>
      </c>
      <c r="BB91" s="13" t="e">
        <f t="shared" si="891"/>
        <v>#DIV/0!</v>
      </c>
      <c r="BC91" s="13" t="e">
        <f t="shared" si="891"/>
        <v>#DIV/0!</v>
      </c>
      <c r="BD91" s="13" t="e">
        <f t="shared" si="891"/>
        <v>#DIV/0!</v>
      </c>
      <c r="BE91" s="13" t="e">
        <f t="shared" si="891"/>
        <v>#DIV/0!</v>
      </c>
      <c r="BF91" s="13" t="e">
        <f t="shared" si="891"/>
        <v>#DIV/0!</v>
      </c>
      <c r="BG91" s="13" t="e">
        <f t="shared" si="891"/>
        <v>#DIV/0!</v>
      </c>
      <c r="BH91" s="13" t="e">
        <f t="shared" si="891"/>
        <v>#DIV/0!</v>
      </c>
      <c r="BI91" s="13" t="e">
        <f t="shared" si="891"/>
        <v>#DIV/0!</v>
      </c>
      <c r="BJ91" s="13" t="e">
        <f t="shared" si="891"/>
        <v>#DIV/0!</v>
      </c>
      <c r="BK91" s="13" t="e">
        <f t="shared" si="891"/>
        <v>#DIV/0!</v>
      </c>
      <c r="BL91" s="13" t="e">
        <f t="shared" si="891"/>
        <v>#DIV/0!</v>
      </c>
      <c r="BM91" s="13" t="e">
        <f t="shared" si="891"/>
        <v>#DIV/0!</v>
      </c>
      <c r="BN91" s="13" t="e">
        <f t="shared" si="891"/>
        <v>#DIV/0!</v>
      </c>
      <c r="BO91" s="13" t="e">
        <f t="shared" si="891"/>
        <v>#DIV/0!</v>
      </c>
      <c r="BP91" s="13" t="e">
        <f t="shared" si="891"/>
        <v>#DIV/0!</v>
      </c>
      <c r="BQ91" s="13" t="e">
        <f t="shared" si="891"/>
        <v>#DIV/0!</v>
      </c>
      <c r="BR91" s="13" t="e">
        <f t="shared" ref="BR91:DB91" si="892">+BR83/BR75</f>
        <v>#DIV/0!</v>
      </c>
      <c r="BS91" s="13" t="e">
        <f t="shared" si="892"/>
        <v>#DIV/0!</v>
      </c>
      <c r="BT91" s="13" t="e">
        <f t="shared" si="892"/>
        <v>#DIV/0!</v>
      </c>
      <c r="BU91" s="13" t="e">
        <f t="shared" si="892"/>
        <v>#DIV/0!</v>
      </c>
      <c r="BV91" s="13" t="e">
        <f t="shared" si="892"/>
        <v>#DIV/0!</v>
      </c>
      <c r="BW91" s="13" t="e">
        <f t="shared" si="892"/>
        <v>#DIV/0!</v>
      </c>
      <c r="BX91" s="13" t="e">
        <f t="shared" si="892"/>
        <v>#DIV/0!</v>
      </c>
      <c r="BY91" s="13">
        <f t="shared" si="892"/>
        <v>0</v>
      </c>
      <c r="BZ91" s="13">
        <f t="shared" si="892"/>
        <v>0</v>
      </c>
      <c r="CA91" s="13">
        <f t="shared" si="892"/>
        <v>0</v>
      </c>
      <c r="CB91" s="13">
        <f t="shared" si="892"/>
        <v>0</v>
      </c>
      <c r="CC91" s="13">
        <f t="shared" si="892"/>
        <v>64.832144065846308</v>
      </c>
      <c r="CD91" s="13">
        <f t="shared" si="892"/>
        <v>60.968163887130757</v>
      </c>
      <c r="CE91" s="13">
        <f t="shared" si="892"/>
        <v>63.770069398495103</v>
      </c>
      <c r="CF91" s="13">
        <f t="shared" si="892"/>
        <v>69.196026433761048</v>
      </c>
      <c r="CG91" s="13">
        <f t="shared" si="892"/>
        <v>56.043709322506679</v>
      </c>
      <c r="CH91" s="13">
        <f t="shared" si="892"/>
        <v>40.647909742226148</v>
      </c>
      <c r="CI91" s="13">
        <f t="shared" ref="CI91:CJ91" si="893">+CI83/CI75</f>
        <v>42.097591943957958</v>
      </c>
      <c r="CJ91" s="13">
        <f t="shared" si="893"/>
        <v>39.172003057883423</v>
      </c>
      <c r="CK91" s="13">
        <f t="shared" ref="CK91:CL91" si="894">+CK83/CK75</f>
        <v>37.475054835188629</v>
      </c>
      <c r="CL91" s="13">
        <f t="shared" si="894"/>
        <v>31.593878118103916</v>
      </c>
      <c r="CM91" s="37">
        <f t="shared" si="892"/>
        <v>40.17006297783341</v>
      </c>
      <c r="CN91" s="37">
        <f t="shared" si="892"/>
        <v>45.911608561632718</v>
      </c>
      <c r="CO91" s="37">
        <f t="shared" si="892"/>
        <v>48.391004998326437</v>
      </c>
      <c r="CP91" s="37">
        <f t="shared" si="892"/>
        <v>42.886015634269171</v>
      </c>
      <c r="CQ91" s="37">
        <f t="shared" si="892"/>
        <v>32.092915623363368</v>
      </c>
      <c r="CR91" s="37">
        <f t="shared" si="892"/>
        <v>26.735682572382846</v>
      </c>
      <c r="CS91" s="37">
        <f t="shared" si="892"/>
        <v>23.413025503215191</v>
      </c>
      <c r="CT91" s="37">
        <f t="shared" si="892"/>
        <v>20.74010723740443</v>
      </c>
      <c r="CU91" s="37">
        <f t="shared" si="892"/>
        <v>19.276039091473745</v>
      </c>
      <c r="CV91" s="37">
        <f t="shared" si="892"/>
        <v>17.845985317220325</v>
      </c>
      <c r="CW91" s="37">
        <f t="shared" si="892"/>
        <v>16.544944314549699</v>
      </c>
      <c r="CX91" s="37">
        <f t="shared" si="892"/>
        <v>15.303393600327217</v>
      </c>
      <c r="CY91" s="37">
        <f t="shared" si="892"/>
        <v>14.294824140763104</v>
      </c>
      <c r="CZ91" s="37">
        <f t="shared" si="892"/>
        <v>13.411905710639612</v>
      </c>
      <c r="DA91" s="37">
        <f t="shared" si="892"/>
        <v>12.630081662383255</v>
      </c>
      <c r="DB91" s="37">
        <f t="shared" si="892"/>
        <v>11.85383062401892</v>
      </c>
      <c r="DE91" s="134"/>
      <c r="DF91" s="13">
        <v>30.747376350615948</v>
      </c>
    </row>
    <row r="92" spans="1:110" s="13" customFormat="1" x14ac:dyDescent="0.2">
      <c r="A92" s="13" t="s">
        <v>461</v>
      </c>
      <c r="B92" s="13" t="e">
        <f t="shared" ref="B92:D92" si="895">+B84/B75</f>
        <v>#DIV/0!</v>
      </c>
      <c r="C92" s="13" t="e">
        <f t="shared" si="895"/>
        <v>#DIV/0!</v>
      </c>
      <c r="D92" s="13" t="e">
        <f t="shared" si="895"/>
        <v>#DIV/0!</v>
      </c>
      <c r="E92" s="13" t="e">
        <f t="shared" ref="E92:AE92" ca="1" si="896">+E84/E75</f>
        <v>#DIV/0!</v>
      </c>
      <c r="F92" s="13" t="e">
        <f t="shared" ca="1" si="896"/>
        <v>#DIV/0!</v>
      </c>
      <c r="G92" s="13" t="e">
        <f t="shared" ca="1" si="896"/>
        <v>#DIV/0!</v>
      </c>
      <c r="H92" s="13" t="e">
        <f t="shared" ca="1" si="896"/>
        <v>#DIV/0!</v>
      </c>
      <c r="I92" s="13" t="e">
        <f t="shared" ca="1" si="896"/>
        <v>#DIV/0!</v>
      </c>
      <c r="J92" s="13" t="e">
        <f t="shared" ca="1" si="896"/>
        <v>#DIV/0!</v>
      </c>
      <c r="K92" s="13" t="e">
        <f t="shared" ca="1" si="896"/>
        <v>#DIV/0!</v>
      </c>
      <c r="L92" s="13" t="e">
        <f t="shared" ca="1" si="896"/>
        <v>#DIV/0!</v>
      </c>
      <c r="M92" s="13" t="e">
        <f t="shared" ca="1" si="896"/>
        <v>#DIV/0!</v>
      </c>
      <c r="N92" s="13" t="e">
        <f t="shared" ca="1" si="896"/>
        <v>#DIV/0!</v>
      </c>
      <c r="O92" s="13" t="e">
        <f t="shared" ca="1" si="896"/>
        <v>#DIV/0!</v>
      </c>
      <c r="P92" s="13" t="e">
        <f t="shared" ca="1" si="896"/>
        <v>#DIV/0!</v>
      </c>
      <c r="Q92" s="13" t="e">
        <f t="shared" ca="1" si="896"/>
        <v>#DIV/0!</v>
      </c>
      <c r="R92" s="13" t="e">
        <f t="shared" ca="1" si="896"/>
        <v>#DIV/0!</v>
      </c>
      <c r="S92" s="13" t="e">
        <f t="shared" ca="1" si="896"/>
        <v>#DIV/0!</v>
      </c>
      <c r="T92" s="13" t="e">
        <f t="shared" ca="1" si="896"/>
        <v>#DIV/0!</v>
      </c>
      <c r="U92" s="13" t="e">
        <f t="shared" ca="1" si="896"/>
        <v>#DIV/0!</v>
      </c>
      <c r="V92" s="13" t="e">
        <f t="shared" ca="1" si="896"/>
        <v>#DIV/0!</v>
      </c>
      <c r="W92" s="13" t="e">
        <f t="shared" ca="1" si="896"/>
        <v>#DIV/0!</v>
      </c>
      <c r="X92" s="13" t="e">
        <f t="shared" ca="1" si="896"/>
        <v>#DIV/0!</v>
      </c>
      <c r="Y92" s="13" t="e">
        <f t="shared" ca="1" si="896"/>
        <v>#DIV/0!</v>
      </c>
      <c r="Z92" s="13" t="e">
        <f t="shared" ref="Z92:AA92" ca="1" si="897">+Z84/Z75</f>
        <v>#DIV/0!</v>
      </c>
      <c r="AA92" s="13" t="e">
        <f t="shared" ca="1" si="897"/>
        <v>#DIV/0!</v>
      </c>
      <c r="AB92" s="60" t="e">
        <f t="shared" ca="1" si="896"/>
        <v>#DIV/0!</v>
      </c>
      <c r="AC92" s="60" t="e">
        <f t="shared" ca="1" si="896"/>
        <v>#DIV/0!</v>
      </c>
      <c r="AD92" s="60" t="e">
        <f t="shared" ca="1" si="896"/>
        <v>#DIV/0!</v>
      </c>
      <c r="AE92" s="60" t="e">
        <f t="shared" ca="1" si="896"/>
        <v>#DIV/0!</v>
      </c>
      <c r="AL92" s="13" t="e">
        <f t="shared" ref="AL92:BQ92" si="898">+AL84/AL75</f>
        <v>#DIV/0!</v>
      </c>
      <c r="AM92" s="13" t="e">
        <f t="shared" si="898"/>
        <v>#DIV/0!</v>
      </c>
      <c r="AN92" s="13" t="e">
        <f t="shared" si="898"/>
        <v>#DIV/0!</v>
      </c>
      <c r="AO92" s="13" t="e">
        <f t="shared" si="898"/>
        <v>#DIV/0!</v>
      </c>
      <c r="AP92" s="13" t="e">
        <f t="shared" si="898"/>
        <v>#DIV/0!</v>
      </c>
      <c r="AQ92" s="13" t="e">
        <f t="shared" si="898"/>
        <v>#DIV/0!</v>
      </c>
      <c r="AR92" s="13" t="e">
        <f t="shared" si="898"/>
        <v>#DIV/0!</v>
      </c>
      <c r="AS92" s="13" t="e">
        <f t="shared" si="898"/>
        <v>#DIV/0!</v>
      </c>
      <c r="AT92" s="13" t="e">
        <f t="shared" si="898"/>
        <v>#DIV/0!</v>
      </c>
      <c r="AU92" s="13" t="e">
        <f t="shared" si="898"/>
        <v>#DIV/0!</v>
      </c>
      <c r="AV92" s="13" t="e">
        <f t="shared" si="898"/>
        <v>#DIV/0!</v>
      </c>
      <c r="AW92" s="13" t="e">
        <f t="shared" si="898"/>
        <v>#DIV/0!</v>
      </c>
      <c r="AX92" s="13" t="e">
        <f t="shared" si="898"/>
        <v>#DIV/0!</v>
      </c>
      <c r="AY92" s="13" t="e">
        <f t="shared" si="898"/>
        <v>#DIV/0!</v>
      </c>
      <c r="AZ92" s="13" t="e">
        <f t="shared" si="898"/>
        <v>#DIV/0!</v>
      </c>
      <c r="BA92" s="13" t="e">
        <f t="shared" si="898"/>
        <v>#DIV/0!</v>
      </c>
      <c r="BB92" s="13" t="e">
        <f t="shared" si="898"/>
        <v>#DIV/0!</v>
      </c>
      <c r="BC92" s="13" t="e">
        <f t="shared" si="898"/>
        <v>#DIV/0!</v>
      </c>
      <c r="BD92" s="13" t="e">
        <f t="shared" si="898"/>
        <v>#DIV/0!</v>
      </c>
      <c r="BE92" s="13" t="e">
        <f t="shared" si="898"/>
        <v>#DIV/0!</v>
      </c>
      <c r="BF92" s="13" t="e">
        <f t="shared" si="898"/>
        <v>#DIV/0!</v>
      </c>
      <c r="BG92" s="13" t="e">
        <f t="shared" si="898"/>
        <v>#DIV/0!</v>
      </c>
      <c r="BH92" s="13" t="e">
        <f t="shared" si="898"/>
        <v>#DIV/0!</v>
      </c>
      <c r="BI92" s="13" t="e">
        <f t="shared" si="898"/>
        <v>#DIV/0!</v>
      </c>
      <c r="BJ92" s="13" t="e">
        <f t="shared" si="898"/>
        <v>#DIV/0!</v>
      </c>
      <c r="BK92" s="13" t="e">
        <f t="shared" si="898"/>
        <v>#DIV/0!</v>
      </c>
      <c r="BL92" s="13" t="e">
        <f t="shared" si="898"/>
        <v>#DIV/0!</v>
      </c>
      <c r="BM92" s="13" t="e">
        <f t="shared" si="898"/>
        <v>#DIV/0!</v>
      </c>
      <c r="BN92" s="13" t="e">
        <f t="shared" si="898"/>
        <v>#DIV/0!</v>
      </c>
      <c r="BO92" s="13" t="e">
        <f t="shared" si="898"/>
        <v>#DIV/0!</v>
      </c>
      <c r="BP92" s="13" t="e">
        <f t="shared" si="898"/>
        <v>#DIV/0!</v>
      </c>
      <c r="BQ92" s="13" t="e">
        <f t="shared" si="898"/>
        <v>#DIV/0!</v>
      </c>
      <c r="BR92" s="13" t="e">
        <f t="shared" ref="BR92:CH92" si="899">+BR84/BR75</f>
        <v>#DIV/0!</v>
      </c>
      <c r="BS92" s="13" t="e">
        <f t="shared" si="899"/>
        <v>#DIV/0!</v>
      </c>
      <c r="BT92" s="13" t="e">
        <f t="shared" si="899"/>
        <v>#DIV/0!</v>
      </c>
      <c r="BU92" s="13" t="e">
        <f t="shared" si="899"/>
        <v>#DIV/0!</v>
      </c>
      <c r="BV92" s="13" t="e">
        <f t="shared" si="899"/>
        <v>#DIV/0!</v>
      </c>
      <c r="BW92" s="13" t="e">
        <f t="shared" si="899"/>
        <v>#DIV/0!</v>
      </c>
      <c r="BX92" s="13" t="e">
        <f t="shared" si="899"/>
        <v>#DIV/0!</v>
      </c>
      <c r="BY92" s="13">
        <f t="shared" si="899"/>
        <v>0</v>
      </c>
      <c r="BZ92" s="13">
        <f t="shared" si="899"/>
        <v>0</v>
      </c>
      <c r="CA92" s="13">
        <f t="shared" si="899"/>
        <v>0</v>
      </c>
      <c r="CB92" s="13">
        <f t="shared" si="899"/>
        <v>0</v>
      </c>
      <c r="CC92" s="13">
        <f t="shared" si="899"/>
        <v>76.890170436854447</v>
      </c>
      <c r="CD92" s="13">
        <f t="shared" si="899"/>
        <v>71.660509000986238</v>
      </c>
      <c r="CE92" s="13">
        <f t="shared" si="899"/>
        <v>71.604767107267634</v>
      </c>
      <c r="CF92" s="13">
        <f t="shared" si="899"/>
        <v>71.180939867058328</v>
      </c>
      <c r="CG92" s="13">
        <f t="shared" si="899"/>
        <v>69.89982411826692</v>
      </c>
      <c r="CH92" s="13">
        <f t="shared" si="899"/>
        <v>54.695635571312486</v>
      </c>
      <c r="CI92" s="13">
        <f t="shared" ref="CI92:CJ92" si="900">+CI84/CI75</f>
        <v>47.189565090484521</v>
      </c>
      <c r="CJ92" s="13">
        <f t="shared" si="900"/>
        <v>43.595969940428965</v>
      </c>
      <c r="CK92" s="13">
        <f t="shared" ref="CK92:CL92" si="901">+CK84/CK75</f>
        <v>42.179134292774997</v>
      </c>
      <c r="CL92" s="13">
        <f t="shared" si="901"/>
        <v>42.80320870961885</v>
      </c>
      <c r="CM92" s="60">
        <f t="shared" ref="CM92:CM93" si="902">+CL92</f>
        <v>42.80320870961885</v>
      </c>
      <c r="CN92" s="60">
        <f t="shared" ref="CN92:CN93" si="903">+CM92</f>
        <v>42.80320870961885</v>
      </c>
      <c r="CO92" s="60">
        <f t="shared" ref="CO92:CO93" si="904">+CN92</f>
        <v>42.80320870961885</v>
      </c>
      <c r="CP92" s="60">
        <f t="shared" ref="CP92:CP93" si="905">+CO92</f>
        <v>42.80320870961885</v>
      </c>
      <c r="CQ92" s="60">
        <f t="shared" ref="CQ92:CQ93" si="906">+CP92</f>
        <v>42.80320870961885</v>
      </c>
      <c r="CR92" s="60">
        <f t="shared" ref="CR92:CR93" si="907">+CQ92</f>
        <v>42.80320870961885</v>
      </c>
      <c r="CS92" s="60">
        <f t="shared" ref="CS92:CS93" si="908">+CR92</f>
        <v>42.80320870961885</v>
      </c>
      <c r="CT92" s="60">
        <f t="shared" ref="CT92:CT93" si="909">+CS92</f>
        <v>42.80320870961885</v>
      </c>
      <c r="CU92" s="60">
        <f t="shared" ref="CU92:CU93" si="910">+CT92</f>
        <v>42.80320870961885</v>
      </c>
      <c r="CV92" s="60">
        <f t="shared" ref="CV92:CV93" si="911">+CU92</f>
        <v>42.80320870961885</v>
      </c>
      <c r="CW92" s="60">
        <f t="shared" ref="CW92:CW93" si="912">+CV92</f>
        <v>42.80320870961885</v>
      </c>
      <c r="CX92" s="60">
        <f t="shared" ref="CX92:CX93" si="913">+CW92</f>
        <v>42.80320870961885</v>
      </c>
      <c r="CY92" s="60">
        <f t="shared" ref="CY92:CY93" si="914">+CX92</f>
        <v>42.80320870961885</v>
      </c>
      <c r="CZ92" s="60">
        <f t="shared" ref="CZ92:CZ93" si="915">+CY92</f>
        <v>42.80320870961885</v>
      </c>
      <c r="DA92" s="60">
        <f t="shared" ref="DA92:DA93" si="916">+CZ92</f>
        <v>42.80320870961885</v>
      </c>
      <c r="DB92" s="60">
        <f t="shared" ref="DB92:DB93" si="917">+DA92</f>
        <v>42.80320870961885</v>
      </c>
      <c r="DE92" s="136"/>
      <c r="DF92" s="13">
        <v>41.656372867200176</v>
      </c>
    </row>
    <row r="93" spans="1:110" s="13" customFormat="1" x14ac:dyDescent="0.2">
      <c r="A93" s="13" t="s">
        <v>462</v>
      </c>
      <c r="B93" s="13" t="e">
        <f t="shared" ref="B93:D93" si="918">+B85/B75</f>
        <v>#DIV/0!</v>
      </c>
      <c r="C93" s="13" t="e">
        <f t="shared" si="918"/>
        <v>#DIV/0!</v>
      </c>
      <c r="D93" s="13" t="e">
        <f t="shared" si="918"/>
        <v>#DIV/0!</v>
      </c>
      <c r="E93" s="13" t="e">
        <f t="shared" ref="E93:AE93" ca="1" si="919">+E85/E75</f>
        <v>#DIV/0!</v>
      </c>
      <c r="F93" s="13" t="e">
        <f t="shared" ca="1" si="919"/>
        <v>#DIV/0!</v>
      </c>
      <c r="G93" s="13" t="e">
        <f t="shared" ca="1" si="919"/>
        <v>#DIV/0!</v>
      </c>
      <c r="H93" s="13" t="e">
        <f t="shared" ca="1" si="919"/>
        <v>#DIV/0!</v>
      </c>
      <c r="I93" s="13" t="e">
        <f t="shared" ca="1" si="919"/>
        <v>#DIV/0!</v>
      </c>
      <c r="J93" s="13" t="e">
        <f t="shared" ca="1" si="919"/>
        <v>#DIV/0!</v>
      </c>
      <c r="K93" s="13" t="e">
        <f t="shared" ca="1" si="919"/>
        <v>#DIV/0!</v>
      </c>
      <c r="L93" s="13" t="e">
        <f t="shared" ca="1" si="919"/>
        <v>#DIV/0!</v>
      </c>
      <c r="M93" s="13" t="e">
        <f t="shared" ca="1" si="919"/>
        <v>#DIV/0!</v>
      </c>
      <c r="N93" s="13" t="e">
        <f t="shared" ca="1" si="919"/>
        <v>#DIV/0!</v>
      </c>
      <c r="O93" s="13" t="e">
        <f t="shared" ca="1" si="919"/>
        <v>#DIV/0!</v>
      </c>
      <c r="P93" s="13" t="e">
        <f t="shared" ca="1" si="919"/>
        <v>#DIV/0!</v>
      </c>
      <c r="Q93" s="13" t="e">
        <f t="shared" ca="1" si="919"/>
        <v>#DIV/0!</v>
      </c>
      <c r="R93" s="13" t="e">
        <f t="shared" ca="1" si="919"/>
        <v>#DIV/0!</v>
      </c>
      <c r="S93" s="13" t="e">
        <f t="shared" ca="1" si="919"/>
        <v>#DIV/0!</v>
      </c>
      <c r="T93" s="13" t="e">
        <f t="shared" ca="1" si="919"/>
        <v>#DIV/0!</v>
      </c>
      <c r="U93" s="13" t="e">
        <f t="shared" ca="1" si="919"/>
        <v>#DIV/0!</v>
      </c>
      <c r="V93" s="13" t="e">
        <f t="shared" ca="1" si="919"/>
        <v>#DIV/0!</v>
      </c>
      <c r="W93" s="13" t="e">
        <f t="shared" ca="1" si="919"/>
        <v>#DIV/0!</v>
      </c>
      <c r="X93" s="13" t="e">
        <f t="shared" ca="1" si="919"/>
        <v>#DIV/0!</v>
      </c>
      <c r="Y93" s="13" t="e">
        <f t="shared" ca="1" si="919"/>
        <v>#DIV/0!</v>
      </c>
      <c r="Z93" s="13" t="e">
        <f t="shared" ref="Z93:AA93" ca="1" si="920">+Z85/Z75</f>
        <v>#DIV/0!</v>
      </c>
      <c r="AA93" s="13" t="e">
        <f t="shared" ca="1" si="920"/>
        <v>#DIV/0!</v>
      </c>
      <c r="AB93" s="60" t="e">
        <f t="shared" ca="1" si="919"/>
        <v>#DIV/0!</v>
      </c>
      <c r="AC93" s="60" t="e">
        <f t="shared" ca="1" si="919"/>
        <v>#DIV/0!</v>
      </c>
      <c r="AD93" s="60" t="e">
        <f t="shared" ca="1" si="919"/>
        <v>#DIV/0!</v>
      </c>
      <c r="AE93" s="60" t="e">
        <f t="shared" ca="1" si="919"/>
        <v>#DIV/0!</v>
      </c>
      <c r="AL93" s="13" t="e">
        <f t="shared" ref="AL93:BQ93" si="921">+AL85/AL75</f>
        <v>#DIV/0!</v>
      </c>
      <c r="AM93" s="13" t="e">
        <f t="shared" si="921"/>
        <v>#DIV/0!</v>
      </c>
      <c r="AN93" s="13" t="e">
        <f t="shared" si="921"/>
        <v>#DIV/0!</v>
      </c>
      <c r="AO93" s="13" t="e">
        <f t="shared" si="921"/>
        <v>#DIV/0!</v>
      </c>
      <c r="AP93" s="13" t="e">
        <f t="shared" si="921"/>
        <v>#DIV/0!</v>
      </c>
      <c r="AQ93" s="13" t="e">
        <f t="shared" si="921"/>
        <v>#DIV/0!</v>
      </c>
      <c r="AR93" s="13" t="e">
        <f t="shared" si="921"/>
        <v>#DIV/0!</v>
      </c>
      <c r="AS93" s="13" t="e">
        <f t="shared" si="921"/>
        <v>#DIV/0!</v>
      </c>
      <c r="AT93" s="13" t="e">
        <f t="shared" si="921"/>
        <v>#DIV/0!</v>
      </c>
      <c r="AU93" s="13" t="e">
        <f t="shared" si="921"/>
        <v>#DIV/0!</v>
      </c>
      <c r="AV93" s="13" t="e">
        <f t="shared" si="921"/>
        <v>#DIV/0!</v>
      </c>
      <c r="AW93" s="13" t="e">
        <f t="shared" si="921"/>
        <v>#DIV/0!</v>
      </c>
      <c r="AX93" s="13" t="e">
        <f t="shared" si="921"/>
        <v>#DIV/0!</v>
      </c>
      <c r="AY93" s="13" t="e">
        <f t="shared" si="921"/>
        <v>#DIV/0!</v>
      </c>
      <c r="AZ93" s="13" t="e">
        <f t="shared" si="921"/>
        <v>#DIV/0!</v>
      </c>
      <c r="BA93" s="13" t="e">
        <f t="shared" si="921"/>
        <v>#DIV/0!</v>
      </c>
      <c r="BB93" s="13" t="e">
        <f t="shared" si="921"/>
        <v>#DIV/0!</v>
      </c>
      <c r="BC93" s="13" t="e">
        <f t="shared" si="921"/>
        <v>#DIV/0!</v>
      </c>
      <c r="BD93" s="13" t="e">
        <f t="shared" si="921"/>
        <v>#DIV/0!</v>
      </c>
      <c r="BE93" s="13" t="e">
        <f t="shared" si="921"/>
        <v>#DIV/0!</v>
      </c>
      <c r="BF93" s="13" t="e">
        <f t="shared" si="921"/>
        <v>#DIV/0!</v>
      </c>
      <c r="BG93" s="13" t="e">
        <f t="shared" si="921"/>
        <v>#DIV/0!</v>
      </c>
      <c r="BH93" s="13" t="e">
        <f t="shared" si="921"/>
        <v>#DIV/0!</v>
      </c>
      <c r="BI93" s="13" t="e">
        <f t="shared" si="921"/>
        <v>#DIV/0!</v>
      </c>
      <c r="BJ93" s="13" t="e">
        <f t="shared" si="921"/>
        <v>#DIV/0!</v>
      </c>
      <c r="BK93" s="13" t="e">
        <f t="shared" si="921"/>
        <v>#DIV/0!</v>
      </c>
      <c r="BL93" s="13" t="e">
        <f t="shared" si="921"/>
        <v>#DIV/0!</v>
      </c>
      <c r="BM93" s="13" t="e">
        <f t="shared" si="921"/>
        <v>#DIV/0!</v>
      </c>
      <c r="BN93" s="13" t="e">
        <f t="shared" si="921"/>
        <v>#DIV/0!</v>
      </c>
      <c r="BO93" s="13" t="e">
        <f t="shared" si="921"/>
        <v>#DIV/0!</v>
      </c>
      <c r="BP93" s="13" t="e">
        <f t="shared" si="921"/>
        <v>#DIV/0!</v>
      </c>
      <c r="BQ93" s="13" t="e">
        <f t="shared" si="921"/>
        <v>#DIV/0!</v>
      </c>
      <c r="BR93" s="13" t="e">
        <f t="shared" ref="BR93:CH93" si="922">+BR85/BR75</f>
        <v>#DIV/0!</v>
      </c>
      <c r="BS93" s="13" t="e">
        <f t="shared" si="922"/>
        <v>#DIV/0!</v>
      </c>
      <c r="BT93" s="13" t="e">
        <f t="shared" si="922"/>
        <v>#DIV/0!</v>
      </c>
      <c r="BU93" s="13" t="e">
        <f t="shared" si="922"/>
        <v>#DIV/0!</v>
      </c>
      <c r="BV93" s="13" t="e">
        <f t="shared" si="922"/>
        <v>#DIV/0!</v>
      </c>
      <c r="BW93" s="13" t="e">
        <f t="shared" si="922"/>
        <v>#DIV/0!</v>
      </c>
      <c r="BX93" s="13" t="e">
        <f t="shared" si="922"/>
        <v>#DIV/0!</v>
      </c>
      <c r="BY93" s="13">
        <f t="shared" si="922"/>
        <v>0</v>
      </c>
      <c r="BZ93" s="13">
        <f t="shared" si="922"/>
        <v>0</v>
      </c>
      <c r="CA93" s="13">
        <f t="shared" si="922"/>
        <v>0</v>
      </c>
      <c r="CB93" s="13">
        <f t="shared" si="922"/>
        <v>0</v>
      </c>
      <c r="CC93" s="13">
        <f t="shared" si="922"/>
        <v>0</v>
      </c>
      <c r="CD93" s="13">
        <f t="shared" si="922"/>
        <v>60.9114326508383</v>
      </c>
      <c r="CE93" s="13">
        <f t="shared" si="922"/>
        <v>61.319775493560272</v>
      </c>
      <c r="CF93" s="13">
        <f t="shared" si="922"/>
        <v>60.867542896892914</v>
      </c>
      <c r="CG93" s="13">
        <f t="shared" si="922"/>
        <v>55.547051850244848</v>
      </c>
      <c r="CH93" s="13">
        <f t="shared" si="922"/>
        <v>37.570474924292768</v>
      </c>
      <c r="CI93" s="13">
        <f t="shared" ref="CI93:CJ93" si="923">+CI85/CI75</f>
        <v>35.232309544658484</v>
      </c>
      <c r="CJ93" s="13">
        <f t="shared" si="923"/>
        <v>38.183047498160938</v>
      </c>
      <c r="CK93" s="13">
        <f t="shared" ref="CK93:CL93" si="924">+CK85/CK75</f>
        <v>37.177402164795453</v>
      </c>
      <c r="CL93" s="13">
        <f t="shared" si="924"/>
        <v>31.472947580602096</v>
      </c>
      <c r="CM93" s="60">
        <f t="shared" si="902"/>
        <v>31.472947580602096</v>
      </c>
      <c r="CN93" s="60">
        <f t="shared" si="903"/>
        <v>31.472947580602096</v>
      </c>
      <c r="CO93" s="60">
        <f t="shared" si="904"/>
        <v>31.472947580602096</v>
      </c>
      <c r="CP93" s="60">
        <f t="shared" si="905"/>
        <v>31.472947580602096</v>
      </c>
      <c r="CQ93" s="60">
        <f t="shared" si="906"/>
        <v>31.472947580602096</v>
      </c>
      <c r="CR93" s="60">
        <f t="shared" si="907"/>
        <v>31.472947580602096</v>
      </c>
      <c r="CS93" s="60">
        <f t="shared" si="908"/>
        <v>31.472947580602096</v>
      </c>
      <c r="CT93" s="60">
        <f t="shared" si="909"/>
        <v>31.472947580602096</v>
      </c>
      <c r="CU93" s="60">
        <f t="shared" si="910"/>
        <v>31.472947580602096</v>
      </c>
      <c r="CV93" s="60">
        <f t="shared" si="911"/>
        <v>31.472947580602096</v>
      </c>
      <c r="CW93" s="60">
        <f t="shared" si="912"/>
        <v>31.472947580602096</v>
      </c>
      <c r="CX93" s="60">
        <f t="shared" si="913"/>
        <v>31.472947580602096</v>
      </c>
      <c r="CY93" s="60">
        <f t="shared" si="914"/>
        <v>31.472947580602096</v>
      </c>
      <c r="CZ93" s="60">
        <f t="shared" si="915"/>
        <v>31.472947580602096</v>
      </c>
      <c r="DA93" s="60">
        <f t="shared" si="916"/>
        <v>31.472947580602096</v>
      </c>
      <c r="DB93" s="60">
        <f t="shared" si="917"/>
        <v>31.472947580602096</v>
      </c>
      <c r="DE93" s="136"/>
      <c r="DF93" s="13">
        <v>30.629685931764833</v>
      </c>
    </row>
    <row r="94" spans="1:110" s="13" customFormat="1" x14ac:dyDescent="0.2">
      <c r="AB94" s="60"/>
      <c r="AC94" s="60"/>
      <c r="AD94" s="60"/>
      <c r="AE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E94" s="136"/>
    </row>
    <row r="95" spans="1:110" s="13" customFormat="1" x14ac:dyDescent="0.2">
      <c r="A95" s="13" t="s">
        <v>463</v>
      </c>
      <c r="B95" s="13" t="e">
        <f t="shared" ref="B95:AD95" si="925">+B84/C75</f>
        <v>#DIV/0!</v>
      </c>
      <c r="C95" s="13" t="e">
        <f t="shared" si="925"/>
        <v>#DIV/0!</v>
      </c>
      <c r="D95" s="13" t="e">
        <f t="shared" ca="1" si="925"/>
        <v>#DIV/0!</v>
      </c>
      <c r="E95" s="13" t="e">
        <f t="shared" ca="1" si="925"/>
        <v>#DIV/0!</v>
      </c>
      <c r="F95" s="13" t="e">
        <f t="shared" ca="1" si="925"/>
        <v>#DIV/0!</v>
      </c>
      <c r="G95" s="13" t="e">
        <f t="shared" ca="1" si="925"/>
        <v>#DIV/0!</v>
      </c>
      <c r="H95" s="13" t="e">
        <f t="shared" ca="1" si="925"/>
        <v>#DIV/0!</v>
      </c>
      <c r="I95" s="13" t="e">
        <f t="shared" ca="1" si="925"/>
        <v>#DIV/0!</v>
      </c>
      <c r="J95" s="13" t="e">
        <f t="shared" ca="1" si="925"/>
        <v>#DIV/0!</v>
      </c>
      <c r="K95" s="13" t="e">
        <f t="shared" ca="1" si="925"/>
        <v>#DIV/0!</v>
      </c>
      <c r="L95" s="13" t="e">
        <f t="shared" ca="1" si="925"/>
        <v>#DIV/0!</v>
      </c>
      <c r="M95" s="13" t="e">
        <f t="shared" ca="1" si="925"/>
        <v>#DIV/0!</v>
      </c>
      <c r="N95" s="13" t="e">
        <f t="shared" ca="1" si="925"/>
        <v>#DIV/0!</v>
      </c>
      <c r="O95" s="13" t="e">
        <f t="shared" ca="1" si="925"/>
        <v>#DIV/0!</v>
      </c>
      <c r="P95" s="13" t="e">
        <f t="shared" ca="1" si="925"/>
        <v>#DIV/0!</v>
      </c>
      <c r="Q95" s="13" t="e">
        <f t="shared" ca="1" si="925"/>
        <v>#DIV/0!</v>
      </c>
      <c r="R95" s="13" t="e">
        <f t="shared" ca="1" si="925"/>
        <v>#DIV/0!</v>
      </c>
      <c r="S95" s="13" t="e">
        <f t="shared" ca="1" si="925"/>
        <v>#DIV/0!</v>
      </c>
      <c r="T95" s="13" t="e">
        <f t="shared" ca="1" si="925"/>
        <v>#DIV/0!</v>
      </c>
      <c r="U95" s="13" t="e">
        <f t="shared" ca="1" si="925"/>
        <v>#DIV/0!</v>
      </c>
      <c r="V95" s="13" t="e">
        <f t="shared" ca="1" si="925"/>
        <v>#DIV/0!</v>
      </c>
      <c r="W95" s="13" t="e">
        <f t="shared" ca="1" si="925"/>
        <v>#DIV/0!</v>
      </c>
      <c r="X95" s="13" t="e">
        <f t="shared" ca="1" si="925"/>
        <v>#DIV/0!</v>
      </c>
      <c r="Y95" s="13" t="e">
        <f t="shared" ca="1" si="925"/>
        <v>#DIV/0!</v>
      </c>
      <c r="Z95" s="13" t="e">
        <f t="shared" ref="Z95:AA95" ca="1" si="926">+Z84/AA75</f>
        <v>#DIV/0!</v>
      </c>
      <c r="AA95" s="13" t="e">
        <f t="shared" ca="1" si="926"/>
        <v>#DIV/0!</v>
      </c>
      <c r="AB95" s="37" t="e">
        <f t="shared" ca="1" si="925"/>
        <v>#DIV/0!</v>
      </c>
      <c r="AC95" s="37" t="e">
        <f t="shared" ca="1" si="925"/>
        <v>#DIV/0!</v>
      </c>
      <c r="AD95" s="37" t="e">
        <f t="shared" ca="1" si="925"/>
        <v>#DIV/0!</v>
      </c>
      <c r="AE95" s="37"/>
      <c r="AL95" s="13" t="e">
        <f t="shared" ref="AL95:BQ95" si="927">+AL84/AP75</f>
        <v>#DIV/0!</v>
      </c>
      <c r="AM95" s="13" t="e">
        <f t="shared" si="927"/>
        <v>#DIV/0!</v>
      </c>
      <c r="AN95" s="13" t="e">
        <f t="shared" si="927"/>
        <v>#DIV/0!</v>
      </c>
      <c r="AO95" s="13" t="e">
        <f t="shared" si="927"/>
        <v>#DIV/0!</v>
      </c>
      <c r="AP95" s="13" t="e">
        <f t="shared" si="927"/>
        <v>#DIV/0!</v>
      </c>
      <c r="AQ95" s="13" t="e">
        <f t="shared" si="927"/>
        <v>#DIV/0!</v>
      </c>
      <c r="AR95" s="13" t="e">
        <f t="shared" si="927"/>
        <v>#DIV/0!</v>
      </c>
      <c r="AS95" s="13" t="e">
        <f t="shared" si="927"/>
        <v>#DIV/0!</v>
      </c>
      <c r="AT95" s="13" t="e">
        <f t="shared" si="927"/>
        <v>#DIV/0!</v>
      </c>
      <c r="AU95" s="13" t="e">
        <f t="shared" si="927"/>
        <v>#DIV/0!</v>
      </c>
      <c r="AV95" s="13" t="e">
        <f t="shared" si="927"/>
        <v>#DIV/0!</v>
      </c>
      <c r="AW95" s="13" t="e">
        <f t="shared" si="927"/>
        <v>#DIV/0!</v>
      </c>
      <c r="AX95" s="13" t="e">
        <f t="shared" si="927"/>
        <v>#DIV/0!</v>
      </c>
      <c r="AY95" s="13" t="e">
        <f t="shared" si="927"/>
        <v>#DIV/0!</v>
      </c>
      <c r="AZ95" s="13" t="e">
        <f t="shared" si="927"/>
        <v>#DIV/0!</v>
      </c>
      <c r="BA95" s="13" t="e">
        <f t="shared" si="927"/>
        <v>#DIV/0!</v>
      </c>
      <c r="BB95" s="13" t="e">
        <f t="shared" si="927"/>
        <v>#DIV/0!</v>
      </c>
      <c r="BC95" s="13" t="e">
        <f t="shared" si="927"/>
        <v>#DIV/0!</v>
      </c>
      <c r="BD95" s="13" t="e">
        <f t="shared" si="927"/>
        <v>#DIV/0!</v>
      </c>
      <c r="BE95" s="13" t="e">
        <f t="shared" si="927"/>
        <v>#DIV/0!</v>
      </c>
      <c r="BF95" s="13" t="e">
        <f t="shared" si="927"/>
        <v>#DIV/0!</v>
      </c>
      <c r="BG95" s="13" t="e">
        <f t="shared" si="927"/>
        <v>#DIV/0!</v>
      </c>
      <c r="BH95" s="13" t="e">
        <f t="shared" si="927"/>
        <v>#DIV/0!</v>
      </c>
      <c r="BI95" s="13" t="e">
        <f t="shared" si="927"/>
        <v>#DIV/0!</v>
      </c>
      <c r="BJ95" s="13" t="e">
        <f t="shared" si="927"/>
        <v>#DIV/0!</v>
      </c>
      <c r="BK95" s="13" t="e">
        <f t="shared" si="927"/>
        <v>#DIV/0!</v>
      </c>
      <c r="BL95" s="13" t="e">
        <f t="shared" si="927"/>
        <v>#DIV/0!</v>
      </c>
      <c r="BM95" s="13" t="e">
        <f t="shared" si="927"/>
        <v>#DIV/0!</v>
      </c>
      <c r="BN95" s="13" t="e">
        <f t="shared" si="927"/>
        <v>#DIV/0!</v>
      </c>
      <c r="BO95" s="13" t="e">
        <f t="shared" si="927"/>
        <v>#DIV/0!</v>
      </c>
      <c r="BP95" s="13" t="e">
        <f t="shared" si="927"/>
        <v>#DIV/0!</v>
      </c>
      <c r="BQ95" s="13" t="e">
        <f t="shared" si="927"/>
        <v>#DIV/0!</v>
      </c>
      <c r="BR95" s="13" t="e">
        <f t="shared" ref="BR95:CL95" si="928">+BR84/BV75</f>
        <v>#DIV/0!</v>
      </c>
      <c r="BS95" s="13" t="e">
        <f t="shared" si="928"/>
        <v>#DIV/0!</v>
      </c>
      <c r="BT95" s="13" t="e">
        <f t="shared" si="928"/>
        <v>#DIV/0!</v>
      </c>
      <c r="BU95" s="13">
        <f t="shared" si="928"/>
        <v>0</v>
      </c>
      <c r="BV95" s="13">
        <f t="shared" si="928"/>
        <v>0</v>
      </c>
      <c r="BW95" s="13">
        <f t="shared" si="928"/>
        <v>0</v>
      </c>
      <c r="BX95" s="13">
        <f t="shared" si="928"/>
        <v>0</v>
      </c>
      <c r="BY95" s="13">
        <f t="shared" si="928"/>
        <v>0</v>
      </c>
      <c r="BZ95" s="13">
        <f t="shared" si="928"/>
        <v>0</v>
      </c>
      <c r="CA95" s="13">
        <f t="shared" si="928"/>
        <v>0</v>
      </c>
      <c r="CB95" s="13">
        <f t="shared" si="928"/>
        <v>0</v>
      </c>
      <c r="CC95" s="13">
        <f t="shared" si="928"/>
        <v>88.015248248930774</v>
      </c>
      <c r="CD95" s="13">
        <f t="shared" si="928"/>
        <v>71.916685131841319</v>
      </c>
      <c r="CE95" s="13">
        <f t="shared" si="928"/>
        <v>67.912711617046099</v>
      </c>
      <c r="CF95" s="13">
        <f t="shared" si="928"/>
        <v>66.418021318640101</v>
      </c>
      <c r="CG95" s="13">
        <f t="shared" si="928"/>
        <v>64.891200309148843</v>
      </c>
      <c r="CH95" s="13">
        <f t="shared" si="928"/>
        <v>56.598592333865028</v>
      </c>
      <c r="CI95" s="13">
        <f t="shared" si="928"/>
        <v>62.843341237281827</v>
      </c>
      <c r="CJ95" s="13">
        <f t="shared" si="928"/>
        <v>67.139362799914366</v>
      </c>
      <c r="CK95" s="13">
        <f t="shared" si="928"/>
        <v>68.646931617019376</v>
      </c>
      <c r="CL95" s="13">
        <f t="shared" si="928"/>
        <v>58.101733223618773</v>
      </c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  <c r="DF95" s="13">
        <v>35.838411604338539</v>
      </c>
    </row>
    <row r="96" spans="1:110" s="98" customFormat="1" x14ac:dyDescent="0.2">
      <c r="A96" s="98" t="s">
        <v>426</v>
      </c>
      <c r="AB96" s="99"/>
      <c r="AC96" s="99"/>
      <c r="AD96" s="99"/>
      <c r="AE96" s="99"/>
      <c r="AL96" s="175"/>
      <c r="AM96" s="175"/>
      <c r="AN96" s="175"/>
      <c r="AO96" s="175" t="e">
        <f t="shared" ref="AO96:CI96" si="929">+CORREL(AL75:AO75,AL92:AO92)</f>
        <v>#DIV/0!</v>
      </c>
      <c r="AP96" s="175" t="e">
        <f t="shared" si="929"/>
        <v>#DIV/0!</v>
      </c>
      <c r="AQ96" s="175" t="e">
        <f t="shared" si="929"/>
        <v>#DIV/0!</v>
      </c>
      <c r="AR96" s="175" t="e">
        <f t="shared" si="929"/>
        <v>#DIV/0!</v>
      </c>
      <c r="AS96" s="175" t="e">
        <f t="shared" si="929"/>
        <v>#DIV/0!</v>
      </c>
      <c r="AT96" s="175" t="e">
        <f t="shared" si="929"/>
        <v>#DIV/0!</v>
      </c>
      <c r="AU96" s="175" t="e">
        <f t="shared" si="929"/>
        <v>#DIV/0!</v>
      </c>
      <c r="AV96" s="175" t="e">
        <f t="shared" si="929"/>
        <v>#DIV/0!</v>
      </c>
      <c r="AW96" s="175" t="e">
        <f t="shared" si="929"/>
        <v>#DIV/0!</v>
      </c>
      <c r="AX96" s="175" t="e">
        <f t="shared" si="929"/>
        <v>#DIV/0!</v>
      </c>
      <c r="AY96" s="175" t="e">
        <f t="shared" si="929"/>
        <v>#DIV/0!</v>
      </c>
      <c r="AZ96" s="175" t="e">
        <f t="shared" si="929"/>
        <v>#DIV/0!</v>
      </c>
      <c r="BA96" s="175" t="e">
        <f t="shared" si="929"/>
        <v>#DIV/0!</v>
      </c>
      <c r="BB96" s="175" t="e">
        <f t="shared" si="929"/>
        <v>#DIV/0!</v>
      </c>
      <c r="BC96" s="175" t="e">
        <f t="shared" si="929"/>
        <v>#DIV/0!</v>
      </c>
      <c r="BD96" s="175" t="e">
        <f t="shared" si="929"/>
        <v>#DIV/0!</v>
      </c>
      <c r="BE96" s="175" t="e">
        <f t="shared" si="929"/>
        <v>#DIV/0!</v>
      </c>
      <c r="BF96" s="175" t="e">
        <f t="shared" si="929"/>
        <v>#DIV/0!</v>
      </c>
      <c r="BG96" s="175" t="e">
        <f t="shared" si="929"/>
        <v>#DIV/0!</v>
      </c>
      <c r="BH96" s="175" t="e">
        <f t="shared" si="929"/>
        <v>#DIV/0!</v>
      </c>
      <c r="BI96" s="175" t="e">
        <f t="shared" si="929"/>
        <v>#DIV/0!</v>
      </c>
      <c r="BJ96" s="175" t="e">
        <f t="shared" si="929"/>
        <v>#DIV/0!</v>
      </c>
      <c r="BK96" s="175" t="e">
        <f t="shared" si="929"/>
        <v>#DIV/0!</v>
      </c>
      <c r="BL96" s="175" t="e">
        <f t="shared" si="929"/>
        <v>#DIV/0!</v>
      </c>
      <c r="BM96" s="175" t="e">
        <f t="shared" si="929"/>
        <v>#DIV/0!</v>
      </c>
      <c r="BN96" s="175" t="e">
        <f t="shared" si="929"/>
        <v>#DIV/0!</v>
      </c>
      <c r="BO96" s="175" t="e">
        <f t="shared" si="929"/>
        <v>#DIV/0!</v>
      </c>
      <c r="BP96" s="175" t="e">
        <f t="shared" si="929"/>
        <v>#DIV/0!</v>
      </c>
      <c r="BQ96" s="175" t="e">
        <f t="shared" si="929"/>
        <v>#DIV/0!</v>
      </c>
      <c r="BR96" s="175" t="e">
        <f t="shared" si="929"/>
        <v>#DIV/0!</v>
      </c>
      <c r="BS96" s="175" t="e">
        <f t="shared" si="929"/>
        <v>#DIV/0!</v>
      </c>
      <c r="BT96" s="175" t="e">
        <f t="shared" si="929"/>
        <v>#DIV/0!</v>
      </c>
      <c r="BU96" s="175" t="e">
        <f t="shared" si="929"/>
        <v>#DIV/0!</v>
      </c>
      <c r="BV96" s="175" t="e">
        <f t="shared" si="929"/>
        <v>#DIV/0!</v>
      </c>
      <c r="BW96" s="175" t="e">
        <f t="shared" si="929"/>
        <v>#DIV/0!</v>
      </c>
      <c r="BX96" s="175" t="e">
        <f t="shared" si="929"/>
        <v>#DIV/0!</v>
      </c>
      <c r="BY96" s="175" t="e">
        <f t="shared" si="929"/>
        <v>#DIV/0!</v>
      </c>
      <c r="BZ96" s="175" t="e">
        <f t="shared" si="929"/>
        <v>#DIV/0!</v>
      </c>
      <c r="CA96" s="175" t="e">
        <f t="shared" si="929"/>
        <v>#DIV/0!</v>
      </c>
      <c r="CB96" s="175" t="e">
        <f t="shared" si="929"/>
        <v>#DIV/0!</v>
      </c>
      <c r="CC96" s="175">
        <f t="shared" si="929"/>
        <v>0.55629446170717223</v>
      </c>
      <c r="CD96" s="175">
        <f t="shared" si="929"/>
        <v>0.52772909863445439</v>
      </c>
      <c r="CE96" s="175">
        <f t="shared" si="929"/>
        <v>-0.28864644418737656</v>
      </c>
      <c r="CF96" s="175">
        <f t="shared" si="929"/>
        <v>0.95375771740218362</v>
      </c>
      <c r="CG96" s="175">
        <f t="shared" si="929"/>
        <v>0.55657043978178411</v>
      </c>
      <c r="CH96" s="175">
        <f t="shared" si="929"/>
        <v>-0.97790650364093024</v>
      </c>
      <c r="CI96" s="175">
        <f t="shared" si="929"/>
        <v>-0.99220101570436336</v>
      </c>
      <c r="CJ96" s="175">
        <f>+CORREL(CG75:CJ75,CG92:CJ92)</f>
        <v>-0.9940343858383609</v>
      </c>
      <c r="CK96" s="175">
        <f>+CORREL(CH75:CK75,CH92:CK92)</f>
        <v>-0.98651636458196035</v>
      </c>
      <c r="CL96" s="175">
        <f>+CORREL(CI75:CL75,CI92:CL92)</f>
        <v>0.11747121564614348</v>
      </c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E96" s="137"/>
      <c r="DF96" s="98">
        <v>0.13891354019929528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62" customFormat="1" x14ac:dyDescent="0.2">
      <c r="A98" s="49" t="s">
        <v>505</v>
      </c>
      <c r="E98" s="162" t="e">
        <f t="shared" ref="E98:AE98" ca="1" si="930">+E$126/E$71</f>
        <v>#DIV/0!</v>
      </c>
      <c r="F98" s="162" t="e">
        <f t="shared" ca="1" si="930"/>
        <v>#DIV/0!</v>
      </c>
      <c r="G98" s="162" t="e">
        <f t="shared" ca="1" si="930"/>
        <v>#DIV/0!</v>
      </c>
      <c r="H98" s="162" t="e">
        <f t="shared" ca="1" si="930"/>
        <v>#DIV/0!</v>
      </c>
      <c r="I98" s="162" t="e">
        <f t="shared" ca="1" si="930"/>
        <v>#DIV/0!</v>
      </c>
      <c r="J98" s="162" t="e">
        <f t="shared" ca="1" si="930"/>
        <v>#DIV/0!</v>
      </c>
      <c r="K98" s="162" t="e">
        <f t="shared" ca="1" si="930"/>
        <v>#DIV/0!</v>
      </c>
      <c r="L98" s="162" t="e">
        <f t="shared" ca="1" si="930"/>
        <v>#DIV/0!</v>
      </c>
      <c r="M98" s="162" t="e">
        <f t="shared" ca="1" si="930"/>
        <v>#DIV/0!</v>
      </c>
      <c r="N98" s="162" t="e">
        <f t="shared" ca="1" si="930"/>
        <v>#DIV/0!</v>
      </c>
      <c r="O98" s="162" t="e">
        <f t="shared" ca="1" si="930"/>
        <v>#DIV/0!</v>
      </c>
      <c r="P98" s="162" t="e">
        <f t="shared" ca="1" si="930"/>
        <v>#DIV/0!</v>
      </c>
      <c r="Q98" s="162" t="e">
        <f t="shared" ca="1" si="930"/>
        <v>#DIV/0!</v>
      </c>
      <c r="R98" s="162" t="e">
        <f t="shared" ca="1" si="930"/>
        <v>#DIV/0!</v>
      </c>
      <c r="S98" s="162" t="e">
        <f t="shared" ca="1" si="930"/>
        <v>#DIV/0!</v>
      </c>
      <c r="T98" s="162" t="e">
        <f t="shared" ca="1" si="930"/>
        <v>#DIV/0!</v>
      </c>
      <c r="U98" s="162" t="e">
        <f t="shared" ca="1" si="930"/>
        <v>#DIV/0!</v>
      </c>
      <c r="V98" s="162" t="e">
        <f t="shared" ca="1" si="930"/>
        <v>#DIV/0!</v>
      </c>
      <c r="W98" s="162" t="e">
        <f t="shared" ca="1" si="930"/>
        <v>#DIV/0!</v>
      </c>
      <c r="X98" s="162" t="e">
        <f t="shared" ca="1" si="930"/>
        <v>#DIV/0!</v>
      </c>
      <c r="Y98" s="162" t="e">
        <f t="shared" ca="1" si="930"/>
        <v>#DIV/0!</v>
      </c>
      <c r="Z98" s="162" t="e">
        <f t="shared" ca="1" si="930"/>
        <v>#DIV/0!</v>
      </c>
      <c r="AA98" s="162" t="e">
        <f t="shared" ca="1" si="930"/>
        <v>#DIV/0!</v>
      </c>
      <c r="AB98" s="21" t="e">
        <f t="shared" ca="1" si="930"/>
        <v>#DIV/0!</v>
      </c>
      <c r="AC98" s="21" t="e">
        <f t="shared" ca="1" si="930"/>
        <v>#DIV/0!</v>
      </c>
      <c r="AD98" s="21" t="e">
        <f t="shared" ca="1" si="930"/>
        <v>#DIV/0!</v>
      </c>
      <c r="AE98" s="21" t="e">
        <f t="shared" ca="1" si="930"/>
        <v>#DIV/0!</v>
      </c>
      <c r="AL98" s="162">
        <f t="shared" ref="AL98:BQ98" si="931">+AL$126/AL$71</f>
        <v>0</v>
      </c>
      <c r="AM98" s="162">
        <f t="shared" si="931"/>
        <v>0</v>
      </c>
      <c r="AN98" s="162">
        <f t="shared" si="931"/>
        <v>0</v>
      </c>
      <c r="AO98" s="162">
        <f t="shared" si="931"/>
        <v>0</v>
      </c>
      <c r="AP98" s="162">
        <f t="shared" si="931"/>
        <v>0</v>
      </c>
      <c r="AQ98" s="162">
        <f t="shared" si="931"/>
        <v>0</v>
      </c>
      <c r="AR98" s="162">
        <f t="shared" si="931"/>
        <v>0</v>
      </c>
      <c r="AS98" s="162">
        <f t="shared" si="931"/>
        <v>0</v>
      </c>
      <c r="AT98" s="162">
        <f t="shared" si="931"/>
        <v>0</v>
      </c>
      <c r="AU98" s="162">
        <f t="shared" si="931"/>
        <v>0</v>
      </c>
      <c r="AV98" s="162">
        <f t="shared" si="931"/>
        <v>0</v>
      </c>
      <c r="AW98" s="162">
        <f t="shared" si="931"/>
        <v>0</v>
      </c>
      <c r="AX98" s="162">
        <f t="shared" si="931"/>
        <v>0</v>
      </c>
      <c r="AY98" s="162">
        <f t="shared" si="931"/>
        <v>0</v>
      </c>
      <c r="AZ98" s="162">
        <f t="shared" si="931"/>
        <v>0</v>
      </c>
      <c r="BA98" s="162">
        <f t="shared" si="931"/>
        <v>0</v>
      </c>
      <c r="BB98" s="162">
        <f t="shared" si="931"/>
        <v>0</v>
      </c>
      <c r="BC98" s="162">
        <f t="shared" si="931"/>
        <v>0</v>
      </c>
      <c r="BD98" s="162">
        <f t="shared" si="931"/>
        <v>0</v>
      </c>
      <c r="BE98" s="162">
        <f t="shared" si="931"/>
        <v>0</v>
      </c>
      <c r="BF98" s="162">
        <f t="shared" si="931"/>
        <v>0</v>
      </c>
      <c r="BG98" s="162">
        <f t="shared" si="931"/>
        <v>0</v>
      </c>
      <c r="BH98" s="162">
        <f t="shared" si="931"/>
        <v>0</v>
      </c>
      <c r="BI98" s="162">
        <f t="shared" si="931"/>
        <v>0</v>
      </c>
      <c r="BJ98" s="162">
        <f t="shared" si="931"/>
        <v>0</v>
      </c>
      <c r="BK98" s="162">
        <f t="shared" si="931"/>
        <v>0</v>
      </c>
      <c r="BL98" s="162">
        <f t="shared" si="931"/>
        <v>0</v>
      </c>
      <c r="BM98" s="162">
        <f t="shared" si="931"/>
        <v>0</v>
      </c>
      <c r="BN98" s="162">
        <f t="shared" si="931"/>
        <v>0</v>
      </c>
      <c r="BO98" s="162">
        <f t="shared" si="931"/>
        <v>0</v>
      </c>
      <c r="BP98" s="162">
        <f t="shared" si="931"/>
        <v>0</v>
      </c>
      <c r="BQ98" s="162">
        <f t="shared" si="931"/>
        <v>0</v>
      </c>
      <c r="BR98" s="162">
        <f t="shared" ref="BR98:DB98" si="932">+BR$126/BR$71</f>
        <v>0</v>
      </c>
      <c r="BS98" s="162">
        <f t="shared" si="932"/>
        <v>0</v>
      </c>
      <c r="BT98" s="162">
        <f t="shared" si="932"/>
        <v>0</v>
      </c>
      <c r="BU98" s="162">
        <f t="shared" si="932"/>
        <v>0</v>
      </c>
      <c r="BV98" s="162">
        <f t="shared" si="932"/>
        <v>0</v>
      </c>
      <c r="BW98" s="162">
        <f t="shared" si="932"/>
        <v>0</v>
      </c>
      <c r="BX98" s="162">
        <f t="shared" si="932"/>
        <v>0</v>
      </c>
      <c r="BY98" s="162">
        <f t="shared" si="932"/>
        <v>3.6573823021937417</v>
      </c>
      <c r="BZ98" s="162">
        <f t="shared" si="932"/>
        <v>73.686221345822048</v>
      </c>
      <c r="CA98" s="162">
        <f t="shared" si="932"/>
        <v>78.407197436529458</v>
      </c>
      <c r="CB98" s="162">
        <f t="shared" si="932"/>
        <v>0</v>
      </c>
      <c r="CC98" s="162">
        <f t="shared" si="932"/>
        <v>4.1957111165886074</v>
      </c>
      <c r="CD98" s="162">
        <f t="shared" si="932"/>
        <v>79.389203845205827</v>
      </c>
      <c r="CE98" s="162">
        <f t="shared" si="932"/>
        <v>83.383041656396344</v>
      </c>
      <c r="CF98" s="162">
        <f t="shared" si="932"/>
        <v>79.247966477692884</v>
      </c>
      <c r="CG98" s="162">
        <f t="shared" si="932"/>
        <v>83.404732561005687</v>
      </c>
      <c r="CH98" s="162">
        <f t="shared" si="932"/>
        <v>88.228247473502591</v>
      </c>
      <c r="CI98" s="162">
        <f t="shared" si="932"/>
        <v>92.425437515405463</v>
      </c>
      <c r="CJ98" s="162">
        <f t="shared" si="932"/>
        <v>87.906088242543746</v>
      </c>
      <c r="CK98" s="162">
        <f t="shared" si="932"/>
        <v>88.058903265557603</v>
      </c>
      <c r="CL98" s="162">
        <f t="shared" si="932"/>
        <v>96.634729064039405</v>
      </c>
      <c r="CM98" s="21">
        <f t="shared" si="932"/>
        <v>97.389289896749304</v>
      </c>
      <c r="CN98" s="21">
        <f t="shared" si="932"/>
        <v>99.882650930552344</v>
      </c>
      <c r="CO98" s="21">
        <f t="shared" si="932"/>
        <v>103.51620664998437</v>
      </c>
      <c r="CP98" s="21">
        <f t="shared" si="932"/>
        <v>108.51389276030294</v>
      </c>
      <c r="CQ98" s="21">
        <f t="shared" si="932"/>
        <v>113.26350980181536</v>
      </c>
      <c r="CR98" s="21">
        <f t="shared" si="932"/>
        <v>118.93770960058033</v>
      </c>
      <c r="CS98" s="21">
        <f t="shared" si="932"/>
        <v>125.27546198116912</v>
      </c>
      <c r="CT98" s="21">
        <f t="shared" si="932"/>
        <v>133.07741088335368</v>
      </c>
      <c r="CU98" s="21">
        <f t="shared" si="932"/>
        <v>139.69269463498691</v>
      </c>
      <c r="CV98" s="21">
        <f t="shared" si="932"/>
        <v>147.48474642394984</v>
      </c>
      <c r="CW98" s="21">
        <f t="shared" si="932"/>
        <v>156.06734561126314</v>
      </c>
      <c r="CX98" s="21">
        <f t="shared" si="932"/>
        <v>166.36741265061576</v>
      </c>
      <c r="CY98" s="21">
        <f t="shared" si="932"/>
        <v>175.33146815072769</v>
      </c>
      <c r="CZ98" s="21">
        <f t="shared" si="932"/>
        <v>185.46965408668828</v>
      </c>
      <c r="DA98" s="21">
        <f t="shared" si="932"/>
        <v>196.40358520323016</v>
      </c>
      <c r="DB98" s="21">
        <f t="shared" si="932"/>
        <v>209.34508089633229</v>
      </c>
      <c r="DE98" s="22"/>
      <c r="DF98" s="162">
        <v>92.149142710551544</v>
      </c>
    </row>
    <row r="99" spans="1:110" s="162" customFormat="1" x14ac:dyDescent="0.2">
      <c r="A99" s="49" t="s">
        <v>501</v>
      </c>
      <c r="AB99" s="21"/>
      <c r="AC99" s="21"/>
      <c r="AD99" s="21"/>
      <c r="AE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E99" s="22"/>
    </row>
    <row r="100" spans="1:110" s="162" customFormat="1" x14ac:dyDescent="0.2">
      <c r="A100" s="49" t="s">
        <v>502</v>
      </c>
      <c r="E100" s="162" t="e">
        <f t="shared" ref="E100:AE102" ca="1" si="933">+E83/E$98</f>
        <v>#DIV/0!</v>
      </c>
      <c r="F100" s="162" t="e">
        <f t="shared" ca="1" si="933"/>
        <v>#DIV/0!</v>
      </c>
      <c r="G100" s="162" t="e">
        <f t="shared" ca="1" si="933"/>
        <v>#DIV/0!</v>
      </c>
      <c r="H100" s="162" t="e">
        <f t="shared" ca="1" si="933"/>
        <v>#DIV/0!</v>
      </c>
      <c r="I100" s="162" t="e">
        <f t="shared" ca="1" si="933"/>
        <v>#DIV/0!</v>
      </c>
      <c r="J100" s="162" t="e">
        <f t="shared" ca="1" si="933"/>
        <v>#DIV/0!</v>
      </c>
      <c r="K100" s="162" t="e">
        <f t="shared" ca="1" si="933"/>
        <v>#DIV/0!</v>
      </c>
      <c r="L100" s="162" t="e">
        <f t="shared" ca="1" si="933"/>
        <v>#DIV/0!</v>
      </c>
      <c r="M100" s="162" t="e">
        <f t="shared" ca="1" si="933"/>
        <v>#DIV/0!</v>
      </c>
      <c r="N100" s="162" t="e">
        <f t="shared" ca="1" si="933"/>
        <v>#DIV/0!</v>
      </c>
      <c r="O100" s="162" t="e">
        <f t="shared" ca="1" si="933"/>
        <v>#DIV/0!</v>
      </c>
      <c r="P100" s="162" t="e">
        <f t="shared" ca="1" si="933"/>
        <v>#DIV/0!</v>
      </c>
      <c r="Q100" s="162" t="e">
        <f t="shared" ca="1" si="933"/>
        <v>#DIV/0!</v>
      </c>
      <c r="R100" s="162" t="e">
        <f t="shared" ca="1" si="933"/>
        <v>#DIV/0!</v>
      </c>
      <c r="S100" s="162" t="e">
        <f t="shared" ca="1" si="933"/>
        <v>#DIV/0!</v>
      </c>
      <c r="T100" s="162" t="e">
        <f t="shared" ca="1" si="933"/>
        <v>#DIV/0!</v>
      </c>
      <c r="U100" s="162" t="e">
        <f t="shared" ca="1" si="933"/>
        <v>#DIV/0!</v>
      </c>
      <c r="V100" s="162" t="e">
        <f t="shared" ca="1" si="933"/>
        <v>#DIV/0!</v>
      </c>
      <c r="W100" s="162" t="e">
        <f t="shared" ca="1" si="933"/>
        <v>#DIV/0!</v>
      </c>
      <c r="X100" s="162" t="e">
        <f t="shared" ca="1" si="933"/>
        <v>#DIV/0!</v>
      </c>
      <c r="Y100" s="162" t="e">
        <f t="shared" ca="1" si="933"/>
        <v>#DIV/0!</v>
      </c>
      <c r="Z100" s="162" t="e">
        <f t="shared" ca="1" si="933"/>
        <v>#DIV/0!</v>
      </c>
      <c r="AA100" s="162" t="e">
        <f t="shared" ref="AA100" ca="1" si="934">+AA83/AA$98</f>
        <v>#DIV/0!</v>
      </c>
      <c r="AB100" s="21" t="e">
        <f t="shared" ca="1" si="933"/>
        <v>#DIV/0!</v>
      </c>
      <c r="AC100" s="21" t="e">
        <f t="shared" ca="1" si="933"/>
        <v>#DIV/0!</v>
      </c>
      <c r="AD100" s="21" t="e">
        <f t="shared" ca="1" si="933"/>
        <v>#DIV/0!</v>
      </c>
      <c r="AE100" s="21" t="e">
        <f t="shared" ca="1" si="933"/>
        <v>#DIV/0!</v>
      </c>
      <c r="AL100" s="162" t="e">
        <f t="shared" ref="AL100:CI102" si="935">+AL83/AL$98</f>
        <v>#DIV/0!</v>
      </c>
      <c r="AM100" s="162" t="e">
        <f t="shared" si="935"/>
        <v>#DIV/0!</v>
      </c>
      <c r="AN100" s="162" t="e">
        <f t="shared" si="935"/>
        <v>#DIV/0!</v>
      </c>
      <c r="AO100" s="162" t="e">
        <f t="shared" si="935"/>
        <v>#DIV/0!</v>
      </c>
      <c r="AP100" s="162" t="e">
        <f t="shared" si="935"/>
        <v>#DIV/0!</v>
      </c>
      <c r="AQ100" s="162" t="e">
        <f t="shared" si="935"/>
        <v>#DIV/0!</v>
      </c>
      <c r="AR100" s="162" t="e">
        <f t="shared" si="935"/>
        <v>#DIV/0!</v>
      </c>
      <c r="AS100" s="162" t="e">
        <f t="shared" si="935"/>
        <v>#DIV/0!</v>
      </c>
      <c r="AT100" s="162" t="e">
        <f t="shared" si="935"/>
        <v>#DIV/0!</v>
      </c>
      <c r="AU100" s="162" t="e">
        <f t="shared" si="935"/>
        <v>#DIV/0!</v>
      </c>
      <c r="AV100" s="162" t="e">
        <f t="shared" si="935"/>
        <v>#DIV/0!</v>
      </c>
      <c r="AW100" s="162" t="e">
        <f t="shared" si="935"/>
        <v>#DIV/0!</v>
      </c>
      <c r="AX100" s="162" t="e">
        <f t="shared" si="935"/>
        <v>#DIV/0!</v>
      </c>
      <c r="AY100" s="162" t="e">
        <f t="shared" si="935"/>
        <v>#DIV/0!</v>
      </c>
      <c r="AZ100" s="162" t="e">
        <f t="shared" si="935"/>
        <v>#DIV/0!</v>
      </c>
      <c r="BA100" s="162" t="e">
        <f t="shared" si="935"/>
        <v>#DIV/0!</v>
      </c>
      <c r="BB100" s="162" t="e">
        <f t="shared" si="935"/>
        <v>#DIV/0!</v>
      </c>
      <c r="BC100" s="162" t="e">
        <f t="shared" si="935"/>
        <v>#DIV/0!</v>
      </c>
      <c r="BD100" s="162" t="e">
        <f t="shared" si="935"/>
        <v>#DIV/0!</v>
      </c>
      <c r="BE100" s="162" t="e">
        <f t="shared" si="935"/>
        <v>#DIV/0!</v>
      </c>
      <c r="BF100" s="162" t="e">
        <f t="shared" si="935"/>
        <v>#DIV/0!</v>
      </c>
      <c r="BG100" s="162" t="e">
        <f t="shared" si="935"/>
        <v>#DIV/0!</v>
      </c>
      <c r="BH100" s="162" t="e">
        <f t="shared" si="935"/>
        <v>#DIV/0!</v>
      </c>
      <c r="BI100" s="162" t="e">
        <f t="shared" si="935"/>
        <v>#DIV/0!</v>
      </c>
      <c r="BJ100" s="162" t="e">
        <f t="shared" si="935"/>
        <v>#DIV/0!</v>
      </c>
      <c r="BK100" s="162" t="e">
        <f t="shared" si="935"/>
        <v>#DIV/0!</v>
      </c>
      <c r="BL100" s="162" t="e">
        <f t="shared" si="935"/>
        <v>#DIV/0!</v>
      </c>
      <c r="BM100" s="162" t="e">
        <f t="shared" si="935"/>
        <v>#DIV/0!</v>
      </c>
      <c r="BN100" s="162" t="e">
        <f t="shared" si="935"/>
        <v>#DIV/0!</v>
      </c>
      <c r="BO100" s="162" t="e">
        <f t="shared" si="935"/>
        <v>#DIV/0!</v>
      </c>
      <c r="BP100" s="162" t="e">
        <f t="shared" si="935"/>
        <v>#DIV/0!</v>
      </c>
      <c r="BQ100" s="162" t="e">
        <f t="shared" si="935"/>
        <v>#DIV/0!</v>
      </c>
      <c r="BR100" s="162" t="e">
        <f t="shared" si="935"/>
        <v>#DIV/0!</v>
      </c>
      <c r="BS100" s="162" t="e">
        <f t="shared" si="935"/>
        <v>#DIV/0!</v>
      </c>
      <c r="BT100" s="162" t="e">
        <f t="shared" si="935"/>
        <v>#DIV/0!</v>
      </c>
      <c r="BU100" s="162" t="e">
        <f t="shared" si="935"/>
        <v>#DIV/0!</v>
      </c>
      <c r="BV100" s="162" t="e">
        <f t="shared" si="935"/>
        <v>#DIV/0!</v>
      </c>
      <c r="BW100" s="162" t="e">
        <f t="shared" si="935"/>
        <v>#DIV/0!</v>
      </c>
      <c r="BX100" s="162" t="e">
        <f t="shared" si="935"/>
        <v>#DIV/0!</v>
      </c>
      <c r="BY100" s="162">
        <f t="shared" si="935"/>
        <v>0</v>
      </c>
      <c r="BZ100" s="162">
        <f t="shared" si="935"/>
        <v>0</v>
      </c>
      <c r="CA100" s="162">
        <f t="shared" si="935"/>
        <v>0</v>
      </c>
      <c r="CB100" s="162" t="e">
        <f t="shared" si="935"/>
        <v>#DIV/0!</v>
      </c>
      <c r="CC100" s="162">
        <f t="shared" si="935"/>
        <v>281.3468246974507</v>
      </c>
      <c r="CD100" s="162">
        <f t="shared" si="935"/>
        <v>12.860060947212199</v>
      </c>
      <c r="CE100" s="162">
        <f t="shared" si="935"/>
        <v>12.250692463455371</v>
      </c>
      <c r="CF100" s="162">
        <f t="shared" si="935"/>
        <v>13.922754728483493</v>
      </c>
      <c r="CG100" s="162">
        <f t="shared" si="935"/>
        <v>10.688242412958479</v>
      </c>
      <c r="CH100" s="162">
        <f t="shared" si="935"/>
        <v>7.6874472679931385</v>
      </c>
      <c r="CI100" s="162">
        <f t="shared" si="935"/>
        <v>7.6926874149932001</v>
      </c>
      <c r="CJ100" s="162">
        <f>+CJ83/CJ$98</f>
        <v>7.6149446913511012</v>
      </c>
      <c r="CK100" s="162">
        <f>+CK83/CK$98</f>
        <v>7.2917101643161617</v>
      </c>
      <c r="CL100" s="162">
        <f>+CL83/CL$98</f>
        <v>5.2719141962139693</v>
      </c>
      <c r="CM100" s="21">
        <f t="shared" ref="CM100:DB100" si="936">+CM83/CM$98</f>
        <v>5.2310680213410672</v>
      </c>
      <c r="CN100" s="21">
        <f t="shared" si="936"/>
        <v>5.100485372121498</v>
      </c>
      <c r="CO100" s="21">
        <f t="shared" si="936"/>
        <v>4.9214515918515538</v>
      </c>
      <c r="CP100" s="21">
        <f t="shared" si="936"/>
        <v>4.6947905658985754</v>
      </c>
      <c r="CQ100" s="21">
        <f t="shared" si="936"/>
        <v>4.4979181811637154</v>
      </c>
      <c r="CR100" s="21">
        <f t="shared" si="936"/>
        <v>4.2833345430212839</v>
      </c>
      <c r="CS100" s="21">
        <f t="shared" si="936"/>
        <v>4.0666383659122198</v>
      </c>
      <c r="CT100" s="21">
        <f t="shared" si="936"/>
        <v>3.8282229614953067</v>
      </c>
      <c r="CU100" s="21">
        <f t="shared" si="936"/>
        <v>3.646933730723561</v>
      </c>
      <c r="CV100" s="21">
        <f t="shared" si="936"/>
        <v>3.4542555237242563</v>
      </c>
      <c r="CW100" s="21">
        <f t="shared" si="936"/>
        <v>3.2642959230494775</v>
      </c>
      <c r="CX100" s="21">
        <f t="shared" si="936"/>
        <v>3.0621982507468801</v>
      </c>
      <c r="CY100" s="21">
        <f t="shared" si="936"/>
        <v>2.9056392749876463</v>
      </c>
      <c r="CZ100" s="21">
        <f t="shared" si="936"/>
        <v>2.7468105362502251</v>
      </c>
      <c r="DA100" s="21">
        <f t="shared" si="936"/>
        <v>2.5938935863764532</v>
      </c>
      <c r="DB100" s="21">
        <f t="shared" si="936"/>
        <v>2.4335417761847467</v>
      </c>
      <c r="DE100" s="22"/>
      <c r="DF100" s="162">
        <v>5.5285375969283477</v>
      </c>
    </row>
    <row r="101" spans="1:110" s="162" customFormat="1" x14ac:dyDescent="0.2">
      <c r="A101" s="49" t="s">
        <v>503</v>
      </c>
      <c r="E101" s="162" t="e">
        <f t="shared" ca="1" si="933"/>
        <v>#DIV/0!</v>
      </c>
      <c r="F101" s="162" t="e">
        <f t="shared" ca="1" si="933"/>
        <v>#DIV/0!</v>
      </c>
      <c r="G101" s="162" t="e">
        <f t="shared" ca="1" si="933"/>
        <v>#DIV/0!</v>
      </c>
      <c r="H101" s="162" t="e">
        <f t="shared" ca="1" si="933"/>
        <v>#DIV/0!</v>
      </c>
      <c r="I101" s="162" t="e">
        <f t="shared" ca="1" si="933"/>
        <v>#DIV/0!</v>
      </c>
      <c r="J101" s="162" t="e">
        <f t="shared" ca="1" si="933"/>
        <v>#DIV/0!</v>
      </c>
      <c r="K101" s="162" t="e">
        <f t="shared" ca="1" si="933"/>
        <v>#DIV/0!</v>
      </c>
      <c r="L101" s="162" t="e">
        <f t="shared" ca="1" si="933"/>
        <v>#DIV/0!</v>
      </c>
      <c r="M101" s="162" t="e">
        <f t="shared" ca="1" si="933"/>
        <v>#DIV/0!</v>
      </c>
      <c r="N101" s="162" t="e">
        <f t="shared" ca="1" si="933"/>
        <v>#DIV/0!</v>
      </c>
      <c r="O101" s="162" t="e">
        <f t="shared" ca="1" si="933"/>
        <v>#DIV/0!</v>
      </c>
      <c r="P101" s="162" t="e">
        <f t="shared" ca="1" si="933"/>
        <v>#DIV/0!</v>
      </c>
      <c r="Q101" s="162" t="e">
        <f t="shared" ca="1" si="933"/>
        <v>#DIV/0!</v>
      </c>
      <c r="R101" s="162" t="e">
        <f t="shared" ca="1" si="933"/>
        <v>#DIV/0!</v>
      </c>
      <c r="S101" s="162" t="e">
        <f t="shared" ca="1" si="933"/>
        <v>#DIV/0!</v>
      </c>
      <c r="T101" s="162" t="e">
        <f t="shared" ca="1" si="933"/>
        <v>#DIV/0!</v>
      </c>
      <c r="U101" s="162" t="e">
        <f t="shared" ca="1" si="933"/>
        <v>#DIV/0!</v>
      </c>
      <c r="V101" s="162" t="e">
        <f t="shared" ca="1" si="933"/>
        <v>#DIV/0!</v>
      </c>
      <c r="W101" s="162" t="e">
        <f t="shared" ca="1" si="933"/>
        <v>#DIV/0!</v>
      </c>
      <c r="X101" s="162" t="e">
        <f t="shared" ca="1" si="933"/>
        <v>#DIV/0!</v>
      </c>
      <c r="Y101" s="162" t="e">
        <f t="shared" ca="1" si="933"/>
        <v>#DIV/0!</v>
      </c>
      <c r="Z101" s="162" t="e">
        <f t="shared" ca="1" si="933"/>
        <v>#DIV/0!</v>
      </c>
      <c r="AA101" s="162" t="e">
        <f t="shared" ref="AA101" ca="1" si="937">+AA84/AA$98</f>
        <v>#DIV/0!</v>
      </c>
      <c r="AB101" s="21" t="e">
        <f t="shared" ca="1" si="933"/>
        <v>#DIV/0!</v>
      </c>
      <c r="AC101" s="21" t="e">
        <f t="shared" ca="1" si="933"/>
        <v>#DIV/0!</v>
      </c>
      <c r="AD101" s="21" t="e">
        <f t="shared" ca="1" si="933"/>
        <v>#DIV/0!</v>
      </c>
      <c r="AE101" s="21" t="e">
        <f t="shared" ca="1" si="933"/>
        <v>#DIV/0!</v>
      </c>
      <c r="AL101" s="162" t="e">
        <f t="shared" si="935"/>
        <v>#DIV/0!</v>
      </c>
      <c r="AM101" s="162" t="e">
        <f t="shared" si="935"/>
        <v>#DIV/0!</v>
      </c>
      <c r="AN101" s="162" t="e">
        <f t="shared" si="935"/>
        <v>#DIV/0!</v>
      </c>
      <c r="AO101" s="162" t="e">
        <f t="shared" si="935"/>
        <v>#DIV/0!</v>
      </c>
      <c r="AP101" s="162" t="e">
        <f t="shared" si="935"/>
        <v>#DIV/0!</v>
      </c>
      <c r="AQ101" s="162" t="e">
        <f t="shared" si="935"/>
        <v>#DIV/0!</v>
      </c>
      <c r="AR101" s="162" t="e">
        <f t="shared" si="935"/>
        <v>#DIV/0!</v>
      </c>
      <c r="AS101" s="162" t="e">
        <f t="shared" si="935"/>
        <v>#DIV/0!</v>
      </c>
      <c r="AT101" s="162" t="e">
        <f t="shared" si="935"/>
        <v>#DIV/0!</v>
      </c>
      <c r="AU101" s="162" t="e">
        <f t="shared" si="935"/>
        <v>#DIV/0!</v>
      </c>
      <c r="AV101" s="162" t="e">
        <f t="shared" si="935"/>
        <v>#DIV/0!</v>
      </c>
      <c r="AW101" s="162" t="e">
        <f t="shared" si="935"/>
        <v>#DIV/0!</v>
      </c>
      <c r="AX101" s="162" t="e">
        <f t="shared" si="935"/>
        <v>#DIV/0!</v>
      </c>
      <c r="AY101" s="162" t="e">
        <f t="shared" si="935"/>
        <v>#DIV/0!</v>
      </c>
      <c r="AZ101" s="162" t="e">
        <f t="shared" si="935"/>
        <v>#DIV/0!</v>
      </c>
      <c r="BA101" s="162" t="e">
        <f t="shared" si="935"/>
        <v>#DIV/0!</v>
      </c>
      <c r="BB101" s="162" t="e">
        <f t="shared" si="935"/>
        <v>#DIV/0!</v>
      </c>
      <c r="BC101" s="162" t="e">
        <f t="shared" si="935"/>
        <v>#DIV/0!</v>
      </c>
      <c r="BD101" s="162" t="e">
        <f t="shared" si="935"/>
        <v>#DIV/0!</v>
      </c>
      <c r="BE101" s="162" t="e">
        <f t="shared" si="935"/>
        <v>#DIV/0!</v>
      </c>
      <c r="BF101" s="162" t="e">
        <f t="shared" si="935"/>
        <v>#DIV/0!</v>
      </c>
      <c r="BG101" s="162" t="e">
        <f t="shared" si="935"/>
        <v>#DIV/0!</v>
      </c>
      <c r="BH101" s="162" t="e">
        <f t="shared" si="935"/>
        <v>#DIV/0!</v>
      </c>
      <c r="BI101" s="162" t="e">
        <f t="shared" si="935"/>
        <v>#DIV/0!</v>
      </c>
      <c r="BJ101" s="162" t="e">
        <f t="shared" si="935"/>
        <v>#DIV/0!</v>
      </c>
      <c r="BK101" s="162" t="e">
        <f t="shared" si="935"/>
        <v>#DIV/0!</v>
      </c>
      <c r="BL101" s="162" t="e">
        <f t="shared" si="935"/>
        <v>#DIV/0!</v>
      </c>
      <c r="BM101" s="162" t="e">
        <f t="shared" si="935"/>
        <v>#DIV/0!</v>
      </c>
      <c r="BN101" s="162" t="e">
        <f t="shared" si="935"/>
        <v>#DIV/0!</v>
      </c>
      <c r="BO101" s="162" t="e">
        <f t="shared" si="935"/>
        <v>#DIV/0!</v>
      </c>
      <c r="BP101" s="162" t="e">
        <f t="shared" si="935"/>
        <v>#DIV/0!</v>
      </c>
      <c r="BQ101" s="162" t="e">
        <f t="shared" si="935"/>
        <v>#DIV/0!</v>
      </c>
      <c r="BR101" s="162" t="e">
        <f t="shared" si="935"/>
        <v>#DIV/0!</v>
      </c>
      <c r="BS101" s="162" t="e">
        <f t="shared" si="935"/>
        <v>#DIV/0!</v>
      </c>
      <c r="BT101" s="162" t="e">
        <f t="shared" si="935"/>
        <v>#DIV/0!</v>
      </c>
      <c r="BU101" s="162" t="e">
        <f t="shared" si="935"/>
        <v>#DIV/0!</v>
      </c>
      <c r="BV101" s="162" t="e">
        <f t="shared" si="935"/>
        <v>#DIV/0!</v>
      </c>
      <c r="BW101" s="162" t="e">
        <f t="shared" si="935"/>
        <v>#DIV/0!</v>
      </c>
      <c r="BX101" s="162" t="e">
        <f t="shared" si="935"/>
        <v>#DIV/0!</v>
      </c>
      <c r="BY101" s="162">
        <f t="shared" si="935"/>
        <v>0</v>
      </c>
      <c r="BZ101" s="162">
        <f t="shared" si="935"/>
        <v>0</v>
      </c>
      <c r="CA101" s="162">
        <f t="shared" si="935"/>
        <v>0</v>
      </c>
      <c r="CB101" s="162" t="e">
        <f t="shared" si="935"/>
        <v>#DIV/0!</v>
      </c>
      <c r="CC101" s="162">
        <f t="shared" si="935"/>
        <v>333.67406885207419</v>
      </c>
      <c r="CD101" s="162">
        <f t="shared" si="935"/>
        <v>15.115405393657515</v>
      </c>
      <c r="CE101" s="162">
        <f t="shared" si="935"/>
        <v>13.755794670174557</v>
      </c>
      <c r="CF101" s="162">
        <f t="shared" si="935"/>
        <v>14.322134061565928</v>
      </c>
      <c r="CG101" s="162">
        <f t="shared" si="935"/>
        <v>13.330778312690429</v>
      </c>
      <c r="CH101" s="162">
        <f t="shared" si="935"/>
        <v>10.344192774248341</v>
      </c>
      <c r="CI101" s="162">
        <f t="shared" si="935"/>
        <v>8.6231671867082706</v>
      </c>
      <c r="CJ101" s="162">
        <f t="shared" ref="CJ101:CK102" si="938">+CJ84/CJ$98</f>
        <v>8.4749533837116378</v>
      </c>
      <c r="CK101" s="162">
        <f t="shared" si="938"/>
        <v>8.2070065967159174</v>
      </c>
      <c r="CL101" s="162">
        <f t="shared" ref="CL101" si="939">+CL84/CL$98</f>
        <v>7.1423597570456021</v>
      </c>
      <c r="CM101" s="94">
        <f t="shared" ref="CM101:DB101" si="940">+CL101</f>
        <v>7.1423597570456021</v>
      </c>
      <c r="CN101" s="94">
        <f t="shared" si="940"/>
        <v>7.1423597570456021</v>
      </c>
      <c r="CO101" s="94">
        <f t="shared" si="940"/>
        <v>7.1423597570456021</v>
      </c>
      <c r="CP101" s="94">
        <f t="shared" si="940"/>
        <v>7.1423597570456021</v>
      </c>
      <c r="CQ101" s="94">
        <f t="shared" si="940"/>
        <v>7.1423597570456021</v>
      </c>
      <c r="CR101" s="94">
        <f t="shared" si="940"/>
        <v>7.1423597570456021</v>
      </c>
      <c r="CS101" s="94">
        <f t="shared" si="940"/>
        <v>7.1423597570456021</v>
      </c>
      <c r="CT101" s="94">
        <f t="shared" si="940"/>
        <v>7.1423597570456021</v>
      </c>
      <c r="CU101" s="94">
        <f t="shared" si="940"/>
        <v>7.1423597570456021</v>
      </c>
      <c r="CV101" s="94">
        <f t="shared" si="940"/>
        <v>7.1423597570456021</v>
      </c>
      <c r="CW101" s="94">
        <f t="shared" si="940"/>
        <v>7.1423597570456021</v>
      </c>
      <c r="CX101" s="94">
        <f t="shared" si="940"/>
        <v>7.1423597570456021</v>
      </c>
      <c r="CY101" s="94">
        <f t="shared" si="940"/>
        <v>7.1423597570456021</v>
      </c>
      <c r="CZ101" s="94">
        <f t="shared" si="940"/>
        <v>7.1423597570456021</v>
      </c>
      <c r="DA101" s="94">
        <f t="shared" si="940"/>
        <v>7.1423597570456021</v>
      </c>
      <c r="DB101" s="94">
        <f t="shared" si="940"/>
        <v>7.1423597570456021</v>
      </c>
      <c r="DC101" s="94"/>
      <c r="DE101" s="22"/>
      <c r="DF101" s="162">
        <v>7.490031699676015</v>
      </c>
    </row>
    <row r="102" spans="1:110" s="162" customFormat="1" x14ac:dyDescent="0.2">
      <c r="A102" s="49" t="s">
        <v>504</v>
      </c>
      <c r="E102" s="162" t="e">
        <f t="shared" ca="1" si="933"/>
        <v>#DIV/0!</v>
      </c>
      <c r="F102" s="162" t="e">
        <f t="shared" ca="1" si="933"/>
        <v>#DIV/0!</v>
      </c>
      <c r="G102" s="162" t="e">
        <f t="shared" ca="1" si="933"/>
        <v>#DIV/0!</v>
      </c>
      <c r="H102" s="162" t="e">
        <f t="shared" ca="1" si="933"/>
        <v>#DIV/0!</v>
      </c>
      <c r="I102" s="162" t="e">
        <f t="shared" ca="1" si="933"/>
        <v>#DIV/0!</v>
      </c>
      <c r="J102" s="162" t="e">
        <f t="shared" ca="1" si="933"/>
        <v>#DIV/0!</v>
      </c>
      <c r="K102" s="162" t="e">
        <f t="shared" ca="1" si="933"/>
        <v>#DIV/0!</v>
      </c>
      <c r="L102" s="162" t="e">
        <f t="shared" ca="1" si="933"/>
        <v>#DIV/0!</v>
      </c>
      <c r="M102" s="162" t="e">
        <f t="shared" ca="1" si="933"/>
        <v>#DIV/0!</v>
      </c>
      <c r="N102" s="162" t="e">
        <f t="shared" ca="1" si="933"/>
        <v>#DIV/0!</v>
      </c>
      <c r="O102" s="162" t="e">
        <f t="shared" ca="1" si="933"/>
        <v>#DIV/0!</v>
      </c>
      <c r="P102" s="162" t="e">
        <f t="shared" ca="1" si="933"/>
        <v>#DIV/0!</v>
      </c>
      <c r="Q102" s="162" t="e">
        <f t="shared" ca="1" si="933"/>
        <v>#DIV/0!</v>
      </c>
      <c r="R102" s="162" t="e">
        <f t="shared" ca="1" si="933"/>
        <v>#DIV/0!</v>
      </c>
      <c r="S102" s="162" t="e">
        <f t="shared" ca="1" si="933"/>
        <v>#DIV/0!</v>
      </c>
      <c r="T102" s="162" t="e">
        <f t="shared" ca="1" si="933"/>
        <v>#DIV/0!</v>
      </c>
      <c r="U102" s="162" t="e">
        <f t="shared" ca="1" si="933"/>
        <v>#DIV/0!</v>
      </c>
      <c r="V102" s="162" t="e">
        <f t="shared" ca="1" si="933"/>
        <v>#DIV/0!</v>
      </c>
      <c r="W102" s="162" t="e">
        <f t="shared" ca="1" si="933"/>
        <v>#DIV/0!</v>
      </c>
      <c r="X102" s="162" t="e">
        <f t="shared" ca="1" si="933"/>
        <v>#DIV/0!</v>
      </c>
      <c r="Y102" s="162" t="e">
        <f t="shared" ca="1" si="933"/>
        <v>#DIV/0!</v>
      </c>
      <c r="Z102" s="162" t="e">
        <f t="shared" ca="1" si="933"/>
        <v>#DIV/0!</v>
      </c>
      <c r="AA102" s="162" t="e">
        <f t="shared" ref="AA102" ca="1" si="941">+AA85/AA$98</f>
        <v>#DIV/0!</v>
      </c>
      <c r="AB102" s="21" t="e">
        <f t="shared" ca="1" si="933"/>
        <v>#DIV/0!</v>
      </c>
      <c r="AC102" s="21" t="e">
        <f t="shared" ca="1" si="933"/>
        <v>#DIV/0!</v>
      </c>
      <c r="AD102" s="21" t="e">
        <f t="shared" ca="1" si="933"/>
        <v>#DIV/0!</v>
      </c>
      <c r="AE102" s="21" t="e">
        <f t="shared" ca="1" si="933"/>
        <v>#DIV/0!</v>
      </c>
      <c r="AL102" s="162" t="e">
        <f t="shared" si="935"/>
        <v>#DIV/0!</v>
      </c>
      <c r="AM102" s="162" t="e">
        <f t="shared" si="935"/>
        <v>#DIV/0!</v>
      </c>
      <c r="AN102" s="162" t="e">
        <f t="shared" si="935"/>
        <v>#DIV/0!</v>
      </c>
      <c r="AO102" s="162" t="e">
        <f t="shared" si="935"/>
        <v>#DIV/0!</v>
      </c>
      <c r="AP102" s="162" t="e">
        <f t="shared" si="935"/>
        <v>#DIV/0!</v>
      </c>
      <c r="AQ102" s="162" t="e">
        <f t="shared" si="935"/>
        <v>#DIV/0!</v>
      </c>
      <c r="AR102" s="162" t="e">
        <f t="shared" si="935"/>
        <v>#DIV/0!</v>
      </c>
      <c r="AS102" s="162" t="e">
        <f t="shared" si="935"/>
        <v>#DIV/0!</v>
      </c>
      <c r="AT102" s="162" t="e">
        <f t="shared" si="935"/>
        <v>#DIV/0!</v>
      </c>
      <c r="AU102" s="162" t="e">
        <f t="shared" si="935"/>
        <v>#DIV/0!</v>
      </c>
      <c r="AV102" s="162" t="e">
        <f t="shared" si="935"/>
        <v>#DIV/0!</v>
      </c>
      <c r="AW102" s="162" t="e">
        <f t="shared" si="935"/>
        <v>#DIV/0!</v>
      </c>
      <c r="AX102" s="162" t="e">
        <f t="shared" si="935"/>
        <v>#DIV/0!</v>
      </c>
      <c r="AY102" s="162" t="e">
        <f t="shared" si="935"/>
        <v>#DIV/0!</v>
      </c>
      <c r="AZ102" s="162" t="e">
        <f t="shared" si="935"/>
        <v>#DIV/0!</v>
      </c>
      <c r="BA102" s="162" t="e">
        <f t="shared" si="935"/>
        <v>#DIV/0!</v>
      </c>
      <c r="BB102" s="162" t="e">
        <f t="shared" si="935"/>
        <v>#DIV/0!</v>
      </c>
      <c r="BC102" s="162" t="e">
        <f t="shared" si="935"/>
        <v>#DIV/0!</v>
      </c>
      <c r="BD102" s="162" t="e">
        <f t="shared" si="935"/>
        <v>#DIV/0!</v>
      </c>
      <c r="BE102" s="162" t="e">
        <f t="shared" si="935"/>
        <v>#DIV/0!</v>
      </c>
      <c r="BF102" s="162" t="e">
        <f t="shared" si="935"/>
        <v>#DIV/0!</v>
      </c>
      <c r="BG102" s="162" t="e">
        <f t="shared" si="935"/>
        <v>#DIV/0!</v>
      </c>
      <c r="BH102" s="162" t="e">
        <f t="shared" si="935"/>
        <v>#DIV/0!</v>
      </c>
      <c r="BI102" s="162" t="e">
        <f t="shared" si="935"/>
        <v>#DIV/0!</v>
      </c>
      <c r="BJ102" s="162" t="e">
        <f t="shared" si="935"/>
        <v>#DIV/0!</v>
      </c>
      <c r="BK102" s="162" t="e">
        <f t="shared" si="935"/>
        <v>#DIV/0!</v>
      </c>
      <c r="BL102" s="162" t="e">
        <f t="shared" si="935"/>
        <v>#DIV/0!</v>
      </c>
      <c r="BM102" s="162" t="e">
        <f t="shared" si="935"/>
        <v>#DIV/0!</v>
      </c>
      <c r="BN102" s="162" t="e">
        <f t="shared" si="935"/>
        <v>#DIV/0!</v>
      </c>
      <c r="BO102" s="162" t="e">
        <f t="shared" si="935"/>
        <v>#DIV/0!</v>
      </c>
      <c r="BP102" s="162" t="e">
        <f t="shared" si="935"/>
        <v>#DIV/0!</v>
      </c>
      <c r="BQ102" s="162" t="e">
        <f t="shared" si="935"/>
        <v>#DIV/0!</v>
      </c>
      <c r="BR102" s="162" t="e">
        <f t="shared" si="935"/>
        <v>#DIV/0!</v>
      </c>
      <c r="BS102" s="162" t="e">
        <f t="shared" si="935"/>
        <v>#DIV/0!</v>
      </c>
      <c r="BT102" s="162" t="e">
        <f t="shared" si="935"/>
        <v>#DIV/0!</v>
      </c>
      <c r="BU102" s="162" t="e">
        <f t="shared" si="935"/>
        <v>#DIV/0!</v>
      </c>
      <c r="BV102" s="162" t="e">
        <f t="shared" si="935"/>
        <v>#DIV/0!</v>
      </c>
      <c r="BW102" s="162" t="e">
        <f t="shared" si="935"/>
        <v>#DIV/0!</v>
      </c>
      <c r="BX102" s="162" t="e">
        <f t="shared" si="935"/>
        <v>#DIV/0!</v>
      </c>
      <c r="BY102" s="162">
        <f t="shared" si="935"/>
        <v>0</v>
      </c>
      <c r="BZ102" s="162">
        <f t="shared" si="935"/>
        <v>0</v>
      </c>
      <c r="CA102" s="162">
        <f t="shared" si="935"/>
        <v>0</v>
      </c>
      <c r="CB102" s="162" t="e">
        <f t="shared" si="935"/>
        <v>#DIV/0!</v>
      </c>
      <c r="CC102" s="162">
        <f t="shared" si="935"/>
        <v>0</v>
      </c>
      <c r="CD102" s="162">
        <f t="shared" si="935"/>
        <v>12.848094584608887</v>
      </c>
      <c r="CE102" s="162">
        <f t="shared" si="935"/>
        <v>11.77997324740973</v>
      </c>
      <c r="CF102" s="162">
        <f t="shared" si="935"/>
        <v>12.247001950178687</v>
      </c>
      <c r="CG102" s="162">
        <f t="shared" si="935"/>
        <v>10.593523567187686</v>
      </c>
      <c r="CH102" s="162">
        <f t="shared" si="935"/>
        <v>7.1054341206117186</v>
      </c>
      <c r="CI102" s="162">
        <f t="shared" si="935"/>
        <v>6.4381626530122409</v>
      </c>
      <c r="CJ102" s="162">
        <f t="shared" si="938"/>
        <v>7.4226940709689186</v>
      </c>
      <c r="CK102" s="162">
        <f t="shared" si="938"/>
        <v>7.2337943850948374</v>
      </c>
      <c r="CL102" s="162">
        <f t="shared" ref="CL102" si="942">+CL85/CL$98</f>
        <v>5.2517351154747072</v>
      </c>
      <c r="CM102" s="94">
        <f t="shared" ref="CM102:DB102" si="943">+CL102</f>
        <v>5.2517351154747072</v>
      </c>
      <c r="CN102" s="94">
        <f t="shared" si="943"/>
        <v>5.2517351154747072</v>
      </c>
      <c r="CO102" s="94">
        <f t="shared" si="943"/>
        <v>5.2517351154747072</v>
      </c>
      <c r="CP102" s="94">
        <f t="shared" si="943"/>
        <v>5.2517351154747072</v>
      </c>
      <c r="CQ102" s="94">
        <f t="shared" si="943"/>
        <v>5.2517351154747072</v>
      </c>
      <c r="CR102" s="94">
        <f t="shared" si="943"/>
        <v>5.2517351154747072</v>
      </c>
      <c r="CS102" s="94">
        <f t="shared" si="943"/>
        <v>5.2517351154747072</v>
      </c>
      <c r="CT102" s="94">
        <f t="shared" si="943"/>
        <v>5.2517351154747072</v>
      </c>
      <c r="CU102" s="94">
        <f t="shared" si="943"/>
        <v>5.2517351154747072</v>
      </c>
      <c r="CV102" s="94">
        <f t="shared" si="943"/>
        <v>5.2517351154747072</v>
      </c>
      <c r="CW102" s="94">
        <f t="shared" si="943"/>
        <v>5.2517351154747072</v>
      </c>
      <c r="CX102" s="94">
        <f t="shared" si="943"/>
        <v>5.2517351154747072</v>
      </c>
      <c r="CY102" s="94">
        <f t="shared" si="943"/>
        <v>5.2517351154747072</v>
      </c>
      <c r="CZ102" s="94">
        <f t="shared" si="943"/>
        <v>5.2517351154747072</v>
      </c>
      <c r="DA102" s="94">
        <f t="shared" si="943"/>
        <v>5.2517351154747072</v>
      </c>
      <c r="DB102" s="94">
        <f t="shared" si="943"/>
        <v>5.2517351154747072</v>
      </c>
      <c r="DC102" s="94"/>
      <c r="DE102" s="22"/>
      <c r="DF102" s="162">
        <v>5.5073762497617755</v>
      </c>
    </row>
    <row r="103" spans="1:110" s="4" customFormat="1" x14ac:dyDescent="0.2">
      <c r="A103" s="3"/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77" customFormat="1" x14ac:dyDescent="0.2">
      <c r="A104" s="177" t="s">
        <v>510</v>
      </c>
      <c r="E104" s="177">
        <f t="shared" ref="E104:Y104" si="944">+E16</f>
        <v>135.0073275</v>
      </c>
      <c r="F104" s="177">
        <f t="shared" si="944"/>
        <v>178.75420879999999</v>
      </c>
      <c r="G104" s="177">
        <f t="shared" si="944"/>
        <v>536.55330000000004</v>
      </c>
      <c r="H104" s="177">
        <f t="shared" si="944"/>
        <v>929.78840000000002</v>
      </c>
      <c r="I104" s="177">
        <f t="shared" si="944"/>
        <v>1084.0029999999999</v>
      </c>
      <c r="J104" s="177">
        <f t="shared" si="944"/>
        <v>1202.4367</v>
      </c>
      <c r="K104" s="177">
        <f t="shared" si="944"/>
        <v>1070.3864000000001</v>
      </c>
      <c r="L104" s="177">
        <f t="shared" si="944"/>
        <v>1249.3227999999999</v>
      </c>
      <c r="M104" s="177">
        <f t="shared" si="944"/>
        <v>1642.61</v>
      </c>
      <c r="N104" s="177">
        <f t="shared" si="944"/>
        <v>1995</v>
      </c>
      <c r="O104" s="177">
        <f t="shared" si="944"/>
        <v>2344.4499999999998</v>
      </c>
      <c r="P104" s="177">
        <f t="shared" si="944"/>
        <v>2594.1999999999998</v>
      </c>
      <c r="Q104" s="177">
        <f t="shared" si="944"/>
        <v>2683.38</v>
      </c>
      <c r="R104" s="177">
        <f t="shared" si="944"/>
        <v>2801.95</v>
      </c>
      <c r="S104" s="177">
        <f t="shared" si="944"/>
        <v>2691.48</v>
      </c>
      <c r="T104" s="177">
        <f t="shared" si="944"/>
        <v>2942.21</v>
      </c>
      <c r="U104" s="177">
        <f t="shared" si="944"/>
        <v>2852.0549999999998</v>
      </c>
      <c r="V104" s="177">
        <f t="shared" si="944"/>
        <v>2380.9110000000001</v>
      </c>
      <c r="W104" s="177">
        <f t="shared" si="944"/>
        <v>3529.58</v>
      </c>
      <c r="X104" s="177">
        <f t="shared" si="944"/>
        <v>4414.18</v>
      </c>
      <c r="Y104" s="177">
        <f t="shared" si="944"/>
        <v>5117.2</v>
      </c>
      <c r="Z104" s="177">
        <f>+Z16</f>
        <v>5168.45</v>
      </c>
      <c r="AA104" s="177">
        <f>+AA16</f>
        <v>5505.57</v>
      </c>
      <c r="AB104" s="178">
        <f t="shared" ref="AA104:AE104" si="945">+AB16</f>
        <v>6353.1815861670484</v>
      </c>
      <c r="AC104" s="178">
        <f t="shared" si="945"/>
        <v>7771.4460109315969</v>
      </c>
      <c r="AD104" s="178">
        <f t="shared" si="945"/>
        <v>9550.7962473609659</v>
      </c>
      <c r="AE104" s="178">
        <f t="shared" si="945"/>
        <v>11748.666267617224</v>
      </c>
      <c r="AL104" s="177">
        <f t="shared" ref="AL104:BQ104" si="946">+SUM(AI14:AL14)</f>
        <v>0</v>
      </c>
      <c r="AM104" s="177">
        <f t="shared" si="946"/>
        <v>0</v>
      </c>
      <c r="AN104" s="177">
        <f t="shared" si="946"/>
        <v>0</v>
      </c>
      <c r="AO104" s="177">
        <f t="shared" si="946"/>
        <v>0</v>
      </c>
      <c r="AP104" s="177">
        <f t="shared" si="946"/>
        <v>0</v>
      </c>
      <c r="AQ104" s="177">
        <f t="shared" si="946"/>
        <v>0</v>
      </c>
      <c r="AR104" s="177">
        <f t="shared" si="946"/>
        <v>0</v>
      </c>
      <c r="AS104" s="177">
        <f t="shared" si="946"/>
        <v>0</v>
      </c>
      <c r="AT104" s="177">
        <f t="shared" si="946"/>
        <v>0</v>
      </c>
      <c r="AU104" s="177">
        <f t="shared" si="946"/>
        <v>0</v>
      </c>
      <c r="AV104" s="177">
        <f t="shared" si="946"/>
        <v>0</v>
      </c>
      <c r="AW104" s="177">
        <f t="shared" si="946"/>
        <v>0</v>
      </c>
      <c r="AX104" s="177">
        <f t="shared" si="946"/>
        <v>0</v>
      </c>
      <c r="AY104" s="177">
        <f t="shared" si="946"/>
        <v>0</v>
      </c>
      <c r="AZ104" s="177">
        <f t="shared" si="946"/>
        <v>0</v>
      </c>
      <c r="BA104" s="177">
        <f t="shared" si="946"/>
        <v>0</v>
      </c>
      <c r="BB104" s="177">
        <f t="shared" si="946"/>
        <v>0</v>
      </c>
      <c r="BC104" s="177">
        <f t="shared" si="946"/>
        <v>0</v>
      </c>
      <c r="BD104" s="177">
        <f t="shared" si="946"/>
        <v>0</v>
      </c>
      <c r="BE104" s="177">
        <f t="shared" si="946"/>
        <v>0</v>
      </c>
      <c r="BF104" s="177">
        <f t="shared" si="946"/>
        <v>0</v>
      </c>
      <c r="BG104" s="177">
        <f t="shared" si="946"/>
        <v>0</v>
      </c>
      <c r="BH104" s="177">
        <f t="shared" si="946"/>
        <v>0</v>
      </c>
      <c r="BI104" s="177">
        <f t="shared" si="946"/>
        <v>0</v>
      </c>
      <c r="BJ104" s="177">
        <f t="shared" si="946"/>
        <v>0</v>
      </c>
      <c r="BK104" s="177">
        <f t="shared" si="946"/>
        <v>0</v>
      </c>
      <c r="BL104" s="177">
        <f t="shared" si="946"/>
        <v>0</v>
      </c>
      <c r="BM104" s="177">
        <f t="shared" si="946"/>
        <v>0</v>
      </c>
      <c r="BN104" s="177">
        <f t="shared" si="946"/>
        <v>0</v>
      </c>
      <c r="BO104" s="177">
        <f t="shared" si="946"/>
        <v>0</v>
      </c>
      <c r="BP104" s="177">
        <f t="shared" si="946"/>
        <v>0</v>
      </c>
      <c r="BQ104" s="177">
        <f t="shared" si="946"/>
        <v>0</v>
      </c>
      <c r="BR104" s="177">
        <f t="shared" ref="BR104:CW104" si="947">+SUM(BO14:BR14)</f>
        <v>0</v>
      </c>
      <c r="BS104" s="177">
        <f t="shared" si="947"/>
        <v>0</v>
      </c>
      <c r="BT104" s="177">
        <f t="shared" si="947"/>
        <v>0</v>
      </c>
      <c r="BU104" s="177">
        <f t="shared" si="947"/>
        <v>0</v>
      </c>
      <c r="BV104" s="177">
        <f t="shared" si="947"/>
        <v>0</v>
      </c>
      <c r="BW104" s="177">
        <f t="shared" si="947"/>
        <v>0</v>
      </c>
      <c r="BX104" s="177">
        <f t="shared" si="947"/>
        <v>0</v>
      </c>
      <c r="BY104" s="177">
        <f t="shared" si="947"/>
        <v>1123.8900000000001</v>
      </c>
      <c r="BZ104" s="177">
        <f t="shared" si="947"/>
        <v>2526.2800000000002</v>
      </c>
      <c r="CA104" s="177">
        <f t="shared" si="947"/>
        <v>3783.8100000000004</v>
      </c>
      <c r="CB104" s="177">
        <f t="shared" si="947"/>
        <v>5052.9800000000005</v>
      </c>
      <c r="CC104" s="177">
        <f t="shared" si="947"/>
        <v>5218.54</v>
      </c>
      <c r="CD104" s="177">
        <f t="shared" si="947"/>
        <v>5117.2</v>
      </c>
      <c r="CE104" s="177">
        <f t="shared" si="947"/>
        <v>5128.6400000000003</v>
      </c>
      <c r="CF104" s="177">
        <f t="shared" si="947"/>
        <v>5155.92</v>
      </c>
      <c r="CG104" s="177">
        <f t="shared" si="947"/>
        <v>5183.8500000000004</v>
      </c>
      <c r="CH104" s="177">
        <f t="shared" si="947"/>
        <v>5168.4500000000007</v>
      </c>
      <c r="CI104" s="177">
        <f t="shared" si="947"/>
        <v>5143.7700000000004</v>
      </c>
      <c r="CJ104" s="177">
        <f t="shared" si="947"/>
        <v>5170.6499999999996</v>
      </c>
      <c r="CK104" s="177">
        <f t="shared" si="947"/>
        <v>5219</v>
      </c>
      <c r="CL104" s="177">
        <f t="shared" si="947"/>
        <v>5505.57</v>
      </c>
      <c r="CM104" s="178">
        <f t="shared" si="947"/>
        <v>5636.4958284995128</v>
      </c>
      <c r="CN104" s="178">
        <f t="shared" si="947"/>
        <v>5816.9832897180358</v>
      </c>
      <c r="CO104" s="178">
        <f t="shared" si="947"/>
        <v>6042.7421205249166</v>
      </c>
      <c r="CP104" s="178">
        <f t="shared" si="947"/>
        <v>6353.1815861670484</v>
      </c>
      <c r="CQ104" s="178">
        <f t="shared" si="947"/>
        <v>6615.9735698036575</v>
      </c>
      <c r="CR104" s="178">
        <f t="shared" si="947"/>
        <v>6935.6234773420347</v>
      </c>
      <c r="CS104" s="178">
        <f t="shared" si="947"/>
        <v>7304.2146988576424</v>
      </c>
      <c r="CT104" s="178">
        <f t="shared" si="947"/>
        <v>7771.4460109315969</v>
      </c>
      <c r="CU104" s="178">
        <f t="shared" si="947"/>
        <v>8133.211569241771</v>
      </c>
      <c r="CV104" s="178">
        <f t="shared" si="947"/>
        <v>8549.5063233697401</v>
      </c>
      <c r="CW104" s="178">
        <f t="shared" si="947"/>
        <v>9004.7021892911689</v>
      </c>
      <c r="CX104" s="178">
        <f t="shared" ref="CX104:DB104" si="948">+SUM(CU14:CX14)</f>
        <v>9550.7962473609659</v>
      </c>
      <c r="CY104" s="178">
        <f t="shared" si="948"/>
        <v>10007.634492404561</v>
      </c>
      <c r="CZ104" s="178">
        <f t="shared" si="948"/>
        <v>10523.545780834351</v>
      </c>
      <c r="DA104" s="178">
        <f t="shared" si="948"/>
        <v>11081.119209270888</v>
      </c>
      <c r="DB104" s="178">
        <f t="shared" si="948"/>
        <v>11748.666267617224</v>
      </c>
      <c r="DE104" s="179"/>
      <c r="DF104" s="177">
        <v>5291.6873529217173</v>
      </c>
    </row>
    <row r="105" spans="1:110" s="163" customFormat="1" x14ac:dyDescent="0.2">
      <c r="A105" s="163" t="s">
        <v>511</v>
      </c>
      <c r="E105" s="163" t="e">
        <f t="shared" ref="E105:AE105" ca="1" si="949">+E104/E71</f>
        <v>#DIV/0!</v>
      </c>
      <c r="F105" s="163" t="e">
        <f t="shared" ca="1" si="949"/>
        <v>#DIV/0!</v>
      </c>
      <c r="G105" s="163" t="e">
        <f t="shared" ca="1" si="949"/>
        <v>#DIV/0!</v>
      </c>
      <c r="H105" s="163" t="e">
        <f t="shared" ca="1" si="949"/>
        <v>#DIV/0!</v>
      </c>
      <c r="I105" s="163" t="e">
        <f t="shared" ca="1" si="949"/>
        <v>#DIV/0!</v>
      </c>
      <c r="J105" s="163" t="e">
        <f t="shared" ca="1" si="949"/>
        <v>#DIV/0!</v>
      </c>
      <c r="K105" s="163" t="e">
        <f t="shared" ca="1" si="949"/>
        <v>#DIV/0!</v>
      </c>
      <c r="L105" s="163" t="e">
        <f t="shared" ca="1" si="949"/>
        <v>#DIV/0!</v>
      </c>
      <c r="M105" s="163" t="e">
        <f t="shared" ca="1" si="949"/>
        <v>#DIV/0!</v>
      </c>
      <c r="N105" s="163" t="e">
        <f t="shared" ca="1" si="949"/>
        <v>#DIV/0!</v>
      </c>
      <c r="O105" s="163" t="e">
        <f t="shared" ca="1" si="949"/>
        <v>#DIV/0!</v>
      </c>
      <c r="P105" s="163" t="e">
        <f t="shared" ca="1" si="949"/>
        <v>#DIV/0!</v>
      </c>
      <c r="Q105" s="163" t="e">
        <f t="shared" ca="1" si="949"/>
        <v>#DIV/0!</v>
      </c>
      <c r="R105" s="163" t="e">
        <f t="shared" ca="1" si="949"/>
        <v>#DIV/0!</v>
      </c>
      <c r="S105" s="163" t="e">
        <f t="shared" ca="1" si="949"/>
        <v>#DIV/0!</v>
      </c>
      <c r="T105" s="163" t="e">
        <f t="shared" ca="1" si="949"/>
        <v>#DIV/0!</v>
      </c>
      <c r="U105" s="163" t="e">
        <f t="shared" ca="1" si="949"/>
        <v>#DIV/0!</v>
      </c>
      <c r="V105" s="163" t="e">
        <f t="shared" ca="1" si="949"/>
        <v>#DIV/0!</v>
      </c>
      <c r="W105" s="163" t="e">
        <f t="shared" ca="1" si="949"/>
        <v>#DIV/0!</v>
      </c>
      <c r="X105" s="163" t="e">
        <f t="shared" ca="1" si="949"/>
        <v>#DIV/0!</v>
      </c>
      <c r="Y105" s="163" t="e">
        <f t="shared" ca="1" si="949"/>
        <v>#DIV/0!</v>
      </c>
      <c r="Z105" s="163" t="e">
        <f t="shared" ref="Z105:AA105" ca="1" si="950">+Z104/Z71</f>
        <v>#DIV/0!</v>
      </c>
      <c r="AA105" s="163" t="e">
        <f t="shared" ca="1" si="950"/>
        <v>#DIV/0!</v>
      </c>
      <c r="AB105" s="94" t="e">
        <f t="shared" ca="1" si="949"/>
        <v>#DIV/0!</v>
      </c>
      <c r="AC105" s="94" t="e">
        <f t="shared" ca="1" si="949"/>
        <v>#DIV/0!</v>
      </c>
      <c r="AD105" s="94" t="e">
        <f t="shared" ca="1" si="949"/>
        <v>#DIV/0!</v>
      </c>
      <c r="AE105" s="94" t="e">
        <f t="shared" ca="1" si="949"/>
        <v>#DIV/0!</v>
      </c>
      <c r="AL105" s="163">
        <f t="shared" ref="AL105:BQ105" si="951">+AL104/AL71</f>
        <v>0</v>
      </c>
      <c r="AM105" s="163">
        <f t="shared" si="951"/>
        <v>0</v>
      </c>
      <c r="AN105" s="163">
        <f t="shared" si="951"/>
        <v>0</v>
      </c>
      <c r="AO105" s="163">
        <f t="shared" si="951"/>
        <v>0</v>
      </c>
      <c r="AP105" s="163">
        <f t="shared" si="951"/>
        <v>0</v>
      </c>
      <c r="AQ105" s="163">
        <f t="shared" si="951"/>
        <v>0</v>
      </c>
      <c r="AR105" s="163">
        <f t="shared" si="951"/>
        <v>0</v>
      </c>
      <c r="AS105" s="163">
        <f t="shared" si="951"/>
        <v>0</v>
      </c>
      <c r="AT105" s="163">
        <f t="shared" si="951"/>
        <v>0</v>
      </c>
      <c r="AU105" s="163">
        <f t="shared" si="951"/>
        <v>0</v>
      </c>
      <c r="AV105" s="163">
        <f t="shared" si="951"/>
        <v>0</v>
      </c>
      <c r="AW105" s="163">
        <f t="shared" si="951"/>
        <v>0</v>
      </c>
      <c r="AX105" s="163">
        <f t="shared" si="951"/>
        <v>0</v>
      </c>
      <c r="AY105" s="163">
        <f t="shared" si="951"/>
        <v>0</v>
      </c>
      <c r="AZ105" s="163">
        <f t="shared" si="951"/>
        <v>0</v>
      </c>
      <c r="BA105" s="163">
        <f t="shared" si="951"/>
        <v>0</v>
      </c>
      <c r="BB105" s="163">
        <f t="shared" si="951"/>
        <v>0</v>
      </c>
      <c r="BC105" s="163">
        <f t="shared" si="951"/>
        <v>0</v>
      </c>
      <c r="BD105" s="163">
        <f t="shared" si="951"/>
        <v>0</v>
      </c>
      <c r="BE105" s="163">
        <f t="shared" si="951"/>
        <v>0</v>
      </c>
      <c r="BF105" s="163">
        <f t="shared" si="951"/>
        <v>0</v>
      </c>
      <c r="BG105" s="163">
        <f t="shared" si="951"/>
        <v>0</v>
      </c>
      <c r="BH105" s="163">
        <f t="shared" si="951"/>
        <v>0</v>
      </c>
      <c r="BI105" s="163">
        <f t="shared" si="951"/>
        <v>0</v>
      </c>
      <c r="BJ105" s="163">
        <f t="shared" si="951"/>
        <v>0</v>
      </c>
      <c r="BK105" s="163">
        <f t="shared" si="951"/>
        <v>0</v>
      </c>
      <c r="BL105" s="163">
        <f t="shared" si="951"/>
        <v>0</v>
      </c>
      <c r="BM105" s="163">
        <f t="shared" si="951"/>
        <v>0</v>
      </c>
      <c r="BN105" s="163">
        <f t="shared" si="951"/>
        <v>0</v>
      </c>
      <c r="BO105" s="163">
        <f t="shared" si="951"/>
        <v>0</v>
      </c>
      <c r="BP105" s="163">
        <f t="shared" si="951"/>
        <v>0</v>
      </c>
      <c r="BQ105" s="163">
        <f t="shared" si="951"/>
        <v>0</v>
      </c>
      <c r="BR105" s="163">
        <f t="shared" ref="BR105:CW105" si="952">+BR104/BR71</f>
        <v>0</v>
      </c>
      <c r="BS105" s="163">
        <f t="shared" si="952"/>
        <v>0</v>
      </c>
      <c r="BT105" s="163">
        <f t="shared" si="952"/>
        <v>0</v>
      </c>
      <c r="BU105" s="163">
        <f t="shared" si="952"/>
        <v>0</v>
      </c>
      <c r="BV105" s="163">
        <f t="shared" si="952"/>
        <v>0</v>
      </c>
      <c r="BW105" s="163">
        <f t="shared" si="952"/>
        <v>0</v>
      </c>
      <c r="BX105" s="163">
        <f t="shared" si="952"/>
        <v>0</v>
      </c>
      <c r="BY105" s="163">
        <f t="shared" si="952"/>
        <v>27.702489524279027</v>
      </c>
      <c r="BZ105" s="163">
        <f t="shared" si="952"/>
        <v>62.269657382302199</v>
      </c>
      <c r="CA105" s="163">
        <f t="shared" si="952"/>
        <v>93.266206556568903</v>
      </c>
      <c r="CB105" s="163">
        <f t="shared" si="952"/>
        <v>124.5496672418043</v>
      </c>
      <c r="CC105" s="163">
        <f t="shared" si="952"/>
        <v>128.63051515898448</v>
      </c>
      <c r="CD105" s="163">
        <f t="shared" si="952"/>
        <v>126.13261030317969</v>
      </c>
      <c r="CE105" s="163">
        <f t="shared" si="952"/>
        <v>126.41459206310083</v>
      </c>
      <c r="CF105" s="163">
        <f t="shared" si="952"/>
        <v>127.08701010598965</v>
      </c>
      <c r="CG105" s="163">
        <f t="shared" si="952"/>
        <v>127.77544983978309</v>
      </c>
      <c r="CH105" s="163">
        <f t="shared" si="952"/>
        <v>127.39585900912006</v>
      </c>
      <c r="CI105" s="163">
        <f t="shared" si="952"/>
        <v>126.78752772984966</v>
      </c>
      <c r="CJ105" s="163">
        <f t="shared" si="952"/>
        <v>127.45008627064333</v>
      </c>
      <c r="CK105" s="163">
        <f t="shared" ref="CK105:CL105" si="953">+CK104/CK71</f>
        <v>128.62600123228589</v>
      </c>
      <c r="CL105" s="163">
        <f t="shared" si="953"/>
        <v>135.6051724137931</v>
      </c>
      <c r="CM105" s="50">
        <f t="shared" si="952"/>
        <v>138.82994651476631</v>
      </c>
      <c r="CN105" s="50">
        <f t="shared" si="952"/>
        <v>143.27545048566591</v>
      </c>
      <c r="CO105" s="50">
        <f t="shared" si="952"/>
        <v>148.83601282081074</v>
      </c>
      <c r="CP105" s="50">
        <f t="shared" si="952"/>
        <v>156.48230507800611</v>
      </c>
      <c r="CQ105" s="50">
        <f t="shared" si="952"/>
        <v>162.95501403457283</v>
      </c>
      <c r="CR105" s="50">
        <f t="shared" si="952"/>
        <v>170.82816446655258</v>
      </c>
      <c r="CS105" s="50">
        <f t="shared" si="952"/>
        <v>179.90676598171532</v>
      </c>
      <c r="CT105" s="50">
        <f t="shared" si="952"/>
        <v>191.41492637762553</v>
      </c>
      <c r="CU105" s="50">
        <f t="shared" si="952"/>
        <v>200.32540810940321</v>
      </c>
      <c r="CV105" s="50">
        <f t="shared" si="952"/>
        <v>210.57897348201328</v>
      </c>
      <c r="CW105" s="50">
        <f t="shared" si="952"/>
        <v>221.79069431751645</v>
      </c>
      <c r="CX105" s="50">
        <f t="shared" ref="CX105:DB105" si="954">+CX104/CX71</f>
        <v>235.24128688081197</v>
      </c>
      <c r="CY105" s="50">
        <f t="shared" si="954"/>
        <v>246.49346040405322</v>
      </c>
      <c r="CZ105" s="50">
        <f t="shared" si="954"/>
        <v>259.20063499591998</v>
      </c>
      <c r="DA105" s="50">
        <f t="shared" si="954"/>
        <v>272.93397067169673</v>
      </c>
      <c r="DB105" s="50">
        <f t="shared" si="954"/>
        <v>289.37601644377395</v>
      </c>
      <c r="DE105" s="164"/>
      <c r="DF105" s="163">
        <v>130.41743322049825</v>
      </c>
    </row>
    <row r="106" spans="1:110" s="163" customFormat="1" x14ac:dyDescent="0.2">
      <c r="AB106" s="94"/>
      <c r="AC106" s="94"/>
      <c r="AD106" s="94"/>
      <c r="AE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E106" s="164"/>
    </row>
    <row r="107" spans="1:110" s="163" customFormat="1" x14ac:dyDescent="0.2">
      <c r="A107" s="163" t="s">
        <v>506</v>
      </c>
      <c r="AB107" s="94"/>
      <c r="AC107" s="94"/>
      <c r="AD107" s="94"/>
      <c r="AE107" s="94"/>
      <c r="CM107" s="94"/>
      <c r="CN107" s="94"/>
      <c r="CO107" s="94"/>
      <c r="CP107" s="94"/>
      <c r="CQ107" s="94"/>
      <c r="CR107" s="94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E107" s="164"/>
    </row>
    <row r="108" spans="1:110" s="163" customFormat="1" x14ac:dyDescent="0.2">
      <c r="A108" s="163" t="s">
        <v>507</v>
      </c>
      <c r="E108" s="163" t="e">
        <f t="shared" ref="E108:AE110" ca="1" si="955">+E83/E$105</f>
        <v>#DIV/0!</v>
      </c>
      <c r="F108" s="163" t="e">
        <f t="shared" ca="1" si="955"/>
        <v>#DIV/0!</v>
      </c>
      <c r="G108" s="163" t="e">
        <f t="shared" ca="1" si="955"/>
        <v>#DIV/0!</v>
      </c>
      <c r="H108" s="163" t="e">
        <f t="shared" ca="1" si="955"/>
        <v>#DIV/0!</v>
      </c>
      <c r="I108" s="163" t="e">
        <f t="shared" ca="1" si="955"/>
        <v>#DIV/0!</v>
      </c>
      <c r="J108" s="163" t="e">
        <f t="shared" ca="1" si="955"/>
        <v>#DIV/0!</v>
      </c>
      <c r="K108" s="163" t="e">
        <f t="shared" ca="1" si="955"/>
        <v>#DIV/0!</v>
      </c>
      <c r="L108" s="163" t="e">
        <f t="shared" ca="1" si="955"/>
        <v>#DIV/0!</v>
      </c>
      <c r="M108" s="163" t="e">
        <f t="shared" ca="1" si="955"/>
        <v>#DIV/0!</v>
      </c>
      <c r="N108" s="163" t="e">
        <f t="shared" ca="1" si="955"/>
        <v>#DIV/0!</v>
      </c>
      <c r="O108" s="163" t="e">
        <f t="shared" ca="1" si="955"/>
        <v>#DIV/0!</v>
      </c>
      <c r="P108" s="163" t="e">
        <f t="shared" ca="1" si="955"/>
        <v>#DIV/0!</v>
      </c>
      <c r="Q108" s="163" t="e">
        <f t="shared" ca="1" si="955"/>
        <v>#DIV/0!</v>
      </c>
      <c r="R108" s="163" t="e">
        <f t="shared" ca="1" si="955"/>
        <v>#DIV/0!</v>
      </c>
      <c r="S108" s="163" t="e">
        <f t="shared" ca="1" si="955"/>
        <v>#DIV/0!</v>
      </c>
      <c r="T108" s="163" t="e">
        <f t="shared" ca="1" si="955"/>
        <v>#DIV/0!</v>
      </c>
      <c r="U108" s="163" t="e">
        <f t="shared" ca="1" si="955"/>
        <v>#DIV/0!</v>
      </c>
      <c r="V108" s="163" t="e">
        <f t="shared" ca="1" si="955"/>
        <v>#DIV/0!</v>
      </c>
      <c r="W108" s="163" t="e">
        <f t="shared" ca="1" si="955"/>
        <v>#DIV/0!</v>
      </c>
      <c r="X108" s="163" t="e">
        <f t="shared" ca="1" si="955"/>
        <v>#DIV/0!</v>
      </c>
      <c r="Y108" s="163" t="e">
        <f t="shared" ca="1" si="955"/>
        <v>#DIV/0!</v>
      </c>
      <c r="Z108" s="163" t="e">
        <f ca="1">+Z83/Z$105</f>
        <v>#DIV/0!</v>
      </c>
      <c r="AA108" s="163" t="e">
        <f ca="1">+AA83/AA$105</f>
        <v>#DIV/0!</v>
      </c>
      <c r="AB108" s="50" t="e">
        <f t="shared" ref="AA108:AE108" ca="1" si="956">+AB83/AB$105</f>
        <v>#DIV/0!</v>
      </c>
      <c r="AC108" s="50" t="e">
        <f t="shared" ca="1" si="956"/>
        <v>#DIV/0!</v>
      </c>
      <c r="AD108" s="50" t="e">
        <f t="shared" ca="1" si="956"/>
        <v>#DIV/0!</v>
      </c>
      <c r="AE108" s="50" t="e">
        <f t="shared" ca="1" si="956"/>
        <v>#DIV/0!</v>
      </c>
      <c r="AL108" s="163" t="e">
        <f t="shared" ref="AL108:BQ108" si="957">+AL83/AL105</f>
        <v>#DIV/0!</v>
      </c>
      <c r="AM108" s="163" t="e">
        <f t="shared" si="957"/>
        <v>#DIV/0!</v>
      </c>
      <c r="AN108" s="163" t="e">
        <f t="shared" si="957"/>
        <v>#DIV/0!</v>
      </c>
      <c r="AO108" s="163" t="e">
        <f t="shared" si="957"/>
        <v>#DIV/0!</v>
      </c>
      <c r="AP108" s="163" t="e">
        <f t="shared" si="957"/>
        <v>#DIV/0!</v>
      </c>
      <c r="AQ108" s="163" t="e">
        <f t="shared" si="957"/>
        <v>#DIV/0!</v>
      </c>
      <c r="AR108" s="163" t="e">
        <f t="shared" si="957"/>
        <v>#DIV/0!</v>
      </c>
      <c r="AS108" s="163" t="e">
        <f t="shared" si="957"/>
        <v>#DIV/0!</v>
      </c>
      <c r="AT108" s="163" t="e">
        <f t="shared" si="957"/>
        <v>#DIV/0!</v>
      </c>
      <c r="AU108" s="163" t="e">
        <f t="shared" si="957"/>
        <v>#DIV/0!</v>
      </c>
      <c r="AV108" s="163" t="e">
        <f t="shared" si="957"/>
        <v>#DIV/0!</v>
      </c>
      <c r="AW108" s="163" t="e">
        <f t="shared" si="957"/>
        <v>#DIV/0!</v>
      </c>
      <c r="AX108" s="163" t="e">
        <f t="shared" si="957"/>
        <v>#DIV/0!</v>
      </c>
      <c r="AY108" s="163" t="e">
        <f t="shared" si="957"/>
        <v>#DIV/0!</v>
      </c>
      <c r="AZ108" s="163" t="e">
        <f t="shared" si="957"/>
        <v>#DIV/0!</v>
      </c>
      <c r="BA108" s="163" t="e">
        <f t="shared" si="957"/>
        <v>#DIV/0!</v>
      </c>
      <c r="BB108" s="163" t="e">
        <f t="shared" si="957"/>
        <v>#DIV/0!</v>
      </c>
      <c r="BC108" s="163" t="e">
        <f t="shared" si="957"/>
        <v>#DIV/0!</v>
      </c>
      <c r="BD108" s="163" t="e">
        <f t="shared" si="957"/>
        <v>#DIV/0!</v>
      </c>
      <c r="BE108" s="163" t="e">
        <f t="shared" si="957"/>
        <v>#DIV/0!</v>
      </c>
      <c r="BF108" s="163" t="e">
        <f t="shared" si="957"/>
        <v>#DIV/0!</v>
      </c>
      <c r="BG108" s="163" t="e">
        <f t="shared" si="957"/>
        <v>#DIV/0!</v>
      </c>
      <c r="BH108" s="163" t="e">
        <f t="shared" si="957"/>
        <v>#DIV/0!</v>
      </c>
      <c r="BI108" s="163" t="e">
        <f t="shared" si="957"/>
        <v>#DIV/0!</v>
      </c>
      <c r="BJ108" s="163" t="e">
        <f t="shared" si="957"/>
        <v>#DIV/0!</v>
      </c>
      <c r="BK108" s="163" t="e">
        <f t="shared" si="957"/>
        <v>#DIV/0!</v>
      </c>
      <c r="BL108" s="163" t="e">
        <f t="shared" si="957"/>
        <v>#DIV/0!</v>
      </c>
      <c r="BM108" s="163" t="e">
        <f t="shared" si="957"/>
        <v>#DIV/0!</v>
      </c>
      <c r="BN108" s="163" t="e">
        <f t="shared" si="957"/>
        <v>#DIV/0!</v>
      </c>
      <c r="BO108" s="163" t="e">
        <f t="shared" si="957"/>
        <v>#DIV/0!</v>
      </c>
      <c r="BP108" s="163" t="e">
        <f t="shared" si="957"/>
        <v>#DIV/0!</v>
      </c>
      <c r="BQ108" s="163" t="e">
        <f t="shared" si="957"/>
        <v>#DIV/0!</v>
      </c>
      <c r="BR108" s="163" t="e">
        <f t="shared" ref="BR108:DB108" si="958">+BR83/BR105</f>
        <v>#DIV/0!</v>
      </c>
      <c r="BS108" s="163" t="e">
        <f t="shared" si="958"/>
        <v>#DIV/0!</v>
      </c>
      <c r="BT108" s="163" t="e">
        <f t="shared" si="958"/>
        <v>#DIV/0!</v>
      </c>
      <c r="BU108" s="163" t="e">
        <f t="shared" si="958"/>
        <v>#DIV/0!</v>
      </c>
      <c r="BV108" s="163" t="e">
        <f t="shared" si="958"/>
        <v>#DIV/0!</v>
      </c>
      <c r="BW108" s="163" t="e">
        <f t="shared" si="958"/>
        <v>#DIV/0!</v>
      </c>
      <c r="BX108" s="163" t="e">
        <f t="shared" si="958"/>
        <v>#DIV/0!</v>
      </c>
      <c r="BY108" s="163">
        <f t="shared" si="958"/>
        <v>0</v>
      </c>
      <c r="BZ108" s="163">
        <f t="shared" si="958"/>
        <v>0</v>
      </c>
      <c r="CA108" s="163">
        <f t="shared" si="958"/>
        <v>0</v>
      </c>
      <c r="CB108" s="163">
        <f t="shared" si="958"/>
        <v>0</v>
      </c>
      <c r="CC108" s="163">
        <f t="shared" si="958"/>
        <v>9.1770603463804044</v>
      </c>
      <c r="CD108" s="163">
        <f t="shared" si="958"/>
        <v>8.0942588720393971</v>
      </c>
      <c r="CE108" s="163">
        <f t="shared" si="958"/>
        <v>8.0805544939789105</v>
      </c>
      <c r="CF108" s="163">
        <f t="shared" si="958"/>
        <v>8.6818471776133066</v>
      </c>
      <c r="CG108" s="163">
        <f t="shared" si="958"/>
        <v>6.9766923232732427</v>
      </c>
      <c r="CH108" s="163">
        <f t="shared" si="958"/>
        <v>5.3239564085944524</v>
      </c>
      <c r="CI108" s="163">
        <f t="shared" si="958"/>
        <v>5.6078071142372226</v>
      </c>
      <c r="CJ108" s="163">
        <f t="shared" si="958"/>
        <v>5.2522522313442215</v>
      </c>
      <c r="CK108" s="163">
        <f t="shared" ref="CK108:CL108" si="959">+CK83/CK105</f>
        <v>4.9919922398927001</v>
      </c>
      <c r="CL108" s="163">
        <f t="shared" si="959"/>
        <v>3.7568625955169037</v>
      </c>
      <c r="CM108" s="50">
        <f t="shared" si="958"/>
        <v>3.6695973224034457</v>
      </c>
      <c r="CN108" s="50">
        <f t="shared" si="958"/>
        <v>3.5557382529463291</v>
      </c>
      <c r="CO108" s="50">
        <f t="shared" si="958"/>
        <v>3.4228947036719264</v>
      </c>
      <c r="CP108" s="50">
        <f t="shared" si="958"/>
        <v>3.2556396695846233</v>
      </c>
      <c r="CQ108" s="50">
        <f t="shared" si="958"/>
        <v>3.1263229488103641</v>
      </c>
      <c r="CR108" s="50">
        <f t="shared" si="958"/>
        <v>2.982236574342799</v>
      </c>
      <c r="CS108" s="50">
        <f t="shared" si="958"/>
        <v>2.831744527339108</v>
      </c>
      <c r="CT108" s="50">
        <f t="shared" si="958"/>
        <v>2.661495681872537</v>
      </c>
      <c r="CU108" s="50">
        <f t="shared" si="958"/>
        <v>2.5431122532483514</v>
      </c>
      <c r="CV108" s="50">
        <f t="shared" si="958"/>
        <v>2.419282379318441</v>
      </c>
      <c r="CW108" s="50">
        <f t="shared" si="958"/>
        <v>2.296985459952027</v>
      </c>
      <c r="CX108" s="50">
        <f t="shared" si="958"/>
        <v>2.1656487547533243</v>
      </c>
      <c r="CY108" s="50">
        <f t="shared" si="958"/>
        <v>2.0667891114227013</v>
      </c>
      <c r="CZ108" s="50">
        <f t="shared" si="958"/>
        <v>1.9654658639552296</v>
      </c>
      <c r="DA108" s="50">
        <f t="shared" si="958"/>
        <v>1.8665686750030857</v>
      </c>
      <c r="DB108" s="50">
        <f t="shared" si="958"/>
        <v>1.7605121746466044</v>
      </c>
      <c r="DE108" s="106"/>
      <c r="DF108" s="163">
        <v>3.9063029184040681</v>
      </c>
    </row>
    <row r="109" spans="1:110" s="163" customFormat="1" x14ac:dyDescent="0.2">
      <c r="A109" s="163" t="s">
        <v>508</v>
      </c>
      <c r="E109" s="163" t="e">
        <f t="shared" ca="1" si="955"/>
        <v>#DIV/0!</v>
      </c>
      <c r="F109" s="163" t="e">
        <f t="shared" ca="1" si="955"/>
        <v>#DIV/0!</v>
      </c>
      <c r="G109" s="163" t="e">
        <f t="shared" ca="1" si="955"/>
        <v>#DIV/0!</v>
      </c>
      <c r="H109" s="163" t="e">
        <f t="shared" ca="1" si="955"/>
        <v>#DIV/0!</v>
      </c>
      <c r="I109" s="163" t="e">
        <f t="shared" ca="1" si="955"/>
        <v>#DIV/0!</v>
      </c>
      <c r="J109" s="163" t="e">
        <f t="shared" ca="1" si="955"/>
        <v>#DIV/0!</v>
      </c>
      <c r="K109" s="163" t="e">
        <f t="shared" ca="1" si="955"/>
        <v>#DIV/0!</v>
      </c>
      <c r="L109" s="163" t="e">
        <f t="shared" ca="1" si="955"/>
        <v>#DIV/0!</v>
      </c>
      <c r="M109" s="163" t="e">
        <f t="shared" ca="1" si="955"/>
        <v>#DIV/0!</v>
      </c>
      <c r="N109" s="163" t="e">
        <f t="shared" ca="1" si="955"/>
        <v>#DIV/0!</v>
      </c>
      <c r="O109" s="163" t="e">
        <f t="shared" ca="1" si="955"/>
        <v>#DIV/0!</v>
      </c>
      <c r="P109" s="163" t="e">
        <f t="shared" ca="1" si="955"/>
        <v>#DIV/0!</v>
      </c>
      <c r="Q109" s="163" t="e">
        <f t="shared" ca="1" si="955"/>
        <v>#DIV/0!</v>
      </c>
      <c r="R109" s="163" t="e">
        <f t="shared" ca="1" si="955"/>
        <v>#DIV/0!</v>
      </c>
      <c r="S109" s="163" t="e">
        <f t="shared" ca="1" si="955"/>
        <v>#DIV/0!</v>
      </c>
      <c r="T109" s="163" t="e">
        <f t="shared" ca="1" si="955"/>
        <v>#DIV/0!</v>
      </c>
      <c r="U109" s="163" t="e">
        <f t="shared" ca="1" si="955"/>
        <v>#DIV/0!</v>
      </c>
      <c r="V109" s="163" t="e">
        <f t="shared" ca="1" si="955"/>
        <v>#DIV/0!</v>
      </c>
      <c r="W109" s="163" t="e">
        <f t="shared" ca="1" si="955"/>
        <v>#DIV/0!</v>
      </c>
      <c r="X109" s="163" t="e">
        <f t="shared" ca="1" si="955"/>
        <v>#DIV/0!</v>
      </c>
      <c r="Y109" s="163" t="e">
        <f t="shared" ca="1" si="955"/>
        <v>#DIV/0!</v>
      </c>
      <c r="Z109" s="163" t="e">
        <f t="shared" ref="Z109:AA110" ca="1" si="960">+Z84/Z$105</f>
        <v>#DIV/0!</v>
      </c>
      <c r="AA109" s="163" t="e">
        <f t="shared" ca="1" si="960"/>
        <v>#DIV/0!</v>
      </c>
      <c r="AB109" s="94" t="e">
        <f t="shared" ca="1" si="955"/>
        <v>#DIV/0!</v>
      </c>
      <c r="AC109" s="94" t="e">
        <f t="shared" ca="1" si="955"/>
        <v>#DIV/0!</v>
      </c>
      <c r="AD109" s="94" t="e">
        <f t="shared" ca="1" si="955"/>
        <v>#DIV/0!</v>
      </c>
      <c r="AE109" s="94" t="e">
        <f t="shared" ca="1" si="955"/>
        <v>#DIV/0!</v>
      </c>
      <c r="AL109" s="163" t="e">
        <f t="shared" ref="AL109:BQ109" si="961">+AL84/AL105</f>
        <v>#DIV/0!</v>
      </c>
      <c r="AM109" s="163" t="e">
        <f t="shared" si="961"/>
        <v>#DIV/0!</v>
      </c>
      <c r="AN109" s="163" t="e">
        <f t="shared" si="961"/>
        <v>#DIV/0!</v>
      </c>
      <c r="AO109" s="163" t="e">
        <f t="shared" si="961"/>
        <v>#DIV/0!</v>
      </c>
      <c r="AP109" s="163" t="e">
        <f t="shared" si="961"/>
        <v>#DIV/0!</v>
      </c>
      <c r="AQ109" s="163" t="e">
        <f t="shared" si="961"/>
        <v>#DIV/0!</v>
      </c>
      <c r="AR109" s="163" t="e">
        <f t="shared" si="961"/>
        <v>#DIV/0!</v>
      </c>
      <c r="AS109" s="163" t="e">
        <f t="shared" si="961"/>
        <v>#DIV/0!</v>
      </c>
      <c r="AT109" s="163" t="e">
        <f t="shared" si="961"/>
        <v>#DIV/0!</v>
      </c>
      <c r="AU109" s="163" t="e">
        <f t="shared" si="961"/>
        <v>#DIV/0!</v>
      </c>
      <c r="AV109" s="163" t="e">
        <f t="shared" si="961"/>
        <v>#DIV/0!</v>
      </c>
      <c r="AW109" s="163" t="e">
        <f t="shared" si="961"/>
        <v>#DIV/0!</v>
      </c>
      <c r="AX109" s="163" t="e">
        <f t="shared" si="961"/>
        <v>#DIV/0!</v>
      </c>
      <c r="AY109" s="163" t="e">
        <f t="shared" si="961"/>
        <v>#DIV/0!</v>
      </c>
      <c r="AZ109" s="163" t="e">
        <f t="shared" si="961"/>
        <v>#DIV/0!</v>
      </c>
      <c r="BA109" s="163" t="e">
        <f t="shared" si="961"/>
        <v>#DIV/0!</v>
      </c>
      <c r="BB109" s="163" t="e">
        <f t="shared" si="961"/>
        <v>#DIV/0!</v>
      </c>
      <c r="BC109" s="163" t="e">
        <f t="shared" si="961"/>
        <v>#DIV/0!</v>
      </c>
      <c r="BD109" s="163" t="e">
        <f t="shared" si="961"/>
        <v>#DIV/0!</v>
      </c>
      <c r="BE109" s="163" t="e">
        <f t="shared" si="961"/>
        <v>#DIV/0!</v>
      </c>
      <c r="BF109" s="163" t="e">
        <f t="shared" si="961"/>
        <v>#DIV/0!</v>
      </c>
      <c r="BG109" s="163" t="e">
        <f t="shared" si="961"/>
        <v>#DIV/0!</v>
      </c>
      <c r="BH109" s="163" t="e">
        <f t="shared" si="961"/>
        <v>#DIV/0!</v>
      </c>
      <c r="BI109" s="163" t="e">
        <f t="shared" si="961"/>
        <v>#DIV/0!</v>
      </c>
      <c r="BJ109" s="163" t="e">
        <f t="shared" si="961"/>
        <v>#DIV/0!</v>
      </c>
      <c r="BK109" s="163" t="e">
        <f t="shared" si="961"/>
        <v>#DIV/0!</v>
      </c>
      <c r="BL109" s="163" t="e">
        <f t="shared" si="961"/>
        <v>#DIV/0!</v>
      </c>
      <c r="BM109" s="163" t="e">
        <f t="shared" si="961"/>
        <v>#DIV/0!</v>
      </c>
      <c r="BN109" s="163" t="e">
        <f t="shared" si="961"/>
        <v>#DIV/0!</v>
      </c>
      <c r="BO109" s="163" t="e">
        <f t="shared" si="961"/>
        <v>#DIV/0!</v>
      </c>
      <c r="BP109" s="163" t="e">
        <f t="shared" si="961"/>
        <v>#DIV/0!</v>
      </c>
      <c r="BQ109" s="163" t="e">
        <f t="shared" si="961"/>
        <v>#DIV/0!</v>
      </c>
      <c r="BR109" s="163" t="e">
        <f t="shared" ref="BR109:CJ109" si="962">+BR84/BR105</f>
        <v>#DIV/0!</v>
      </c>
      <c r="BS109" s="163" t="e">
        <f t="shared" si="962"/>
        <v>#DIV/0!</v>
      </c>
      <c r="BT109" s="163" t="e">
        <f t="shared" si="962"/>
        <v>#DIV/0!</v>
      </c>
      <c r="BU109" s="163" t="e">
        <f t="shared" si="962"/>
        <v>#DIV/0!</v>
      </c>
      <c r="BV109" s="163" t="e">
        <f t="shared" si="962"/>
        <v>#DIV/0!</v>
      </c>
      <c r="BW109" s="163" t="e">
        <f t="shared" si="962"/>
        <v>#DIV/0!</v>
      </c>
      <c r="BX109" s="163" t="e">
        <f t="shared" si="962"/>
        <v>#DIV/0!</v>
      </c>
      <c r="BY109" s="163">
        <f t="shared" si="962"/>
        <v>0</v>
      </c>
      <c r="BZ109" s="163">
        <f t="shared" si="962"/>
        <v>0</v>
      </c>
      <c r="CA109" s="163">
        <f t="shared" si="962"/>
        <v>0</v>
      </c>
      <c r="CB109" s="163">
        <f t="shared" si="962"/>
        <v>0</v>
      </c>
      <c r="CC109" s="163">
        <f t="shared" si="962"/>
        <v>10.883887064198031</v>
      </c>
      <c r="CD109" s="163">
        <f t="shared" si="962"/>
        <v>9.5137966075197369</v>
      </c>
      <c r="CE109" s="163">
        <f t="shared" si="962"/>
        <v>9.0733196324951635</v>
      </c>
      <c r="CF109" s="163">
        <f t="shared" si="962"/>
        <v>8.9308891526633456</v>
      </c>
      <c r="CG109" s="163">
        <f t="shared" si="962"/>
        <v>8.7015933138497434</v>
      </c>
      <c r="CH109" s="163">
        <f t="shared" si="962"/>
        <v>7.1638906248488414</v>
      </c>
      <c r="CI109" s="163">
        <f t="shared" si="962"/>
        <v>6.2861072715148607</v>
      </c>
      <c r="CJ109" s="163">
        <f t="shared" si="962"/>
        <v>5.8454256234709376</v>
      </c>
      <c r="CK109" s="163">
        <f t="shared" ref="CK109:CL109" si="963">+CK84/CK105</f>
        <v>5.6186151561601845</v>
      </c>
      <c r="CL109" s="163">
        <f t="shared" si="963"/>
        <v>5.0897763537653686</v>
      </c>
      <c r="CM109" s="94">
        <f t="shared" ref="CM109:DB109" si="964">+CL109</f>
        <v>5.0897763537653686</v>
      </c>
      <c r="CN109" s="94">
        <f t="shared" si="964"/>
        <v>5.0897763537653686</v>
      </c>
      <c r="CO109" s="94">
        <f t="shared" si="964"/>
        <v>5.0897763537653686</v>
      </c>
      <c r="CP109" s="94">
        <f t="shared" si="964"/>
        <v>5.0897763537653686</v>
      </c>
      <c r="CQ109" s="94">
        <f t="shared" si="964"/>
        <v>5.0897763537653686</v>
      </c>
      <c r="CR109" s="94">
        <f t="shared" si="964"/>
        <v>5.0897763537653686</v>
      </c>
      <c r="CS109" s="94">
        <f t="shared" si="964"/>
        <v>5.0897763537653686</v>
      </c>
      <c r="CT109" s="94">
        <f t="shared" si="964"/>
        <v>5.0897763537653686</v>
      </c>
      <c r="CU109" s="94">
        <f t="shared" si="964"/>
        <v>5.0897763537653686</v>
      </c>
      <c r="CV109" s="94">
        <f t="shared" si="964"/>
        <v>5.0897763537653686</v>
      </c>
      <c r="CW109" s="94">
        <f t="shared" si="964"/>
        <v>5.0897763537653686</v>
      </c>
      <c r="CX109" s="94">
        <f t="shared" si="964"/>
        <v>5.0897763537653686</v>
      </c>
      <c r="CY109" s="94">
        <f t="shared" si="964"/>
        <v>5.0897763537653686</v>
      </c>
      <c r="CZ109" s="94">
        <f t="shared" si="964"/>
        <v>5.0897763537653686</v>
      </c>
      <c r="DA109" s="94">
        <f t="shared" si="964"/>
        <v>5.0897763537653686</v>
      </c>
      <c r="DB109" s="94">
        <f t="shared" si="964"/>
        <v>5.0897763537653686</v>
      </c>
      <c r="DE109" s="164"/>
      <c r="DF109" s="163">
        <v>5.292237264270268</v>
      </c>
    </row>
    <row r="110" spans="1:110" s="163" customFormat="1" x14ac:dyDescent="0.2">
      <c r="A110" s="163" t="s">
        <v>509</v>
      </c>
      <c r="E110" s="163" t="e">
        <f t="shared" ca="1" si="955"/>
        <v>#DIV/0!</v>
      </c>
      <c r="F110" s="163" t="e">
        <f t="shared" ca="1" si="955"/>
        <v>#DIV/0!</v>
      </c>
      <c r="G110" s="163" t="e">
        <f t="shared" ca="1" si="955"/>
        <v>#DIV/0!</v>
      </c>
      <c r="H110" s="163" t="e">
        <f t="shared" ca="1" si="955"/>
        <v>#DIV/0!</v>
      </c>
      <c r="I110" s="163" t="e">
        <f t="shared" ca="1" si="955"/>
        <v>#DIV/0!</v>
      </c>
      <c r="J110" s="163" t="e">
        <f t="shared" ca="1" si="955"/>
        <v>#DIV/0!</v>
      </c>
      <c r="K110" s="163" t="e">
        <f t="shared" ca="1" si="955"/>
        <v>#DIV/0!</v>
      </c>
      <c r="L110" s="163" t="e">
        <f t="shared" ca="1" si="955"/>
        <v>#DIV/0!</v>
      </c>
      <c r="M110" s="163" t="e">
        <f t="shared" ca="1" si="955"/>
        <v>#DIV/0!</v>
      </c>
      <c r="N110" s="163" t="e">
        <f t="shared" ca="1" si="955"/>
        <v>#DIV/0!</v>
      </c>
      <c r="O110" s="163" t="e">
        <f t="shared" ca="1" si="955"/>
        <v>#DIV/0!</v>
      </c>
      <c r="P110" s="163" t="e">
        <f t="shared" ca="1" si="955"/>
        <v>#DIV/0!</v>
      </c>
      <c r="Q110" s="163" t="e">
        <f t="shared" ca="1" si="955"/>
        <v>#DIV/0!</v>
      </c>
      <c r="R110" s="163" t="e">
        <f t="shared" ca="1" si="955"/>
        <v>#DIV/0!</v>
      </c>
      <c r="S110" s="163" t="e">
        <f t="shared" ca="1" si="955"/>
        <v>#DIV/0!</v>
      </c>
      <c r="T110" s="163" t="e">
        <f t="shared" ca="1" si="955"/>
        <v>#DIV/0!</v>
      </c>
      <c r="U110" s="163" t="e">
        <f t="shared" ca="1" si="955"/>
        <v>#DIV/0!</v>
      </c>
      <c r="V110" s="163" t="e">
        <f t="shared" ca="1" si="955"/>
        <v>#DIV/0!</v>
      </c>
      <c r="W110" s="163" t="e">
        <f t="shared" ca="1" si="955"/>
        <v>#DIV/0!</v>
      </c>
      <c r="X110" s="163" t="e">
        <f t="shared" ca="1" si="955"/>
        <v>#DIV/0!</v>
      </c>
      <c r="Y110" s="163" t="e">
        <f t="shared" ca="1" si="955"/>
        <v>#DIV/0!</v>
      </c>
      <c r="Z110" s="163" t="e">
        <f t="shared" ca="1" si="960"/>
        <v>#DIV/0!</v>
      </c>
      <c r="AA110" s="163" t="e">
        <f t="shared" ca="1" si="960"/>
        <v>#DIV/0!</v>
      </c>
      <c r="AB110" s="94" t="e">
        <f t="shared" ca="1" si="955"/>
        <v>#DIV/0!</v>
      </c>
      <c r="AC110" s="94" t="e">
        <f t="shared" ca="1" si="955"/>
        <v>#DIV/0!</v>
      </c>
      <c r="AD110" s="94" t="e">
        <f t="shared" ca="1" si="955"/>
        <v>#DIV/0!</v>
      </c>
      <c r="AE110" s="94" t="e">
        <f t="shared" ca="1" si="955"/>
        <v>#DIV/0!</v>
      </c>
      <c r="AL110" s="163" t="e">
        <f t="shared" ref="AL110:BQ110" si="965">+AL85/AL105</f>
        <v>#DIV/0!</v>
      </c>
      <c r="AM110" s="163" t="e">
        <f t="shared" si="965"/>
        <v>#DIV/0!</v>
      </c>
      <c r="AN110" s="163" t="e">
        <f t="shared" si="965"/>
        <v>#DIV/0!</v>
      </c>
      <c r="AO110" s="163" t="e">
        <f t="shared" si="965"/>
        <v>#DIV/0!</v>
      </c>
      <c r="AP110" s="163" t="e">
        <f t="shared" si="965"/>
        <v>#DIV/0!</v>
      </c>
      <c r="AQ110" s="163" t="e">
        <f t="shared" si="965"/>
        <v>#DIV/0!</v>
      </c>
      <c r="AR110" s="163" t="e">
        <f t="shared" si="965"/>
        <v>#DIV/0!</v>
      </c>
      <c r="AS110" s="163" t="e">
        <f t="shared" si="965"/>
        <v>#DIV/0!</v>
      </c>
      <c r="AT110" s="163" t="e">
        <f t="shared" si="965"/>
        <v>#DIV/0!</v>
      </c>
      <c r="AU110" s="163" t="e">
        <f t="shared" si="965"/>
        <v>#DIV/0!</v>
      </c>
      <c r="AV110" s="163" t="e">
        <f t="shared" si="965"/>
        <v>#DIV/0!</v>
      </c>
      <c r="AW110" s="163" t="e">
        <f t="shared" si="965"/>
        <v>#DIV/0!</v>
      </c>
      <c r="AX110" s="163" t="e">
        <f t="shared" si="965"/>
        <v>#DIV/0!</v>
      </c>
      <c r="AY110" s="163" t="e">
        <f t="shared" si="965"/>
        <v>#DIV/0!</v>
      </c>
      <c r="AZ110" s="163" t="e">
        <f t="shared" si="965"/>
        <v>#DIV/0!</v>
      </c>
      <c r="BA110" s="163" t="e">
        <f t="shared" si="965"/>
        <v>#DIV/0!</v>
      </c>
      <c r="BB110" s="163" t="e">
        <f t="shared" si="965"/>
        <v>#DIV/0!</v>
      </c>
      <c r="BC110" s="163" t="e">
        <f t="shared" si="965"/>
        <v>#DIV/0!</v>
      </c>
      <c r="BD110" s="163" t="e">
        <f t="shared" si="965"/>
        <v>#DIV/0!</v>
      </c>
      <c r="BE110" s="163" t="e">
        <f t="shared" si="965"/>
        <v>#DIV/0!</v>
      </c>
      <c r="BF110" s="163" t="e">
        <f t="shared" si="965"/>
        <v>#DIV/0!</v>
      </c>
      <c r="BG110" s="163" t="e">
        <f t="shared" si="965"/>
        <v>#DIV/0!</v>
      </c>
      <c r="BH110" s="163" t="e">
        <f t="shared" si="965"/>
        <v>#DIV/0!</v>
      </c>
      <c r="BI110" s="163" t="e">
        <f t="shared" si="965"/>
        <v>#DIV/0!</v>
      </c>
      <c r="BJ110" s="163" t="e">
        <f t="shared" si="965"/>
        <v>#DIV/0!</v>
      </c>
      <c r="BK110" s="163" t="e">
        <f t="shared" si="965"/>
        <v>#DIV/0!</v>
      </c>
      <c r="BL110" s="163" t="e">
        <f t="shared" si="965"/>
        <v>#DIV/0!</v>
      </c>
      <c r="BM110" s="163" t="e">
        <f t="shared" si="965"/>
        <v>#DIV/0!</v>
      </c>
      <c r="BN110" s="163" t="e">
        <f t="shared" si="965"/>
        <v>#DIV/0!</v>
      </c>
      <c r="BO110" s="163" t="e">
        <f t="shared" si="965"/>
        <v>#DIV/0!</v>
      </c>
      <c r="BP110" s="163" t="e">
        <f t="shared" si="965"/>
        <v>#DIV/0!</v>
      </c>
      <c r="BQ110" s="163" t="e">
        <f t="shared" si="965"/>
        <v>#DIV/0!</v>
      </c>
      <c r="BR110" s="163" t="e">
        <f t="shared" ref="BR110:CJ110" si="966">+BR85/BR105</f>
        <v>#DIV/0!</v>
      </c>
      <c r="BS110" s="163" t="e">
        <f t="shared" si="966"/>
        <v>#DIV/0!</v>
      </c>
      <c r="BT110" s="163" t="e">
        <f t="shared" si="966"/>
        <v>#DIV/0!</v>
      </c>
      <c r="BU110" s="163" t="e">
        <f t="shared" si="966"/>
        <v>#DIV/0!</v>
      </c>
      <c r="BV110" s="163" t="e">
        <f t="shared" si="966"/>
        <v>#DIV/0!</v>
      </c>
      <c r="BW110" s="163" t="e">
        <f t="shared" si="966"/>
        <v>#DIV/0!</v>
      </c>
      <c r="BX110" s="163" t="e">
        <f t="shared" si="966"/>
        <v>#DIV/0!</v>
      </c>
      <c r="BY110" s="163">
        <f t="shared" si="966"/>
        <v>0</v>
      </c>
      <c r="BZ110" s="163">
        <f t="shared" si="966"/>
        <v>0</v>
      </c>
      <c r="CA110" s="163">
        <f t="shared" si="966"/>
        <v>0</v>
      </c>
      <c r="CB110" s="163">
        <f t="shared" si="966"/>
        <v>0</v>
      </c>
      <c r="CC110" s="163">
        <f t="shared" si="966"/>
        <v>0</v>
      </c>
      <c r="CD110" s="163">
        <f t="shared" si="966"/>
        <v>8.086727116391776</v>
      </c>
      <c r="CE110" s="163">
        <f t="shared" si="966"/>
        <v>7.7700681857178502</v>
      </c>
      <c r="CF110" s="163">
        <f t="shared" si="966"/>
        <v>7.6368938036276743</v>
      </c>
      <c r="CG110" s="163">
        <f t="shared" si="966"/>
        <v>6.914865109908658</v>
      </c>
      <c r="CH110" s="163">
        <f t="shared" si="966"/>
        <v>4.920882082635992</v>
      </c>
      <c r="CI110" s="163">
        <f t="shared" si="966"/>
        <v>4.69328498358208</v>
      </c>
      <c r="CJ110" s="163">
        <f t="shared" si="966"/>
        <v>5.1196513010936728</v>
      </c>
      <c r="CK110" s="163">
        <f t="shared" ref="CK110:CL110" si="967">+CK85/CK105</f>
        <v>4.9523424027591494</v>
      </c>
      <c r="CL110" s="163">
        <f t="shared" si="967"/>
        <v>3.7424826130627711</v>
      </c>
      <c r="CM110" s="94">
        <f t="shared" ref="CM110:DB110" si="968">+CL110</f>
        <v>3.7424826130627711</v>
      </c>
      <c r="CN110" s="94">
        <f t="shared" si="968"/>
        <v>3.7424826130627711</v>
      </c>
      <c r="CO110" s="94">
        <f t="shared" si="968"/>
        <v>3.7424826130627711</v>
      </c>
      <c r="CP110" s="94">
        <f t="shared" si="968"/>
        <v>3.7424826130627711</v>
      </c>
      <c r="CQ110" s="94">
        <f t="shared" si="968"/>
        <v>3.7424826130627711</v>
      </c>
      <c r="CR110" s="94">
        <f t="shared" si="968"/>
        <v>3.7424826130627711</v>
      </c>
      <c r="CS110" s="94">
        <f t="shared" si="968"/>
        <v>3.7424826130627711</v>
      </c>
      <c r="CT110" s="94">
        <f t="shared" si="968"/>
        <v>3.7424826130627711</v>
      </c>
      <c r="CU110" s="94">
        <f t="shared" si="968"/>
        <v>3.7424826130627711</v>
      </c>
      <c r="CV110" s="94">
        <f t="shared" si="968"/>
        <v>3.7424826130627711</v>
      </c>
      <c r="CW110" s="94">
        <f t="shared" si="968"/>
        <v>3.7424826130627711</v>
      </c>
      <c r="CX110" s="94">
        <f t="shared" si="968"/>
        <v>3.7424826130627711</v>
      </c>
      <c r="CY110" s="94">
        <f t="shared" si="968"/>
        <v>3.7424826130627711</v>
      </c>
      <c r="CZ110" s="94">
        <f t="shared" si="968"/>
        <v>3.7424826130627711</v>
      </c>
      <c r="DA110" s="94">
        <f t="shared" si="968"/>
        <v>3.7424826130627711</v>
      </c>
      <c r="DB110" s="94">
        <f t="shared" si="968"/>
        <v>3.7424826130627711</v>
      </c>
      <c r="DE110" s="164"/>
      <c r="DF110" s="163">
        <v>3.8913509296104909</v>
      </c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9"/>
    </row>
    <row r="113" spans="1:110" s="162" customFormat="1" x14ac:dyDescent="0.2">
      <c r="A113" s="49" t="s">
        <v>340</v>
      </c>
      <c r="B113" s="162" t="e">
        <f t="shared" ref="B113:AE113" si="969">+B84*B71</f>
        <v>#DIV/0!</v>
      </c>
      <c r="C113" s="162" t="e">
        <f t="shared" si="969"/>
        <v>#DIV/0!</v>
      </c>
      <c r="D113" s="162" t="e">
        <f t="shared" si="969"/>
        <v>#DIV/0!</v>
      </c>
      <c r="E113" s="162" t="e">
        <f t="shared" ca="1" si="969"/>
        <v>#DIV/0!</v>
      </c>
      <c r="F113" s="162" t="e">
        <f t="shared" ca="1" si="969"/>
        <v>#DIV/0!</v>
      </c>
      <c r="G113" s="162" t="e">
        <f t="shared" ca="1" si="969"/>
        <v>#DIV/0!</v>
      </c>
      <c r="H113" s="162" t="e">
        <f t="shared" ca="1" si="969"/>
        <v>#DIV/0!</v>
      </c>
      <c r="I113" s="162" t="e">
        <f t="shared" ca="1" si="969"/>
        <v>#DIV/0!</v>
      </c>
      <c r="J113" s="162" t="e">
        <f t="shared" ca="1" si="969"/>
        <v>#DIV/0!</v>
      </c>
      <c r="K113" s="162" t="e">
        <f t="shared" ca="1" si="969"/>
        <v>#DIV/0!</v>
      </c>
      <c r="L113" s="162" t="e">
        <f t="shared" ca="1" si="969"/>
        <v>#DIV/0!</v>
      </c>
      <c r="M113" s="162" t="e">
        <f t="shared" ca="1" si="969"/>
        <v>#DIV/0!</v>
      </c>
      <c r="N113" s="162" t="e">
        <f t="shared" ca="1" si="969"/>
        <v>#DIV/0!</v>
      </c>
      <c r="O113" s="162" t="e">
        <f t="shared" ca="1" si="969"/>
        <v>#DIV/0!</v>
      </c>
      <c r="P113" s="162" t="e">
        <f t="shared" ca="1" si="969"/>
        <v>#DIV/0!</v>
      </c>
      <c r="Q113" s="162" t="e">
        <f t="shared" ca="1" si="969"/>
        <v>#DIV/0!</v>
      </c>
      <c r="R113" s="162" t="e">
        <f t="shared" ca="1" si="969"/>
        <v>#DIV/0!</v>
      </c>
      <c r="S113" s="162" t="e">
        <f t="shared" ca="1" si="969"/>
        <v>#DIV/0!</v>
      </c>
      <c r="T113" s="162" t="e">
        <f t="shared" ca="1" si="969"/>
        <v>#DIV/0!</v>
      </c>
      <c r="U113" s="162" t="e">
        <f t="shared" ca="1" si="969"/>
        <v>#DIV/0!</v>
      </c>
      <c r="V113" s="162" t="e">
        <f t="shared" ca="1" si="969"/>
        <v>#DIV/0!</v>
      </c>
      <c r="W113" s="162" t="e">
        <f t="shared" ca="1" si="969"/>
        <v>#DIV/0!</v>
      </c>
      <c r="X113" s="162" t="e">
        <f t="shared" ca="1" si="969"/>
        <v>#DIV/0!</v>
      </c>
      <c r="Y113" s="162" t="e">
        <f t="shared" ca="1" si="969"/>
        <v>#DIV/0!</v>
      </c>
      <c r="Z113" s="162" t="e">
        <f t="shared" ca="1" si="969"/>
        <v>#DIV/0!</v>
      </c>
      <c r="AA113" s="162" t="e">
        <f t="shared" ref="AA113" ca="1" si="970">+AA84*AA71</f>
        <v>#DIV/0!</v>
      </c>
      <c r="AB113" s="21" t="e">
        <f t="shared" ca="1" si="969"/>
        <v>#DIV/0!</v>
      </c>
      <c r="AC113" s="21" t="e">
        <f t="shared" ca="1" si="969"/>
        <v>#DIV/0!</v>
      </c>
      <c r="AD113" s="21" t="e">
        <f t="shared" ca="1" si="969"/>
        <v>#DIV/0!</v>
      </c>
      <c r="AE113" s="21" t="e">
        <f t="shared" ca="1" si="969"/>
        <v>#DIV/0!</v>
      </c>
      <c r="AL113" s="162">
        <f t="shared" ref="AL113:BQ113" si="971">+AL84*AL71</f>
        <v>0</v>
      </c>
      <c r="AM113" s="162">
        <f t="shared" si="971"/>
        <v>0</v>
      </c>
      <c r="AN113" s="162">
        <f t="shared" si="971"/>
        <v>0</v>
      </c>
      <c r="AO113" s="162">
        <f t="shared" si="971"/>
        <v>0</v>
      </c>
      <c r="AP113" s="162">
        <f t="shared" si="971"/>
        <v>0</v>
      </c>
      <c r="AQ113" s="162">
        <f t="shared" si="971"/>
        <v>0</v>
      </c>
      <c r="AR113" s="162">
        <f t="shared" si="971"/>
        <v>0</v>
      </c>
      <c r="AS113" s="162">
        <f t="shared" si="971"/>
        <v>0</v>
      </c>
      <c r="AT113" s="162">
        <f t="shared" si="971"/>
        <v>0</v>
      </c>
      <c r="AU113" s="162">
        <f t="shared" si="971"/>
        <v>0</v>
      </c>
      <c r="AV113" s="162">
        <f t="shared" si="971"/>
        <v>0</v>
      </c>
      <c r="AW113" s="162">
        <f t="shared" si="971"/>
        <v>0</v>
      </c>
      <c r="AX113" s="162">
        <f t="shared" si="971"/>
        <v>0</v>
      </c>
      <c r="AY113" s="162">
        <f t="shared" si="971"/>
        <v>0</v>
      </c>
      <c r="AZ113" s="162">
        <f t="shared" si="971"/>
        <v>0</v>
      </c>
      <c r="BA113" s="162">
        <f t="shared" si="971"/>
        <v>0</v>
      </c>
      <c r="BB113" s="162">
        <f t="shared" si="971"/>
        <v>0</v>
      </c>
      <c r="BC113" s="162">
        <f t="shared" si="971"/>
        <v>0</v>
      </c>
      <c r="BD113" s="162">
        <f t="shared" si="971"/>
        <v>0</v>
      </c>
      <c r="BE113" s="162">
        <f t="shared" si="971"/>
        <v>0</v>
      </c>
      <c r="BF113" s="162">
        <f t="shared" si="971"/>
        <v>0</v>
      </c>
      <c r="BG113" s="162">
        <f t="shared" si="971"/>
        <v>0</v>
      </c>
      <c r="BH113" s="162">
        <f t="shared" si="971"/>
        <v>0</v>
      </c>
      <c r="BI113" s="162">
        <f t="shared" si="971"/>
        <v>0</v>
      </c>
      <c r="BJ113" s="162">
        <f t="shared" si="971"/>
        <v>0</v>
      </c>
      <c r="BK113" s="162">
        <f t="shared" si="971"/>
        <v>0</v>
      </c>
      <c r="BL113" s="162">
        <f t="shared" si="971"/>
        <v>0</v>
      </c>
      <c r="BM113" s="162">
        <f t="shared" si="971"/>
        <v>0</v>
      </c>
      <c r="BN113" s="162">
        <f t="shared" si="971"/>
        <v>0</v>
      </c>
      <c r="BO113" s="162">
        <f t="shared" si="971"/>
        <v>0</v>
      </c>
      <c r="BP113" s="162">
        <f t="shared" si="971"/>
        <v>0</v>
      </c>
      <c r="BQ113" s="162">
        <f t="shared" si="971"/>
        <v>0</v>
      </c>
      <c r="BR113" s="162">
        <f t="shared" ref="BR113:CJ113" si="972">+BR84*BR71</f>
        <v>0</v>
      </c>
      <c r="BS113" s="162">
        <f t="shared" si="972"/>
        <v>0</v>
      </c>
      <c r="BT113" s="162">
        <f t="shared" si="972"/>
        <v>0</v>
      </c>
      <c r="BU113" s="162">
        <f t="shared" si="972"/>
        <v>0</v>
      </c>
      <c r="BV113" s="162">
        <f t="shared" si="972"/>
        <v>0</v>
      </c>
      <c r="BW113" s="162">
        <f t="shared" si="972"/>
        <v>0</v>
      </c>
      <c r="BX113" s="162">
        <f t="shared" si="972"/>
        <v>0</v>
      </c>
      <c r="BY113" s="162">
        <f t="shared" si="972"/>
        <v>0</v>
      </c>
      <c r="BZ113" s="162">
        <f t="shared" si="972"/>
        <v>0</v>
      </c>
      <c r="CA113" s="162">
        <f t="shared" si="972"/>
        <v>0</v>
      </c>
      <c r="CB113" s="162">
        <f t="shared" si="972"/>
        <v>0</v>
      </c>
      <c r="CC113" s="162">
        <f t="shared" si="972"/>
        <v>56798</v>
      </c>
      <c r="CD113" s="162">
        <f t="shared" si="972"/>
        <v>48684</v>
      </c>
      <c r="CE113" s="162">
        <f t="shared" si="972"/>
        <v>46533.79</v>
      </c>
      <c r="CF113" s="162">
        <f t="shared" si="972"/>
        <v>46046.95</v>
      </c>
      <c r="CG113" s="162">
        <f t="shared" si="972"/>
        <v>45107.754499999995</v>
      </c>
      <c r="CH113" s="162">
        <f t="shared" si="972"/>
        <v>37026.210500000001</v>
      </c>
      <c r="CI113" s="162">
        <f t="shared" si="972"/>
        <v>32334.29</v>
      </c>
      <c r="CJ113" s="162">
        <f t="shared" si="972"/>
        <v>30224.65</v>
      </c>
      <c r="CK113" s="162">
        <f t="shared" ref="CK113:CL113" si="973">+CK84*CK71</f>
        <v>29323.552500000005</v>
      </c>
      <c r="CL113" s="162">
        <f t="shared" si="973"/>
        <v>28022.120000000003</v>
      </c>
      <c r="CM113" s="21">
        <f t="shared" ref="CM113:DB113" si="974">+CM84*CM71</f>
        <v>22039.48359203276</v>
      </c>
      <c r="CN113" s="21">
        <f t="shared" si="974"/>
        <v>19283.302668483066</v>
      </c>
      <c r="CO113" s="21">
        <f t="shared" si="974"/>
        <v>18295.289463847679</v>
      </c>
      <c r="CP113" s="21">
        <f t="shared" si="974"/>
        <v>20643.732713267924</v>
      </c>
      <c r="CQ113" s="21">
        <f t="shared" si="974"/>
        <v>27586.382436576481</v>
      </c>
      <c r="CR113" s="21">
        <f t="shared" si="974"/>
        <v>33114.076721025951</v>
      </c>
      <c r="CS113" s="21">
        <f t="shared" si="974"/>
        <v>37813.457460647478</v>
      </c>
      <c r="CT113" s="21">
        <f t="shared" si="974"/>
        <v>42686.734150255943</v>
      </c>
      <c r="CU113" s="21">
        <f t="shared" si="974"/>
        <v>45928.908926237018</v>
      </c>
      <c r="CV113" s="21">
        <f t="shared" si="974"/>
        <v>49609.333872789488</v>
      </c>
      <c r="CW113" s="21">
        <f t="shared" si="974"/>
        <v>53510.451716197145</v>
      </c>
      <c r="CX113" s="21">
        <f t="shared" si="974"/>
        <v>57851.707079660562</v>
      </c>
      <c r="CY113" s="21">
        <f t="shared" si="974"/>
        <v>61933.426754533022</v>
      </c>
      <c r="CZ113" s="21">
        <f t="shared" si="974"/>
        <v>66010.562778454027</v>
      </c>
      <c r="DA113" s="21">
        <f t="shared" si="974"/>
        <v>70096.731561735913</v>
      </c>
      <c r="DB113" s="21">
        <f t="shared" si="974"/>
        <v>74687.033413231024</v>
      </c>
      <c r="DE113" s="22"/>
      <c r="DF113" s="162">
        <v>28004.865000000005</v>
      </c>
    </row>
    <row r="114" spans="1:110" s="162" customFormat="1" x14ac:dyDescent="0.2">
      <c r="A114" s="49" t="s">
        <v>341</v>
      </c>
      <c r="B114" s="162" t="e">
        <f t="shared" ref="B114:AE114" si="975">+B85*B71</f>
        <v>#DIV/0!</v>
      </c>
      <c r="C114" s="162" t="e">
        <f t="shared" si="975"/>
        <v>#DIV/0!</v>
      </c>
      <c r="D114" s="162" t="e">
        <f t="shared" si="975"/>
        <v>#DIV/0!</v>
      </c>
      <c r="E114" s="162" t="e">
        <f t="shared" ca="1" si="975"/>
        <v>#DIV/0!</v>
      </c>
      <c r="F114" s="162" t="e">
        <f t="shared" ca="1" si="975"/>
        <v>#DIV/0!</v>
      </c>
      <c r="G114" s="162" t="e">
        <f t="shared" ca="1" si="975"/>
        <v>#DIV/0!</v>
      </c>
      <c r="H114" s="162" t="e">
        <f t="shared" ca="1" si="975"/>
        <v>#DIV/0!</v>
      </c>
      <c r="I114" s="162" t="e">
        <f t="shared" ca="1" si="975"/>
        <v>#DIV/0!</v>
      </c>
      <c r="J114" s="162" t="e">
        <f t="shared" ca="1" si="975"/>
        <v>#DIV/0!</v>
      </c>
      <c r="K114" s="162" t="e">
        <f t="shared" ca="1" si="975"/>
        <v>#DIV/0!</v>
      </c>
      <c r="L114" s="162" t="e">
        <f t="shared" ca="1" si="975"/>
        <v>#DIV/0!</v>
      </c>
      <c r="M114" s="162" t="e">
        <f t="shared" ca="1" si="975"/>
        <v>#DIV/0!</v>
      </c>
      <c r="N114" s="162" t="e">
        <f t="shared" ca="1" si="975"/>
        <v>#DIV/0!</v>
      </c>
      <c r="O114" s="162" t="e">
        <f t="shared" ca="1" si="975"/>
        <v>#DIV/0!</v>
      </c>
      <c r="P114" s="162" t="e">
        <f t="shared" ca="1" si="975"/>
        <v>#DIV/0!</v>
      </c>
      <c r="Q114" s="162" t="e">
        <f t="shared" ca="1" si="975"/>
        <v>#DIV/0!</v>
      </c>
      <c r="R114" s="162" t="e">
        <f t="shared" ca="1" si="975"/>
        <v>#DIV/0!</v>
      </c>
      <c r="S114" s="162" t="e">
        <f t="shared" ca="1" si="975"/>
        <v>#DIV/0!</v>
      </c>
      <c r="T114" s="162" t="e">
        <f t="shared" ca="1" si="975"/>
        <v>#DIV/0!</v>
      </c>
      <c r="U114" s="162" t="e">
        <f t="shared" ca="1" si="975"/>
        <v>#DIV/0!</v>
      </c>
      <c r="V114" s="162" t="e">
        <f t="shared" ca="1" si="975"/>
        <v>#DIV/0!</v>
      </c>
      <c r="W114" s="162" t="e">
        <f t="shared" ca="1" si="975"/>
        <v>#DIV/0!</v>
      </c>
      <c r="X114" s="162" t="e">
        <f t="shared" ca="1" si="975"/>
        <v>#DIV/0!</v>
      </c>
      <c r="Y114" s="162" t="e">
        <f t="shared" ca="1" si="975"/>
        <v>#DIV/0!</v>
      </c>
      <c r="Z114" s="162" t="e">
        <f t="shared" ca="1" si="975"/>
        <v>#DIV/0!</v>
      </c>
      <c r="AA114" s="162" t="e">
        <f t="shared" ref="AA114" ca="1" si="976">+AA85*AA71</f>
        <v>#DIV/0!</v>
      </c>
      <c r="AB114" s="21" t="e">
        <f t="shared" ca="1" si="975"/>
        <v>#DIV/0!</v>
      </c>
      <c r="AC114" s="21" t="e">
        <f t="shared" ca="1" si="975"/>
        <v>#DIV/0!</v>
      </c>
      <c r="AD114" s="21" t="e">
        <f t="shared" ca="1" si="975"/>
        <v>#DIV/0!</v>
      </c>
      <c r="AE114" s="21" t="e">
        <f t="shared" ca="1" si="975"/>
        <v>#DIV/0!</v>
      </c>
      <c r="AL114" s="162">
        <f t="shared" ref="AL114:BQ114" si="977">+AL85*AL71</f>
        <v>0</v>
      </c>
      <c r="AM114" s="162">
        <f t="shared" si="977"/>
        <v>0</v>
      </c>
      <c r="AN114" s="162">
        <f t="shared" si="977"/>
        <v>0</v>
      </c>
      <c r="AO114" s="162">
        <f t="shared" si="977"/>
        <v>0</v>
      </c>
      <c r="AP114" s="162">
        <f t="shared" si="977"/>
        <v>0</v>
      </c>
      <c r="AQ114" s="162">
        <f t="shared" si="977"/>
        <v>0</v>
      </c>
      <c r="AR114" s="162">
        <f t="shared" si="977"/>
        <v>0</v>
      </c>
      <c r="AS114" s="162">
        <f t="shared" si="977"/>
        <v>0</v>
      </c>
      <c r="AT114" s="162">
        <f t="shared" si="977"/>
        <v>0</v>
      </c>
      <c r="AU114" s="162">
        <f t="shared" si="977"/>
        <v>0</v>
      </c>
      <c r="AV114" s="162">
        <f t="shared" si="977"/>
        <v>0</v>
      </c>
      <c r="AW114" s="162">
        <f t="shared" si="977"/>
        <v>0</v>
      </c>
      <c r="AX114" s="162">
        <f t="shared" si="977"/>
        <v>0</v>
      </c>
      <c r="AY114" s="162">
        <f t="shared" si="977"/>
        <v>0</v>
      </c>
      <c r="AZ114" s="162">
        <f t="shared" si="977"/>
        <v>0</v>
      </c>
      <c r="BA114" s="162">
        <f t="shared" si="977"/>
        <v>0</v>
      </c>
      <c r="BB114" s="162">
        <f t="shared" si="977"/>
        <v>0</v>
      </c>
      <c r="BC114" s="162">
        <f t="shared" si="977"/>
        <v>0</v>
      </c>
      <c r="BD114" s="162">
        <f t="shared" si="977"/>
        <v>0</v>
      </c>
      <c r="BE114" s="162">
        <f t="shared" si="977"/>
        <v>0</v>
      </c>
      <c r="BF114" s="162">
        <f t="shared" si="977"/>
        <v>0</v>
      </c>
      <c r="BG114" s="162">
        <f t="shared" si="977"/>
        <v>0</v>
      </c>
      <c r="BH114" s="162">
        <f t="shared" si="977"/>
        <v>0</v>
      </c>
      <c r="BI114" s="162">
        <f t="shared" si="977"/>
        <v>0</v>
      </c>
      <c r="BJ114" s="162">
        <f t="shared" si="977"/>
        <v>0</v>
      </c>
      <c r="BK114" s="162">
        <f t="shared" si="977"/>
        <v>0</v>
      </c>
      <c r="BL114" s="162">
        <f t="shared" si="977"/>
        <v>0</v>
      </c>
      <c r="BM114" s="162">
        <f t="shared" si="977"/>
        <v>0</v>
      </c>
      <c r="BN114" s="162">
        <f t="shared" si="977"/>
        <v>0</v>
      </c>
      <c r="BO114" s="162">
        <f t="shared" si="977"/>
        <v>0</v>
      </c>
      <c r="BP114" s="162">
        <f t="shared" si="977"/>
        <v>0</v>
      </c>
      <c r="BQ114" s="162">
        <f t="shared" si="977"/>
        <v>0</v>
      </c>
      <c r="BR114" s="162">
        <f t="shared" ref="BR114:CJ114" si="978">+BR85*BR71</f>
        <v>0</v>
      </c>
      <c r="BS114" s="162">
        <f t="shared" si="978"/>
        <v>0</v>
      </c>
      <c r="BT114" s="162">
        <f t="shared" si="978"/>
        <v>0</v>
      </c>
      <c r="BU114" s="162">
        <f t="shared" si="978"/>
        <v>0</v>
      </c>
      <c r="BV114" s="162">
        <f t="shared" si="978"/>
        <v>0</v>
      </c>
      <c r="BW114" s="162">
        <f t="shared" si="978"/>
        <v>0</v>
      </c>
      <c r="BX114" s="162">
        <f t="shared" si="978"/>
        <v>0</v>
      </c>
      <c r="BY114" s="162">
        <f t="shared" si="978"/>
        <v>0</v>
      </c>
      <c r="BZ114" s="162">
        <f t="shared" si="978"/>
        <v>0</v>
      </c>
      <c r="CA114" s="162">
        <f t="shared" si="978"/>
        <v>0</v>
      </c>
      <c r="CB114" s="162">
        <f t="shared" si="978"/>
        <v>0</v>
      </c>
      <c r="CC114" s="162">
        <f t="shared" si="978"/>
        <v>0</v>
      </c>
      <c r="CD114" s="162">
        <f t="shared" si="978"/>
        <v>41381.4</v>
      </c>
      <c r="CE114" s="162">
        <f t="shared" si="978"/>
        <v>39849.8825</v>
      </c>
      <c r="CF114" s="162">
        <f t="shared" si="978"/>
        <v>39375.213499999998</v>
      </c>
      <c r="CG114" s="162">
        <f t="shared" si="978"/>
        <v>35845.623500000002</v>
      </c>
      <c r="CH114" s="162">
        <f t="shared" si="978"/>
        <v>25433.332999999999</v>
      </c>
      <c r="CI114" s="162">
        <f t="shared" si="978"/>
        <v>24141.178499999998</v>
      </c>
      <c r="CJ114" s="162">
        <f t="shared" si="978"/>
        <v>26471.924999999999</v>
      </c>
      <c r="CK114" s="162">
        <f t="shared" ref="CK114:CL114" si="979">+CK85*CK71</f>
        <v>25846.275000000001</v>
      </c>
      <c r="CL114" s="162">
        <f t="shared" si="979"/>
        <v>20604.5</v>
      </c>
      <c r="CM114" s="21">
        <f t="shared" ref="CM114:DB114" si="980">+CM85*CM71</f>
        <v>16205.502641200561</v>
      </c>
      <c r="CN114" s="21">
        <f t="shared" si="980"/>
        <v>14178.899020943431</v>
      </c>
      <c r="CO114" s="21">
        <f t="shared" si="980"/>
        <v>13452.418723417411</v>
      </c>
      <c r="CP114" s="21">
        <f t="shared" si="980"/>
        <v>15179.215230344062</v>
      </c>
      <c r="CQ114" s="21">
        <f t="shared" si="980"/>
        <v>20284.104732776825</v>
      </c>
      <c r="CR114" s="21">
        <f t="shared" si="980"/>
        <v>24348.585824283789</v>
      </c>
      <c r="CS114" s="21">
        <f t="shared" si="980"/>
        <v>27804.01283871138</v>
      </c>
      <c r="CT114" s="21">
        <f t="shared" si="980"/>
        <v>31387.304522247017</v>
      </c>
      <c r="CU114" s="21">
        <f t="shared" si="980"/>
        <v>33771.256563409574</v>
      </c>
      <c r="CV114" s="21">
        <f t="shared" si="980"/>
        <v>36477.451377051089</v>
      </c>
      <c r="CW114" s="21">
        <f t="shared" si="980"/>
        <v>39345.920379556723</v>
      </c>
      <c r="CX114" s="21">
        <f t="shared" si="980"/>
        <v>42538.019911515112</v>
      </c>
      <c r="CY114" s="21">
        <f t="shared" si="980"/>
        <v>45539.284378333097</v>
      </c>
      <c r="CZ114" s="21">
        <f t="shared" si="980"/>
        <v>48537.178513569139</v>
      </c>
      <c r="DA114" s="21">
        <f t="shared" si="980"/>
        <v>51541.71438362934</v>
      </c>
      <c r="DB114" s="21">
        <f t="shared" si="980"/>
        <v>54916.936333258105</v>
      </c>
      <c r="DE114" s="22"/>
      <c r="DF114" s="162">
        <v>20591.8125</v>
      </c>
    </row>
    <row r="115" spans="1:110" s="162" customFormat="1" x14ac:dyDescent="0.2">
      <c r="A115" s="49" t="s">
        <v>80</v>
      </c>
      <c r="B115" s="162">
        <f>+B174</f>
        <v>0</v>
      </c>
      <c r="C115" s="162">
        <f t="shared" ref="C115:W115" si="981">+C174</f>
        <v>0</v>
      </c>
      <c r="D115" s="162">
        <f t="shared" si="981"/>
        <v>0</v>
      </c>
      <c r="E115" s="162">
        <f t="shared" si="981"/>
        <v>14.8690464</v>
      </c>
      <c r="F115" s="162">
        <f t="shared" si="981"/>
        <v>5.6771259000000001</v>
      </c>
      <c r="G115" s="162">
        <f t="shared" si="981"/>
        <v>181.29900000000001</v>
      </c>
      <c r="H115" s="162">
        <f t="shared" si="981"/>
        <v>181.0067</v>
      </c>
      <c r="I115" s="162">
        <f t="shared" si="981"/>
        <v>179.62569999999999</v>
      </c>
      <c r="J115" s="162">
        <f t="shared" si="981"/>
        <v>248.53019999999998</v>
      </c>
      <c r="K115" s="162">
        <f t="shared" si="981"/>
        <v>159.685</v>
      </c>
      <c r="L115" s="162">
        <f t="shared" si="981"/>
        <v>33.335100000000011</v>
      </c>
      <c r="M115" s="162">
        <f t="shared" si="981"/>
        <v>-150.02999999999997</v>
      </c>
      <c r="N115" s="162">
        <f t="shared" si="981"/>
        <v>-271.68999999999988</v>
      </c>
      <c r="O115" s="162">
        <f t="shared" si="981"/>
        <v>-547.69999999999993</v>
      </c>
      <c r="P115" s="162">
        <f t="shared" si="981"/>
        <v>-384.75000000000006</v>
      </c>
      <c r="Q115" s="162">
        <f t="shared" si="981"/>
        <v>-246.51999999999998</v>
      </c>
      <c r="R115" s="162">
        <f t="shared" si="981"/>
        <v>-273.49000000000007</v>
      </c>
      <c r="S115" s="162">
        <f t="shared" si="981"/>
        <v>-189.44</v>
      </c>
      <c r="T115" s="162">
        <f t="shared" si="981"/>
        <v>-388.93</v>
      </c>
      <c r="U115" s="162">
        <f t="shared" si="981"/>
        <v>-420.06700000000001</v>
      </c>
      <c r="V115" s="162">
        <f t="shared" si="981"/>
        <v>-1280.47</v>
      </c>
      <c r="W115" s="162">
        <f t="shared" si="981"/>
        <v>-1397.07</v>
      </c>
      <c r="X115" s="162">
        <f t="shared" ref="X115:Y115" si="982">+X174</f>
        <v>-1028.98</v>
      </c>
      <c r="Y115" s="162">
        <f t="shared" si="982"/>
        <v>-1063.74</v>
      </c>
      <c r="Z115" s="162">
        <f t="shared" ref="Z115:AA115" si="983">+Z174</f>
        <v>-1514.29</v>
      </c>
      <c r="AA115" s="162">
        <f t="shared" si="983"/>
        <v>-847.42000000000007</v>
      </c>
      <c r="AB115" s="21">
        <f t="shared" ref="AA115:AD115" si="984">+AB174</f>
        <v>-1549.6497368719929</v>
      </c>
      <c r="AC115" s="21">
        <f t="shared" si="984"/>
        <v>-2354.9990902597369</v>
      </c>
      <c r="AD115" s="21">
        <f t="shared" si="984"/>
        <v>-3493.6833919173682</v>
      </c>
      <c r="AE115" s="21">
        <f t="shared" ref="AE115" si="985">+AE174</f>
        <v>-4898.3998835773818</v>
      </c>
      <c r="AL115" s="162">
        <f t="shared" ref="AL115:AM115" si="986">+AL174</f>
        <v>0</v>
      </c>
      <c r="AM115" s="162" t="e">
        <f t="shared" si="986"/>
        <v>#DIV/0!</v>
      </c>
      <c r="AN115" s="162">
        <f t="shared" ref="AN115:AO115" si="987">+AN174</f>
        <v>0</v>
      </c>
      <c r="AO115" s="162" t="e">
        <f t="shared" si="987"/>
        <v>#DIV/0!</v>
      </c>
      <c r="AP115" s="162">
        <f t="shared" ref="AP115:CD115" si="988">+AP174</f>
        <v>0</v>
      </c>
      <c r="AQ115" s="162" t="e">
        <f t="shared" si="988"/>
        <v>#DIV/0!</v>
      </c>
      <c r="AR115" s="162">
        <f t="shared" si="988"/>
        <v>0</v>
      </c>
      <c r="AS115" s="162" t="e">
        <f t="shared" si="988"/>
        <v>#DIV/0!</v>
      </c>
      <c r="AT115" s="162">
        <f t="shared" si="988"/>
        <v>0</v>
      </c>
      <c r="AU115" s="162" t="e">
        <f t="shared" si="988"/>
        <v>#DIV/0!</v>
      </c>
      <c r="AV115" s="162">
        <f t="shared" si="988"/>
        <v>0</v>
      </c>
      <c r="AW115" s="162" t="e">
        <f t="shared" si="988"/>
        <v>#DIV/0!</v>
      </c>
      <c r="AX115" s="162">
        <f t="shared" si="988"/>
        <v>0</v>
      </c>
      <c r="AY115" s="162" t="e">
        <f t="shared" si="988"/>
        <v>#DIV/0!</v>
      </c>
      <c r="AZ115" s="162">
        <f t="shared" si="988"/>
        <v>0</v>
      </c>
      <c r="BA115" s="162" t="e">
        <f t="shared" si="988"/>
        <v>#DIV/0!</v>
      </c>
      <c r="BB115" s="162">
        <f t="shared" si="988"/>
        <v>0</v>
      </c>
      <c r="BC115" s="162" t="e">
        <f t="shared" si="988"/>
        <v>#DIV/0!</v>
      </c>
      <c r="BD115" s="162">
        <f t="shared" si="988"/>
        <v>0</v>
      </c>
      <c r="BE115" s="162" t="e">
        <f t="shared" si="988"/>
        <v>#DIV/0!</v>
      </c>
      <c r="BF115" s="162">
        <f t="shared" si="988"/>
        <v>0</v>
      </c>
      <c r="BG115" s="162" t="e">
        <f t="shared" si="988"/>
        <v>#DIV/0!</v>
      </c>
      <c r="BH115" s="162">
        <f t="shared" si="988"/>
        <v>0</v>
      </c>
      <c r="BI115" s="162" t="e">
        <f t="shared" si="988"/>
        <v>#DIV/0!</v>
      </c>
      <c r="BJ115" s="162">
        <f t="shared" si="988"/>
        <v>0</v>
      </c>
      <c r="BK115" s="162" t="e">
        <f t="shared" si="988"/>
        <v>#DIV/0!</v>
      </c>
      <c r="BL115" s="162">
        <f t="shared" si="988"/>
        <v>0</v>
      </c>
      <c r="BM115" s="162" t="e">
        <f t="shared" si="988"/>
        <v>#DIV/0!</v>
      </c>
      <c r="BN115" s="162">
        <f t="shared" si="988"/>
        <v>0</v>
      </c>
      <c r="BO115" s="162" t="e">
        <f t="shared" si="988"/>
        <v>#DIV/0!</v>
      </c>
      <c r="BP115" s="162">
        <f t="shared" si="988"/>
        <v>0</v>
      </c>
      <c r="BQ115" s="162" t="e">
        <f t="shared" si="988"/>
        <v>#DIV/0!</v>
      </c>
      <c r="BR115" s="162">
        <f t="shared" si="988"/>
        <v>0</v>
      </c>
      <c r="BS115" s="162" t="e">
        <f t="shared" si="988"/>
        <v>#DIV/0!</v>
      </c>
      <c r="BT115" s="162">
        <f t="shared" si="988"/>
        <v>0</v>
      </c>
      <c r="BU115" s="162" t="e">
        <f t="shared" si="988"/>
        <v>#DIV/0!</v>
      </c>
      <c r="BV115" s="162">
        <f t="shared" si="988"/>
        <v>0</v>
      </c>
      <c r="BW115" s="162" t="e">
        <f t="shared" si="988"/>
        <v>#DIV/0!</v>
      </c>
      <c r="BX115" s="162">
        <f t="shared" si="988"/>
        <v>0</v>
      </c>
      <c r="BY115" s="162" t="e">
        <f t="shared" si="988"/>
        <v>#DIV/0!</v>
      </c>
      <c r="BZ115" s="162">
        <f t="shared" si="988"/>
        <v>-1028.98</v>
      </c>
      <c r="CA115" s="162">
        <f t="shared" si="988"/>
        <v>-1266.8285509023881</v>
      </c>
      <c r="CB115" s="162">
        <f t="shared" si="988"/>
        <v>0</v>
      </c>
      <c r="CC115" s="162">
        <f t="shared" si="988"/>
        <v>-170.2199999999998</v>
      </c>
      <c r="CD115" s="162">
        <f t="shared" si="988"/>
        <v>-1063.74</v>
      </c>
      <c r="CE115" s="162">
        <f t="shared" ref="CE115:CF115" si="989">+CE174</f>
        <v>-1242.2034025594708</v>
      </c>
      <c r="CF115" s="162">
        <f t="shared" si="989"/>
        <v>-998.1</v>
      </c>
      <c r="CG115" s="162">
        <f t="shared" ref="CG115:CH115" si="990">+CG174</f>
        <v>-1156.9408628176941</v>
      </c>
      <c r="CH115" s="162">
        <f t="shared" si="990"/>
        <v>-1514.29</v>
      </c>
      <c r="CI115" s="162">
        <f t="shared" ref="CI115:CJ115" si="991">+CI174</f>
        <v>-1734.8577524209552</v>
      </c>
      <c r="CJ115" s="162">
        <f t="shared" si="991"/>
        <v>-1023.29</v>
      </c>
      <c r="CK115" s="162">
        <f t="shared" ref="CK115:CL115" si="992">+CK174</f>
        <v>-998.56482578041755</v>
      </c>
      <c r="CL115" s="162">
        <f t="shared" si="992"/>
        <v>-847.42000000000007</v>
      </c>
      <c r="CM115" s="21">
        <f t="shared" ref="CM115:DB115" si="993">+CM174</f>
        <v>-1154.5578966560799</v>
      </c>
      <c r="CN115" s="21">
        <f t="shared" si="993"/>
        <v>-1294.0217590545326</v>
      </c>
      <c r="CO115" s="21">
        <f t="shared" si="993"/>
        <v>-1460.1299268026287</v>
      </c>
      <c r="CP115" s="21">
        <f t="shared" si="993"/>
        <v>-1549.6497368719929</v>
      </c>
      <c r="CQ115" s="21">
        <f t="shared" si="993"/>
        <v>-1895.0489676888278</v>
      </c>
      <c r="CR115" s="21">
        <f t="shared" si="993"/>
        <v>-2042.7933138533526</v>
      </c>
      <c r="CS115" s="21">
        <f t="shared" si="993"/>
        <v>-2237.3893849393248</v>
      </c>
      <c r="CT115" s="21">
        <f t="shared" si="993"/>
        <v>-2354.9990902597369</v>
      </c>
      <c r="CU115" s="21">
        <f t="shared" si="993"/>
        <v>-2840.7541990580744</v>
      </c>
      <c r="CV115" s="21">
        <f t="shared" si="993"/>
        <v>-3051.501028022768</v>
      </c>
      <c r="CW115" s="21">
        <f t="shared" si="993"/>
        <v>-3320.2642191755981</v>
      </c>
      <c r="CX115" s="21">
        <f t="shared" si="993"/>
        <v>-3493.6833919173682</v>
      </c>
      <c r="CY115" s="21">
        <f t="shared" si="993"/>
        <v>-4092.9459947731079</v>
      </c>
      <c r="CZ115" s="21">
        <f t="shared" si="993"/>
        <v>-4350.3890651133679</v>
      </c>
      <c r="DA115" s="21">
        <f t="shared" si="993"/>
        <v>-4682.0245575524987</v>
      </c>
      <c r="DB115" s="21">
        <f t="shared" si="993"/>
        <v>-4898.3998835773818</v>
      </c>
      <c r="DE115" s="22"/>
      <c r="DF115" s="162">
        <v>-1175.3285730450398</v>
      </c>
    </row>
    <row r="116" spans="1:110" s="162" customFormat="1" x14ac:dyDescent="0.2">
      <c r="A116" s="49" t="s">
        <v>342</v>
      </c>
      <c r="B116" s="162" t="e">
        <f>+B113+B115</f>
        <v>#DIV/0!</v>
      </c>
      <c r="C116" s="162" t="e">
        <f t="shared" ref="C116:W116" si="994">+C113+C115</f>
        <v>#DIV/0!</v>
      </c>
      <c r="D116" s="162" t="e">
        <f t="shared" si="994"/>
        <v>#DIV/0!</v>
      </c>
      <c r="E116" s="162" t="e">
        <f t="shared" ca="1" si="994"/>
        <v>#DIV/0!</v>
      </c>
      <c r="F116" s="162" t="e">
        <f t="shared" ca="1" si="994"/>
        <v>#DIV/0!</v>
      </c>
      <c r="G116" s="162" t="e">
        <f t="shared" ca="1" si="994"/>
        <v>#DIV/0!</v>
      </c>
      <c r="H116" s="162" t="e">
        <f t="shared" ca="1" si="994"/>
        <v>#DIV/0!</v>
      </c>
      <c r="I116" s="162" t="e">
        <f t="shared" ca="1" si="994"/>
        <v>#DIV/0!</v>
      </c>
      <c r="J116" s="162" t="e">
        <f t="shared" ca="1" si="994"/>
        <v>#DIV/0!</v>
      </c>
      <c r="K116" s="162" t="e">
        <f t="shared" ca="1" si="994"/>
        <v>#DIV/0!</v>
      </c>
      <c r="L116" s="162" t="e">
        <f t="shared" ca="1" si="994"/>
        <v>#DIV/0!</v>
      </c>
      <c r="M116" s="162" t="e">
        <f t="shared" ca="1" si="994"/>
        <v>#DIV/0!</v>
      </c>
      <c r="N116" s="162" t="e">
        <f t="shared" ca="1" si="994"/>
        <v>#DIV/0!</v>
      </c>
      <c r="O116" s="162" t="e">
        <f t="shared" ca="1" si="994"/>
        <v>#DIV/0!</v>
      </c>
      <c r="P116" s="162" t="e">
        <f t="shared" ca="1" si="994"/>
        <v>#DIV/0!</v>
      </c>
      <c r="Q116" s="162" t="e">
        <f t="shared" ca="1" si="994"/>
        <v>#DIV/0!</v>
      </c>
      <c r="R116" s="162" t="e">
        <f t="shared" ca="1" si="994"/>
        <v>#DIV/0!</v>
      </c>
      <c r="S116" s="162" t="e">
        <f t="shared" ca="1" si="994"/>
        <v>#DIV/0!</v>
      </c>
      <c r="T116" s="162" t="e">
        <f t="shared" ca="1" si="994"/>
        <v>#DIV/0!</v>
      </c>
      <c r="U116" s="162" t="e">
        <f t="shared" ca="1" si="994"/>
        <v>#DIV/0!</v>
      </c>
      <c r="V116" s="162" t="e">
        <f t="shared" ca="1" si="994"/>
        <v>#DIV/0!</v>
      </c>
      <c r="W116" s="162" t="e">
        <f t="shared" ca="1" si="994"/>
        <v>#DIV/0!</v>
      </c>
      <c r="X116" s="162" t="e">
        <f t="shared" ref="X116:Y116" ca="1" si="995">+X113+X115</f>
        <v>#DIV/0!</v>
      </c>
      <c r="Y116" s="162" t="e">
        <f t="shared" ca="1" si="995"/>
        <v>#DIV/0!</v>
      </c>
      <c r="Z116" s="162" t="e">
        <f t="shared" ref="Z116:AA116" ca="1" si="996">+Z113+Z115</f>
        <v>#DIV/0!</v>
      </c>
      <c r="AA116" s="162" t="e">
        <f t="shared" ca="1" si="996"/>
        <v>#DIV/0!</v>
      </c>
      <c r="AB116" s="21" t="e">
        <f t="shared" ref="AA116:AD116" ca="1" si="997">+AB113+AB115</f>
        <v>#DIV/0!</v>
      </c>
      <c r="AC116" s="21" t="e">
        <f t="shared" ca="1" si="997"/>
        <v>#DIV/0!</v>
      </c>
      <c r="AD116" s="21" t="e">
        <f t="shared" ca="1" si="997"/>
        <v>#DIV/0!</v>
      </c>
      <c r="AE116" s="21" t="e">
        <f t="shared" ref="AE116" ca="1" si="998">+AE113+AE115</f>
        <v>#DIV/0!</v>
      </c>
      <c r="AL116" s="162">
        <f t="shared" ref="AL116" si="999">+AL113+AL115</f>
        <v>0</v>
      </c>
      <c r="AM116" s="162" t="e">
        <f t="shared" ref="AM116:AO116" si="1000">+AM113+AM115</f>
        <v>#DIV/0!</v>
      </c>
      <c r="AN116" s="162">
        <f t="shared" si="1000"/>
        <v>0</v>
      </c>
      <c r="AO116" s="162" t="e">
        <f t="shared" si="1000"/>
        <v>#DIV/0!</v>
      </c>
      <c r="AP116" s="162">
        <f t="shared" ref="AP116:CD116" si="1001">+AP113+AP115</f>
        <v>0</v>
      </c>
      <c r="AQ116" s="162" t="e">
        <f t="shared" si="1001"/>
        <v>#DIV/0!</v>
      </c>
      <c r="AR116" s="162">
        <f t="shared" si="1001"/>
        <v>0</v>
      </c>
      <c r="AS116" s="162" t="e">
        <f t="shared" si="1001"/>
        <v>#DIV/0!</v>
      </c>
      <c r="AT116" s="162">
        <f t="shared" si="1001"/>
        <v>0</v>
      </c>
      <c r="AU116" s="162" t="e">
        <f t="shared" si="1001"/>
        <v>#DIV/0!</v>
      </c>
      <c r="AV116" s="162">
        <f t="shared" si="1001"/>
        <v>0</v>
      </c>
      <c r="AW116" s="162" t="e">
        <f t="shared" si="1001"/>
        <v>#DIV/0!</v>
      </c>
      <c r="AX116" s="162">
        <f t="shared" si="1001"/>
        <v>0</v>
      </c>
      <c r="AY116" s="162" t="e">
        <f t="shared" si="1001"/>
        <v>#DIV/0!</v>
      </c>
      <c r="AZ116" s="162">
        <f t="shared" si="1001"/>
        <v>0</v>
      </c>
      <c r="BA116" s="162" t="e">
        <f t="shared" si="1001"/>
        <v>#DIV/0!</v>
      </c>
      <c r="BB116" s="162">
        <f t="shared" si="1001"/>
        <v>0</v>
      </c>
      <c r="BC116" s="162" t="e">
        <f t="shared" si="1001"/>
        <v>#DIV/0!</v>
      </c>
      <c r="BD116" s="162">
        <f t="shared" si="1001"/>
        <v>0</v>
      </c>
      <c r="BE116" s="162" t="e">
        <f t="shared" si="1001"/>
        <v>#DIV/0!</v>
      </c>
      <c r="BF116" s="162">
        <f t="shared" si="1001"/>
        <v>0</v>
      </c>
      <c r="BG116" s="162" t="e">
        <f t="shared" si="1001"/>
        <v>#DIV/0!</v>
      </c>
      <c r="BH116" s="162">
        <f t="shared" si="1001"/>
        <v>0</v>
      </c>
      <c r="BI116" s="162" t="e">
        <f t="shared" si="1001"/>
        <v>#DIV/0!</v>
      </c>
      <c r="BJ116" s="162">
        <f t="shared" si="1001"/>
        <v>0</v>
      </c>
      <c r="BK116" s="162" t="e">
        <f t="shared" si="1001"/>
        <v>#DIV/0!</v>
      </c>
      <c r="BL116" s="162">
        <f t="shared" si="1001"/>
        <v>0</v>
      </c>
      <c r="BM116" s="162" t="e">
        <f t="shared" si="1001"/>
        <v>#DIV/0!</v>
      </c>
      <c r="BN116" s="162">
        <f t="shared" si="1001"/>
        <v>0</v>
      </c>
      <c r="BO116" s="162" t="e">
        <f t="shared" si="1001"/>
        <v>#DIV/0!</v>
      </c>
      <c r="BP116" s="162">
        <f t="shared" si="1001"/>
        <v>0</v>
      </c>
      <c r="BQ116" s="162" t="e">
        <f t="shared" si="1001"/>
        <v>#DIV/0!</v>
      </c>
      <c r="BR116" s="162">
        <f t="shared" si="1001"/>
        <v>0</v>
      </c>
      <c r="BS116" s="162" t="e">
        <f t="shared" si="1001"/>
        <v>#DIV/0!</v>
      </c>
      <c r="BT116" s="162">
        <f t="shared" si="1001"/>
        <v>0</v>
      </c>
      <c r="BU116" s="162" t="e">
        <f t="shared" si="1001"/>
        <v>#DIV/0!</v>
      </c>
      <c r="BV116" s="162">
        <f t="shared" si="1001"/>
        <v>0</v>
      </c>
      <c r="BW116" s="162" t="e">
        <f t="shared" si="1001"/>
        <v>#DIV/0!</v>
      </c>
      <c r="BX116" s="162">
        <f t="shared" si="1001"/>
        <v>0</v>
      </c>
      <c r="BY116" s="162" t="e">
        <f t="shared" si="1001"/>
        <v>#DIV/0!</v>
      </c>
      <c r="BZ116" s="162">
        <f t="shared" si="1001"/>
        <v>-1028.98</v>
      </c>
      <c r="CA116" s="162">
        <f t="shared" si="1001"/>
        <v>-1266.8285509023881</v>
      </c>
      <c r="CB116" s="162">
        <f t="shared" si="1001"/>
        <v>0</v>
      </c>
      <c r="CC116" s="162">
        <f t="shared" si="1001"/>
        <v>56627.78</v>
      </c>
      <c r="CD116" s="162">
        <f t="shared" si="1001"/>
        <v>47620.26</v>
      </c>
      <c r="CE116" s="162">
        <f t="shared" ref="CE116:CF116" si="1002">+CE113+CE115</f>
        <v>45291.586597440531</v>
      </c>
      <c r="CF116" s="162">
        <f t="shared" si="1002"/>
        <v>45048.85</v>
      </c>
      <c r="CG116" s="162">
        <f t="shared" ref="CG116:CH116" si="1003">+CG113+CG115</f>
        <v>43950.813637182298</v>
      </c>
      <c r="CH116" s="162">
        <f t="shared" si="1003"/>
        <v>35511.9205</v>
      </c>
      <c r="CI116" s="162">
        <f t="shared" ref="CI116:CJ116" si="1004">+CI113+CI115</f>
        <v>30599.432247579047</v>
      </c>
      <c r="CJ116" s="162">
        <f t="shared" si="1004"/>
        <v>29201.360000000001</v>
      </c>
      <c r="CK116" s="162">
        <f t="shared" ref="CK116:CL116" si="1005">+CK113+CK115</f>
        <v>28324.987674219588</v>
      </c>
      <c r="CL116" s="162">
        <f t="shared" si="1005"/>
        <v>27174.700000000004</v>
      </c>
      <c r="CM116" s="21">
        <f t="shared" ref="CM116:DB116" si="1006">+CM113+CM115</f>
        <v>20884.925695376682</v>
      </c>
      <c r="CN116" s="21">
        <f t="shared" si="1006"/>
        <v>17989.280909428533</v>
      </c>
      <c r="CO116" s="21">
        <f t="shared" si="1006"/>
        <v>16835.159537045052</v>
      </c>
      <c r="CP116" s="21">
        <f t="shared" si="1006"/>
        <v>19094.08297639593</v>
      </c>
      <c r="CQ116" s="21">
        <f t="shared" si="1006"/>
        <v>25691.333468887653</v>
      </c>
      <c r="CR116" s="21">
        <f t="shared" si="1006"/>
        <v>31071.283407172599</v>
      </c>
      <c r="CS116" s="21">
        <f t="shared" si="1006"/>
        <v>35576.06807570815</v>
      </c>
      <c r="CT116" s="21">
        <f t="shared" si="1006"/>
        <v>40331.735059996208</v>
      </c>
      <c r="CU116" s="21">
        <f t="shared" si="1006"/>
        <v>43088.154727178946</v>
      </c>
      <c r="CV116" s="21">
        <f t="shared" si="1006"/>
        <v>46557.832844766723</v>
      </c>
      <c r="CW116" s="21">
        <f t="shared" si="1006"/>
        <v>50190.18749702155</v>
      </c>
      <c r="CX116" s="21">
        <f t="shared" si="1006"/>
        <v>54358.023687743196</v>
      </c>
      <c r="CY116" s="21">
        <f t="shared" si="1006"/>
        <v>57840.480759759914</v>
      </c>
      <c r="CZ116" s="21">
        <f t="shared" si="1006"/>
        <v>61660.173713340657</v>
      </c>
      <c r="DA116" s="21">
        <f t="shared" si="1006"/>
        <v>65414.707004183416</v>
      </c>
      <c r="DB116" s="21">
        <f t="shared" si="1006"/>
        <v>69788.633529653642</v>
      </c>
      <c r="DE116" s="22"/>
      <c r="DF116" s="162">
        <v>26829.536426954965</v>
      </c>
    </row>
    <row r="117" spans="1:110" s="162" customFormat="1" x14ac:dyDescent="0.2">
      <c r="A117" s="49" t="s">
        <v>345</v>
      </c>
      <c r="B117" s="162" t="e">
        <f>+B114+B115</f>
        <v>#DIV/0!</v>
      </c>
      <c r="C117" s="162" t="e">
        <f t="shared" ref="C117:W117" si="1007">+C114+C115</f>
        <v>#DIV/0!</v>
      </c>
      <c r="D117" s="162" t="e">
        <f t="shared" si="1007"/>
        <v>#DIV/0!</v>
      </c>
      <c r="E117" s="162" t="e">
        <f t="shared" ca="1" si="1007"/>
        <v>#DIV/0!</v>
      </c>
      <c r="F117" s="162" t="e">
        <f t="shared" ca="1" si="1007"/>
        <v>#DIV/0!</v>
      </c>
      <c r="G117" s="162" t="e">
        <f t="shared" ca="1" si="1007"/>
        <v>#DIV/0!</v>
      </c>
      <c r="H117" s="162" t="e">
        <f t="shared" ca="1" si="1007"/>
        <v>#DIV/0!</v>
      </c>
      <c r="I117" s="162" t="e">
        <f t="shared" ca="1" si="1007"/>
        <v>#DIV/0!</v>
      </c>
      <c r="J117" s="162" t="e">
        <f t="shared" ca="1" si="1007"/>
        <v>#DIV/0!</v>
      </c>
      <c r="K117" s="162" t="e">
        <f t="shared" ca="1" si="1007"/>
        <v>#DIV/0!</v>
      </c>
      <c r="L117" s="162" t="e">
        <f t="shared" ca="1" si="1007"/>
        <v>#DIV/0!</v>
      </c>
      <c r="M117" s="162" t="e">
        <f t="shared" ca="1" si="1007"/>
        <v>#DIV/0!</v>
      </c>
      <c r="N117" s="162" t="e">
        <f t="shared" ca="1" si="1007"/>
        <v>#DIV/0!</v>
      </c>
      <c r="O117" s="162" t="e">
        <f t="shared" ca="1" si="1007"/>
        <v>#DIV/0!</v>
      </c>
      <c r="P117" s="162" t="e">
        <f t="shared" ca="1" si="1007"/>
        <v>#DIV/0!</v>
      </c>
      <c r="Q117" s="162" t="e">
        <f t="shared" ca="1" si="1007"/>
        <v>#DIV/0!</v>
      </c>
      <c r="R117" s="162" t="e">
        <f t="shared" ca="1" si="1007"/>
        <v>#DIV/0!</v>
      </c>
      <c r="S117" s="162" t="e">
        <f t="shared" ca="1" si="1007"/>
        <v>#DIV/0!</v>
      </c>
      <c r="T117" s="162" t="e">
        <f t="shared" ca="1" si="1007"/>
        <v>#DIV/0!</v>
      </c>
      <c r="U117" s="162" t="e">
        <f t="shared" ca="1" si="1007"/>
        <v>#DIV/0!</v>
      </c>
      <c r="V117" s="162" t="e">
        <f t="shared" ca="1" si="1007"/>
        <v>#DIV/0!</v>
      </c>
      <c r="W117" s="162" t="e">
        <f t="shared" ca="1" si="1007"/>
        <v>#DIV/0!</v>
      </c>
      <c r="X117" s="162" t="e">
        <f t="shared" ref="X117:Y117" ca="1" si="1008">+X114+X115</f>
        <v>#DIV/0!</v>
      </c>
      <c r="Y117" s="162" t="e">
        <f t="shared" ca="1" si="1008"/>
        <v>#DIV/0!</v>
      </c>
      <c r="Z117" s="162" t="e">
        <f t="shared" ref="Z117:AA117" ca="1" si="1009">+Z114+Z115</f>
        <v>#DIV/0!</v>
      </c>
      <c r="AA117" s="162" t="e">
        <f t="shared" ca="1" si="1009"/>
        <v>#DIV/0!</v>
      </c>
      <c r="AB117" s="21" t="e">
        <f t="shared" ref="AA117:AD117" ca="1" si="1010">+AB114+AB115</f>
        <v>#DIV/0!</v>
      </c>
      <c r="AC117" s="21" t="e">
        <f t="shared" ca="1" si="1010"/>
        <v>#DIV/0!</v>
      </c>
      <c r="AD117" s="21" t="e">
        <f t="shared" ca="1" si="1010"/>
        <v>#DIV/0!</v>
      </c>
      <c r="AE117" s="21" t="e">
        <f t="shared" ref="AE117" ca="1" si="1011">+AE114+AE115</f>
        <v>#DIV/0!</v>
      </c>
      <c r="AL117" s="162">
        <f t="shared" ref="AL117:AM117" si="1012">+AL114+AL115</f>
        <v>0</v>
      </c>
      <c r="AM117" s="162" t="e">
        <f t="shared" si="1012"/>
        <v>#DIV/0!</v>
      </c>
      <c r="AN117" s="162">
        <f t="shared" ref="AN117:AO117" si="1013">+AN114+AN115</f>
        <v>0</v>
      </c>
      <c r="AO117" s="162" t="e">
        <f t="shared" si="1013"/>
        <v>#DIV/0!</v>
      </c>
      <c r="AP117" s="162">
        <f t="shared" ref="AP117:CD117" si="1014">+AP114+AP115</f>
        <v>0</v>
      </c>
      <c r="AQ117" s="162" t="e">
        <f t="shared" si="1014"/>
        <v>#DIV/0!</v>
      </c>
      <c r="AR117" s="162">
        <f t="shared" si="1014"/>
        <v>0</v>
      </c>
      <c r="AS117" s="162" t="e">
        <f t="shared" si="1014"/>
        <v>#DIV/0!</v>
      </c>
      <c r="AT117" s="162">
        <f t="shared" si="1014"/>
        <v>0</v>
      </c>
      <c r="AU117" s="162" t="e">
        <f t="shared" si="1014"/>
        <v>#DIV/0!</v>
      </c>
      <c r="AV117" s="162">
        <f t="shared" si="1014"/>
        <v>0</v>
      </c>
      <c r="AW117" s="162" t="e">
        <f t="shared" si="1014"/>
        <v>#DIV/0!</v>
      </c>
      <c r="AX117" s="162">
        <f t="shared" si="1014"/>
        <v>0</v>
      </c>
      <c r="AY117" s="162" t="e">
        <f t="shared" si="1014"/>
        <v>#DIV/0!</v>
      </c>
      <c r="AZ117" s="162">
        <f t="shared" si="1014"/>
        <v>0</v>
      </c>
      <c r="BA117" s="162" t="e">
        <f t="shared" si="1014"/>
        <v>#DIV/0!</v>
      </c>
      <c r="BB117" s="162">
        <f t="shared" si="1014"/>
        <v>0</v>
      </c>
      <c r="BC117" s="162" t="e">
        <f t="shared" si="1014"/>
        <v>#DIV/0!</v>
      </c>
      <c r="BD117" s="162">
        <f t="shared" si="1014"/>
        <v>0</v>
      </c>
      <c r="BE117" s="162" t="e">
        <f t="shared" si="1014"/>
        <v>#DIV/0!</v>
      </c>
      <c r="BF117" s="162">
        <f t="shared" si="1014"/>
        <v>0</v>
      </c>
      <c r="BG117" s="162" t="e">
        <f t="shared" si="1014"/>
        <v>#DIV/0!</v>
      </c>
      <c r="BH117" s="162">
        <f t="shared" si="1014"/>
        <v>0</v>
      </c>
      <c r="BI117" s="162" t="e">
        <f t="shared" si="1014"/>
        <v>#DIV/0!</v>
      </c>
      <c r="BJ117" s="162">
        <f t="shared" si="1014"/>
        <v>0</v>
      </c>
      <c r="BK117" s="162" t="e">
        <f t="shared" si="1014"/>
        <v>#DIV/0!</v>
      </c>
      <c r="BL117" s="162">
        <f t="shared" si="1014"/>
        <v>0</v>
      </c>
      <c r="BM117" s="162" t="e">
        <f t="shared" si="1014"/>
        <v>#DIV/0!</v>
      </c>
      <c r="BN117" s="162">
        <f t="shared" si="1014"/>
        <v>0</v>
      </c>
      <c r="BO117" s="162" t="e">
        <f t="shared" si="1014"/>
        <v>#DIV/0!</v>
      </c>
      <c r="BP117" s="162">
        <f t="shared" si="1014"/>
        <v>0</v>
      </c>
      <c r="BQ117" s="162" t="e">
        <f t="shared" si="1014"/>
        <v>#DIV/0!</v>
      </c>
      <c r="BR117" s="162">
        <f t="shared" si="1014"/>
        <v>0</v>
      </c>
      <c r="BS117" s="162" t="e">
        <f t="shared" si="1014"/>
        <v>#DIV/0!</v>
      </c>
      <c r="BT117" s="162">
        <f t="shared" si="1014"/>
        <v>0</v>
      </c>
      <c r="BU117" s="162" t="e">
        <f t="shared" si="1014"/>
        <v>#DIV/0!</v>
      </c>
      <c r="BV117" s="162">
        <f t="shared" si="1014"/>
        <v>0</v>
      </c>
      <c r="BW117" s="162" t="e">
        <f t="shared" si="1014"/>
        <v>#DIV/0!</v>
      </c>
      <c r="BX117" s="162">
        <f t="shared" si="1014"/>
        <v>0</v>
      </c>
      <c r="BY117" s="162" t="e">
        <f t="shared" si="1014"/>
        <v>#DIV/0!</v>
      </c>
      <c r="BZ117" s="162">
        <f t="shared" si="1014"/>
        <v>-1028.98</v>
      </c>
      <c r="CA117" s="162">
        <f t="shared" si="1014"/>
        <v>-1266.8285509023881</v>
      </c>
      <c r="CB117" s="162">
        <f t="shared" si="1014"/>
        <v>0</v>
      </c>
      <c r="CC117" s="162">
        <f t="shared" si="1014"/>
        <v>-170.2199999999998</v>
      </c>
      <c r="CD117" s="162">
        <f t="shared" si="1014"/>
        <v>40317.660000000003</v>
      </c>
      <c r="CE117" s="162">
        <f t="shared" ref="CE117:CF117" si="1015">+CE114+CE115</f>
        <v>38607.67909744053</v>
      </c>
      <c r="CF117" s="162">
        <f t="shared" si="1015"/>
        <v>38377.113499999999</v>
      </c>
      <c r="CG117" s="162">
        <f t="shared" ref="CG117:CH117" si="1016">+CG114+CG115</f>
        <v>34688.682637182304</v>
      </c>
      <c r="CH117" s="162">
        <f t="shared" si="1016"/>
        <v>23919.042999999998</v>
      </c>
      <c r="CI117" s="162">
        <f t="shared" ref="CI117:CJ117" si="1017">+CI114+CI115</f>
        <v>22406.320747579044</v>
      </c>
      <c r="CJ117" s="162">
        <f t="shared" si="1017"/>
        <v>25448.634999999998</v>
      </c>
      <c r="CK117" s="162">
        <f t="shared" ref="CK117:CL117" si="1018">+CK114+CK115</f>
        <v>24847.710174219585</v>
      </c>
      <c r="CL117" s="162">
        <f t="shared" si="1018"/>
        <v>19757.080000000002</v>
      </c>
      <c r="CM117" s="21">
        <f t="shared" ref="CM117:DB117" si="1019">+CM114+CM115</f>
        <v>15050.94474454448</v>
      </c>
      <c r="CN117" s="21">
        <f t="shared" si="1019"/>
        <v>12884.877261888898</v>
      </c>
      <c r="CO117" s="21">
        <f t="shared" si="1019"/>
        <v>11992.288796614783</v>
      </c>
      <c r="CP117" s="21">
        <f t="shared" si="1019"/>
        <v>13629.56549347207</v>
      </c>
      <c r="CQ117" s="21">
        <f t="shared" si="1019"/>
        <v>18389.055765087996</v>
      </c>
      <c r="CR117" s="21">
        <f t="shared" si="1019"/>
        <v>22305.792510430438</v>
      </c>
      <c r="CS117" s="21">
        <f t="shared" si="1019"/>
        <v>25566.623453772056</v>
      </c>
      <c r="CT117" s="21">
        <f t="shared" si="1019"/>
        <v>29032.305431987279</v>
      </c>
      <c r="CU117" s="21">
        <f t="shared" si="1019"/>
        <v>30930.502364351498</v>
      </c>
      <c r="CV117" s="21">
        <f t="shared" si="1019"/>
        <v>33425.950349028324</v>
      </c>
      <c r="CW117" s="21">
        <f t="shared" si="1019"/>
        <v>36025.656160381128</v>
      </c>
      <c r="CX117" s="21">
        <f t="shared" si="1019"/>
        <v>39044.336519597746</v>
      </c>
      <c r="CY117" s="21">
        <f t="shared" si="1019"/>
        <v>41446.338383559989</v>
      </c>
      <c r="CZ117" s="21">
        <f t="shared" si="1019"/>
        <v>44186.789448455769</v>
      </c>
      <c r="DA117" s="21">
        <f t="shared" si="1019"/>
        <v>46859.689826076843</v>
      </c>
      <c r="DB117" s="21">
        <f t="shared" si="1019"/>
        <v>50018.536449680723</v>
      </c>
      <c r="DE117" s="22"/>
      <c r="DF117" s="162">
        <v>19416.483926954959</v>
      </c>
    </row>
    <row r="118" spans="1:110" s="162" customFormat="1" x14ac:dyDescent="0.2">
      <c r="A118" s="49" t="s">
        <v>13</v>
      </c>
      <c r="B118" s="162">
        <f t="shared" ref="B118:AE118" si="1020">+B34</f>
        <v>0</v>
      </c>
      <c r="C118" s="162">
        <f t="shared" si="1020"/>
        <v>0</v>
      </c>
      <c r="D118" s="162">
        <f t="shared" si="1020"/>
        <v>0</v>
      </c>
      <c r="E118" s="162">
        <f t="shared" si="1020"/>
        <v>14.420459000000008</v>
      </c>
      <c r="F118" s="162">
        <f t="shared" si="1020"/>
        <v>18.693029599999988</v>
      </c>
      <c r="G118" s="162">
        <f t="shared" si="1020"/>
        <v>35.277700000000152</v>
      </c>
      <c r="H118" s="162">
        <f t="shared" si="1020"/>
        <v>25.557700000000068</v>
      </c>
      <c r="I118" s="162">
        <f t="shared" si="1020"/>
        <v>60.22930000000008</v>
      </c>
      <c r="J118" s="162">
        <f t="shared" si="1020"/>
        <v>81.142300000000091</v>
      </c>
      <c r="K118" s="162">
        <f t="shared" si="1020"/>
        <v>126.38949999999977</v>
      </c>
      <c r="L118" s="162">
        <f t="shared" si="1020"/>
        <v>187.42610000000002</v>
      </c>
      <c r="M118" s="162">
        <f t="shared" si="1020"/>
        <v>280.91000000000008</v>
      </c>
      <c r="N118" s="162">
        <f t="shared" si="1020"/>
        <v>382.72</v>
      </c>
      <c r="O118" s="162">
        <f t="shared" si="1020"/>
        <v>343.05999999999995</v>
      </c>
      <c r="P118" s="162">
        <f t="shared" si="1020"/>
        <v>439.9399999999996</v>
      </c>
      <c r="Q118" s="162">
        <f t="shared" si="1020"/>
        <v>499.73</v>
      </c>
      <c r="R118" s="162">
        <f t="shared" si="1020"/>
        <v>489.68999999999983</v>
      </c>
      <c r="S118" s="162">
        <f t="shared" si="1020"/>
        <v>332.71000000000004</v>
      </c>
      <c r="T118" s="162">
        <f t="shared" si="1020"/>
        <v>502.8700000000008</v>
      </c>
      <c r="U118" s="162">
        <f t="shared" si="1020"/>
        <v>470.45899999999961</v>
      </c>
      <c r="V118" s="162">
        <f t="shared" si="1020"/>
        <v>378.69800000000009</v>
      </c>
      <c r="W118" s="162">
        <f t="shared" si="1020"/>
        <v>638.48000000000047</v>
      </c>
      <c r="X118" s="162">
        <f t="shared" si="1020"/>
        <v>806.7199999999998</v>
      </c>
      <c r="Y118" s="162">
        <f t="shared" si="1020"/>
        <v>941.25000000000045</v>
      </c>
      <c r="Z118" s="162">
        <f t="shared" si="1020"/>
        <v>931.76000000000022</v>
      </c>
      <c r="AA118" s="162">
        <f t="shared" ref="AA118" si="1021">+AA34</f>
        <v>838.3199999999988</v>
      </c>
      <c r="AB118" s="21">
        <f t="shared" si="1020"/>
        <v>1041.5020456949014</v>
      </c>
      <c r="AC118" s="21">
        <f t="shared" si="1020"/>
        <v>1354.5854365781497</v>
      </c>
      <c r="AD118" s="21">
        <f t="shared" si="1020"/>
        <v>1671.5618868189158</v>
      </c>
      <c r="AE118" s="21">
        <f t="shared" si="1020"/>
        <v>2058.1355932694369</v>
      </c>
      <c r="AL118" s="162">
        <f t="shared" ref="AL118:BQ118" si="1022">+SUM(AI34:AL34)</f>
        <v>0</v>
      </c>
      <c r="AM118" s="162">
        <f t="shared" si="1022"/>
        <v>0</v>
      </c>
      <c r="AN118" s="162">
        <f t="shared" si="1022"/>
        <v>0</v>
      </c>
      <c r="AO118" s="162">
        <f t="shared" si="1022"/>
        <v>0</v>
      </c>
      <c r="AP118" s="162">
        <f t="shared" si="1022"/>
        <v>0</v>
      </c>
      <c r="AQ118" s="162">
        <f t="shared" si="1022"/>
        <v>0</v>
      </c>
      <c r="AR118" s="162">
        <f t="shared" si="1022"/>
        <v>0</v>
      </c>
      <c r="AS118" s="162">
        <f t="shared" si="1022"/>
        <v>0</v>
      </c>
      <c r="AT118" s="162">
        <f t="shared" si="1022"/>
        <v>0</v>
      </c>
      <c r="AU118" s="162">
        <f t="shared" si="1022"/>
        <v>0</v>
      </c>
      <c r="AV118" s="162">
        <f t="shared" si="1022"/>
        <v>0</v>
      </c>
      <c r="AW118" s="162">
        <f t="shared" si="1022"/>
        <v>0</v>
      </c>
      <c r="AX118" s="162">
        <f t="shared" si="1022"/>
        <v>0</v>
      </c>
      <c r="AY118" s="162">
        <f t="shared" si="1022"/>
        <v>0</v>
      </c>
      <c r="AZ118" s="162">
        <f t="shared" si="1022"/>
        <v>0</v>
      </c>
      <c r="BA118" s="162">
        <f t="shared" si="1022"/>
        <v>0</v>
      </c>
      <c r="BB118" s="162">
        <f t="shared" si="1022"/>
        <v>0</v>
      </c>
      <c r="BC118" s="162">
        <f t="shared" si="1022"/>
        <v>0</v>
      </c>
      <c r="BD118" s="162">
        <f t="shared" si="1022"/>
        <v>0</v>
      </c>
      <c r="BE118" s="162">
        <f t="shared" si="1022"/>
        <v>0</v>
      </c>
      <c r="BF118" s="162">
        <f t="shared" si="1022"/>
        <v>0</v>
      </c>
      <c r="BG118" s="162">
        <f t="shared" si="1022"/>
        <v>0</v>
      </c>
      <c r="BH118" s="162">
        <f t="shared" si="1022"/>
        <v>0</v>
      </c>
      <c r="BI118" s="162">
        <f t="shared" si="1022"/>
        <v>0</v>
      </c>
      <c r="BJ118" s="162">
        <f t="shared" si="1022"/>
        <v>0</v>
      </c>
      <c r="BK118" s="162">
        <f t="shared" si="1022"/>
        <v>0</v>
      </c>
      <c r="BL118" s="162">
        <f t="shared" si="1022"/>
        <v>0</v>
      </c>
      <c r="BM118" s="162">
        <f t="shared" si="1022"/>
        <v>0</v>
      </c>
      <c r="BN118" s="162">
        <f t="shared" si="1022"/>
        <v>0</v>
      </c>
      <c r="BO118" s="162">
        <f t="shared" si="1022"/>
        <v>0</v>
      </c>
      <c r="BP118" s="162">
        <f t="shared" si="1022"/>
        <v>0</v>
      </c>
      <c r="BQ118" s="162">
        <f t="shared" si="1022"/>
        <v>0</v>
      </c>
      <c r="BR118" s="162">
        <f t="shared" ref="BR118:CW118" si="1023">+SUM(BO34:BR34)</f>
        <v>0</v>
      </c>
      <c r="BS118" s="162">
        <f t="shared" si="1023"/>
        <v>0</v>
      </c>
      <c r="BT118" s="162">
        <f t="shared" si="1023"/>
        <v>0</v>
      </c>
      <c r="BU118" s="162">
        <f t="shared" si="1023"/>
        <v>0</v>
      </c>
      <c r="BV118" s="162">
        <f t="shared" si="1023"/>
        <v>0</v>
      </c>
      <c r="BW118" s="162">
        <f t="shared" si="1023"/>
        <v>0</v>
      </c>
      <c r="BX118" s="162">
        <f t="shared" si="1023"/>
        <v>0</v>
      </c>
      <c r="BY118" s="162">
        <f t="shared" si="1023"/>
        <v>205.75000000000011</v>
      </c>
      <c r="BZ118" s="162">
        <f t="shared" si="1023"/>
        <v>448.41000000000031</v>
      </c>
      <c r="CA118" s="162">
        <f t="shared" si="1023"/>
        <v>698.87000000000012</v>
      </c>
      <c r="CB118" s="162">
        <f t="shared" si="1023"/>
        <v>913.16000000000031</v>
      </c>
      <c r="CC118" s="162">
        <f t="shared" si="1023"/>
        <v>943.97</v>
      </c>
      <c r="CD118" s="162">
        <f t="shared" si="1023"/>
        <v>941.27999999999975</v>
      </c>
      <c r="CE118" s="162">
        <f t="shared" si="1023"/>
        <v>921.89999999999986</v>
      </c>
      <c r="CF118" s="162">
        <f t="shared" si="1023"/>
        <v>943.14999999999964</v>
      </c>
      <c r="CG118" s="162">
        <f t="shared" si="1023"/>
        <v>940.6099999999999</v>
      </c>
      <c r="CH118" s="162">
        <f t="shared" si="1023"/>
        <v>934.05000000000018</v>
      </c>
      <c r="CI118" s="162">
        <f t="shared" si="1023"/>
        <v>903.11000000000013</v>
      </c>
      <c r="CJ118" s="162">
        <f t="shared" si="1023"/>
        <v>875.3900000000001</v>
      </c>
      <c r="CK118" s="162">
        <f t="shared" si="1023"/>
        <v>834.22000000000014</v>
      </c>
      <c r="CL118" s="162">
        <f t="shared" si="1023"/>
        <v>852.95</v>
      </c>
      <c r="CM118" s="21">
        <f t="shared" si="1023"/>
        <v>874.98944375928579</v>
      </c>
      <c r="CN118" s="21">
        <f t="shared" si="1023"/>
        <v>910.38999391105381</v>
      </c>
      <c r="CO118" s="21">
        <f t="shared" si="1023"/>
        <v>976.81904600978123</v>
      </c>
      <c r="CP118" s="21">
        <f t="shared" si="1023"/>
        <v>1041.5020456949003</v>
      </c>
      <c r="CQ118" s="21">
        <f t="shared" si="1023"/>
        <v>1098.1721749591929</v>
      </c>
      <c r="CR118" s="21">
        <f t="shared" si="1023"/>
        <v>1169.2930895111542</v>
      </c>
      <c r="CS118" s="21">
        <f t="shared" si="1023"/>
        <v>1253.0781080761942</v>
      </c>
      <c r="CT118" s="21">
        <f t="shared" si="1023"/>
        <v>1354.5854365781493</v>
      </c>
      <c r="CU118" s="21">
        <f t="shared" si="1023"/>
        <v>1423.5316543044501</v>
      </c>
      <c r="CV118" s="21">
        <f t="shared" si="1023"/>
        <v>1500.7851548809017</v>
      </c>
      <c r="CW118" s="21">
        <f t="shared" si="1023"/>
        <v>1581.4824944627785</v>
      </c>
      <c r="CX118" s="21">
        <f t="shared" ref="CX118:DB118" si="1024">+SUM(CU34:CX34)</f>
        <v>1671.561886818916</v>
      </c>
      <c r="CY118" s="21">
        <f t="shared" si="1024"/>
        <v>1753.5273475186575</v>
      </c>
      <c r="CZ118" s="21">
        <f t="shared" si="1024"/>
        <v>1844.7165021211254</v>
      </c>
      <c r="DA118" s="21">
        <f t="shared" si="1024"/>
        <v>1942.0542289432888</v>
      </c>
      <c r="DB118" s="21">
        <f t="shared" si="1024"/>
        <v>2058.1355932694369</v>
      </c>
      <c r="DE118" s="22"/>
      <c r="DF118" s="162">
        <v>818.36358142545635</v>
      </c>
    </row>
    <row r="119" spans="1:110" s="162" customFormat="1" x14ac:dyDescent="0.2">
      <c r="A119" s="49" t="s">
        <v>343</v>
      </c>
      <c r="B119" s="162" t="e">
        <f>+B116/B118</f>
        <v>#DIV/0!</v>
      </c>
      <c r="C119" s="162" t="e">
        <f t="shared" ref="C119:W119" si="1025">+C116/C118</f>
        <v>#DIV/0!</v>
      </c>
      <c r="D119" s="162" t="e">
        <f t="shared" si="1025"/>
        <v>#DIV/0!</v>
      </c>
      <c r="E119" s="162" t="e">
        <f t="shared" ca="1" si="1025"/>
        <v>#DIV/0!</v>
      </c>
      <c r="F119" s="162" t="e">
        <f t="shared" ca="1" si="1025"/>
        <v>#DIV/0!</v>
      </c>
      <c r="G119" s="162" t="e">
        <f t="shared" ca="1" si="1025"/>
        <v>#DIV/0!</v>
      </c>
      <c r="H119" s="162" t="e">
        <f t="shared" ca="1" si="1025"/>
        <v>#DIV/0!</v>
      </c>
      <c r="I119" s="162" t="e">
        <f t="shared" ca="1" si="1025"/>
        <v>#DIV/0!</v>
      </c>
      <c r="J119" s="162" t="e">
        <f t="shared" ca="1" si="1025"/>
        <v>#DIV/0!</v>
      </c>
      <c r="K119" s="162" t="e">
        <f t="shared" ca="1" si="1025"/>
        <v>#DIV/0!</v>
      </c>
      <c r="L119" s="162" t="e">
        <f t="shared" ca="1" si="1025"/>
        <v>#DIV/0!</v>
      </c>
      <c r="M119" s="162" t="e">
        <f t="shared" ca="1" si="1025"/>
        <v>#DIV/0!</v>
      </c>
      <c r="N119" s="162" t="e">
        <f t="shared" ca="1" si="1025"/>
        <v>#DIV/0!</v>
      </c>
      <c r="O119" s="162" t="e">
        <f t="shared" ca="1" si="1025"/>
        <v>#DIV/0!</v>
      </c>
      <c r="P119" s="162" t="e">
        <f t="shared" ca="1" si="1025"/>
        <v>#DIV/0!</v>
      </c>
      <c r="Q119" s="162" t="e">
        <f t="shared" ca="1" si="1025"/>
        <v>#DIV/0!</v>
      </c>
      <c r="R119" s="162" t="e">
        <f t="shared" ca="1" si="1025"/>
        <v>#DIV/0!</v>
      </c>
      <c r="S119" s="162" t="e">
        <f t="shared" ca="1" si="1025"/>
        <v>#DIV/0!</v>
      </c>
      <c r="T119" s="162" t="e">
        <f t="shared" ca="1" si="1025"/>
        <v>#DIV/0!</v>
      </c>
      <c r="U119" s="162" t="e">
        <f t="shared" ca="1" si="1025"/>
        <v>#DIV/0!</v>
      </c>
      <c r="V119" s="162" t="e">
        <f t="shared" ca="1" si="1025"/>
        <v>#DIV/0!</v>
      </c>
      <c r="W119" s="162" t="e">
        <f t="shared" ca="1" si="1025"/>
        <v>#DIV/0!</v>
      </c>
      <c r="X119" s="162" t="e">
        <f t="shared" ref="X119:Y119" ca="1" si="1026">+X116/X118</f>
        <v>#DIV/0!</v>
      </c>
      <c r="Y119" s="162" t="e">
        <f t="shared" ca="1" si="1026"/>
        <v>#DIV/0!</v>
      </c>
      <c r="Z119" s="162" t="e">
        <f t="shared" ref="Z119:AA119" ca="1" si="1027">+Z116/Z118</f>
        <v>#DIV/0!</v>
      </c>
      <c r="AA119" s="162" t="e">
        <f t="shared" ca="1" si="1027"/>
        <v>#DIV/0!</v>
      </c>
      <c r="AB119" s="21" t="e">
        <f t="shared" ref="AA119:AD119" ca="1" si="1028">+AB116/AB118</f>
        <v>#DIV/0!</v>
      </c>
      <c r="AC119" s="21" t="e">
        <f t="shared" ca="1" si="1028"/>
        <v>#DIV/0!</v>
      </c>
      <c r="AD119" s="21" t="e">
        <f t="shared" ca="1" si="1028"/>
        <v>#DIV/0!</v>
      </c>
      <c r="AE119" s="21" t="e">
        <f t="shared" ref="AE119" ca="1" si="1029">+AE116/AE118</f>
        <v>#DIV/0!</v>
      </c>
      <c r="AL119" s="162" t="e">
        <f t="shared" ref="AL119" si="1030">+AL116/AL118</f>
        <v>#DIV/0!</v>
      </c>
      <c r="AM119" s="162" t="e">
        <f t="shared" ref="AM119:AO119" si="1031">+AM116/AM118</f>
        <v>#DIV/0!</v>
      </c>
      <c r="AN119" s="162" t="e">
        <f t="shared" si="1031"/>
        <v>#DIV/0!</v>
      </c>
      <c r="AO119" s="162" t="e">
        <f t="shared" si="1031"/>
        <v>#DIV/0!</v>
      </c>
      <c r="AP119" s="162" t="e">
        <f t="shared" ref="AP119:CD119" si="1032">+AP116/AP118</f>
        <v>#DIV/0!</v>
      </c>
      <c r="AQ119" s="162" t="e">
        <f t="shared" si="1032"/>
        <v>#DIV/0!</v>
      </c>
      <c r="AR119" s="162" t="e">
        <f t="shared" si="1032"/>
        <v>#DIV/0!</v>
      </c>
      <c r="AS119" s="162" t="e">
        <f t="shared" si="1032"/>
        <v>#DIV/0!</v>
      </c>
      <c r="AT119" s="162" t="e">
        <f t="shared" si="1032"/>
        <v>#DIV/0!</v>
      </c>
      <c r="AU119" s="162" t="e">
        <f t="shared" si="1032"/>
        <v>#DIV/0!</v>
      </c>
      <c r="AV119" s="162" t="e">
        <f t="shared" si="1032"/>
        <v>#DIV/0!</v>
      </c>
      <c r="AW119" s="162" t="e">
        <f t="shared" si="1032"/>
        <v>#DIV/0!</v>
      </c>
      <c r="AX119" s="162" t="e">
        <f t="shared" si="1032"/>
        <v>#DIV/0!</v>
      </c>
      <c r="AY119" s="162" t="e">
        <f t="shared" si="1032"/>
        <v>#DIV/0!</v>
      </c>
      <c r="AZ119" s="162" t="e">
        <f t="shared" si="1032"/>
        <v>#DIV/0!</v>
      </c>
      <c r="BA119" s="162" t="e">
        <f t="shared" si="1032"/>
        <v>#DIV/0!</v>
      </c>
      <c r="BB119" s="162" t="e">
        <f t="shared" si="1032"/>
        <v>#DIV/0!</v>
      </c>
      <c r="BC119" s="162" t="e">
        <f t="shared" si="1032"/>
        <v>#DIV/0!</v>
      </c>
      <c r="BD119" s="162" t="e">
        <f t="shared" si="1032"/>
        <v>#DIV/0!</v>
      </c>
      <c r="BE119" s="162" t="e">
        <f t="shared" si="1032"/>
        <v>#DIV/0!</v>
      </c>
      <c r="BF119" s="162" t="e">
        <f t="shared" si="1032"/>
        <v>#DIV/0!</v>
      </c>
      <c r="BG119" s="162" t="e">
        <f t="shared" si="1032"/>
        <v>#DIV/0!</v>
      </c>
      <c r="BH119" s="162" t="e">
        <f t="shared" si="1032"/>
        <v>#DIV/0!</v>
      </c>
      <c r="BI119" s="162" t="e">
        <f t="shared" si="1032"/>
        <v>#DIV/0!</v>
      </c>
      <c r="BJ119" s="162" t="e">
        <f t="shared" si="1032"/>
        <v>#DIV/0!</v>
      </c>
      <c r="BK119" s="162" t="e">
        <f t="shared" si="1032"/>
        <v>#DIV/0!</v>
      </c>
      <c r="BL119" s="162" t="e">
        <f t="shared" si="1032"/>
        <v>#DIV/0!</v>
      </c>
      <c r="BM119" s="162" t="e">
        <f t="shared" si="1032"/>
        <v>#DIV/0!</v>
      </c>
      <c r="BN119" s="162" t="e">
        <f t="shared" si="1032"/>
        <v>#DIV/0!</v>
      </c>
      <c r="BO119" s="162" t="e">
        <f t="shared" si="1032"/>
        <v>#DIV/0!</v>
      </c>
      <c r="BP119" s="162" t="e">
        <f t="shared" si="1032"/>
        <v>#DIV/0!</v>
      </c>
      <c r="BQ119" s="162" t="e">
        <f t="shared" si="1032"/>
        <v>#DIV/0!</v>
      </c>
      <c r="BR119" s="162" t="e">
        <f t="shared" si="1032"/>
        <v>#DIV/0!</v>
      </c>
      <c r="BS119" s="162" t="e">
        <f t="shared" si="1032"/>
        <v>#DIV/0!</v>
      </c>
      <c r="BT119" s="162" t="e">
        <f t="shared" si="1032"/>
        <v>#DIV/0!</v>
      </c>
      <c r="BU119" s="162" t="e">
        <f t="shared" si="1032"/>
        <v>#DIV/0!</v>
      </c>
      <c r="BV119" s="162" t="e">
        <f t="shared" si="1032"/>
        <v>#DIV/0!</v>
      </c>
      <c r="BW119" s="162" t="e">
        <f t="shared" si="1032"/>
        <v>#DIV/0!</v>
      </c>
      <c r="BX119" s="162" t="e">
        <f t="shared" si="1032"/>
        <v>#DIV/0!</v>
      </c>
      <c r="BY119" s="162" t="e">
        <f t="shared" si="1032"/>
        <v>#DIV/0!</v>
      </c>
      <c r="BZ119" s="162">
        <f t="shared" si="1032"/>
        <v>-2.2947302691732996</v>
      </c>
      <c r="CA119" s="162">
        <f t="shared" si="1032"/>
        <v>-1.8126812581773262</v>
      </c>
      <c r="CB119" s="162">
        <f t="shared" si="1032"/>
        <v>0</v>
      </c>
      <c r="CC119" s="162">
        <f t="shared" si="1032"/>
        <v>59.988961513607421</v>
      </c>
      <c r="CD119" s="162">
        <f t="shared" si="1032"/>
        <v>50.590961244263148</v>
      </c>
      <c r="CE119" s="162">
        <f t="shared" ref="CE119:CF119" si="1033">+CE116/CE118</f>
        <v>49.128524349105696</v>
      </c>
      <c r="CF119" s="162">
        <f t="shared" si="1033"/>
        <v>47.764247468589318</v>
      </c>
      <c r="CG119" s="162">
        <f t="shared" ref="CG119:CH119" si="1034">+CG116/CG118</f>
        <v>46.725862618069449</v>
      </c>
      <c r="CH119" s="162">
        <f t="shared" si="1034"/>
        <v>38.019292864407682</v>
      </c>
      <c r="CI119" s="162">
        <f t="shared" ref="CI119:CJ119" si="1035">+CI116/CI118</f>
        <v>33.882287038764979</v>
      </c>
      <c r="CJ119" s="162">
        <f t="shared" si="1035"/>
        <v>33.358114668890437</v>
      </c>
      <c r="CK119" s="162">
        <f t="shared" ref="CK119:CL119" si="1036">+CK116/CK118</f>
        <v>33.953858303828227</v>
      </c>
      <c r="CL119" s="162">
        <f t="shared" si="1036"/>
        <v>31.859663520722204</v>
      </c>
      <c r="CM119" s="21">
        <f t="shared" ref="CM119:DB119" si="1037">+CM116/CM118</f>
        <v>23.868774468463457</v>
      </c>
      <c r="CN119" s="21">
        <f t="shared" si="1037"/>
        <v>19.75997213254313</v>
      </c>
      <c r="CO119" s="21">
        <f t="shared" si="1037"/>
        <v>17.234675762942153</v>
      </c>
      <c r="CP119" s="21">
        <f t="shared" si="1037"/>
        <v>18.333216968053261</v>
      </c>
      <c r="CQ119" s="21">
        <f t="shared" si="1037"/>
        <v>23.394631602136812</v>
      </c>
      <c r="CR119" s="21">
        <f t="shared" si="1037"/>
        <v>26.572707634971618</v>
      </c>
      <c r="CS119" s="21">
        <f t="shared" si="1037"/>
        <v>28.390942149908604</v>
      </c>
      <c r="CT119" s="21">
        <f t="shared" si="1037"/>
        <v>29.774227576135154</v>
      </c>
      <c r="CU119" s="21">
        <f t="shared" si="1037"/>
        <v>30.268490761613723</v>
      </c>
      <c r="CV119" s="21">
        <f t="shared" si="1037"/>
        <v>31.022317014097482</v>
      </c>
      <c r="CW119" s="21">
        <f t="shared" si="1037"/>
        <v>31.736163803742198</v>
      </c>
      <c r="CX119" s="21">
        <f t="shared" si="1037"/>
        <v>32.519300730881</v>
      </c>
      <c r="CY119" s="21">
        <f t="shared" si="1037"/>
        <v>32.985217391452451</v>
      </c>
      <c r="CZ119" s="21">
        <f t="shared" si="1037"/>
        <v>33.425284395971651</v>
      </c>
      <c r="DA119" s="21">
        <f t="shared" si="1037"/>
        <v>33.683254581298115</v>
      </c>
      <c r="DB119" s="21">
        <f t="shared" si="1037"/>
        <v>33.908666541639953</v>
      </c>
      <c r="DE119" s="22"/>
      <c r="DF119" s="162">
        <v>32.784372418213273</v>
      </c>
    </row>
    <row r="120" spans="1:110" s="162" customFormat="1" x14ac:dyDescent="0.2">
      <c r="A120" s="49" t="s">
        <v>344</v>
      </c>
      <c r="B120" s="162" t="e">
        <f>+B117/B118</f>
        <v>#DIV/0!</v>
      </c>
      <c r="C120" s="162" t="e">
        <f t="shared" ref="C120:W120" si="1038">+C117/C118</f>
        <v>#DIV/0!</v>
      </c>
      <c r="D120" s="162" t="e">
        <f t="shared" si="1038"/>
        <v>#DIV/0!</v>
      </c>
      <c r="E120" s="162" t="e">
        <f t="shared" ca="1" si="1038"/>
        <v>#DIV/0!</v>
      </c>
      <c r="F120" s="162" t="e">
        <f t="shared" ca="1" si="1038"/>
        <v>#DIV/0!</v>
      </c>
      <c r="G120" s="162" t="e">
        <f t="shared" ca="1" si="1038"/>
        <v>#DIV/0!</v>
      </c>
      <c r="H120" s="162" t="e">
        <f t="shared" ca="1" si="1038"/>
        <v>#DIV/0!</v>
      </c>
      <c r="I120" s="162" t="e">
        <f t="shared" ca="1" si="1038"/>
        <v>#DIV/0!</v>
      </c>
      <c r="J120" s="162" t="e">
        <f t="shared" ca="1" si="1038"/>
        <v>#DIV/0!</v>
      </c>
      <c r="K120" s="162" t="e">
        <f t="shared" ca="1" si="1038"/>
        <v>#DIV/0!</v>
      </c>
      <c r="L120" s="162" t="e">
        <f t="shared" ca="1" si="1038"/>
        <v>#DIV/0!</v>
      </c>
      <c r="M120" s="162" t="e">
        <f t="shared" ca="1" si="1038"/>
        <v>#DIV/0!</v>
      </c>
      <c r="N120" s="162" t="e">
        <f t="shared" ca="1" si="1038"/>
        <v>#DIV/0!</v>
      </c>
      <c r="O120" s="162" t="e">
        <f t="shared" ca="1" si="1038"/>
        <v>#DIV/0!</v>
      </c>
      <c r="P120" s="162" t="e">
        <f t="shared" ca="1" si="1038"/>
        <v>#DIV/0!</v>
      </c>
      <c r="Q120" s="162" t="e">
        <f t="shared" ca="1" si="1038"/>
        <v>#DIV/0!</v>
      </c>
      <c r="R120" s="162" t="e">
        <f t="shared" ca="1" si="1038"/>
        <v>#DIV/0!</v>
      </c>
      <c r="S120" s="162" t="e">
        <f t="shared" ca="1" si="1038"/>
        <v>#DIV/0!</v>
      </c>
      <c r="T120" s="162" t="e">
        <f t="shared" ca="1" si="1038"/>
        <v>#DIV/0!</v>
      </c>
      <c r="U120" s="162" t="e">
        <f t="shared" ca="1" si="1038"/>
        <v>#DIV/0!</v>
      </c>
      <c r="V120" s="162" t="e">
        <f t="shared" ca="1" si="1038"/>
        <v>#DIV/0!</v>
      </c>
      <c r="W120" s="162" t="e">
        <f t="shared" ca="1" si="1038"/>
        <v>#DIV/0!</v>
      </c>
      <c r="X120" s="162" t="e">
        <f t="shared" ref="X120:Y120" ca="1" si="1039">+X117/X118</f>
        <v>#DIV/0!</v>
      </c>
      <c r="Y120" s="162" t="e">
        <f t="shared" ca="1" si="1039"/>
        <v>#DIV/0!</v>
      </c>
      <c r="Z120" s="162" t="e">
        <f t="shared" ref="Z120:AA120" ca="1" si="1040">+Z117/Z118</f>
        <v>#DIV/0!</v>
      </c>
      <c r="AA120" s="162" t="e">
        <f t="shared" ca="1" si="1040"/>
        <v>#DIV/0!</v>
      </c>
      <c r="AB120" s="21" t="e">
        <f t="shared" ref="AA120:AD120" ca="1" si="1041">+AB117/AB118</f>
        <v>#DIV/0!</v>
      </c>
      <c r="AC120" s="21" t="e">
        <f t="shared" ca="1" si="1041"/>
        <v>#DIV/0!</v>
      </c>
      <c r="AD120" s="21" t="e">
        <f t="shared" ca="1" si="1041"/>
        <v>#DIV/0!</v>
      </c>
      <c r="AE120" s="21" t="e">
        <f t="shared" ref="AE120" ca="1" si="1042">+AE117/AE118</f>
        <v>#DIV/0!</v>
      </c>
      <c r="AL120" s="162" t="e">
        <f t="shared" ref="AL120:AM120" si="1043">+AL117/AL118</f>
        <v>#DIV/0!</v>
      </c>
      <c r="AM120" s="162" t="e">
        <f t="shared" si="1043"/>
        <v>#DIV/0!</v>
      </c>
      <c r="AN120" s="162" t="e">
        <f t="shared" ref="AN120:AO120" si="1044">+AN117/AN118</f>
        <v>#DIV/0!</v>
      </c>
      <c r="AO120" s="162" t="e">
        <f t="shared" si="1044"/>
        <v>#DIV/0!</v>
      </c>
      <c r="AP120" s="162" t="e">
        <f t="shared" ref="AP120:CD120" si="1045">+AP117/AP118</f>
        <v>#DIV/0!</v>
      </c>
      <c r="AQ120" s="162" t="e">
        <f t="shared" si="1045"/>
        <v>#DIV/0!</v>
      </c>
      <c r="AR120" s="162" t="e">
        <f t="shared" si="1045"/>
        <v>#DIV/0!</v>
      </c>
      <c r="AS120" s="162" t="e">
        <f t="shared" si="1045"/>
        <v>#DIV/0!</v>
      </c>
      <c r="AT120" s="162" t="e">
        <f t="shared" si="1045"/>
        <v>#DIV/0!</v>
      </c>
      <c r="AU120" s="162" t="e">
        <f t="shared" si="1045"/>
        <v>#DIV/0!</v>
      </c>
      <c r="AV120" s="162" t="e">
        <f t="shared" si="1045"/>
        <v>#DIV/0!</v>
      </c>
      <c r="AW120" s="162" t="e">
        <f t="shared" si="1045"/>
        <v>#DIV/0!</v>
      </c>
      <c r="AX120" s="162" t="e">
        <f t="shared" si="1045"/>
        <v>#DIV/0!</v>
      </c>
      <c r="AY120" s="162" t="e">
        <f t="shared" si="1045"/>
        <v>#DIV/0!</v>
      </c>
      <c r="AZ120" s="162" t="e">
        <f t="shared" si="1045"/>
        <v>#DIV/0!</v>
      </c>
      <c r="BA120" s="162" t="e">
        <f t="shared" si="1045"/>
        <v>#DIV/0!</v>
      </c>
      <c r="BB120" s="162" t="e">
        <f t="shared" si="1045"/>
        <v>#DIV/0!</v>
      </c>
      <c r="BC120" s="162" t="e">
        <f t="shared" si="1045"/>
        <v>#DIV/0!</v>
      </c>
      <c r="BD120" s="162" t="e">
        <f t="shared" si="1045"/>
        <v>#DIV/0!</v>
      </c>
      <c r="BE120" s="162" t="e">
        <f t="shared" si="1045"/>
        <v>#DIV/0!</v>
      </c>
      <c r="BF120" s="162" t="e">
        <f t="shared" si="1045"/>
        <v>#DIV/0!</v>
      </c>
      <c r="BG120" s="162" t="e">
        <f t="shared" si="1045"/>
        <v>#DIV/0!</v>
      </c>
      <c r="BH120" s="162" t="e">
        <f t="shared" si="1045"/>
        <v>#DIV/0!</v>
      </c>
      <c r="BI120" s="162" t="e">
        <f t="shared" si="1045"/>
        <v>#DIV/0!</v>
      </c>
      <c r="BJ120" s="162" t="e">
        <f t="shared" si="1045"/>
        <v>#DIV/0!</v>
      </c>
      <c r="BK120" s="162" t="e">
        <f t="shared" si="1045"/>
        <v>#DIV/0!</v>
      </c>
      <c r="BL120" s="162" t="e">
        <f t="shared" si="1045"/>
        <v>#DIV/0!</v>
      </c>
      <c r="BM120" s="162" t="e">
        <f t="shared" si="1045"/>
        <v>#DIV/0!</v>
      </c>
      <c r="BN120" s="162" t="e">
        <f t="shared" si="1045"/>
        <v>#DIV/0!</v>
      </c>
      <c r="BO120" s="162" t="e">
        <f t="shared" si="1045"/>
        <v>#DIV/0!</v>
      </c>
      <c r="BP120" s="162" t="e">
        <f t="shared" si="1045"/>
        <v>#DIV/0!</v>
      </c>
      <c r="BQ120" s="162" t="e">
        <f t="shared" si="1045"/>
        <v>#DIV/0!</v>
      </c>
      <c r="BR120" s="162" t="e">
        <f t="shared" si="1045"/>
        <v>#DIV/0!</v>
      </c>
      <c r="BS120" s="162" t="e">
        <f t="shared" si="1045"/>
        <v>#DIV/0!</v>
      </c>
      <c r="BT120" s="162" t="e">
        <f t="shared" si="1045"/>
        <v>#DIV/0!</v>
      </c>
      <c r="BU120" s="162" t="e">
        <f t="shared" si="1045"/>
        <v>#DIV/0!</v>
      </c>
      <c r="BV120" s="162" t="e">
        <f t="shared" si="1045"/>
        <v>#DIV/0!</v>
      </c>
      <c r="BW120" s="162" t="e">
        <f t="shared" si="1045"/>
        <v>#DIV/0!</v>
      </c>
      <c r="BX120" s="162" t="e">
        <f t="shared" si="1045"/>
        <v>#DIV/0!</v>
      </c>
      <c r="BY120" s="162" t="e">
        <f t="shared" si="1045"/>
        <v>#DIV/0!</v>
      </c>
      <c r="BZ120" s="162">
        <f t="shared" si="1045"/>
        <v>-2.2947302691732996</v>
      </c>
      <c r="CA120" s="162">
        <f t="shared" si="1045"/>
        <v>-1.8126812581773262</v>
      </c>
      <c r="CB120" s="162">
        <f t="shared" si="1045"/>
        <v>0</v>
      </c>
      <c r="CC120" s="162">
        <f t="shared" si="1045"/>
        <v>-0.18032352723073805</v>
      </c>
      <c r="CD120" s="162">
        <f t="shared" si="1045"/>
        <v>42.832802141764418</v>
      </c>
      <c r="CE120" s="162">
        <f t="shared" ref="CE120:CF120" si="1046">+CE117/CE118</f>
        <v>41.878380624189759</v>
      </c>
      <c r="CF120" s="162">
        <f t="shared" si="1046"/>
        <v>40.690360494088971</v>
      </c>
      <c r="CG120" s="162">
        <f t="shared" ref="CG120:CH120" si="1047">+CG117/CG118</f>
        <v>36.878921803066426</v>
      </c>
      <c r="CH120" s="162">
        <f t="shared" si="1047"/>
        <v>25.607882875649047</v>
      </c>
      <c r="CI120" s="162">
        <f t="shared" ref="CI120:CJ120" si="1048">+CI117/CI118</f>
        <v>24.810178989911574</v>
      </c>
      <c r="CJ120" s="162">
        <f t="shared" si="1048"/>
        <v>29.071196837980782</v>
      </c>
      <c r="CK120" s="162">
        <f t="shared" ref="CK120:CL120" si="1049">+CK117/CK118</f>
        <v>29.785560372826808</v>
      </c>
      <c r="CL120" s="162">
        <f t="shared" si="1049"/>
        <v>23.163233483791547</v>
      </c>
      <c r="CM120" s="21">
        <f t="shared" ref="CM120:DB120" si="1050">+CM117/CM118</f>
        <v>17.201287229112076</v>
      </c>
      <c r="CN120" s="21">
        <f t="shared" si="1050"/>
        <v>14.153140245462502</v>
      </c>
      <c r="CO120" s="21">
        <f t="shared" si="1050"/>
        <v>12.276878553507135</v>
      </c>
      <c r="CP120" s="21">
        <f t="shared" si="1050"/>
        <v>13.086451005843479</v>
      </c>
      <c r="CQ120" s="21">
        <f t="shared" si="1050"/>
        <v>16.745148151082336</v>
      </c>
      <c r="CR120" s="21">
        <f t="shared" si="1050"/>
        <v>19.076305770143403</v>
      </c>
      <c r="CS120" s="21">
        <f t="shared" si="1050"/>
        <v>20.403056512593277</v>
      </c>
      <c r="CT120" s="21">
        <f t="shared" si="1050"/>
        <v>21.432612995845048</v>
      </c>
      <c r="CU120" s="21">
        <f t="shared" si="1050"/>
        <v>21.728004622042921</v>
      </c>
      <c r="CV120" s="21">
        <f t="shared" si="1050"/>
        <v>22.272308758065321</v>
      </c>
      <c r="CW120" s="21">
        <f t="shared" si="1050"/>
        <v>22.779674316040317</v>
      </c>
      <c r="CX120" s="21">
        <f t="shared" si="1050"/>
        <v>23.357996390969102</v>
      </c>
      <c r="CY120" s="21">
        <f t="shared" si="1050"/>
        <v>23.635980609147015</v>
      </c>
      <c r="CZ120" s="21">
        <f t="shared" si="1050"/>
        <v>23.953159955824169</v>
      </c>
      <c r="DA120" s="21">
        <f t="shared" si="1050"/>
        <v>24.128929629104206</v>
      </c>
      <c r="DB120" s="21">
        <f t="shared" si="1050"/>
        <v>24.302838264520815</v>
      </c>
      <c r="DE120" s="22"/>
      <c r="DF120" s="162">
        <v>23.72598728444709</v>
      </c>
    </row>
    <row r="121" spans="1:110" s="10" customFormat="1" x14ac:dyDescent="0.2">
      <c r="A121" s="149" t="s">
        <v>490</v>
      </c>
      <c r="AB121" s="20"/>
      <c r="AC121" s="20"/>
      <c r="AD121" s="20"/>
      <c r="AE121" s="20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x14ac:dyDescent="0.2">
      <c r="A122" s="152" t="s">
        <v>491</v>
      </c>
      <c r="AA122" s="2"/>
      <c r="CL122" s="2"/>
    </row>
    <row r="123" spans="1:110" s="23" customFormat="1" outlineLevel="1" x14ac:dyDescent="0.2">
      <c r="A123" s="23" t="s">
        <v>41</v>
      </c>
      <c r="B123" s="23">
        <f>'Annual Raw'!C41</f>
        <v>0</v>
      </c>
      <c r="C123" s="23">
        <f>'Annual Raw'!D41</f>
        <v>0</v>
      </c>
      <c r="D123" s="23">
        <f>'Annual Raw'!E41</f>
        <v>0</v>
      </c>
      <c r="E123" s="23">
        <f>'Annual Raw'!F41</f>
        <v>10.589497</v>
      </c>
      <c r="F123" s="23">
        <f>'Annual Raw'!G41</f>
        <v>10.676645000000001</v>
      </c>
      <c r="G123" s="23">
        <f>'Annual Raw'!H41</f>
        <v>34.8626</v>
      </c>
      <c r="H123" s="23">
        <f>'Annual Raw'!I41</f>
        <v>35.750500000000002</v>
      </c>
      <c r="I123" s="23">
        <f>'Annual Raw'!J41</f>
        <v>37.083500000000001</v>
      </c>
      <c r="J123" s="23">
        <f>'Annual Raw'!K41</f>
        <v>37.158099999999997</v>
      </c>
      <c r="K123" s="23">
        <f>'Annual Raw'!L41</f>
        <v>37.244599999999998</v>
      </c>
      <c r="L123" s="23">
        <f>'Annual Raw'!M41</f>
        <v>37.315300000000001</v>
      </c>
      <c r="M123" s="23">
        <f>'Annual Raw'!N41</f>
        <v>42.97</v>
      </c>
      <c r="N123" s="23">
        <f>'Annual Raw'!O41</f>
        <v>43.02</v>
      </c>
      <c r="O123" s="23">
        <f>'Annual Raw'!P41</f>
        <v>43.02</v>
      </c>
      <c r="P123" s="23">
        <f>'Annual Raw'!Q41</f>
        <v>43.02</v>
      </c>
      <c r="Q123" s="23">
        <f>'Annual Raw'!R41</f>
        <v>43.02</v>
      </c>
      <c r="R123" s="23">
        <f>'Annual Raw'!S41</f>
        <v>42.1</v>
      </c>
      <c r="S123" s="23">
        <f>'Annual Raw'!T41</f>
        <v>42.1</v>
      </c>
      <c r="T123" s="23">
        <f>'Annual Raw'!U41</f>
        <v>42.1</v>
      </c>
      <c r="U123" s="23">
        <f>'Annual Raw'!V41</f>
        <v>41.802999999999997</v>
      </c>
      <c r="V123" s="23">
        <f>'Annual Raw'!W41</f>
        <v>41.807000000000002</v>
      </c>
      <c r="W123" s="23">
        <f>'Annual Raw'!X41</f>
        <v>41.807000000000002</v>
      </c>
      <c r="X123" s="23">
        <f>'Annual Raw'!Y41</f>
        <v>81.13</v>
      </c>
      <c r="Y123" s="23">
        <f>'Annual Raw'!Z41</f>
        <v>81.13</v>
      </c>
      <c r="Z123" s="23">
        <f>'Annual Raw'!AA41</f>
        <v>81.13</v>
      </c>
      <c r="AA123" s="23">
        <f>'Annual Raw'!AB41</f>
        <v>81.2</v>
      </c>
      <c r="AB123" s="24">
        <f>+CP123</f>
        <v>81.2</v>
      </c>
      <c r="AC123" s="24">
        <f>+CT123</f>
        <v>81.2</v>
      </c>
      <c r="AD123" s="24">
        <f>+CX123</f>
        <v>81.2</v>
      </c>
      <c r="AE123" s="24">
        <f>+DB123</f>
        <v>81.2</v>
      </c>
      <c r="AJ123" s="23">
        <f>+'QTR Raw'!D56</f>
        <v>0</v>
      </c>
      <c r="AK123" s="23">
        <f t="shared" ref="AK123:CE123" si="1051">+AJ123</f>
        <v>0</v>
      </c>
      <c r="AL123" s="23">
        <f>+'QTR Raw'!F56</f>
        <v>0</v>
      </c>
      <c r="AM123" s="23">
        <f t="shared" si="1051"/>
        <v>0</v>
      </c>
      <c r="AN123" s="23">
        <f>+'QTR Raw'!H56</f>
        <v>0</v>
      </c>
      <c r="AO123" s="23">
        <f t="shared" si="1051"/>
        <v>0</v>
      </c>
      <c r="AP123" s="23">
        <f>+'QTR Raw'!J56</f>
        <v>0</v>
      </c>
      <c r="AQ123" s="23">
        <f t="shared" si="1051"/>
        <v>0</v>
      </c>
      <c r="AR123" s="23">
        <f>+'QTR Raw'!L56</f>
        <v>0</v>
      </c>
      <c r="AS123" s="23">
        <f t="shared" si="1051"/>
        <v>0</v>
      </c>
      <c r="AT123" s="23">
        <f>+'QTR Raw'!N56</f>
        <v>0</v>
      </c>
      <c r="AU123" s="23">
        <f t="shared" si="1051"/>
        <v>0</v>
      </c>
      <c r="AV123" s="23">
        <f>+'QTR Raw'!P56</f>
        <v>0</v>
      </c>
      <c r="AW123" s="23">
        <f t="shared" si="1051"/>
        <v>0</v>
      </c>
      <c r="AX123" s="23">
        <f>+'QTR Raw'!R56</f>
        <v>0</v>
      </c>
      <c r="AY123" s="23">
        <f t="shared" si="1051"/>
        <v>0</v>
      </c>
      <c r="AZ123" s="23">
        <f>+'QTR Raw'!T56</f>
        <v>0</v>
      </c>
      <c r="BA123" s="23">
        <f t="shared" si="1051"/>
        <v>0</v>
      </c>
      <c r="BB123" s="23">
        <f>+'QTR Raw'!V56</f>
        <v>0</v>
      </c>
      <c r="BC123" s="23">
        <f t="shared" si="1051"/>
        <v>0</v>
      </c>
      <c r="BD123" s="23">
        <f>+'QTR Raw'!X56</f>
        <v>0</v>
      </c>
      <c r="BE123" s="23">
        <f t="shared" si="1051"/>
        <v>0</v>
      </c>
      <c r="BF123" s="23">
        <f>+'QTR Raw'!Z56</f>
        <v>0</v>
      </c>
      <c r="BG123" s="23">
        <f t="shared" si="1051"/>
        <v>0</v>
      </c>
      <c r="BH123" s="23">
        <f>+'QTR Raw'!AB56</f>
        <v>0</v>
      </c>
      <c r="BI123" s="23">
        <f t="shared" si="1051"/>
        <v>0</v>
      </c>
      <c r="BJ123" s="23">
        <f>+'QTR Raw'!AD56</f>
        <v>0</v>
      </c>
      <c r="BK123" s="23">
        <f t="shared" si="1051"/>
        <v>0</v>
      </c>
      <c r="BL123" s="23">
        <f>+'QTR Raw'!AF56</f>
        <v>0</v>
      </c>
      <c r="BM123" s="23">
        <f t="shared" si="1051"/>
        <v>0</v>
      </c>
      <c r="BN123" s="23">
        <f>+'QTR Raw'!AH56</f>
        <v>0</v>
      </c>
      <c r="BO123" s="23">
        <f t="shared" si="1051"/>
        <v>0</v>
      </c>
      <c r="BP123" s="23">
        <f>+'QTR Raw'!AJ56</f>
        <v>0</v>
      </c>
      <c r="BQ123" s="23">
        <f t="shared" si="1051"/>
        <v>0</v>
      </c>
      <c r="BR123" s="23">
        <f>+'QTR Raw'!AL56</f>
        <v>0</v>
      </c>
      <c r="BS123" s="23">
        <f t="shared" si="1051"/>
        <v>0</v>
      </c>
      <c r="BT123" s="23">
        <f>+'QTR Raw'!AN56</f>
        <v>0</v>
      </c>
      <c r="BU123" s="23">
        <f t="shared" si="1051"/>
        <v>0</v>
      </c>
      <c r="BV123" s="23">
        <f>+'QTR Raw'!AP56</f>
        <v>0</v>
      </c>
      <c r="BW123" s="23">
        <f t="shared" si="1051"/>
        <v>0</v>
      </c>
      <c r="BX123" s="23">
        <f>+'QTR Raw'!AR56</f>
        <v>0</v>
      </c>
      <c r="BY123" s="23">
        <f t="shared" si="1051"/>
        <v>0</v>
      </c>
      <c r="BZ123" s="23">
        <f>+'QTR Raw'!AT56</f>
        <v>81.13</v>
      </c>
      <c r="CA123" s="23">
        <f t="shared" si="1051"/>
        <v>81.13</v>
      </c>
      <c r="CB123" s="23">
        <f>+'QTR Raw'!AV56</f>
        <v>0</v>
      </c>
      <c r="CC123" s="23">
        <f t="shared" si="1051"/>
        <v>0</v>
      </c>
      <c r="CD123" s="23">
        <f>+'QTR Raw'!AX56</f>
        <v>81.13</v>
      </c>
      <c r="CE123" s="23">
        <f t="shared" si="1051"/>
        <v>81.13</v>
      </c>
      <c r="CF123" s="23">
        <f>+'QTR Raw'!AZ56</f>
        <v>81.13</v>
      </c>
      <c r="CG123" s="23">
        <f t="shared" ref="CG123:CG124" si="1052">+CF123</f>
        <v>81.13</v>
      </c>
      <c r="CH123" s="23">
        <f>Z123</f>
        <v>81.13</v>
      </c>
      <c r="CI123" s="23">
        <f>CH123</f>
        <v>81.13</v>
      </c>
      <c r="CJ123" s="23">
        <f>+'QTR Raw'!BD56</f>
        <v>81.14</v>
      </c>
      <c r="CK123" s="24">
        <f t="shared" ref="CK123:DB123" si="1053">CJ123</f>
        <v>81.14</v>
      </c>
      <c r="CL123" s="23">
        <f>+'QTR Raw'!BF56</f>
        <v>81.2</v>
      </c>
      <c r="CM123" s="24">
        <f t="shared" si="1053"/>
        <v>81.2</v>
      </c>
      <c r="CN123" s="24">
        <f t="shared" si="1053"/>
        <v>81.2</v>
      </c>
      <c r="CO123" s="24">
        <f t="shared" si="1053"/>
        <v>81.2</v>
      </c>
      <c r="CP123" s="24">
        <f t="shared" si="1053"/>
        <v>81.2</v>
      </c>
      <c r="CQ123" s="24">
        <f t="shared" si="1053"/>
        <v>81.2</v>
      </c>
      <c r="CR123" s="24">
        <f t="shared" si="1053"/>
        <v>81.2</v>
      </c>
      <c r="CS123" s="24">
        <f t="shared" si="1053"/>
        <v>81.2</v>
      </c>
      <c r="CT123" s="24">
        <f t="shared" si="1053"/>
        <v>81.2</v>
      </c>
      <c r="CU123" s="24">
        <f t="shared" si="1053"/>
        <v>81.2</v>
      </c>
      <c r="CV123" s="24">
        <f t="shared" si="1053"/>
        <v>81.2</v>
      </c>
      <c r="CW123" s="24">
        <f t="shared" si="1053"/>
        <v>81.2</v>
      </c>
      <c r="CX123" s="24">
        <f t="shared" si="1053"/>
        <v>81.2</v>
      </c>
      <c r="CY123" s="24">
        <f t="shared" si="1053"/>
        <v>81.2</v>
      </c>
      <c r="CZ123" s="24">
        <f t="shared" si="1053"/>
        <v>81.2</v>
      </c>
      <c r="DA123" s="24">
        <f t="shared" si="1053"/>
        <v>81.2</v>
      </c>
      <c r="DB123" s="24">
        <f t="shared" si="1053"/>
        <v>81.2</v>
      </c>
      <c r="DE123" s="123"/>
      <c r="DF123" s="23">
        <v>81.14</v>
      </c>
    </row>
    <row r="124" spans="1:110" s="23" customFormat="1" outlineLevel="1" x14ac:dyDescent="0.2">
      <c r="A124" s="23" t="s">
        <v>42</v>
      </c>
      <c r="B124" s="23">
        <f>'Annual Raw'!C42</f>
        <v>0</v>
      </c>
      <c r="C124" s="23">
        <f>'Annual Raw'!D42</f>
        <v>0</v>
      </c>
      <c r="D124" s="23">
        <f>'Annual Raw'!E42</f>
        <v>0</v>
      </c>
      <c r="E124" s="23">
        <f>'Annual Raw'!F42</f>
        <v>8.4309999999999993E-3</v>
      </c>
      <c r="F124" s="23">
        <f>'Annual Raw'!G42</f>
        <v>7.6575000000000002E-3</v>
      </c>
      <c r="G124" s="23">
        <f>'Annual Raw'!H42</f>
        <v>4.6600000000000003E-2</v>
      </c>
      <c r="H124" s="23">
        <f>'Annual Raw'!I42</f>
        <v>0</v>
      </c>
      <c r="I124" s="23">
        <f>'Annual Raw'!J42</f>
        <v>1.47E-2</v>
      </c>
      <c r="J124" s="23">
        <f>'Annual Raw'!K42</f>
        <v>2.0400000000000001E-2</v>
      </c>
      <c r="K124" s="23">
        <f>'Annual Raw'!L42</f>
        <v>0</v>
      </c>
      <c r="L124" s="23">
        <f>'Annual Raw'!M42</f>
        <v>0</v>
      </c>
      <c r="M124" s="23">
        <f>'Annual Raw'!N42</f>
        <v>0</v>
      </c>
      <c r="N124" s="23">
        <f>'Annual Raw'!O42</f>
        <v>0</v>
      </c>
      <c r="O124" s="23">
        <f>'Annual Raw'!P42</f>
        <v>0</v>
      </c>
      <c r="P124" s="23">
        <f>'Annual Raw'!Q42</f>
        <v>0</v>
      </c>
      <c r="Q124" s="23">
        <f>'Annual Raw'!R42</f>
        <v>0.19</v>
      </c>
      <c r="R124" s="23">
        <f>'Annual Raw'!S42</f>
        <v>0.4</v>
      </c>
      <c r="S124" s="23">
        <f>'Annual Raw'!T42</f>
        <v>0.4</v>
      </c>
      <c r="T124" s="23">
        <f>'Annual Raw'!U42</f>
        <v>0.34</v>
      </c>
      <c r="U124" s="23">
        <f>'Annual Raw'!V42</f>
        <v>0</v>
      </c>
      <c r="V124" s="23">
        <f>'Annual Raw'!W42</f>
        <v>0</v>
      </c>
      <c r="W124" s="23">
        <f>'Annual Raw'!X42</f>
        <v>0</v>
      </c>
      <c r="X124" s="23">
        <f>'Annual Raw'!Y42</f>
        <v>1.73</v>
      </c>
      <c r="Y124" s="23">
        <f>'Annual Raw'!Z42</f>
        <v>5.27</v>
      </c>
      <c r="Z124" s="23">
        <f>'Annual Raw'!AA42</f>
        <v>14.29</v>
      </c>
      <c r="AA124" s="23">
        <f>'Annual Raw'!AB42</f>
        <v>13.11</v>
      </c>
      <c r="AB124" s="24">
        <f t="shared" ref="AB124:AB125" si="1054">+CP124</f>
        <v>0</v>
      </c>
      <c r="AC124" s="24">
        <f t="shared" ref="AC124:AC125" si="1055">+CT124</f>
        <v>0</v>
      </c>
      <c r="AD124" s="24">
        <f t="shared" ref="AD124:AD125" si="1056">+CX124</f>
        <v>0</v>
      </c>
      <c r="AE124" s="24">
        <f t="shared" ref="AE124:AE125" si="1057">+DB124</f>
        <v>0</v>
      </c>
      <c r="AJ124" s="23">
        <f>+'QTR Raw'!D57</f>
        <v>0</v>
      </c>
      <c r="AK124" s="23">
        <f t="shared" ref="AK124:CE124" si="1058">+AJ124</f>
        <v>0</v>
      </c>
      <c r="AL124" s="23">
        <f>+'QTR Raw'!F57</f>
        <v>0</v>
      </c>
      <c r="AM124" s="23">
        <f t="shared" si="1058"/>
        <v>0</v>
      </c>
      <c r="AN124" s="23">
        <f>+'QTR Raw'!H57</f>
        <v>0</v>
      </c>
      <c r="AO124" s="23">
        <f t="shared" si="1058"/>
        <v>0</v>
      </c>
      <c r="AP124" s="23">
        <f>+'QTR Raw'!J57</f>
        <v>0</v>
      </c>
      <c r="AQ124" s="23">
        <f t="shared" si="1058"/>
        <v>0</v>
      </c>
      <c r="AR124" s="23">
        <f>+'QTR Raw'!L57</f>
        <v>0</v>
      </c>
      <c r="AS124" s="23">
        <f t="shared" si="1058"/>
        <v>0</v>
      </c>
      <c r="AT124" s="23">
        <f>+'QTR Raw'!N57</f>
        <v>0</v>
      </c>
      <c r="AU124" s="23">
        <f t="shared" si="1058"/>
        <v>0</v>
      </c>
      <c r="AV124" s="23">
        <f>+'QTR Raw'!P57</f>
        <v>0</v>
      </c>
      <c r="AW124" s="23">
        <f t="shared" si="1058"/>
        <v>0</v>
      </c>
      <c r="AX124" s="23">
        <f>+'QTR Raw'!R57</f>
        <v>0</v>
      </c>
      <c r="AY124" s="23">
        <f t="shared" si="1058"/>
        <v>0</v>
      </c>
      <c r="AZ124" s="23">
        <f>+'QTR Raw'!T57</f>
        <v>0</v>
      </c>
      <c r="BA124" s="23">
        <f t="shared" si="1058"/>
        <v>0</v>
      </c>
      <c r="BB124" s="23">
        <f>+'QTR Raw'!V57</f>
        <v>0</v>
      </c>
      <c r="BC124" s="23">
        <f t="shared" si="1058"/>
        <v>0</v>
      </c>
      <c r="BD124" s="23">
        <f>+'QTR Raw'!X57</f>
        <v>0</v>
      </c>
      <c r="BE124" s="23">
        <f t="shared" si="1058"/>
        <v>0</v>
      </c>
      <c r="BF124" s="23">
        <f>+'QTR Raw'!Z57</f>
        <v>0</v>
      </c>
      <c r="BG124" s="23">
        <f t="shared" si="1058"/>
        <v>0</v>
      </c>
      <c r="BH124" s="23">
        <f>+'QTR Raw'!AB57</f>
        <v>0</v>
      </c>
      <c r="BI124" s="23">
        <f t="shared" si="1058"/>
        <v>0</v>
      </c>
      <c r="BJ124" s="23">
        <f>+'QTR Raw'!AD57</f>
        <v>0</v>
      </c>
      <c r="BK124" s="23">
        <f t="shared" si="1058"/>
        <v>0</v>
      </c>
      <c r="BL124" s="23">
        <f>+'QTR Raw'!AF57</f>
        <v>0</v>
      </c>
      <c r="BM124" s="23">
        <f t="shared" si="1058"/>
        <v>0</v>
      </c>
      <c r="BN124" s="23">
        <f>+'QTR Raw'!AH57</f>
        <v>0</v>
      </c>
      <c r="BO124" s="23">
        <f t="shared" si="1058"/>
        <v>0</v>
      </c>
      <c r="BP124" s="23">
        <f>+'QTR Raw'!AJ57</f>
        <v>0</v>
      </c>
      <c r="BQ124" s="23">
        <f t="shared" si="1058"/>
        <v>0</v>
      </c>
      <c r="BR124" s="23">
        <f>+'QTR Raw'!AL57</f>
        <v>0</v>
      </c>
      <c r="BS124" s="23">
        <f t="shared" si="1058"/>
        <v>0</v>
      </c>
      <c r="BT124" s="23">
        <f>+'QTR Raw'!AN57</f>
        <v>0</v>
      </c>
      <c r="BU124" s="23">
        <f t="shared" si="1058"/>
        <v>0</v>
      </c>
      <c r="BV124" s="23">
        <f>+'QTR Raw'!AP57</f>
        <v>0</v>
      </c>
      <c r="BW124" s="23">
        <f t="shared" si="1058"/>
        <v>0</v>
      </c>
      <c r="BX124" s="23">
        <f>+'QTR Raw'!AR57</f>
        <v>0</v>
      </c>
      <c r="BY124" s="23">
        <f t="shared" si="1058"/>
        <v>0</v>
      </c>
      <c r="BZ124" s="23">
        <f>+'QTR Raw'!AT57</f>
        <v>0</v>
      </c>
      <c r="CA124" s="23">
        <f t="shared" si="1058"/>
        <v>0</v>
      </c>
      <c r="CB124" s="23">
        <f>+'QTR Raw'!AV57</f>
        <v>0</v>
      </c>
      <c r="CC124" s="23">
        <f t="shared" si="1058"/>
        <v>0</v>
      </c>
      <c r="CD124" s="23">
        <f>+'QTR Raw'!AX57</f>
        <v>0</v>
      </c>
      <c r="CE124" s="23">
        <f t="shared" si="1058"/>
        <v>0</v>
      </c>
      <c r="CF124" s="23">
        <f>+'QTR Raw'!AZ57</f>
        <v>0</v>
      </c>
      <c r="CG124" s="23">
        <f t="shared" si="1052"/>
        <v>0</v>
      </c>
      <c r="CH124" s="23">
        <f t="shared" ref="CH124:CH125" si="1059">Z124</f>
        <v>14.29</v>
      </c>
      <c r="CI124" s="23">
        <f>CH124</f>
        <v>14.29</v>
      </c>
      <c r="CJ124" s="23">
        <f>+'QTR Raw'!BD57</f>
        <v>0</v>
      </c>
      <c r="CK124" s="24">
        <f t="shared" ref="CK124:DB124" si="1060">CJ124</f>
        <v>0</v>
      </c>
      <c r="CL124" s="23">
        <f>+'QTR Raw'!BF57</f>
        <v>0</v>
      </c>
      <c r="CM124" s="24">
        <f t="shared" si="1060"/>
        <v>0</v>
      </c>
      <c r="CN124" s="24">
        <f t="shared" si="1060"/>
        <v>0</v>
      </c>
      <c r="CO124" s="24">
        <f t="shared" si="1060"/>
        <v>0</v>
      </c>
      <c r="CP124" s="24">
        <f t="shared" si="1060"/>
        <v>0</v>
      </c>
      <c r="CQ124" s="24">
        <f t="shared" si="1060"/>
        <v>0</v>
      </c>
      <c r="CR124" s="24">
        <f t="shared" si="1060"/>
        <v>0</v>
      </c>
      <c r="CS124" s="24">
        <f t="shared" si="1060"/>
        <v>0</v>
      </c>
      <c r="CT124" s="24">
        <f t="shared" si="1060"/>
        <v>0</v>
      </c>
      <c r="CU124" s="24">
        <f t="shared" si="1060"/>
        <v>0</v>
      </c>
      <c r="CV124" s="24">
        <f t="shared" si="1060"/>
        <v>0</v>
      </c>
      <c r="CW124" s="24">
        <f t="shared" si="1060"/>
        <v>0</v>
      </c>
      <c r="CX124" s="24">
        <f t="shared" si="1060"/>
        <v>0</v>
      </c>
      <c r="CY124" s="24">
        <f t="shared" si="1060"/>
        <v>0</v>
      </c>
      <c r="CZ124" s="24">
        <f t="shared" si="1060"/>
        <v>0</v>
      </c>
      <c r="DA124" s="24">
        <f t="shared" si="1060"/>
        <v>0</v>
      </c>
      <c r="DB124" s="24">
        <f t="shared" si="1060"/>
        <v>0</v>
      </c>
      <c r="DE124" s="123"/>
      <c r="DF124" s="23">
        <v>0</v>
      </c>
    </row>
    <row r="125" spans="1:110" s="23" customFormat="1" outlineLevel="1" x14ac:dyDescent="0.2">
      <c r="A125" s="23" t="s">
        <v>43</v>
      </c>
      <c r="B125" s="23">
        <f>'Annual Raw'!C43</f>
        <v>0</v>
      </c>
      <c r="C125" s="23">
        <f>'Annual Raw'!D43</f>
        <v>0</v>
      </c>
      <c r="D125" s="23">
        <f>'Annual Raw'!E43</f>
        <v>0</v>
      </c>
      <c r="E125" s="23">
        <f>'Annual Raw'!F43</f>
        <v>18.964968500000001</v>
      </c>
      <c r="F125" s="23">
        <f>'Annual Raw'!G43</f>
        <v>23.1766538</v>
      </c>
      <c r="G125" s="23">
        <f>'Annual Raw'!H43</f>
        <v>246.1721</v>
      </c>
      <c r="H125" s="23">
        <f>'Annual Raw'!I43</f>
        <v>308.0342</v>
      </c>
      <c r="I125" s="23">
        <f>'Annual Raw'!J43</f>
        <v>328.01650000000001</v>
      </c>
      <c r="J125" s="23">
        <f>'Annual Raw'!K43</f>
        <v>304.71210000000002</v>
      </c>
      <c r="K125" s="23">
        <f>'Annual Raw'!L43</f>
        <v>309.96359999999999</v>
      </c>
      <c r="L125" s="23">
        <f>'Annual Raw'!M43</f>
        <v>430.45080000000002</v>
      </c>
      <c r="M125" s="23">
        <f>'Annual Raw'!N43</f>
        <v>737.86</v>
      </c>
      <c r="N125" s="23">
        <f>'Annual Raw'!O43</f>
        <v>909.85</v>
      </c>
      <c r="O125" s="23">
        <f>'Annual Raw'!P43</f>
        <v>1137.6199999999999</v>
      </c>
      <c r="P125" s="23">
        <f>'Annual Raw'!Q43</f>
        <v>1022.14</v>
      </c>
      <c r="Q125" s="23">
        <f>'Annual Raw'!R43</f>
        <v>1359.06</v>
      </c>
      <c r="R125" s="23">
        <f>'Annual Raw'!S43</f>
        <v>1378.53</v>
      </c>
      <c r="S125" s="23">
        <f>'Annual Raw'!T43</f>
        <v>1507.98</v>
      </c>
      <c r="T125" s="23">
        <f>'Annual Raw'!U43</f>
        <v>1714.56</v>
      </c>
      <c r="U125" s="23">
        <f>'Annual Raw'!V43</f>
        <v>1810.796</v>
      </c>
      <c r="V125" s="23">
        <f>'Annual Raw'!W43</f>
        <v>2100.3470000000002</v>
      </c>
      <c r="W125" s="23">
        <f>'Annual Raw'!X43</f>
        <v>2238.3539999999998</v>
      </c>
      <c r="X125" s="23">
        <f>'Annual Raw'!Y43</f>
        <v>2906.59</v>
      </c>
      <c r="Y125" s="23">
        <f>'Annual Raw'!Z43</f>
        <v>3134.42</v>
      </c>
      <c r="Z125" s="23">
        <f>'Annual Raw'!AA43</f>
        <v>3484</v>
      </c>
      <c r="AA125" s="23">
        <f>'Annual Raw'!AB43</f>
        <v>3829.06</v>
      </c>
      <c r="AB125" s="24">
        <f t="shared" si="1054"/>
        <v>4324.4640460682995</v>
      </c>
      <c r="AC125" s="24">
        <f t="shared" si="1055"/>
        <v>5321.7428818641602</v>
      </c>
      <c r="AD125" s="24">
        <f t="shared" si="1056"/>
        <v>6673.3169536149999</v>
      </c>
      <c r="AE125" s="24">
        <f t="shared" si="1057"/>
        <v>8418.2102843910907</v>
      </c>
      <c r="AJ125" s="23">
        <f>+'QTR Raw'!D58</f>
        <v>0</v>
      </c>
      <c r="AK125" s="23">
        <f>+AJ125+AK54</f>
        <v>0</v>
      </c>
      <c r="AL125" s="23">
        <f>+'QTR Raw'!F58</f>
        <v>0</v>
      </c>
      <c r="AM125" s="23">
        <f>+AL125+AM54</f>
        <v>0</v>
      </c>
      <c r="AN125" s="23">
        <f>+'QTR Raw'!H58</f>
        <v>0</v>
      </c>
      <c r="AO125" s="23">
        <f>+AN125+AO54</f>
        <v>0</v>
      </c>
      <c r="AP125" s="23">
        <f>+'QTR Raw'!J58</f>
        <v>0</v>
      </c>
      <c r="AQ125" s="23">
        <f>+AP125+AQ54</f>
        <v>0</v>
      </c>
      <c r="AR125" s="23">
        <f>+'QTR Raw'!L58</f>
        <v>0</v>
      </c>
      <c r="AS125" s="23">
        <f>+AR125+AS54</f>
        <v>0</v>
      </c>
      <c r="AT125" s="23">
        <f>+'QTR Raw'!N58</f>
        <v>0</v>
      </c>
      <c r="AU125" s="23">
        <f>+AT125+AU54</f>
        <v>0</v>
      </c>
      <c r="AV125" s="23">
        <f>+'QTR Raw'!P58</f>
        <v>0</v>
      </c>
      <c r="AW125" s="23">
        <f>+AV125+AW54</f>
        <v>0</v>
      </c>
      <c r="AX125" s="23">
        <f>+'QTR Raw'!R58</f>
        <v>0</v>
      </c>
      <c r="AY125" s="23">
        <f>+AX125+AY54</f>
        <v>0</v>
      </c>
      <c r="AZ125" s="23">
        <f>+'QTR Raw'!T58</f>
        <v>0</v>
      </c>
      <c r="BA125" s="23">
        <f>+AZ125+BA54</f>
        <v>0</v>
      </c>
      <c r="BB125" s="23">
        <f>+'QTR Raw'!V58</f>
        <v>0</v>
      </c>
      <c r="BC125" s="23">
        <f>+BB125+BC54</f>
        <v>0</v>
      </c>
      <c r="BD125" s="23">
        <f>+'QTR Raw'!X58</f>
        <v>0</v>
      </c>
      <c r="BE125" s="23">
        <f>+BD125+BE54</f>
        <v>0</v>
      </c>
      <c r="BF125" s="23">
        <f>+'QTR Raw'!Z58</f>
        <v>0</v>
      </c>
      <c r="BG125" s="23">
        <f>+BF125+BG54</f>
        <v>0</v>
      </c>
      <c r="BH125" s="23">
        <f>+'QTR Raw'!AB58</f>
        <v>0</v>
      </c>
      <c r="BI125" s="23">
        <f>+BH125+BI54</f>
        <v>0</v>
      </c>
      <c r="BJ125" s="23">
        <f>+'QTR Raw'!AD58</f>
        <v>0</v>
      </c>
      <c r="BK125" s="23">
        <f>+BJ125+BK54</f>
        <v>0</v>
      </c>
      <c r="BL125" s="23">
        <f>+'QTR Raw'!AF58</f>
        <v>0</v>
      </c>
      <c r="BM125" s="23">
        <f>+BL125+BM54</f>
        <v>0</v>
      </c>
      <c r="BN125" s="23">
        <f>+'QTR Raw'!AH58</f>
        <v>0</v>
      </c>
      <c r="BO125" s="23">
        <f>+BN125+BO54</f>
        <v>0</v>
      </c>
      <c r="BP125" s="23">
        <f>+'QTR Raw'!AJ58</f>
        <v>0</v>
      </c>
      <c r="BQ125" s="23">
        <f>+BP125+BQ54</f>
        <v>0</v>
      </c>
      <c r="BR125" s="23">
        <f>+'QTR Raw'!AL58</f>
        <v>0</v>
      </c>
      <c r="BS125" s="23">
        <f>+BR125+BS54</f>
        <v>0</v>
      </c>
      <c r="BT125" s="23">
        <f>+'QTR Raw'!AN58</f>
        <v>0</v>
      </c>
      <c r="BU125" s="23">
        <f>+BT125+BU54</f>
        <v>0</v>
      </c>
      <c r="BV125" s="23">
        <f>+'QTR Raw'!AP58</f>
        <v>0</v>
      </c>
      <c r="BW125" s="23">
        <f>+BV125+BW54</f>
        <v>0</v>
      </c>
      <c r="BX125" s="23">
        <f>+'QTR Raw'!AR58</f>
        <v>0</v>
      </c>
      <c r="BY125" s="23">
        <f>+BX125+BY54</f>
        <v>148.38000000000011</v>
      </c>
      <c r="BZ125" s="23">
        <f>+'QTR Raw'!AT58</f>
        <v>2908.32</v>
      </c>
      <c r="CA125" s="23">
        <f>+BZ125+CA54</f>
        <v>3099.85</v>
      </c>
      <c r="CB125" s="23">
        <f>+'QTR Raw'!AV58</f>
        <v>0</v>
      </c>
      <c r="CC125" s="23">
        <f>+CB125+CC54</f>
        <v>170.2199999999998</v>
      </c>
      <c r="CD125" s="23">
        <f>+'QTR Raw'!AX58</f>
        <v>3139.69</v>
      </c>
      <c r="CE125" s="23">
        <f>+CD125+CE54</f>
        <v>3301.72</v>
      </c>
      <c r="CF125" s="23">
        <f>+'QTR Raw'!AZ58</f>
        <v>3133.96</v>
      </c>
      <c r="CG125" s="23">
        <f>+CF125+CG54</f>
        <v>3302.6000000000004</v>
      </c>
      <c r="CH125" s="23">
        <f t="shared" si="1059"/>
        <v>3484</v>
      </c>
      <c r="CI125" s="23">
        <f>CH125+CI54</f>
        <v>3654.2799999999997</v>
      </c>
      <c r="CJ125" s="23">
        <f>+'QTR Raw'!BD58</f>
        <v>3485.21</v>
      </c>
      <c r="CK125" s="24">
        <f t="shared" ref="CK125:DB125" si="1061">CJ125+CK54</f>
        <v>3491.8500000000004</v>
      </c>
      <c r="CL125" s="23">
        <f>+'QTR Raw'!BF58</f>
        <v>3842.17</v>
      </c>
      <c r="CM125" s="24">
        <f t="shared" si="1061"/>
        <v>3872.8051698080221</v>
      </c>
      <c r="CN125" s="24">
        <f t="shared" si="1061"/>
        <v>3974.0356277804258</v>
      </c>
      <c r="CO125" s="24">
        <f t="shared" si="1061"/>
        <v>4121.5579899893655</v>
      </c>
      <c r="CP125" s="24">
        <f t="shared" si="1061"/>
        <v>4324.4640460682995</v>
      </c>
      <c r="CQ125" s="24">
        <f t="shared" si="1061"/>
        <v>4517.2984979537041</v>
      </c>
      <c r="CR125" s="24">
        <f t="shared" si="1061"/>
        <v>4747.6710097835621</v>
      </c>
      <c r="CS125" s="24">
        <f t="shared" si="1061"/>
        <v>5004.9837564354666</v>
      </c>
      <c r="CT125" s="24">
        <f t="shared" si="1061"/>
        <v>5321.7428818641602</v>
      </c>
      <c r="CU125" s="24">
        <f t="shared" si="1061"/>
        <v>5590.3234021804692</v>
      </c>
      <c r="CV125" s="24">
        <f t="shared" si="1061"/>
        <v>5906.6807048123637</v>
      </c>
      <c r="CW125" s="24">
        <f t="shared" si="1061"/>
        <v>6255.1342318172838</v>
      </c>
      <c r="CX125" s="24">
        <f t="shared" si="1061"/>
        <v>6673.3169536149999</v>
      </c>
      <c r="CY125" s="24">
        <f t="shared" si="1061"/>
        <v>7037.2576069195447</v>
      </c>
      <c r="CZ125" s="24">
        <f t="shared" si="1061"/>
        <v>7448.8679559195443</v>
      </c>
      <c r="DA125" s="24">
        <f t="shared" si="1061"/>
        <v>7892.7855592511451</v>
      </c>
      <c r="DB125" s="24">
        <f t="shared" si="1061"/>
        <v>8418.2102843910907</v>
      </c>
      <c r="DE125" s="123"/>
      <c r="DF125" s="23">
        <v>3657.8114654806295</v>
      </c>
    </row>
    <row r="126" spans="1:110" s="22" customFormat="1" x14ac:dyDescent="0.2">
      <c r="A126" s="22" t="s">
        <v>44</v>
      </c>
      <c r="B126" s="22">
        <f>B123+B124+B125</f>
        <v>0</v>
      </c>
      <c r="C126" s="22">
        <f t="shared" ref="C126:V126" si="1062">C123+C124+C125</f>
        <v>0</v>
      </c>
      <c r="D126" s="22">
        <f t="shared" si="1062"/>
        <v>0</v>
      </c>
      <c r="E126" s="22">
        <f t="shared" si="1062"/>
        <v>29.562896500000001</v>
      </c>
      <c r="F126" s="22">
        <f t="shared" si="1062"/>
        <v>33.860956299999998</v>
      </c>
      <c r="G126" s="22">
        <f t="shared" si="1062"/>
        <v>281.0813</v>
      </c>
      <c r="H126" s="22">
        <f t="shared" si="1062"/>
        <v>343.78469999999999</v>
      </c>
      <c r="I126" s="22">
        <f t="shared" si="1062"/>
        <v>365.11470000000003</v>
      </c>
      <c r="J126" s="22">
        <f t="shared" si="1062"/>
        <v>341.89060000000001</v>
      </c>
      <c r="K126" s="22">
        <f t="shared" si="1062"/>
        <v>347.20819999999998</v>
      </c>
      <c r="L126" s="22">
        <f t="shared" si="1062"/>
        <v>467.76609999999999</v>
      </c>
      <c r="M126" s="22">
        <f>M123+M124+M125</f>
        <v>780.83</v>
      </c>
      <c r="N126" s="22">
        <f t="shared" si="1062"/>
        <v>952.87</v>
      </c>
      <c r="O126" s="22">
        <f t="shared" si="1062"/>
        <v>1180.6399999999999</v>
      </c>
      <c r="P126" s="22">
        <f t="shared" si="1062"/>
        <v>1065.1600000000001</v>
      </c>
      <c r="Q126" s="22">
        <f t="shared" si="1062"/>
        <v>1402.27</v>
      </c>
      <c r="R126" s="22">
        <f t="shared" si="1062"/>
        <v>1421.03</v>
      </c>
      <c r="S126" s="22">
        <f t="shared" si="1062"/>
        <v>1550.48</v>
      </c>
      <c r="T126" s="22">
        <f t="shared" si="1062"/>
        <v>1757</v>
      </c>
      <c r="U126" s="22">
        <f t="shared" si="1062"/>
        <v>1852.5990000000002</v>
      </c>
      <c r="V126" s="22">
        <f t="shared" si="1062"/>
        <v>2142.154</v>
      </c>
      <c r="W126" s="22">
        <f t="shared" ref="W126" si="1063">W123+W124+W125</f>
        <v>2280.1609999999996</v>
      </c>
      <c r="X126" s="22">
        <f t="shared" ref="X126:Y126" si="1064">X123+X124+X125</f>
        <v>2989.4500000000003</v>
      </c>
      <c r="Y126" s="22">
        <f t="shared" si="1064"/>
        <v>3220.82</v>
      </c>
      <c r="Z126" s="22">
        <f t="shared" ref="Z126:AA126" si="1065">Z123+Z124+Z125</f>
        <v>3579.42</v>
      </c>
      <c r="AA126" s="22">
        <f t="shared" si="1065"/>
        <v>3923.37</v>
      </c>
      <c r="AB126" s="21">
        <f t="shared" ref="AA126:AD126" si="1066">AB123+AB124+AB125</f>
        <v>4405.6640460682993</v>
      </c>
      <c r="AC126" s="21">
        <f t="shared" si="1066"/>
        <v>5402.94288186416</v>
      </c>
      <c r="AD126" s="21">
        <f t="shared" si="1066"/>
        <v>6754.5169536149997</v>
      </c>
      <c r="AE126" s="21">
        <f t="shared" ref="AE126" si="1067">AE123+AE124+AE125</f>
        <v>8499.4102843910914</v>
      </c>
      <c r="AJ126" s="22">
        <f t="shared" ref="AJ126" si="1068">AJ123+AJ124+AJ125</f>
        <v>0</v>
      </c>
      <c r="AK126" s="22">
        <f t="shared" ref="AK126" si="1069">AK123+AK124+AK125</f>
        <v>0</v>
      </c>
      <c r="AL126" s="22">
        <f t="shared" ref="AL126:AM126" si="1070">AL123+AL124+AL125</f>
        <v>0</v>
      </c>
      <c r="AM126" s="22">
        <f t="shared" si="1070"/>
        <v>0</v>
      </c>
      <c r="AN126" s="22">
        <f t="shared" ref="AN126:AO126" si="1071">AN123+AN124+AN125</f>
        <v>0</v>
      </c>
      <c r="AO126" s="22">
        <f t="shared" si="1071"/>
        <v>0</v>
      </c>
      <c r="AP126" s="22">
        <f t="shared" ref="AP126:CE126" si="1072">AP123+AP124+AP125</f>
        <v>0</v>
      </c>
      <c r="AQ126" s="22">
        <f t="shared" si="1072"/>
        <v>0</v>
      </c>
      <c r="AR126" s="22">
        <f t="shared" si="1072"/>
        <v>0</v>
      </c>
      <c r="AS126" s="22">
        <f t="shared" si="1072"/>
        <v>0</v>
      </c>
      <c r="AT126" s="22">
        <f t="shared" si="1072"/>
        <v>0</v>
      </c>
      <c r="AU126" s="22">
        <f t="shared" si="1072"/>
        <v>0</v>
      </c>
      <c r="AV126" s="22">
        <f t="shared" si="1072"/>
        <v>0</v>
      </c>
      <c r="AW126" s="22">
        <f t="shared" si="1072"/>
        <v>0</v>
      </c>
      <c r="AX126" s="22">
        <f t="shared" si="1072"/>
        <v>0</v>
      </c>
      <c r="AY126" s="22">
        <f t="shared" si="1072"/>
        <v>0</v>
      </c>
      <c r="AZ126" s="22">
        <f t="shared" si="1072"/>
        <v>0</v>
      </c>
      <c r="BA126" s="22">
        <f t="shared" si="1072"/>
        <v>0</v>
      </c>
      <c r="BB126" s="22">
        <f t="shared" si="1072"/>
        <v>0</v>
      </c>
      <c r="BC126" s="22">
        <f t="shared" si="1072"/>
        <v>0</v>
      </c>
      <c r="BD126" s="22">
        <f t="shared" si="1072"/>
        <v>0</v>
      </c>
      <c r="BE126" s="22">
        <f t="shared" si="1072"/>
        <v>0</v>
      </c>
      <c r="BF126" s="22">
        <f t="shared" si="1072"/>
        <v>0</v>
      </c>
      <c r="BG126" s="22">
        <f t="shared" si="1072"/>
        <v>0</v>
      </c>
      <c r="BH126" s="22">
        <f t="shared" si="1072"/>
        <v>0</v>
      </c>
      <c r="BI126" s="22">
        <f t="shared" si="1072"/>
        <v>0</v>
      </c>
      <c r="BJ126" s="22">
        <f t="shared" si="1072"/>
        <v>0</v>
      </c>
      <c r="BK126" s="22">
        <f t="shared" si="1072"/>
        <v>0</v>
      </c>
      <c r="BL126" s="22">
        <f t="shared" si="1072"/>
        <v>0</v>
      </c>
      <c r="BM126" s="22">
        <f t="shared" si="1072"/>
        <v>0</v>
      </c>
      <c r="BN126" s="22">
        <f t="shared" si="1072"/>
        <v>0</v>
      </c>
      <c r="BO126" s="22">
        <f t="shared" si="1072"/>
        <v>0</v>
      </c>
      <c r="BP126" s="22">
        <f t="shared" si="1072"/>
        <v>0</v>
      </c>
      <c r="BQ126" s="22">
        <f t="shared" si="1072"/>
        <v>0</v>
      </c>
      <c r="BR126" s="22">
        <f t="shared" si="1072"/>
        <v>0</v>
      </c>
      <c r="BS126" s="22">
        <f t="shared" si="1072"/>
        <v>0</v>
      </c>
      <c r="BT126" s="22">
        <f t="shared" si="1072"/>
        <v>0</v>
      </c>
      <c r="BU126" s="22">
        <f t="shared" si="1072"/>
        <v>0</v>
      </c>
      <c r="BV126" s="22">
        <f t="shared" si="1072"/>
        <v>0</v>
      </c>
      <c r="BW126" s="22">
        <f t="shared" si="1072"/>
        <v>0</v>
      </c>
      <c r="BX126" s="22">
        <f t="shared" si="1072"/>
        <v>0</v>
      </c>
      <c r="BY126" s="22">
        <f t="shared" si="1072"/>
        <v>148.38000000000011</v>
      </c>
      <c r="BZ126" s="22">
        <f t="shared" si="1072"/>
        <v>2989.4500000000003</v>
      </c>
      <c r="CA126" s="22">
        <f t="shared" si="1072"/>
        <v>3180.98</v>
      </c>
      <c r="CB126" s="22">
        <f t="shared" si="1072"/>
        <v>0</v>
      </c>
      <c r="CC126" s="22">
        <f t="shared" si="1072"/>
        <v>170.2199999999998</v>
      </c>
      <c r="CD126" s="22">
        <f t="shared" si="1072"/>
        <v>3220.82</v>
      </c>
      <c r="CE126" s="22">
        <f t="shared" si="1072"/>
        <v>3382.85</v>
      </c>
      <c r="CF126" s="22">
        <f t="shared" ref="CF126:CG126" si="1073">CF123+CF124+CF125</f>
        <v>3215.09</v>
      </c>
      <c r="CG126" s="22">
        <f t="shared" si="1073"/>
        <v>3383.7300000000005</v>
      </c>
      <c r="CH126" s="22">
        <f t="shared" ref="CH126:CI126" si="1074">CH123+CH124+CH125</f>
        <v>3579.42</v>
      </c>
      <c r="CI126" s="22">
        <f t="shared" si="1074"/>
        <v>3749.7</v>
      </c>
      <c r="CJ126" s="22">
        <f t="shared" ref="CJ126:DB126" si="1075">CJ123+CJ124+CJ125</f>
        <v>3566.35</v>
      </c>
      <c r="CK126" s="21">
        <f t="shared" si="1075"/>
        <v>3572.9900000000002</v>
      </c>
      <c r="CL126" s="22">
        <f t="shared" ref="CL126" si="1076">CL123+CL124+CL125</f>
        <v>3923.37</v>
      </c>
      <c r="CM126" s="21">
        <f t="shared" si="1075"/>
        <v>3954.0051698080219</v>
      </c>
      <c r="CN126" s="21">
        <f t="shared" si="1075"/>
        <v>4055.2356277804256</v>
      </c>
      <c r="CO126" s="21">
        <f t="shared" si="1075"/>
        <v>4202.7579899893653</v>
      </c>
      <c r="CP126" s="21">
        <f t="shared" si="1075"/>
        <v>4405.6640460682993</v>
      </c>
      <c r="CQ126" s="21">
        <f t="shared" si="1075"/>
        <v>4598.4984979537039</v>
      </c>
      <c r="CR126" s="21">
        <f t="shared" si="1075"/>
        <v>4828.8710097835619</v>
      </c>
      <c r="CS126" s="21">
        <f t="shared" si="1075"/>
        <v>5086.1837564354664</v>
      </c>
      <c r="CT126" s="21">
        <f t="shared" si="1075"/>
        <v>5402.94288186416</v>
      </c>
      <c r="CU126" s="21">
        <f t="shared" si="1075"/>
        <v>5671.523402180469</v>
      </c>
      <c r="CV126" s="21">
        <f t="shared" si="1075"/>
        <v>5987.8807048123635</v>
      </c>
      <c r="CW126" s="21">
        <f t="shared" si="1075"/>
        <v>6336.3342318172836</v>
      </c>
      <c r="CX126" s="21">
        <f t="shared" si="1075"/>
        <v>6754.5169536149997</v>
      </c>
      <c r="CY126" s="21">
        <f t="shared" si="1075"/>
        <v>7118.4576069195446</v>
      </c>
      <c r="CZ126" s="21">
        <f t="shared" si="1075"/>
        <v>7530.0679559195441</v>
      </c>
      <c r="DA126" s="21">
        <f t="shared" si="1075"/>
        <v>7973.9855592511449</v>
      </c>
      <c r="DB126" s="21">
        <f t="shared" si="1075"/>
        <v>8499.4102843910914</v>
      </c>
      <c r="DE126" s="126"/>
      <c r="DF126" s="22">
        <v>3738.9514654806294</v>
      </c>
    </row>
    <row r="127" spans="1:110" s="22" customFormat="1" x14ac:dyDescent="0.2">
      <c r="AB127" s="21"/>
      <c r="AC127" s="21"/>
      <c r="AD127" s="21"/>
      <c r="AE127" s="21"/>
      <c r="CK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s="23" customFormat="1" x14ac:dyDescent="0.2">
      <c r="A128" s="23" t="s">
        <v>23</v>
      </c>
      <c r="B128" s="23">
        <f>'Annual Raw'!C45</f>
        <v>0</v>
      </c>
      <c r="C128" s="23">
        <f>'Annual Raw'!D45</f>
        <v>0</v>
      </c>
      <c r="D128" s="23">
        <f>'Annual Raw'!E45</f>
        <v>0</v>
      </c>
      <c r="E128" s="23">
        <f>'Annual Raw'!F45</f>
        <v>0</v>
      </c>
      <c r="F128" s="23">
        <f>'Annual Raw'!G45</f>
        <v>0</v>
      </c>
      <c r="G128" s="23">
        <f>'Annual Raw'!H45</f>
        <v>6.9180999999999999</v>
      </c>
      <c r="H128" s="23">
        <f>'Annual Raw'!I45</f>
        <v>0</v>
      </c>
      <c r="I128" s="23">
        <f>'Annual Raw'!J45</f>
        <v>0</v>
      </c>
      <c r="J128" s="23">
        <f>'Annual Raw'!K45</f>
        <v>0</v>
      </c>
      <c r="K128" s="23">
        <f>'Annual Raw'!L45</f>
        <v>0</v>
      </c>
      <c r="L128" s="23">
        <f>'Annual Raw'!M45</f>
        <v>0</v>
      </c>
      <c r="M128" s="23">
        <f>'Annual Raw'!N45</f>
        <v>0</v>
      </c>
      <c r="N128" s="23">
        <f>'Annual Raw'!O45</f>
        <v>0</v>
      </c>
      <c r="O128" s="23">
        <f>'Annual Raw'!P45</f>
        <v>0</v>
      </c>
      <c r="P128" s="23">
        <f>'Annual Raw'!Q45</f>
        <v>0</v>
      </c>
      <c r="Q128" s="23">
        <f>'Annual Raw'!R45</f>
        <v>0</v>
      </c>
      <c r="R128" s="23">
        <f>'Annual Raw'!S45</f>
        <v>0</v>
      </c>
      <c r="S128" s="23">
        <f>'Annual Raw'!T45</f>
        <v>0</v>
      </c>
      <c r="T128" s="23">
        <f>'Annual Raw'!U45</f>
        <v>0</v>
      </c>
      <c r="U128" s="23">
        <f>'Annual Raw'!V45</f>
        <v>0</v>
      </c>
      <c r="V128" s="23">
        <f>'Annual Raw'!W45</f>
        <v>0</v>
      </c>
      <c r="W128" s="23">
        <f>'Annual Raw'!X45</f>
        <v>0</v>
      </c>
      <c r="X128" s="23">
        <f>'Annual Raw'!Y45</f>
        <v>0</v>
      </c>
      <c r="Y128" s="23">
        <f>'Annual Raw'!Z45</f>
        <v>0</v>
      </c>
      <c r="Z128" s="23">
        <f>'Annual Raw'!AA45</f>
        <v>0</v>
      </c>
      <c r="AA128" s="23">
        <f>'Annual Raw'!AB45</f>
        <v>0</v>
      </c>
      <c r="AB128" s="24">
        <f>+CP128</f>
        <v>0</v>
      </c>
      <c r="AC128" s="24">
        <f>+CT128</f>
        <v>0</v>
      </c>
      <c r="AD128" s="24">
        <f>+CX128</f>
        <v>0</v>
      </c>
      <c r="AE128" s="24">
        <f>+DB128</f>
        <v>0</v>
      </c>
      <c r="AJ128" s="23">
        <f>+'QTR Raw'!D60</f>
        <v>0</v>
      </c>
      <c r="AK128" s="23">
        <f t="shared" ref="AK128:CE128" si="1077">+AJ128</f>
        <v>0</v>
      </c>
      <c r="AL128" s="23">
        <f>+'QTR Raw'!F60</f>
        <v>0</v>
      </c>
      <c r="AM128" s="23">
        <f t="shared" si="1077"/>
        <v>0</v>
      </c>
      <c r="AN128" s="23">
        <f>+'QTR Raw'!H60</f>
        <v>0</v>
      </c>
      <c r="AO128" s="23">
        <f t="shared" si="1077"/>
        <v>0</v>
      </c>
      <c r="AP128" s="23">
        <f>+'QTR Raw'!J60</f>
        <v>0</v>
      </c>
      <c r="AQ128" s="23">
        <f t="shared" si="1077"/>
        <v>0</v>
      </c>
      <c r="AR128" s="23">
        <f>+'QTR Raw'!L60</f>
        <v>0</v>
      </c>
      <c r="AS128" s="23">
        <f t="shared" si="1077"/>
        <v>0</v>
      </c>
      <c r="AT128" s="23">
        <f>+'QTR Raw'!N60</f>
        <v>0</v>
      </c>
      <c r="AU128" s="23">
        <f t="shared" si="1077"/>
        <v>0</v>
      </c>
      <c r="AV128" s="23">
        <f>+'QTR Raw'!P60</f>
        <v>0</v>
      </c>
      <c r="AW128" s="23">
        <f t="shared" si="1077"/>
        <v>0</v>
      </c>
      <c r="AX128" s="23">
        <f>+'QTR Raw'!R60</f>
        <v>0</v>
      </c>
      <c r="AY128" s="23">
        <f t="shared" si="1077"/>
        <v>0</v>
      </c>
      <c r="AZ128" s="23">
        <f>+'QTR Raw'!T60</f>
        <v>0</v>
      </c>
      <c r="BA128" s="23">
        <f t="shared" si="1077"/>
        <v>0</v>
      </c>
      <c r="BB128" s="23">
        <f>+'QTR Raw'!V60</f>
        <v>0</v>
      </c>
      <c r="BC128" s="23">
        <f t="shared" si="1077"/>
        <v>0</v>
      </c>
      <c r="BD128" s="23">
        <f>+'QTR Raw'!X60</f>
        <v>0</v>
      </c>
      <c r="BE128" s="23">
        <f t="shared" si="1077"/>
        <v>0</v>
      </c>
      <c r="BF128" s="23">
        <f>+'QTR Raw'!Z60</f>
        <v>0</v>
      </c>
      <c r="BG128" s="23">
        <f t="shared" si="1077"/>
        <v>0</v>
      </c>
      <c r="BH128" s="22">
        <f>+'QTR Raw'!AB60</f>
        <v>0</v>
      </c>
      <c r="BI128" s="23">
        <f t="shared" si="1077"/>
        <v>0</v>
      </c>
      <c r="BJ128" s="23">
        <f>+'QTR Raw'!AD60</f>
        <v>0</v>
      </c>
      <c r="BK128" s="23">
        <f t="shared" si="1077"/>
        <v>0</v>
      </c>
      <c r="BL128" s="23">
        <f>+'QTR Raw'!AF60</f>
        <v>0</v>
      </c>
      <c r="BM128" s="23">
        <f t="shared" si="1077"/>
        <v>0</v>
      </c>
      <c r="BN128" s="23">
        <f>+'QTR Raw'!AH60</f>
        <v>0</v>
      </c>
      <c r="BO128" s="23">
        <f t="shared" si="1077"/>
        <v>0</v>
      </c>
      <c r="BP128" s="23">
        <f>+'QTR Raw'!AJ60</f>
        <v>0</v>
      </c>
      <c r="BQ128" s="23">
        <f t="shared" si="1077"/>
        <v>0</v>
      </c>
      <c r="BR128" s="23">
        <f>+'QTR Raw'!AL60</f>
        <v>0</v>
      </c>
      <c r="BS128" s="23">
        <f t="shared" si="1077"/>
        <v>0</v>
      </c>
      <c r="BT128" s="23">
        <f>+'QTR Raw'!AN60</f>
        <v>0</v>
      </c>
      <c r="BU128" s="23">
        <f t="shared" si="1077"/>
        <v>0</v>
      </c>
      <c r="BV128" s="23">
        <f>+'QTR Raw'!AP60</f>
        <v>0</v>
      </c>
      <c r="BW128" s="23">
        <f t="shared" si="1077"/>
        <v>0</v>
      </c>
      <c r="BX128" s="23">
        <f>+'QTR Raw'!AR60</f>
        <v>0</v>
      </c>
      <c r="BY128" s="23">
        <f t="shared" si="1077"/>
        <v>0</v>
      </c>
      <c r="BZ128" s="23">
        <f>+'QTR Raw'!AT60</f>
        <v>0</v>
      </c>
      <c r="CA128" s="23">
        <f t="shared" si="1077"/>
        <v>0</v>
      </c>
      <c r="CB128" s="23">
        <f>+'QTR Raw'!AV60</f>
        <v>0</v>
      </c>
      <c r="CC128" s="23">
        <f t="shared" si="1077"/>
        <v>0</v>
      </c>
      <c r="CD128" s="23">
        <f>+'QTR Raw'!AX60</f>
        <v>0</v>
      </c>
      <c r="CE128" s="23">
        <f t="shared" si="1077"/>
        <v>0</v>
      </c>
      <c r="CF128" s="23">
        <f>+'QTR Raw'!AZ60</f>
        <v>0</v>
      </c>
      <c r="CG128" s="23">
        <f t="shared" ref="CG128:CI128" si="1078">+CF128</f>
        <v>0</v>
      </c>
      <c r="CH128" s="23">
        <f t="shared" ref="CH128:CH133" si="1079">Z128</f>
        <v>0</v>
      </c>
      <c r="CI128" s="23">
        <f t="shared" si="1078"/>
        <v>0</v>
      </c>
      <c r="CJ128" s="23">
        <f>+'QTR Raw'!BD60</f>
        <v>0</v>
      </c>
      <c r="CK128" s="24">
        <f t="shared" ref="CK128" si="1080">+CJ128</f>
        <v>0</v>
      </c>
      <c r="CL128" s="23">
        <f>+'QTR Raw'!BF60</f>
        <v>0</v>
      </c>
      <c r="CM128" s="24">
        <f t="shared" ref="CM128" si="1081">+CL128</f>
        <v>0</v>
      </c>
      <c r="CN128" s="24">
        <f t="shared" ref="CN128" si="1082">+CM128</f>
        <v>0</v>
      </c>
      <c r="CO128" s="24">
        <f t="shared" ref="CO128" si="1083">+CN128</f>
        <v>0</v>
      </c>
      <c r="CP128" s="24">
        <f t="shared" ref="CP128" si="1084">+CO128</f>
        <v>0</v>
      </c>
      <c r="CQ128" s="24">
        <f t="shared" ref="CQ128" si="1085">+CP128</f>
        <v>0</v>
      </c>
      <c r="CR128" s="24">
        <f t="shared" ref="CR128" si="1086">+CQ128</f>
        <v>0</v>
      </c>
      <c r="CS128" s="24">
        <f t="shared" ref="CS128" si="1087">+CR128</f>
        <v>0</v>
      </c>
      <c r="CT128" s="24">
        <f t="shared" ref="CT128" si="1088">+CS128</f>
        <v>0</v>
      </c>
      <c r="CU128" s="24">
        <f t="shared" ref="CU128" si="1089">+CT128</f>
        <v>0</v>
      </c>
      <c r="CV128" s="24">
        <f t="shared" ref="CV128" si="1090">+CU128</f>
        <v>0</v>
      </c>
      <c r="CW128" s="24">
        <f t="shared" ref="CW128" si="1091">+CV128</f>
        <v>0</v>
      </c>
      <c r="CX128" s="24">
        <f t="shared" ref="CX128" si="1092">+CW128</f>
        <v>0</v>
      </c>
      <c r="CY128" s="24">
        <f t="shared" ref="CY128" si="1093">+CX128</f>
        <v>0</v>
      </c>
      <c r="CZ128" s="24">
        <f t="shared" ref="CZ128" si="1094">+CY128</f>
        <v>0</v>
      </c>
      <c r="DA128" s="24">
        <f t="shared" ref="DA128" si="1095">+CZ128</f>
        <v>0</v>
      </c>
      <c r="DB128" s="24">
        <f t="shared" ref="DB128" si="1096">+DA128</f>
        <v>0</v>
      </c>
      <c r="DE128" s="123"/>
      <c r="DF128" s="23">
        <v>0</v>
      </c>
    </row>
    <row r="129" spans="1:110" s="23" customFormat="1" x14ac:dyDescent="0.2">
      <c r="AB129" s="24"/>
      <c r="AC129" s="24"/>
      <c r="AD129" s="24"/>
      <c r="AE129" s="24"/>
      <c r="BH129" s="22"/>
      <c r="CK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E129" s="123"/>
    </row>
    <row r="130" spans="1:110" s="23" customFormat="1" outlineLevel="1" x14ac:dyDescent="0.2">
      <c r="A130" s="23" t="s">
        <v>45</v>
      </c>
      <c r="B130" s="23">
        <f>'Annual Raw'!C47</f>
        <v>0</v>
      </c>
      <c r="C130" s="23">
        <f>'Annual Raw'!D47</f>
        <v>0</v>
      </c>
      <c r="D130" s="23">
        <f>'Annual Raw'!E47</f>
        <v>0</v>
      </c>
      <c r="E130" s="23">
        <f>'Annual Raw'!F47</f>
        <v>4.4505930999999999</v>
      </c>
      <c r="F130" s="23">
        <f>'Annual Raw'!G47</f>
        <v>4.4073520000000004</v>
      </c>
      <c r="G130" s="23">
        <f>'Annual Raw'!H47</f>
        <v>0.34229999999999999</v>
      </c>
      <c r="H130" s="23">
        <f>'Annual Raw'!I47</f>
        <v>0.48920000000000002</v>
      </c>
      <c r="I130" s="23">
        <f>'Annual Raw'!J47</f>
        <v>18.488499999999998</v>
      </c>
      <c r="J130" s="23">
        <f>'Annual Raw'!K47</f>
        <v>68.593800000000002</v>
      </c>
      <c r="K130" s="23">
        <f>'Annual Raw'!L47</f>
        <v>25.1767</v>
      </c>
      <c r="L130" s="23">
        <f>'Annual Raw'!M47</f>
        <v>25.744800000000001</v>
      </c>
      <c r="M130" s="23">
        <f>'Annual Raw'!N47</f>
        <v>0.62</v>
      </c>
      <c r="N130" s="23">
        <f>'Annual Raw'!O47</f>
        <v>144.91999999999999</v>
      </c>
      <c r="O130" s="23">
        <f>'Annual Raw'!P47</f>
        <v>79.900000000000006</v>
      </c>
      <c r="P130" s="23">
        <f>'Annual Raw'!Q47</f>
        <v>0</v>
      </c>
      <c r="Q130" s="23">
        <f>'Annual Raw'!R47</f>
        <v>0</v>
      </c>
      <c r="R130" s="23">
        <f>'Annual Raw'!S47</f>
        <v>0</v>
      </c>
      <c r="S130" s="23">
        <f>'Annual Raw'!T47</f>
        <v>0</v>
      </c>
      <c r="T130" s="23">
        <f>'Annual Raw'!U47</f>
        <v>0</v>
      </c>
      <c r="U130" s="23">
        <f>'Annual Raw'!V47</f>
        <v>0</v>
      </c>
      <c r="V130" s="23">
        <f>'Annual Raw'!W47</f>
        <v>0</v>
      </c>
      <c r="W130" s="23">
        <f>'Annual Raw'!X47</f>
        <v>0</v>
      </c>
      <c r="X130" s="23">
        <f>'Annual Raw'!Y47</f>
        <v>0</v>
      </c>
      <c r="Y130" s="23">
        <f>'Annual Raw'!Z47</f>
        <v>0</v>
      </c>
      <c r="Z130" s="23">
        <f>'Annual Raw'!AA47</f>
        <v>0</v>
      </c>
      <c r="AA130" s="23">
        <f>'Annual Raw'!AB47</f>
        <v>0</v>
      </c>
      <c r="AB130" s="24">
        <f t="shared" ref="AB130:AB133" si="1097">+CP130</f>
        <v>0</v>
      </c>
      <c r="AC130" s="24">
        <f t="shared" ref="AC130:AC133" si="1098">+CT130</f>
        <v>0</v>
      </c>
      <c r="AD130" s="24">
        <f t="shared" ref="AD130:AD133" si="1099">+CX130</f>
        <v>0</v>
      </c>
      <c r="AE130" s="24">
        <f t="shared" ref="AE130:AE133" si="1100">+DB130</f>
        <v>0</v>
      </c>
      <c r="AJ130" s="23">
        <f>+'QTR Raw'!D62</f>
        <v>0</v>
      </c>
      <c r="AK130" s="23">
        <f t="shared" ref="AK130:CC133" si="1101">+AJ130</f>
        <v>0</v>
      </c>
      <c r="AL130" s="23">
        <f>+'QTR Raw'!F62</f>
        <v>0</v>
      </c>
      <c r="AM130" s="23">
        <f t="shared" si="1101"/>
        <v>0</v>
      </c>
      <c r="AN130" s="23">
        <f>+'QTR Raw'!H62</f>
        <v>0</v>
      </c>
      <c r="AO130" s="23">
        <f t="shared" si="1101"/>
        <v>0</v>
      </c>
      <c r="AP130" s="23">
        <f>+'QTR Raw'!J62</f>
        <v>0</v>
      </c>
      <c r="AQ130" s="23">
        <f t="shared" si="1101"/>
        <v>0</v>
      </c>
      <c r="AR130" s="23">
        <f>+'QTR Raw'!L62</f>
        <v>0</v>
      </c>
      <c r="AS130" s="23">
        <f t="shared" si="1101"/>
        <v>0</v>
      </c>
      <c r="AT130" s="23">
        <f>+'QTR Raw'!N62</f>
        <v>0</v>
      </c>
      <c r="AU130" s="23">
        <f t="shared" si="1101"/>
        <v>0</v>
      </c>
      <c r="AV130" s="23">
        <f>+'QTR Raw'!P62</f>
        <v>0</v>
      </c>
      <c r="AW130" s="23">
        <f t="shared" si="1101"/>
        <v>0</v>
      </c>
      <c r="AX130" s="23">
        <f>+'QTR Raw'!R62</f>
        <v>0</v>
      </c>
      <c r="AY130" s="23">
        <f t="shared" si="1101"/>
        <v>0</v>
      </c>
      <c r="AZ130" s="23">
        <f>+'QTR Raw'!T62</f>
        <v>0</v>
      </c>
      <c r="BA130" s="23">
        <f t="shared" si="1101"/>
        <v>0</v>
      </c>
      <c r="BB130" s="23">
        <f>+'QTR Raw'!V62</f>
        <v>0</v>
      </c>
      <c r="BC130" s="23">
        <f t="shared" si="1101"/>
        <v>0</v>
      </c>
      <c r="BD130" s="23">
        <f>+'QTR Raw'!X62</f>
        <v>0</v>
      </c>
      <c r="BE130" s="23">
        <f t="shared" si="1101"/>
        <v>0</v>
      </c>
      <c r="BF130" s="23">
        <f>+'QTR Raw'!Z62</f>
        <v>0</v>
      </c>
      <c r="BG130" s="23">
        <f t="shared" si="1101"/>
        <v>0</v>
      </c>
      <c r="BH130" s="22">
        <f>+'QTR Raw'!AB62</f>
        <v>0</v>
      </c>
      <c r="BI130" s="23">
        <f t="shared" si="1101"/>
        <v>0</v>
      </c>
      <c r="BJ130" s="23">
        <f>+'QTR Raw'!AD62</f>
        <v>0</v>
      </c>
      <c r="BK130" s="23">
        <f t="shared" si="1101"/>
        <v>0</v>
      </c>
      <c r="BL130" s="23">
        <f>+'QTR Raw'!AF62</f>
        <v>0</v>
      </c>
      <c r="BM130" s="23">
        <f t="shared" si="1101"/>
        <v>0</v>
      </c>
      <c r="BN130" s="23">
        <f>+'QTR Raw'!AH62</f>
        <v>0</v>
      </c>
      <c r="BO130" s="23">
        <f t="shared" si="1101"/>
        <v>0</v>
      </c>
      <c r="BP130" s="23">
        <f>+'QTR Raw'!AJ62</f>
        <v>0</v>
      </c>
      <c r="BQ130" s="23">
        <f t="shared" si="1101"/>
        <v>0</v>
      </c>
      <c r="BR130" s="23">
        <f>+'QTR Raw'!AL62</f>
        <v>0</v>
      </c>
      <c r="BS130" s="23">
        <f t="shared" si="1101"/>
        <v>0</v>
      </c>
      <c r="BT130" s="23">
        <f>+'QTR Raw'!AN62</f>
        <v>0</v>
      </c>
      <c r="BU130" s="23">
        <f t="shared" si="1101"/>
        <v>0</v>
      </c>
      <c r="BV130" s="23">
        <f>+'QTR Raw'!AP62</f>
        <v>0</v>
      </c>
      <c r="BW130" s="23">
        <f t="shared" si="1101"/>
        <v>0</v>
      </c>
      <c r="BX130" s="23">
        <f>+'QTR Raw'!AR62</f>
        <v>0</v>
      </c>
      <c r="BY130" s="23">
        <f t="shared" si="1101"/>
        <v>0</v>
      </c>
      <c r="BZ130" s="23">
        <f>+'QTR Raw'!AT62</f>
        <v>0</v>
      </c>
      <c r="CA130" s="23">
        <f t="shared" si="1101"/>
        <v>0</v>
      </c>
      <c r="CB130" s="23">
        <f>+'QTR Raw'!AV62</f>
        <v>0</v>
      </c>
      <c r="CC130" s="23">
        <f t="shared" si="1101"/>
        <v>0</v>
      </c>
      <c r="CD130" s="23">
        <f>+'QTR Raw'!AX62</f>
        <v>0</v>
      </c>
      <c r="CE130" s="23">
        <f t="shared" ref="CE130:CE133" si="1102">+CD130</f>
        <v>0</v>
      </c>
      <c r="CF130" s="23">
        <f>+'QTR Raw'!AZ62</f>
        <v>0</v>
      </c>
      <c r="CG130" s="23">
        <f t="shared" ref="CG130:CI133" si="1103">+CF130</f>
        <v>0</v>
      </c>
      <c r="CH130" s="23">
        <f t="shared" si="1079"/>
        <v>0</v>
      </c>
      <c r="CI130" s="23">
        <f t="shared" si="1103"/>
        <v>0</v>
      </c>
      <c r="CJ130" s="23">
        <f>+'QTR Raw'!BD62</f>
        <v>0</v>
      </c>
      <c r="CK130" s="24">
        <f t="shared" ref="CK130:CK133" si="1104">+CJ130</f>
        <v>0</v>
      </c>
      <c r="CL130" s="23">
        <f>+'QTR Raw'!BF62</f>
        <v>0</v>
      </c>
      <c r="CM130" s="24">
        <f t="shared" ref="CM130:CM133" si="1105">+CL130</f>
        <v>0</v>
      </c>
      <c r="CN130" s="24">
        <f t="shared" ref="CN130:CN133" si="1106">+CM130</f>
        <v>0</v>
      </c>
      <c r="CO130" s="24">
        <f t="shared" ref="CO130:CO133" si="1107">+CN130</f>
        <v>0</v>
      </c>
      <c r="CP130" s="24">
        <f t="shared" ref="CP130:CP133" si="1108">+CO130</f>
        <v>0</v>
      </c>
      <c r="CQ130" s="24">
        <f t="shared" ref="CQ130:CQ133" si="1109">+CP130</f>
        <v>0</v>
      </c>
      <c r="CR130" s="24">
        <f t="shared" ref="CR130:CR133" si="1110">+CQ130</f>
        <v>0</v>
      </c>
      <c r="CS130" s="24">
        <f t="shared" ref="CS130:CS133" si="1111">+CR130</f>
        <v>0</v>
      </c>
      <c r="CT130" s="24">
        <f t="shared" ref="CT130:CT133" si="1112">+CS130</f>
        <v>0</v>
      </c>
      <c r="CU130" s="24">
        <f t="shared" ref="CU130:CU133" si="1113">+CT130</f>
        <v>0</v>
      </c>
      <c r="CV130" s="24">
        <f t="shared" ref="CV130:CV133" si="1114">+CU130</f>
        <v>0</v>
      </c>
      <c r="CW130" s="24">
        <f t="shared" ref="CW130:CW133" si="1115">+CV130</f>
        <v>0</v>
      </c>
      <c r="CX130" s="24">
        <f t="shared" ref="CX130:CX133" si="1116">+CW130</f>
        <v>0</v>
      </c>
      <c r="CY130" s="24">
        <f t="shared" ref="CY130:CY133" si="1117">+CX130</f>
        <v>0</v>
      </c>
      <c r="CZ130" s="24">
        <f t="shared" ref="CZ130:CZ133" si="1118">+CY130</f>
        <v>0</v>
      </c>
      <c r="DA130" s="24">
        <f t="shared" ref="DA130:DA133" si="1119">+CZ130</f>
        <v>0</v>
      </c>
      <c r="DB130" s="24">
        <f t="shared" ref="DB130:DB133" si="1120">+DA130</f>
        <v>0</v>
      </c>
      <c r="DE130" s="123"/>
      <c r="DF130" s="23">
        <v>0</v>
      </c>
    </row>
    <row r="131" spans="1:110" s="23" customFormat="1" outlineLevel="1" x14ac:dyDescent="0.2">
      <c r="A131" s="23" t="s">
        <v>46</v>
      </c>
      <c r="B131" s="23">
        <f>'Annual Raw'!C48</f>
        <v>0</v>
      </c>
      <c r="C131" s="23">
        <f>'Annual Raw'!D48</f>
        <v>0</v>
      </c>
      <c r="D131" s="23">
        <f>'Annual Raw'!E48</f>
        <v>0</v>
      </c>
      <c r="E131" s="23">
        <f>'Annual Raw'!F48</f>
        <v>13.326449999999999</v>
      </c>
      <c r="F131" s="23">
        <f>'Annual Raw'!G48</f>
        <v>4</v>
      </c>
      <c r="G131" s="23">
        <f>'Annual Raw'!H48</f>
        <v>271.28969999999998</v>
      </c>
      <c r="H131" s="23">
        <f>'Annual Raw'!I48</f>
        <v>217.28399999999999</v>
      </c>
      <c r="I131" s="23">
        <f>'Annual Raw'!J48</f>
        <v>200.47460000000001</v>
      </c>
      <c r="J131" s="23">
        <f>'Annual Raw'!K48</f>
        <v>260.959</v>
      </c>
      <c r="K131" s="23">
        <f>'Annual Raw'!L48</f>
        <v>272.57350000000002</v>
      </c>
      <c r="L131" s="23">
        <f>'Annual Raw'!M48</f>
        <v>277.01100000000002</v>
      </c>
      <c r="M131" s="23">
        <f>'Annual Raw'!N48</f>
        <v>0</v>
      </c>
      <c r="N131" s="23">
        <f>'Annual Raw'!O48</f>
        <v>0</v>
      </c>
      <c r="O131" s="23">
        <f>'Annual Raw'!P48</f>
        <v>119.78</v>
      </c>
      <c r="P131" s="23">
        <f>'Annual Raw'!Q48</f>
        <v>154.13999999999999</v>
      </c>
      <c r="Q131" s="23">
        <f>'Annual Raw'!R48</f>
        <v>79.56</v>
      </c>
      <c r="R131" s="23">
        <f>'Annual Raw'!S48</f>
        <v>0.05</v>
      </c>
      <c r="S131" s="23">
        <f>'Annual Raw'!T48</f>
        <v>0</v>
      </c>
      <c r="T131" s="23">
        <f>'Annual Raw'!U48</f>
        <v>0</v>
      </c>
      <c r="U131" s="23">
        <f>'Annual Raw'!V48</f>
        <v>0</v>
      </c>
      <c r="V131" s="23">
        <f>'Annual Raw'!W48</f>
        <v>0</v>
      </c>
      <c r="W131" s="23">
        <f>'Annual Raw'!X48</f>
        <v>0</v>
      </c>
      <c r="X131" s="23">
        <f>'Annual Raw'!Y48</f>
        <v>0</v>
      </c>
      <c r="Y131" s="23">
        <f>'Annual Raw'!Z48</f>
        <v>0</v>
      </c>
      <c r="Z131" s="23">
        <f>'Annual Raw'!AA48</f>
        <v>0</v>
      </c>
      <c r="AA131" s="23">
        <f>'Annual Raw'!AB48</f>
        <v>588.99</v>
      </c>
      <c r="AB131" s="24">
        <f t="shared" si="1097"/>
        <v>588.99</v>
      </c>
      <c r="AC131" s="24">
        <f t="shared" si="1098"/>
        <v>588.99</v>
      </c>
      <c r="AD131" s="24">
        <f t="shared" si="1099"/>
        <v>588.99</v>
      </c>
      <c r="AE131" s="24">
        <f t="shared" si="1100"/>
        <v>588.99</v>
      </c>
      <c r="AJ131" s="23">
        <f>+'QTR Raw'!D63</f>
        <v>0</v>
      </c>
      <c r="AK131" s="23">
        <f t="shared" si="1101"/>
        <v>0</v>
      </c>
      <c r="AL131" s="23">
        <f>+'QTR Raw'!F63</f>
        <v>0</v>
      </c>
      <c r="AM131" s="23">
        <f t="shared" si="1101"/>
        <v>0</v>
      </c>
      <c r="AN131" s="23">
        <f>+'QTR Raw'!H63</f>
        <v>0</v>
      </c>
      <c r="AO131" s="23">
        <f t="shared" si="1101"/>
        <v>0</v>
      </c>
      <c r="AP131" s="23">
        <f>+'QTR Raw'!J63</f>
        <v>0</v>
      </c>
      <c r="AQ131" s="23">
        <f t="shared" si="1101"/>
        <v>0</v>
      </c>
      <c r="AR131" s="23">
        <f>+'QTR Raw'!L63</f>
        <v>0</v>
      </c>
      <c r="AS131" s="23">
        <f t="shared" si="1101"/>
        <v>0</v>
      </c>
      <c r="AT131" s="23">
        <f>+'QTR Raw'!N63</f>
        <v>0</v>
      </c>
      <c r="AU131" s="23">
        <f t="shared" si="1101"/>
        <v>0</v>
      </c>
      <c r="AV131" s="23">
        <f>+'QTR Raw'!P63</f>
        <v>0</v>
      </c>
      <c r="AW131" s="23">
        <f t="shared" si="1101"/>
        <v>0</v>
      </c>
      <c r="AX131" s="23">
        <f>+'QTR Raw'!R63</f>
        <v>0</v>
      </c>
      <c r="AY131" s="23">
        <f t="shared" si="1101"/>
        <v>0</v>
      </c>
      <c r="AZ131" s="23">
        <f>+'QTR Raw'!T63</f>
        <v>0</v>
      </c>
      <c r="BA131" s="23">
        <f t="shared" si="1101"/>
        <v>0</v>
      </c>
      <c r="BB131" s="23">
        <f>+'QTR Raw'!V63</f>
        <v>0</v>
      </c>
      <c r="BC131" s="23">
        <f t="shared" si="1101"/>
        <v>0</v>
      </c>
      <c r="BD131" s="23">
        <f>+'QTR Raw'!X63</f>
        <v>0</v>
      </c>
      <c r="BE131" s="23">
        <f t="shared" si="1101"/>
        <v>0</v>
      </c>
      <c r="BF131" s="23">
        <f>+'QTR Raw'!Z63</f>
        <v>0</v>
      </c>
      <c r="BG131" s="23">
        <f t="shared" si="1101"/>
        <v>0</v>
      </c>
      <c r="BH131" s="23">
        <f>+'QTR Raw'!AB63</f>
        <v>0</v>
      </c>
      <c r="BI131" s="23">
        <f t="shared" si="1101"/>
        <v>0</v>
      </c>
      <c r="BJ131" s="23">
        <f>+'QTR Raw'!AD63</f>
        <v>0</v>
      </c>
      <c r="BK131" s="23">
        <f t="shared" si="1101"/>
        <v>0</v>
      </c>
      <c r="BL131" s="23">
        <f>+'QTR Raw'!AF63</f>
        <v>0</v>
      </c>
      <c r="BM131" s="23">
        <f t="shared" si="1101"/>
        <v>0</v>
      </c>
      <c r="BN131" s="23">
        <f>+'QTR Raw'!AH63</f>
        <v>0</v>
      </c>
      <c r="BO131" s="23">
        <f t="shared" si="1101"/>
        <v>0</v>
      </c>
      <c r="BP131" s="23">
        <f>+'QTR Raw'!AJ63</f>
        <v>0</v>
      </c>
      <c r="BQ131" s="23">
        <f t="shared" si="1101"/>
        <v>0</v>
      </c>
      <c r="BR131" s="23">
        <f>+'QTR Raw'!AL63</f>
        <v>0</v>
      </c>
      <c r="BS131" s="23">
        <f t="shared" si="1101"/>
        <v>0</v>
      </c>
      <c r="BT131" s="23">
        <f>+'QTR Raw'!AN63</f>
        <v>0</v>
      </c>
      <c r="BU131" s="23">
        <f t="shared" si="1101"/>
        <v>0</v>
      </c>
      <c r="BV131" s="23">
        <f>+'QTR Raw'!AP63</f>
        <v>0</v>
      </c>
      <c r="BW131" s="23">
        <f t="shared" si="1101"/>
        <v>0</v>
      </c>
      <c r="BX131" s="23">
        <f>+'QTR Raw'!AR63</f>
        <v>0</v>
      </c>
      <c r="BY131" s="23">
        <f t="shared" si="1101"/>
        <v>0</v>
      </c>
      <c r="BZ131" s="23">
        <f>+'QTR Raw'!AT63</f>
        <v>0</v>
      </c>
      <c r="CA131" s="23">
        <f t="shared" si="1101"/>
        <v>0</v>
      </c>
      <c r="CB131" s="23">
        <f>+'QTR Raw'!AV63</f>
        <v>0</v>
      </c>
      <c r="CC131" s="23">
        <f t="shared" si="1101"/>
        <v>0</v>
      </c>
      <c r="CD131" s="23">
        <f>+'QTR Raw'!AX63</f>
        <v>0</v>
      </c>
      <c r="CE131" s="23">
        <f t="shared" si="1102"/>
        <v>0</v>
      </c>
      <c r="CF131" s="23">
        <f>+'QTR Raw'!AZ63</f>
        <v>0</v>
      </c>
      <c r="CG131" s="23">
        <f t="shared" si="1103"/>
        <v>0</v>
      </c>
      <c r="CH131" s="23">
        <f t="shared" si="1079"/>
        <v>0</v>
      </c>
      <c r="CI131" s="23">
        <f t="shared" si="1103"/>
        <v>0</v>
      </c>
      <c r="CJ131" s="23">
        <f>+'QTR Raw'!BD63</f>
        <v>0</v>
      </c>
      <c r="CK131" s="24">
        <f t="shared" si="1104"/>
        <v>0</v>
      </c>
      <c r="CL131" s="23">
        <f>+'QTR Raw'!BF63</f>
        <v>588.99</v>
      </c>
      <c r="CM131" s="24">
        <f t="shared" si="1105"/>
        <v>588.99</v>
      </c>
      <c r="CN131" s="24">
        <f t="shared" si="1106"/>
        <v>588.99</v>
      </c>
      <c r="CO131" s="24">
        <f t="shared" si="1107"/>
        <v>588.99</v>
      </c>
      <c r="CP131" s="24">
        <f t="shared" si="1108"/>
        <v>588.99</v>
      </c>
      <c r="CQ131" s="24">
        <f t="shared" si="1109"/>
        <v>588.99</v>
      </c>
      <c r="CR131" s="24">
        <f t="shared" si="1110"/>
        <v>588.99</v>
      </c>
      <c r="CS131" s="24">
        <f t="shared" si="1111"/>
        <v>588.99</v>
      </c>
      <c r="CT131" s="24">
        <f t="shared" si="1112"/>
        <v>588.99</v>
      </c>
      <c r="CU131" s="24">
        <f t="shared" si="1113"/>
        <v>588.99</v>
      </c>
      <c r="CV131" s="24">
        <f t="shared" si="1114"/>
        <v>588.99</v>
      </c>
      <c r="CW131" s="24">
        <f t="shared" si="1115"/>
        <v>588.99</v>
      </c>
      <c r="CX131" s="24">
        <f t="shared" si="1116"/>
        <v>588.99</v>
      </c>
      <c r="CY131" s="24">
        <f t="shared" si="1117"/>
        <v>588.99</v>
      </c>
      <c r="CZ131" s="24">
        <f t="shared" si="1118"/>
        <v>588.99</v>
      </c>
      <c r="DA131" s="24">
        <f t="shared" si="1119"/>
        <v>588.99</v>
      </c>
      <c r="DB131" s="24">
        <f t="shared" si="1120"/>
        <v>588.99</v>
      </c>
      <c r="DE131" s="123"/>
      <c r="DF131" s="23">
        <v>0</v>
      </c>
    </row>
    <row r="132" spans="1:110" s="23" customFormat="1" outlineLevel="1" x14ac:dyDescent="0.2">
      <c r="A132" s="23" t="s">
        <v>47</v>
      </c>
      <c r="B132" s="23">
        <f>'Annual Raw'!C87+'Annual Raw'!C88+'Annual Raw'!C89+'Annual Raw'!C90</f>
        <v>0</v>
      </c>
      <c r="C132" s="23">
        <f>'Annual Raw'!D87+'Annual Raw'!D88+'Annual Raw'!D89+'Annual Raw'!D90</f>
        <v>0</v>
      </c>
      <c r="D132" s="23">
        <f>'Annual Raw'!E87+'Annual Raw'!E88+'Annual Raw'!E89+'Annual Raw'!E90</f>
        <v>0</v>
      </c>
      <c r="E132" s="23">
        <f>'Annual Raw'!F87+'Annual Raw'!F88+'Annual Raw'!F89+'Annual Raw'!F90</f>
        <v>0</v>
      </c>
      <c r="F132" s="23">
        <f>'Annual Raw'!G87+'Annual Raw'!G88+'Annual Raw'!G89+'Annual Raw'!G90</f>
        <v>0</v>
      </c>
      <c r="G132" s="23">
        <f>'Annual Raw'!H87+'Annual Raw'!H88+'Annual Raw'!H89+'Annual Raw'!H90</f>
        <v>0</v>
      </c>
      <c r="H132" s="23">
        <f>'Annual Raw'!I87+'Annual Raw'!I88+'Annual Raw'!I89+'Annual Raw'!I90</f>
        <v>0</v>
      </c>
      <c r="I132" s="23">
        <f>'Annual Raw'!J87+'Annual Raw'!J88+'Annual Raw'!J89+'Annual Raw'!J90</f>
        <v>0</v>
      </c>
      <c r="J132" s="23">
        <f>'Annual Raw'!K87+'Annual Raw'!K88+'Annual Raw'!K89+'Annual Raw'!K90</f>
        <v>0</v>
      </c>
      <c r="K132" s="23">
        <f>'Annual Raw'!L87+'Annual Raw'!L88+'Annual Raw'!L89+'Annual Raw'!L90</f>
        <v>0</v>
      </c>
      <c r="L132" s="23">
        <f>'Annual Raw'!M87+'Annual Raw'!M88+'Annual Raw'!M89+'Annual Raw'!M90</f>
        <v>0</v>
      </c>
      <c r="M132" s="23">
        <f>'Annual Raw'!N87+'Annual Raw'!N88+'Annual Raw'!N89+'Annual Raw'!N90</f>
        <v>257.84999999999997</v>
      </c>
      <c r="N132" s="23">
        <f>'Annual Raw'!O87+'Annual Raw'!O88+'Annual Raw'!O89+'Annual Raw'!O90</f>
        <v>72.83</v>
      </c>
      <c r="O132" s="23">
        <f>'Annual Raw'!P87+'Annual Raw'!P88+'Annual Raw'!P89+'Annual Raw'!P90</f>
        <v>79.959999999999994</v>
      </c>
      <c r="P132" s="23">
        <f>'Annual Raw'!Q87+'Annual Raw'!Q88+'Annual Raw'!Q89+'Annual Raw'!Q90</f>
        <v>77.06</v>
      </c>
      <c r="Q132" s="23">
        <f>'Annual Raw'!R87+'Annual Raw'!R88+'Annual Raw'!R89+'Annual Raw'!R90</f>
        <v>79.56</v>
      </c>
      <c r="R132" s="23">
        <f>'Annual Raw'!S87+'Annual Raw'!S88+'Annual Raw'!S89+'Annual Raw'!S90</f>
        <v>67.430000000000007</v>
      </c>
      <c r="S132" s="23">
        <f>'Annual Raw'!T87+'Annual Raw'!T88+'Annual Raw'!T89+'Annual Raw'!T90</f>
        <v>0</v>
      </c>
      <c r="T132" s="23">
        <f>'Annual Raw'!U87+'Annual Raw'!U88+'Annual Raw'!U89+'Annual Raw'!U90</f>
        <v>0</v>
      </c>
      <c r="U132" s="23">
        <f>'Annual Raw'!V87+'Annual Raw'!V88+'Annual Raw'!V89+'Annual Raw'!V90</f>
        <v>0</v>
      </c>
      <c r="V132" s="23">
        <f>'Annual Raw'!W87+'Annual Raw'!W88+'Annual Raw'!W89+'Annual Raw'!W90</f>
        <v>0</v>
      </c>
      <c r="W132" s="23">
        <f>'Annual Raw'!X87+'Annual Raw'!X88+'Annual Raw'!X89+'Annual Raw'!X90</f>
        <v>0</v>
      </c>
      <c r="X132" s="23">
        <f>'Annual Raw'!Y87+'Annual Raw'!Y88+'Annual Raw'!Y89+'Annual Raw'!Y90</f>
        <v>0</v>
      </c>
      <c r="Y132" s="23">
        <f>'Annual Raw'!Z87+'Annual Raw'!Z88+'Annual Raw'!Z89+'Annual Raw'!Z90</f>
        <v>0</v>
      </c>
      <c r="Z132" s="23">
        <f>'Annual Raw'!AA87+'Annual Raw'!AA88+'Annual Raw'!AA89+'Annual Raw'!AA90</f>
        <v>0</v>
      </c>
      <c r="AA132" s="23">
        <f>'Annual Raw'!AB87+'Annual Raw'!AB88+'Annual Raw'!AB89+'Annual Raw'!AB90</f>
        <v>0</v>
      </c>
      <c r="AB132" s="24">
        <f t="shared" si="1097"/>
        <v>0</v>
      </c>
      <c r="AC132" s="24">
        <f t="shared" si="1098"/>
        <v>0</v>
      </c>
      <c r="AD132" s="24">
        <f t="shared" si="1099"/>
        <v>0</v>
      </c>
      <c r="AE132" s="24">
        <f t="shared" si="1100"/>
        <v>0</v>
      </c>
      <c r="AJ132" s="23">
        <f>+'QTR Raw'!D90</f>
        <v>0</v>
      </c>
      <c r="AK132" s="23">
        <f t="shared" si="1101"/>
        <v>0</v>
      </c>
      <c r="AL132" s="23">
        <f>+'QTR Raw'!F90</f>
        <v>0</v>
      </c>
      <c r="AM132" s="23">
        <f t="shared" si="1101"/>
        <v>0</v>
      </c>
      <c r="AN132" s="23">
        <f>+'QTR Raw'!H90</f>
        <v>0</v>
      </c>
      <c r="AO132" s="23">
        <f t="shared" si="1101"/>
        <v>0</v>
      </c>
      <c r="AP132" s="23">
        <f>+'QTR Raw'!J90</f>
        <v>0</v>
      </c>
      <c r="AQ132" s="23">
        <f t="shared" si="1101"/>
        <v>0</v>
      </c>
      <c r="AR132" s="23">
        <f>+'QTR Raw'!L90</f>
        <v>0</v>
      </c>
      <c r="AS132" s="23">
        <f t="shared" si="1101"/>
        <v>0</v>
      </c>
      <c r="AT132" s="23">
        <f>+'QTR Raw'!N90</f>
        <v>0</v>
      </c>
      <c r="AU132" s="23">
        <f t="shared" si="1101"/>
        <v>0</v>
      </c>
      <c r="AV132" s="23">
        <f>+'QTR Raw'!P90</f>
        <v>0</v>
      </c>
      <c r="AW132" s="23">
        <f t="shared" si="1101"/>
        <v>0</v>
      </c>
      <c r="AX132" s="23">
        <f>+'QTR Raw'!R90</f>
        <v>0</v>
      </c>
      <c r="AY132" s="23">
        <f t="shared" si="1101"/>
        <v>0</v>
      </c>
      <c r="AZ132" s="23">
        <f>+'QTR Raw'!T90</f>
        <v>0</v>
      </c>
      <c r="BA132" s="23">
        <f t="shared" si="1101"/>
        <v>0</v>
      </c>
      <c r="BB132" s="23">
        <f>+'QTR Raw'!V90</f>
        <v>0</v>
      </c>
      <c r="BC132" s="23">
        <f t="shared" si="1101"/>
        <v>0</v>
      </c>
      <c r="BD132" s="23">
        <f>+'QTR Raw'!X90</f>
        <v>0</v>
      </c>
      <c r="BE132" s="23">
        <f t="shared" si="1101"/>
        <v>0</v>
      </c>
      <c r="BF132" s="23">
        <f>+'QTR Raw'!Z90</f>
        <v>0</v>
      </c>
      <c r="BG132" s="23">
        <f t="shared" si="1101"/>
        <v>0</v>
      </c>
      <c r="BH132" s="22">
        <f>+'QTR Raw'!AB90</f>
        <v>0</v>
      </c>
      <c r="BI132" s="23">
        <f t="shared" si="1101"/>
        <v>0</v>
      </c>
      <c r="BJ132" s="23">
        <f>+'QTR Raw'!AD90</f>
        <v>0</v>
      </c>
      <c r="BK132" s="23">
        <f t="shared" si="1101"/>
        <v>0</v>
      </c>
      <c r="BL132" s="23">
        <f>+'QTR Raw'!AF90</f>
        <v>0</v>
      </c>
      <c r="BM132" s="23">
        <f t="shared" si="1101"/>
        <v>0</v>
      </c>
      <c r="BN132" s="23">
        <f>+'QTR Raw'!AH90</f>
        <v>0</v>
      </c>
      <c r="BO132" s="23">
        <f t="shared" si="1101"/>
        <v>0</v>
      </c>
      <c r="BP132" s="23">
        <f>+'QTR Raw'!AJ90</f>
        <v>0</v>
      </c>
      <c r="BQ132" s="23">
        <f t="shared" si="1101"/>
        <v>0</v>
      </c>
      <c r="BR132" s="23">
        <f>+'QTR Raw'!AL90</f>
        <v>0</v>
      </c>
      <c r="BS132" s="23">
        <f t="shared" si="1101"/>
        <v>0</v>
      </c>
      <c r="BT132" s="23">
        <f>+'QTR Raw'!AN90</f>
        <v>0</v>
      </c>
      <c r="BU132" s="23">
        <f t="shared" si="1101"/>
        <v>0</v>
      </c>
      <c r="BV132" s="23">
        <f>+'QTR Raw'!AP90</f>
        <v>0</v>
      </c>
      <c r="BW132" s="23">
        <f t="shared" si="1101"/>
        <v>0</v>
      </c>
      <c r="BX132" s="23">
        <f>+'QTR Raw'!AR90</f>
        <v>0</v>
      </c>
      <c r="BY132" s="23">
        <f t="shared" si="1101"/>
        <v>0</v>
      </c>
      <c r="BZ132" s="23">
        <f>+'QTR Raw'!AT90</f>
        <v>0</v>
      </c>
      <c r="CA132" s="23">
        <f t="shared" si="1101"/>
        <v>0</v>
      </c>
      <c r="CB132" s="23">
        <f>+'QTR Raw'!AV90</f>
        <v>0</v>
      </c>
      <c r="CC132" s="23">
        <f t="shared" si="1101"/>
        <v>0</v>
      </c>
      <c r="CD132" s="23">
        <f>+'QTR Raw'!AX90</f>
        <v>0</v>
      </c>
      <c r="CE132" s="23">
        <f t="shared" si="1102"/>
        <v>0</v>
      </c>
      <c r="CF132" s="23">
        <f>+'QTR Raw'!AZ90</f>
        <v>0</v>
      </c>
      <c r="CG132" s="23">
        <f t="shared" si="1103"/>
        <v>0</v>
      </c>
      <c r="CH132" s="23">
        <f>+Z132</f>
        <v>0</v>
      </c>
      <c r="CI132" s="23">
        <f t="shared" si="1103"/>
        <v>0</v>
      </c>
      <c r="CJ132" s="23">
        <f>+'QTR Raw'!BD90</f>
        <v>0</v>
      </c>
      <c r="CK132" s="24">
        <f t="shared" si="1104"/>
        <v>0</v>
      </c>
      <c r="CL132" s="23">
        <f>+'QTR Raw'!BF90</f>
        <v>0</v>
      </c>
      <c r="CM132" s="24">
        <f t="shared" si="1105"/>
        <v>0</v>
      </c>
      <c r="CN132" s="24">
        <f t="shared" si="1106"/>
        <v>0</v>
      </c>
      <c r="CO132" s="24">
        <f t="shared" si="1107"/>
        <v>0</v>
      </c>
      <c r="CP132" s="24">
        <f t="shared" si="1108"/>
        <v>0</v>
      </c>
      <c r="CQ132" s="24">
        <f t="shared" si="1109"/>
        <v>0</v>
      </c>
      <c r="CR132" s="24">
        <f t="shared" si="1110"/>
        <v>0</v>
      </c>
      <c r="CS132" s="24">
        <f t="shared" si="1111"/>
        <v>0</v>
      </c>
      <c r="CT132" s="24">
        <f t="shared" si="1112"/>
        <v>0</v>
      </c>
      <c r="CU132" s="24">
        <f t="shared" si="1113"/>
        <v>0</v>
      </c>
      <c r="CV132" s="24">
        <f t="shared" si="1114"/>
        <v>0</v>
      </c>
      <c r="CW132" s="24">
        <f t="shared" si="1115"/>
        <v>0</v>
      </c>
      <c r="CX132" s="24">
        <f t="shared" si="1116"/>
        <v>0</v>
      </c>
      <c r="CY132" s="24">
        <f t="shared" si="1117"/>
        <v>0</v>
      </c>
      <c r="CZ132" s="24">
        <f t="shared" si="1118"/>
        <v>0</v>
      </c>
      <c r="DA132" s="24">
        <f t="shared" si="1119"/>
        <v>0</v>
      </c>
      <c r="DB132" s="24">
        <f t="shared" si="1120"/>
        <v>0</v>
      </c>
      <c r="DE132" s="123"/>
      <c r="DF132" s="23">
        <v>0</v>
      </c>
    </row>
    <row r="133" spans="1:110" s="23" customFormat="1" outlineLevel="1" x14ac:dyDescent="0.2">
      <c r="A133" s="23" t="s">
        <v>48</v>
      </c>
      <c r="B133" s="23">
        <f>'Annual Raw'!C56</f>
        <v>0</v>
      </c>
      <c r="C133" s="23">
        <f>'Annual Raw'!D56</f>
        <v>0</v>
      </c>
      <c r="D133" s="23">
        <f>'Annual Raw'!E56</f>
        <v>0</v>
      </c>
      <c r="E133" s="23">
        <f>'Annual Raw'!F56</f>
        <v>0</v>
      </c>
      <c r="F133" s="23">
        <f>'Annual Raw'!G56</f>
        <v>0</v>
      </c>
      <c r="G133" s="23">
        <f>'Annual Raw'!H56</f>
        <v>0</v>
      </c>
      <c r="H133" s="23">
        <f>'Annual Raw'!I56</f>
        <v>0</v>
      </c>
      <c r="I133" s="23">
        <f>'Annual Raw'!J56</f>
        <v>0</v>
      </c>
      <c r="J133" s="23">
        <f>'Annual Raw'!K56</f>
        <v>0</v>
      </c>
      <c r="K133" s="23">
        <f>'Annual Raw'!L56</f>
        <v>0</v>
      </c>
      <c r="L133" s="23">
        <f>'Annual Raw'!M56</f>
        <v>0</v>
      </c>
      <c r="M133" s="23">
        <f>'Annual Raw'!N56</f>
        <v>81.400000000000006</v>
      </c>
      <c r="N133" s="23">
        <f>'Annual Raw'!O56</f>
        <v>79.17</v>
      </c>
      <c r="O133" s="23">
        <f>'Annual Raw'!P56</f>
        <v>131.01</v>
      </c>
      <c r="P133" s="23">
        <f>'Annual Raw'!Q56</f>
        <v>131.25</v>
      </c>
      <c r="Q133" s="23">
        <f>'Annual Raw'!R56</f>
        <v>236.87</v>
      </c>
      <c r="R133" s="23">
        <f>'Annual Raw'!S56</f>
        <v>149.97999999999999</v>
      </c>
      <c r="S133" s="23">
        <f>'Annual Raw'!T56</f>
        <v>67.37</v>
      </c>
      <c r="T133" s="23">
        <f>'Annual Raw'!U56</f>
        <v>0</v>
      </c>
      <c r="U133" s="23">
        <f>'Annual Raw'!V56</f>
        <v>0</v>
      </c>
      <c r="V133" s="23">
        <f>'Annual Raw'!W56</f>
        <v>0</v>
      </c>
      <c r="W133" s="23">
        <f>'Annual Raw'!X56</f>
        <v>0</v>
      </c>
      <c r="X133" s="23">
        <f>'Annual Raw'!Y56</f>
        <v>0</v>
      </c>
      <c r="Y133" s="23">
        <f>'Annual Raw'!Z56</f>
        <v>0</v>
      </c>
      <c r="Z133" s="23">
        <f>'Annual Raw'!AA56</f>
        <v>0</v>
      </c>
      <c r="AA133" s="23">
        <f>'Annual Raw'!AB56</f>
        <v>76.569999999999993</v>
      </c>
      <c r="AB133" s="24">
        <f t="shared" si="1097"/>
        <v>76.569999999999993</v>
      </c>
      <c r="AC133" s="24">
        <f t="shared" si="1098"/>
        <v>76.569999999999993</v>
      </c>
      <c r="AD133" s="24">
        <f t="shared" si="1099"/>
        <v>76.569999999999993</v>
      </c>
      <c r="AE133" s="24">
        <f t="shared" si="1100"/>
        <v>76.569999999999993</v>
      </c>
      <c r="AJ133" s="23">
        <f>+'QTR Raw'!D88</f>
        <v>0</v>
      </c>
      <c r="AK133" s="23">
        <f t="shared" si="1101"/>
        <v>0</v>
      </c>
      <c r="AL133" s="23">
        <f>+'QTR Raw'!F88</f>
        <v>0</v>
      </c>
      <c r="AM133" s="23">
        <f t="shared" si="1101"/>
        <v>0</v>
      </c>
      <c r="AN133" s="23">
        <f>+'QTR Raw'!H88</f>
        <v>0</v>
      </c>
      <c r="AO133" s="23">
        <f t="shared" si="1101"/>
        <v>0</v>
      </c>
      <c r="AP133" s="23">
        <f>+'QTR Raw'!J88</f>
        <v>0</v>
      </c>
      <c r="AQ133" s="23">
        <f t="shared" si="1101"/>
        <v>0</v>
      </c>
      <c r="AR133" s="23">
        <f>+'QTR Raw'!L88</f>
        <v>0</v>
      </c>
      <c r="AS133" s="23">
        <f t="shared" si="1101"/>
        <v>0</v>
      </c>
      <c r="AT133" s="23">
        <f>+'QTR Raw'!N88</f>
        <v>0</v>
      </c>
      <c r="AU133" s="23">
        <f t="shared" si="1101"/>
        <v>0</v>
      </c>
      <c r="AV133" s="23">
        <f>+'QTR Raw'!P88</f>
        <v>0</v>
      </c>
      <c r="AW133" s="23">
        <f t="shared" si="1101"/>
        <v>0</v>
      </c>
      <c r="AX133" s="23">
        <f>+'QTR Raw'!R88</f>
        <v>0</v>
      </c>
      <c r="AY133" s="23">
        <f t="shared" si="1101"/>
        <v>0</v>
      </c>
      <c r="AZ133" s="23">
        <f>+'QTR Raw'!T88</f>
        <v>0</v>
      </c>
      <c r="BA133" s="23">
        <f t="shared" si="1101"/>
        <v>0</v>
      </c>
      <c r="BB133" s="23">
        <f>+'QTR Raw'!V88</f>
        <v>0</v>
      </c>
      <c r="BC133" s="23">
        <f t="shared" si="1101"/>
        <v>0</v>
      </c>
      <c r="BD133" s="23">
        <f>+'QTR Raw'!X88</f>
        <v>0</v>
      </c>
      <c r="BE133" s="23">
        <f t="shared" si="1101"/>
        <v>0</v>
      </c>
      <c r="BF133" s="23">
        <f>+'QTR Raw'!Z88</f>
        <v>0</v>
      </c>
      <c r="BG133" s="23">
        <f t="shared" si="1101"/>
        <v>0</v>
      </c>
      <c r="BH133" s="23">
        <f>+'QTR Raw'!AB88</f>
        <v>0</v>
      </c>
      <c r="BI133" s="23">
        <f t="shared" si="1101"/>
        <v>0</v>
      </c>
      <c r="BJ133" s="23">
        <f>+'QTR Raw'!AD88</f>
        <v>0</v>
      </c>
      <c r="BK133" s="23">
        <f t="shared" si="1101"/>
        <v>0</v>
      </c>
      <c r="BL133" s="23">
        <f>+'QTR Raw'!AF88</f>
        <v>0</v>
      </c>
      <c r="BM133" s="23">
        <f t="shared" si="1101"/>
        <v>0</v>
      </c>
      <c r="BN133" s="23">
        <f>+'QTR Raw'!AH88</f>
        <v>0</v>
      </c>
      <c r="BO133" s="23">
        <f t="shared" si="1101"/>
        <v>0</v>
      </c>
      <c r="BP133" s="23">
        <f>+'QTR Raw'!AJ88</f>
        <v>0</v>
      </c>
      <c r="BQ133" s="23">
        <f t="shared" si="1101"/>
        <v>0</v>
      </c>
      <c r="BR133" s="23">
        <f>+'QTR Raw'!AL88</f>
        <v>0</v>
      </c>
      <c r="BS133" s="23">
        <f t="shared" si="1101"/>
        <v>0</v>
      </c>
      <c r="BT133" s="23">
        <f>+'QTR Raw'!AN88</f>
        <v>0</v>
      </c>
      <c r="BU133" s="23">
        <f t="shared" si="1101"/>
        <v>0</v>
      </c>
      <c r="BV133" s="23">
        <f>+'QTR Raw'!AP88</f>
        <v>0</v>
      </c>
      <c r="BW133" s="23">
        <f t="shared" si="1101"/>
        <v>0</v>
      </c>
      <c r="BX133" s="23">
        <f>+'QTR Raw'!AR88</f>
        <v>0</v>
      </c>
      <c r="BY133" s="23">
        <f t="shared" si="1101"/>
        <v>0</v>
      </c>
      <c r="BZ133" s="23">
        <f>+'QTR Raw'!AT88</f>
        <v>0</v>
      </c>
      <c r="CA133" s="23">
        <f t="shared" si="1101"/>
        <v>0</v>
      </c>
      <c r="CB133" s="23">
        <f>+'QTR Raw'!AV88</f>
        <v>0</v>
      </c>
      <c r="CC133" s="23">
        <f t="shared" si="1101"/>
        <v>0</v>
      </c>
      <c r="CD133" s="23">
        <f>+'QTR Raw'!AX88</f>
        <v>0</v>
      </c>
      <c r="CE133" s="23">
        <f t="shared" si="1102"/>
        <v>0</v>
      </c>
      <c r="CF133" s="23">
        <f>+'QTR Raw'!AZ88</f>
        <v>0</v>
      </c>
      <c r="CG133" s="23">
        <f t="shared" si="1103"/>
        <v>0</v>
      </c>
      <c r="CH133" s="23">
        <f t="shared" si="1079"/>
        <v>0</v>
      </c>
      <c r="CI133" s="23">
        <f t="shared" si="1103"/>
        <v>0</v>
      </c>
      <c r="CJ133" s="23">
        <f>+'QTR Raw'!BD88</f>
        <v>0</v>
      </c>
      <c r="CK133" s="24">
        <f t="shared" si="1104"/>
        <v>0</v>
      </c>
      <c r="CL133" s="23">
        <f>+'QTR Raw'!BF88</f>
        <v>76.569999999999993</v>
      </c>
      <c r="CM133" s="24">
        <f t="shared" si="1105"/>
        <v>76.569999999999993</v>
      </c>
      <c r="CN133" s="24">
        <f t="shared" si="1106"/>
        <v>76.569999999999993</v>
      </c>
      <c r="CO133" s="24">
        <f t="shared" si="1107"/>
        <v>76.569999999999993</v>
      </c>
      <c r="CP133" s="24">
        <f t="shared" si="1108"/>
        <v>76.569999999999993</v>
      </c>
      <c r="CQ133" s="24">
        <f t="shared" si="1109"/>
        <v>76.569999999999993</v>
      </c>
      <c r="CR133" s="24">
        <f t="shared" si="1110"/>
        <v>76.569999999999993</v>
      </c>
      <c r="CS133" s="24">
        <f t="shared" si="1111"/>
        <v>76.569999999999993</v>
      </c>
      <c r="CT133" s="24">
        <f t="shared" si="1112"/>
        <v>76.569999999999993</v>
      </c>
      <c r="CU133" s="24">
        <f t="shared" si="1113"/>
        <v>76.569999999999993</v>
      </c>
      <c r="CV133" s="24">
        <f t="shared" si="1114"/>
        <v>76.569999999999993</v>
      </c>
      <c r="CW133" s="24">
        <f t="shared" si="1115"/>
        <v>76.569999999999993</v>
      </c>
      <c r="CX133" s="24">
        <f t="shared" si="1116"/>
        <v>76.569999999999993</v>
      </c>
      <c r="CY133" s="24">
        <f t="shared" si="1117"/>
        <v>76.569999999999993</v>
      </c>
      <c r="CZ133" s="24">
        <f t="shared" si="1118"/>
        <v>76.569999999999993</v>
      </c>
      <c r="DA133" s="24">
        <f t="shared" si="1119"/>
        <v>76.569999999999993</v>
      </c>
      <c r="DB133" s="24">
        <f t="shared" si="1120"/>
        <v>76.569999999999993</v>
      </c>
      <c r="DE133" s="123"/>
      <c r="DF133" s="23">
        <v>0</v>
      </c>
    </row>
    <row r="134" spans="1:110" s="22" customFormat="1" x14ac:dyDescent="0.2">
      <c r="A134" s="22" t="s">
        <v>49</v>
      </c>
      <c r="B134" s="22">
        <f>SUM(B130:B133)</f>
        <v>0</v>
      </c>
      <c r="C134" s="22">
        <f t="shared" ref="C134:V134" si="1121">SUM(C130:C133)</f>
        <v>0</v>
      </c>
      <c r="D134" s="22">
        <f t="shared" si="1121"/>
        <v>0</v>
      </c>
      <c r="E134" s="22">
        <f t="shared" si="1121"/>
        <v>17.7770431</v>
      </c>
      <c r="F134" s="22">
        <f t="shared" si="1121"/>
        <v>8.4073519999999995</v>
      </c>
      <c r="G134" s="22">
        <f t="shared" si="1121"/>
        <v>271.63200000000001</v>
      </c>
      <c r="H134" s="22">
        <f t="shared" si="1121"/>
        <v>217.7732</v>
      </c>
      <c r="I134" s="22">
        <f t="shared" si="1121"/>
        <v>218.9631</v>
      </c>
      <c r="J134" s="22">
        <f t="shared" si="1121"/>
        <v>329.55279999999999</v>
      </c>
      <c r="K134" s="22">
        <f t="shared" si="1121"/>
        <v>297.75020000000001</v>
      </c>
      <c r="L134" s="22">
        <f t="shared" si="1121"/>
        <v>302.75580000000002</v>
      </c>
      <c r="M134" s="22">
        <f t="shared" si="1121"/>
        <v>339.87</v>
      </c>
      <c r="N134" s="22">
        <f t="shared" si="1121"/>
        <v>296.92</v>
      </c>
      <c r="O134" s="22">
        <f t="shared" si="1121"/>
        <v>410.65</v>
      </c>
      <c r="P134" s="22">
        <f t="shared" si="1121"/>
        <v>362.45</v>
      </c>
      <c r="Q134" s="22">
        <f t="shared" si="1121"/>
        <v>395.99</v>
      </c>
      <c r="R134" s="22">
        <f t="shared" si="1121"/>
        <v>217.45999999999998</v>
      </c>
      <c r="S134" s="22">
        <f t="shared" si="1121"/>
        <v>67.37</v>
      </c>
      <c r="T134" s="22">
        <f t="shared" si="1121"/>
        <v>0</v>
      </c>
      <c r="U134" s="22">
        <f t="shared" si="1121"/>
        <v>0</v>
      </c>
      <c r="V134" s="22">
        <f t="shared" si="1121"/>
        <v>0</v>
      </c>
      <c r="W134" s="22">
        <f t="shared" ref="W134" si="1122">SUM(W130:W133)</f>
        <v>0</v>
      </c>
      <c r="X134" s="22">
        <f t="shared" ref="X134:Y134" si="1123">SUM(X130:X133)</f>
        <v>0</v>
      </c>
      <c r="Y134" s="22">
        <f t="shared" si="1123"/>
        <v>0</v>
      </c>
      <c r="Z134" s="22">
        <f t="shared" ref="Z134:AA134" si="1124">SUM(Z130:Z133)</f>
        <v>0</v>
      </c>
      <c r="AA134" s="22">
        <f t="shared" si="1124"/>
        <v>665.56</v>
      </c>
      <c r="AB134" s="21">
        <f t="shared" ref="AA134:AD134" si="1125">SUM(AB130:AB133)</f>
        <v>665.56</v>
      </c>
      <c r="AC134" s="21">
        <f t="shared" si="1125"/>
        <v>665.56</v>
      </c>
      <c r="AD134" s="21">
        <f t="shared" si="1125"/>
        <v>665.56</v>
      </c>
      <c r="AE134" s="21">
        <f t="shared" ref="AE134" si="1126">SUM(AE130:AE133)</f>
        <v>665.56</v>
      </c>
      <c r="AJ134" s="22">
        <f t="shared" ref="AJ134" si="1127">SUM(AJ130:AJ133)</f>
        <v>0</v>
      </c>
      <c r="AK134" s="22">
        <f t="shared" ref="AK134" si="1128">SUM(AK130:AK133)</f>
        <v>0</v>
      </c>
      <c r="AL134" s="22">
        <f t="shared" ref="AL134:AM134" si="1129">SUM(AL130:AL133)</f>
        <v>0</v>
      </c>
      <c r="AM134" s="22">
        <f t="shared" si="1129"/>
        <v>0</v>
      </c>
      <c r="AN134" s="22">
        <f t="shared" ref="AN134:AO134" si="1130">SUM(AN130:AN133)</f>
        <v>0</v>
      </c>
      <c r="AO134" s="22">
        <f t="shared" si="1130"/>
        <v>0</v>
      </c>
      <c r="AP134" s="22">
        <f t="shared" ref="AP134:CE134" si="1131">SUM(AP130:AP133)</f>
        <v>0</v>
      </c>
      <c r="AQ134" s="22">
        <f t="shared" si="1131"/>
        <v>0</v>
      </c>
      <c r="AR134" s="22">
        <f t="shared" si="1131"/>
        <v>0</v>
      </c>
      <c r="AS134" s="22">
        <f t="shared" si="1131"/>
        <v>0</v>
      </c>
      <c r="AT134" s="22">
        <f t="shared" si="1131"/>
        <v>0</v>
      </c>
      <c r="AU134" s="22">
        <f t="shared" si="1131"/>
        <v>0</v>
      </c>
      <c r="AV134" s="22">
        <f t="shared" si="1131"/>
        <v>0</v>
      </c>
      <c r="AW134" s="22">
        <f t="shared" si="1131"/>
        <v>0</v>
      </c>
      <c r="AX134" s="22">
        <f t="shared" si="1131"/>
        <v>0</v>
      </c>
      <c r="AY134" s="22">
        <f t="shared" si="1131"/>
        <v>0</v>
      </c>
      <c r="AZ134" s="22">
        <f t="shared" si="1131"/>
        <v>0</v>
      </c>
      <c r="BA134" s="22">
        <f t="shared" si="1131"/>
        <v>0</v>
      </c>
      <c r="BB134" s="22">
        <f t="shared" si="1131"/>
        <v>0</v>
      </c>
      <c r="BC134" s="22">
        <f t="shared" si="1131"/>
        <v>0</v>
      </c>
      <c r="BD134" s="22">
        <f t="shared" si="1131"/>
        <v>0</v>
      </c>
      <c r="BE134" s="22">
        <f t="shared" si="1131"/>
        <v>0</v>
      </c>
      <c r="BF134" s="22">
        <f t="shared" si="1131"/>
        <v>0</v>
      </c>
      <c r="BG134" s="22">
        <f t="shared" si="1131"/>
        <v>0</v>
      </c>
      <c r="BH134" s="22">
        <f t="shared" ref="BH134" si="1132">SUM(BH130:BH133)</f>
        <v>0</v>
      </c>
      <c r="BI134" s="22">
        <f t="shared" si="1131"/>
        <v>0</v>
      </c>
      <c r="BJ134" s="22">
        <f t="shared" si="1131"/>
        <v>0</v>
      </c>
      <c r="BK134" s="22">
        <f t="shared" si="1131"/>
        <v>0</v>
      </c>
      <c r="BL134" s="22">
        <f t="shared" si="1131"/>
        <v>0</v>
      </c>
      <c r="BM134" s="22">
        <f t="shared" si="1131"/>
        <v>0</v>
      </c>
      <c r="BN134" s="22">
        <f t="shared" si="1131"/>
        <v>0</v>
      </c>
      <c r="BO134" s="22">
        <f t="shared" si="1131"/>
        <v>0</v>
      </c>
      <c r="BP134" s="22">
        <f t="shared" si="1131"/>
        <v>0</v>
      </c>
      <c r="BQ134" s="22">
        <f t="shared" si="1131"/>
        <v>0</v>
      </c>
      <c r="BR134" s="22">
        <f t="shared" si="1131"/>
        <v>0</v>
      </c>
      <c r="BS134" s="22">
        <f t="shared" si="1131"/>
        <v>0</v>
      </c>
      <c r="BT134" s="22">
        <f t="shared" si="1131"/>
        <v>0</v>
      </c>
      <c r="BU134" s="22">
        <f t="shared" si="1131"/>
        <v>0</v>
      </c>
      <c r="BV134" s="22">
        <f t="shared" si="1131"/>
        <v>0</v>
      </c>
      <c r="BW134" s="22">
        <f t="shared" si="1131"/>
        <v>0</v>
      </c>
      <c r="BX134" s="22">
        <f t="shared" si="1131"/>
        <v>0</v>
      </c>
      <c r="BY134" s="22">
        <f t="shared" si="1131"/>
        <v>0</v>
      </c>
      <c r="BZ134" s="22">
        <f t="shared" si="1131"/>
        <v>0</v>
      </c>
      <c r="CA134" s="22">
        <f t="shared" si="1131"/>
        <v>0</v>
      </c>
      <c r="CB134" s="22">
        <f t="shared" si="1131"/>
        <v>0</v>
      </c>
      <c r="CC134" s="22">
        <f t="shared" si="1131"/>
        <v>0</v>
      </c>
      <c r="CD134" s="22">
        <f t="shared" si="1131"/>
        <v>0</v>
      </c>
      <c r="CE134" s="22">
        <f t="shared" si="1131"/>
        <v>0</v>
      </c>
      <c r="CF134" s="22">
        <f t="shared" ref="CF134:CG134" si="1133">SUM(CF130:CF133)</f>
        <v>0</v>
      </c>
      <c r="CG134" s="22">
        <f t="shared" si="1133"/>
        <v>0</v>
      </c>
      <c r="CH134" s="22">
        <f t="shared" ref="CH134:CI134" si="1134">SUM(CH130:CH133)</f>
        <v>0</v>
      </c>
      <c r="CI134" s="22">
        <f t="shared" si="1134"/>
        <v>0</v>
      </c>
      <c r="CJ134" s="22">
        <f t="shared" ref="CJ134:DB134" si="1135">SUM(CJ130:CJ133)</f>
        <v>0</v>
      </c>
      <c r="CK134" s="21">
        <f t="shared" si="1135"/>
        <v>0</v>
      </c>
      <c r="CL134" s="22">
        <f t="shared" ref="CL134" si="1136">SUM(CL130:CL133)</f>
        <v>665.56</v>
      </c>
      <c r="CM134" s="21">
        <f t="shared" si="1135"/>
        <v>665.56</v>
      </c>
      <c r="CN134" s="21">
        <f t="shared" si="1135"/>
        <v>665.56</v>
      </c>
      <c r="CO134" s="21">
        <f t="shared" si="1135"/>
        <v>665.56</v>
      </c>
      <c r="CP134" s="21">
        <f t="shared" si="1135"/>
        <v>665.56</v>
      </c>
      <c r="CQ134" s="21">
        <f t="shared" si="1135"/>
        <v>665.56</v>
      </c>
      <c r="CR134" s="21">
        <f t="shared" si="1135"/>
        <v>665.56</v>
      </c>
      <c r="CS134" s="21">
        <f t="shared" si="1135"/>
        <v>665.56</v>
      </c>
      <c r="CT134" s="21">
        <f t="shared" si="1135"/>
        <v>665.56</v>
      </c>
      <c r="CU134" s="21">
        <f t="shared" si="1135"/>
        <v>665.56</v>
      </c>
      <c r="CV134" s="21">
        <f t="shared" si="1135"/>
        <v>665.56</v>
      </c>
      <c r="CW134" s="21">
        <f t="shared" si="1135"/>
        <v>665.56</v>
      </c>
      <c r="CX134" s="21">
        <f t="shared" si="1135"/>
        <v>665.56</v>
      </c>
      <c r="CY134" s="21">
        <f t="shared" si="1135"/>
        <v>665.56</v>
      </c>
      <c r="CZ134" s="21">
        <f t="shared" si="1135"/>
        <v>665.56</v>
      </c>
      <c r="DA134" s="21">
        <f t="shared" si="1135"/>
        <v>665.56</v>
      </c>
      <c r="DB134" s="21">
        <f t="shared" si="1135"/>
        <v>665.56</v>
      </c>
      <c r="DE134" s="126"/>
      <c r="DF134" s="22">
        <v>0</v>
      </c>
    </row>
    <row r="135" spans="1:110" s="26" customFormat="1" x14ac:dyDescent="0.2">
      <c r="A135" s="26" t="s">
        <v>437</v>
      </c>
      <c r="B135" s="26">
        <f>B134+B126+B128</f>
        <v>0</v>
      </c>
      <c r="C135" s="26">
        <f t="shared" ref="C135:V135" si="1137">C134+C126+C128</f>
        <v>0</v>
      </c>
      <c r="D135" s="26">
        <f>D134+D126+D128</f>
        <v>0</v>
      </c>
      <c r="E135" s="26">
        <f t="shared" si="1137"/>
        <v>47.339939600000001</v>
      </c>
      <c r="F135" s="26">
        <f t="shared" si="1137"/>
        <v>42.268308300000001</v>
      </c>
      <c r="G135" s="26">
        <f t="shared" si="1137"/>
        <v>559.63139999999999</v>
      </c>
      <c r="H135" s="26">
        <f t="shared" si="1137"/>
        <v>561.55790000000002</v>
      </c>
      <c r="I135" s="26">
        <f t="shared" si="1137"/>
        <v>584.07780000000002</v>
      </c>
      <c r="J135" s="26">
        <f t="shared" si="1137"/>
        <v>671.4434</v>
      </c>
      <c r="K135" s="26">
        <f t="shared" si="1137"/>
        <v>644.95839999999998</v>
      </c>
      <c r="L135" s="26">
        <f t="shared" si="1137"/>
        <v>770.52189999999996</v>
      </c>
      <c r="M135" s="26">
        <f t="shared" si="1137"/>
        <v>1120.7</v>
      </c>
      <c r="N135" s="26">
        <f t="shared" si="1137"/>
        <v>1249.79</v>
      </c>
      <c r="O135" s="26">
        <f t="shared" si="1137"/>
        <v>1591.29</v>
      </c>
      <c r="P135" s="26">
        <f t="shared" si="1137"/>
        <v>1427.6100000000001</v>
      </c>
      <c r="Q135" s="26">
        <f t="shared" si="1137"/>
        <v>1798.26</v>
      </c>
      <c r="R135" s="26">
        <f t="shared" si="1137"/>
        <v>1638.49</v>
      </c>
      <c r="S135" s="26">
        <f t="shared" si="1137"/>
        <v>1617.85</v>
      </c>
      <c r="T135" s="26">
        <f t="shared" si="1137"/>
        <v>1757</v>
      </c>
      <c r="U135" s="26">
        <f t="shared" si="1137"/>
        <v>1852.5990000000002</v>
      </c>
      <c r="V135" s="26">
        <f t="shared" si="1137"/>
        <v>2142.154</v>
      </c>
      <c r="W135" s="26">
        <f t="shared" ref="W135" si="1138">W134+W126+W128</f>
        <v>2280.1609999999996</v>
      </c>
      <c r="X135" s="26">
        <f t="shared" ref="X135:Y135" si="1139">X134+X126+X128</f>
        <v>2989.4500000000003</v>
      </c>
      <c r="Y135" s="26">
        <f t="shared" si="1139"/>
        <v>3220.82</v>
      </c>
      <c r="Z135" s="26">
        <f t="shared" ref="Z135:AA135" si="1140">Z134+Z126+Z128</f>
        <v>3579.42</v>
      </c>
      <c r="AA135" s="26">
        <f t="shared" si="1140"/>
        <v>4588.93</v>
      </c>
      <c r="AB135" s="27">
        <f t="shared" ref="AA135:AD135" si="1141">AB134+AB126+AB128</f>
        <v>5071.2240460682988</v>
      </c>
      <c r="AC135" s="27">
        <f t="shared" si="1141"/>
        <v>6068.5028818641604</v>
      </c>
      <c r="AD135" s="27">
        <f t="shared" si="1141"/>
        <v>7420.0769536150001</v>
      </c>
      <c r="AE135" s="27">
        <f t="shared" ref="AE135" si="1142">AE134+AE126+AE128</f>
        <v>9164.9702843910909</v>
      </c>
      <c r="AJ135" s="26">
        <f t="shared" ref="AJ135" si="1143">AJ134+AJ126+AJ128</f>
        <v>0</v>
      </c>
      <c r="AK135" s="26">
        <f t="shared" ref="AK135" si="1144">AK134+AK126+AK128</f>
        <v>0</v>
      </c>
      <c r="AL135" s="26">
        <f t="shared" ref="AL135" si="1145">AL134+AL126+AL128</f>
        <v>0</v>
      </c>
      <c r="AM135" s="26">
        <f t="shared" ref="AM135:AO135" si="1146">AM134+AM126+AM128</f>
        <v>0</v>
      </c>
      <c r="AN135" s="26">
        <f t="shared" si="1146"/>
        <v>0</v>
      </c>
      <c r="AO135" s="26">
        <f t="shared" si="1146"/>
        <v>0</v>
      </c>
      <c r="AP135" s="26">
        <f t="shared" ref="AP135:CE135" si="1147">AP134+AP126+AP128</f>
        <v>0</v>
      </c>
      <c r="AQ135" s="26">
        <f t="shared" si="1147"/>
        <v>0</v>
      </c>
      <c r="AR135" s="26">
        <f t="shared" si="1147"/>
        <v>0</v>
      </c>
      <c r="AS135" s="26">
        <f t="shared" si="1147"/>
        <v>0</v>
      </c>
      <c r="AT135" s="26">
        <f t="shared" si="1147"/>
        <v>0</v>
      </c>
      <c r="AU135" s="26">
        <f t="shared" si="1147"/>
        <v>0</v>
      </c>
      <c r="AV135" s="26">
        <f t="shared" si="1147"/>
        <v>0</v>
      </c>
      <c r="AW135" s="26">
        <f t="shared" si="1147"/>
        <v>0</v>
      </c>
      <c r="AX135" s="26">
        <f t="shared" si="1147"/>
        <v>0</v>
      </c>
      <c r="AY135" s="26">
        <f t="shared" si="1147"/>
        <v>0</v>
      </c>
      <c r="AZ135" s="26">
        <f t="shared" si="1147"/>
        <v>0</v>
      </c>
      <c r="BA135" s="26">
        <f t="shared" si="1147"/>
        <v>0</v>
      </c>
      <c r="BB135" s="26">
        <f t="shared" si="1147"/>
        <v>0</v>
      </c>
      <c r="BC135" s="26">
        <f t="shared" si="1147"/>
        <v>0</v>
      </c>
      <c r="BD135" s="26">
        <f t="shared" si="1147"/>
        <v>0</v>
      </c>
      <c r="BE135" s="26">
        <f t="shared" si="1147"/>
        <v>0</v>
      </c>
      <c r="BF135" s="26">
        <f t="shared" si="1147"/>
        <v>0</v>
      </c>
      <c r="BG135" s="26">
        <f t="shared" si="1147"/>
        <v>0</v>
      </c>
      <c r="BH135" s="26">
        <f t="shared" ref="BH135" si="1148">BH134+BH126+BH128</f>
        <v>0</v>
      </c>
      <c r="BI135" s="26">
        <f t="shared" si="1147"/>
        <v>0</v>
      </c>
      <c r="BJ135" s="26">
        <f t="shared" si="1147"/>
        <v>0</v>
      </c>
      <c r="BK135" s="26">
        <f t="shared" si="1147"/>
        <v>0</v>
      </c>
      <c r="BL135" s="26">
        <f t="shared" si="1147"/>
        <v>0</v>
      </c>
      <c r="BM135" s="26">
        <f t="shared" si="1147"/>
        <v>0</v>
      </c>
      <c r="BN135" s="26">
        <f t="shared" si="1147"/>
        <v>0</v>
      </c>
      <c r="BO135" s="26">
        <f t="shared" si="1147"/>
        <v>0</v>
      </c>
      <c r="BP135" s="26">
        <f t="shared" si="1147"/>
        <v>0</v>
      </c>
      <c r="BQ135" s="26">
        <f t="shared" si="1147"/>
        <v>0</v>
      </c>
      <c r="BR135" s="26">
        <f t="shared" si="1147"/>
        <v>0</v>
      </c>
      <c r="BS135" s="26">
        <f t="shared" si="1147"/>
        <v>0</v>
      </c>
      <c r="BT135" s="26">
        <f t="shared" si="1147"/>
        <v>0</v>
      </c>
      <c r="BU135" s="26">
        <f t="shared" si="1147"/>
        <v>0</v>
      </c>
      <c r="BV135" s="26">
        <f t="shared" si="1147"/>
        <v>0</v>
      </c>
      <c r="BW135" s="26">
        <f t="shared" si="1147"/>
        <v>0</v>
      </c>
      <c r="BX135" s="26">
        <f t="shared" si="1147"/>
        <v>0</v>
      </c>
      <c r="BY135" s="26">
        <f t="shared" si="1147"/>
        <v>148.38000000000011</v>
      </c>
      <c r="BZ135" s="26">
        <f t="shared" si="1147"/>
        <v>2989.4500000000003</v>
      </c>
      <c r="CA135" s="26">
        <f t="shared" si="1147"/>
        <v>3180.98</v>
      </c>
      <c r="CB135" s="26">
        <f t="shared" si="1147"/>
        <v>0</v>
      </c>
      <c r="CC135" s="26">
        <f t="shared" si="1147"/>
        <v>170.2199999999998</v>
      </c>
      <c r="CD135" s="26">
        <f t="shared" si="1147"/>
        <v>3220.82</v>
      </c>
      <c r="CE135" s="26">
        <f t="shared" si="1147"/>
        <v>3382.85</v>
      </c>
      <c r="CF135" s="26">
        <f t="shared" ref="CF135:CG135" si="1149">CF134+CF126+CF128</f>
        <v>3215.09</v>
      </c>
      <c r="CG135" s="26">
        <f t="shared" si="1149"/>
        <v>3383.7300000000005</v>
      </c>
      <c r="CH135" s="26">
        <f t="shared" ref="CH135:CI135" si="1150">CH134+CH126+CH128</f>
        <v>3579.42</v>
      </c>
      <c r="CI135" s="26">
        <f t="shared" si="1150"/>
        <v>3749.7</v>
      </c>
      <c r="CJ135" s="26">
        <f t="shared" ref="CJ135:DB135" si="1151">CJ134+CJ126+CJ128</f>
        <v>3566.35</v>
      </c>
      <c r="CK135" s="27">
        <f t="shared" si="1151"/>
        <v>3572.9900000000002</v>
      </c>
      <c r="CL135" s="26">
        <f t="shared" ref="CL135" si="1152">CL134+CL126+CL128</f>
        <v>4588.93</v>
      </c>
      <c r="CM135" s="27">
        <f t="shared" si="1151"/>
        <v>4619.5651698080219</v>
      </c>
      <c r="CN135" s="27">
        <f t="shared" si="1151"/>
        <v>4720.795627780426</v>
      </c>
      <c r="CO135" s="27">
        <f t="shared" si="1151"/>
        <v>4868.3179899893657</v>
      </c>
      <c r="CP135" s="27">
        <f t="shared" si="1151"/>
        <v>5071.2240460682988</v>
      </c>
      <c r="CQ135" s="27">
        <f t="shared" si="1151"/>
        <v>5264.0584979537034</v>
      </c>
      <c r="CR135" s="27">
        <f t="shared" si="1151"/>
        <v>5494.4310097835623</v>
      </c>
      <c r="CS135" s="27">
        <f t="shared" si="1151"/>
        <v>5751.7437564354659</v>
      </c>
      <c r="CT135" s="27">
        <f t="shared" si="1151"/>
        <v>6068.5028818641604</v>
      </c>
      <c r="CU135" s="27">
        <f t="shared" si="1151"/>
        <v>6337.0834021804694</v>
      </c>
      <c r="CV135" s="27">
        <f t="shared" si="1151"/>
        <v>6653.440704812363</v>
      </c>
      <c r="CW135" s="27">
        <f t="shared" si="1151"/>
        <v>7001.8942318172831</v>
      </c>
      <c r="CX135" s="27">
        <f t="shared" si="1151"/>
        <v>7420.0769536150001</v>
      </c>
      <c r="CY135" s="27">
        <f t="shared" si="1151"/>
        <v>7784.0176069195441</v>
      </c>
      <c r="CZ135" s="27">
        <f t="shared" si="1151"/>
        <v>8195.6279559195445</v>
      </c>
      <c r="DA135" s="27">
        <f t="shared" si="1151"/>
        <v>8639.5455592511444</v>
      </c>
      <c r="DB135" s="27">
        <f t="shared" si="1151"/>
        <v>9164.9702843910909</v>
      </c>
      <c r="DE135" s="121"/>
      <c r="DF135" s="26">
        <v>3738.9514654806294</v>
      </c>
    </row>
    <row r="136" spans="1:110" s="23" customFormat="1" x14ac:dyDescent="0.2">
      <c r="AB136" s="24"/>
      <c r="AC136" s="24"/>
      <c r="AD136" s="24"/>
      <c r="AE136" s="24"/>
      <c r="CK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E136" s="123"/>
    </row>
    <row r="137" spans="1:110" s="23" customFormat="1" outlineLevel="1" x14ac:dyDescent="0.2">
      <c r="A137" s="23" t="s">
        <v>50</v>
      </c>
      <c r="B137" s="23">
        <f>'Annual Raw'!C62</f>
        <v>0</v>
      </c>
      <c r="C137" s="23">
        <f>'Annual Raw'!D62</f>
        <v>0</v>
      </c>
      <c r="D137" s="23">
        <f>'Annual Raw'!E62</f>
        <v>0</v>
      </c>
      <c r="E137" s="23">
        <f>'Annual Raw'!F62-E141</f>
        <v>52.022269599999994</v>
      </c>
      <c r="F137" s="23">
        <f>'Annual Raw'!G62-F141</f>
        <v>64.132306</v>
      </c>
      <c r="G137" s="23">
        <f>'Annual Raw'!H62-G141</f>
        <v>129.77760000000001</v>
      </c>
      <c r="H137" s="23">
        <f>'Annual Raw'!I62-H141</f>
        <v>140.5788</v>
      </c>
      <c r="I137" s="23">
        <f>'Annual Raw'!J62-I141</f>
        <v>143.78530000000001</v>
      </c>
      <c r="J137" s="23">
        <f>'Annual Raw'!K62-J141</f>
        <v>162.7946</v>
      </c>
      <c r="K137" s="23">
        <f>'Annual Raw'!L62-K141</f>
        <v>180.29320000000001</v>
      </c>
      <c r="L137" s="23">
        <f>'Annual Raw'!M62-L141</f>
        <v>196.08839999999998</v>
      </c>
      <c r="M137" s="23">
        <f>'Annual Raw'!N62-M141</f>
        <v>249.51</v>
      </c>
      <c r="N137" s="23">
        <f>'Annual Raw'!O62-N141</f>
        <v>256.28999999999996</v>
      </c>
      <c r="O137" s="23">
        <f>'Annual Raw'!P62-O141</f>
        <v>338.18999999999994</v>
      </c>
      <c r="P137" s="23">
        <f>'Annual Raw'!Q62-P141</f>
        <v>385.1</v>
      </c>
      <c r="Q137" s="23">
        <f>'Annual Raw'!R62-Q141</f>
        <v>456.0200000000001</v>
      </c>
      <c r="R137" s="23">
        <f>'Annual Raw'!S62-R141</f>
        <v>301.32000000000005</v>
      </c>
      <c r="S137" s="23">
        <f>'Annual Raw'!T62-S141</f>
        <v>368.20999999999992</v>
      </c>
      <c r="T137" s="23">
        <f>'Annual Raw'!U62-T141</f>
        <v>337.16000000000008</v>
      </c>
      <c r="U137" s="23">
        <f>'Annual Raw'!V62-U141</f>
        <v>686.59199999999998</v>
      </c>
      <c r="V137" s="23">
        <f>'Annual Raw'!W62-V141</f>
        <v>711.45299999999997</v>
      </c>
      <c r="W137" s="23">
        <f>'Annual Raw'!X62-W141</f>
        <v>757.20700000000011</v>
      </c>
      <c r="X137" s="23">
        <f>'Annual Raw'!Y62-X141</f>
        <v>852.74000000000012</v>
      </c>
      <c r="Y137" s="23">
        <f>'Annual Raw'!Z62-Y141</f>
        <v>972.81999999999994</v>
      </c>
      <c r="Z137" s="23">
        <f>'Annual Raw'!AA62-Z141</f>
        <v>1033.54</v>
      </c>
      <c r="AA137" s="23">
        <f>'Annual Raw'!AB62-AA141</f>
        <v>1163.06</v>
      </c>
      <c r="AB137" s="24">
        <f t="shared" ref="AB137:AB143" si="1153">+CP137</f>
        <v>1514.05</v>
      </c>
      <c r="AC137" s="24">
        <f t="shared" ref="AC137:AC143" si="1154">+CT137</f>
        <v>1634.05</v>
      </c>
      <c r="AD137" s="24">
        <f t="shared" ref="AD137:AD143" si="1155">+CX137</f>
        <v>1634.05</v>
      </c>
      <c r="AE137" s="24">
        <f t="shared" ref="AE137:AE143" si="1156">+DB137</f>
        <v>1634.05</v>
      </c>
      <c r="AJ137" s="23">
        <f>+'QTR Raw'!D68</f>
        <v>0</v>
      </c>
      <c r="AL137" s="23">
        <f>+'QTR Raw'!F68</f>
        <v>0</v>
      </c>
      <c r="AN137" s="23">
        <f>+'QTR Raw'!H68</f>
        <v>0</v>
      </c>
      <c r="AP137" s="23">
        <f>+'QTR Raw'!J68</f>
        <v>0</v>
      </c>
      <c r="AR137" s="23">
        <f>+'QTR Raw'!L68</f>
        <v>0</v>
      </c>
      <c r="AT137" s="23">
        <f>+'QTR Raw'!N68</f>
        <v>0</v>
      </c>
      <c r="AV137" s="23">
        <f>+'QTR Raw'!P68</f>
        <v>0</v>
      </c>
      <c r="AX137" s="23">
        <f>+'QTR Raw'!R68</f>
        <v>0</v>
      </c>
      <c r="AZ137" s="23">
        <f>+'QTR Raw'!T68</f>
        <v>0</v>
      </c>
      <c r="BB137" s="23">
        <f>+'QTR Raw'!V68</f>
        <v>0</v>
      </c>
      <c r="BD137" s="23">
        <f>+'QTR Raw'!X68</f>
        <v>0</v>
      </c>
      <c r="BF137" s="23">
        <f>+'QTR Raw'!Z68</f>
        <v>0</v>
      </c>
      <c r="BH137" s="23">
        <f>+'QTR Raw'!AB68</f>
        <v>0</v>
      </c>
      <c r="BJ137" s="23">
        <f>+'QTR Raw'!AD68</f>
        <v>0</v>
      </c>
      <c r="BL137" s="23">
        <f>+'QTR Raw'!AF68</f>
        <v>0</v>
      </c>
      <c r="BN137" s="23">
        <f>+'QTR Raw'!AH68</f>
        <v>0</v>
      </c>
      <c r="BP137" s="23">
        <f>+'QTR Raw'!AJ68</f>
        <v>0</v>
      </c>
      <c r="BR137" s="23">
        <f>+'QTR Raw'!AL68</f>
        <v>0</v>
      </c>
      <c r="BT137" s="23">
        <f>+'QTR Raw'!AN68</f>
        <v>0</v>
      </c>
      <c r="BV137" s="23">
        <f>+'QTR Raw'!AP68</f>
        <v>0</v>
      </c>
      <c r="BX137" s="23">
        <f>+'QTR Raw'!AR68</f>
        <v>0</v>
      </c>
      <c r="BZ137" s="23">
        <f>+'QTR Raw'!AT68</f>
        <v>152.21</v>
      </c>
      <c r="CB137" s="23">
        <f>+'QTR Raw'!AV68</f>
        <v>0</v>
      </c>
      <c r="CD137" s="23">
        <f>+'QTR Raw'!AX68</f>
        <v>187.01</v>
      </c>
      <c r="CF137" s="23">
        <f>+'QTR Raw'!AZ68</f>
        <v>165.51</v>
      </c>
      <c r="CH137" s="23">
        <f t="shared" ref="CH137:CH143" si="1157">Z137</f>
        <v>1033.54</v>
      </c>
      <c r="CI137" s="23">
        <f>CH137</f>
        <v>1033.54</v>
      </c>
      <c r="CJ137" s="23">
        <f>+CJ138+CJ140</f>
        <v>915.4</v>
      </c>
      <c r="CK137" s="24">
        <f>+CJ137+30</f>
        <v>945.4</v>
      </c>
      <c r="CL137" s="23">
        <f>+CL138+CL140</f>
        <v>1394.05</v>
      </c>
      <c r="CM137" s="24">
        <f t="shared" ref="CM137:CT137" si="1158">+CL137+30</f>
        <v>1424.05</v>
      </c>
      <c r="CN137" s="24">
        <f t="shared" si="1158"/>
        <v>1454.05</v>
      </c>
      <c r="CO137" s="24">
        <f t="shared" si="1158"/>
        <v>1484.05</v>
      </c>
      <c r="CP137" s="24">
        <f t="shared" si="1158"/>
        <v>1514.05</v>
      </c>
      <c r="CQ137" s="24">
        <f t="shared" si="1158"/>
        <v>1544.05</v>
      </c>
      <c r="CR137" s="24">
        <f t="shared" si="1158"/>
        <v>1574.05</v>
      </c>
      <c r="CS137" s="24">
        <f t="shared" si="1158"/>
        <v>1604.05</v>
      </c>
      <c r="CT137" s="24">
        <f t="shared" si="1158"/>
        <v>1634.05</v>
      </c>
      <c r="CU137" s="24">
        <f t="shared" ref="CU137:DB137" si="1159">+CT137</f>
        <v>1634.05</v>
      </c>
      <c r="CV137" s="24">
        <f t="shared" si="1159"/>
        <v>1634.05</v>
      </c>
      <c r="CW137" s="24">
        <f t="shared" si="1159"/>
        <v>1634.05</v>
      </c>
      <c r="CX137" s="24">
        <f t="shared" si="1159"/>
        <v>1634.05</v>
      </c>
      <c r="CY137" s="24">
        <f t="shared" si="1159"/>
        <v>1634.05</v>
      </c>
      <c r="CZ137" s="24">
        <f t="shared" si="1159"/>
        <v>1634.05</v>
      </c>
      <c r="DA137" s="24">
        <f t="shared" si="1159"/>
        <v>1634.05</v>
      </c>
      <c r="DB137" s="24">
        <f t="shared" si="1159"/>
        <v>1634.05</v>
      </c>
      <c r="DE137" s="123"/>
      <c r="DF137" s="23">
        <v>975.4</v>
      </c>
    </row>
    <row r="138" spans="1:110" s="23" customFormat="1" outlineLevel="1" x14ac:dyDescent="0.2">
      <c r="A138" s="23" t="s">
        <v>51</v>
      </c>
      <c r="B138" s="23">
        <f>'Annual Raw'!C63</f>
        <v>0</v>
      </c>
      <c r="C138" s="23">
        <f>'Annual Raw'!D63</f>
        <v>0</v>
      </c>
      <c r="D138" s="23">
        <f>'Annual Raw'!E63</f>
        <v>0</v>
      </c>
      <c r="E138" s="23">
        <f>'Annual Raw'!F63</f>
        <v>21.352891199999998</v>
      </c>
      <c r="F138" s="23">
        <f>'Annual Raw'!G63</f>
        <v>28.197194100000001</v>
      </c>
      <c r="G138" s="23">
        <f>'Annual Raw'!H63</f>
        <v>76.002300000000005</v>
      </c>
      <c r="H138" s="23">
        <f>'Annual Raw'!I63</f>
        <v>84.521900000000002</v>
      </c>
      <c r="I138" s="23">
        <f>'Annual Raw'!J63</f>
        <v>84.9495</v>
      </c>
      <c r="J138" s="23">
        <f>'Annual Raw'!K63</f>
        <v>103.321</v>
      </c>
      <c r="K138" s="23">
        <f>'Annual Raw'!L63</f>
        <v>106.27209999999999</v>
      </c>
      <c r="L138" s="23">
        <f>'Annual Raw'!M63</f>
        <v>117.3288</v>
      </c>
      <c r="M138" s="23">
        <f>'Annual Raw'!N63</f>
        <v>142.75</v>
      </c>
      <c r="N138" s="23">
        <f>'Annual Raw'!O63</f>
        <v>147.33000000000001</v>
      </c>
      <c r="O138" s="23">
        <f>'Annual Raw'!P63</f>
        <v>207.08</v>
      </c>
      <c r="P138" s="23">
        <f>'Annual Raw'!Q63</f>
        <v>248.46</v>
      </c>
      <c r="Q138" s="23">
        <f>'Annual Raw'!R63</f>
        <v>296.35000000000002</v>
      </c>
      <c r="R138" s="23">
        <f>'Annual Raw'!S63</f>
        <v>118.15</v>
      </c>
      <c r="S138" s="23">
        <f>'Annual Raw'!T63</f>
        <v>194.21</v>
      </c>
      <c r="T138" s="23">
        <f>'Annual Raw'!U63</f>
        <v>199.15</v>
      </c>
      <c r="U138" s="23">
        <f>'Annual Raw'!V63</f>
        <v>283.83800000000002</v>
      </c>
      <c r="V138" s="23">
        <f>'Annual Raw'!W63</f>
        <v>363.55500000000001</v>
      </c>
      <c r="W138" s="23">
        <f>'Annual Raw'!X63</f>
        <v>431.62099999999998</v>
      </c>
      <c r="X138" s="23">
        <f>'Annual Raw'!Y63</f>
        <v>530.58000000000004</v>
      </c>
      <c r="Y138" s="23">
        <f>'Annual Raw'!Z63</f>
        <v>612.52</v>
      </c>
      <c r="Z138" s="23">
        <f>'Annual Raw'!AA63</f>
        <v>727.05</v>
      </c>
      <c r="AA138" s="23">
        <f>'Annual Raw'!AB63</f>
        <v>803.43</v>
      </c>
      <c r="AB138" s="24">
        <f t="shared" si="1153"/>
        <v>1374.9172988040536</v>
      </c>
      <c r="AC138" s="24">
        <f t="shared" si="1154"/>
        <v>1548.2855925418221</v>
      </c>
      <c r="AD138" s="24">
        <f t="shared" si="1155"/>
        <v>1622.0967659628616</v>
      </c>
      <c r="AE138" s="24">
        <f t="shared" si="1156"/>
        <v>1632.3840431283656</v>
      </c>
      <c r="AJ138" s="23">
        <f>+'QTR Raw'!D69</f>
        <v>0</v>
      </c>
      <c r="AL138" s="23">
        <f>+'QTR Raw'!F69</f>
        <v>0</v>
      </c>
      <c r="AN138" s="23">
        <f>+'QTR Raw'!H69</f>
        <v>0</v>
      </c>
      <c r="AP138" s="23">
        <f>+'QTR Raw'!J69</f>
        <v>0</v>
      </c>
      <c r="AR138" s="23">
        <f>+'QTR Raw'!L69</f>
        <v>0</v>
      </c>
      <c r="AT138" s="23">
        <f>+'QTR Raw'!N69</f>
        <v>0</v>
      </c>
      <c r="AV138" s="23">
        <f>+'QTR Raw'!P69</f>
        <v>0</v>
      </c>
      <c r="AX138" s="23">
        <f>+'QTR Raw'!R69</f>
        <v>0</v>
      </c>
      <c r="AZ138" s="23">
        <f>+'QTR Raw'!T69</f>
        <v>0</v>
      </c>
      <c r="BB138" s="23">
        <f>+'QTR Raw'!V69</f>
        <v>0</v>
      </c>
      <c r="BD138" s="23">
        <f>+'QTR Raw'!X69</f>
        <v>0</v>
      </c>
      <c r="BF138" s="23">
        <f>+'QTR Raw'!Z69</f>
        <v>0</v>
      </c>
      <c r="BH138" s="23">
        <f>+'QTR Raw'!AB69</f>
        <v>0</v>
      </c>
      <c r="BJ138" s="23">
        <f>+'QTR Raw'!AD69</f>
        <v>0</v>
      </c>
      <c r="BL138" s="23">
        <f>+'QTR Raw'!AF69</f>
        <v>0</v>
      </c>
      <c r="BN138" s="23">
        <f>+'QTR Raw'!AH69</f>
        <v>0</v>
      </c>
      <c r="BP138" s="23">
        <f>+'QTR Raw'!AJ69</f>
        <v>0</v>
      </c>
      <c r="BR138" s="23">
        <f>+'QTR Raw'!AL69</f>
        <v>0</v>
      </c>
      <c r="BT138" s="23">
        <f>+'QTR Raw'!AN69</f>
        <v>0</v>
      </c>
      <c r="BV138" s="23">
        <f>+'QTR Raw'!AP69</f>
        <v>0</v>
      </c>
      <c r="BX138" s="23">
        <f>+'QTR Raw'!AR69</f>
        <v>0</v>
      </c>
      <c r="BZ138" s="23">
        <f>+'QTR Raw'!AT69</f>
        <v>0</v>
      </c>
      <c r="CB138" s="23">
        <f>+'QTR Raw'!AV69</f>
        <v>0</v>
      </c>
      <c r="CD138" s="23">
        <f>+'QTR Raw'!AX69</f>
        <v>0</v>
      </c>
      <c r="CF138" s="23">
        <f>+'QTR Raw'!AZ69</f>
        <v>0</v>
      </c>
      <c r="CH138" s="23">
        <f t="shared" si="1157"/>
        <v>727.05</v>
      </c>
      <c r="CI138" s="23">
        <f t="shared" ref="CI138:DB138" si="1160">CH138+CI38</f>
        <v>758.38</v>
      </c>
      <c r="CJ138" s="23">
        <f t="shared" si="1160"/>
        <v>789.27</v>
      </c>
      <c r="CK138" s="24">
        <f t="shared" si="1160"/>
        <v>825.27</v>
      </c>
      <c r="CL138" s="23">
        <f t="shared" si="1160"/>
        <v>872</v>
      </c>
      <c r="CM138" s="24">
        <f t="shared" si="1160"/>
        <v>1075.0749729459751</v>
      </c>
      <c r="CN138" s="24">
        <f t="shared" si="1160"/>
        <v>1210.8246026324364</v>
      </c>
      <c r="CO138" s="24">
        <f t="shared" si="1160"/>
        <v>1305.438128138024</v>
      </c>
      <c r="CP138" s="24">
        <f t="shared" si="1160"/>
        <v>1374.9172988040536</v>
      </c>
      <c r="CQ138" s="24">
        <f t="shared" si="1160"/>
        <v>1429.039259404125</v>
      </c>
      <c r="CR138" s="24">
        <f t="shared" si="1160"/>
        <v>1473.7778917860883</v>
      </c>
      <c r="CS138" s="24">
        <f t="shared" si="1160"/>
        <v>1512.7832661042112</v>
      </c>
      <c r="CT138" s="24">
        <f t="shared" si="1160"/>
        <v>1548.2855925418221</v>
      </c>
      <c r="CU138" s="24">
        <f t="shared" si="1160"/>
        <v>1581.6475401029695</v>
      </c>
      <c r="CV138" s="24">
        <f t="shared" si="1160"/>
        <v>1602.0318483605924</v>
      </c>
      <c r="CW138" s="24">
        <f t="shared" si="1160"/>
        <v>1614.4867574266834</v>
      </c>
      <c r="CX138" s="24">
        <f t="shared" si="1160"/>
        <v>1622.0967659628616</v>
      </c>
      <c r="CY138" s="24">
        <f t="shared" si="1160"/>
        <v>1626.7465172868895</v>
      </c>
      <c r="CZ138" s="24">
        <f t="shared" si="1160"/>
        <v>1629.5875374082884</v>
      </c>
      <c r="DA138" s="24">
        <f t="shared" si="1160"/>
        <v>1631.3234141827052</v>
      </c>
      <c r="DB138" s="24">
        <f t="shared" si="1160"/>
        <v>1632.3840431283656</v>
      </c>
      <c r="DE138" s="123"/>
      <c r="DF138" s="23">
        <v>859.55748117022119</v>
      </c>
    </row>
    <row r="139" spans="1:110" s="23" customFormat="1" outlineLevel="1" x14ac:dyDescent="0.2">
      <c r="A139" s="23" t="s">
        <v>52</v>
      </c>
      <c r="B139" s="23">
        <f>'Annual Raw'!C64</f>
        <v>0</v>
      </c>
      <c r="C139" s="23">
        <f>'Annual Raw'!D64</f>
        <v>0</v>
      </c>
      <c r="D139" s="23">
        <f>'Annual Raw'!E64</f>
        <v>0</v>
      </c>
      <c r="E139" s="23">
        <f>'Annual Raw'!F64</f>
        <v>0</v>
      </c>
      <c r="F139" s="23">
        <f>'Annual Raw'!G64</f>
        <v>0</v>
      </c>
      <c r="G139" s="23">
        <f>'Annual Raw'!H64</f>
        <v>0</v>
      </c>
      <c r="H139" s="23">
        <f>'Annual Raw'!I64</f>
        <v>0</v>
      </c>
      <c r="I139" s="23">
        <f>'Annual Raw'!J64</f>
        <v>0</v>
      </c>
      <c r="J139" s="23">
        <f>'Annual Raw'!K64</f>
        <v>0</v>
      </c>
      <c r="K139" s="23">
        <f>'Annual Raw'!L64</f>
        <v>0</v>
      </c>
      <c r="L139" s="23">
        <f>'Annual Raw'!M64</f>
        <v>0</v>
      </c>
      <c r="M139" s="23">
        <f>'Annual Raw'!N64</f>
        <v>0</v>
      </c>
      <c r="N139" s="23">
        <f>'Annual Raw'!O64</f>
        <v>0</v>
      </c>
      <c r="O139" s="23">
        <f>'Annual Raw'!P64</f>
        <v>0</v>
      </c>
      <c r="P139" s="23">
        <f>'Annual Raw'!Q64</f>
        <v>0</v>
      </c>
      <c r="Q139" s="23">
        <f>'Annual Raw'!R64</f>
        <v>0</v>
      </c>
      <c r="R139" s="23">
        <f>'Annual Raw'!S64</f>
        <v>0</v>
      </c>
      <c r="S139" s="23">
        <f>'Annual Raw'!T64</f>
        <v>0</v>
      </c>
      <c r="T139" s="23">
        <f>'Annual Raw'!U64</f>
        <v>0</v>
      </c>
      <c r="U139" s="23">
        <f>'Annual Raw'!V64</f>
        <v>0</v>
      </c>
      <c r="V139" s="23">
        <f>'Annual Raw'!W64</f>
        <v>0</v>
      </c>
      <c r="W139" s="23">
        <f>'Annual Raw'!X64</f>
        <v>0</v>
      </c>
      <c r="X139" s="23">
        <f>'Annual Raw'!Y64</f>
        <v>0</v>
      </c>
      <c r="Y139" s="23">
        <f>'Annual Raw'!Z64</f>
        <v>0</v>
      </c>
      <c r="Z139" s="23">
        <f>'Annual Raw'!AA64</f>
        <v>0</v>
      </c>
      <c r="AA139" s="23">
        <f>'Annual Raw'!AB64</f>
        <v>0</v>
      </c>
      <c r="AB139" s="24">
        <f t="shared" si="1153"/>
        <v>0</v>
      </c>
      <c r="AC139" s="24">
        <f t="shared" si="1154"/>
        <v>0</v>
      </c>
      <c r="AD139" s="24">
        <f t="shared" si="1155"/>
        <v>0</v>
      </c>
      <c r="AE139" s="24">
        <f t="shared" si="1156"/>
        <v>0</v>
      </c>
      <c r="AJ139" s="23">
        <f>+'QTR Raw'!D70</f>
        <v>0</v>
      </c>
      <c r="AL139" s="23">
        <f>+'QTR Raw'!F70</f>
        <v>0</v>
      </c>
      <c r="AN139" s="23">
        <f>+'QTR Raw'!H70</f>
        <v>0</v>
      </c>
      <c r="AP139" s="23">
        <f>+'QTR Raw'!J70</f>
        <v>0</v>
      </c>
      <c r="AR139" s="23">
        <f>+'QTR Raw'!L70</f>
        <v>0</v>
      </c>
      <c r="AT139" s="23">
        <f>+'QTR Raw'!N70</f>
        <v>0</v>
      </c>
      <c r="AV139" s="23">
        <f>+'QTR Raw'!P70</f>
        <v>0</v>
      </c>
      <c r="AX139" s="23">
        <f>+'QTR Raw'!R70</f>
        <v>0</v>
      </c>
      <c r="AZ139" s="23">
        <f>+'QTR Raw'!T70</f>
        <v>0</v>
      </c>
      <c r="BB139" s="23">
        <f>+'QTR Raw'!V70</f>
        <v>0</v>
      </c>
      <c r="BD139" s="23">
        <f>+'QTR Raw'!X70</f>
        <v>0</v>
      </c>
      <c r="BF139" s="23">
        <f>+'QTR Raw'!Z70</f>
        <v>0</v>
      </c>
      <c r="BH139" s="23">
        <f>+'QTR Raw'!AB70</f>
        <v>0</v>
      </c>
      <c r="BJ139" s="23">
        <f>+'QTR Raw'!AD70</f>
        <v>0</v>
      </c>
      <c r="BL139" s="23">
        <f>+'QTR Raw'!AF70</f>
        <v>0</v>
      </c>
      <c r="BN139" s="23">
        <f>+'QTR Raw'!AH70</f>
        <v>0</v>
      </c>
      <c r="BP139" s="23">
        <f>+'QTR Raw'!AJ70</f>
        <v>0</v>
      </c>
      <c r="BR139" s="23">
        <f>+'QTR Raw'!AL70</f>
        <v>0</v>
      </c>
      <c r="BT139" s="23">
        <f>+'QTR Raw'!AN70</f>
        <v>0</v>
      </c>
      <c r="BV139" s="23">
        <f>+'QTR Raw'!AP70</f>
        <v>0</v>
      </c>
      <c r="BX139" s="23">
        <f>+'QTR Raw'!AR70</f>
        <v>0</v>
      </c>
      <c r="BZ139" s="23">
        <f>+'QTR Raw'!AT70</f>
        <v>0</v>
      </c>
      <c r="CB139" s="23">
        <f>+'QTR Raw'!AV70</f>
        <v>0</v>
      </c>
      <c r="CD139" s="23">
        <f>+'QTR Raw'!AX70</f>
        <v>0</v>
      </c>
      <c r="CF139" s="23">
        <f>+'QTR Raw'!AZ70</f>
        <v>0</v>
      </c>
      <c r="CH139" s="23">
        <f t="shared" si="1157"/>
        <v>0</v>
      </c>
      <c r="CI139" s="23">
        <f>CH139</f>
        <v>0</v>
      </c>
      <c r="CJ139" s="23">
        <f>+'QTR Raw'!BD70</f>
        <v>0</v>
      </c>
      <c r="CK139" s="24">
        <f t="shared" ref="CK139:DB139" si="1161">CJ139</f>
        <v>0</v>
      </c>
      <c r="CL139" s="23">
        <f>+'QTR Raw'!BF70</f>
        <v>0</v>
      </c>
      <c r="CM139" s="24">
        <f t="shared" si="1161"/>
        <v>0</v>
      </c>
      <c r="CN139" s="24">
        <f t="shared" si="1161"/>
        <v>0</v>
      </c>
      <c r="CO139" s="24">
        <f t="shared" si="1161"/>
        <v>0</v>
      </c>
      <c r="CP139" s="24">
        <f t="shared" si="1161"/>
        <v>0</v>
      </c>
      <c r="CQ139" s="24">
        <f t="shared" si="1161"/>
        <v>0</v>
      </c>
      <c r="CR139" s="24">
        <f t="shared" si="1161"/>
        <v>0</v>
      </c>
      <c r="CS139" s="24">
        <f t="shared" si="1161"/>
        <v>0</v>
      </c>
      <c r="CT139" s="24">
        <f t="shared" si="1161"/>
        <v>0</v>
      </c>
      <c r="CU139" s="24">
        <f t="shared" si="1161"/>
        <v>0</v>
      </c>
      <c r="CV139" s="24">
        <f t="shared" si="1161"/>
        <v>0</v>
      </c>
      <c r="CW139" s="24">
        <f t="shared" si="1161"/>
        <v>0</v>
      </c>
      <c r="CX139" s="24">
        <f t="shared" si="1161"/>
        <v>0</v>
      </c>
      <c r="CY139" s="24">
        <f t="shared" si="1161"/>
        <v>0</v>
      </c>
      <c r="CZ139" s="24">
        <f t="shared" si="1161"/>
        <v>0</v>
      </c>
      <c r="DA139" s="24">
        <f t="shared" si="1161"/>
        <v>0</v>
      </c>
      <c r="DB139" s="24">
        <f t="shared" si="1161"/>
        <v>0</v>
      </c>
      <c r="DE139" s="123"/>
      <c r="DF139" s="23">
        <v>0</v>
      </c>
    </row>
    <row r="140" spans="1:110" s="22" customFormat="1" outlineLevel="1" x14ac:dyDescent="0.2">
      <c r="A140" s="22" t="s">
        <v>53</v>
      </c>
      <c r="B140" s="22">
        <f>+B137-B138-B139</f>
        <v>0</v>
      </c>
      <c r="C140" s="22">
        <f t="shared" ref="C140:W140" si="1162">+C137-C138-C139</f>
        <v>0</v>
      </c>
      <c r="D140" s="22">
        <f t="shared" si="1162"/>
        <v>0</v>
      </c>
      <c r="E140" s="22">
        <f t="shared" si="1162"/>
        <v>30.669378399999996</v>
      </c>
      <c r="F140" s="22">
        <f t="shared" si="1162"/>
        <v>35.935111899999995</v>
      </c>
      <c r="G140" s="22">
        <f t="shared" si="1162"/>
        <v>53.775300000000001</v>
      </c>
      <c r="H140" s="22">
        <f t="shared" si="1162"/>
        <v>56.056899999999999</v>
      </c>
      <c r="I140" s="22">
        <f t="shared" si="1162"/>
        <v>58.835800000000006</v>
      </c>
      <c r="J140" s="22">
        <f t="shared" si="1162"/>
        <v>59.473600000000005</v>
      </c>
      <c r="K140" s="22">
        <f t="shared" si="1162"/>
        <v>74.021100000000018</v>
      </c>
      <c r="L140" s="22">
        <f t="shared" si="1162"/>
        <v>78.759599999999978</v>
      </c>
      <c r="M140" s="22">
        <f t="shared" si="1162"/>
        <v>106.75999999999999</v>
      </c>
      <c r="N140" s="22">
        <f t="shared" si="1162"/>
        <v>108.95999999999995</v>
      </c>
      <c r="O140" s="22">
        <f t="shared" si="1162"/>
        <v>131.10999999999993</v>
      </c>
      <c r="P140" s="22">
        <f t="shared" si="1162"/>
        <v>136.64000000000001</v>
      </c>
      <c r="Q140" s="22">
        <f t="shared" si="1162"/>
        <v>159.67000000000007</v>
      </c>
      <c r="R140" s="22">
        <f t="shared" si="1162"/>
        <v>183.17000000000004</v>
      </c>
      <c r="S140" s="22">
        <f t="shared" si="1162"/>
        <v>173.99999999999991</v>
      </c>
      <c r="T140" s="22">
        <f t="shared" si="1162"/>
        <v>138.01000000000008</v>
      </c>
      <c r="U140" s="22">
        <f t="shared" si="1162"/>
        <v>402.75399999999996</v>
      </c>
      <c r="V140" s="22">
        <f t="shared" si="1162"/>
        <v>347.89799999999997</v>
      </c>
      <c r="W140" s="22">
        <f t="shared" si="1162"/>
        <v>325.58600000000013</v>
      </c>
      <c r="X140" s="22">
        <f t="shared" ref="X140:Y140" si="1163">+X137-X138-X139</f>
        <v>322.16000000000008</v>
      </c>
      <c r="Y140" s="22">
        <f t="shared" si="1163"/>
        <v>360.29999999999995</v>
      </c>
      <c r="Z140" s="22">
        <f t="shared" ref="Z140:AE140" si="1164">+Z137-Z138-Z139</f>
        <v>306.49</v>
      </c>
      <c r="AA140" s="22">
        <f t="shared" ref="AA140" si="1165">+AA137-AA138-AA139</f>
        <v>359.63</v>
      </c>
      <c r="AB140" s="21">
        <f t="shared" si="1164"/>
        <v>139.13270119594631</v>
      </c>
      <c r="AC140" s="21">
        <f t="shared" si="1164"/>
        <v>85.764407458177857</v>
      </c>
      <c r="AD140" s="21">
        <f t="shared" si="1164"/>
        <v>11.953234037138373</v>
      </c>
      <c r="AE140" s="21">
        <f t="shared" si="1164"/>
        <v>1.6659568716343074</v>
      </c>
      <c r="AJ140" s="22">
        <f t="shared" ref="AJ140:AL140" si="1166">+AJ137-AJ138-AJ139</f>
        <v>0</v>
      </c>
      <c r="AK140" s="22">
        <f t="shared" ref="AK140:CE140" si="1167">+AJ140</f>
        <v>0</v>
      </c>
      <c r="AL140" s="22">
        <f t="shared" si="1166"/>
        <v>0</v>
      </c>
      <c r="AM140" s="22">
        <f t="shared" si="1167"/>
        <v>0</v>
      </c>
      <c r="AN140" s="22">
        <f t="shared" ref="AN140" si="1168">+AN137-AN138-AN139</f>
        <v>0</v>
      </c>
      <c r="AO140" s="22">
        <f t="shared" si="1167"/>
        <v>0</v>
      </c>
      <c r="AP140" s="22">
        <f t="shared" ref="AP140:CD140" si="1169">+AP137-AP138-AP139</f>
        <v>0</v>
      </c>
      <c r="AQ140" s="22">
        <f t="shared" si="1167"/>
        <v>0</v>
      </c>
      <c r="AR140" s="22">
        <f t="shared" si="1169"/>
        <v>0</v>
      </c>
      <c r="AS140" s="22">
        <f t="shared" si="1167"/>
        <v>0</v>
      </c>
      <c r="AT140" s="22">
        <f t="shared" si="1169"/>
        <v>0</v>
      </c>
      <c r="AU140" s="22">
        <f t="shared" si="1167"/>
        <v>0</v>
      </c>
      <c r="AV140" s="22">
        <f t="shared" si="1169"/>
        <v>0</v>
      </c>
      <c r="AW140" s="22">
        <f t="shared" si="1167"/>
        <v>0</v>
      </c>
      <c r="AX140" s="22">
        <f t="shared" si="1169"/>
        <v>0</v>
      </c>
      <c r="AY140" s="22">
        <f t="shared" si="1167"/>
        <v>0</v>
      </c>
      <c r="AZ140" s="22">
        <f t="shared" si="1169"/>
        <v>0</v>
      </c>
      <c r="BA140" s="22">
        <f t="shared" si="1167"/>
        <v>0</v>
      </c>
      <c r="BB140" s="22">
        <f t="shared" si="1169"/>
        <v>0</v>
      </c>
      <c r="BC140" s="22">
        <f t="shared" si="1167"/>
        <v>0</v>
      </c>
      <c r="BD140" s="22">
        <f t="shared" si="1169"/>
        <v>0</v>
      </c>
      <c r="BE140" s="22">
        <f t="shared" si="1167"/>
        <v>0</v>
      </c>
      <c r="BF140" s="22">
        <f t="shared" si="1169"/>
        <v>0</v>
      </c>
      <c r="BG140" s="22">
        <f t="shared" si="1167"/>
        <v>0</v>
      </c>
      <c r="BH140" s="22">
        <f t="shared" si="1169"/>
        <v>0</v>
      </c>
      <c r="BI140" s="22">
        <f t="shared" si="1167"/>
        <v>0</v>
      </c>
      <c r="BJ140" s="22">
        <f t="shared" si="1169"/>
        <v>0</v>
      </c>
      <c r="BK140" s="22">
        <f t="shared" si="1167"/>
        <v>0</v>
      </c>
      <c r="BL140" s="22">
        <f t="shared" si="1169"/>
        <v>0</v>
      </c>
      <c r="BM140" s="22">
        <f t="shared" si="1167"/>
        <v>0</v>
      </c>
      <c r="BN140" s="22">
        <f t="shared" si="1169"/>
        <v>0</v>
      </c>
      <c r="BO140" s="22">
        <f t="shared" si="1167"/>
        <v>0</v>
      </c>
      <c r="BP140" s="22">
        <f t="shared" si="1169"/>
        <v>0</v>
      </c>
      <c r="BQ140" s="22">
        <f t="shared" si="1167"/>
        <v>0</v>
      </c>
      <c r="BR140" s="22">
        <f t="shared" si="1169"/>
        <v>0</v>
      </c>
      <c r="BS140" s="22">
        <f t="shared" si="1167"/>
        <v>0</v>
      </c>
      <c r="BT140" s="22">
        <f t="shared" si="1169"/>
        <v>0</v>
      </c>
      <c r="BU140" s="22">
        <f t="shared" si="1167"/>
        <v>0</v>
      </c>
      <c r="BV140" s="22">
        <f t="shared" si="1169"/>
        <v>0</v>
      </c>
      <c r="BW140" s="22">
        <f t="shared" si="1167"/>
        <v>0</v>
      </c>
      <c r="BX140" s="22">
        <f t="shared" si="1169"/>
        <v>0</v>
      </c>
      <c r="BY140" s="22">
        <f t="shared" si="1167"/>
        <v>0</v>
      </c>
      <c r="BZ140" s="22">
        <f t="shared" si="1169"/>
        <v>152.21</v>
      </c>
      <c r="CA140" s="22">
        <f t="shared" si="1167"/>
        <v>152.21</v>
      </c>
      <c r="CB140" s="22">
        <f t="shared" si="1169"/>
        <v>0</v>
      </c>
      <c r="CC140" s="22">
        <f t="shared" si="1167"/>
        <v>0</v>
      </c>
      <c r="CD140" s="22">
        <f t="shared" si="1169"/>
        <v>187.01</v>
      </c>
      <c r="CE140" s="22">
        <f t="shared" si="1167"/>
        <v>187.01</v>
      </c>
      <c r="CF140" s="22">
        <f t="shared" ref="CF140:CI140" si="1170">+CF137-CF138-CF139</f>
        <v>165.51</v>
      </c>
      <c r="CG140" s="22">
        <f t="shared" ref="CG140:CI143" si="1171">+CF140</f>
        <v>165.51</v>
      </c>
      <c r="CH140" s="22">
        <f t="shared" si="1170"/>
        <v>306.49</v>
      </c>
      <c r="CI140" s="22">
        <f t="shared" si="1170"/>
        <v>275.15999999999997</v>
      </c>
      <c r="CJ140" s="23">
        <f>+'QTR Raw'!BD68</f>
        <v>126.13</v>
      </c>
      <c r="CK140" s="21">
        <f t="shared" ref="CK140:DB140" si="1172">+CK137-CK138-CK139</f>
        <v>120.13</v>
      </c>
      <c r="CL140" s="23">
        <f>+'QTR Raw'!BF68</f>
        <v>522.04999999999995</v>
      </c>
      <c r="CM140" s="21">
        <f t="shared" si="1172"/>
        <v>348.97502705402485</v>
      </c>
      <c r="CN140" s="21">
        <f t="shared" si="1172"/>
        <v>243.22539736756357</v>
      </c>
      <c r="CO140" s="21">
        <f t="shared" si="1172"/>
        <v>178.61187186197594</v>
      </c>
      <c r="CP140" s="21">
        <f t="shared" si="1172"/>
        <v>139.13270119594631</v>
      </c>
      <c r="CQ140" s="21">
        <f t="shared" si="1172"/>
        <v>115.01074059587495</v>
      </c>
      <c r="CR140" s="21">
        <f t="shared" si="1172"/>
        <v>100.27210821391168</v>
      </c>
      <c r="CS140" s="21">
        <f t="shared" si="1172"/>
        <v>91.266733895788775</v>
      </c>
      <c r="CT140" s="21">
        <f t="shared" si="1172"/>
        <v>85.764407458177857</v>
      </c>
      <c r="CU140" s="21">
        <f t="shared" si="1172"/>
        <v>52.40245989703044</v>
      </c>
      <c r="CV140" s="21">
        <f t="shared" si="1172"/>
        <v>32.018151639407506</v>
      </c>
      <c r="CW140" s="21">
        <f t="shared" si="1172"/>
        <v>19.563242573316529</v>
      </c>
      <c r="CX140" s="21">
        <f t="shared" si="1172"/>
        <v>11.953234037138373</v>
      </c>
      <c r="CY140" s="21">
        <f t="shared" si="1172"/>
        <v>7.3034827131104976</v>
      </c>
      <c r="CZ140" s="21">
        <f t="shared" si="1172"/>
        <v>4.4624625917115281</v>
      </c>
      <c r="DA140" s="21">
        <f t="shared" si="1172"/>
        <v>2.7265858172947901</v>
      </c>
      <c r="DB140" s="21">
        <f t="shared" si="1172"/>
        <v>1.6659568716343074</v>
      </c>
      <c r="DE140" s="126"/>
      <c r="DF140" s="22">
        <v>115.84251882977878</v>
      </c>
    </row>
    <row r="141" spans="1:110" s="23" customFormat="1" outlineLevel="1" x14ac:dyDescent="0.2">
      <c r="A141" s="23" t="s">
        <v>54</v>
      </c>
      <c r="B141" s="23">
        <f>'Annual Raw'!C86</f>
        <v>0</v>
      </c>
      <c r="C141" s="23">
        <f>'Annual Raw'!D86</f>
        <v>0</v>
      </c>
      <c r="D141" s="23">
        <f>'Annual Raw'!E86</f>
        <v>0</v>
      </c>
      <c r="E141" s="23">
        <f>'Annual Raw'!F86</f>
        <v>12.0079694</v>
      </c>
      <c r="F141" s="23">
        <f>'Annual Raw'!G86</f>
        <v>12.0079694</v>
      </c>
      <c r="G141" s="23">
        <f>'Annual Raw'!H86</f>
        <v>376.69580000000002</v>
      </c>
      <c r="H141" s="23">
        <f>'Annual Raw'!I86</f>
        <v>407.495</v>
      </c>
      <c r="I141" s="23">
        <f>'Annual Raw'!J86</f>
        <v>380.34190000000001</v>
      </c>
      <c r="J141" s="23">
        <f>'Annual Raw'!K86</f>
        <v>363.03140000000002</v>
      </c>
      <c r="K141" s="23">
        <f>'Annual Raw'!L86</f>
        <v>328.8766</v>
      </c>
      <c r="L141" s="23">
        <f>'Annual Raw'!M86</f>
        <v>344.56529999999998</v>
      </c>
      <c r="M141" s="23">
        <f>'Annual Raw'!N86</f>
        <v>397.9</v>
      </c>
      <c r="N141" s="23">
        <f>'Annual Raw'!O86</f>
        <v>404.6</v>
      </c>
      <c r="O141" s="23">
        <f>'Annual Raw'!P86</f>
        <v>645.35</v>
      </c>
      <c r="P141" s="23">
        <f>'Annual Raw'!Q86</f>
        <v>623.35</v>
      </c>
      <c r="Q141" s="23">
        <f>'Annual Raw'!R86</f>
        <v>650.92999999999995</v>
      </c>
      <c r="R141" s="23">
        <f>'Annual Raw'!S86</f>
        <v>580</v>
      </c>
      <c r="S141" s="23">
        <f>'Annual Raw'!T86</f>
        <v>678.61</v>
      </c>
      <c r="T141" s="23">
        <f>'Annual Raw'!U86</f>
        <v>681.04</v>
      </c>
      <c r="U141" s="23">
        <f>'Annual Raw'!V86</f>
        <v>716.50400000000002</v>
      </c>
      <c r="V141" s="23">
        <f>'Annual Raw'!W86</f>
        <v>741.90599999999995</v>
      </c>
      <c r="W141" s="23">
        <f>'Annual Raw'!X86</f>
        <v>742.30899999999997</v>
      </c>
      <c r="X141" s="23">
        <f>'Annual Raw'!Y86</f>
        <v>773.16</v>
      </c>
      <c r="Y141" s="23">
        <f>'Annual Raw'!Z86</f>
        <v>790.24</v>
      </c>
      <c r="Z141" s="23">
        <f>'Annual Raw'!AA86</f>
        <v>823.76</v>
      </c>
      <c r="AA141" s="23">
        <f>'Annual Raw'!AB86</f>
        <v>1695.15</v>
      </c>
      <c r="AB141" s="24">
        <f t="shared" si="1153"/>
        <v>1351.25</v>
      </c>
      <c r="AC141" s="24">
        <f t="shared" si="1154"/>
        <v>1351.25</v>
      </c>
      <c r="AD141" s="24">
        <f t="shared" si="1155"/>
        <v>1351.25</v>
      </c>
      <c r="AE141" s="24">
        <f t="shared" si="1156"/>
        <v>1351.25</v>
      </c>
      <c r="AJ141" s="23">
        <f>+'QTR Raw'!D72</f>
        <v>0</v>
      </c>
      <c r="AK141" s="23">
        <f>+AJ141</f>
        <v>0</v>
      </c>
      <c r="AL141" s="23">
        <f>+'QTR Raw'!F72</f>
        <v>0</v>
      </c>
      <c r="AM141" s="23">
        <f t="shared" ref="AK141:CE143" si="1173">+AL141</f>
        <v>0</v>
      </c>
      <c r="AN141" s="23">
        <f>+'QTR Raw'!H72</f>
        <v>0</v>
      </c>
      <c r="AO141" s="23">
        <f t="shared" si="1173"/>
        <v>0</v>
      </c>
      <c r="AP141" s="23">
        <f>+'QTR Raw'!J72</f>
        <v>0</v>
      </c>
      <c r="AQ141" s="23">
        <f t="shared" si="1173"/>
        <v>0</v>
      </c>
      <c r="AR141" s="23">
        <f>+'QTR Raw'!L72</f>
        <v>0</v>
      </c>
      <c r="AS141" s="23">
        <f t="shared" si="1173"/>
        <v>0</v>
      </c>
      <c r="AT141" s="23">
        <f>+'QTR Raw'!N72</f>
        <v>0</v>
      </c>
      <c r="AU141" s="23">
        <f t="shared" si="1173"/>
        <v>0</v>
      </c>
      <c r="AV141" s="23">
        <f>+'QTR Raw'!P72</f>
        <v>0</v>
      </c>
      <c r="AW141" s="23">
        <f t="shared" si="1173"/>
        <v>0</v>
      </c>
      <c r="AX141" s="23">
        <f>+'QTR Raw'!R72</f>
        <v>0</v>
      </c>
      <c r="AY141" s="23">
        <f t="shared" si="1173"/>
        <v>0</v>
      </c>
      <c r="AZ141" s="23">
        <f>+'QTR Raw'!T72</f>
        <v>0</v>
      </c>
      <c r="BA141" s="23">
        <f t="shared" si="1173"/>
        <v>0</v>
      </c>
      <c r="BB141" s="23">
        <f>+'QTR Raw'!V72</f>
        <v>0</v>
      </c>
      <c r="BC141" s="23">
        <f t="shared" si="1173"/>
        <v>0</v>
      </c>
      <c r="BD141" s="23">
        <f>+'QTR Raw'!X72</f>
        <v>0</v>
      </c>
      <c r="BE141" s="23">
        <f t="shared" si="1173"/>
        <v>0</v>
      </c>
      <c r="BF141" s="23">
        <f>+'QTR Raw'!Z72</f>
        <v>0</v>
      </c>
      <c r="BG141" s="23">
        <f t="shared" si="1173"/>
        <v>0</v>
      </c>
      <c r="BH141" s="23">
        <f>+'QTR Raw'!AB72</f>
        <v>0</v>
      </c>
      <c r="BI141" s="23">
        <f t="shared" si="1173"/>
        <v>0</v>
      </c>
      <c r="BJ141" s="23">
        <f>+'QTR Raw'!AD72</f>
        <v>0</v>
      </c>
      <c r="BK141" s="23">
        <f t="shared" si="1173"/>
        <v>0</v>
      </c>
      <c r="BL141" s="23">
        <f>+'QTR Raw'!AF72</f>
        <v>0</v>
      </c>
      <c r="BM141" s="23">
        <f t="shared" si="1173"/>
        <v>0</v>
      </c>
      <c r="BN141" s="23">
        <f>+'QTR Raw'!AH72</f>
        <v>0</v>
      </c>
      <c r="BO141" s="23">
        <f t="shared" si="1173"/>
        <v>0</v>
      </c>
      <c r="BP141" s="23">
        <f>+'QTR Raw'!AJ72</f>
        <v>0</v>
      </c>
      <c r="BQ141" s="23">
        <f t="shared" si="1173"/>
        <v>0</v>
      </c>
      <c r="BR141" s="23">
        <f>+'QTR Raw'!AL72</f>
        <v>0</v>
      </c>
      <c r="BS141" s="23">
        <f t="shared" si="1173"/>
        <v>0</v>
      </c>
      <c r="BT141" s="23">
        <f>+'QTR Raw'!AN72</f>
        <v>0</v>
      </c>
      <c r="BU141" s="23">
        <f t="shared" si="1173"/>
        <v>0</v>
      </c>
      <c r="BV141" s="23">
        <f>+'QTR Raw'!AP72</f>
        <v>0</v>
      </c>
      <c r="BW141" s="23">
        <f t="shared" si="1173"/>
        <v>0</v>
      </c>
      <c r="BX141" s="23">
        <f>+'QTR Raw'!AR72</f>
        <v>0</v>
      </c>
      <c r="BY141" s="23">
        <f t="shared" si="1173"/>
        <v>0</v>
      </c>
      <c r="BZ141" s="23">
        <f>+'QTR Raw'!AT72</f>
        <v>762.92</v>
      </c>
      <c r="CA141" s="23">
        <f t="shared" si="1173"/>
        <v>762.92</v>
      </c>
      <c r="CB141" s="23">
        <f>+'QTR Raw'!AV72</f>
        <v>0</v>
      </c>
      <c r="CC141" s="23">
        <f t="shared" si="1173"/>
        <v>0</v>
      </c>
      <c r="CD141" s="23">
        <f>+'QTR Raw'!AX72</f>
        <v>782.58</v>
      </c>
      <c r="CE141" s="23">
        <f t="shared" si="1173"/>
        <v>782.58</v>
      </c>
      <c r="CF141" s="23">
        <f>+'QTR Raw'!AZ72</f>
        <v>818.06</v>
      </c>
      <c r="CG141" s="23">
        <f t="shared" si="1171"/>
        <v>818.06</v>
      </c>
      <c r="CH141" s="23">
        <f t="shared" si="1157"/>
        <v>823.76</v>
      </c>
      <c r="CI141" s="23">
        <f t="shared" si="1171"/>
        <v>823.76</v>
      </c>
      <c r="CJ141" s="23">
        <f>+'QTR Raw'!BD72</f>
        <v>872.55</v>
      </c>
      <c r="CK141" s="24">
        <f t="shared" ref="CK141:CK143" si="1174">+CJ141</f>
        <v>872.55</v>
      </c>
      <c r="CL141" s="23">
        <f>+'QTR Raw'!BF72</f>
        <v>1351.25</v>
      </c>
      <c r="CM141" s="24">
        <f t="shared" ref="CM141:CM143" si="1175">+CL141</f>
        <v>1351.25</v>
      </c>
      <c r="CN141" s="24">
        <f t="shared" ref="CN141:CN143" si="1176">+CM141</f>
        <v>1351.25</v>
      </c>
      <c r="CO141" s="24">
        <f t="shared" ref="CO141:CO143" si="1177">+CN141</f>
        <v>1351.25</v>
      </c>
      <c r="CP141" s="24">
        <f t="shared" ref="CP141:CP143" si="1178">+CO141</f>
        <v>1351.25</v>
      </c>
      <c r="CQ141" s="24">
        <f t="shared" ref="CQ141:CQ143" si="1179">+CP141</f>
        <v>1351.25</v>
      </c>
      <c r="CR141" s="24">
        <f t="shared" ref="CR141:CR143" si="1180">+CQ141</f>
        <v>1351.25</v>
      </c>
      <c r="CS141" s="24">
        <f t="shared" ref="CS141:CS143" si="1181">+CR141</f>
        <v>1351.25</v>
      </c>
      <c r="CT141" s="24">
        <f t="shared" ref="CT141:CT143" si="1182">+CS141</f>
        <v>1351.25</v>
      </c>
      <c r="CU141" s="24">
        <f t="shared" ref="CU141:CU143" si="1183">+CT141</f>
        <v>1351.25</v>
      </c>
      <c r="CV141" s="24">
        <f t="shared" ref="CV141:CV143" si="1184">+CU141</f>
        <v>1351.25</v>
      </c>
      <c r="CW141" s="24">
        <f t="shared" ref="CW141:CW143" si="1185">+CV141</f>
        <v>1351.25</v>
      </c>
      <c r="CX141" s="24">
        <f t="shared" ref="CX141:CX143" si="1186">+CW141</f>
        <v>1351.25</v>
      </c>
      <c r="CY141" s="24">
        <f t="shared" ref="CY141:CY143" si="1187">+CX141</f>
        <v>1351.25</v>
      </c>
      <c r="CZ141" s="24">
        <f t="shared" ref="CZ141:CZ143" si="1188">+CY141</f>
        <v>1351.25</v>
      </c>
      <c r="DA141" s="24">
        <f t="shared" ref="DA141:DA143" si="1189">+CZ141</f>
        <v>1351.25</v>
      </c>
      <c r="DB141" s="24">
        <f t="shared" ref="DB141:DB143" si="1190">+DA141</f>
        <v>1351.25</v>
      </c>
      <c r="DE141" s="123"/>
      <c r="DF141" s="23">
        <v>872.55</v>
      </c>
    </row>
    <row r="142" spans="1:110" s="23" customFormat="1" outlineLevel="1" x14ac:dyDescent="0.2">
      <c r="A142" s="23" t="s">
        <v>55</v>
      </c>
      <c r="B142" s="23">
        <f>'Annual Raw'!C68</f>
        <v>0</v>
      </c>
      <c r="C142" s="23">
        <f>'Annual Raw'!D68</f>
        <v>0</v>
      </c>
      <c r="D142" s="23">
        <f>'Annual Raw'!E68</f>
        <v>0</v>
      </c>
      <c r="E142" s="23">
        <f>'Annual Raw'!F68</f>
        <v>0</v>
      </c>
      <c r="F142" s="23">
        <f>'Annual Raw'!G68</f>
        <v>0</v>
      </c>
      <c r="G142" s="23">
        <f>'Annual Raw'!H68</f>
        <v>0</v>
      </c>
      <c r="H142" s="23">
        <f>'Annual Raw'!I68</f>
        <v>0</v>
      </c>
      <c r="I142" s="23">
        <f>'Annual Raw'!J68</f>
        <v>0</v>
      </c>
      <c r="J142" s="23">
        <f>'Annual Raw'!K68</f>
        <v>0</v>
      </c>
      <c r="K142" s="23">
        <f>'Annual Raw'!L68</f>
        <v>0</v>
      </c>
      <c r="L142" s="23">
        <f>'Annual Raw'!M68</f>
        <v>0</v>
      </c>
      <c r="M142" s="23">
        <f>'Annual Raw'!N68</f>
        <v>3.49</v>
      </c>
      <c r="N142" s="23">
        <f>'Annual Raw'!O68</f>
        <v>3.29</v>
      </c>
      <c r="O142" s="23">
        <f>'Annual Raw'!P68</f>
        <v>1.88</v>
      </c>
      <c r="P142" s="23">
        <f>'Annual Raw'!Q68</f>
        <v>3.71</v>
      </c>
      <c r="Q142" s="23">
        <f>'Annual Raw'!R68</f>
        <v>0</v>
      </c>
      <c r="R142" s="23">
        <f>'Annual Raw'!S68</f>
        <v>7.43</v>
      </c>
      <c r="S142" s="23">
        <f>'Annual Raw'!T68</f>
        <v>12.54</v>
      </c>
      <c r="T142" s="23">
        <f>'Annual Raw'!U68</f>
        <v>20.76</v>
      </c>
      <c r="U142" s="23">
        <f>'Annual Raw'!V68</f>
        <v>0.26100000000000001</v>
      </c>
      <c r="V142" s="23">
        <f>'Annual Raw'!W68</f>
        <v>7.0000000000000007E-2</v>
      </c>
      <c r="W142" s="23">
        <f>'Annual Raw'!X68</f>
        <v>0</v>
      </c>
      <c r="X142" s="23">
        <f>'Annual Raw'!Y68</f>
        <v>0.1</v>
      </c>
      <c r="Y142" s="23">
        <f>'Annual Raw'!Z68</f>
        <v>0</v>
      </c>
      <c r="Z142" s="23">
        <f>'Annual Raw'!AA68</f>
        <v>0</v>
      </c>
      <c r="AA142" s="23">
        <f>'Annual Raw'!AB68</f>
        <v>14.77</v>
      </c>
      <c r="AB142" s="24">
        <f t="shared" si="1153"/>
        <v>0</v>
      </c>
      <c r="AC142" s="24">
        <f t="shared" si="1154"/>
        <v>0</v>
      </c>
      <c r="AD142" s="24">
        <f t="shared" si="1155"/>
        <v>0</v>
      </c>
      <c r="AE142" s="24">
        <f t="shared" si="1156"/>
        <v>0</v>
      </c>
      <c r="AK142" s="23">
        <f t="shared" si="1173"/>
        <v>0</v>
      </c>
      <c r="AM142" s="23">
        <f t="shared" si="1173"/>
        <v>0</v>
      </c>
      <c r="AO142" s="23">
        <f t="shared" si="1173"/>
        <v>0</v>
      </c>
      <c r="AQ142" s="23">
        <f t="shared" si="1173"/>
        <v>0</v>
      </c>
      <c r="AS142" s="23">
        <f t="shared" si="1173"/>
        <v>0</v>
      </c>
      <c r="AU142" s="23">
        <f t="shared" si="1173"/>
        <v>0</v>
      </c>
      <c r="AW142" s="23">
        <f t="shared" si="1173"/>
        <v>0</v>
      </c>
      <c r="AY142" s="23">
        <f t="shared" si="1173"/>
        <v>0</v>
      </c>
      <c r="BA142" s="23">
        <f t="shared" si="1173"/>
        <v>0</v>
      </c>
      <c r="BC142" s="23">
        <f t="shared" si="1173"/>
        <v>0</v>
      </c>
      <c r="BE142" s="23">
        <f t="shared" si="1173"/>
        <v>0</v>
      </c>
      <c r="BG142" s="23">
        <f t="shared" si="1173"/>
        <v>0</v>
      </c>
      <c r="BI142" s="23">
        <f t="shared" si="1173"/>
        <v>0</v>
      </c>
      <c r="BK142" s="23">
        <f t="shared" si="1173"/>
        <v>0</v>
      </c>
      <c r="BM142" s="23">
        <f t="shared" si="1173"/>
        <v>0</v>
      </c>
      <c r="BO142" s="23">
        <f t="shared" si="1173"/>
        <v>0</v>
      </c>
      <c r="BQ142" s="23">
        <f t="shared" si="1173"/>
        <v>0</v>
      </c>
      <c r="BS142" s="23">
        <f t="shared" si="1173"/>
        <v>0</v>
      </c>
      <c r="BU142" s="23">
        <f t="shared" si="1173"/>
        <v>0</v>
      </c>
      <c r="BW142" s="23">
        <f t="shared" si="1173"/>
        <v>0</v>
      </c>
      <c r="BY142" s="23">
        <f t="shared" si="1173"/>
        <v>0</v>
      </c>
      <c r="CA142" s="23">
        <f t="shared" si="1173"/>
        <v>0</v>
      </c>
      <c r="CC142" s="23">
        <f t="shared" si="1173"/>
        <v>0</v>
      </c>
      <c r="CE142" s="23">
        <f t="shared" si="1173"/>
        <v>0</v>
      </c>
      <c r="CG142" s="23">
        <f t="shared" si="1171"/>
        <v>0</v>
      </c>
      <c r="CH142" s="23">
        <f t="shared" si="1157"/>
        <v>0</v>
      </c>
      <c r="CI142" s="23">
        <f t="shared" si="1171"/>
        <v>0</v>
      </c>
      <c r="CK142" s="24">
        <f t="shared" si="1174"/>
        <v>0</v>
      </c>
      <c r="CM142" s="24">
        <f t="shared" si="1175"/>
        <v>0</v>
      </c>
      <c r="CN142" s="24">
        <f t="shared" si="1176"/>
        <v>0</v>
      </c>
      <c r="CO142" s="24">
        <f t="shared" si="1177"/>
        <v>0</v>
      </c>
      <c r="CP142" s="24">
        <f t="shared" si="1178"/>
        <v>0</v>
      </c>
      <c r="CQ142" s="24">
        <f t="shared" si="1179"/>
        <v>0</v>
      </c>
      <c r="CR142" s="24">
        <f t="shared" si="1180"/>
        <v>0</v>
      </c>
      <c r="CS142" s="24">
        <f t="shared" si="1181"/>
        <v>0</v>
      </c>
      <c r="CT142" s="24">
        <f t="shared" si="1182"/>
        <v>0</v>
      </c>
      <c r="CU142" s="24">
        <f t="shared" si="1183"/>
        <v>0</v>
      </c>
      <c r="CV142" s="24">
        <f t="shared" si="1184"/>
        <v>0</v>
      </c>
      <c r="CW142" s="24">
        <f t="shared" si="1185"/>
        <v>0</v>
      </c>
      <c r="CX142" s="24">
        <f t="shared" si="1186"/>
        <v>0</v>
      </c>
      <c r="CY142" s="24">
        <f t="shared" si="1187"/>
        <v>0</v>
      </c>
      <c r="CZ142" s="24">
        <f t="shared" si="1188"/>
        <v>0</v>
      </c>
      <c r="DA142" s="24">
        <f t="shared" si="1189"/>
        <v>0</v>
      </c>
      <c r="DB142" s="24">
        <f t="shared" si="1190"/>
        <v>0</v>
      </c>
      <c r="DE142" s="123"/>
      <c r="DF142" s="23">
        <v>0</v>
      </c>
    </row>
    <row r="143" spans="1:110" s="23" customFormat="1" outlineLevel="1" x14ac:dyDescent="0.2">
      <c r="A143" s="23" t="s">
        <v>56</v>
      </c>
      <c r="B143" s="23">
        <f>'Annual Raw'!C67+'Annual Raw'!C66+'Annual Raw'!C69+'Annual Raw'!C70</f>
        <v>0</v>
      </c>
      <c r="C143" s="23">
        <f>'Annual Raw'!D67+'Annual Raw'!D66+'Annual Raw'!D69+'Annual Raw'!D70</f>
        <v>0</v>
      </c>
      <c r="D143" s="23">
        <f>'Annual Raw'!E67+'Annual Raw'!E66+'Annual Raw'!E69+'Annual Raw'!E70</f>
        <v>0</v>
      </c>
      <c r="E143" s="23">
        <f>'Annual Raw'!F67+'Annual Raw'!F66+'Annual Raw'!F69+'Annual Raw'!F70</f>
        <v>2.3215235000000001</v>
      </c>
      <c r="F143" s="23">
        <f>'Annual Raw'!G67+'Annual Raw'!G66+'Annual Raw'!G69+'Annual Raw'!G70</f>
        <v>2.8886432000000002</v>
      </c>
      <c r="G143" s="23">
        <f>'Annual Raw'!H67+'Annual Raw'!H66+'Annual Raw'!H69+'Annual Raw'!H70</f>
        <v>1.2815000000000001</v>
      </c>
      <c r="H143" s="23">
        <f>'Annual Raw'!I67+'Annual Raw'!I66+'Annual Raw'!I69+'Annual Raw'!I70</f>
        <v>1.1637999999999999</v>
      </c>
      <c r="I143" s="23">
        <f>'Annual Raw'!J67+'Annual Raw'!J66+'Annual Raw'!J69+'Annual Raw'!J70</f>
        <v>0.45989999999999998</v>
      </c>
      <c r="J143" s="23">
        <f>'Annual Raw'!K67+'Annual Raw'!K66+'Annual Raw'!K69+'Annual Raw'!K70</f>
        <v>0.8891</v>
      </c>
      <c r="K143" s="23">
        <f>'Annual Raw'!L67+'Annual Raw'!L66+'Annual Raw'!L69+'Annual Raw'!L70</f>
        <v>0.62170000000000003</v>
      </c>
      <c r="L143" s="23">
        <f>'Annual Raw'!M67+'Annual Raw'!M66+'Annual Raw'!M69+'Annual Raw'!M70</f>
        <v>8.1428999999999991</v>
      </c>
      <c r="M143" s="23">
        <f>'Annual Raw'!N67+'Annual Raw'!N66+'Annual Raw'!N69+'Annual Raw'!N70</f>
        <v>1.54</v>
      </c>
      <c r="N143" s="23">
        <f>'Annual Raw'!O67+'Annual Raw'!O66+'Annual Raw'!O69+'Annual Raw'!O70</f>
        <v>13.67</v>
      </c>
      <c r="O143" s="23">
        <f>'Annual Raw'!P67+'Annual Raw'!P66+'Annual Raw'!P69+'Annual Raw'!P70</f>
        <v>0.56999999999999995</v>
      </c>
      <c r="P143" s="23">
        <f>'Annual Raw'!Q67+'Annual Raw'!Q66+'Annual Raw'!Q69+'Annual Raw'!Q70</f>
        <v>3.16</v>
      </c>
      <c r="Q143" s="23">
        <f>'Annual Raw'!R67+'Annual Raw'!R66+'Annual Raw'!R69+'Annual Raw'!R70</f>
        <v>5.25</v>
      </c>
      <c r="R143" s="23">
        <f>'Annual Raw'!S67+'Annual Raw'!S66+'Annual Raw'!S69+'Annual Raw'!S70</f>
        <v>3</v>
      </c>
      <c r="S143" s="23">
        <f>'Annual Raw'!T67+'Annual Raw'!T66+'Annual Raw'!T69+'Annual Raw'!T70</f>
        <v>0.11</v>
      </c>
      <c r="T143" s="23">
        <f>'Annual Raw'!U67+'Annual Raw'!U66+'Annual Raw'!U69+'Annual Raw'!U70</f>
        <v>4.24</v>
      </c>
      <c r="U143" s="23">
        <f>'Annual Raw'!V67+'Annual Raw'!V66+'Annual Raw'!V69+'Annual Raw'!V70</f>
        <v>8.8999999999999996E-2</v>
      </c>
      <c r="V143" s="23">
        <f>'Annual Raw'!W67+'Annual Raw'!W66+'Annual Raw'!W69+'Annual Raw'!W70</f>
        <v>3.7999999999999999E-2</v>
      </c>
      <c r="W143" s="23">
        <f>'Annual Raw'!X67+'Annual Raw'!X66+'Annual Raw'!X69+'Annual Raw'!X70</f>
        <v>0.26200000000000001</v>
      </c>
      <c r="X143" s="23">
        <f>'Annual Raw'!Y67+'Annual Raw'!Y66+'Annual Raw'!Y69+'Annual Raw'!Y70</f>
        <v>2.65</v>
      </c>
      <c r="Y143" s="23">
        <f>'Annual Raw'!Z67+'Annual Raw'!Z66+'Annual Raw'!Z69+'Annual Raw'!Z70</f>
        <v>0</v>
      </c>
      <c r="Z143" s="23">
        <f>'Annual Raw'!AA67+'Annual Raw'!AA66+'Annual Raw'!AA69+'Annual Raw'!AA70</f>
        <v>0</v>
      </c>
      <c r="AA143" s="23">
        <f>'Annual Raw'!AB67+'Annual Raw'!AB66+'Annual Raw'!AB69+'Annual Raw'!AB70</f>
        <v>0.63</v>
      </c>
      <c r="AB143" s="24">
        <f t="shared" si="1153"/>
        <v>0.63</v>
      </c>
      <c r="AC143" s="24">
        <f t="shared" si="1154"/>
        <v>0.63</v>
      </c>
      <c r="AD143" s="24">
        <f t="shared" si="1155"/>
        <v>0.63</v>
      </c>
      <c r="AE143" s="24">
        <f t="shared" si="1156"/>
        <v>0.63</v>
      </c>
      <c r="AJ143" s="23">
        <f>+'QTR Raw'!D74+'QTR Raw'!D75</f>
        <v>0</v>
      </c>
      <c r="AK143" s="23">
        <f t="shared" si="1173"/>
        <v>0</v>
      </c>
      <c r="AL143" s="23">
        <f>+'QTR Raw'!F74+'QTR Raw'!F75</f>
        <v>0</v>
      </c>
      <c r="AM143" s="23">
        <f t="shared" si="1173"/>
        <v>0</v>
      </c>
      <c r="AN143" s="23">
        <f>+'QTR Raw'!H74+'QTR Raw'!H75</f>
        <v>0</v>
      </c>
      <c r="AO143" s="23">
        <f t="shared" si="1173"/>
        <v>0</v>
      </c>
      <c r="AP143" s="23">
        <f>+'QTR Raw'!J74+'QTR Raw'!J75</f>
        <v>0</v>
      </c>
      <c r="AQ143" s="23">
        <f t="shared" si="1173"/>
        <v>0</v>
      </c>
      <c r="AR143" s="23">
        <f>+'QTR Raw'!L74+'QTR Raw'!L75</f>
        <v>0</v>
      </c>
      <c r="AS143" s="23">
        <f t="shared" si="1173"/>
        <v>0</v>
      </c>
      <c r="AT143" s="23">
        <f>+'QTR Raw'!N74+'QTR Raw'!N75</f>
        <v>0</v>
      </c>
      <c r="AU143" s="23">
        <f t="shared" si="1173"/>
        <v>0</v>
      </c>
      <c r="AV143" s="23">
        <f>+'QTR Raw'!P74+'QTR Raw'!P75</f>
        <v>0</v>
      </c>
      <c r="AW143" s="23">
        <f t="shared" si="1173"/>
        <v>0</v>
      </c>
      <c r="AX143" s="23">
        <f>+'QTR Raw'!R74+'QTR Raw'!R75</f>
        <v>0</v>
      </c>
      <c r="AY143" s="23">
        <f t="shared" si="1173"/>
        <v>0</v>
      </c>
      <c r="AZ143" s="23">
        <f>+'QTR Raw'!T74+'QTR Raw'!T75</f>
        <v>0</v>
      </c>
      <c r="BA143" s="23">
        <f t="shared" si="1173"/>
        <v>0</v>
      </c>
      <c r="BB143" s="23">
        <f>+'QTR Raw'!V74+'QTR Raw'!V75</f>
        <v>0</v>
      </c>
      <c r="BC143" s="23">
        <f t="shared" si="1173"/>
        <v>0</v>
      </c>
      <c r="BD143" s="23">
        <f>+'QTR Raw'!X74+'QTR Raw'!X75</f>
        <v>0</v>
      </c>
      <c r="BE143" s="23">
        <f t="shared" si="1173"/>
        <v>0</v>
      </c>
      <c r="BF143" s="23">
        <f>+'QTR Raw'!Z74+'QTR Raw'!Z75</f>
        <v>0</v>
      </c>
      <c r="BG143" s="23">
        <f t="shared" si="1173"/>
        <v>0</v>
      </c>
      <c r="BH143" s="23">
        <f>+'QTR Raw'!AB74+'QTR Raw'!AB75</f>
        <v>0</v>
      </c>
      <c r="BI143" s="23">
        <f t="shared" si="1173"/>
        <v>0</v>
      </c>
      <c r="BJ143" s="23">
        <f>+'QTR Raw'!AD74+'QTR Raw'!AD75</f>
        <v>0</v>
      </c>
      <c r="BK143" s="23">
        <f t="shared" si="1173"/>
        <v>0</v>
      </c>
      <c r="BL143" s="23">
        <f>+'QTR Raw'!AF74+'QTR Raw'!AF75</f>
        <v>0</v>
      </c>
      <c r="BM143" s="23">
        <f t="shared" si="1173"/>
        <v>0</v>
      </c>
      <c r="BN143" s="23">
        <f>+'QTR Raw'!AH74+'QTR Raw'!AH75</f>
        <v>0</v>
      </c>
      <c r="BO143" s="23">
        <f t="shared" si="1173"/>
        <v>0</v>
      </c>
      <c r="BP143" s="23">
        <f>+'QTR Raw'!AJ74+'QTR Raw'!AJ75</f>
        <v>0</v>
      </c>
      <c r="BQ143" s="23">
        <f t="shared" si="1173"/>
        <v>0</v>
      </c>
      <c r="BR143" s="23">
        <f>+'QTR Raw'!AL74+'QTR Raw'!AL75</f>
        <v>0</v>
      </c>
      <c r="BS143" s="23">
        <f t="shared" si="1173"/>
        <v>0</v>
      </c>
      <c r="BT143" s="23">
        <f>+'QTR Raw'!AN74+'QTR Raw'!AN75</f>
        <v>0</v>
      </c>
      <c r="BU143" s="23">
        <f t="shared" si="1173"/>
        <v>0</v>
      </c>
      <c r="BV143" s="23">
        <f>+'QTR Raw'!AP74+'QTR Raw'!AP75</f>
        <v>0</v>
      </c>
      <c r="BW143" s="23">
        <f t="shared" si="1173"/>
        <v>0</v>
      </c>
      <c r="BX143" s="23">
        <f>+'QTR Raw'!AR74+'QTR Raw'!AR75</f>
        <v>0</v>
      </c>
      <c r="BY143" s="23">
        <f t="shared" si="1173"/>
        <v>0</v>
      </c>
      <c r="BZ143" s="23">
        <f>+'QTR Raw'!AT74+'QTR Raw'!AT75</f>
        <v>2.65</v>
      </c>
      <c r="CA143" s="23">
        <f t="shared" si="1173"/>
        <v>2.65</v>
      </c>
      <c r="CB143" s="23">
        <f>+'QTR Raw'!AV74+'QTR Raw'!AV75</f>
        <v>0</v>
      </c>
      <c r="CC143" s="23">
        <f t="shared" si="1173"/>
        <v>0</v>
      </c>
      <c r="CD143" s="23">
        <f>+'QTR Raw'!AX74+'QTR Raw'!AX75</f>
        <v>0</v>
      </c>
      <c r="CE143" s="23">
        <f t="shared" si="1173"/>
        <v>0</v>
      </c>
      <c r="CF143" s="23">
        <f>+'QTR Raw'!AZ74+'QTR Raw'!AZ75</f>
        <v>0</v>
      </c>
      <c r="CG143" s="23">
        <f t="shared" si="1171"/>
        <v>0</v>
      </c>
      <c r="CH143" s="23">
        <f t="shared" si="1157"/>
        <v>0</v>
      </c>
      <c r="CI143" s="23">
        <f t="shared" si="1171"/>
        <v>0</v>
      </c>
      <c r="CJ143" s="23">
        <f>+'QTR Raw'!BD74+'QTR Raw'!BD75</f>
        <v>0</v>
      </c>
      <c r="CK143" s="24">
        <f t="shared" si="1174"/>
        <v>0</v>
      </c>
      <c r="CL143" s="23">
        <f>+'QTR Raw'!BF74+'QTR Raw'!BF75</f>
        <v>0.63</v>
      </c>
      <c r="CM143" s="24">
        <f t="shared" si="1175"/>
        <v>0.63</v>
      </c>
      <c r="CN143" s="24">
        <f t="shared" si="1176"/>
        <v>0.63</v>
      </c>
      <c r="CO143" s="24">
        <f t="shared" si="1177"/>
        <v>0.63</v>
      </c>
      <c r="CP143" s="24">
        <f t="shared" si="1178"/>
        <v>0.63</v>
      </c>
      <c r="CQ143" s="24">
        <f t="shared" si="1179"/>
        <v>0.63</v>
      </c>
      <c r="CR143" s="24">
        <f t="shared" si="1180"/>
        <v>0.63</v>
      </c>
      <c r="CS143" s="24">
        <f t="shared" si="1181"/>
        <v>0.63</v>
      </c>
      <c r="CT143" s="24">
        <f t="shared" si="1182"/>
        <v>0.63</v>
      </c>
      <c r="CU143" s="24">
        <f t="shared" si="1183"/>
        <v>0.63</v>
      </c>
      <c r="CV143" s="24">
        <f t="shared" si="1184"/>
        <v>0.63</v>
      </c>
      <c r="CW143" s="24">
        <f t="shared" si="1185"/>
        <v>0.63</v>
      </c>
      <c r="CX143" s="24">
        <f t="shared" si="1186"/>
        <v>0.63</v>
      </c>
      <c r="CY143" s="24">
        <f t="shared" si="1187"/>
        <v>0.63</v>
      </c>
      <c r="CZ143" s="24">
        <f t="shared" si="1188"/>
        <v>0.63</v>
      </c>
      <c r="DA143" s="24">
        <f t="shared" si="1189"/>
        <v>0.63</v>
      </c>
      <c r="DB143" s="24">
        <f t="shared" si="1190"/>
        <v>0.63</v>
      </c>
      <c r="DE143" s="123"/>
      <c r="DF143" s="23">
        <v>0</v>
      </c>
    </row>
    <row r="144" spans="1:110" s="22" customFormat="1" x14ac:dyDescent="0.2">
      <c r="A144" s="22" t="s">
        <v>57</v>
      </c>
      <c r="B144" s="22">
        <f>B140+B143+B142</f>
        <v>0</v>
      </c>
      <c r="C144" s="22">
        <f t="shared" ref="C144:D144" si="1191">C140+C143+C142</f>
        <v>0</v>
      </c>
      <c r="D144" s="22">
        <f t="shared" si="1191"/>
        <v>0</v>
      </c>
      <c r="E144" s="22">
        <f t="shared" ref="E144:Y144" si="1192">E140+E143+E142+E141</f>
        <v>44.998871299999998</v>
      </c>
      <c r="F144" s="22">
        <f t="shared" si="1192"/>
        <v>50.831724499999993</v>
      </c>
      <c r="G144" s="22">
        <f t="shared" si="1192"/>
        <v>431.75260000000003</v>
      </c>
      <c r="H144" s="22">
        <f t="shared" si="1192"/>
        <v>464.71570000000003</v>
      </c>
      <c r="I144" s="22">
        <f t="shared" si="1192"/>
        <v>439.63760000000002</v>
      </c>
      <c r="J144" s="22">
        <f t="shared" si="1192"/>
        <v>423.39410000000004</v>
      </c>
      <c r="K144" s="22">
        <f t="shared" si="1192"/>
        <v>403.51940000000002</v>
      </c>
      <c r="L144" s="22">
        <f t="shared" si="1192"/>
        <v>431.46779999999995</v>
      </c>
      <c r="M144" s="22">
        <f t="shared" si="1192"/>
        <v>509.68999999999994</v>
      </c>
      <c r="N144" s="22">
        <f t="shared" si="1192"/>
        <v>530.52</v>
      </c>
      <c r="O144" s="22">
        <f t="shared" si="1192"/>
        <v>778.91</v>
      </c>
      <c r="P144" s="22">
        <f t="shared" si="1192"/>
        <v>766.86</v>
      </c>
      <c r="Q144" s="22">
        <f t="shared" si="1192"/>
        <v>815.85</v>
      </c>
      <c r="R144" s="22">
        <f t="shared" si="1192"/>
        <v>773.6</v>
      </c>
      <c r="S144" s="22">
        <f t="shared" si="1192"/>
        <v>865.26</v>
      </c>
      <c r="T144" s="22">
        <f t="shared" si="1192"/>
        <v>844.05000000000007</v>
      </c>
      <c r="U144" s="22">
        <f t="shared" si="1192"/>
        <v>1119.6079999999999</v>
      </c>
      <c r="V144" s="22">
        <f t="shared" si="1192"/>
        <v>1089.9119999999998</v>
      </c>
      <c r="W144" s="22">
        <f t="shared" si="1192"/>
        <v>1068.1570000000002</v>
      </c>
      <c r="X144" s="22">
        <f t="shared" si="1192"/>
        <v>1098.0700000000002</v>
      </c>
      <c r="Y144" s="22">
        <f t="shared" si="1192"/>
        <v>1150.54</v>
      </c>
      <c r="Z144" s="22">
        <f>Z140+Z143+Z142+Z141</f>
        <v>1130.25</v>
      </c>
      <c r="AA144" s="22">
        <f>AA140+AA143+AA142+AA141</f>
        <v>2070.1800000000003</v>
      </c>
      <c r="AB144" s="161">
        <f t="shared" ref="AB144:AE144" si="1193">AB140+AB143+AB142+AB141</f>
        <v>1491.0127011959462</v>
      </c>
      <c r="AC144" s="161">
        <f t="shared" si="1193"/>
        <v>1437.6444074581777</v>
      </c>
      <c r="AD144" s="161">
        <f t="shared" si="1193"/>
        <v>1363.8332340371385</v>
      </c>
      <c r="AE144" s="161">
        <f t="shared" si="1193"/>
        <v>1353.5459568716344</v>
      </c>
      <c r="AJ144" s="22">
        <f t="shared" ref="AJ144" si="1194">AJ140+AJ143+AJ141+AJ142</f>
        <v>0</v>
      </c>
      <c r="AK144" s="22">
        <f t="shared" ref="AK144" si="1195">AK140+AK143+AK141+AK142</f>
        <v>0</v>
      </c>
      <c r="AL144" s="22">
        <f t="shared" ref="AL144:AM144" si="1196">AL140+AL143+AL141+AL142</f>
        <v>0</v>
      </c>
      <c r="AM144" s="22">
        <f t="shared" si="1196"/>
        <v>0</v>
      </c>
      <c r="AN144" s="22">
        <f t="shared" ref="AN144:AO144" si="1197">AN140+AN143+AN141+AN142</f>
        <v>0</v>
      </c>
      <c r="AO144" s="22">
        <f t="shared" si="1197"/>
        <v>0</v>
      </c>
      <c r="AP144" s="22">
        <f t="shared" ref="AP144:CE144" si="1198">AP140+AP143+AP141+AP142</f>
        <v>0</v>
      </c>
      <c r="AQ144" s="22">
        <f t="shared" si="1198"/>
        <v>0</v>
      </c>
      <c r="AR144" s="22">
        <f t="shared" si="1198"/>
        <v>0</v>
      </c>
      <c r="AS144" s="22">
        <f t="shared" si="1198"/>
        <v>0</v>
      </c>
      <c r="AT144" s="22">
        <f t="shared" si="1198"/>
        <v>0</v>
      </c>
      <c r="AU144" s="22">
        <f t="shared" si="1198"/>
        <v>0</v>
      </c>
      <c r="AV144" s="22">
        <f t="shared" si="1198"/>
        <v>0</v>
      </c>
      <c r="AW144" s="22">
        <f t="shared" si="1198"/>
        <v>0</v>
      </c>
      <c r="AX144" s="22">
        <f t="shared" si="1198"/>
        <v>0</v>
      </c>
      <c r="AY144" s="22">
        <f t="shared" si="1198"/>
        <v>0</v>
      </c>
      <c r="AZ144" s="22">
        <f t="shared" si="1198"/>
        <v>0</v>
      </c>
      <c r="BA144" s="22">
        <f t="shared" si="1198"/>
        <v>0</v>
      </c>
      <c r="BB144" s="22">
        <f t="shared" si="1198"/>
        <v>0</v>
      </c>
      <c r="BC144" s="22">
        <f t="shared" si="1198"/>
        <v>0</v>
      </c>
      <c r="BD144" s="22">
        <f t="shared" si="1198"/>
        <v>0</v>
      </c>
      <c r="BE144" s="22">
        <f t="shared" si="1198"/>
        <v>0</v>
      </c>
      <c r="BF144" s="22">
        <f t="shared" si="1198"/>
        <v>0</v>
      </c>
      <c r="BG144" s="22">
        <f t="shared" si="1198"/>
        <v>0</v>
      </c>
      <c r="BH144" s="22">
        <f t="shared" si="1198"/>
        <v>0</v>
      </c>
      <c r="BI144" s="22">
        <f t="shared" si="1198"/>
        <v>0</v>
      </c>
      <c r="BJ144" s="22">
        <f t="shared" si="1198"/>
        <v>0</v>
      </c>
      <c r="BK144" s="22">
        <f t="shared" si="1198"/>
        <v>0</v>
      </c>
      <c r="BL144" s="22">
        <f t="shared" si="1198"/>
        <v>0</v>
      </c>
      <c r="BM144" s="22">
        <f t="shared" si="1198"/>
        <v>0</v>
      </c>
      <c r="BN144" s="22">
        <f t="shared" si="1198"/>
        <v>0</v>
      </c>
      <c r="BO144" s="22">
        <f t="shared" si="1198"/>
        <v>0</v>
      </c>
      <c r="BP144" s="22">
        <f t="shared" si="1198"/>
        <v>0</v>
      </c>
      <c r="BQ144" s="22">
        <f t="shared" si="1198"/>
        <v>0</v>
      </c>
      <c r="BR144" s="22">
        <f t="shared" si="1198"/>
        <v>0</v>
      </c>
      <c r="BS144" s="22">
        <f t="shared" si="1198"/>
        <v>0</v>
      </c>
      <c r="BT144" s="22">
        <f t="shared" si="1198"/>
        <v>0</v>
      </c>
      <c r="BU144" s="22">
        <f t="shared" si="1198"/>
        <v>0</v>
      </c>
      <c r="BV144" s="22">
        <f t="shared" si="1198"/>
        <v>0</v>
      </c>
      <c r="BW144" s="22">
        <f t="shared" si="1198"/>
        <v>0</v>
      </c>
      <c r="BX144" s="22">
        <f t="shared" si="1198"/>
        <v>0</v>
      </c>
      <c r="BY144" s="22">
        <f t="shared" si="1198"/>
        <v>0</v>
      </c>
      <c r="BZ144" s="22">
        <f t="shared" si="1198"/>
        <v>917.78</v>
      </c>
      <c r="CA144" s="22">
        <f t="shared" si="1198"/>
        <v>917.78</v>
      </c>
      <c r="CB144" s="22">
        <f t="shared" si="1198"/>
        <v>0</v>
      </c>
      <c r="CC144" s="22">
        <f t="shared" si="1198"/>
        <v>0</v>
      </c>
      <c r="CD144" s="22">
        <f t="shared" si="1198"/>
        <v>969.59</v>
      </c>
      <c r="CE144" s="22">
        <f t="shared" si="1198"/>
        <v>969.59</v>
      </c>
      <c r="CF144" s="22">
        <f t="shared" ref="CF144:CG144" si="1199">CF140+CF143+CF141+CF142</f>
        <v>983.56999999999994</v>
      </c>
      <c r="CG144" s="22">
        <f t="shared" si="1199"/>
        <v>983.56999999999994</v>
      </c>
      <c r="CH144" s="22">
        <f t="shared" ref="CH144:CJ144" si="1200">CH140+CH143+CH141+CH142</f>
        <v>1130.25</v>
      </c>
      <c r="CI144" s="22">
        <f t="shared" si="1200"/>
        <v>1098.92</v>
      </c>
      <c r="CJ144" s="22">
        <f t="shared" si="1200"/>
        <v>998.68</v>
      </c>
      <c r="CK144" s="21">
        <f t="shared" ref="CK144:DB144" si="1201">CK140+CK143+CK141+CK142</f>
        <v>992.68</v>
      </c>
      <c r="CL144" s="22">
        <f t="shared" si="1201"/>
        <v>1873.9299999999998</v>
      </c>
      <c r="CM144" s="21">
        <f t="shared" si="1201"/>
        <v>1700.855027054025</v>
      </c>
      <c r="CN144" s="21">
        <f t="shared" si="1201"/>
        <v>1595.1053973675635</v>
      </c>
      <c r="CO144" s="21">
        <f t="shared" si="1201"/>
        <v>1530.4918718619761</v>
      </c>
      <c r="CP144" s="21">
        <f t="shared" si="1201"/>
        <v>1491.0127011959462</v>
      </c>
      <c r="CQ144" s="21">
        <f t="shared" si="1201"/>
        <v>1466.8907405958748</v>
      </c>
      <c r="CR144" s="21">
        <f t="shared" si="1201"/>
        <v>1452.1521082139116</v>
      </c>
      <c r="CS144" s="21">
        <f t="shared" si="1201"/>
        <v>1443.1467338957887</v>
      </c>
      <c r="CT144" s="21">
        <f t="shared" si="1201"/>
        <v>1437.6444074581777</v>
      </c>
      <c r="CU144" s="21">
        <f t="shared" si="1201"/>
        <v>1404.2824598970305</v>
      </c>
      <c r="CV144" s="21">
        <f t="shared" si="1201"/>
        <v>1383.8981516394076</v>
      </c>
      <c r="CW144" s="21">
        <f t="shared" si="1201"/>
        <v>1371.4432425733166</v>
      </c>
      <c r="CX144" s="21">
        <f t="shared" si="1201"/>
        <v>1363.8332340371385</v>
      </c>
      <c r="CY144" s="21">
        <f t="shared" si="1201"/>
        <v>1359.1834827131106</v>
      </c>
      <c r="CZ144" s="21">
        <f t="shared" si="1201"/>
        <v>1356.3424625917116</v>
      </c>
      <c r="DA144" s="21">
        <f t="shared" si="1201"/>
        <v>1354.6065858172949</v>
      </c>
      <c r="DB144" s="21">
        <f t="shared" si="1201"/>
        <v>1353.5459568716344</v>
      </c>
      <c r="DE144" s="126"/>
      <c r="DF144" s="22">
        <v>988.39251882977874</v>
      </c>
    </row>
    <row r="145" spans="1:110" s="23" customFormat="1" x14ac:dyDescent="0.2">
      <c r="AB145" s="24"/>
      <c r="AC145" s="24"/>
      <c r="AD145" s="24"/>
      <c r="AE145" s="24"/>
      <c r="CK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E145" s="123"/>
    </row>
    <row r="146" spans="1:110" s="23" customFormat="1" x14ac:dyDescent="0.2">
      <c r="A146" s="23" t="s">
        <v>58</v>
      </c>
      <c r="B146" s="23">
        <f>'Annual Raw'!C71</f>
        <v>0</v>
      </c>
      <c r="C146" s="23">
        <f>'Annual Raw'!D71</f>
        <v>0</v>
      </c>
      <c r="D146" s="23">
        <f>'Annual Raw'!E71</f>
        <v>0</v>
      </c>
      <c r="E146" s="23">
        <f>'Annual Raw'!F71</f>
        <v>0</v>
      </c>
      <c r="F146" s="23">
        <f>'Annual Raw'!G71</f>
        <v>0</v>
      </c>
      <c r="G146" s="23">
        <f>'Annual Raw'!H71</f>
        <v>0</v>
      </c>
      <c r="H146" s="23">
        <f>'Annual Raw'!I71</f>
        <v>0</v>
      </c>
      <c r="I146" s="23">
        <f>'Annual Raw'!J71</f>
        <v>0</v>
      </c>
      <c r="J146" s="23">
        <f>'Annual Raw'!K71</f>
        <v>0</v>
      </c>
      <c r="K146" s="23">
        <f>'Annual Raw'!L71</f>
        <v>0</v>
      </c>
      <c r="L146" s="23">
        <f>'Annual Raw'!M71</f>
        <v>0</v>
      </c>
      <c r="M146" s="23">
        <f>'Annual Raw'!N71</f>
        <v>43</v>
      </c>
      <c r="N146" s="23">
        <f>'Annual Raw'!O71</f>
        <v>22.5</v>
      </c>
      <c r="O146" s="23">
        <f>'Annual Raw'!P71</f>
        <v>10</v>
      </c>
      <c r="P146" s="23">
        <f>'Annual Raw'!Q71</f>
        <v>20</v>
      </c>
      <c r="Q146" s="23">
        <f>'Annual Raw'!R71</f>
        <v>12.3</v>
      </c>
      <c r="R146" s="23">
        <f>'Annual Raw'!S71</f>
        <v>35.090000000000003</v>
      </c>
      <c r="S146" s="23">
        <f>'Annual Raw'!T71</f>
        <v>36.79</v>
      </c>
      <c r="T146" s="23">
        <f>'Annual Raw'!U71</f>
        <v>33.83</v>
      </c>
      <c r="U146" s="23">
        <f>'Annual Raw'!V71</f>
        <v>5</v>
      </c>
      <c r="V146" s="23">
        <f>'Annual Raw'!W71</f>
        <v>0</v>
      </c>
      <c r="W146" s="23">
        <f>'Annual Raw'!X71</f>
        <v>0</v>
      </c>
      <c r="X146" s="23">
        <f>'Annual Raw'!Y71</f>
        <v>0</v>
      </c>
      <c r="Y146" s="23">
        <f>'Annual Raw'!Z71</f>
        <v>0</v>
      </c>
      <c r="Z146" s="23">
        <f>'Annual Raw'!AA71</f>
        <v>4.07</v>
      </c>
      <c r="AA146" s="23">
        <f>'Annual Raw'!AB71</f>
        <v>25.66</v>
      </c>
      <c r="AB146" s="24">
        <f>+CP146</f>
        <v>25.66</v>
      </c>
      <c r="AC146" s="24">
        <f>+CT146</f>
        <v>25.66</v>
      </c>
      <c r="AD146" s="24">
        <f>+CX146</f>
        <v>25.66</v>
      </c>
      <c r="AE146" s="24">
        <f>+DB146</f>
        <v>25.66</v>
      </c>
      <c r="AJ146" s="23">
        <f>+'QTR Raw'!D77</f>
        <v>0</v>
      </c>
      <c r="AK146" s="23">
        <f t="shared" ref="AK146:CE146" si="1202">+AJ146</f>
        <v>0</v>
      </c>
      <c r="AL146" s="23">
        <f>+'QTR Raw'!F77</f>
        <v>0</v>
      </c>
      <c r="AM146" s="23">
        <f t="shared" si="1202"/>
        <v>0</v>
      </c>
      <c r="AN146" s="23">
        <f>+'QTR Raw'!H77</f>
        <v>0</v>
      </c>
      <c r="AO146" s="23">
        <f t="shared" si="1202"/>
        <v>0</v>
      </c>
      <c r="AP146" s="23">
        <f>+'QTR Raw'!J77</f>
        <v>0</v>
      </c>
      <c r="AQ146" s="23">
        <f t="shared" si="1202"/>
        <v>0</v>
      </c>
      <c r="AR146" s="23">
        <f>+'QTR Raw'!L77</f>
        <v>0</v>
      </c>
      <c r="AS146" s="23">
        <f t="shared" si="1202"/>
        <v>0</v>
      </c>
      <c r="AT146" s="23">
        <f>+'QTR Raw'!N77</f>
        <v>0</v>
      </c>
      <c r="AU146" s="23">
        <f t="shared" si="1202"/>
        <v>0</v>
      </c>
      <c r="AV146" s="23">
        <f>+'QTR Raw'!P77</f>
        <v>0</v>
      </c>
      <c r="AW146" s="23">
        <f t="shared" si="1202"/>
        <v>0</v>
      </c>
      <c r="AX146" s="23">
        <f>+'QTR Raw'!R77</f>
        <v>0</v>
      </c>
      <c r="AY146" s="23">
        <f t="shared" si="1202"/>
        <v>0</v>
      </c>
      <c r="AZ146" s="23">
        <f>+'QTR Raw'!T77</f>
        <v>0</v>
      </c>
      <c r="BA146" s="23">
        <f t="shared" si="1202"/>
        <v>0</v>
      </c>
      <c r="BB146" s="23">
        <f>+'QTR Raw'!V77</f>
        <v>0</v>
      </c>
      <c r="BC146" s="23">
        <f t="shared" si="1202"/>
        <v>0</v>
      </c>
      <c r="BD146" s="23">
        <f>+'QTR Raw'!X77</f>
        <v>0</v>
      </c>
      <c r="BE146" s="23">
        <f t="shared" si="1202"/>
        <v>0</v>
      </c>
      <c r="BF146" s="23">
        <f>+'QTR Raw'!Z77</f>
        <v>0</v>
      </c>
      <c r="BG146" s="23">
        <f t="shared" si="1202"/>
        <v>0</v>
      </c>
      <c r="BH146" s="23">
        <f>+'QTR Raw'!AB77</f>
        <v>0</v>
      </c>
      <c r="BI146" s="23">
        <f t="shared" si="1202"/>
        <v>0</v>
      </c>
      <c r="BJ146" s="23">
        <f>+'QTR Raw'!AD77</f>
        <v>0</v>
      </c>
      <c r="BK146" s="23">
        <f t="shared" si="1202"/>
        <v>0</v>
      </c>
      <c r="BL146" s="23">
        <f>+'QTR Raw'!AF77</f>
        <v>0</v>
      </c>
      <c r="BM146" s="23">
        <f t="shared" si="1202"/>
        <v>0</v>
      </c>
      <c r="BN146" s="23">
        <f>+'QTR Raw'!AH77</f>
        <v>0</v>
      </c>
      <c r="BO146" s="23">
        <f t="shared" si="1202"/>
        <v>0</v>
      </c>
      <c r="BP146" s="23">
        <f>+'QTR Raw'!AJ77</f>
        <v>0</v>
      </c>
      <c r="BQ146" s="23">
        <f t="shared" si="1202"/>
        <v>0</v>
      </c>
      <c r="BR146" s="23">
        <f>+'QTR Raw'!AL77</f>
        <v>0</v>
      </c>
      <c r="BS146" s="23">
        <f t="shared" si="1202"/>
        <v>0</v>
      </c>
      <c r="BT146" s="23">
        <f>+'QTR Raw'!AN77</f>
        <v>0</v>
      </c>
      <c r="BU146" s="23">
        <f t="shared" si="1202"/>
        <v>0</v>
      </c>
      <c r="BV146" s="23">
        <f>+'QTR Raw'!AP77</f>
        <v>0</v>
      </c>
      <c r="BW146" s="23">
        <f t="shared" si="1202"/>
        <v>0</v>
      </c>
      <c r="BX146" s="23">
        <f>+'QTR Raw'!AR77</f>
        <v>0</v>
      </c>
      <c r="BY146" s="23">
        <f t="shared" si="1202"/>
        <v>0</v>
      </c>
      <c r="BZ146" s="23">
        <f>+'QTR Raw'!AT77</f>
        <v>0</v>
      </c>
      <c r="CA146" s="23">
        <f t="shared" si="1202"/>
        <v>0</v>
      </c>
      <c r="CB146" s="23">
        <f>+'QTR Raw'!AV77</f>
        <v>0</v>
      </c>
      <c r="CC146" s="23">
        <f t="shared" si="1202"/>
        <v>0</v>
      </c>
      <c r="CD146" s="23">
        <f>+'QTR Raw'!AX77</f>
        <v>0</v>
      </c>
      <c r="CE146" s="23">
        <f t="shared" si="1202"/>
        <v>0</v>
      </c>
      <c r="CF146" s="23">
        <f>+'QTR Raw'!AZ77</f>
        <v>0</v>
      </c>
      <c r="CG146" s="23">
        <f t="shared" ref="CG146:CI149" si="1203">+CF146</f>
        <v>0</v>
      </c>
      <c r="CH146" s="23">
        <f t="shared" ref="CH146:CH161" si="1204">Z146</f>
        <v>4.07</v>
      </c>
      <c r="CI146" s="23">
        <f t="shared" si="1203"/>
        <v>4.07</v>
      </c>
      <c r="CJ146" s="23">
        <f>+'QTR Raw'!BD77</f>
        <v>14.18</v>
      </c>
      <c r="CK146" s="24">
        <f t="shared" ref="CK146" si="1205">+CJ146</f>
        <v>14.18</v>
      </c>
      <c r="CL146" s="23">
        <f>+'QTR Raw'!BF77</f>
        <v>25.66</v>
      </c>
      <c r="CM146" s="24">
        <f t="shared" ref="CM146" si="1206">+CL146</f>
        <v>25.66</v>
      </c>
      <c r="CN146" s="24">
        <f t="shared" ref="CN146" si="1207">+CM146</f>
        <v>25.66</v>
      </c>
      <c r="CO146" s="24">
        <f t="shared" ref="CO146" si="1208">+CN146</f>
        <v>25.66</v>
      </c>
      <c r="CP146" s="24">
        <f t="shared" ref="CP146" si="1209">+CO146</f>
        <v>25.66</v>
      </c>
      <c r="CQ146" s="24">
        <f t="shared" ref="CQ146" si="1210">+CP146</f>
        <v>25.66</v>
      </c>
      <c r="CR146" s="24">
        <f t="shared" ref="CR146" si="1211">+CQ146</f>
        <v>25.66</v>
      </c>
      <c r="CS146" s="24">
        <f t="shared" ref="CS146" si="1212">+CR146</f>
        <v>25.66</v>
      </c>
      <c r="CT146" s="24">
        <f t="shared" ref="CT146" si="1213">+CS146</f>
        <v>25.66</v>
      </c>
      <c r="CU146" s="24">
        <f t="shared" ref="CU146" si="1214">+CT146</f>
        <v>25.66</v>
      </c>
      <c r="CV146" s="24">
        <f t="shared" ref="CV146" si="1215">+CU146</f>
        <v>25.66</v>
      </c>
      <c r="CW146" s="24">
        <f t="shared" ref="CW146" si="1216">+CV146</f>
        <v>25.66</v>
      </c>
      <c r="CX146" s="24">
        <f t="shared" ref="CX146" si="1217">+CW146</f>
        <v>25.66</v>
      </c>
      <c r="CY146" s="24">
        <f t="shared" ref="CY146" si="1218">+CX146</f>
        <v>25.66</v>
      </c>
      <c r="CZ146" s="24">
        <f t="shared" ref="CZ146" si="1219">+CY146</f>
        <v>25.66</v>
      </c>
      <c r="DA146" s="24">
        <f t="shared" ref="DA146" si="1220">+CZ146</f>
        <v>25.66</v>
      </c>
      <c r="DB146" s="24">
        <f t="shared" ref="DB146" si="1221">+DA146</f>
        <v>25.66</v>
      </c>
      <c r="DE146" s="123"/>
      <c r="DF146" s="23">
        <v>14.18</v>
      </c>
    </row>
    <row r="147" spans="1:110" s="23" customFormat="1" x14ac:dyDescent="0.2">
      <c r="AB147" s="24"/>
      <c r="AC147" s="24"/>
      <c r="AD147" s="24"/>
      <c r="AE147" s="24"/>
      <c r="CK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outlineLevel="1" x14ac:dyDescent="0.2">
      <c r="A148" s="23" t="s">
        <v>59</v>
      </c>
      <c r="B148" s="23">
        <f>'Annual Raw'!C72</f>
        <v>0</v>
      </c>
      <c r="C148" s="23">
        <f>'Annual Raw'!D72</f>
        <v>0</v>
      </c>
      <c r="D148" s="23">
        <f>'Annual Raw'!E72</f>
        <v>0</v>
      </c>
      <c r="E148" s="23">
        <f>'Annual Raw'!F72+'Annual Raw'!F61</f>
        <v>0</v>
      </c>
      <c r="F148" s="23">
        <f>'Annual Raw'!G72+'Annual Raw'!G61</f>
        <v>0</v>
      </c>
      <c r="G148" s="23">
        <f>'Annual Raw'!H72+'Annual Raw'!H61</f>
        <v>0</v>
      </c>
      <c r="H148" s="23">
        <f>'Annual Raw'!I72+'Annual Raw'!I61</f>
        <v>0</v>
      </c>
      <c r="I148" s="23">
        <f>'Annual Raw'!J72+'Annual Raw'!J61</f>
        <v>0</v>
      </c>
      <c r="J148" s="23">
        <f>'Annual Raw'!K72+'Annual Raw'!K61</f>
        <v>0</v>
      </c>
      <c r="K148" s="23">
        <f>'Annual Raw'!L72+'Annual Raw'!L61</f>
        <v>0</v>
      </c>
      <c r="L148" s="23">
        <f>'Annual Raw'!M72+'Annual Raw'!M61</f>
        <v>0</v>
      </c>
      <c r="M148" s="23">
        <f>'Annual Raw'!N72+'Annual Raw'!N61</f>
        <v>36.880000000000003</v>
      </c>
      <c r="N148" s="23">
        <f>'Annual Raw'!O72+'Annual Raw'!O61</f>
        <v>36.04</v>
      </c>
      <c r="O148" s="23">
        <f>'Annual Raw'!P72+'Annual Raw'!P61</f>
        <v>66.239999999999995</v>
      </c>
      <c r="P148" s="23">
        <f>'Annual Raw'!Q72+'Annual Raw'!Q61</f>
        <v>91.72</v>
      </c>
      <c r="Q148" s="23">
        <f>'Annual Raw'!R72+'Annual Raw'!R61</f>
        <v>80.849999999999994</v>
      </c>
      <c r="R148" s="23">
        <f>'Annual Raw'!S72+'Annual Raw'!S61</f>
        <v>22.05</v>
      </c>
      <c r="S148" s="23">
        <f>'Annual Raw'!T72+'Annual Raw'!T61</f>
        <v>21.66</v>
      </c>
      <c r="T148" s="23">
        <f>'Annual Raw'!U72+'Annual Raw'!U61</f>
        <v>24.24</v>
      </c>
      <c r="U148" s="23">
        <f>'Annual Raw'!V72+'Annual Raw'!V61</f>
        <v>41.396999999999998</v>
      </c>
      <c r="V148" s="23">
        <f>'Annual Raw'!W72+'Annual Raw'!W61</f>
        <v>31.719000000000001</v>
      </c>
      <c r="W148" s="23">
        <f>'Annual Raw'!X72+'Annual Raw'!X61</f>
        <v>42.167000000000002</v>
      </c>
      <c r="X148" s="23">
        <f>'Annual Raw'!Y72+'Annual Raw'!Y61</f>
        <v>44.47</v>
      </c>
      <c r="Y148" s="23">
        <f>'Annual Raw'!Z72+'Annual Raw'!Z61</f>
        <v>58.66</v>
      </c>
      <c r="Z148" s="23">
        <f>'Annual Raw'!AA72+'Annual Raw'!AA61</f>
        <v>74.84</v>
      </c>
      <c r="AA148" s="23">
        <f>'Annual Raw'!AB72+'Annual Raw'!AB61</f>
        <v>65.599999999999994</v>
      </c>
      <c r="AB148" s="24">
        <f t="shared" ref="AB148:AB153" si="1222">+CP148</f>
        <v>0</v>
      </c>
      <c r="AC148" s="24">
        <f t="shared" ref="AC148:AC153" si="1223">+CT148</f>
        <v>0</v>
      </c>
      <c r="AD148" s="24">
        <f t="shared" ref="AD148:AD153" si="1224">+CX148</f>
        <v>0</v>
      </c>
      <c r="AE148" s="24">
        <f t="shared" ref="AE148:AE153" si="1225">+DB148</f>
        <v>0</v>
      </c>
      <c r="AJ148" s="23">
        <f>+'QTR Raw'!D78</f>
        <v>0</v>
      </c>
      <c r="AK148" s="23">
        <f t="shared" ref="AK148:CE153" si="1226">+AJ148</f>
        <v>0</v>
      </c>
      <c r="AL148" s="23">
        <f>+'QTR Raw'!F78</f>
        <v>0</v>
      </c>
      <c r="AM148" s="23">
        <f t="shared" si="1226"/>
        <v>0</v>
      </c>
      <c r="AN148" s="23">
        <f>+'QTR Raw'!H78</f>
        <v>0</v>
      </c>
      <c r="AO148" s="23">
        <f t="shared" si="1226"/>
        <v>0</v>
      </c>
      <c r="AP148" s="23">
        <f>+'QTR Raw'!J78</f>
        <v>0</v>
      </c>
      <c r="AQ148" s="23">
        <f t="shared" si="1226"/>
        <v>0</v>
      </c>
      <c r="AR148" s="23">
        <f>+'QTR Raw'!L78</f>
        <v>0</v>
      </c>
      <c r="AS148" s="23">
        <f t="shared" si="1226"/>
        <v>0</v>
      </c>
      <c r="AT148" s="23">
        <f>+'QTR Raw'!N78</f>
        <v>0</v>
      </c>
      <c r="AU148" s="23">
        <f t="shared" si="1226"/>
        <v>0</v>
      </c>
      <c r="AV148" s="23">
        <f>+'QTR Raw'!P78</f>
        <v>0</v>
      </c>
      <c r="AW148" s="23">
        <f t="shared" si="1226"/>
        <v>0</v>
      </c>
      <c r="AX148" s="23">
        <f>+'QTR Raw'!R78</f>
        <v>0</v>
      </c>
      <c r="AY148" s="23">
        <f t="shared" si="1226"/>
        <v>0</v>
      </c>
      <c r="AZ148" s="23">
        <f>+'QTR Raw'!T78</f>
        <v>0</v>
      </c>
      <c r="BA148" s="23">
        <f t="shared" si="1226"/>
        <v>0</v>
      </c>
      <c r="BB148" s="23">
        <f>+'QTR Raw'!V78</f>
        <v>0</v>
      </c>
      <c r="BC148" s="23">
        <f t="shared" si="1226"/>
        <v>0</v>
      </c>
      <c r="BD148" s="23">
        <f>+'QTR Raw'!X78</f>
        <v>0</v>
      </c>
      <c r="BE148" s="23">
        <f t="shared" si="1226"/>
        <v>0</v>
      </c>
      <c r="BF148" s="23">
        <f>+'QTR Raw'!Z78</f>
        <v>0</v>
      </c>
      <c r="BG148" s="23">
        <f t="shared" si="1226"/>
        <v>0</v>
      </c>
      <c r="BH148" s="23">
        <f>+'QTR Raw'!AB78</f>
        <v>0</v>
      </c>
      <c r="BI148" s="23">
        <f t="shared" si="1226"/>
        <v>0</v>
      </c>
      <c r="BJ148" s="23">
        <f>+'QTR Raw'!AD78</f>
        <v>0</v>
      </c>
      <c r="BK148" s="23">
        <f t="shared" si="1226"/>
        <v>0</v>
      </c>
      <c r="BL148" s="23">
        <f>+'QTR Raw'!AF78</f>
        <v>0</v>
      </c>
      <c r="BM148" s="23">
        <f t="shared" si="1226"/>
        <v>0</v>
      </c>
      <c r="BN148" s="23">
        <f>+'QTR Raw'!AH78</f>
        <v>0</v>
      </c>
      <c r="BO148" s="23">
        <f t="shared" si="1226"/>
        <v>0</v>
      </c>
      <c r="BP148" s="23">
        <f>+'QTR Raw'!AJ78</f>
        <v>0</v>
      </c>
      <c r="BQ148" s="23">
        <f t="shared" si="1226"/>
        <v>0</v>
      </c>
      <c r="BR148" s="23">
        <f>+'QTR Raw'!AL78</f>
        <v>0</v>
      </c>
      <c r="BS148" s="23">
        <f t="shared" si="1226"/>
        <v>0</v>
      </c>
      <c r="BT148" s="23">
        <f>+'QTR Raw'!AN78</f>
        <v>0</v>
      </c>
      <c r="BU148" s="23">
        <f t="shared" si="1226"/>
        <v>0</v>
      </c>
      <c r="BV148" s="23">
        <f>+'QTR Raw'!AP78</f>
        <v>0</v>
      </c>
      <c r="BW148" s="23">
        <f t="shared" si="1226"/>
        <v>0</v>
      </c>
      <c r="BX148" s="23">
        <f>+'QTR Raw'!AR78</f>
        <v>0</v>
      </c>
      <c r="BY148" s="23">
        <f t="shared" si="1226"/>
        <v>0</v>
      </c>
      <c r="BZ148" s="23">
        <f>+'QTR Raw'!AT78</f>
        <v>0</v>
      </c>
      <c r="CA148" s="23">
        <f t="shared" si="1226"/>
        <v>0</v>
      </c>
      <c r="CB148" s="23">
        <f>+'QTR Raw'!AV78</f>
        <v>0</v>
      </c>
      <c r="CC148" s="23">
        <f t="shared" si="1226"/>
        <v>0</v>
      </c>
      <c r="CD148" s="23">
        <f>+'QTR Raw'!AX78</f>
        <v>0</v>
      </c>
      <c r="CE148" s="23">
        <f t="shared" si="1226"/>
        <v>0</v>
      </c>
      <c r="CF148" s="23">
        <f>+'QTR Raw'!AZ78</f>
        <v>0</v>
      </c>
      <c r="CG148" s="23">
        <f t="shared" si="1203"/>
        <v>0</v>
      </c>
      <c r="CH148" s="23">
        <f t="shared" si="1204"/>
        <v>74.84</v>
      </c>
      <c r="CJ148" s="23">
        <f>+'QTR Raw'!BD78</f>
        <v>0</v>
      </c>
      <c r="CK148" s="24"/>
      <c r="CL148" s="23">
        <f>+'QTR Raw'!BF78</f>
        <v>15</v>
      </c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  <c r="DF148" s="23">
        <v>15</v>
      </c>
    </row>
    <row r="149" spans="1:110" s="23" customFormat="1" outlineLevel="1" x14ac:dyDescent="0.2">
      <c r="A149" s="23" t="s">
        <v>60</v>
      </c>
      <c r="B149" s="23">
        <f>'Annual Raw'!C73+'Annual Raw'!C81</f>
        <v>0</v>
      </c>
      <c r="C149" s="23">
        <f>'Annual Raw'!D73+'Annual Raw'!D81</f>
        <v>0</v>
      </c>
      <c r="D149" s="23">
        <f>'Annual Raw'!E73+'Annual Raw'!E81</f>
        <v>0</v>
      </c>
      <c r="E149" s="23">
        <f>'Annual Raw'!F73+'Annual Raw'!F81</f>
        <v>0</v>
      </c>
      <c r="F149" s="23">
        <f>'Annual Raw'!G73+'Annual Raw'!G81</f>
        <v>0</v>
      </c>
      <c r="G149" s="23">
        <f>'Annual Raw'!H73+'Annual Raw'!H81</f>
        <v>0</v>
      </c>
      <c r="H149" s="23">
        <f>'Annual Raw'!I73+'Annual Raw'!I81</f>
        <v>0</v>
      </c>
      <c r="I149" s="23">
        <f>'Annual Raw'!J73+'Annual Raw'!J81</f>
        <v>0</v>
      </c>
      <c r="J149" s="23">
        <f>'Annual Raw'!K73+'Annual Raw'!K81</f>
        <v>0</v>
      </c>
      <c r="K149" s="23">
        <f>'Annual Raw'!L73+'Annual Raw'!L81</f>
        <v>0</v>
      </c>
      <c r="L149" s="23">
        <f>'Annual Raw'!M73+'Annual Raw'!M81</f>
        <v>0</v>
      </c>
      <c r="M149" s="23">
        <f>'Annual Raw'!N73+'Annual Raw'!N81</f>
        <v>0</v>
      </c>
      <c r="N149" s="23">
        <f>'Annual Raw'!O73+'Annual Raw'!O81</f>
        <v>1.66</v>
      </c>
      <c r="O149" s="23">
        <f>'Annual Raw'!P73+'Annual Raw'!P81</f>
        <v>0.54</v>
      </c>
      <c r="P149" s="23">
        <f>'Annual Raw'!Q73+'Annual Raw'!Q81</f>
        <v>1.38</v>
      </c>
      <c r="Q149" s="23">
        <f>'Annual Raw'!R73+'Annual Raw'!R81</f>
        <v>6.51</v>
      </c>
      <c r="R149" s="23">
        <f>'Annual Raw'!S73+'Annual Raw'!S81</f>
        <v>7.05</v>
      </c>
      <c r="S149" s="23">
        <f>'Annual Raw'!T73+'Annual Raw'!T81</f>
        <v>28.68</v>
      </c>
      <c r="T149" s="23">
        <f>'Annual Raw'!U73+'Annual Raw'!U81</f>
        <v>36.21</v>
      </c>
      <c r="U149" s="23">
        <f>'Annual Raw'!V73+'Annual Raw'!V81</f>
        <v>25.588000000000001</v>
      </c>
      <c r="V149" s="23">
        <f>'Annual Raw'!W73+'Annual Raw'!W81</f>
        <v>20.629000000000001</v>
      </c>
      <c r="W149" s="23">
        <f>'Annual Raw'!X73+'Annual Raw'!X81</f>
        <v>70.063000000000002</v>
      </c>
      <c r="X149" s="23">
        <f>'Annual Raw'!Y73+'Annual Raw'!Y81</f>
        <v>109.4</v>
      </c>
      <c r="Y149" s="23">
        <f>'Annual Raw'!Z73+'Annual Raw'!Z81</f>
        <v>142.84</v>
      </c>
      <c r="Z149" s="23">
        <f>'Annual Raw'!AA73+'Annual Raw'!AA81</f>
        <v>440.74</v>
      </c>
      <c r="AA149" s="23">
        <f>'Annual Raw'!AB73+'Annual Raw'!AB81</f>
        <v>540.09</v>
      </c>
      <c r="AB149" s="24">
        <f t="shared" si="1222"/>
        <v>0</v>
      </c>
      <c r="AC149" s="24">
        <f t="shared" si="1223"/>
        <v>0</v>
      </c>
      <c r="AD149" s="24">
        <f t="shared" si="1224"/>
        <v>0</v>
      </c>
      <c r="AE149" s="24">
        <f t="shared" si="1225"/>
        <v>0</v>
      </c>
      <c r="AJ149" s="23">
        <f>+'QTR Raw'!D79+'QTR Raw'!D76</f>
        <v>0</v>
      </c>
      <c r="AK149" s="23">
        <f t="shared" si="1226"/>
        <v>0</v>
      </c>
      <c r="AL149" s="23">
        <f>+'QTR Raw'!F79+'QTR Raw'!F76</f>
        <v>0</v>
      </c>
      <c r="AM149" s="23">
        <f t="shared" si="1226"/>
        <v>0</v>
      </c>
      <c r="AN149" s="23">
        <f>+'QTR Raw'!H79+'QTR Raw'!H76</f>
        <v>0</v>
      </c>
      <c r="AO149" s="23">
        <f t="shared" si="1226"/>
        <v>0</v>
      </c>
      <c r="AP149" s="23">
        <f>+'QTR Raw'!J79+'QTR Raw'!J76</f>
        <v>0</v>
      </c>
      <c r="AQ149" s="23">
        <f t="shared" si="1226"/>
        <v>0</v>
      </c>
      <c r="AR149" s="23">
        <f>+'QTR Raw'!L79+'QTR Raw'!L76</f>
        <v>0</v>
      </c>
      <c r="AS149" s="23">
        <f t="shared" si="1226"/>
        <v>0</v>
      </c>
      <c r="AT149" s="23">
        <f>+'QTR Raw'!N79+'QTR Raw'!N76</f>
        <v>0</v>
      </c>
      <c r="AU149" s="23">
        <f t="shared" si="1226"/>
        <v>0</v>
      </c>
      <c r="AV149" s="23">
        <f>+'QTR Raw'!P79+'QTR Raw'!P76</f>
        <v>0</v>
      </c>
      <c r="AW149" s="23">
        <f t="shared" si="1226"/>
        <v>0</v>
      </c>
      <c r="AX149" s="23">
        <f>+'QTR Raw'!R79+'QTR Raw'!R76</f>
        <v>0</v>
      </c>
      <c r="AY149" s="23">
        <f t="shared" si="1226"/>
        <v>0</v>
      </c>
      <c r="AZ149" s="23">
        <f>+'QTR Raw'!T79+'QTR Raw'!T76</f>
        <v>0</v>
      </c>
      <c r="BA149" s="23">
        <f t="shared" si="1226"/>
        <v>0</v>
      </c>
      <c r="BB149" s="23">
        <f>+'QTR Raw'!V79+'QTR Raw'!V76</f>
        <v>0</v>
      </c>
      <c r="BC149" s="23">
        <f t="shared" si="1226"/>
        <v>0</v>
      </c>
      <c r="BD149" s="23">
        <f>+'QTR Raw'!X79+'QTR Raw'!X76</f>
        <v>0</v>
      </c>
      <c r="BE149" s="23">
        <f t="shared" si="1226"/>
        <v>0</v>
      </c>
      <c r="BF149" s="23">
        <f>+'QTR Raw'!Z79+'QTR Raw'!Z76</f>
        <v>0</v>
      </c>
      <c r="BG149" s="23">
        <f t="shared" si="1226"/>
        <v>0</v>
      </c>
      <c r="BH149" s="23">
        <f>+'QTR Raw'!AB79+'QTR Raw'!AB76</f>
        <v>0</v>
      </c>
      <c r="BI149" s="23">
        <f t="shared" si="1226"/>
        <v>0</v>
      </c>
      <c r="BJ149" s="23">
        <f>+'QTR Raw'!AD79+'QTR Raw'!AD76</f>
        <v>0</v>
      </c>
      <c r="BK149" s="23">
        <f t="shared" si="1226"/>
        <v>0</v>
      </c>
      <c r="BL149" s="23">
        <f>+'QTR Raw'!AF79+'QTR Raw'!AF76</f>
        <v>0</v>
      </c>
      <c r="BM149" s="23">
        <f t="shared" si="1226"/>
        <v>0</v>
      </c>
      <c r="BN149" s="23">
        <f>+'QTR Raw'!AH79+'QTR Raw'!AH76</f>
        <v>0</v>
      </c>
      <c r="BO149" s="23">
        <f t="shared" si="1226"/>
        <v>0</v>
      </c>
      <c r="BP149" s="23">
        <f>+'QTR Raw'!AJ79+'QTR Raw'!AJ76</f>
        <v>0</v>
      </c>
      <c r="BQ149" s="23">
        <f t="shared" si="1226"/>
        <v>0</v>
      </c>
      <c r="BR149" s="23">
        <f>+'QTR Raw'!AL79+'QTR Raw'!AL76</f>
        <v>0</v>
      </c>
      <c r="BS149" s="23">
        <f t="shared" si="1226"/>
        <v>0</v>
      </c>
      <c r="BT149" s="23">
        <f>+'QTR Raw'!AN79+'QTR Raw'!AN76</f>
        <v>0</v>
      </c>
      <c r="BU149" s="23">
        <f t="shared" si="1226"/>
        <v>0</v>
      </c>
      <c r="BV149" s="23">
        <f>+'QTR Raw'!AP79+'QTR Raw'!AP76</f>
        <v>0</v>
      </c>
      <c r="BW149" s="23">
        <f t="shared" si="1226"/>
        <v>0</v>
      </c>
      <c r="BX149" s="23">
        <f>+'QTR Raw'!AR79+'QTR Raw'!AR76</f>
        <v>0</v>
      </c>
      <c r="BY149" s="23">
        <f t="shared" si="1226"/>
        <v>0</v>
      </c>
      <c r="BZ149" s="23">
        <f>+'QTR Raw'!AT79+'QTR Raw'!AT76</f>
        <v>334.16</v>
      </c>
      <c r="CA149" s="23">
        <f t="shared" si="1226"/>
        <v>334.16</v>
      </c>
      <c r="CB149" s="23">
        <f>+'QTR Raw'!AV79+'QTR Raw'!AV76</f>
        <v>0</v>
      </c>
      <c r="CC149" s="23">
        <f t="shared" si="1226"/>
        <v>0</v>
      </c>
      <c r="CD149" s="23">
        <f>+'QTR Raw'!AX79+'QTR Raw'!AX76</f>
        <v>382.45</v>
      </c>
      <c r="CE149" s="23">
        <f t="shared" si="1226"/>
        <v>382.45</v>
      </c>
      <c r="CF149" s="23">
        <f>+'QTR Raw'!AZ79+'QTR Raw'!AZ76</f>
        <v>430.83</v>
      </c>
      <c r="CG149" s="23">
        <f t="shared" si="1203"/>
        <v>430.83</v>
      </c>
      <c r="CH149" s="23">
        <f t="shared" si="1204"/>
        <v>440.74</v>
      </c>
      <c r="CJ149" s="23">
        <f>+'QTR Raw'!BD79+'QTR Raw'!BD76</f>
        <v>725.16</v>
      </c>
      <c r="CK149" s="24"/>
      <c r="CL149" s="23">
        <f>+'QTR Raw'!BF79+'QTR Raw'!BF76</f>
        <v>786.94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786.94</v>
      </c>
    </row>
    <row r="150" spans="1:110" s="23" customFormat="1" outlineLevel="1" x14ac:dyDescent="0.2">
      <c r="A150" s="23" t="s">
        <v>61</v>
      </c>
      <c r="B150" s="23">
        <f>'Annual Raw'!C76</f>
        <v>0</v>
      </c>
      <c r="C150" s="23">
        <f>'Annual Raw'!D76</f>
        <v>0</v>
      </c>
      <c r="D150" s="23">
        <f>'Annual Raw'!E76</f>
        <v>0</v>
      </c>
      <c r="E150" s="23">
        <f>'Annual Raw'!F76</f>
        <v>6.2411000000000001E-2</v>
      </c>
      <c r="F150" s="23">
        <f>'Annual Raw'!G76</f>
        <v>1.8710600000000001E-2</v>
      </c>
      <c r="G150" s="23">
        <f>'Annual Raw'!H76</f>
        <v>4.9626000000000001</v>
      </c>
      <c r="H150" s="23">
        <f>'Annual Raw'!I76</f>
        <v>4.9671000000000003</v>
      </c>
      <c r="I150" s="23">
        <f>'Annual Raw'!J76</f>
        <v>2.1698</v>
      </c>
      <c r="J150" s="23">
        <f>'Annual Raw'!K76</f>
        <v>1.8724000000000001</v>
      </c>
      <c r="K150" s="23">
        <f>'Annual Raw'!L76</f>
        <v>5.3411</v>
      </c>
      <c r="L150" s="23">
        <f>'Annual Raw'!M76</f>
        <v>0.76780000000000004</v>
      </c>
      <c r="M150" s="23">
        <f>'Annual Raw'!N76</f>
        <v>0.05</v>
      </c>
      <c r="N150" s="23">
        <f>'Annual Raw'!O76</f>
        <v>0.06</v>
      </c>
      <c r="O150" s="23">
        <f>'Annual Raw'!P76</f>
        <v>0</v>
      </c>
      <c r="P150" s="23">
        <f>'Annual Raw'!Q76</f>
        <v>0.75</v>
      </c>
      <c r="Q150" s="23">
        <f>'Annual Raw'!R76</f>
        <v>0</v>
      </c>
      <c r="R150" s="23">
        <f>'Annual Raw'!S76</f>
        <v>0.02</v>
      </c>
      <c r="S150" s="23">
        <f>'Annual Raw'!T76</f>
        <v>1.25</v>
      </c>
      <c r="T150" s="23">
        <f>'Annual Raw'!U76</f>
        <v>0.04</v>
      </c>
      <c r="U150" s="23">
        <f>'Annual Raw'!V76</f>
        <v>0</v>
      </c>
      <c r="V150" s="23">
        <f>'Annual Raw'!W76</f>
        <v>0</v>
      </c>
      <c r="W150" s="23">
        <f>'Annual Raw'!X76</f>
        <v>0</v>
      </c>
      <c r="X150" s="23">
        <f>'Annual Raw'!Y76</f>
        <v>0</v>
      </c>
      <c r="Y150" s="23">
        <f>'Annual Raw'!Z76</f>
        <v>0</v>
      </c>
      <c r="Z150" s="23">
        <f>'Annual Raw'!AA76</f>
        <v>0</v>
      </c>
      <c r="AA150" s="23">
        <f>'Annual Raw'!AB76</f>
        <v>0</v>
      </c>
      <c r="AB150" s="24">
        <f t="shared" si="1222"/>
        <v>0</v>
      </c>
      <c r="AC150" s="24">
        <f t="shared" si="1223"/>
        <v>0</v>
      </c>
      <c r="AD150" s="24">
        <f t="shared" si="1224"/>
        <v>0</v>
      </c>
      <c r="AE150" s="24">
        <f t="shared" si="1225"/>
        <v>0</v>
      </c>
      <c r="AJ150" s="23">
        <f>+'QTR Raw'!D81</f>
        <v>0</v>
      </c>
      <c r="AK150" s="23" t="e">
        <f>+AK185*AK16/90</f>
        <v>#DIV/0!</v>
      </c>
      <c r="AL150" s="23">
        <f>+'QTR Raw'!F81</f>
        <v>0</v>
      </c>
      <c r="AM150" s="23" t="e">
        <f>+AM185*AM16/90</f>
        <v>#DIV/0!</v>
      </c>
      <c r="AN150" s="23">
        <f>+'QTR Raw'!H81</f>
        <v>0</v>
      </c>
      <c r="AO150" s="23" t="e">
        <f>+AO185*AO16/90</f>
        <v>#DIV/0!</v>
      </c>
      <c r="AP150" s="23">
        <f>+'QTR Raw'!J81</f>
        <v>0</v>
      </c>
      <c r="AQ150" s="23" t="e">
        <f>+AQ185*AQ16/90</f>
        <v>#DIV/0!</v>
      </c>
      <c r="AR150" s="23">
        <f>+'QTR Raw'!L81</f>
        <v>0</v>
      </c>
      <c r="AS150" s="23" t="e">
        <f>+AS185*AS16/90</f>
        <v>#DIV/0!</v>
      </c>
      <c r="AT150" s="23">
        <f>+'QTR Raw'!N81</f>
        <v>0</v>
      </c>
      <c r="AU150" s="23" t="e">
        <f>+AU185*AU16/90</f>
        <v>#DIV/0!</v>
      </c>
      <c r="AV150" s="23">
        <f>+'QTR Raw'!P81</f>
        <v>0</v>
      </c>
      <c r="AW150" s="23" t="e">
        <f>+AW185*AW16/90</f>
        <v>#DIV/0!</v>
      </c>
      <c r="AX150" s="23">
        <f>+'QTR Raw'!R81</f>
        <v>0</v>
      </c>
      <c r="AY150" s="23" t="e">
        <f>+AY185*AY16/90</f>
        <v>#DIV/0!</v>
      </c>
      <c r="AZ150" s="23">
        <f>+'QTR Raw'!T81</f>
        <v>0</v>
      </c>
      <c r="BA150" s="23" t="e">
        <f>+BA185*BA16/90</f>
        <v>#DIV/0!</v>
      </c>
      <c r="BB150" s="23">
        <f>+'QTR Raw'!V81</f>
        <v>0</v>
      </c>
      <c r="BC150" s="23" t="e">
        <f>+BC185*BC16/90</f>
        <v>#DIV/0!</v>
      </c>
      <c r="BD150" s="23">
        <f>+'QTR Raw'!X81</f>
        <v>0</v>
      </c>
      <c r="BE150" s="23" t="e">
        <f>+BE185*BE16/90</f>
        <v>#DIV/0!</v>
      </c>
      <c r="BF150" s="23">
        <f>+'QTR Raw'!Z81</f>
        <v>0</v>
      </c>
      <c r="BG150" s="23" t="e">
        <f>+BG185*BG16/90</f>
        <v>#DIV/0!</v>
      </c>
      <c r="BH150" s="23">
        <f>+'QTR Raw'!AB81</f>
        <v>0</v>
      </c>
      <c r="BI150" s="23" t="e">
        <f>+BI185*BI16/90</f>
        <v>#DIV/0!</v>
      </c>
      <c r="BJ150" s="23">
        <f>+'QTR Raw'!AD81</f>
        <v>0</v>
      </c>
      <c r="BK150" s="23" t="e">
        <f>+BK185*BK16/90</f>
        <v>#DIV/0!</v>
      </c>
      <c r="BL150" s="23">
        <f>+'QTR Raw'!AF81</f>
        <v>0</v>
      </c>
      <c r="BM150" s="23" t="e">
        <f>+BM185*BM16/90</f>
        <v>#DIV/0!</v>
      </c>
      <c r="BN150" s="23">
        <f>+'QTR Raw'!AH81</f>
        <v>0</v>
      </c>
      <c r="BO150" s="23" t="e">
        <f>+BO185*BO16/90</f>
        <v>#DIV/0!</v>
      </c>
      <c r="BP150" s="23">
        <f>+'QTR Raw'!AJ81</f>
        <v>0</v>
      </c>
      <c r="BQ150" s="23" t="e">
        <f>+BQ185*BQ16/90</f>
        <v>#DIV/0!</v>
      </c>
      <c r="BR150" s="23">
        <f>+'QTR Raw'!AL81</f>
        <v>0</v>
      </c>
      <c r="BS150" s="23" t="e">
        <f>+BS185*BS16/90</f>
        <v>#DIV/0!</v>
      </c>
      <c r="BT150" s="23">
        <f>+'QTR Raw'!AN81</f>
        <v>0</v>
      </c>
      <c r="BU150" s="23" t="e">
        <f>+BU185*BU16/90</f>
        <v>#DIV/0!</v>
      </c>
      <c r="BV150" s="23">
        <f>+'QTR Raw'!AP81</f>
        <v>0</v>
      </c>
      <c r="BW150" s="23" t="e">
        <f>+BW185*BW16/90</f>
        <v>#DIV/0!</v>
      </c>
      <c r="BX150" s="23">
        <f>+'QTR Raw'!AR81</f>
        <v>0</v>
      </c>
      <c r="BY150" s="23" t="e">
        <f>+BY185*BY16/90</f>
        <v>#DIV/0!</v>
      </c>
      <c r="BZ150" s="23">
        <f>+'QTR Raw'!AT81</f>
        <v>0</v>
      </c>
      <c r="CA150" s="23">
        <f>+CA185*CA16/90</f>
        <v>0</v>
      </c>
      <c r="CB150" s="23">
        <f>+'QTR Raw'!AV81</f>
        <v>0</v>
      </c>
      <c r="CC150" s="23">
        <f>+CC185*CC16/90</f>
        <v>0</v>
      </c>
      <c r="CD150" s="23">
        <f>+'QTR Raw'!AX81</f>
        <v>0</v>
      </c>
      <c r="CE150" s="23">
        <f>+CE185*CE16/90</f>
        <v>0</v>
      </c>
      <c r="CF150" s="23">
        <f>+'QTR Raw'!AZ81</f>
        <v>0</v>
      </c>
      <c r="CG150" s="23">
        <f>+CG185*CG16/90</f>
        <v>0</v>
      </c>
      <c r="CH150" s="23">
        <f t="shared" si="1204"/>
        <v>0</v>
      </c>
      <c r="CI150" s="23">
        <f>+CI185*CI16/90</f>
        <v>0</v>
      </c>
      <c r="CJ150" s="23">
        <f>+'QTR Raw'!BD81</f>
        <v>0</v>
      </c>
      <c r="CK150" s="24">
        <f t="shared" ref="CK150:DB150" si="1227">+CK185*CK16/90</f>
        <v>0</v>
      </c>
      <c r="CL150" s="23">
        <f>+'QTR Raw'!BF81</f>
        <v>0</v>
      </c>
      <c r="CM150" s="24">
        <f t="shared" si="1227"/>
        <v>0</v>
      </c>
      <c r="CN150" s="24">
        <f t="shared" si="1227"/>
        <v>0</v>
      </c>
      <c r="CO150" s="24">
        <f t="shared" si="1227"/>
        <v>0</v>
      </c>
      <c r="CP150" s="24">
        <f t="shared" si="1227"/>
        <v>0</v>
      </c>
      <c r="CQ150" s="24">
        <f t="shared" si="1227"/>
        <v>0</v>
      </c>
      <c r="CR150" s="24">
        <f t="shared" si="1227"/>
        <v>0</v>
      </c>
      <c r="CS150" s="24">
        <f t="shared" si="1227"/>
        <v>0</v>
      </c>
      <c r="CT150" s="24">
        <f t="shared" si="1227"/>
        <v>0</v>
      </c>
      <c r="CU150" s="24">
        <f t="shared" si="1227"/>
        <v>0</v>
      </c>
      <c r="CV150" s="24">
        <f t="shared" si="1227"/>
        <v>0</v>
      </c>
      <c r="CW150" s="24">
        <f t="shared" si="1227"/>
        <v>0</v>
      </c>
      <c r="CX150" s="24">
        <f t="shared" si="1227"/>
        <v>0</v>
      </c>
      <c r="CY150" s="24">
        <f t="shared" si="1227"/>
        <v>0</v>
      </c>
      <c r="CZ150" s="24">
        <f t="shared" si="1227"/>
        <v>0</v>
      </c>
      <c r="DA150" s="24">
        <f t="shared" si="1227"/>
        <v>0</v>
      </c>
      <c r="DB150" s="24">
        <f t="shared" si="1227"/>
        <v>0</v>
      </c>
      <c r="DE150" s="123"/>
      <c r="DF150" s="23">
        <v>0</v>
      </c>
    </row>
    <row r="151" spans="1:110" s="23" customFormat="1" outlineLevel="1" x14ac:dyDescent="0.2">
      <c r="A151" s="23" t="s">
        <v>62</v>
      </c>
      <c r="B151" s="23">
        <f>'Annual Raw'!C77</f>
        <v>0</v>
      </c>
      <c r="C151" s="23">
        <f>'Annual Raw'!D77</f>
        <v>0</v>
      </c>
      <c r="D151" s="23">
        <f>'Annual Raw'!E77</f>
        <v>0</v>
      </c>
      <c r="E151" s="23">
        <f>'Annual Raw'!F77</f>
        <v>19.746519899999999</v>
      </c>
      <c r="F151" s="23">
        <f>'Annual Raw'!G77</f>
        <v>22.801863099999998</v>
      </c>
      <c r="G151" s="23">
        <f>'Annual Raw'!H77</f>
        <v>140.48079999999999</v>
      </c>
      <c r="H151" s="23">
        <f>'Annual Raw'!I77</f>
        <v>202.9282</v>
      </c>
      <c r="I151" s="23">
        <f>'Annual Raw'!J77</f>
        <v>232.71940000000001</v>
      </c>
      <c r="J151" s="23">
        <f>'Annual Raw'!K77</f>
        <v>282.99160000000001</v>
      </c>
      <c r="K151" s="23">
        <f>'Annual Raw'!L77</f>
        <v>223.036</v>
      </c>
      <c r="L151" s="23">
        <f>'Annual Raw'!M77</f>
        <v>236.31890000000001</v>
      </c>
      <c r="M151" s="23">
        <f>'Annual Raw'!N77</f>
        <v>290.02</v>
      </c>
      <c r="N151" s="23">
        <f>'Annual Raw'!O77</f>
        <v>315.70999999999998</v>
      </c>
      <c r="O151" s="23">
        <f>'Annual Raw'!P77</f>
        <v>307.16000000000003</v>
      </c>
      <c r="P151" s="23">
        <f>'Annual Raw'!Q77</f>
        <v>363.42</v>
      </c>
      <c r="Q151" s="23">
        <f>'Annual Raw'!R77</f>
        <v>445.72</v>
      </c>
      <c r="R151" s="23">
        <f>'Annual Raw'!S77</f>
        <v>525.96</v>
      </c>
      <c r="S151" s="23">
        <f>'Annual Raw'!T77</f>
        <v>605.04999999999995</v>
      </c>
      <c r="T151" s="23">
        <f>'Annual Raw'!U77</f>
        <v>575.67999999999995</v>
      </c>
      <c r="U151" s="23">
        <f>'Annual Raw'!V77</f>
        <v>723.41099999999994</v>
      </c>
      <c r="V151" s="23">
        <f>'Annual Raw'!W77</f>
        <v>595.75</v>
      </c>
      <c r="W151" s="23">
        <f>'Annual Raw'!X77</f>
        <v>768.178</v>
      </c>
      <c r="X151" s="23">
        <f>'Annual Raw'!Y77</f>
        <v>1106.22</v>
      </c>
      <c r="Y151" s="23">
        <f>'Annual Raw'!Z77</f>
        <v>1147.8599999999999</v>
      </c>
      <c r="Z151" s="23">
        <f>'Annual Raw'!AA77</f>
        <v>1005.55</v>
      </c>
      <c r="AA151" s="23">
        <f>'Annual Raw'!AB77</f>
        <v>1186.8599999999999</v>
      </c>
      <c r="AB151" s="24">
        <f t="shared" si="1222"/>
        <v>1421.2089996260186</v>
      </c>
      <c r="AC151" s="24">
        <f t="shared" si="1223"/>
        <v>1773.9192787524094</v>
      </c>
      <c r="AD151" s="24">
        <f t="shared" si="1224"/>
        <v>2186.1625995095046</v>
      </c>
      <c r="AE151" s="24">
        <f t="shared" si="1225"/>
        <v>2690.0901043554741</v>
      </c>
      <c r="AJ151" s="23">
        <f>+'QTR Raw'!D82</f>
        <v>0</v>
      </c>
      <c r="AK151" s="23" t="e">
        <f>+AK186*AK16/90</f>
        <v>#DIV/0!</v>
      </c>
      <c r="AL151" s="23">
        <f>+'QTR Raw'!F82</f>
        <v>0</v>
      </c>
      <c r="AM151" s="23" t="e">
        <f>+AM186*AM16/90</f>
        <v>#DIV/0!</v>
      </c>
      <c r="AN151" s="23">
        <f>+'QTR Raw'!H82</f>
        <v>0</v>
      </c>
      <c r="AO151" s="23" t="e">
        <f>+AO186*AO16/90</f>
        <v>#DIV/0!</v>
      </c>
      <c r="AP151" s="23">
        <f>+'QTR Raw'!J82</f>
        <v>0</v>
      </c>
      <c r="AQ151" s="23" t="e">
        <f>+AQ186*AQ16/90</f>
        <v>#DIV/0!</v>
      </c>
      <c r="AR151" s="23">
        <f>+'QTR Raw'!L82</f>
        <v>0</v>
      </c>
      <c r="AS151" s="23" t="e">
        <f>+AS186*AS16/90</f>
        <v>#DIV/0!</v>
      </c>
      <c r="AT151" s="23">
        <f>+'QTR Raw'!N82</f>
        <v>0</v>
      </c>
      <c r="AU151" s="23" t="e">
        <f>+AU186*AU16/90</f>
        <v>#DIV/0!</v>
      </c>
      <c r="AV151" s="23">
        <f>+'QTR Raw'!P82</f>
        <v>0</v>
      </c>
      <c r="AW151" s="23" t="e">
        <f>+AW186*AW16/90</f>
        <v>#DIV/0!</v>
      </c>
      <c r="AX151" s="23">
        <f>+'QTR Raw'!R82</f>
        <v>0</v>
      </c>
      <c r="AY151" s="23" t="e">
        <f>+AY186*AY16/90</f>
        <v>#DIV/0!</v>
      </c>
      <c r="AZ151" s="23">
        <f>+'QTR Raw'!T82</f>
        <v>0</v>
      </c>
      <c r="BA151" s="23" t="e">
        <f>+BA186*BA16/90</f>
        <v>#DIV/0!</v>
      </c>
      <c r="BB151" s="23">
        <f>+'QTR Raw'!V82</f>
        <v>0</v>
      </c>
      <c r="BC151" s="23" t="e">
        <f>+BC186*BC16/90</f>
        <v>#DIV/0!</v>
      </c>
      <c r="BD151" s="23">
        <f>+'QTR Raw'!X82</f>
        <v>0</v>
      </c>
      <c r="BE151" s="23" t="e">
        <f>+BE186*BE16/90</f>
        <v>#DIV/0!</v>
      </c>
      <c r="BF151" s="23">
        <f>+'QTR Raw'!Z82</f>
        <v>0</v>
      </c>
      <c r="BG151" s="23" t="e">
        <f>+BG186*BG16/90</f>
        <v>#DIV/0!</v>
      </c>
      <c r="BH151" s="23">
        <f>+'QTR Raw'!AB82</f>
        <v>0</v>
      </c>
      <c r="BI151" s="23" t="e">
        <f>+BI186*BI16/90</f>
        <v>#DIV/0!</v>
      </c>
      <c r="BJ151" s="23">
        <f>+'QTR Raw'!AD82</f>
        <v>0</v>
      </c>
      <c r="BK151" s="23" t="e">
        <f>+BK186*BK16/90</f>
        <v>#DIV/0!</v>
      </c>
      <c r="BL151" s="23">
        <f>+'QTR Raw'!AF82</f>
        <v>0</v>
      </c>
      <c r="BM151" s="23" t="e">
        <f>+BM186*BM16/90</f>
        <v>#DIV/0!</v>
      </c>
      <c r="BN151" s="23">
        <f>+'QTR Raw'!AH82</f>
        <v>0</v>
      </c>
      <c r="BO151" s="23" t="e">
        <f>+BO186*BO16/90</f>
        <v>#DIV/0!</v>
      </c>
      <c r="BP151" s="23">
        <f>+'QTR Raw'!AJ82</f>
        <v>0</v>
      </c>
      <c r="BQ151" s="23" t="e">
        <f>+BQ186*BQ16/90</f>
        <v>#DIV/0!</v>
      </c>
      <c r="BR151" s="23">
        <f>+'QTR Raw'!AL82</f>
        <v>0</v>
      </c>
      <c r="BS151" s="23" t="e">
        <f>+BS186*BS16/90</f>
        <v>#DIV/0!</v>
      </c>
      <c r="BT151" s="23">
        <f>+'QTR Raw'!AN82</f>
        <v>0</v>
      </c>
      <c r="BU151" s="23" t="e">
        <f>+BU186*BU16/90</f>
        <v>#DIV/0!</v>
      </c>
      <c r="BV151" s="23">
        <f>+'QTR Raw'!AP82</f>
        <v>0</v>
      </c>
      <c r="BW151" s="23" t="e">
        <f>+BW186*BW16/90</f>
        <v>#DIV/0!</v>
      </c>
      <c r="BX151" s="23">
        <f>+'QTR Raw'!AR82</f>
        <v>0</v>
      </c>
      <c r="BY151" s="23" t="e">
        <f>+BY186*BY16/90</f>
        <v>#DIV/0!</v>
      </c>
      <c r="BZ151" s="23">
        <f>+'QTR Raw'!AT82</f>
        <v>1106.22</v>
      </c>
      <c r="CA151" s="23">
        <f>+CA186*CA16/90</f>
        <v>991.9529065381239</v>
      </c>
      <c r="CB151" s="23">
        <f>+'QTR Raw'!AV82</f>
        <v>0</v>
      </c>
      <c r="CC151" s="23">
        <f>+CC186*CC16/90</f>
        <v>0</v>
      </c>
      <c r="CD151" s="23">
        <f>+'QTR Raw'!AX82</f>
        <v>1147.8599999999999</v>
      </c>
      <c r="CE151" s="23">
        <f>+CE186*CE16/90</f>
        <v>1119.5572070250951</v>
      </c>
      <c r="CF151" s="23">
        <f>+'QTR Raw'!AZ82</f>
        <v>1076.56</v>
      </c>
      <c r="CG151" s="23">
        <f>+CG186*CG16/90</f>
        <v>1093.9400769794438</v>
      </c>
      <c r="CH151" s="23">
        <f t="shared" si="1204"/>
        <v>1005.55</v>
      </c>
      <c r="CI151" s="23">
        <f>+CI186*CI16/90</f>
        <v>973.20095632559389</v>
      </c>
      <c r="CJ151" s="23">
        <f>+'QTR Raw'!BD82</f>
        <v>1260.49</v>
      </c>
      <c r="CK151" s="24">
        <f t="shared" ref="CK151:DB151" si="1228">+CK186*CK16/90</f>
        <v>1300.8765823339604</v>
      </c>
      <c r="CL151" s="23">
        <f>+'QTR Raw'!BF82</f>
        <v>1186.8599999999999</v>
      </c>
      <c r="CM151" s="24">
        <f t="shared" si="1228"/>
        <v>1038.1426633759472</v>
      </c>
      <c r="CN151" s="24">
        <f t="shared" si="1228"/>
        <v>1135.2233097288013</v>
      </c>
      <c r="CO151" s="24">
        <f t="shared" si="1228"/>
        <v>1201.4059315690258</v>
      </c>
      <c r="CP151" s="24">
        <f t="shared" si="1228"/>
        <v>1421.2089996260186</v>
      </c>
      <c r="CQ151" s="24">
        <f t="shared" si="1228"/>
        <v>1236.5228478914391</v>
      </c>
      <c r="CR151" s="24">
        <f t="shared" si="1228"/>
        <v>1376.5252199328429</v>
      </c>
      <c r="CS151" s="24">
        <f t="shared" si="1228"/>
        <v>1479.6533633330375</v>
      </c>
      <c r="CT151" s="24">
        <f t="shared" si="1228"/>
        <v>1773.9192787524094</v>
      </c>
      <c r="CU151" s="24">
        <f t="shared" si="1228"/>
        <v>1509.6176250447713</v>
      </c>
      <c r="CV151" s="24">
        <f t="shared" si="1228"/>
        <v>1690.7837790939795</v>
      </c>
      <c r="CW151" s="24">
        <f t="shared" si="1228"/>
        <v>1823.2781521205518</v>
      </c>
      <c r="CX151" s="24">
        <f t="shared" si="1228"/>
        <v>2186.1625995095046</v>
      </c>
      <c r="CY151" s="24">
        <f t="shared" si="1228"/>
        <v>1854.4822365574355</v>
      </c>
      <c r="CZ151" s="24">
        <f t="shared" si="1228"/>
        <v>2080.2422974856681</v>
      </c>
      <c r="DA151" s="24">
        <f t="shared" si="1228"/>
        <v>2244.1871847458769</v>
      </c>
      <c r="DB151" s="24">
        <f t="shared" si="1228"/>
        <v>2690.0901043554741</v>
      </c>
      <c r="DE151" s="123"/>
      <c r="DF151" s="23">
        <v>1293.8349844591264</v>
      </c>
    </row>
    <row r="152" spans="1:110" s="23" customFormat="1" outlineLevel="1" x14ac:dyDescent="0.2">
      <c r="A152" s="23" t="s">
        <v>63</v>
      </c>
      <c r="B152" s="23">
        <f>'Annual Raw'!C79</f>
        <v>0</v>
      </c>
      <c r="C152" s="23">
        <f>'Annual Raw'!D79</f>
        <v>0</v>
      </c>
      <c r="D152" s="23">
        <f>'Annual Raw'!E79</f>
        <v>0</v>
      </c>
      <c r="E152" s="23">
        <f>'Annual Raw'!F79</f>
        <v>0.52686160000000004</v>
      </c>
      <c r="F152" s="23">
        <f>'Annual Raw'!G79</f>
        <v>1.2284398999999999</v>
      </c>
      <c r="G152" s="23">
        <f>'Annual Raw'!H79</f>
        <v>8.2829999999999995</v>
      </c>
      <c r="H152" s="23">
        <f>'Annual Raw'!I79</f>
        <v>9.6854999999999993</v>
      </c>
      <c r="I152" s="23">
        <f>'Annual Raw'!J79</f>
        <v>12.4742</v>
      </c>
      <c r="J152" s="23">
        <f>'Annual Raw'!K79</f>
        <v>16.7454</v>
      </c>
      <c r="K152" s="23">
        <f>'Annual Raw'!L79</f>
        <v>19.239899999999999</v>
      </c>
      <c r="L152" s="23">
        <f>'Annual Raw'!M79</f>
        <v>21.0962</v>
      </c>
      <c r="M152" s="23">
        <f>'Annual Raw'!N79</f>
        <v>57.57</v>
      </c>
      <c r="N152" s="23">
        <f>'Annual Raw'!O79</f>
        <v>27.04</v>
      </c>
      <c r="O152" s="23">
        <f>'Annual Raw'!P79</f>
        <v>25.21</v>
      </c>
      <c r="P152" s="23">
        <f>'Annual Raw'!Q79</f>
        <v>41.75</v>
      </c>
      <c r="Q152" s="23">
        <f>'Annual Raw'!R79</f>
        <v>55.61</v>
      </c>
      <c r="R152" s="23">
        <f>'Annual Raw'!S79</f>
        <v>35.81</v>
      </c>
      <c r="S152" s="23">
        <f>'Annual Raw'!T79</f>
        <v>89.81</v>
      </c>
      <c r="T152" s="23">
        <f>'Annual Raw'!U79</f>
        <v>71.13</v>
      </c>
      <c r="U152" s="23">
        <f>'Annual Raw'!V79</f>
        <v>87.79</v>
      </c>
      <c r="V152" s="23">
        <f>'Annual Raw'!W79</f>
        <v>76.558999999999997</v>
      </c>
      <c r="W152" s="23">
        <f>'Annual Raw'!X79</f>
        <v>100.82299999999999</v>
      </c>
      <c r="X152" s="23">
        <f>'Annual Raw'!Y79</f>
        <v>163.44999999999999</v>
      </c>
      <c r="Y152" s="23">
        <f>'Annual Raw'!Z79</f>
        <v>155.51</v>
      </c>
      <c r="Z152" s="23">
        <f>'Annual Raw'!AA79</f>
        <v>140.53</v>
      </c>
      <c r="AA152" s="23">
        <f>'Annual Raw'!AB79</f>
        <v>159.91</v>
      </c>
      <c r="AB152" s="24">
        <f t="shared" si="1222"/>
        <v>4681.7775664845185</v>
      </c>
      <c r="AC152" s="24">
        <f t="shared" si="1223"/>
        <v>5843.6834316436607</v>
      </c>
      <c r="AD152" s="24">
        <f t="shared" si="1224"/>
        <v>7201.7043360718799</v>
      </c>
      <c r="AE152" s="24">
        <f t="shared" si="1225"/>
        <v>8861.7532718323528</v>
      </c>
      <c r="AJ152" s="23">
        <f>+'QTR Raw'!D84</f>
        <v>0</v>
      </c>
      <c r="AK152" s="23">
        <f t="shared" si="1226"/>
        <v>0</v>
      </c>
      <c r="AL152" s="23">
        <f>+'QTR Raw'!F84</f>
        <v>0</v>
      </c>
      <c r="AM152" s="23">
        <f t="shared" si="1226"/>
        <v>0</v>
      </c>
      <c r="AN152" s="23">
        <f>+'QTR Raw'!H84</f>
        <v>0</v>
      </c>
      <c r="AO152" s="23">
        <f t="shared" si="1226"/>
        <v>0</v>
      </c>
      <c r="AP152" s="23">
        <f>+'QTR Raw'!J84</f>
        <v>0</v>
      </c>
      <c r="AQ152" s="23">
        <f t="shared" si="1226"/>
        <v>0</v>
      </c>
      <c r="AR152" s="23">
        <f>+'QTR Raw'!L84</f>
        <v>0</v>
      </c>
      <c r="AS152" s="23">
        <f t="shared" si="1226"/>
        <v>0</v>
      </c>
      <c r="AT152" s="23">
        <f>+'QTR Raw'!N84</f>
        <v>0</v>
      </c>
      <c r="AU152" s="23">
        <f t="shared" si="1226"/>
        <v>0</v>
      </c>
      <c r="AV152" s="23">
        <f>+'QTR Raw'!P84</f>
        <v>0</v>
      </c>
      <c r="AW152" s="23">
        <f t="shared" si="1226"/>
        <v>0</v>
      </c>
      <c r="AX152" s="23">
        <f>+'QTR Raw'!R84</f>
        <v>0</v>
      </c>
      <c r="AY152" s="23">
        <f t="shared" si="1226"/>
        <v>0</v>
      </c>
      <c r="AZ152" s="23">
        <f>+'QTR Raw'!T84</f>
        <v>0</v>
      </c>
      <c r="BA152" s="23">
        <f t="shared" si="1226"/>
        <v>0</v>
      </c>
      <c r="BB152" s="23">
        <f>+'QTR Raw'!V84</f>
        <v>0</v>
      </c>
      <c r="BC152" s="23">
        <f t="shared" si="1226"/>
        <v>0</v>
      </c>
      <c r="BD152" s="23">
        <f>+'QTR Raw'!X84</f>
        <v>0</v>
      </c>
      <c r="BE152" s="23">
        <f t="shared" si="1226"/>
        <v>0</v>
      </c>
      <c r="BF152" s="23">
        <f>+'QTR Raw'!Z84</f>
        <v>0</v>
      </c>
      <c r="BG152" s="23">
        <f t="shared" si="1226"/>
        <v>0</v>
      </c>
      <c r="BH152" s="23">
        <f>+'QTR Raw'!AB84</f>
        <v>0</v>
      </c>
      <c r="BI152" s="23">
        <f t="shared" si="1226"/>
        <v>0</v>
      </c>
      <c r="BJ152" s="23">
        <f>+'QTR Raw'!AD84</f>
        <v>0</v>
      </c>
      <c r="BK152" s="23">
        <f t="shared" si="1226"/>
        <v>0</v>
      </c>
      <c r="BL152" s="23">
        <f>+'QTR Raw'!AF84</f>
        <v>0</v>
      </c>
      <c r="BM152" s="23">
        <f t="shared" si="1226"/>
        <v>0</v>
      </c>
      <c r="BN152" s="23">
        <f>+'QTR Raw'!AH84</f>
        <v>0</v>
      </c>
      <c r="BO152" s="23">
        <f t="shared" si="1226"/>
        <v>0</v>
      </c>
      <c r="BP152" s="23">
        <f>+'QTR Raw'!AJ84</f>
        <v>0</v>
      </c>
      <c r="BQ152" s="23">
        <f t="shared" si="1226"/>
        <v>0</v>
      </c>
      <c r="BR152" s="23">
        <f>+'QTR Raw'!AL84</f>
        <v>0</v>
      </c>
      <c r="BS152" s="23">
        <f t="shared" si="1226"/>
        <v>0</v>
      </c>
      <c r="BT152" s="23">
        <f>+'QTR Raw'!AN84</f>
        <v>0</v>
      </c>
      <c r="BU152" s="23">
        <f t="shared" si="1226"/>
        <v>0</v>
      </c>
      <c r="BV152" s="23">
        <f>+'QTR Raw'!AP84</f>
        <v>0</v>
      </c>
      <c r="BW152" s="23">
        <f t="shared" si="1226"/>
        <v>0</v>
      </c>
      <c r="BX152" s="23">
        <f>+'QTR Raw'!AR84</f>
        <v>0</v>
      </c>
      <c r="BY152" s="23">
        <f t="shared" si="1226"/>
        <v>0</v>
      </c>
      <c r="BZ152" s="23">
        <f>+'QTR Raw'!AT84</f>
        <v>1172.05</v>
      </c>
      <c r="CA152" s="23">
        <f t="shared" si="1226"/>
        <v>1172.05</v>
      </c>
      <c r="CB152" s="23">
        <f>+'QTR Raw'!AV84</f>
        <v>0</v>
      </c>
      <c r="CC152" s="23">
        <f t="shared" si="1226"/>
        <v>0</v>
      </c>
      <c r="CD152" s="23">
        <f>+'QTR Raw'!AX84</f>
        <v>1510.46</v>
      </c>
      <c r="CE152" s="23">
        <f t="shared" si="1226"/>
        <v>1510.46</v>
      </c>
      <c r="CF152" s="23">
        <f>+'QTR Raw'!AZ84</f>
        <v>1749.3</v>
      </c>
      <c r="CG152" s="23">
        <f t="shared" ref="CG152:CG153" si="1229">+CF152</f>
        <v>1749.3</v>
      </c>
      <c r="CH152" s="23">
        <f t="shared" si="1204"/>
        <v>140.53</v>
      </c>
      <c r="CI152" s="23">
        <f>CI16/90*CI187</f>
        <v>2582.7014191265116</v>
      </c>
      <c r="CJ152" s="23">
        <f>+'QTR Raw'!BD84</f>
        <v>2674.88</v>
      </c>
      <c r="CK152" s="24">
        <f t="shared" ref="CK152:DB152" si="1230">CK16/90*CK187</f>
        <v>3610.1598228710909</v>
      </c>
      <c r="CL152" s="23">
        <f>+'QTR Raw'!BF84</f>
        <v>2806.06</v>
      </c>
      <c r="CM152" s="24">
        <f t="shared" si="1230"/>
        <v>3419.8721183745442</v>
      </c>
      <c r="CN152" s="24">
        <f t="shared" si="1230"/>
        <v>3739.6772929507047</v>
      </c>
      <c r="CO152" s="24">
        <f t="shared" si="1230"/>
        <v>3957.6975238275331</v>
      </c>
      <c r="CP152" s="24">
        <f t="shared" si="1230"/>
        <v>4681.7775664845185</v>
      </c>
      <c r="CQ152" s="24">
        <f t="shared" si="1230"/>
        <v>4073.3804325944016</v>
      </c>
      <c r="CR152" s="24">
        <f t="shared" si="1230"/>
        <v>4534.5792885336359</v>
      </c>
      <c r="CS152" s="24">
        <f t="shared" si="1230"/>
        <v>4874.3062592826818</v>
      </c>
      <c r="CT152" s="24">
        <f t="shared" si="1230"/>
        <v>5843.6834316436607</v>
      </c>
      <c r="CU152" s="24">
        <f t="shared" si="1230"/>
        <v>4973.0151812745798</v>
      </c>
      <c r="CV152" s="24">
        <f t="shared" si="1230"/>
        <v>5569.8166623073148</v>
      </c>
      <c r="CW152" s="24">
        <f t="shared" si="1230"/>
        <v>6006.2825047586839</v>
      </c>
      <c r="CX152" s="24">
        <f t="shared" si="1230"/>
        <v>7201.7043360718799</v>
      </c>
      <c r="CY152" s="24">
        <f t="shared" si="1230"/>
        <v>6109.0756777105398</v>
      </c>
      <c r="CZ152" s="24">
        <f t="shared" si="1230"/>
        <v>6852.7793757170311</v>
      </c>
      <c r="DA152" s="24">
        <f t="shared" si="1230"/>
        <v>7392.8501855111263</v>
      </c>
      <c r="DB152" s="24">
        <f t="shared" si="1230"/>
        <v>8861.7532718323528</v>
      </c>
      <c r="DE152" s="123"/>
      <c r="DF152" s="23">
        <v>3590.6181583644302</v>
      </c>
    </row>
    <row r="153" spans="1:110" s="23" customFormat="1" outlineLevel="1" x14ac:dyDescent="0.2">
      <c r="A153" s="23" t="s">
        <v>64</v>
      </c>
      <c r="B153" s="23">
        <f>'Annual Raw'!C80</f>
        <v>0</v>
      </c>
      <c r="C153" s="23">
        <f>'Annual Raw'!D80</f>
        <v>0</v>
      </c>
      <c r="D153" s="23">
        <f>'Annual Raw'!E80</f>
        <v>0</v>
      </c>
      <c r="E153" s="23">
        <f>'Annual Raw'!F80</f>
        <v>10.648706900000001</v>
      </c>
      <c r="F153" s="23">
        <f>'Annual Raw'!G80</f>
        <v>13.2425221</v>
      </c>
      <c r="G153" s="23">
        <f>'Annual Raw'!H80</f>
        <v>28.392199999999999</v>
      </c>
      <c r="H153" s="23">
        <f>'Annual Raw'!I80</f>
        <v>39.545900000000003</v>
      </c>
      <c r="I153" s="23">
        <f>'Annual Raw'!J80</f>
        <v>72.803200000000004</v>
      </c>
      <c r="J153" s="23">
        <f>'Annual Raw'!K80</f>
        <v>93.133799999999994</v>
      </c>
      <c r="K153" s="23">
        <f>'Annual Raw'!L80</f>
        <v>110.5338</v>
      </c>
      <c r="L153" s="23">
        <f>'Annual Raw'!M80</f>
        <v>74.003500000000003</v>
      </c>
      <c r="M153" s="23">
        <f>'Annual Raw'!N80</f>
        <v>71.39</v>
      </c>
      <c r="N153" s="23">
        <f>'Annual Raw'!O80</f>
        <v>251.41</v>
      </c>
      <c r="O153" s="23">
        <f>'Annual Raw'!P80</f>
        <v>62.49</v>
      </c>
      <c r="P153" s="23">
        <f>'Annual Raw'!Q80</f>
        <v>244.5</v>
      </c>
      <c r="Q153" s="23">
        <f>'Annual Raw'!R80</f>
        <v>213.43</v>
      </c>
      <c r="R153" s="23">
        <f>'Annual Raw'!S80</f>
        <v>207.76</v>
      </c>
      <c r="S153" s="23">
        <f>'Annual Raw'!T80</f>
        <v>285.07</v>
      </c>
      <c r="T153" s="23">
        <f>'Annual Raw'!U80</f>
        <v>264.22000000000003</v>
      </c>
      <c r="U153" s="23">
        <f>'Annual Raw'!V80</f>
        <v>118.083</v>
      </c>
      <c r="V153" s="23">
        <f>'Annual Raw'!W80</f>
        <v>434.72500000000002</v>
      </c>
      <c r="W153" s="23">
        <f>'Annual Raw'!X80</f>
        <v>714.09699999999998</v>
      </c>
      <c r="X153" s="23">
        <f>'Annual Raw'!Y80</f>
        <v>1498.82</v>
      </c>
      <c r="Y153" s="23">
        <f>'Annual Raw'!Z80</f>
        <v>1605.89</v>
      </c>
      <c r="Z153" s="23">
        <f>'Annual Raw'!AA80</f>
        <v>2012.44</v>
      </c>
      <c r="AA153" s="23">
        <f>'Annual Raw'!AB80</f>
        <v>2947.93</v>
      </c>
      <c r="AB153" s="24">
        <f t="shared" si="1222"/>
        <v>0</v>
      </c>
      <c r="AC153" s="24">
        <f t="shared" si="1223"/>
        <v>0</v>
      </c>
      <c r="AD153" s="24">
        <f t="shared" si="1224"/>
        <v>0</v>
      </c>
      <c r="AE153" s="24">
        <f t="shared" si="1225"/>
        <v>0</v>
      </c>
      <c r="AJ153" s="23">
        <f>+'QTR Raw'!D85</f>
        <v>0</v>
      </c>
      <c r="AK153" s="23">
        <f t="shared" si="1226"/>
        <v>0</v>
      </c>
      <c r="AL153" s="23">
        <f>+'QTR Raw'!F85</f>
        <v>0</v>
      </c>
      <c r="AM153" s="23">
        <f t="shared" si="1226"/>
        <v>0</v>
      </c>
      <c r="AN153" s="23">
        <f>+'QTR Raw'!H85</f>
        <v>0</v>
      </c>
      <c r="AO153" s="23">
        <f t="shared" si="1226"/>
        <v>0</v>
      </c>
      <c r="AP153" s="23">
        <f>+'QTR Raw'!J85</f>
        <v>0</v>
      </c>
      <c r="AQ153" s="23">
        <f t="shared" si="1226"/>
        <v>0</v>
      </c>
      <c r="AR153" s="23">
        <f>+'QTR Raw'!L85</f>
        <v>0</v>
      </c>
      <c r="AS153" s="23">
        <f t="shared" si="1226"/>
        <v>0</v>
      </c>
      <c r="AT153" s="23">
        <f>+'QTR Raw'!N85</f>
        <v>0</v>
      </c>
      <c r="AU153" s="23">
        <f t="shared" si="1226"/>
        <v>0</v>
      </c>
      <c r="AV153" s="23">
        <f>+'QTR Raw'!P85</f>
        <v>0</v>
      </c>
      <c r="AW153" s="23">
        <f t="shared" si="1226"/>
        <v>0</v>
      </c>
      <c r="AX153" s="23">
        <f>+'QTR Raw'!R85</f>
        <v>0</v>
      </c>
      <c r="AY153" s="23">
        <f t="shared" si="1226"/>
        <v>0</v>
      </c>
      <c r="AZ153" s="23">
        <f>+'QTR Raw'!T85</f>
        <v>0</v>
      </c>
      <c r="BA153" s="23">
        <f t="shared" si="1226"/>
        <v>0</v>
      </c>
      <c r="BB153" s="23">
        <f>+'QTR Raw'!V85</f>
        <v>0</v>
      </c>
      <c r="BC153" s="23">
        <f t="shared" si="1226"/>
        <v>0</v>
      </c>
      <c r="BD153" s="23">
        <f>+'QTR Raw'!X85</f>
        <v>0</v>
      </c>
      <c r="BE153" s="23">
        <f t="shared" si="1226"/>
        <v>0</v>
      </c>
      <c r="BF153" s="23">
        <f>+'QTR Raw'!Z85</f>
        <v>0</v>
      </c>
      <c r="BG153" s="23">
        <f t="shared" si="1226"/>
        <v>0</v>
      </c>
      <c r="BH153" s="23">
        <f>+'QTR Raw'!AB85</f>
        <v>0</v>
      </c>
      <c r="BI153" s="23">
        <f t="shared" si="1226"/>
        <v>0</v>
      </c>
      <c r="BJ153" s="23">
        <f>+'QTR Raw'!AD85</f>
        <v>0</v>
      </c>
      <c r="BK153" s="23">
        <f t="shared" si="1226"/>
        <v>0</v>
      </c>
      <c r="BL153" s="23">
        <f>+'QTR Raw'!AF85</f>
        <v>0</v>
      </c>
      <c r="BM153" s="23">
        <f t="shared" si="1226"/>
        <v>0</v>
      </c>
      <c r="BN153" s="23">
        <f>+'QTR Raw'!AH85</f>
        <v>0</v>
      </c>
      <c r="BO153" s="23">
        <f t="shared" si="1226"/>
        <v>0</v>
      </c>
      <c r="BP153" s="23">
        <f>+'QTR Raw'!AJ85</f>
        <v>0</v>
      </c>
      <c r="BQ153" s="23">
        <f t="shared" si="1226"/>
        <v>0</v>
      </c>
      <c r="BR153" s="23">
        <f>+'QTR Raw'!AL85</f>
        <v>0</v>
      </c>
      <c r="BS153" s="23">
        <f t="shared" si="1226"/>
        <v>0</v>
      </c>
      <c r="BT153" s="23">
        <f>+'QTR Raw'!AN85</f>
        <v>0</v>
      </c>
      <c r="BU153" s="23">
        <f t="shared" si="1226"/>
        <v>0</v>
      </c>
      <c r="BV153" s="23">
        <f>+'QTR Raw'!AP85</f>
        <v>0</v>
      </c>
      <c r="BW153" s="23">
        <f t="shared" si="1226"/>
        <v>0</v>
      </c>
      <c r="BX153" s="23">
        <f>+'QTR Raw'!AR85</f>
        <v>0</v>
      </c>
      <c r="BY153" s="23">
        <f t="shared" si="1226"/>
        <v>0</v>
      </c>
      <c r="BZ153" s="23">
        <f>+'QTR Raw'!AT85</f>
        <v>490.22</v>
      </c>
      <c r="CA153" s="23">
        <f t="shared" si="1226"/>
        <v>490.22</v>
      </c>
      <c r="CB153" s="23">
        <f>+'QTR Raw'!AV85</f>
        <v>0</v>
      </c>
      <c r="CC153" s="23">
        <f t="shared" si="1226"/>
        <v>0</v>
      </c>
      <c r="CD153" s="23">
        <f>+'QTR Raw'!AX85</f>
        <v>250.94</v>
      </c>
      <c r="CE153" s="23">
        <f t="shared" si="1226"/>
        <v>250.94</v>
      </c>
      <c r="CF153" s="23">
        <f>+'QTR Raw'!AZ85</f>
        <v>336.15</v>
      </c>
      <c r="CG153" s="23">
        <f t="shared" si="1229"/>
        <v>336.15</v>
      </c>
      <c r="CH153" s="23">
        <f t="shared" si="1204"/>
        <v>2012.44</v>
      </c>
      <c r="CJ153" s="23">
        <f>+'QTR Raw'!BD85</f>
        <v>98.04</v>
      </c>
      <c r="CK153" s="24"/>
      <c r="CL153" s="23">
        <f>+'QTR Raw'!BF85</f>
        <v>301.77999999999997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301.77999999999997</v>
      </c>
    </row>
    <row r="154" spans="1:110" s="22" customFormat="1" x14ac:dyDescent="0.2">
      <c r="A154" s="22" t="s">
        <v>65</v>
      </c>
      <c r="B154" s="22">
        <f>SUM(B148:B153)</f>
        <v>0</v>
      </c>
      <c r="C154" s="22">
        <f t="shared" ref="C154:V154" si="1231">SUM(C148:C153)</f>
        <v>0</v>
      </c>
      <c r="D154" s="22">
        <f t="shared" si="1231"/>
        <v>0</v>
      </c>
      <c r="E154" s="22">
        <f t="shared" si="1231"/>
        <v>30.984499400000001</v>
      </c>
      <c r="F154" s="22">
        <f t="shared" si="1231"/>
        <v>37.291535699999997</v>
      </c>
      <c r="G154" s="22">
        <f t="shared" si="1231"/>
        <v>182.11859999999999</v>
      </c>
      <c r="H154" s="22">
        <f t="shared" si="1231"/>
        <v>257.12669999999997</v>
      </c>
      <c r="I154" s="22">
        <f t="shared" si="1231"/>
        <v>320.16660000000002</v>
      </c>
      <c r="J154" s="22">
        <f t="shared" si="1231"/>
        <v>394.74320000000006</v>
      </c>
      <c r="K154" s="22">
        <f t="shared" si="1231"/>
        <v>358.1508</v>
      </c>
      <c r="L154" s="22">
        <f>SUM(L148:L153)</f>
        <v>332.18640000000005</v>
      </c>
      <c r="M154" s="22">
        <f>SUM(M148:M153)</f>
        <v>455.90999999999997</v>
      </c>
      <c r="N154" s="22">
        <f t="shared" si="1231"/>
        <v>631.91999999999996</v>
      </c>
      <c r="O154" s="22">
        <f t="shared" si="1231"/>
        <v>461.64000000000004</v>
      </c>
      <c r="P154" s="22">
        <f t="shared" si="1231"/>
        <v>743.52</v>
      </c>
      <c r="Q154" s="22">
        <f t="shared" si="1231"/>
        <v>802.12000000000012</v>
      </c>
      <c r="R154" s="22">
        <f t="shared" si="1231"/>
        <v>798.65000000000009</v>
      </c>
      <c r="S154" s="22">
        <f t="shared" si="1231"/>
        <v>1031.52</v>
      </c>
      <c r="T154" s="22">
        <f t="shared" si="1231"/>
        <v>971.52</v>
      </c>
      <c r="U154" s="22">
        <f t="shared" si="1231"/>
        <v>996.26899999999989</v>
      </c>
      <c r="V154" s="22">
        <f t="shared" si="1231"/>
        <v>1159.3820000000001</v>
      </c>
      <c r="W154" s="22">
        <f t="shared" ref="W154" si="1232">SUM(W148:W153)</f>
        <v>1695.328</v>
      </c>
      <c r="X154" s="22">
        <f t="shared" ref="X154:Y154" si="1233">SUM(X148:X153)</f>
        <v>2922.36</v>
      </c>
      <c r="Y154" s="22">
        <f t="shared" si="1233"/>
        <v>3110.76</v>
      </c>
      <c r="Z154" s="22">
        <f t="shared" ref="Z154:AA154" si="1234">SUM(Z148:Z153)</f>
        <v>3674.1000000000004</v>
      </c>
      <c r="AA154" s="22">
        <f t="shared" si="1234"/>
        <v>4900.3899999999994</v>
      </c>
      <c r="AB154" s="21">
        <f t="shared" ref="AA154:AD154" si="1235">SUM(AB148:AB153)</f>
        <v>6102.9865661105368</v>
      </c>
      <c r="AC154" s="21">
        <f t="shared" si="1235"/>
        <v>7617.6027103960696</v>
      </c>
      <c r="AD154" s="21">
        <f t="shared" si="1235"/>
        <v>9387.8669355813836</v>
      </c>
      <c r="AE154" s="21">
        <f t="shared" ref="AE154" si="1236">SUM(AE148:AE153)</f>
        <v>11551.843376187826</v>
      </c>
      <c r="AJ154" s="22">
        <f t="shared" ref="AJ154" si="1237">SUM(AJ148:AJ153)</f>
        <v>0</v>
      </c>
      <c r="AK154" s="22" t="e">
        <f t="shared" ref="AK154" si="1238">SUM(AK148:AK153)</f>
        <v>#DIV/0!</v>
      </c>
      <c r="AL154" s="22">
        <f t="shared" ref="AL154:AM154" si="1239">SUM(AL148:AL153)</f>
        <v>0</v>
      </c>
      <c r="AM154" s="22" t="e">
        <f t="shared" si="1239"/>
        <v>#DIV/0!</v>
      </c>
      <c r="AN154" s="22">
        <f t="shared" ref="AN154:AO154" si="1240">SUM(AN148:AN153)</f>
        <v>0</v>
      </c>
      <c r="AO154" s="22" t="e">
        <f t="shared" si="1240"/>
        <v>#DIV/0!</v>
      </c>
      <c r="AP154" s="22">
        <f t="shared" ref="AP154:CE154" si="1241">SUM(AP148:AP153)</f>
        <v>0</v>
      </c>
      <c r="AQ154" s="22" t="e">
        <f t="shared" si="1241"/>
        <v>#DIV/0!</v>
      </c>
      <c r="AR154" s="22">
        <f t="shared" si="1241"/>
        <v>0</v>
      </c>
      <c r="AS154" s="22" t="e">
        <f t="shared" si="1241"/>
        <v>#DIV/0!</v>
      </c>
      <c r="AT154" s="22">
        <f t="shared" si="1241"/>
        <v>0</v>
      </c>
      <c r="AU154" s="22" t="e">
        <f t="shared" si="1241"/>
        <v>#DIV/0!</v>
      </c>
      <c r="AV154" s="22">
        <f t="shared" si="1241"/>
        <v>0</v>
      </c>
      <c r="AW154" s="22" t="e">
        <f t="shared" si="1241"/>
        <v>#DIV/0!</v>
      </c>
      <c r="AX154" s="22">
        <f t="shared" si="1241"/>
        <v>0</v>
      </c>
      <c r="AY154" s="22" t="e">
        <f t="shared" si="1241"/>
        <v>#DIV/0!</v>
      </c>
      <c r="AZ154" s="22">
        <f t="shared" si="1241"/>
        <v>0</v>
      </c>
      <c r="BA154" s="22" t="e">
        <f t="shared" si="1241"/>
        <v>#DIV/0!</v>
      </c>
      <c r="BB154" s="22">
        <f t="shared" si="1241"/>
        <v>0</v>
      </c>
      <c r="BC154" s="22" t="e">
        <f t="shared" si="1241"/>
        <v>#DIV/0!</v>
      </c>
      <c r="BD154" s="22">
        <f t="shared" si="1241"/>
        <v>0</v>
      </c>
      <c r="BE154" s="22" t="e">
        <f t="shared" si="1241"/>
        <v>#DIV/0!</v>
      </c>
      <c r="BF154" s="22">
        <f t="shared" si="1241"/>
        <v>0</v>
      </c>
      <c r="BG154" s="22" t="e">
        <f t="shared" si="1241"/>
        <v>#DIV/0!</v>
      </c>
      <c r="BH154" s="22">
        <f t="shared" si="1241"/>
        <v>0</v>
      </c>
      <c r="BI154" s="22" t="e">
        <f t="shared" si="1241"/>
        <v>#DIV/0!</v>
      </c>
      <c r="BJ154" s="22">
        <f t="shared" si="1241"/>
        <v>0</v>
      </c>
      <c r="BK154" s="22" t="e">
        <f t="shared" si="1241"/>
        <v>#DIV/0!</v>
      </c>
      <c r="BL154" s="22">
        <f t="shared" si="1241"/>
        <v>0</v>
      </c>
      <c r="BM154" s="22" t="e">
        <f t="shared" si="1241"/>
        <v>#DIV/0!</v>
      </c>
      <c r="BN154" s="22">
        <f t="shared" si="1241"/>
        <v>0</v>
      </c>
      <c r="BO154" s="22" t="e">
        <f t="shared" si="1241"/>
        <v>#DIV/0!</v>
      </c>
      <c r="BP154" s="22">
        <f t="shared" si="1241"/>
        <v>0</v>
      </c>
      <c r="BQ154" s="22" t="e">
        <f t="shared" si="1241"/>
        <v>#DIV/0!</v>
      </c>
      <c r="BR154" s="22">
        <f t="shared" si="1241"/>
        <v>0</v>
      </c>
      <c r="BS154" s="22" t="e">
        <f t="shared" si="1241"/>
        <v>#DIV/0!</v>
      </c>
      <c r="BT154" s="22">
        <f t="shared" si="1241"/>
        <v>0</v>
      </c>
      <c r="BU154" s="22" t="e">
        <f t="shared" si="1241"/>
        <v>#DIV/0!</v>
      </c>
      <c r="BV154" s="22">
        <f t="shared" si="1241"/>
        <v>0</v>
      </c>
      <c r="BW154" s="22" t="e">
        <f t="shared" si="1241"/>
        <v>#DIV/0!</v>
      </c>
      <c r="BX154" s="22">
        <f t="shared" si="1241"/>
        <v>0</v>
      </c>
      <c r="BY154" s="22" t="e">
        <f t="shared" si="1241"/>
        <v>#DIV/0!</v>
      </c>
      <c r="BZ154" s="22">
        <f t="shared" si="1241"/>
        <v>3102.6500000000005</v>
      </c>
      <c r="CA154" s="22">
        <f t="shared" si="1241"/>
        <v>2988.3829065381242</v>
      </c>
      <c r="CB154" s="22">
        <f t="shared" si="1241"/>
        <v>0</v>
      </c>
      <c r="CC154" s="22">
        <f t="shared" si="1241"/>
        <v>0</v>
      </c>
      <c r="CD154" s="22">
        <f t="shared" si="1241"/>
        <v>3291.71</v>
      </c>
      <c r="CE154" s="22">
        <f t="shared" si="1241"/>
        <v>3263.4072070250954</v>
      </c>
      <c r="CF154" s="22">
        <f t="shared" ref="CF154:CG154" si="1242">SUM(CF148:CF153)</f>
        <v>3592.8399999999997</v>
      </c>
      <c r="CG154" s="22">
        <f t="shared" si="1242"/>
        <v>3610.220076979444</v>
      </c>
      <c r="CH154" s="22">
        <f t="shared" ref="CH154:CI154" si="1243">SUM(CH148:CH153)</f>
        <v>3674.1000000000004</v>
      </c>
      <c r="CI154" s="22">
        <f t="shared" si="1243"/>
        <v>3555.9023754521054</v>
      </c>
      <c r="CJ154" s="22">
        <f t="shared" ref="CJ154:DB154" si="1244">SUM(CJ148:CJ153)</f>
        <v>4758.5700000000006</v>
      </c>
      <c r="CK154" s="21">
        <f t="shared" si="1244"/>
        <v>4911.0364052050518</v>
      </c>
      <c r="CL154" s="22">
        <f t="shared" ref="CL154" si="1245">SUM(CL148:CL153)</f>
        <v>5096.6399999999994</v>
      </c>
      <c r="CM154" s="21">
        <f t="shared" si="1244"/>
        <v>4458.0147817504912</v>
      </c>
      <c r="CN154" s="21">
        <f t="shared" si="1244"/>
        <v>4874.9006026795059</v>
      </c>
      <c r="CO154" s="21">
        <f t="shared" si="1244"/>
        <v>5159.1034553965592</v>
      </c>
      <c r="CP154" s="21">
        <f t="shared" si="1244"/>
        <v>6102.9865661105368</v>
      </c>
      <c r="CQ154" s="21">
        <f t="shared" si="1244"/>
        <v>5309.9032804858407</v>
      </c>
      <c r="CR154" s="21">
        <f t="shared" si="1244"/>
        <v>5911.1045084664784</v>
      </c>
      <c r="CS154" s="21">
        <f t="shared" si="1244"/>
        <v>6353.9596226157191</v>
      </c>
      <c r="CT154" s="21">
        <f t="shared" si="1244"/>
        <v>7617.6027103960696</v>
      </c>
      <c r="CU154" s="21">
        <f t="shared" si="1244"/>
        <v>6482.6328063193514</v>
      </c>
      <c r="CV154" s="21">
        <f t="shared" si="1244"/>
        <v>7260.6004414012941</v>
      </c>
      <c r="CW154" s="21">
        <f t="shared" si="1244"/>
        <v>7829.5606568792355</v>
      </c>
      <c r="CX154" s="21">
        <f t="shared" si="1244"/>
        <v>9387.8669355813836</v>
      </c>
      <c r="CY154" s="21">
        <f t="shared" si="1244"/>
        <v>7963.5579142679753</v>
      </c>
      <c r="CZ154" s="21">
        <f t="shared" si="1244"/>
        <v>8933.0216732027002</v>
      </c>
      <c r="DA154" s="21">
        <f t="shared" si="1244"/>
        <v>9637.0373702570032</v>
      </c>
      <c r="DB154" s="21">
        <f t="shared" si="1244"/>
        <v>11551.843376187826</v>
      </c>
      <c r="DE154" s="126"/>
      <c r="DF154" s="22">
        <v>4884.4531428235568</v>
      </c>
    </row>
    <row r="155" spans="1:110" s="23" customFormat="1" outlineLevel="1" x14ac:dyDescent="0.2">
      <c r="A155" s="23" t="s">
        <v>66</v>
      </c>
      <c r="B155" s="23">
        <f>'Annual Raw'!C50+'Annual Raw'!C58</f>
        <v>0</v>
      </c>
      <c r="C155" s="23">
        <f>'Annual Raw'!D50+'Annual Raw'!D58</f>
        <v>0</v>
      </c>
      <c r="D155" s="23">
        <f>'Annual Raw'!E50+'Annual Raw'!E58</f>
        <v>0</v>
      </c>
      <c r="E155" s="23">
        <f>'Annual Raw'!F50+'Annual Raw'!F58</f>
        <v>0</v>
      </c>
      <c r="F155" s="23">
        <f>'Annual Raw'!G50+'Annual Raw'!G58</f>
        <v>0</v>
      </c>
      <c r="G155" s="23">
        <f>'Annual Raw'!H50+'Annual Raw'!H58</f>
        <v>0</v>
      </c>
      <c r="H155" s="23">
        <f>'Annual Raw'!I50+'Annual Raw'!I58</f>
        <v>0</v>
      </c>
      <c r="I155" s="23">
        <f>'Annual Raw'!J50+'Annual Raw'!J58</f>
        <v>0</v>
      </c>
      <c r="J155" s="23">
        <f>'Annual Raw'!K50+'Annual Raw'!K58</f>
        <v>0</v>
      </c>
      <c r="K155" s="23">
        <f>'Annual Raw'!L50+'Annual Raw'!L58</f>
        <v>0</v>
      </c>
      <c r="L155" s="23">
        <f>'Annual Raw'!M50+'Annual Raw'!M58</f>
        <v>0</v>
      </c>
      <c r="M155" s="23">
        <f>'Annual Raw'!N50+'Annual Raw'!N58</f>
        <v>0</v>
      </c>
      <c r="N155" s="23">
        <f>'Annual Raw'!O50+'Annual Raw'!O58</f>
        <v>0</v>
      </c>
      <c r="O155" s="23">
        <f>'Annual Raw'!P50+'Annual Raw'!P58</f>
        <v>0.2</v>
      </c>
      <c r="P155" s="23">
        <f>'Annual Raw'!Q50+'Annual Raw'!Q58</f>
        <v>0</v>
      </c>
      <c r="Q155" s="23">
        <f>'Annual Raw'!R50+'Annual Raw'!R58</f>
        <v>1.94</v>
      </c>
      <c r="R155" s="23">
        <f>'Annual Raw'!S50+'Annual Raw'!S58</f>
        <v>2.96</v>
      </c>
      <c r="S155" s="23">
        <f>'Annual Raw'!T50+'Annual Raw'!T58</f>
        <v>17.18</v>
      </c>
      <c r="T155" s="23">
        <f>'Annual Raw'!U50+'Annual Raw'!U58</f>
        <v>16.350000000000001</v>
      </c>
      <c r="U155" s="23">
        <f>'Annual Raw'!V50+'Annual Raw'!V58</f>
        <v>245.21799999999999</v>
      </c>
      <c r="V155" s="23">
        <f>'Annual Raw'!W50+'Annual Raw'!W58</f>
        <v>233.21199999999999</v>
      </c>
      <c r="W155" s="23">
        <f>'Annual Raw'!X50+'Annual Raw'!X58</f>
        <v>223.50899999999999</v>
      </c>
      <c r="X155" s="23">
        <f>'Annual Raw'!Y50+'Annual Raw'!Y58</f>
        <v>215.3</v>
      </c>
      <c r="Y155" s="23">
        <f>'Annual Raw'!Z50+'Annual Raw'!Z58</f>
        <v>205.79</v>
      </c>
      <c r="Z155" s="23">
        <f>'Annual Raw'!AA50+'Annual Raw'!AA58</f>
        <v>369.01</v>
      </c>
      <c r="AA155" s="23">
        <f>'Annual Raw'!AB50+'Annual Raw'!AB58</f>
        <v>495.85</v>
      </c>
      <c r="AB155" s="24">
        <f t="shared" ref="AB155:AB161" si="1246">+CP155</f>
        <v>0</v>
      </c>
      <c r="AC155" s="24">
        <f t="shared" ref="AC155:AC161" si="1247">+CT155</f>
        <v>0</v>
      </c>
      <c r="AD155" s="24">
        <f t="shared" ref="AD155:AD161" si="1248">+CX155</f>
        <v>0</v>
      </c>
      <c r="AE155" s="24">
        <f t="shared" ref="AE155:AE161" si="1249">+DB155</f>
        <v>0</v>
      </c>
      <c r="AJ155" s="23">
        <f>+'QTR Raw'!D64</f>
        <v>0</v>
      </c>
      <c r="AK155" s="23">
        <f t="shared" ref="AK155:CE161" si="1250">+AJ155</f>
        <v>0</v>
      </c>
      <c r="AL155" s="23">
        <f>+'QTR Raw'!F64</f>
        <v>0</v>
      </c>
      <c r="AM155" s="23">
        <f t="shared" si="1250"/>
        <v>0</v>
      </c>
      <c r="AN155" s="23">
        <f>+'QTR Raw'!H64</f>
        <v>0</v>
      </c>
      <c r="AO155" s="23">
        <f t="shared" si="1250"/>
        <v>0</v>
      </c>
      <c r="AP155" s="23">
        <f>+'QTR Raw'!J64</f>
        <v>0</v>
      </c>
      <c r="AQ155" s="23">
        <f t="shared" si="1250"/>
        <v>0</v>
      </c>
      <c r="AR155" s="23">
        <f>+'QTR Raw'!L64</f>
        <v>0</v>
      </c>
      <c r="AS155" s="23">
        <f t="shared" si="1250"/>
        <v>0</v>
      </c>
      <c r="AT155" s="23">
        <f>+'QTR Raw'!N64</f>
        <v>0</v>
      </c>
      <c r="AU155" s="23">
        <f t="shared" si="1250"/>
        <v>0</v>
      </c>
      <c r="AV155" s="23">
        <f>+'QTR Raw'!P64</f>
        <v>0</v>
      </c>
      <c r="AW155" s="23">
        <f t="shared" si="1250"/>
        <v>0</v>
      </c>
      <c r="AX155" s="23">
        <f>+'QTR Raw'!R64</f>
        <v>0</v>
      </c>
      <c r="AY155" s="23">
        <f t="shared" si="1250"/>
        <v>0</v>
      </c>
      <c r="AZ155" s="23">
        <f>+'QTR Raw'!T64</f>
        <v>0</v>
      </c>
      <c r="BA155" s="23">
        <f t="shared" si="1250"/>
        <v>0</v>
      </c>
      <c r="BB155" s="23">
        <f>+'QTR Raw'!V64</f>
        <v>0</v>
      </c>
      <c r="BC155" s="23">
        <f t="shared" si="1250"/>
        <v>0</v>
      </c>
      <c r="BD155" s="23">
        <f>+'QTR Raw'!X64</f>
        <v>0</v>
      </c>
      <c r="BE155" s="23">
        <f t="shared" si="1250"/>
        <v>0</v>
      </c>
      <c r="BF155" s="23">
        <f>+'QTR Raw'!Z64</f>
        <v>0</v>
      </c>
      <c r="BG155" s="23">
        <f t="shared" si="1250"/>
        <v>0</v>
      </c>
      <c r="BH155" s="23">
        <f>+'QTR Raw'!AB64</f>
        <v>0</v>
      </c>
      <c r="BI155" s="23">
        <f t="shared" si="1250"/>
        <v>0</v>
      </c>
      <c r="BJ155" s="23">
        <f>+'QTR Raw'!AD64</f>
        <v>0</v>
      </c>
      <c r="BK155" s="23">
        <f t="shared" si="1250"/>
        <v>0</v>
      </c>
      <c r="BL155" s="23">
        <f>+'QTR Raw'!AF64</f>
        <v>0</v>
      </c>
      <c r="BM155" s="23">
        <f t="shared" si="1250"/>
        <v>0</v>
      </c>
      <c r="BN155" s="23">
        <f>+'QTR Raw'!AH64</f>
        <v>0</v>
      </c>
      <c r="BO155" s="23">
        <f t="shared" si="1250"/>
        <v>0</v>
      </c>
      <c r="BP155" s="23">
        <f>+'QTR Raw'!AJ64</f>
        <v>0</v>
      </c>
      <c r="BQ155" s="23">
        <f t="shared" si="1250"/>
        <v>0</v>
      </c>
      <c r="BR155" s="23">
        <f>+'QTR Raw'!AL64</f>
        <v>0</v>
      </c>
      <c r="BS155" s="23">
        <f t="shared" si="1250"/>
        <v>0</v>
      </c>
      <c r="BT155" s="23">
        <f>+'QTR Raw'!AN64</f>
        <v>0</v>
      </c>
      <c r="BU155" s="23">
        <f t="shared" si="1250"/>
        <v>0</v>
      </c>
      <c r="BV155" s="23">
        <f>+'QTR Raw'!AP64</f>
        <v>0</v>
      </c>
      <c r="BW155" s="23">
        <f t="shared" si="1250"/>
        <v>0</v>
      </c>
      <c r="BX155" s="23">
        <f>+'QTR Raw'!AR64</f>
        <v>0</v>
      </c>
      <c r="BY155" s="23">
        <f t="shared" si="1250"/>
        <v>0</v>
      </c>
      <c r="BZ155" s="23">
        <f>+'QTR Raw'!AT64</f>
        <v>215.3</v>
      </c>
      <c r="CA155" s="23">
        <f t="shared" si="1250"/>
        <v>215.3</v>
      </c>
      <c r="CB155" s="23">
        <f>+'QTR Raw'!AV64</f>
        <v>0</v>
      </c>
      <c r="CC155" s="23">
        <f t="shared" si="1250"/>
        <v>0</v>
      </c>
      <c r="CD155" s="23">
        <f>+'QTR Raw'!AX64</f>
        <v>205.79</v>
      </c>
      <c r="CE155" s="23">
        <f t="shared" si="1250"/>
        <v>205.79</v>
      </c>
      <c r="CF155" s="23">
        <f>+'QTR Raw'!AZ64</f>
        <v>201.43</v>
      </c>
      <c r="CG155" s="23">
        <f t="shared" ref="CG155:CG158" si="1251">+CF155</f>
        <v>201.43</v>
      </c>
      <c r="CH155" s="23">
        <f t="shared" si="1204"/>
        <v>369.01</v>
      </c>
      <c r="CJ155" s="23">
        <f>+'QTR Raw'!BD64</f>
        <v>354.52</v>
      </c>
      <c r="CK155" s="24"/>
      <c r="CL155" s="23">
        <f>+'QTR Raw'!BF64</f>
        <v>495.85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495.85</v>
      </c>
    </row>
    <row r="156" spans="1:110" s="23" customFormat="1" outlineLevel="1" x14ac:dyDescent="0.2">
      <c r="A156" s="23" t="s">
        <v>67</v>
      </c>
      <c r="B156" s="23">
        <f>'Annual Raw'!C51</f>
        <v>0</v>
      </c>
      <c r="C156" s="23">
        <f>'Annual Raw'!D51</f>
        <v>0</v>
      </c>
      <c r="D156" s="23">
        <f>'Annual Raw'!E51</f>
        <v>0</v>
      </c>
      <c r="E156" s="23">
        <f>'Annual Raw'!F51</f>
        <v>0</v>
      </c>
      <c r="F156" s="23">
        <f>'Annual Raw'!G51</f>
        <v>0</v>
      </c>
      <c r="G156" s="23">
        <f>'Annual Raw'!H51</f>
        <v>0</v>
      </c>
      <c r="H156" s="23">
        <f>'Annual Raw'!I51</f>
        <v>0</v>
      </c>
      <c r="I156" s="23">
        <f>'Annual Raw'!J51</f>
        <v>0</v>
      </c>
      <c r="J156" s="23">
        <f>'Annual Raw'!K51</f>
        <v>0</v>
      </c>
      <c r="K156" s="23">
        <f>'Annual Raw'!L51</f>
        <v>0</v>
      </c>
      <c r="L156" s="23">
        <f>'Annual Raw'!M51</f>
        <v>0</v>
      </c>
      <c r="M156" s="23">
        <f>'Annual Raw'!N51</f>
        <v>0.35</v>
      </c>
      <c r="N156" s="23">
        <f>'Annual Raw'!O51</f>
        <v>0.37</v>
      </c>
      <c r="O156" s="23">
        <f>'Annual Raw'!P51</f>
        <v>0.45</v>
      </c>
      <c r="P156" s="23">
        <f>'Annual Raw'!Q51</f>
        <v>1.59</v>
      </c>
      <c r="Q156" s="23">
        <f>'Annual Raw'!R51</f>
        <v>0.41</v>
      </c>
      <c r="R156" s="23">
        <f>'Annual Raw'!S51</f>
        <v>0.1</v>
      </c>
      <c r="S156" s="23">
        <f>'Annual Raw'!T51</f>
        <v>0.14000000000000001</v>
      </c>
      <c r="T156" s="23">
        <f>'Annual Raw'!U51</f>
        <v>0</v>
      </c>
      <c r="U156" s="23">
        <f>'Annual Raw'!V51</f>
        <v>0</v>
      </c>
      <c r="V156" s="23">
        <f>'Annual Raw'!W51</f>
        <v>0</v>
      </c>
      <c r="W156" s="23">
        <f>'Annual Raw'!X51</f>
        <v>0</v>
      </c>
      <c r="X156" s="23">
        <f>'Annual Raw'!Y51</f>
        <v>0</v>
      </c>
      <c r="Y156" s="23">
        <f>'Annual Raw'!Z51</f>
        <v>0</v>
      </c>
      <c r="Z156" s="23">
        <f>'Annual Raw'!AA51</f>
        <v>0</v>
      </c>
      <c r="AA156" s="23">
        <f>'Annual Raw'!AB51</f>
        <v>0</v>
      </c>
      <c r="AB156" s="24">
        <f t="shared" si="1246"/>
        <v>0</v>
      </c>
      <c r="AC156" s="24">
        <f t="shared" si="1247"/>
        <v>0</v>
      </c>
      <c r="AD156" s="24">
        <f t="shared" si="1248"/>
        <v>0</v>
      </c>
      <c r="AE156" s="24">
        <f t="shared" si="1249"/>
        <v>0</v>
      </c>
      <c r="AJ156" s="23">
        <f>+'QTR Raw'!D65</f>
        <v>0</v>
      </c>
      <c r="AK156" s="23">
        <f t="shared" si="1250"/>
        <v>0</v>
      </c>
      <c r="AL156" s="23">
        <f>+'QTR Raw'!F65</f>
        <v>0</v>
      </c>
      <c r="AM156" s="23">
        <f t="shared" si="1250"/>
        <v>0</v>
      </c>
      <c r="AN156" s="23">
        <f>+'QTR Raw'!H65</f>
        <v>0</v>
      </c>
      <c r="AO156" s="23">
        <f t="shared" si="1250"/>
        <v>0</v>
      </c>
      <c r="AP156" s="23">
        <f>+'QTR Raw'!J65</f>
        <v>0</v>
      </c>
      <c r="AQ156" s="23">
        <f t="shared" si="1250"/>
        <v>0</v>
      </c>
      <c r="AR156" s="23">
        <f>+'QTR Raw'!L65</f>
        <v>0</v>
      </c>
      <c r="AS156" s="23">
        <f t="shared" si="1250"/>
        <v>0</v>
      </c>
      <c r="AT156" s="23">
        <f>+'QTR Raw'!N65</f>
        <v>0</v>
      </c>
      <c r="AU156" s="23">
        <f t="shared" si="1250"/>
        <v>0</v>
      </c>
      <c r="AV156" s="23">
        <f>+'QTR Raw'!P65</f>
        <v>0</v>
      </c>
      <c r="AW156" s="23">
        <f t="shared" si="1250"/>
        <v>0</v>
      </c>
      <c r="AX156" s="23">
        <f>+'QTR Raw'!R65</f>
        <v>0</v>
      </c>
      <c r="AY156" s="23">
        <f t="shared" si="1250"/>
        <v>0</v>
      </c>
      <c r="AZ156" s="23">
        <f>+'QTR Raw'!T65</f>
        <v>0</v>
      </c>
      <c r="BA156" s="23">
        <f t="shared" si="1250"/>
        <v>0</v>
      </c>
      <c r="BB156" s="23">
        <f>+'QTR Raw'!V65</f>
        <v>0</v>
      </c>
      <c r="BC156" s="23">
        <f t="shared" si="1250"/>
        <v>0</v>
      </c>
      <c r="BD156" s="23">
        <f>+'QTR Raw'!X65</f>
        <v>0</v>
      </c>
      <c r="BE156" s="23">
        <f t="shared" si="1250"/>
        <v>0</v>
      </c>
      <c r="BF156" s="23">
        <f>+'QTR Raw'!Z65</f>
        <v>0</v>
      </c>
      <c r="BG156" s="23">
        <f t="shared" si="1250"/>
        <v>0</v>
      </c>
      <c r="BH156" s="23">
        <f>+'QTR Raw'!AB65</f>
        <v>0</v>
      </c>
      <c r="BI156" s="23">
        <f t="shared" si="1250"/>
        <v>0</v>
      </c>
      <c r="BJ156" s="23">
        <f>+'QTR Raw'!AD65</f>
        <v>0</v>
      </c>
      <c r="BK156" s="23">
        <f t="shared" si="1250"/>
        <v>0</v>
      </c>
      <c r="BL156" s="23">
        <f>+'QTR Raw'!AF65</f>
        <v>0</v>
      </c>
      <c r="BM156" s="23">
        <f t="shared" si="1250"/>
        <v>0</v>
      </c>
      <c r="BN156" s="23">
        <f>+'QTR Raw'!AH65</f>
        <v>0</v>
      </c>
      <c r="BO156" s="23">
        <f t="shared" si="1250"/>
        <v>0</v>
      </c>
      <c r="BP156" s="23">
        <f>+'QTR Raw'!AJ65</f>
        <v>0</v>
      </c>
      <c r="BQ156" s="23">
        <f t="shared" si="1250"/>
        <v>0</v>
      </c>
      <c r="BR156" s="23">
        <f>+'QTR Raw'!AL65</f>
        <v>0</v>
      </c>
      <c r="BS156" s="23">
        <f t="shared" si="1250"/>
        <v>0</v>
      </c>
      <c r="BT156" s="23">
        <f>+'QTR Raw'!AN65</f>
        <v>0</v>
      </c>
      <c r="BU156" s="23">
        <f t="shared" si="1250"/>
        <v>0</v>
      </c>
      <c r="BV156" s="23">
        <f>+'QTR Raw'!AP65</f>
        <v>0</v>
      </c>
      <c r="BW156" s="23">
        <f t="shared" si="1250"/>
        <v>0</v>
      </c>
      <c r="BX156" s="23">
        <f>+'QTR Raw'!AR65</f>
        <v>0</v>
      </c>
      <c r="BY156" s="23">
        <f t="shared" si="1250"/>
        <v>0</v>
      </c>
      <c r="BZ156" s="23">
        <f>+'QTR Raw'!AT65</f>
        <v>0</v>
      </c>
      <c r="CA156" s="23">
        <f t="shared" si="1250"/>
        <v>0</v>
      </c>
      <c r="CB156" s="23">
        <f>+'QTR Raw'!AV65</f>
        <v>0</v>
      </c>
      <c r="CC156" s="23">
        <f t="shared" si="1250"/>
        <v>0</v>
      </c>
      <c r="CD156" s="23">
        <f>+'QTR Raw'!AX65</f>
        <v>0</v>
      </c>
      <c r="CE156" s="23">
        <f t="shared" si="1250"/>
        <v>0</v>
      </c>
      <c r="CF156" s="23">
        <f>+'QTR Raw'!AZ65</f>
        <v>0</v>
      </c>
      <c r="CG156" s="23">
        <f t="shared" si="1251"/>
        <v>0</v>
      </c>
      <c r="CH156" s="23">
        <f t="shared" si="1204"/>
        <v>0</v>
      </c>
      <c r="CJ156" s="23">
        <f>+'QTR Raw'!BD65</f>
        <v>0</v>
      </c>
      <c r="CK156" s="24"/>
      <c r="CL156" s="23">
        <f>+'QTR Raw'!BF65</f>
        <v>0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3" customFormat="1" outlineLevel="1" x14ac:dyDescent="0.2">
      <c r="A157" s="23" t="s">
        <v>68</v>
      </c>
      <c r="B157" s="23">
        <f>'Annual Raw'!C52</f>
        <v>0</v>
      </c>
      <c r="C157" s="23">
        <f>'Annual Raw'!D52</f>
        <v>0</v>
      </c>
      <c r="D157" s="23">
        <f>'Annual Raw'!E52</f>
        <v>0</v>
      </c>
      <c r="E157" s="23">
        <f>'Annual Raw'!F52</f>
        <v>0</v>
      </c>
      <c r="F157" s="23">
        <f>'Annual Raw'!G52</f>
        <v>0</v>
      </c>
      <c r="G157" s="23">
        <f>'Annual Raw'!H52</f>
        <v>0</v>
      </c>
      <c r="H157" s="23">
        <f>'Annual Raw'!I52</f>
        <v>0</v>
      </c>
      <c r="I157" s="23">
        <f>'Annual Raw'!J52</f>
        <v>0</v>
      </c>
      <c r="J157" s="23">
        <f>'Annual Raw'!K52</f>
        <v>0</v>
      </c>
      <c r="K157" s="23">
        <f>'Annual Raw'!L52</f>
        <v>0</v>
      </c>
      <c r="L157" s="23">
        <f>'Annual Raw'!M52</f>
        <v>0</v>
      </c>
      <c r="M157" s="23">
        <f>'Annual Raw'!N52</f>
        <v>7.76</v>
      </c>
      <c r="N157" s="23">
        <f>'Annual Raw'!O52</f>
        <v>9.48</v>
      </c>
      <c r="O157" s="23">
        <f>'Annual Raw'!P52</f>
        <v>11.61</v>
      </c>
      <c r="P157" s="23">
        <f>'Annual Raw'!Q52</f>
        <v>14.96</v>
      </c>
      <c r="Q157" s="23">
        <f>'Annual Raw'!R52</f>
        <v>15.31</v>
      </c>
      <c r="R157" s="23">
        <f>'Annual Raw'!S52</f>
        <v>21.93</v>
      </c>
      <c r="S157" s="23">
        <f>'Annual Raw'!T52</f>
        <v>24.46</v>
      </c>
      <c r="T157" s="23">
        <f>'Annual Raw'!U52</f>
        <v>24.68</v>
      </c>
      <c r="U157" s="23">
        <f>'Annual Raw'!V52</f>
        <v>22.494</v>
      </c>
      <c r="V157" s="23">
        <f>'Annual Raw'!W52</f>
        <v>15.202</v>
      </c>
      <c r="W157" s="23">
        <f>'Annual Raw'!X52</f>
        <v>18.646000000000001</v>
      </c>
      <c r="X157" s="23">
        <f>'Annual Raw'!Y52</f>
        <v>23.33</v>
      </c>
      <c r="Y157" s="23">
        <f>'Annual Raw'!Z52</f>
        <v>28.87</v>
      </c>
      <c r="Z157" s="23">
        <f>'Annual Raw'!AA52</f>
        <v>32.799999999999997</v>
      </c>
      <c r="AA157" s="23">
        <f>'Annual Raw'!AB52</f>
        <v>61.27</v>
      </c>
      <c r="AB157" s="24">
        <f t="shared" si="1246"/>
        <v>0</v>
      </c>
      <c r="AC157" s="24">
        <f t="shared" si="1247"/>
        <v>0</v>
      </c>
      <c r="AD157" s="24">
        <f t="shared" si="1248"/>
        <v>0</v>
      </c>
      <c r="AE157" s="24">
        <f t="shared" si="1249"/>
        <v>0</v>
      </c>
      <c r="AJ157" s="23">
        <f>+'QTR Raw'!D66</f>
        <v>0</v>
      </c>
      <c r="AK157" s="23">
        <f t="shared" si="1250"/>
        <v>0</v>
      </c>
      <c r="AL157" s="23">
        <f>+'QTR Raw'!F66</f>
        <v>0</v>
      </c>
      <c r="AM157" s="23">
        <f t="shared" si="1250"/>
        <v>0</v>
      </c>
      <c r="AN157" s="23">
        <f>+'QTR Raw'!H66</f>
        <v>0</v>
      </c>
      <c r="AO157" s="23">
        <f t="shared" si="1250"/>
        <v>0</v>
      </c>
      <c r="AP157" s="23">
        <f>+'QTR Raw'!J66</f>
        <v>0</v>
      </c>
      <c r="AQ157" s="23">
        <f t="shared" si="1250"/>
        <v>0</v>
      </c>
      <c r="AR157" s="23">
        <f>+'QTR Raw'!L66</f>
        <v>0</v>
      </c>
      <c r="AS157" s="23">
        <f t="shared" si="1250"/>
        <v>0</v>
      </c>
      <c r="AT157" s="23">
        <f>+'QTR Raw'!N66</f>
        <v>0</v>
      </c>
      <c r="AU157" s="23">
        <f t="shared" si="1250"/>
        <v>0</v>
      </c>
      <c r="AV157" s="23">
        <f>+'QTR Raw'!P66</f>
        <v>0</v>
      </c>
      <c r="AW157" s="23">
        <f t="shared" si="1250"/>
        <v>0</v>
      </c>
      <c r="AX157" s="23">
        <f>+'QTR Raw'!R66</f>
        <v>0</v>
      </c>
      <c r="AY157" s="23">
        <f t="shared" si="1250"/>
        <v>0</v>
      </c>
      <c r="AZ157" s="23">
        <f>+'QTR Raw'!T66</f>
        <v>0</v>
      </c>
      <c r="BA157" s="23">
        <f t="shared" si="1250"/>
        <v>0</v>
      </c>
      <c r="BB157" s="23">
        <f>+'QTR Raw'!V66</f>
        <v>0</v>
      </c>
      <c r="BC157" s="23">
        <f t="shared" si="1250"/>
        <v>0</v>
      </c>
      <c r="BD157" s="23">
        <f>+'QTR Raw'!X66</f>
        <v>0</v>
      </c>
      <c r="BE157" s="23">
        <f t="shared" si="1250"/>
        <v>0</v>
      </c>
      <c r="BF157" s="23">
        <f>+'QTR Raw'!Z66</f>
        <v>0</v>
      </c>
      <c r="BG157" s="23">
        <f t="shared" si="1250"/>
        <v>0</v>
      </c>
      <c r="BH157" s="23">
        <f>+'QTR Raw'!AB66</f>
        <v>0</v>
      </c>
      <c r="BI157" s="23">
        <f t="shared" si="1250"/>
        <v>0</v>
      </c>
      <c r="BJ157" s="23">
        <f>+'QTR Raw'!AD66</f>
        <v>0</v>
      </c>
      <c r="BK157" s="23">
        <f t="shared" si="1250"/>
        <v>0</v>
      </c>
      <c r="BL157" s="23">
        <f>+'QTR Raw'!AF66</f>
        <v>0</v>
      </c>
      <c r="BM157" s="23">
        <f t="shared" si="1250"/>
        <v>0</v>
      </c>
      <c r="BN157" s="23">
        <f>+'QTR Raw'!AH66</f>
        <v>0</v>
      </c>
      <c r="BO157" s="23">
        <f t="shared" si="1250"/>
        <v>0</v>
      </c>
      <c r="BP157" s="23">
        <f>+'QTR Raw'!AJ66</f>
        <v>0</v>
      </c>
      <c r="BQ157" s="23">
        <f t="shared" si="1250"/>
        <v>0</v>
      </c>
      <c r="BR157" s="23">
        <f>+'QTR Raw'!AL66</f>
        <v>0</v>
      </c>
      <c r="BS157" s="23">
        <f t="shared" si="1250"/>
        <v>0</v>
      </c>
      <c r="BT157" s="23">
        <f>+'QTR Raw'!AN66</f>
        <v>0</v>
      </c>
      <c r="BU157" s="23">
        <f t="shared" si="1250"/>
        <v>0</v>
      </c>
      <c r="BV157" s="23">
        <f>+'QTR Raw'!AP66</f>
        <v>0</v>
      </c>
      <c r="BW157" s="23">
        <f t="shared" si="1250"/>
        <v>0</v>
      </c>
      <c r="BX157" s="23">
        <f>+'QTR Raw'!AR66</f>
        <v>0</v>
      </c>
      <c r="BY157" s="23">
        <f t="shared" si="1250"/>
        <v>0</v>
      </c>
      <c r="BZ157" s="23">
        <f>+'QTR Raw'!AT66</f>
        <v>23.33</v>
      </c>
      <c r="CA157" s="23">
        <f t="shared" si="1250"/>
        <v>23.33</v>
      </c>
      <c r="CB157" s="23">
        <f>+'QTR Raw'!AV66</f>
        <v>0</v>
      </c>
      <c r="CC157" s="23">
        <f t="shared" si="1250"/>
        <v>0</v>
      </c>
      <c r="CD157" s="23">
        <f>+'QTR Raw'!AX66</f>
        <v>28.87</v>
      </c>
      <c r="CE157" s="23">
        <f t="shared" si="1250"/>
        <v>28.87</v>
      </c>
      <c r="CF157" s="23">
        <f>+'QTR Raw'!AZ66</f>
        <v>33.99</v>
      </c>
      <c r="CG157" s="23">
        <f t="shared" si="1251"/>
        <v>33.99</v>
      </c>
      <c r="CH157" s="23">
        <f t="shared" si="1204"/>
        <v>32.799999999999997</v>
      </c>
      <c r="CJ157" s="23">
        <f>+'QTR Raw'!BD66</f>
        <v>35.78</v>
      </c>
      <c r="CK157" s="24"/>
      <c r="CL157" s="23">
        <f>+'QTR Raw'!BF66</f>
        <v>61.27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61.27</v>
      </c>
    </row>
    <row r="158" spans="1:110" s="23" customFormat="1" outlineLevel="1" x14ac:dyDescent="0.2">
      <c r="A158" s="23" t="s">
        <v>69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  <c r="X158" s="23">
        <v>0</v>
      </c>
      <c r="Y158" s="23">
        <v>0</v>
      </c>
      <c r="Z158" s="23">
        <v>0</v>
      </c>
      <c r="AA158" s="23">
        <v>0</v>
      </c>
      <c r="AB158" s="24">
        <f t="shared" si="1246"/>
        <v>4418.4337153160968</v>
      </c>
      <c r="AC158" s="24">
        <f t="shared" si="1247"/>
        <v>5514.9838986041877</v>
      </c>
      <c r="AD158" s="24">
        <f t="shared" si="1248"/>
        <v>6796.6179072730929</v>
      </c>
      <c r="AE158" s="24">
        <f t="shared" si="1249"/>
        <v>8363.2912664148189</v>
      </c>
      <c r="AJ158" s="23">
        <f>+'QTR Raw'!D87</f>
        <v>0</v>
      </c>
      <c r="AK158" s="23">
        <f t="shared" si="1250"/>
        <v>0</v>
      </c>
      <c r="AL158" s="23">
        <f>+'QTR Raw'!F87</f>
        <v>0</v>
      </c>
      <c r="AM158" s="23">
        <f t="shared" si="1250"/>
        <v>0</v>
      </c>
      <c r="AN158" s="23">
        <f>+'QTR Raw'!H87</f>
        <v>0</v>
      </c>
      <c r="AO158" s="23">
        <f t="shared" si="1250"/>
        <v>0</v>
      </c>
      <c r="AP158" s="23">
        <f>+'QTR Raw'!J87</f>
        <v>0</v>
      </c>
      <c r="AQ158" s="23">
        <f t="shared" si="1250"/>
        <v>0</v>
      </c>
      <c r="AR158" s="23">
        <f>+'QTR Raw'!L87</f>
        <v>0</v>
      </c>
      <c r="AS158" s="23">
        <f t="shared" si="1250"/>
        <v>0</v>
      </c>
      <c r="AT158" s="23">
        <f>+'QTR Raw'!N87</f>
        <v>0</v>
      </c>
      <c r="AU158" s="23">
        <f t="shared" si="1250"/>
        <v>0</v>
      </c>
      <c r="AV158" s="23">
        <f>+'QTR Raw'!P87</f>
        <v>0</v>
      </c>
      <c r="AW158" s="23">
        <f t="shared" si="1250"/>
        <v>0</v>
      </c>
      <c r="AX158" s="23">
        <f>+'QTR Raw'!R87</f>
        <v>0</v>
      </c>
      <c r="AY158" s="23">
        <f t="shared" si="1250"/>
        <v>0</v>
      </c>
      <c r="AZ158" s="23">
        <f>+'QTR Raw'!T87</f>
        <v>0</v>
      </c>
      <c r="BA158" s="23">
        <f t="shared" si="1250"/>
        <v>0</v>
      </c>
      <c r="BB158" s="23">
        <f>+'QTR Raw'!V87</f>
        <v>0</v>
      </c>
      <c r="BC158" s="23">
        <f t="shared" si="1250"/>
        <v>0</v>
      </c>
      <c r="BD158" s="23">
        <f>+'QTR Raw'!X87</f>
        <v>0</v>
      </c>
      <c r="BE158" s="23">
        <f t="shared" si="1250"/>
        <v>0</v>
      </c>
      <c r="BF158" s="23">
        <f>+'QTR Raw'!Z87</f>
        <v>0</v>
      </c>
      <c r="BG158" s="23">
        <f t="shared" si="1250"/>
        <v>0</v>
      </c>
      <c r="BH158" s="23">
        <f>+'QTR Raw'!AB87</f>
        <v>0</v>
      </c>
      <c r="BI158" s="23">
        <f t="shared" si="1250"/>
        <v>0</v>
      </c>
      <c r="BJ158" s="23">
        <f>+'QTR Raw'!AD87</f>
        <v>0</v>
      </c>
      <c r="BK158" s="23">
        <f t="shared" si="1250"/>
        <v>0</v>
      </c>
      <c r="BL158" s="23">
        <f>+'QTR Raw'!AF87</f>
        <v>0</v>
      </c>
      <c r="BM158" s="23">
        <f t="shared" si="1250"/>
        <v>0</v>
      </c>
      <c r="BN158" s="23">
        <f>+'QTR Raw'!AH87</f>
        <v>0</v>
      </c>
      <c r="BO158" s="23">
        <f t="shared" si="1250"/>
        <v>0</v>
      </c>
      <c r="BP158" s="23">
        <f>+'QTR Raw'!AJ87</f>
        <v>0</v>
      </c>
      <c r="BQ158" s="23">
        <f t="shared" si="1250"/>
        <v>0</v>
      </c>
      <c r="BR158" s="23">
        <f>+'QTR Raw'!AL87</f>
        <v>0</v>
      </c>
      <c r="BS158" s="23">
        <f t="shared" si="1250"/>
        <v>0</v>
      </c>
      <c r="BT158" s="23">
        <f>+'QTR Raw'!AN87</f>
        <v>0</v>
      </c>
      <c r="BU158" s="23">
        <f t="shared" si="1250"/>
        <v>0</v>
      </c>
      <c r="BV158" s="23">
        <f>+'QTR Raw'!AP87</f>
        <v>0</v>
      </c>
      <c r="BW158" s="23">
        <f t="shared" si="1250"/>
        <v>0</v>
      </c>
      <c r="BX158" s="23">
        <f>+'QTR Raw'!AR87</f>
        <v>0</v>
      </c>
      <c r="BY158" s="23">
        <f t="shared" si="1250"/>
        <v>0</v>
      </c>
      <c r="BZ158" s="23">
        <f>+'QTR Raw'!AT87</f>
        <v>0</v>
      </c>
      <c r="CA158" s="23">
        <f t="shared" si="1250"/>
        <v>0</v>
      </c>
      <c r="CB158" s="23">
        <f>+'QTR Raw'!AV87</f>
        <v>0</v>
      </c>
      <c r="CC158" s="23">
        <f t="shared" si="1250"/>
        <v>0</v>
      </c>
      <c r="CD158" s="23">
        <f>+'QTR Raw'!AX87</f>
        <v>0</v>
      </c>
      <c r="CE158" s="23">
        <f t="shared" si="1250"/>
        <v>0</v>
      </c>
      <c r="CF158" s="23">
        <f>+'QTR Raw'!AZ87</f>
        <v>0</v>
      </c>
      <c r="CG158" s="23">
        <f t="shared" si="1251"/>
        <v>0</v>
      </c>
      <c r="CH158" s="23">
        <f t="shared" si="1204"/>
        <v>0</v>
      </c>
      <c r="CI158" s="23">
        <f>CI16/90*CI190</f>
        <v>2524.1864474001477</v>
      </c>
      <c r="CJ158" s="23">
        <f>+'QTR Raw'!BD87</f>
        <v>0</v>
      </c>
      <c r="CK158" s="24">
        <f t="shared" ref="CK158:DB158" si="1252">CK16/90*CK190</f>
        <v>3213.618946521276</v>
      </c>
      <c r="CL158" s="23">
        <f>+'QTR Raw'!BF87</f>
        <v>0</v>
      </c>
      <c r="CM158" s="24">
        <f t="shared" si="1252"/>
        <v>3227.5087945371602</v>
      </c>
      <c r="CN158" s="24">
        <f t="shared" si="1252"/>
        <v>3529.3253472489732</v>
      </c>
      <c r="CO158" s="24">
        <f t="shared" si="1252"/>
        <v>3735.0822259232655</v>
      </c>
      <c r="CP158" s="24">
        <f t="shared" si="1252"/>
        <v>4418.4337153160968</v>
      </c>
      <c r="CQ158" s="24">
        <f t="shared" si="1252"/>
        <v>3844.2581227109404</v>
      </c>
      <c r="CR158" s="24">
        <f t="shared" si="1252"/>
        <v>4279.5151475501762</v>
      </c>
      <c r="CS158" s="24">
        <f t="shared" si="1252"/>
        <v>4600.1329215139467</v>
      </c>
      <c r="CT158" s="24">
        <f t="shared" si="1252"/>
        <v>5514.9838986041877</v>
      </c>
      <c r="CU158" s="24">
        <f t="shared" si="1252"/>
        <v>4693.2895960329797</v>
      </c>
      <c r="CV158" s="24">
        <f t="shared" si="1252"/>
        <v>5256.5217760542209</v>
      </c>
      <c r="CW158" s="24">
        <f t="shared" si="1252"/>
        <v>5668.4369869938664</v>
      </c>
      <c r="CX158" s="24">
        <f t="shared" si="1252"/>
        <v>6796.6179072730929</v>
      </c>
      <c r="CY158" s="24">
        <f t="shared" si="1252"/>
        <v>5765.4481787100594</v>
      </c>
      <c r="CZ158" s="24">
        <f t="shared" si="1252"/>
        <v>6467.3195185619779</v>
      </c>
      <c r="DA158" s="24">
        <f t="shared" si="1252"/>
        <v>6977.0120532383125</v>
      </c>
      <c r="DB158" s="24">
        <f t="shared" si="1252"/>
        <v>8363.2912664148189</v>
      </c>
      <c r="DE158" s="123"/>
      <c r="DF158" s="23">
        <v>3196.223743431563</v>
      </c>
    </row>
    <row r="159" spans="1:110" s="23" customFormat="1" outlineLevel="1" x14ac:dyDescent="0.2">
      <c r="A159" s="23" t="s">
        <v>70</v>
      </c>
      <c r="B159" s="23">
        <f>'Annual Raw'!C54</f>
        <v>0</v>
      </c>
      <c r="C159" s="23">
        <f>'Annual Raw'!D54</f>
        <v>0</v>
      </c>
      <c r="D159" s="23">
        <f>'Annual Raw'!E54</f>
        <v>0</v>
      </c>
      <c r="E159" s="23">
        <f>'Annual Raw'!F54</f>
        <v>12.3917047</v>
      </c>
      <c r="F159" s="23">
        <f>'Annual Raw'!G54</f>
        <v>23.844367800000001</v>
      </c>
      <c r="G159" s="23">
        <f>'Annual Raw'!H54</f>
        <v>81.525400000000005</v>
      </c>
      <c r="H159" s="23">
        <f>'Annual Raw'!I54</f>
        <v>126.8087</v>
      </c>
      <c r="I159" s="23">
        <f>'Annual Raw'!J54</f>
        <v>139.98779999999999</v>
      </c>
      <c r="J159" s="23">
        <f>'Annual Raw'!K54</f>
        <v>148.17670000000001</v>
      </c>
      <c r="K159" s="23">
        <f>'Annual Raw'!L54</f>
        <v>168.40690000000001</v>
      </c>
      <c r="L159" s="23">
        <f>'Annual Raw'!M54</f>
        <v>180.54740000000001</v>
      </c>
      <c r="M159" s="23">
        <f>'Annual Raw'!N54</f>
        <v>241.1</v>
      </c>
      <c r="N159" s="23">
        <f>'Annual Raw'!O54</f>
        <v>294.52999999999997</v>
      </c>
      <c r="O159" s="23">
        <f>'Annual Raw'!P54</f>
        <v>385.15</v>
      </c>
      <c r="P159" s="23">
        <f>'Annual Raw'!Q54</f>
        <v>354.56</v>
      </c>
      <c r="Q159" s="23">
        <f>'Annual Raw'!R54</f>
        <v>305.70999999999998</v>
      </c>
      <c r="R159" s="23">
        <f>'Annual Raw'!S54</f>
        <v>284.20999999999998</v>
      </c>
      <c r="S159" s="23">
        <f>'Annual Raw'!T54</f>
        <v>316.57</v>
      </c>
      <c r="T159" s="23">
        <f>'Annual Raw'!U54</f>
        <v>294.82</v>
      </c>
      <c r="U159" s="23">
        <f>'Annual Raw'!V54</f>
        <v>243.09200000000001</v>
      </c>
      <c r="V159" s="23">
        <f>'Annual Raw'!W54</f>
        <v>223.66300000000001</v>
      </c>
      <c r="W159" s="23">
        <f>'Annual Raw'!X54</f>
        <v>336.59699999999998</v>
      </c>
      <c r="X159" s="23">
        <f>'Annual Raw'!Y54</f>
        <v>657.81</v>
      </c>
      <c r="Y159" s="23">
        <f>'Annual Raw'!Z54</f>
        <v>481.38</v>
      </c>
      <c r="Z159" s="23">
        <f>'Annual Raw'!AA54</f>
        <v>476.72</v>
      </c>
      <c r="AA159" s="23">
        <f>'Annual Raw'!AB54</f>
        <v>581.36</v>
      </c>
      <c r="AB159" s="24">
        <f t="shared" si="1246"/>
        <v>696.15124279408053</v>
      </c>
      <c r="AC159" s="24">
        <f t="shared" si="1247"/>
        <v>868.91942764563714</v>
      </c>
      <c r="AD159" s="24">
        <f t="shared" si="1248"/>
        <v>1070.8487006477983</v>
      </c>
      <c r="AE159" s="24">
        <f t="shared" si="1249"/>
        <v>1317.6876658309311</v>
      </c>
      <c r="AJ159" s="23">
        <f>+'QTR Raw'!D89</f>
        <v>0</v>
      </c>
      <c r="AK159" s="23" t="e">
        <f>+AK189*AK16/90</f>
        <v>#DIV/0!</v>
      </c>
      <c r="AL159" s="23">
        <f>+'QTR Raw'!F89</f>
        <v>0</v>
      </c>
      <c r="AM159" s="23" t="e">
        <f>+AM189*AM16/90</f>
        <v>#DIV/0!</v>
      </c>
      <c r="AN159" s="23">
        <f>+'QTR Raw'!H89</f>
        <v>0</v>
      </c>
      <c r="AO159" s="23" t="e">
        <f>+AO189*AO16/90</f>
        <v>#DIV/0!</v>
      </c>
      <c r="AP159" s="23">
        <f>+'QTR Raw'!J89</f>
        <v>0</v>
      </c>
      <c r="AQ159" s="23" t="e">
        <f>+AQ189*AQ16/90</f>
        <v>#DIV/0!</v>
      </c>
      <c r="AR159" s="23">
        <f>+'QTR Raw'!L89</f>
        <v>0</v>
      </c>
      <c r="AS159" s="23" t="e">
        <f>+AS189*AS16/90</f>
        <v>#DIV/0!</v>
      </c>
      <c r="AT159" s="23">
        <f>+'QTR Raw'!N89</f>
        <v>0</v>
      </c>
      <c r="AU159" s="23" t="e">
        <f>+AU189*AU16/90</f>
        <v>#DIV/0!</v>
      </c>
      <c r="AV159" s="23">
        <f>+'QTR Raw'!P89</f>
        <v>0</v>
      </c>
      <c r="AW159" s="23" t="e">
        <f>+AW189*AW16/90</f>
        <v>#DIV/0!</v>
      </c>
      <c r="AX159" s="23">
        <f>+'QTR Raw'!R89</f>
        <v>0</v>
      </c>
      <c r="AY159" s="23" t="e">
        <f>+AY189*AY16/90</f>
        <v>#DIV/0!</v>
      </c>
      <c r="AZ159" s="23">
        <f>+'QTR Raw'!T89</f>
        <v>0</v>
      </c>
      <c r="BA159" s="23" t="e">
        <f>+BA189*BA16/90</f>
        <v>#DIV/0!</v>
      </c>
      <c r="BB159" s="23">
        <f>+'QTR Raw'!V89</f>
        <v>0</v>
      </c>
      <c r="BC159" s="23" t="e">
        <f>+BC189*BC16/90</f>
        <v>#DIV/0!</v>
      </c>
      <c r="BD159" s="23">
        <f>+'QTR Raw'!X89</f>
        <v>0</v>
      </c>
      <c r="BE159" s="23" t="e">
        <f>+BE189*BE16/90</f>
        <v>#DIV/0!</v>
      </c>
      <c r="BF159" s="23">
        <f>+'QTR Raw'!Z89</f>
        <v>0</v>
      </c>
      <c r="BG159" s="23" t="e">
        <f>+BG189*BG16/90</f>
        <v>#DIV/0!</v>
      </c>
      <c r="BH159" s="23">
        <f>+'QTR Raw'!AB89</f>
        <v>0</v>
      </c>
      <c r="BI159" s="23" t="e">
        <f>+BI189*BI16/90</f>
        <v>#DIV/0!</v>
      </c>
      <c r="BJ159" s="23">
        <f>+'QTR Raw'!AD89</f>
        <v>0</v>
      </c>
      <c r="BK159" s="23" t="e">
        <f>+BK189*BK16/90</f>
        <v>#DIV/0!</v>
      </c>
      <c r="BL159" s="23">
        <f>+'QTR Raw'!AF89</f>
        <v>0</v>
      </c>
      <c r="BM159" s="23" t="e">
        <f>+BM189*BM16/90</f>
        <v>#DIV/0!</v>
      </c>
      <c r="BN159" s="23">
        <f>+'QTR Raw'!AH89</f>
        <v>0</v>
      </c>
      <c r="BO159" s="23" t="e">
        <f>+BO189*BO16/90</f>
        <v>#DIV/0!</v>
      </c>
      <c r="BP159" s="23">
        <f>+'QTR Raw'!AJ89</f>
        <v>0</v>
      </c>
      <c r="BQ159" s="23" t="e">
        <f>+BQ189*BQ16/90</f>
        <v>#DIV/0!</v>
      </c>
      <c r="BR159" s="23">
        <f>+'QTR Raw'!AL89</f>
        <v>0</v>
      </c>
      <c r="BS159" s="23" t="e">
        <f>+BS189*BS16/90</f>
        <v>#DIV/0!</v>
      </c>
      <c r="BT159" s="23">
        <f>+'QTR Raw'!AN89</f>
        <v>0</v>
      </c>
      <c r="BU159" s="23" t="e">
        <f>+BU189*BU16/90</f>
        <v>#DIV/0!</v>
      </c>
      <c r="BV159" s="23">
        <f>+'QTR Raw'!AP89</f>
        <v>0</v>
      </c>
      <c r="BW159" s="23" t="e">
        <f>+BW189*BW16/90</f>
        <v>#DIV/0!</v>
      </c>
      <c r="BX159" s="23">
        <f>+'QTR Raw'!AR89</f>
        <v>0</v>
      </c>
      <c r="BY159" s="23" t="e">
        <f>+BY189*BY16/90</f>
        <v>#DIV/0!</v>
      </c>
      <c r="BZ159" s="23">
        <f>+'QTR Raw'!AT89</f>
        <v>657.81</v>
      </c>
      <c r="CA159" s="23">
        <f>+CA189*CA16/90</f>
        <v>589.86145744051214</v>
      </c>
      <c r="CB159" s="23">
        <f>+'QTR Raw'!AV89</f>
        <v>0</v>
      </c>
      <c r="CC159" s="23">
        <f>+CC189*CC16/90</f>
        <v>0</v>
      </c>
      <c r="CD159" s="23">
        <f>+'QTR Raw'!AX89</f>
        <v>481.38</v>
      </c>
      <c r="CE159" s="23">
        <f>+CE189*CE16/90</f>
        <v>469.5106095845664</v>
      </c>
      <c r="CF159" s="23">
        <f>+'QTR Raw'!AZ89</f>
        <v>469.58</v>
      </c>
      <c r="CG159" s="23">
        <f>+CG189*CG16/90</f>
        <v>477.16093979713833</v>
      </c>
      <c r="CH159" s="23">
        <f t="shared" si="1204"/>
        <v>476.72</v>
      </c>
      <c r="CI159" s="23">
        <f>+CI189*CI16/90</f>
        <v>461.38368047291254</v>
      </c>
      <c r="CJ159" s="23">
        <f>+'QTR Raw'!BD89</f>
        <v>478.53</v>
      </c>
      <c r="CK159" s="24">
        <f t="shared" ref="CK159:DB159" si="1253">+CK189*CK16/90</f>
        <v>493.86228446419256</v>
      </c>
      <c r="CL159" s="23">
        <f>+'QTR Raw'!BF89</f>
        <v>581.36</v>
      </c>
      <c r="CM159" s="24">
        <f t="shared" si="1253"/>
        <v>508.51374111541452</v>
      </c>
      <c r="CN159" s="24">
        <f t="shared" si="1253"/>
        <v>556.06678407220409</v>
      </c>
      <c r="CO159" s="24">
        <f t="shared" si="1253"/>
        <v>588.48503814853404</v>
      </c>
      <c r="CP159" s="24">
        <f t="shared" si="1253"/>
        <v>696.15124279408053</v>
      </c>
      <c r="CQ159" s="24">
        <f t="shared" si="1253"/>
        <v>605.68636810589908</v>
      </c>
      <c r="CR159" s="24">
        <f t="shared" si="1253"/>
        <v>674.26377320000495</v>
      </c>
      <c r="CS159" s="24">
        <f t="shared" si="1253"/>
        <v>724.77906350141961</v>
      </c>
      <c r="CT159" s="24">
        <f t="shared" si="1253"/>
        <v>868.91942764563714</v>
      </c>
      <c r="CU159" s="24">
        <f t="shared" si="1253"/>
        <v>739.45646706100842</v>
      </c>
      <c r="CV159" s="24">
        <f t="shared" si="1253"/>
        <v>828.19714019688604</v>
      </c>
      <c r="CW159" s="24">
        <f t="shared" si="1253"/>
        <v>893.09689981699967</v>
      </c>
      <c r="CX159" s="24">
        <f t="shared" si="1253"/>
        <v>1070.8487006477983</v>
      </c>
      <c r="CY159" s="24">
        <f t="shared" si="1253"/>
        <v>908.38160612459012</v>
      </c>
      <c r="CZ159" s="24">
        <f t="shared" si="1253"/>
        <v>1018.9657264262579</v>
      </c>
      <c r="DA159" s="24">
        <f t="shared" si="1253"/>
        <v>1099.2709011373402</v>
      </c>
      <c r="DB159" s="24">
        <f t="shared" si="1253"/>
        <v>1317.6876658309311</v>
      </c>
      <c r="DE159" s="123"/>
      <c r="DF159" s="23">
        <v>491.18902578618292</v>
      </c>
    </row>
    <row r="160" spans="1:110" s="23" customFormat="1" outlineLevel="1" x14ac:dyDescent="0.2">
      <c r="A160" s="23" t="s">
        <v>71</v>
      </c>
      <c r="B160" s="23">
        <f>'Annual Raw'!C55-Template!B132</f>
        <v>0</v>
      </c>
      <c r="C160" s="23">
        <f>'Annual Raw'!D55-Template!C132</f>
        <v>0</v>
      </c>
      <c r="D160" s="23">
        <f>'Annual Raw'!E55-Template!D132</f>
        <v>0</v>
      </c>
      <c r="E160" s="23">
        <f>'Annual Raw'!F55-Template!E132</f>
        <v>1.2588313</v>
      </c>
      <c r="F160" s="23">
        <f>'Annual Raw'!G55-Template!F132</f>
        <v>1.5484875</v>
      </c>
      <c r="G160" s="23">
        <f>'Annual Raw'!H55-Template!G132</f>
        <v>36.268700000000003</v>
      </c>
      <c r="H160" s="23">
        <f>'Annual Raw'!I55-Template!H132</f>
        <v>50.371299999999998</v>
      </c>
      <c r="I160" s="23">
        <f>'Annual Raw'!J55-Template!I132</f>
        <v>49.618600000000001</v>
      </c>
      <c r="J160" s="23">
        <f>'Annual Raw'!K55-Template!J132</f>
        <v>68.175799999999995</v>
      </c>
      <c r="K160" s="23">
        <f>'Annual Raw'!L55-Template!K132</f>
        <v>53.109299999999998</v>
      </c>
      <c r="L160" s="23">
        <f>'Annual Raw'!M55-Template!L132</f>
        <v>56.330399999999997</v>
      </c>
      <c r="M160" s="23">
        <f>'Annual Raw'!N55-Template!M132</f>
        <v>78.640000000000043</v>
      </c>
      <c r="N160" s="23">
        <f>'Annual Raw'!O55-Template!N132</f>
        <v>84.17</v>
      </c>
      <c r="O160" s="23">
        <f>'Annual Raw'!P55-Template!O132</f>
        <v>112.14</v>
      </c>
      <c r="P160" s="23">
        <f>'Annual Raw'!Q55-Template!P132</f>
        <v>124.82999999999998</v>
      </c>
      <c r="Q160" s="23">
        <f>'Annual Raw'!R55-Template!Q132</f>
        <v>126.12</v>
      </c>
      <c r="R160" s="23">
        <f>'Annual Raw'!S55-Template!R132</f>
        <v>122.20999999999998</v>
      </c>
      <c r="S160" s="23">
        <f>'Annual Raw'!T55-Template!S132</f>
        <v>165.67</v>
      </c>
      <c r="T160" s="23">
        <f>'Annual Raw'!U55-Template!T132</f>
        <v>139.44</v>
      </c>
      <c r="U160" s="23">
        <f>'Annual Raw'!V55-Template!U132</f>
        <v>177.101</v>
      </c>
      <c r="V160" s="23">
        <f>'Annual Raw'!W55-Template!V132</f>
        <v>943.75599999999997</v>
      </c>
      <c r="W160" s="23">
        <f>'Annual Raw'!X55-Template!W132</f>
        <v>1306.796</v>
      </c>
      <c r="X160" s="23">
        <f>'Annual Raw'!Y55-Template!X132</f>
        <v>1220.05</v>
      </c>
      <c r="Y160" s="23">
        <f>'Annual Raw'!Z55-Template!Y132</f>
        <v>1494.83</v>
      </c>
      <c r="Z160" s="23">
        <f>'Annual Raw'!AA55-Template!Z132</f>
        <v>2010.68</v>
      </c>
      <c r="AA160" s="23">
        <f>'Annual Raw'!AB55-Template!AA132</f>
        <v>2828</v>
      </c>
      <c r="AB160" s="24">
        <f t="shared" si="1246"/>
        <v>0</v>
      </c>
      <c r="AC160" s="24">
        <f t="shared" si="1247"/>
        <v>0</v>
      </c>
      <c r="AD160" s="24">
        <f t="shared" si="1248"/>
        <v>0</v>
      </c>
      <c r="AE160" s="24">
        <f t="shared" si="1249"/>
        <v>0</v>
      </c>
      <c r="AJ160" s="23">
        <f>+'QTR Raw'!D91</f>
        <v>0</v>
      </c>
      <c r="AK160" s="23">
        <f t="shared" si="1250"/>
        <v>0</v>
      </c>
      <c r="AL160" s="23">
        <f>+'QTR Raw'!F91</f>
        <v>0</v>
      </c>
      <c r="AM160" s="23">
        <f t="shared" si="1250"/>
        <v>0</v>
      </c>
      <c r="AN160" s="23">
        <f>+'QTR Raw'!H91</f>
        <v>0</v>
      </c>
      <c r="AO160" s="23">
        <f t="shared" si="1250"/>
        <v>0</v>
      </c>
      <c r="AP160" s="23">
        <f>+'QTR Raw'!J91</f>
        <v>0</v>
      </c>
      <c r="AQ160" s="23">
        <f t="shared" si="1250"/>
        <v>0</v>
      </c>
      <c r="AR160" s="23">
        <f>+'QTR Raw'!L91</f>
        <v>0</v>
      </c>
      <c r="AS160" s="23">
        <f t="shared" si="1250"/>
        <v>0</v>
      </c>
      <c r="AT160" s="23">
        <f>+'QTR Raw'!N91</f>
        <v>0</v>
      </c>
      <c r="AU160" s="23">
        <f t="shared" si="1250"/>
        <v>0</v>
      </c>
      <c r="AV160" s="23">
        <f>+'QTR Raw'!P91</f>
        <v>0</v>
      </c>
      <c r="AW160" s="23">
        <f t="shared" si="1250"/>
        <v>0</v>
      </c>
      <c r="AX160" s="23">
        <f>+'QTR Raw'!R91</f>
        <v>0</v>
      </c>
      <c r="AY160" s="23">
        <f t="shared" si="1250"/>
        <v>0</v>
      </c>
      <c r="AZ160" s="23">
        <f>+'QTR Raw'!T91</f>
        <v>0</v>
      </c>
      <c r="BA160" s="23">
        <f t="shared" si="1250"/>
        <v>0</v>
      </c>
      <c r="BB160" s="23">
        <f>+'QTR Raw'!V91</f>
        <v>0</v>
      </c>
      <c r="BC160" s="23">
        <f t="shared" si="1250"/>
        <v>0</v>
      </c>
      <c r="BD160" s="23">
        <f>+'QTR Raw'!X91</f>
        <v>0</v>
      </c>
      <c r="BE160" s="23">
        <f t="shared" si="1250"/>
        <v>0</v>
      </c>
      <c r="BF160" s="23">
        <f>+'QTR Raw'!Z91</f>
        <v>0</v>
      </c>
      <c r="BG160" s="23">
        <f t="shared" si="1250"/>
        <v>0</v>
      </c>
      <c r="BH160" s="23">
        <f>+'QTR Raw'!AB91</f>
        <v>0</v>
      </c>
      <c r="BI160" s="23">
        <f t="shared" si="1250"/>
        <v>0</v>
      </c>
      <c r="BJ160" s="23">
        <f>+'QTR Raw'!AD91</f>
        <v>0</v>
      </c>
      <c r="BK160" s="23">
        <f t="shared" si="1250"/>
        <v>0</v>
      </c>
      <c r="BL160" s="23">
        <f>+'QTR Raw'!AF91</f>
        <v>0</v>
      </c>
      <c r="BM160" s="23">
        <f t="shared" si="1250"/>
        <v>0</v>
      </c>
      <c r="BN160" s="23">
        <f>+'QTR Raw'!AH91</f>
        <v>0</v>
      </c>
      <c r="BO160" s="23">
        <f t="shared" si="1250"/>
        <v>0</v>
      </c>
      <c r="BP160" s="23">
        <f>+'QTR Raw'!AJ91</f>
        <v>0</v>
      </c>
      <c r="BQ160" s="23">
        <f t="shared" si="1250"/>
        <v>0</v>
      </c>
      <c r="BR160" s="23">
        <f>+'QTR Raw'!AL91</f>
        <v>0</v>
      </c>
      <c r="BS160" s="23">
        <f t="shared" si="1250"/>
        <v>0</v>
      </c>
      <c r="BT160" s="23">
        <f>+'QTR Raw'!AN91</f>
        <v>0</v>
      </c>
      <c r="BU160" s="23">
        <f t="shared" si="1250"/>
        <v>0</v>
      </c>
      <c r="BV160" s="23">
        <f>+'QTR Raw'!AP91</f>
        <v>0</v>
      </c>
      <c r="BW160" s="23">
        <f t="shared" si="1250"/>
        <v>0</v>
      </c>
      <c r="BX160" s="23">
        <f>+'QTR Raw'!AR91</f>
        <v>0</v>
      </c>
      <c r="BY160" s="23">
        <f t="shared" si="1250"/>
        <v>0</v>
      </c>
      <c r="BZ160" s="23">
        <f>+'QTR Raw'!AT91</f>
        <v>1281.69</v>
      </c>
      <c r="CA160" s="23">
        <f t="shared" si="1250"/>
        <v>1281.69</v>
      </c>
      <c r="CB160" s="23">
        <f>+'QTR Raw'!AV91</f>
        <v>0</v>
      </c>
      <c r="CC160" s="23">
        <f t="shared" si="1250"/>
        <v>0</v>
      </c>
      <c r="CD160" s="23">
        <f>+'QTR Raw'!AX91</f>
        <v>1612.19</v>
      </c>
      <c r="CE160" s="23">
        <f t="shared" si="1250"/>
        <v>1612.19</v>
      </c>
      <c r="CF160" s="23">
        <f>+'QTR Raw'!AZ91</f>
        <v>1921.31</v>
      </c>
      <c r="CG160" s="23">
        <f t="shared" ref="CG160:CG161" si="1254">+CF160</f>
        <v>1921.31</v>
      </c>
      <c r="CH160" s="23">
        <f t="shared" si="1204"/>
        <v>2010.68</v>
      </c>
      <c r="CJ160" s="23">
        <f>+'QTR Raw'!BD91</f>
        <v>2694.92</v>
      </c>
      <c r="CK160" s="24"/>
      <c r="CL160" s="23">
        <f>+'QTR Raw'!BF91</f>
        <v>3044.65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3044.65</v>
      </c>
    </row>
    <row r="161" spans="1:110" s="23" customFormat="1" outlineLevel="1" x14ac:dyDescent="0.2">
      <c r="A161" s="23" t="s">
        <v>72</v>
      </c>
      <c r="B161" s="23">
        <f>'Annual Raw'!C57</f>
        <v>0</v>
      </c>
      <c r="C161" s="23">
        <f>'Annual Raw'!D57</f>
        <v>0</v>
      </c>
      <c r="D161" s="23">
        <f>'Annual Raw'!E57</f>
        <v>0</v>
      </c>
      <c r="E161" s="23">
        <f>'Annual Raw'!F57</f>
        <v>16.5369606</v>
      </c>
      <c r="F161" s="23">
        <f>'Annual Raw'!G57</f>
        <v>22.154497599999999</v>
      </c>
      <c r="G161" s="23">
        <f>'Annual Raw'!H57</f>
        <v>32.585000000000001</v>
      </c>
      <c r="H161" s="23">
        <f>'Annual Raw'!I57</f>
        <v>23.497900000000001</v>
      </c>
      <c r="I161" s="23">
        <f>'Annual Raw'!J57</f>
        <v>29.011700000000001</v>
      </c>
      <c r="J161" s="23">
        <f>'Annual Raw'!K57</f>
        <v>19.383500000000002</v>
      </c>
      <c r="K161" s="23">
        <f>'Annual Raw'!L57</f>
        <v>40.531399999999998</v>
      </c>
      <c r="L161" s="23">
        <f>'Annual Raw'!M57</f>
        <v>34.268000000000001</v>
      </c>
      <c r="M161" s="23">
        <f>'Annual Raw'!N57</f>
        <v>51.77</v>
      </c>
      <c r="N161" s="23">
        <f>'Annual Raw'!O57</f>
        <v>117.48</v>
      </c>
      <c r="O161" s="23">
        <f>'Annual Raw'!P57</f>
        <v>118.96</v>
      </c>
      <c r="P161" s="23">
        <f>'Annual Raw'!Q57</f>
        <v>360.07</v>
      </c>
      <c r="Q161" s="23">
        <f>'Annual Raw'!R57</f>
        <v>42.12</v>
      </c>
      <c r="R161" s="23">
        <f>'Annual Raw'!S57</f>
        <v>55.22</v>
      </c>
      <c r="S161" s="23">
        <f>'Annual Raw'!T57</f>
        <v>61.29</v>
      </c>
      <c r="T161" s="23">
        <f>'Annual Raw'!U57</f>
        <v>36.700000000000003</v>
      </c>
      <c r="U161" s="23">
        <f>'Annual Raw'!V57</f>
        <v>32.469000000000001</v>
      </c>
      <c r="V161" s="23">
        <f>'Annual Raw'!W57</f>
        <v>14.747999999999999</v>
      </c>
      <c r="W161" s="23">
        <f>'Annual Raw'!X57</f>
        <v>52.29</v>
      </c>
      <c r="X161" s="23">
        <f>'Annual Raw'!Y57</f>
        <v>95.55</v>
      </c>
      <c r="Y161" s="23">
        <f>'Annual Raw'!Z57</f>
        <v>146.63</v>
      </c>
      <c r="Z161" s="23">
        <f>'Annual Raw'!AA57</f>
        <v>195.6</v>
      </c>
      <c r="AA161" s="23">
        <f>'Annual Raw'!AB57</f>
        <v>304.74</v>
      </c>
      <c r="AB161" s="24">
        <f t="shared" si="1246"/>
        <v>0</v>
      </c>
      <c r="AC161" s="24">
        <f t="shared" si="1247"/>
        <v>0</v>
      </c>
      <c r="AD161" s="24">
        <f t="shared" si="1248"/>
        <v>0</v>
      </c>
      <c r="AE161" s="24">
        <f t="shared" si="1249"/>
        <v>0</v>
      </c>
      <c r="AJ161" s="23">
        <f>+'QTR Raw'!D92</f>
        <v>0</v>
      </c>
      <c r="AK161" s="23">
        <f t="shared" si="1250"/>
        <v>0</v>
      </c>
      <c r="AL161" s="23">
        <f>+'QTR Raw'!F92</f>
        <v>0</v>
      </c>
      <c r="AM161" s="23">
        <f t="shared" si="1250"/>
        <v>0</v>
      </c>
      <c r="AN161" s="23">
        <f>+'QTR Raw'!H92</f>
        <v>0</v>
      </c>
      <c r="AO161" s="23">
        <f t="shared" si="1250"/>
        <v>0</v>
      </c>
      <c r="AP161" s="23">
        <f>+'QTR Raw'!J92</f>
        <v>0</v>
      </c>
      <c r="AQ161" s="23">
        <f t="shared" si="1250"/>
        <v>0</v>
      </c>
      <c r="AR161" s="23">
        <f>+'QTR Raw'!L92</f>
        <v>0</v>
      </c>
      <c r="AS161" s="23">
        <f t="shared" si="1250"/>
        <v>0</v>
      </c>
      <c r="AT161" s="23">
        <f>+'QTR Raw'!N92</f>
        <v>0</v>
      </c>
      <c r="AU161" s="23">
        <f t="shared" si="1250"/>
        <v>0</v>
      </c>
      <c r="AV161" s="23">
        <f>+'QTR Raw'!P92</f>
        <v>0</v>
      </c>
      <c r="AW161" s="23">
        <f t="shared" si="1250"/>
        <v>0</v>
      </c>
      <c r="AX161" s="23">
        <f>+'QTR Raw'!R92</f>
        <v>0</v>
      </c>
      <c r="AY161" s="23">
        <f t="shared" si="1250"/>
        <v>0</v>
      </c>
      <c r="AZ161" s="23">
        <f>+'QTR Raw'!T92</f>
        <v>0</v>
      </c>
      <c r="BA161" s="23">
        <f t="shared" si="1250"/>
        <v>0</v>
      </c>
      <c r="BB161" s="23">
        <f>+'QTR Raw'!V92</f>
        <v>0</v>
      </c>
      <c r="BC161" s="23">
        <f t="shared" si="1250"/>
        <v>0</v>
      </c>
      <c r="BD161" s="23">
        <f>+'QTR Raw'!X92</f>
        <v>0</v>
      </c>
      <c r="BE161" s="23">
        <f t="shared" si="1250"/>
        <v>0</v>
      </c>
      <c r="BF161" s="23">
        <f>+'QTR Raw'!Z92</f>
        <v>0</v>
      </c>
      <c r="BG161" s="23">
        <f t="shared" si="1250"/>
        <v>0</v>
      </c>
      <c r="BH161" s="23">
        <f>+'QTR Raw'!AB92</f>
        <v>0</v>
      </c>
      <c r="BI161" s="23">
        <f t="shared" si="1250"/>
        <v>0</v>
      </c>
      <c r="BJ161" s="23">
        <f>+'QTR Raw'!AD92</f>
        <v>0</v>
      </c>
      <c r="BK161" s="23">
        <f t="shared" si="1250"/>
        <v>0</v>
      </c>
      <c r="BL161" s="23">
        <f>+'QTR Raw'!AF92</f>
        <v>0</v>
      </c>
      <c r="BM161" s="23">
        <f t="shared" si="1250"/>
        <v>0</v>
      </c>
      <c r="BN161" s="23">
        <f>+'QTR Raw'!AH92</f>
        <v>0</v>
      </c>
      <c r="BO161" s="23">
        <f t="shared" si="1250"/>
        <v>0</v>
      </c>
      <c r="BP161" s="23">
        <f>+'QTR Raw'!AJ92</f>
        <v>0</v>
      </c>
      <c r="BQ161" s="23">
        <f t="shared" si="1250"/>
        <v>0</v>
      </c>
      <c r="BR161" s="23">
        <f>+'QTR Raw'!AL92</f>
        <v>0</v>
      </c>
      <c r="BS161" s="23">
        <f t="shared" si="1250"/>
        <v>0</v>
      </c>
      <c r="BT161" s="23">
        <f>+'QTR Raw'!AN92</f>
        <v>0</v>
      </c>
      <c r="BU161" s="23">
        <f t="shared" si="1250"/>
        <v>0</v>
      </c>
      <c r="BV161" s="23">
        <f>+'QTR Raw'!AP92</f>
        <v>0</v>
      </c>
      <c r="BW161" s="23">
        <f t="shared" si="1250"/>
        <v>0</v>
      </c>
      <c r="BX161" s="23">
        <f>+'QTR Raw'!AR92</f>
        <v>0</v>
      </c>
      <c r="BY161" s="23">
        <f t="shared" si="1250"/>
        <v>0</v>
      </c>
      <c r="BZ161" s="23">
        <f>+'QTR Raw'!AT92</f>
        <v>33.909999999999997</v>
      </c>
      <c r="CA161" s="23">
        <f t="shared" si="1250"/>
        <v>33.909999999999997</v>
      </c>
      <c r="CB161" s="23">
        <f>+'QTR Raw'!AV92</f>
        <v>0</v>
      </c>
      <c r="CC161" s="23">
        <f t="shared" si="1250"/>
        <v>0</v>
      </c>
      <c r="CD161" s="23">
        <f>+'QTR Raw'!AX92</f>
        <v>29.27</v>
      </c>
      <c r="CE161" s="23">
        <f t="shared" si="1250"/>
        <v>29.27</v>
      </c>
      <c r="CF161" s="23">
        <f>+'QTR Raw'!AZ92</f>
        <v>25.53</v>
      </c>
      <c r="CG161" s="23">
        <f t="shared" si="1254"/>
        <v>25.53</v>
      </c>
      <c r="CH161" s="23">
        <f t="shared" si="1204"/>
        <v>195.6</v>
      </c>
      <c r="CJ161" s="23">
        <f>+'QTR Raw'!BD92</f>
        <v>28.63</v>
      </c>
      <c r="CK161" s="24"/>
      <c r="CL161" s="23">
        <f>+'QTR Raw'!BF92</f>
        <v>88.09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88.09</v>
      </c>
    </row>
    <row r="162" spans="1:110" s="22" customFormat="1" x14ac:dyDescent="0.2">
      <c r="A162" s="22" t="s">
        <v>73</v>
      </c>
      <c r="B162" s="22">
        <f>SUM(B155:B161)</f>
        <v>0</v>
      </c>
      <c r="C162" s="22">
        <f t="shared" ref="C162:V162" si="1255">SUM(C155:C161)</f>
        <v>0</v>
      </c>
      <c r="D162" s="22">
        <f t="shared" si="1255"/>
        <v>0</v>
      </c>
      <c r="E162" s="22">
        <f t="shared" si="1255"/>
        <v>30.187496600000003</v>
      </c>
      <c r="F162" s="22">
        <f t="shared" si="1255"/>
        <v>47.5473529</v>
      </c>
      <c r="G162" s="22">
        <f t="shared" si="1255"/>
        <v>150.37910000000002</v>
      </c>
      <c r="H162" s="22">
        <f t="shared" si="1255"/>
        <v>200.67790000000002</v>
      </c>
      <c r="I162" s="22">
        <f t="shared" si="1255"/>
        <v>218.6181</v>
      </c>
      <c r="J162" s="22">
        <f t="shared" si="1255"/>
        <v>235.73600000000002</v>
      </c>
      <c r="K162" s="22">
        <f t="shared" si="1255"/>
        <v>262.04759999999999</v>
      </c>
      <c r="L162" s="22">
        <f t="shared" si="1255"/>
        <v>271.14580000000001</v>
      </c>
      <c r="M162" s="22">
        <f t="shared" si="1255"/>
        <v>379.62</v>
      </c>
      <c r="N162" s="22">
        <f t="shared" si="1255"/>
        <v>506.03000000000003</v>
      </c>
      <c r="O162" s="22">
        <f t="shared" si="1255"/>
        <v>628.51</v>
      </c>
      <c r="P162" s="22">
        <f t="shared" si="1255"/>
        <v>856.01</v>
      </c>
      <c r="Q162" s="22">
        <f t="shared" si="1255"/>
        <v>491.61</v>
      </c>
      <c r="R162" s="22">
        <f t="shared" si="1255"/>
        <v>486.63</v>
      </c>
      <c r="S162" s="22">
        <f t="shared" si="1255"/>
        <v>585.30999999999995</v>
      </c>
      <c r="T162" s="22">
        <f t="shared" si="1255"/>
        <v>511.99</v>
      </c>
      <c r="U162" s="22">
        <f t="shared" si="1255"/>
        <v>720.37400000000002</v>
      </c>
      <c r="V162" s="22">
        <f t="shared" si="1255"/>
        <v>1430.5810000000001</v>
      </c>
      <c r="W162" s="22">
        <f t="shared" ref="W162" si="1256">SUM(W155:W161)</f>
        <v>1937.838</v>
      </c>
      <c r="X162" s="22">
        <f t="shared" ref="X162:Y162" si="1257">SUM(X155:X161)</f>
        <v>2212.04</v>
      </c>
      <c r="Y162" s="22">
        <f t="shared" si="1257"/>
        <v>2357.5</v>
      </c>
      <c r="Z162" s="22">
        <f t="shared" ref="Z162:AA162" si="1258">SUM(Z155:Z161)</f>
        <v>3084.81</v>
      </c>
      <c r="AA162" s="22">
        <f t="shared" si="1258"/>
        <v>4271.22</v>
      </c>
      <c r="AB162" s="21">
        <f t="shared" ref="AA162:AD162" si="1259">SUM(AB155:AB161)</f>
        <v>5114.5849581101775</v>
      </c>
      <c r="AC162" s="21">
        <f t="shared" si="1259"/>
        <v>6383.9033262498251</v>
      </c>
      <c r="AD162" s="21">
        <f t="shared" si="1259"/>
        <v>7867.466607920891</v>
      </c>
      <c r="AE162" s="21">
        <f t="shared" ref="AE162" si="1260">SUM(AE155:AE161)</f>
        <v>9680.9789322457509</v>
      </c>
      <c r="AJ162" s="22">
        <f t="shared" ref="AJ162" si="1261">SUM(AJ155:AJ161)</f>
        <v>0</v>
      </c>
      <c r="AK162" s="22" t="e">
        <f t="shared" ref="AK162" si="1262">SUM(AK155:AK161)</f>
        <v>#DIV/0!</v>
      </c>
      <c r="AL162" s="22">
        <f t="shared" ref="AL162:AM162" si="1263">SUM(AL155:AL161)</f>
        <v>0</v>
      </c>
      <c r="AM162" s="22" t="e">
        <f t="shared" si="1263"/>
        <v>#DIV/0!</v>
      </c>
      <c r="AN162" s="22">
        <f t="shared" ref="AN162:AO162" si="1264">SUM(AN155:AN161)</f>
        <v>0</v>
      </c>
      <c r="AO162" s="22" t="e">
        <f t="shared" si="1264"/>
        <v>#DIV/0!</v>
      </c>
      <c r="AP162" s="22">
        <f t="shared" ref="AP162:CE162" si="1265">SUM(AP155:AP161)</f>
        <v>0</v>
      </c>
      <c r="AQ162" s="22" t="e">
        <f t="shared" si="1265"/>
        <v>#DIV/0!</v>
      </c>
      <c r="AR162" s="22">
        <f t="shared" si="1265"/>
        <v>0</v>
      </c>
      <c r="AS162" s="22" t="e">
        <f t="shared" si="1265"/>
        <v>#DIV/0!</v>
      </c>
      <c r="AT162" s="22">
        <f t="shared" si="1265"/>
        <v>0</v>
      </c>
      <c r="AU162" s="22" t="e">
        <f t="shared" si="1265"/>
        <v>#DIV/0!</v>
      </c>
      <c r="AV162" s="22">
        <f t="shared" si="1265"/>
        <v>0</v>
      </c>
      <c r="AW162" s="22" t="e">
        <f t="shared" si="1265"/>
        <v>#DIV/0!</v>
      </c>
      <c r="AX162" s="22">
        <f t="shared" si="1265"/>
        <v>0</v>
      </c>
      <c r="AY162" s="22" t="e">
        <f t="shared" si="1265"/>
        <v>#DIV/0!</v>
      </c>
      <c r="AZ162" s="22">
        <f t="shared" si="1265"/>
        <v>0</v>
      </c>
      <c r="BA162" s="22" t="e">
        <f t="shared" si="1265"/>
        <v>#DIV/0!</v>
      </c>
      <c r="BB162" s="22">
        <f t="shared" si="1265"/>
        <v>0</v>
      </c>
      <c r="BC162" s="22" t="e">
        <f t="shared" si="1265"/>
        <v>#DIV/0!</v>
      </c>
      <c r="BD162" s="22">
        <f t="shared" si="1265"/>
        <v>0</v>
      </c>
      <c r="BE162" s="22" t="e">
        <f t="shared" si="1265"/>
        <v>#DIV/0!</v>
      </c>
      <c r="BF162" s="22">
        <f t="shared" si="1265"/>
        <v>0</v>
      </c>
      <c r="BG162" s="22" t="e">
        <f t="shared" si="1265"/>
        <v>#DIV/0!</v>
      </c>
      <c r="BH162" s="22">
        <f t="shared" ref="BH162" si="1266">SUM(BH155:BH161)</f>
        <v>0</v>
      </c>
      <c r="BI162" s="22" t="e">
        <f t="shared" si="1265"/>
        <v>#DIV/0!</v>
      </c>
      <c r="BJ162" s="22">
        <f t="shared" si="1265"/>
        <v>0</v>
      </c>
      <c r="BK162" s="22" t="e">
        <f t="shared" si="1265"/>
        <v>#DIV/0!</v>
      </c>
      <c r="BL162" s="22">
        <f t="shared" si="1265"/>
        <v>0</v>
      </c>
      <c r="BM162" s="22" t="e">
        <f t="shared" si="1265"/>
        <v>#DIV/0!</v>
      </c>
      <c r="BN162" s="22">
        <f t="shared" si="1265"/>
        <v>0</v>
      </c>
      <c r="BO162" s="22" t="e">
        <f t="shared" si="1265"/>
        <v>#DIV/0!</v>
      </c>
      <c r="BP162" s="22">
        <f t="shared" si="1265"/>
        <v>0</v>
      </c>
      <c r="BQ162" s="22" t="e">
        <f t="shared" si="1265"/>
        <v>#DIV/0!</v>
      </c>
      <c r="BR162" s="22">
        <f t="shared" si="1265"/>
        <v>0</v>
      </c>
      <c r="BS162" s="22" t="e">
        <f t="shared" si="1265"/>
        <v>#DIV/0!</v>
      </c>
      <c r="BT162" s="22">
        <f t="shared" si="1265"/>
        <v>0</v>
      </c>
      <c r="BU162" s="22" t="e">
        <f t="shared" si="1265"/>
        <v>#DIV/0!</v>
      </c>
      <c r="BV162" s="22">
        <f t="shared" si="1265"/>
        <v>0</v>
      </c>
      <c r="BW162" s="22" t="e">
        <f t="shared" si="1265"/>
        <v>#DIV/0!</v>
      </c>
      <c r="BX162" s="22">
        <f t="shared" si="1265"/>
        <v>0</v>
      </c>
      <c r="BY162" s="22" t="e">
        <f t="shared" si="1265"/>
        <v>#DIV/0!</v>
      </c>
      <c r="BZ162" s="22">
        <f t="shared" si="1265"/>
        <v>2212.04</v>
      </c>
      <c r="CA162" s="22">
        <f t="shared" si="1265"/>
        <v>2144.0914574405119</v>
      </c>
      <c r="CB162" s="22">
        <f t="shared" si="1265"/>
        <v>0</v>
      </c>
      <c r="CC162" s="22">
        <f t="shared" si="1265"/>
        <v>0</v>
      </c>
      <c r="CD162" s="22">
        <f t="shared" si="1265"/>
        <v>2357.5</v>
      </c>
      <c r="CE162" s="22">
        <f t="shared" si="1265"/>
        <v>2345.6306095845662</v>
      </c>
      <c r="CF162" s="22">
        <f t="shared" ref="CF162:CG162" si="1267">SUM(CF155:CF161)</f>
        <v>2651.84</v>
      </c>
      <c r="CG162" s="22">
        <f t="shared" si="1267"/>
        <v>2659.4209397971385</v>
      </c>
      <c r="CH162" s="22">
        <f t="shared" ref="CH162:CI162" si="1268">SUM(CH155:CH161)</f>
        <v>3084.81</v>
      </c>
      <c r="CI162" s="22">
        <f t="shared" si="1268"/>
        <v>2985.5701278730603</v>
      </c>
      <c r="CJ162" s="22">
        <f t="shared" ref="CJ162:DB162" si="1269">SUM(CJ155:CJ161)</f>
        <v>3592.38</v>
      </c>
      <c r="CK162" s="21">
        <f t="shared" si="1269"/>
        <v>3707.4812309854688</v>
      </c>
      <c r="CL162" s="22">
        <f t="shared" ref="CL162" si="1270">SUM(CL155:CL161)</f>
        <v>4271.22</v>
      </c>
      <c r="CM162" s="21">
        <f t="shared" si="1269"/>
        <v>3736.0225356525748</v>
      </c>
      <c r="CN162" s="21">
        <f t="shared" si="1269"/>
        <v>4085.3921313211772</v>
      </c>
      <c r="CO162" s="21">
        <f t="shared" si="1269"/>
        <v>4323.5672640717994</v>
      </c>
      <c r="CP162" s="21">
        <f t="shared" si="1269"/>
        <v>5114.5849581101775</v>
      </c>
      <c r="CQ162" s="21">
        <f t="shared" si="1269"/>
        <v>4449.9444908168398</v>
      </c>
      <c r="CR162" s="21">
        <f t="shared" si="1269"/>
        <v>4953.778920750181</v>
      </c>
      <c r="CS162" s="21">
        <f t="shared" si="1269"/>
        <v>5324.9119850153666</v>
      </c>
      <c r="CT162" s="21">
        <f t="shared" si="1269"/>
        <v>6383.9033262498251</v>
      </c>
      <c r="CU162" s="21">
        <f t="shared" si="1269"/>
        <v>5432.7460630939877</v>
      </c>
      <c r="CV162" s="21">
        <f t="shared" si="1269"/>
        <v>6084.7189162511067</v>
      </c>
      <c r="CW162" s="21">
        <f t="shared" si="1269"/>
        <v>6561.5338868108665</v>
      </c>
      <c r="CX162" s="21">
        <f t="shared" si="1269"/>
        <v>7867.466607920891</v>
      </c>
      <c r="CY162" s="21">
        <f t="shared" si="1269"/>
        <v>6673.8297848346492</v>
      </c>
      <c r="CZ162" s="21">
        <f t="shared" si="1269"/>
        <v>7486.2852449882357</v>
      </c>
      <c r="DA162" s="21">
        <f t="shared" si="1269"/>
        <v>8076.2829543756525</v>
      </c>
      <c r="DB162" s="21">
        <f t="shared" si="1269"/>
        <v>9680.9789322457509</v>
      </c>
      <c r="DE162" s="126"/>
      <c r="DF162" s="22">
        <v>3687.4127692177458</v>
      </c>
    </row>
    <row r="163" spans="1:110" s="22" customFormat="1" x14ac:dyDescent="0.2">
      <c r="A163" s="22" t="s">
        <v>74</v>
      </c>
      <c r="B163" s="22">
        <f>B154-B162</f>
        <v>0</v>
      </c>
      <c r="C163" s="22">
        <f t="shared" ref="C163:V163" si="1271">C154-C162</f>
        <v>0</v>
      </c>
      <c r="D163" s="22">
        <f t="shared" si="1271"/>
        <v>0</v>
      </c>
      <c r="E163" s="22">
        <f t="shared" si="1271"/>
        <v>0.79700279999999779</v>
      </c>
      <c r="F163" s="22">
        <f t="shared" si="1271"/>
        <v>-10.255817200000003</v>
      </c>
      <c r="G163" s="22">
        <f t="shared" si="1271"/>
        <v>31.739499999999964</v>
      </c>
      <c r="H163" s="22">
        <f t="shared" si="1271"/>
        <v>56.448799999999949</v>
      </c>
      <c r="I163" s="22">
        <f t="shared" si="1271"/>
        <v>101.54850000000002</v>
      </c>
      <c r="J163" s="22">
        <f t="shared" si="1271"/>
        <v>159.00720000000004</v>
      </c>
      <c r="K163" s="22">
        <f t="shared" si="1271"/>
        <v>96.103200000000015</v>
      </c>
      <c r="L163" s="22">
        <f t="shared" si="1271"/>
        <v>61.04060000000004</v>
      </c>
      <c r="M163" s="22">
        <f t="shared" si="1271"/>
        <v>76.289999999999964</v>
      </c>
      <c r="N163" s="22">
        <f t="shared" si="1271"/>
        <v>125.88999999999993</v>
      </c>
      <c r="O163" s="22">
        <f t="shared" si="1271"/>
        <v>-166.86999999999995</v>
      </c>
      <c r="P163" s="22">
        <f t="shared" si="1271"/>
        <v>-112.49000000000001</v>
      </c>
      <c r="Q163" s="22">
        <f t="shared" si="1271"/>
        <v>310.5100000000001</v>
      </c>
      <c r="R163" s="22">
        <f t="shared" si="1271"/>
        <v>312.0200000000001</v>
      </c>
      <c r="S163" s="22">
        <f t="shared" si="1271"/>
        <v>446.21000000000004</v>
      </c>
      <c r="T163" s="22">
        <f t="shared" si="1271"/>
        <v>459.53</v>
      </c>
      <c r="U163" s="22">
        <f t="shared" si="1271"/>
        <v>275.89499999999987</v>
      </c>
      <c r="V163" s="22">
        <f t="shared" si="1271"/>
        <v>-271.19900000000007</v>
      </c>
      <c r="W163" s="22">
        <f t="shared" ref="W163" si="1272">W154-W162</f>
        <v>-242.51</v>
      </c>
      <c r="X163" s="22">
        <f t="shared" ref="X163:Y163" si="1273">X154-X162</f>
        <v>710.32000000000016</v>
      </c>
      <c r="Y163" s="22">
        <f t="shared" si="1273"/>
        <v>753.26000000000022</v>
      </c>
      <c r="Z163" s="22">
        <f t="shared" ref="Z163:AA163" si="1274">Z154-Z162</f>
        <v>589.29000000000042</v>
      </c>
      <c r="AA163" s="22">
        <f t="shared" si="1274"/>
        <v>629.16999999999916</v>
      </c>
      <c r="AB163" s="21">
        <f t="shared" ref="AA163:AD163" si="1275">AB154-AB162</f>
        <v>988.40160800035937</v>
      </c>
      <c r="AC163" s="21">
        <f t="shared" si="1275"/>
        <v>1233.6993841462445</v>
      </c>
      <c r="AD163" s="21">
        <f t="shared" si="1275"/>
        <v>1520.4003276604926</v>
      </c>
      <c r="AE163" s="21">
        <f t="shared" ref="AE163" si="1276">AE154-AE162</f>
        <v>1870.864443942075</v>
      </c>
      <c r="AJ163" s="22">
        <f t="shared" ref="AJ163" si="1277">AJ154-AJ162</f>
        <v>0</v>
      </c>
      <c r="AK163" s="22" t="e">
        <f t="shared" ref="AK163" si="1278">AK154-AK162</f>
        <v>#DIV/0!</v>
      </c>
      <c r="AL163" s="22">
        <f t="shared" ref="AL163:AM163" si="1279">AL154-AL162</f>
        <v>0</v>
      </c>
      <c r="AM163" s="22" t="e">
        <f t="shared" si="1279"/>
        <v>#DIV/0!</v>
      </c>
      <c r="AN163" s="22">
        <f t="shared" ref="AN163:AO163" si="1280">AN154-AN162</f>
        <v>0</v>
      </c>
      <c r="AO163" s="22" t="e">
        <f t="shared" si="1280"/>
        <v>#DIV/0!</v>
      </c>
      <c r="AP163" s="22">
        <f t="shared" ref="AP163:CE163" si="1281">AP154-AP162</f>
        <v>0</v>
      </c>
      <c r="AQ163" s="22" t="e">
        <f t="shared" si="1281"/>
        <v>#DIV/0!</v>
      </c>
      <c r="AR163" s="22">
        <f t="shared" si="1281"/>
        <v>0</v>
      </c>
      <c r="AS163" s="22" t="e">
        <f t="shared" si="1281"/>
        <v>#DIV/0!</v>
      </c>
      <c r="AT163" s="22">
        <f t="shared" si="1281"/>
        <v>0</v>
      </c>
      <c r="AU163" s="22" t="e">
        <f t="shared" si="1281"/>
        <v>#DIV/0!</v>
      </c>
      <c r="AV163" s="22">
        <f t="shared" si="1281"/>
        <v>0</v>
      </c>
      <c r="AW163" s="22" t="e">
        <f t="shared" si="1281"/>
        <v>#DIV/0!</v>
      </c>
      <c r="AX163" s="22">
        <f t="shared" si="1281"/>
        <v>0</v>
      </c>
      <c r="AY163" s="22" t="e">
        <f t="shared" si="1281"/>
        <v>#DIV/0!</v>
      </c>
      <c r="AZ163" s="22">
        <f t="shared" si="1281"/>
        <v>0</v>
      </c>
      <c r="BA163" s="22" t="e">
        <f t="shared" si="1281"/>
        <v>#DIV/0!</v>
      </c>
      <c r="BB163" s="22">
        <f t="shared" si="1281"/>
        <v>0</v>
      </c>
      <c r="BC163" s="22" t="e">
        <f t="shared" si="1281"/>
        <v>#DIV/0!</v>
      </c>
      <c r="BD163" s="22">
        <f t="shared" si="1281"/>
        <v>0</v>
      </c>
      <c r="BE163" s="22" t="e">
        <f t="shared" si="1281"/>
        <v>#DIV/0!</v>
      </c>
      <c r="BF163" s="22">
        <f t="shared" si="1281"/>
        <v>0</v>
      </c>
      <c r="BG163" s="22" t="e">
        <f t="shared" si="1281"/>
        <v>#DIV/0!</v>
      </c>
      <c r="BH163" s="22">
        <f t="shared" ref="BH163" si="1282">BH154-BH162</f>
        <v>0</v>
      </c>
      <c r="BI163" s="22" t="e">
        <f t="shared" si="1281"/>
        <v>#DIV/0!</v>
      </c>
      <c r="BJ163" s="22">
        <f t="shared" si="1281"/>
        <v>0</v>
      </c>
      <c r="BK163" s="22" t="e">
        <f t="shared" si="1281"/>
        <v>#DIV/0!</v>
      </c>
      <c r="BL163" s="22">
        <f t="shared" si="1281"/>
        <v>0</v>
      </c>
      <c r="BM163" s="22" t="e">
        <f t="shared" si="1281"/>
        <v>#DIV/0!</v>
      </c>
      <c r="BN163" s="22">
        <f t="shared" si="1281"/>
        <v>0</v>
      </c>
      <c r="BO163" s="22" t="e">
        <f t="shared" si="1281"/>
        <v>#DIV/0!</v>
      </c>
      <c r="BP163" s="22">
        <f t="shared" si="1281"/>
        <v>0</v>
      </c>
      <c r="BQ163" s="22" t="e">
        <f t="shared" si="1281"/>
        <v>#DIV/0!</v>
      </c>
      <c r="BR163" s="22">
        <f t="shared" si="1281"/>
        <v>0</v>
      </c>
      <c r="BS163" s="22" t="e">
        <f t="shared" si="1281"/>
        <v>#DIV/0!</v>
      </c>
      <c r="BT163" s="22">
        <f t="shared" si="1281"/>
        <v>0</v>
      </c>
      <c r="BU163" s="22" t="e">
        <f t="shared" si="1281"/>
        <v>#DIV/0!</v>
      </c>
      <c r="BV163" s="22">
        <f t="shared" si="1281"/>
        <v>0</v>
      </c>
      <c r="BW163" s="22" t="e">
        <f t="shared" si="1281"/>
        <v>#DIV/0!</v>
      </c>
      <c r="BX163" s="22">
        <f t="shared" si="1281"/>
        <v>0</v>
      </c>
      <c r="BY163" s="22" t="e">
        <f t="shared" si="1281"/>
        <v>#DIV/0!</v>
      </c>
      <c r="BZ163" s="22">
        <f t="shared" si="1281"/>
        <v>890.61000000000058</v>
      </c>
      <c r="CA163" s="22">
        <f t="shared" si="1281"/>
        <v>844.29144909761226</v>
      </c>
      <c r="CB163" s="22">
        <f t="shared" si="1281"/>
        <v>0</v>
      </c>
      <c r="CC163" s="22">
        <f t="shared" si="1281"/>
        <v>0</v>
      </c>
      <c r="CD163" s="22">
        <f t="shared" si="1281"/>
        <v>934.21</v>
      </c>
      <c r="CE163" s="22">
        <f t="shared" si="1281"/>
        <v>917.77659744052926</v>
      </c>
      <c r="CF163" s="22">
        <f t="shared" ref="CF163:CG163" si="1283">CF154-CF162</f>
        <v>940.99999999999955</v>
      </c>
      <c r="CG163" s="22">
        <f t="shared" si="1283"/>
        <v>950.79913718230546</v>
      </c>
      <c r="CH163" s="22">
        <f t="shared" ref="CH163:CI163" si="1284">CH154-CH162</f>
        <v>589.29000000000042</v>
      </c>
      <c r="CI163" s="22">
        <f t="shared" si="1284"/>
        <v>570.33224757904509</v>
      </c>
      <c r="CJ163" s="22">
        <f t="shared" ref="CJ163:DB163" si="1285">CJ154-CJ162</f>
        <v>1166.1900000000005</v>
      </c>
      <c r="CK163" s="21">
        <f t="shared" si="1285"/>
        <v>1203.555174219583</v>
      </c>
      <c r="CL163" s="22">
        <f t="shared" ref="CL163" si="1286">CL154-CL162</f>
        <v>825.41999999999916</v>
      </c>
      <c r="CM163" s="21">
        <f t="shared" si="1285"/>
        <v>721.99224609791645</v>
      </c>
      <c r="CN163" s="21">
        <f t="shared" si="1285"/>
        <v>789.50847135832873</v>
      </c>
      <c r="CO163" s="21">
        <f t="shared" si="1285"/>
        <v>835.53619132475978</v>
      </c>
      <c r="CP163" s="21">
        <f t="shared" si="1285"/>
        <v>988.40160800035937</v>
      </c>
      <c r="CQ163" s="21">
        <f t="shared" si="1285"/>
        <v>859.95878966900091</v>
      </c>
      <c r="CR163" s="21">
        <f t="shared" si="1285"/>
        <v>957.32558771629738</v>
      </c>
      <c r="CS163" s="21">
        <f t="shared" si="1285"/>
        <v>1029.0476376003526</v>
      </c>
      <c r="CT163" s="21">
        <f t="shared" si="1285"/>
        <v>1233.6993841462445</v>
      </c>
      <c r="CU163" s="21">
        <f t="shared" si="1285"/>
        <v>1049.8867432253637</v>
      </c>
      <c r="CV163" s="21">
        <f t="shared" si="1285"/>
        <v>1175.8815251501874</v>
      </c>
      <c r="CW163" s="21">
        <f t="shared" si="1285"/>
        <v>1268.0267700683689</v>
      </c>
      <c r="CX163" s="21">
        <f t="shared" si="1285"/>
        <v>1520.4003276604926</v>
      </c>
      <c r="CY163" s="21">
        <f t="shared" si="1285"/>
        <v>1289.7281294333261</v>
      </c>
      <c r="CZ163" s="21">
        <f t="shared" si="1285"/>
        <v>1446.7364282144645</v>
      </c>
      <c r="DA163" s="21">
        <f t="shared" si="1285"/>
        <v>1560.7544158813507</v>
      </c>
      <c r="DB163" s="21">
        <f t="shared" si="1285"/>
        <v>1870.864443942075</v>
      </c>
      <c r="DE163" s="126"/>
      <c r="DF163" s="22">
        <v>1197.0403736058111</v>
      </c>
    </row>
    <row r="164" spans="1:110" s="23" customFormat="1" x14ac:dyDescent="0.2">
      <c r="AB164" s="24"/>
      <c r="AC164" s="24"/>
      <c r="AD164" s="24"/>
      <c r="AE164" s="24"/>
      <c r="CK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</row>
    <row r="165" spans="1:110" s="23" customFormat="1" outlineLevel="1" x14ac:dyDescent="0.2">
      <c r="A165" s="23" t="s">
        <v>75</v>
      </c>
      <c r="B165" s="23">
        <f>'Annual Raw'!C75</f>
        <v>0</v>
      </c>
      <c r="C165" s="23">
        <f>'Annual Raw'!D75</f>
        <v>0</v>
      </c>
      <c r="D165" s="23">
        <f>'Annual Raw'!E75</f>
        <v>0</v>
      </c>
      <c r="E165" s="23">
        <f>'Annual Raw'!F75</f>
        <v>0</v>
      </c>
      <c r="F165" s="23">
        <f>'Annual Raw'!G75</f>
        <v>0</v>
      </c>
      <c r="G165" s="23">
        <f>'Annual Raw'!H75</f>
        <v>0</v>
      </c>
      <c r="H165" s="23">
        <f>'Annual Raw'!I75</f>
        <v>0</v>
      </c>
      <c r="I165" s="23">
        <f>'Annual Raw'!J75</f>
        <v>0</v>
      </c>
      <c r="J165" s="23">
        <f>'Annual Raw'!K75</f>
        <v>27.0044</v>
      </c>
      <c r="K165" s="23">
        <f>'Annual Raw'!L75</f>
        <v>44.097000000000001</v>
      </c>
      <c r="L165" s="23">
        <f>'Annual Raw'!M75</f>
        <v>96.085800000000006</v>
      </c>
      <c r="M165" s="23">
        <f>'Annual Raw'!N75</f>
        <v>147.07</v>
      </c>
      <c r="N165" s="23">
        <f>'Annual Raw'!O75</f>
        <v>262.45999999999998</v>
      </c>
      <c r="O165" s="23">
        <f>'Annual Raw'!P75</f>
        <v>492.9</v>
      </c>
      <c r="P165" s="23">
        <f>'Annual Raw'!Q75</f>
        <v>261.87</v>
      </c>
      <c r="Q165" s="23">
        <f>'Annual Raw'!R75</f>
        <v>61.99</v>
      </c>
      <c r="R165" s="23">
        <f>'Annual Raw'!S75</f>
        <v>185.35</v>
      </c>
      <c r="S165" s="23">
        <f>'Annual Raw'!T75</f>
        <v>0</v>
      </c>
      <c r="T165" s="23">
        <f>'Annual Raw'!U75</f>
        <v>5</v>
      </c>
      <c r="U165" s="23">
        <f>'Annual Raw'!V75</f>
        <v>31.053000000000001</v>
      </c>
      <c r="V165" s="23">
        <f>'Annual Raw'!W75</f>
        <v>497.06700000000001</v>
      </c>
      <c r="W165" s="23">
        <f>'Annual Raw'!X75</f>
        <v>527.67399999999998</v>
      </c>
      <c r="X165" s="23">
        <f>'Annual Raw'!Y75</f>
        <v>29.78</v>
      </c>
      <c r="Y165" s="23">
        <f>'Annual Raw'!Z75</f>
        <v>150.35</v>
      </c>
      <c r="Z165" s="23">
        <f>'Annual Raw'!AA75</f>
        <v>611.72</v>
      </c>
      <c r="AA165" s="23">
        <f>'Annual Raw'!AB75</f>
        <v>797.81</v>
      </c>
      <c r="AB165" s="24">
        <f t="shared" ref="AB165:AB166" si="1287">+CP165</f>
        <v>0</v>
      </c>
      <c r="AC165" s="24">
        <f t="shared" ref="AC165:AC166" si="1288">+CT165</f>
        <v>0</v>
      </c>
      <c r="AD165" s="24">
        <f t="shared" ref="AD165:AD166" si="1289">+CX165</f>
        <v>0</v>
      </c>
      <c r="AE165" s="24">
        <f t="shared" ref="AE165:AE166" si="1290">+DB165</f>
        <v>0</v>
      </c>
      <c r="AJ165" s="23">
        <f>+'QTR Raw'!D80</f>
        <v>0</v>
      </c>
      <c r="AL165" s="23">
        <f>+'QTR Raw'!F80</f>
        <v>0</v>
      </c>
      <c r="AN165" s="23">
        <f>+'QTR Raw'!H80</f>
        <v>0</v>
      </c>
      <c r="AP165" s="23">
        <f>+'QTR Raw'!J80</f>
        <v>0</v>
      </c>
      <c r="AR165" s="23">
        <f>+'QTR Raw'!L80</f>
        <v>0</v>
      </c>
      <c r="AT165" s="23">
        <f>+'QTR Raw'!N80</f>
        <v>0</v>
      </c>
      <c r="AV165" s="23">
        <f>+'QTR Raw'!P80</f>
        <v>0</v>
      </c>
      <c r="AX165" s="23">
        <f>+'QTR Raw'!R80</f>
        <v>0</v>
      </c>
      <c r="AZ165" s="23">
        <f>+'QTR Raw'!T80</f>
        <v>0</v>
      </c>
      <c r="BB165" s="23">
        <f>+'QTR Raw'!V80</f>
        <v>0</v>
      </c>
      <c r="BD165" s="23">
        <f>+'QTR Raw'!X80</f>
        <v>0</v>
      </c>
      <c r="BF165" s="23">
        <f>+'QTR Raw'!Z80</f>
        <v>0</v>
      </c>
      <c r="BH165" s="23">
        <f>+'QTR Raw'!AB80</f>
        <v>0</v>
      </c>
      <c r="BJ165" s="23">
        <f>+'QTR Raw'!AD80</f>
        <v>0</v>
      </c>
      <c r="BL165" s="23">
        <f>+'QTR Raw'!AF80</f>
        <v>0</v>
      </c>
      <c r="BN165" s="23">
        <f>+'QTR Raw'!AH80</f>
        <v>0</v>
      </c>
      <c r="BP165" s="23">
        <f>+'QTR Raw'!AJ80</f>
        <v>0</v>
      </c>
      <c r="BR165" s="23">
        <f>+'QTR Raw'!AL80</f>
        <v>0</v>
      </c>
      <c r="BT165" s="23">
        <f>+'QTR Raw'!AN80</f>
        <v>0</v>
      </c>
      <c r="BV165" s="23">
        <f>+'QTR Raw'!AP80</f>
        <v>0</v>
      </c>
      <c r="BX165" s="23">
        <f>+'QTR Raw'!AR80</f>
        <v>0</v>
      </c>
      <c r="BZ165" s="23">
        <f>+'QTR Raw'!AT80</f>
        <v>29.78</v>
      </c>
      <c r="CB165" s="23">
        <f>+'QTR Raw'!AV80</f>
        <v>0</v>
      </c>
      <c r="CD165" s="23">
        <f>+'QTR Raw'!AX80</f>
        <v>150.35</v>
      </c>
      <c r="CF165" s="23">
        <f>+'QTR Raw'!AZ80</f>
        <v>185.03</v>
      </c>
      <c r="CH165" s="23">
        <f t="shared" ref="CH165:CH166" si="1291">Z165</f>
        <v>611.72</v>
      </c>
      <c r="CJ165" s="23">
        <f>+'QTR Raw'!BD80</f>
        <v>550.85</v>
      </c>
      <c r="CK165" s="24"/>
      <c r="CL165" s="23">
        <f>+'QTR Raw'!BF80</f>
        <v>797.81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797.81</v>
      </c>
    </row>
    <row r="166" spans="1:110" s="23" customFormat="1" outlineLevel="1" x14ac:dyDescent="0.2">
      <c r="A166" s="23" t="s">
        <v>76</v>
      </c>
      <c r="B166" s="23">
        <f>'Annual Raw'!C78</f>
        <v>0</v>
      </c>
      <c r="C166" s="23">
        <f>'Annual Raw'!D78</f>
        <v>0</v>
      </c>
      <c r="D166" s="23">
        <f>'Annual Raw'!E78</f>
        <v>0</v>
      </c>
      <c r="E166" s="23">
        <f>'Annual Raw'!F78</f>
        <v>2.9079967</v>
      </c>
      <c r="F166" s="23">
        <f>'Annual Raw'!G78</f>
        <v>2.7302260999999999</v>
      </c>
      <c r="G166" s="23">
        <f>'Annual Raw'!H78</f>
        <v>90.332999999999998</v>
      </c>
      <c r="H166" s="23">
        <f>'Annual Raw'!I78</f>
        <v>36.766500000000001</v>
      </c>
      <c r="I166" s="23">
        <f>'Annual Raw'!J78</f>
        <v>39.337400000000002</v>
      </c>
      <c r="J166" s="23">
        <f>'Annual Raw'!K78</f>
        <v>54.0182</v>
      </c>
      <c r="K166" s="23">
        <f>'Annual Raw'!L78</f>
        <v>93.968199999999996</v>
      </c>
      <c r="L166" s="23">
        <f>'Annual Raw'!M78</f>
        <v>173.3349</v>
      </c>
      <c r="M166" s="23">
        <f>'Annual Raw'!N78</f>
        <v>342.83</v>
      </c>
      <c r="N166" s="23">
        <f>'Annual Raw'!O78</f>
        <v>306.14999999999998</v>
      </c>
      <c r="O166" s="23">
        <f>'Annual Raw'!P78</f>
        <v>465.45</v>
      </c>
      <c r="P166" s="23">
        <f>'Annual Raw'!Q78</f>
        <v>485.33</v>
      </c>
      <c r="Q166" s="23">
        <f>'Annual Raw'!R78</f>
        <v>580.52</v>
      </c>
      <c r="R166" s="23">
        <f>'Annual Raw'!S78</f>
        <v>305.60000000000002</v>
      </c>
      <c r="S166" s="23">
        <f>'Annual Raw'!T78</f>
        <v>256.81</v>
      </c>
      <c r="T166" s="23">
        <f>'Annual Raw'!U78</f>
        <v>383.93</v>
      </c>
      <c r="U166" s="23">
        <f>'Annual Raw'!V78</f>
        <v>389.01400000000001</v>
      </c>
      <c r="V166" s="23">
        <f>'Annual Raw'!W78</f>
        <v>783.40300000000002</v>
      </c>
      <c r="W166" s="23">
        <f>'Annual Raw'!X78</f>
        <v>869.39599999999996</v>
      </c>
      <c r="X166" s="23">
        <f>'Annual Raw'!Y78</f>
        <v>999.2</v>
      </c>
      <c r="Y166" s="23">
        <f>'Annual Raw'!Z78</f>
        <v>913.39</v>
      </c>
      <c r="Z166" s="23">
        <f>'Annual Raw'!AA78</f>
        <v>902.57</v>
      </c>
      <c r="AA166" s="23">
        <f>'Annual Raw'!AB78</f>
        <v>715.17</v>
      </c>
      <c r="AB166" s="24">
        <f t="shared" si="1287"/>
        <v>2215.2097368719928</v>
      </c>
      <c r="AC166" s="24">
        <f t="shared" si="1288"/>
        <v>3020.5590902597369</v>
      </c>
      <c r="AD166" s="24">
        <f t="shared" si="1289"/>
        <v>4159.2433919173682</v>
      </c>
      <c r="AE166" s="24">
        <f t="shared" si="1290"/>
        <v>5563.9598835773813</v>
      </c>
      <c r="AJ166" s="23">
        <f>+'QTR Raw'!D83</f>
        <v>0</v>
      </c>
      <c r="AK166" s="23" t="e">
        <f t="shared" ref="AK166:AM166" si="1292">+AK216</f>
        <v>#DIV/0!</v>
      </c>
      <c r="AL166" s="23">
        <f>+'QTR Raw'!F83</f>
        <v>0</v>
      </c>
      <c r="AM166" s="23" t="e">
        <f t="shared" si="1292"/>
        <v>#DIV/0!</v>
      </c>
      <c r="AN166" s="23">
        <f>+'QTR Raw'!H83</f>
        <v>0</v>
      </c>
      <c r="AO166" s="23" t="e">
        <f t="shared" ref="AO166" si="1293">+AO216</f>
        <v>#DIV/0!</v>
      </c>
      <c r="AP166" s="23">
        <f>+'QTR Raw'!J83</f>
        <v>0</v>
      </c>
      <c r="AQ166" s="23" t="e">
        <f t="shared" ref="AQ166" si="1294">+AQ216</f>
        <v>#DIV/0!</v>
      </c>
      <c r="AR166" s="23">
        <f>+'QTR Raw'!L83</f>
        <v>0</v>
      </c>
      <c r="AS166" s="23" t="e">
        <f t="shared" ref="AS166" si="1295">+AS216</f>
        <v>#DIV/0!</v>
      </c>
      <c r="AT166" s="23">
        <f>+'QTR Raw'!N83</f>
        <v>0</v>
      </c>
      <c r="AU166" s="23" t="e">
        <f t="shared" ref="AU166" si="1296">+AU216</f>
        <v>#DIV/0!</v>
      </c>
      <c r="AV166" s="23">
        <f>+'QTR Raw'!P83</f>
        <v>0</v>
      </c>
      <c r="AW166" s="23" t="e">
        <f t="shared" ref="AW166" si="1297">+AW216</f>
        <v>#DIV/0!</v>
      </c>
      <c r="AX166" s="23">
        <f>+'QTR Raw'!R83</f>
        <v>0</v>
      </c>
      <c r="AY166" s="23" t="e">
        <f t="shared" ref="AY166" si="1298">+AY216</f>
        <v>#DIV/0!</v>
      </c>
      <c r="AZ166" s="23">
        <f>+'QTR Raw'!T83</f>
        <v>0</v>
      </c>
      <c r="BA166" s="23" t="e">
        <f t="shared" ref="BA166" si="1299">+BA216</f>
        <v>#DIV/0!</v>
      </c>
      <c r="BB166" s="23">
        <f>+'QTR Raw'!V83</f>
        <v>0</v>
      </c>
      <c r="BC166" s="23" t="e">
        <f t="shared" ref="BC166" si="1300">+BC216</f>
        <v>#DIV/0!</v>
      </c>
      <c r="BD166" s="23">
        <f>+'QTR Raw'!X83</f>
        <v>0</v>
      </c>
      <c r="BE166" s="23" t="e">
        <f t="shared" ref="BE166" si="1301">+BE216</f>
        <v>#DIV/0!</v>
      </c>
      <c r="BF166" s="23">
        <f>+'QTR Raw'!Z83</f>
        <v>0</v>
      </c>
      <c r="BG166" s="23" t="e">
        <f t="shared" ref="BG166" si="1302">+BG216</f>
        <v>#DIV/0!</v>
      </c>
      <c r="BH166" s="23">
        <f>+'QTR Raw'!AB83</f>
        <v>0</v>
      </c>
      <c r="BI166" s="23" t="e">
        <f t="shared" ref="BI166" si="1303">+BI216</f>
        <v>#DIV/0!</v>
      </c>
      <c r="BJ166" s="23">
        <f>+'QTR Raw'!AD83</f>
        <v>0</v>
      </c>
      <c r="BK166" s="23" t="e">
        <f t="shared" ref="BK166" si="1304">+BK216</f>
        <v>#DIV/0!</v>
      </c>
      <c r="BL166" s="23">
        <f>+'QTR Raw'!AF83</f>
        <v>0</v>
      </c>
      <c r="BM166" s="23" t="e">
        <f t="shared" ref="BM166" si="1305">+BM216</f>
        <v>#DIV/0!</v>
      </c>
      <c r="BN166" s="23">
        <f>+'QTR Raw'!AH83</f>
        <v>0</v>
      </c>
      <c r="BO166" s="23" t="e">
        <f t="shared" ref="BO166" si="1306">+BO216</f>
        <v>#DIV/0!</v>
      </c>
      <c r="BP166" s="23">
        <f>+'QTR Raw'!AJ83</f>
        <v>0</v>
      </c>
      <c r="BQ166" s="23" t="e">
        <f t="shared" ref="BQ166" si="1307">+BQ216</f>
        <v>#DIV/0!</v>
      </c>
      <c r="BR166" s="23">
        <f>+'QTR Raw'!AL83</f>
        <v>0</v>
      </c>
      <c r="BS166" s="23" t="e">
        <f t="shared" ref="BS166" si="1308">+BS216</f>
        <v>#DIV/0!</v>
      </c>
      <c r="BT166" s="23">
        <f>+'QTR Raw'!AN83</f>
        <v>0</v>
      </c>
      <c r="BU166" s="23" t="e">
        <f t="shared" ref="BU166" si="1309">+BU216</f>
        <v>#DIV/0!</v>
      </c>
      <c r="BV166" s="23">
        <f>+'QTR Raw'!AP83</f>
        <v>0</v>
      </c>
      <c r="BW166" s="23" t="e">
        <f t="shared" ref="BW166" si="1310">+BW216</f>
        <v>#DIV/0!</v>
      </c>
      <c r="BX166" s="23">
        <f>+'QTR Raw'!AR83</f>
        <v>0</v>
      </c>
      <c r="BY166" s="23" t="e">
        <f t="shared" ref="BY166" si="1311">+BY216</f>
        <v>#DIV/0!</v>
      </c>
      <c r="BZ166" s="23">
        <f>+'QTR Raw'!AT83</f>
        <v>999.2</v>
      </c>
      <c r="CA166" s="23">
        <f t="shared" ref="CA166" si="1312">+CA216</f>
        <v>1266.8285509023881</v>
      </c>
      <c r="CB166" s="23">
        <f>+'QTR Raw'!AV83</f>
        <v>0</v>
      </c>
      <c r="CC166" s="23">
        <f t="shared" ref="CC166" si="1313">+CC216</f>
        <v>170.2199999999998</v>
      </c>
      <c r="CD166" s="23">
        <f>+'QTR Raw'!AX83</f>
        <v>913.39</v>
      </c>
      <c r="CE166" s="23">
        <f t="shared" ref="CE166" si="1314">+CE216</f>
        <v>1242.2034025594708</v>
      </c>
      <c r="CF166" s="23">
        <f>+'QTR Raw'!AZ83</f>
        <v>813.07</v>
      </c>
      <c r="CG166" s="23">
        <f t="shared" ref="CG166:CI166" si="1315">+CG216</f>
        <v>1156.9408628176941</v>
      </c>
      <c r="CH166" s="23">
        <f t="shared" si="1291"/>
        <v>902.57</v>
      </c>
      <c r="CI166" s="23">
        <f t="shared" si="1315"/>
        <v>1734.8577524209552</v>
      </c>
      <c r="CJ166" s="23">
        <f>+'QTR Raw'!BD83</f>
        <v>472.44</v>
      </c>
      <c r="CK166" s="24">
        <f t="shared" ref="CK166:DB166" si="1316">+CK216</f>
        <v>998.56482578041755</v>
      </c>
      <c r="CL166" s="23">
        <f>+'QTR Raw'!BF83</f>
        <v>715.17</v>
      </c>
      <c r="CM166" s="24">
        <f t="shared" si="1316"/>
        <v>1820.1178966560799</v>
      </c>
      <c r="CN166" s="24">
        <f t="shared" si="1316"/>
        <v>1959.5817590545325</v>
      </c>
      <c r="CO166" s="24">
        <f t="shared" si="1316"/>
        <v>2125.6899268026286</v>
      </c>
      <c r="CP166" s="24">
        <f t="shared" si="1316"/>
        <v>2215.2097368719928</v>
      </c>
      <c r="CQ166" s="24">
        <f t="shared" si="1316"/>
        <v>2560.6089676888278</v>
      </c>
      <c r="CR166" s="24">
        <f t="shared" si="1316"/>
        <v>2708.3533138533526</v>
      </c>
      <c r="CS166" s="24">
        <f t="shared" si="1316"/>
        <v>2902.9493849393248</v>
      </c>
      <c r="CT166" s="24">
        <f t="shared" si="1316"/>
        <v>3020.5590902597369</v>
      </c>
      <c r="CU166" s="24">
        <f t="shared" si="1316"/>
        <v>3506.3141990580743</v>
      </c>
      <c r="CV166" s="24">
        <f t="shared" si="1316"/>
        <v>3717.0610280227679</v>
      </c>
      <c r="CW166" s="24">
        <f t="shared" si="1316"/>
        <v>3985.824219175598</v>
      </c>
      <c r="CX166" s="24">
        <f t="shared" si="1316"/>
        <v>4159.2433919173682</v>
      </c>
      <c r="CY166" s="24">
        <f t="shared" si="1316"/>
        <v>4758.5059947731079</v>
      </c>
      <c r="CZ166" s="24">
        <f t="shared" si="1316"/>
        <v>5015.9490651133674</v>
      </c>
      <c r="DA166" s="24">
        <f t="shared" si="1316"/>
        <v>5347.5845575524991</v>
      </c>
      <c r="DB166" s="24">
        <f t="shared" si="1316"/>
        <v>5563.9598835773813</v>
      </c>
      <c r="DE166" s="123"/>
      <c r="DF166" s="23">
        <v>1175.3285730450398</v>
      </c>
    </row>
    <row r="167" spans="1:110" s="22" customFormat="1" x14ac:dyDescent="0.2">
      <c r="A167" s="22" t="s">
        <v>77</v>
      </c>
      <c r="B167" s="22">
        <f>B165+B166</f>
        <v>0</v>
      </c>
      <c r="C167" s="22">
        <f t="shared" ref="C167:V167" si="1317">C165+C166</f>
        <v>0</v>
      </c>
      <c r="D167" s="22">
        <f t="shared" si="1317"/>
        <v>0</v>
      </c>
      <c r="E167" s="22">
        <f t="shared" si="1317"/>
        <v>2.9079967</v>
      </c>
      <c r="F167" s="22">
        <f t="shared" si="1317"/>
        <v>2.7302260999999999</v>
      </c>
      <c r="G167" s="22">
        <f t="shared" si="1317"/>
        <v>90.332999999999998</v>
      </c>
      <c r="H167" s="22">
        <f t="shared" si="1317"/>
        <v>36.766500000000001</v>
      </c>
      <c r="I167" s="22">
        <f t="shared" si="1317"/>
        <v>39.337400000000002</v>
      </c>
      <c r="J167" s="22">
        <f t="shared" si="1317"/>
        <v>81.022599999999997</v>
      </c>
      <c r="K167" s="22">
        <f t="shared" si="1317"/>
        <v>138.0652</v>
      </c>
      <c r="L167" s="22">
        <f t="shared" si="1317"/>
        <v>269.42070000000001</v>
      </c>
      <c r="M167" s="22">
        <f t="shared" si="1317"/>
        <v>489.9</v>
      </c>
      <c r="N167" s="22">
        <f t="shared" si="1317"/>
        <v>568.6099999999999</v>
      </c>
      <c r="O167" s="22">
        <f t="shared" si="1317"/>
        <v>958.34999999999991</v>
      </c>
      <c r="P167" s="22">
        <f t="shared" si="1317"/>
        <v>747.2</v>
      </c>
      <c r="Q167" s="22">
        <f t="shared" si="1317"/>
        <v>642.51</v>
      </c>
      <c r="R167" s="22">
        <f t="shared" si="1317"/>
        <v>490.95000000000005</v>
      </c>
      <c r="S167" s="22">
        <f t="shared" si="1317"/>
        <v>256.81</v>
      </c>
      <c r="T167" s="22">
        <f t="shared" si="1317"/>
        <v>388.93</v>
      </c>
      <c r="U167" s="22">
        <f t="shared" si="1317"/>
        <v>420.06700000000001</v>
      </c>
      <c r="V167" s="22">
        <f t="shared" si="1317"/>
        <v>1280.47</v>
      </c>
      <c r="W167" s="22">
        <f t="shared" ref="W167" si="1318">W165+W166</f>
        <v>1397.07</v>
      </c>
      <c r="X167" s="22">
        <f t="shared" ref="X167:Y167" si="1319">X165+X166</f>
        <v>1028.98</v>
      </c>
      <c r="Y167" s="22">
        <f t="shared" si="1319"/>
        <v>1063.74</v>
      </c>
      <c r="Z167" s="22">
        <f t="shared" ref="Z167:AA167" si="1320">Z165+Z166</f>
        <v>1514.29</v>
      </c>
      <c r="AA167" s="22">
        <f t="shared" si="1320"/>
        <v>1512.98</v>
      </c>
      <c r="AB167" s="21">
        <f t="shared" ref="AA167:AD167" si="1321">AB165+AB166</f>
        <v>2215.2097368719928</v>
      </c>
      <c r="AC167" s="21">
        <f t="shared" si="1321"/>
        <v>3020.5590902597369</v>
      </c>
      <c r="AD167" s="21">
        <f t="shared" si="1321"/>
        <v>4159.2433919173682</v>
      </c>
      <c r="AE167" s="21">
        <f t="shared" ref="AE167" si="1322">AE165+AE166</f>
        <v>5563.9598835773813</v>
      </c>
      <c r="AJ167" s="22">
        <f t="shared" ref="AJ167" si="1323">AJ165+AJ166</f>
        <v>0</v>
      </c>
      <c r="AK167" s="22" t="e">
        <f t="shared" ref="AK167" si="1324">AK165+AK166</f>
        <v>#DIV/0!</v>
      </c>
      <c r="AL167" s="22">
        <f t="shared" ref="AL167:AM167" si="1325">AL165+AL166</f>
        <v>0</v>
      </c>
      <c r="AM167" s="22" t="e">
        <f t="shared" si="1325"/>
        <v>#DIV/0!</v>
      </c>
      <c r="AN167" s="22">
        <f t="shared" ref="AN167:AO167" si="1326">AN165+AN166</f>
        <v>0</v>
      </c>
      <c r="AO167" s="22" t="e">
        <f t="shared" si="1326"/>
        <v>#DIV/0!</v>
      </c>
      <c r="AP167" s="22">
        <f t="shared" ref="AP167:CE167" si="1327">AP165+AP166</f>
        <v>0</v>
      </c>
      <c r="AQ167" s="22" t="e">
        <f t="shared" si="1327"/>
        <v>#DIV/0!</v>
      </c>
      <c r="AR167" s="22">
        <f t="shared" si="1327"/>
        <v>0</v>
      </c>
      <c r="AS167" s="22" t="e">
        <f t="shared" si="1327"/>
        <v>#DIV/0!</v>
      </c>
      <c r="AT167" s="22">
        <f t="shared" si="1327"/>
        <v>0</v>
      </c>
      <c r="AU167" s="22" t="e">
        <f t="shared" si="1327"/>
        <v>#DIV/0!</v>
      </c>
      <c r="AV167" s="22">
        <f t="shared" si="1327"/>
        <v>0</v>
      </c>
      <c r="AW167" s="22" t="e">
        <f t="shared" si="1327"/>
        <v>#DIV/0!</v>
      </c>
      <c r="AX167" s="22">
        <f t="shared" si="1327"/>
        <v>0</v>
      </c>
      <c r="AY167" s="22" t="e">
        <f t="shared" si="1327"/>
        <v>#DIV/0!</v>
      </c>
      <c r="AZ167" s="22">
        <f t="shared" si="1327"/>
        <v>0</v>
      </c>
      <c r="BA167" s="22" t="e">
        <f t="shared" si="1327"/>
        <v>#DIV/0!</v>
      </c>
      <c r="BB167" s="22">
        <f t="shared" si="1327"/>
        <v>0</v>
      </c>
      <c r="BC167" s="22" t="e">
        <f t="shared" si="1327"/>
        <v>#DIV/0!</v>
      </c>
      <c r="BD167" s="22">
        <f t="shared" si="1327"/>
        <v>0</v>
      </c>
      <c r="BE167" s="22" t="e">
        <f t="shared" si="1327"/>
        <v>#DIV/0!</v>
      </c>
      <c r="BF167" s="22">
        <f t="shared" si="1327"/>
        <v>0</v>
      </c>
      <c r="BG167" s="22" t="e">
        <f t="shared" si="1327"/>
        <v>#DIV/0!</v>
      </c>
      <c r="BH167" s="22">
        <f t="shared" si="1327"/>
        <v>0</v>
      </c>
      <c r="BI167" s="22" t="e">
        <f t="shared" si="1327"/>
        <v>#DIV/0!</v>
      </c>
      <c r="BJ167" s="22">
        <f t="shared" si="1327"/>
        <v>0</v>
      </c>
      <c r="BK167" s="22" t="e">
        <f t="shared" si="1327"/>
        <v>#DIV/0!</v>
      </c>
      <c r="BL167" s="22">
        <f t="shared" si="1327"/>
        <v>0</v>
      </c>
      <c r="BM167" s="22" t="e">
        <f t="shared" si="1327"/>
        <v>#DIV/0!</v>
      </c>
      <c r="BN167" s="22">
        <f t="shared" si="1327"/>
        <v>0</v>
      </c>
      <c r="BO167" s="22" t="e">
        <f t="shared" si="1327"/>
        <v>#DIV/0!</v>
      </c>
      <c r="BP167" s="22">
        <f t="shared" si="1327"/>
        <v>0</v>
      </c>
      <c r="BQ167" s="22" t="e">
        <f t="shared" si="1327"/>
        <v>#DIV/0!</v>
      </c>
      <c r="BR167" s="22">
        <f t="shared" si="1327"/>
        <v>0</v>
      </c>
      <c r="BS167" s="22" t="e">
        <f t="shared" si="1327"/>
        <v>#DIV/0!</v>
      </c>
      <c r="BT167" s="22">
        <f t="shared" si="1327"/>
        <v>0</v>
      </c>
      <c r="BU167" s="22" t="e">
        <f t="shared" si="1327"/>
        <v>#DIV/0!</v>
      </c>
      <c r="BV167" s="22">
        <f t="shared" si="1327"/>
        <v>0</v>
      </c>
      <c r="BW167" s="22" t="e">
        <f t="shared" si="1327"/>
        <v>#DIV/0!</v>
      </c>
      <c r="BX167" s="22">
        <f t="shared" si="1327"/>
        <v>0</v>
      </c>
      <c r="BY167" s="22" t="e">
        <f t="shared" si="1327"/>
        <v>#DIV/0!</v>
      </c>
      <c r="BZ167" s="22">
        <f t="shared" si="1327"/>
        <v>1028.98</v>
      </c>
      <c r="CA167" s="22">
        <f t="shared" si="1327"/>
        <v>1266.8285509023881</v>
      </c>
      <c r="CB167" s="22">
        <f t="shared" si="1327"/>
        <v>0</v>
      </c>
      <c r="CC167" s="22">
        <f t="shared" si="1327"/>
        <v>170.2199999999998</v>
      </c>
      <c r="CD167" s="22">
        <f t="shared" si="1327"/>
        <v>1063.74</v>
      </c>
      <c r="CE167" s="22">
        <f t="shared" si="1327"/>
        <v>1242.2034025594708</v>
      </c>
      <c r="CF167" s="22">
        <f t="shared" ref="CF167:CG167" si="1328">CF165+CF166</f>
        <v>998.1</v>
      </c>
      <c r="CG167" s="22">
        <f t="shared" si="1328"/>
        <v>1156.9408628176941</v>
      </c>
      <c r="CH167" s="22">
        <f t="shared" ref="CH167:CI167" si="1329">CH165+CH166</f>
        <v>1514.29</v>
      </c>
      <c r="CI167" s="22">
        <f t="shared" si="1329"/>
        <v>1734.8577524209552</v>
      </c>
      <c r="CJ167" s="22">
        <f t="shared" ref="CJ167:DB167" si="1330">CJ165+CJ166</f>
        <v>1023.29</v>
      </c>
      <c r="CK167" s="21">
        <f t="shared" si="1330"/>
        <v>998.56482578041755</v>
      </c>
      <c r="CL167" s="22">
        <f t="shared" ref="CL167" si="1331">CL165+CL166</f>
        <v>1512.98</v>
      </c>
      <c r="CM167" s="21">
        <f t="shared" si="1330"/>
        <v>1820.1178966560799</v>
      </c>
      <c r="CN167" s="21">
        <f t="shared" si="1330"/>
        <v>1959.5817590545325</v>
      </c>
      <c r="CO167" s="21">
        <f t="shared" si="1330"/>
        <v>2125.6899268026286</v>
      </c>
      <c r="CP167" s="21">
        <f t="shared" si="1330"/>
        <v>2215.2097368719928</v>
      </c>
      <c r="CQ167" s="21">
        <f t="shared" si="1330"/>
        <v>2560.6089676888278</v>
      </c>
      <c r="CR167" s="21">
        <f t="shared" si="1330"/>
        <v>2708.3533138533526</v>
      </c>
      <c r="CS167" s="21">
        <f t="shared" si="1330"/>
        <v>2902.9493849393248</v>
      </c>
      <c r="CT167" s="21">
        <f t="shared" si="1330"/>
        <v>3020.5590902597369</v>
      </c>
      <c r="CU167" s="21">
        <f t="shared" si="1330"/>
        <v>3506.3141990580743</v>
      </c>
      <c r="CV167" s="21">
        <f t="shared" si="1330"/>
        <v>3717.0610280227679</v>
      </c>
      <c r="CW167" s="21">
        <f t="shared" si="1330"/>
        <v>3985.824219175598</v>
      </c>
      <c r="CX167" s="21">
        <f t="shared" si="1330"/>
        <v>4159.2433919173682</v>
      </c>
      <c r="CY167" s="21">
        <f t="shared" si="1330"/>
        <v>4758.5059947731079</v>
      </c>
      <c r="CZ167" s="21">
        <f t="shared" si="1330"/>
        <v>5015.9490651133674</v>
      </c>
      <c r="DA167" s="21">
        <f t="shared" si="1330"/>
        <v>5347.5845575524991</v>
      </c>
      <c r="DB167" s="21">
        <f t="shared" si="1330"/>
        <v>5563.9598835773813</v>
      </c>
      <c r="DE167" s="126"/>
      <c r="DF167" s="22">
        <v>1175.3285730450398</v>
      </c>
    </row>
    <row r="168" spans="1:110" s="23" customFormat="1" x14ac:dyDescent="0.2"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x14ac:dyDescent="0.2">
      <c r="A169" s="23" t="s">
        <v>78</v>
      </c>
      <c r="B169" s="23">
        <f>-'Annual Raw'!C49</f>
        <v>0</v>
      </c>
      <c r="C169" s="23">
        <f>-'Annual Raw'!D49</f>
        <v>0</v>
      </c>
      <c r="D169" s="23">
        <f>-'Annual Raw'!E49</f>
        <v>0</v>
      </c>
      <c r="E169" s="23">
        <f>-'Annual Raw'!F49</f>
        <v>-1.6691533999999999</v>
      </c>
      <c r="F169" s="23">
        <f>-'Annual Raw'!G49</f>
        <v>-1.1165430999999999</v>
      </c>
      <c r="G169" s="23">
        <f>-'Annual Raw'!H49</f>
        <v>5.7439</v>
      </c>
      <c r="H169" s="23">
        <f>-'Annual Raw'!I49</f>
        <v>3.6269</v>
      </c>
      <c r="I169" s="23">
        <f>-'Annual Raw'!J49</f>
        <v>3.5543</v>
      </c>
      <c r="J169" s="23">
        <f>-'Annual Raw'!K49</f>
        <v>8.0195000000000007</v>
      </c>
      <c r="K169" s="23">
        <f>-'Annual Raw'!L49</f>
        <v>7.2706</v>
      </c>
      <c r="L169" s="23">
        <f>-'Annual Raw'!M49</f>
        <v>8.5928000000000004</v>
      </c>
      <c r="M169" s="23">
        <f>-'Annual Raw'!N49</f>
        <v>1.82</v>
      </c>
      <c r="N169" s="23">
        <f>-'Annual Raw'!O49</f>
        <v>2.27</v>
      </c>
      <c r="O169" s="23">
        <f>-'Annual Raw'!P49</f>
        <v>10.9</v>
      </c>
      <c r="P169" s="23">
        <f>-'Annual Raw'!Q49</f>
        <v>6.04</v>
      </c>
      <c r="Q169" s="23">
        <f>-'Annual Raw'!R49</f>
        <v>17.09</v>
      </c>
      <c r="R169" s="23">
        <f>-'Annual Raw'!S49</f>
        <v>26.83</v>
      </c>
      <c r="S169" s="23">
        <f>-'Annual Raw'!T49</f>
        <v>12.78</v>
      </c>
      <c r="T169" s="23">
        <f>-'Annual Raw'!U49</f>
        <v>30.66</v>
      </c>
      <c r="U169" s="23">
        <f>-'Annual Raw'!V49</f>
        <v>32.029000000000003</v>
      </c>
      <c r="V169" s="23">
        <f>-'Annual Raw'!W49</f>
        <v>42.970999999999997</v>
      </c>
      <c r="W169" s="23">
        <f>-'Annual Raw'!X49</f>
        <v>57.444000000000003</v>
      </c>
      <c r="X169" s="23">
        <f>-'Annual Raw'!Y49</f>
        <v>152.08000000000001</v>
      </c>
      <c r="Y169" s="23">
        <f>-'Annual Raw'!Z49</f>
        <v>253.28</v>
      </c>
      <c r="Z169" s="23">
        <f>-'Annual Raw'!AA49</f>
        <v>341.52</v>
      </c>
      <c r="AA169" s="23">
        <f>-'Annual Raw'!AB49</f>
        <v>350.94</v>
      </c>
      <c r="AB169" s="24">
        <f t="shared" ref="AB169:AB170" si="1332">+CP169</f>
        <v>350.94</v>
      </c>
      <c r="AC169" s="24">
        <f t="shared" ref="AC169:AC170" si="1333">+CT169</f>
        <v>350.94</v>
      </c>
      <c r="AD169" s="24">
        <f t="shared" ref="AD169:AD170" si="1334">+CX169</f>
        <v>350.94</v>
      </c>
      <c r="AE169" s="24">
        <f t="shared" ref="AE169:AE170" si="1335">+DB169</f>
        <v>350.94</v>
      </c>
      <c r="AJ169" s="23">
        <f>+'QTR Raw'!D96</f>
        <v>0</v>
      </c>
      <c r="AK169" s="23">
        <f t="shared" ref="AK169:CE169" si="1336">+AJ169</f>
        <v>0</v>
      </c>
      <c r="AL169" s="23">
        <f>+'QTR Raw'!F96</f>
        <v>0</v>
      </c>
      <c r="AM169" s="23">
        <f t="shared" si="1336"/>
        <v>0</v>
      </c>
      <c r="AN169" s="23">
        <f>+'QTR Raw'!H96</f>
        <v>0</v>
      </c>
      <c r="AO169" s="23">
        <f t="shared" si="1336"/>
        <v>0</v>
      </c>
      <c r="AP169" s="23">
        <f>+'QTR Raw'!J96</f>
        <v>0</v>
      </c>
      <c r="AQ169" s="23">
        <f t="shared" si="1336"/>
        <v>0</v>
      </c>
      <c r="AR169" s="23">
        <f>+'QTR Raw'!L96</f>
        <v>0</v>
      </c>
      <c r="AS169" s="23">
        <f t="shared" si="1336"/>
        <v>0</v>
      </c>
      <c r="AT169" s="23">
        <f>+'QTR Raw'!N96</f>
        <v>0</v>
      </c>
      <c r="AU169" s="23">
        <f t="shared" si="1336"/>
        <v>0</v>
      </c>
      <c r="AV169" s="23">
        <f>+'QTR Raw'!P96</f>
        <v>0</v>
      </c>
      <c r="AW169" s="23">
        <f t="shared" si="1336"/>
        <v>0</v>
      </c>
      <c r="AX169" s="23">
        <f>+'QTR Raw'!R96</f>
        <v>0</v>
      </c>
      <c r="AY169" s="23">
        <f t="shared" si="1336"/>
        <v>0</v>
      </c>
      <c r="AZ169" s="23">
        <f>+'QTR Raw'!T96</f>
        <v>0</v>
      </c>
      <c r="BA169" s="23">
        <f t="shared" si="1336"/>
        <v>0</v>
      </c>
      <c r="BB169" s="23">
        <f>+'QTR Raw'!V96</f>
        <v>0</v>
      </c>
      <c r="BC169" s="23">
        <f t="shared" si="1336"/>
        <v>0</v>
      </c>
      <c r="BD169" s="23">
        <f>+'QTR Raw'!X96</f>
        <v>0</v>
      </c>
      <c r="BE169" s="23">
        <f t="shared" si="1336"/>
        <v>0</v>
      </c>
      <c r="BF169" s="23">
        <f>+'QTR Raw'!Z96</f>
        <v>0</v>
      </c>
      <c r="BG169" s="23">
        <f t="shared" si="1336"/>
        <v>0</v>
      </c>
      <c r="BH169" s="23">
        <f>+'QTR Raw'!AB96</f>
        <v>0</v>
      </c>
      <c r="BI169" s="23">
        <f t="shared" si="1336"/>
        <v>0</v>
      </c>
      <c r="BJ169" s="23">
        <f>+'QTR Raw'!AD96</f>
        <v>0</v>
      </c>
      <c r="BK169" s="23">
        <f t="shared" si="1336"/>
        <v>0</v>
      </c>
      <c r="BL169" s="23">
        <f>+'QTR Raw'!AF96</f>
        <v>0</v>
      </c>
      <c r="BM169" s="23">
        <f t="shared" si="1336"/>
        <v>0</v>
      </c>
      <c r="BN169" s="23">
        <f>+'QTR Raw'!AH96</f>
        <v>0</v>
      </c>
      <c r="BO169" s="23">
        <f t="shared" si="1336"/>
        <v>0</v>
      </c>
      <c r="BP169" s="23">
        <f>+'QTR Raw'!AJ96</f>
        <v>0</v>
      </c>
      <c r="BQ169" s="23">
        <f t="shared" si="1336"/>
        <v>0</v>
      </c>
      <c r="BR169" s="23">
        <f>+'QTR Raw'!AL96</f>
        <v>0</v>
      </c>
      <c r="BS169" s="23">
        <f t="shared" si="1336"/>
        <v>0</v>
      </c>
      <c r="BT169" s="23">
        <f>+'QTR Raw'!AN96</f>
        <v>0</v>
      </c>
      <c r="BU169" s="23">
        <f t="shared" si="1336"/>
        <v>0</v>
      </c>
      <c r="BV169" s="23">
        <f>+'QTR Raw'!AP96</f>
        <v>0</v>
      </c>
      <c r="BW169" s="23">
        <f t="shared" si="1336"/>
        <v>0</v>
      </c>
      <c r="BX169" s="23">
        <f>+'QTR Raw'!AR96</f>
        <v>0</v>
      </c>
      <c r="BY169" s="23">
        <f t="shared" si="1336"/>
        <v>0</v>
      </c>
      <c r="BZ169" s="23">
        <f>+'QTR Raw'!AT96</f>
        <v>152.08000000000001</v>
      </c>
      <c r="CA169" s="23">
        <f t="shared" si="1336"/>
        <v>152.08000000000001</v>
      </c>
      <c r="CB169" s="23">
        <f>+'QTR Raw'!AV96</f>
        <v>0</v>
      </c>
      <c r="CC169" s="23">
        <f t="shared" si="1336"/>
        <v>0</v>
      </c>
      <c r="CD169" s="23">
        <f>+'QTR Raw'!AX96</f>
        <v>253.28</v>
      </c>
      <c r="CE169" s="23">
        <f t="shared" si="1336"/>
        <v>253.28</v>
      </c>
      <c r="CF169" s="23">
        <f>+'QTR Raw'!AZ96</f>
        <v>292.42</v>
      </c>
      <c r="CG169" s="23">
        <f t="shared" ref="CG169:CI170" si="1337">+CF169</f>
        <v>292.42</v>
      </c>
      <c r="CH169" s="23">
        <f t="shared" ref="CH169:CH170" si="1338">Z169</f>
        <v>341.52</v>
      </c>
      <c r="CI169" s="23">
        <f t="shared" si="1337"/>
        <v>341.52</v>
      </c>
      <c r="CJ169" s="23">
        <f>+'QTR Raw'!BD96</f>
        <v>364.01</v>
      </c>
      <c r="CK169" s="24">
        <f t="shared" ref="CK169:CK170" si="1339">+CJ169</f>
        <v>364.01</v>
      </c>
      <c r="CL169" s="23">
        <f>+'QTR Raw'!BF96</f>
        <v>350.94</v>
      </c>
      <c r="CM169" s="24">
        <f t="shared" ref="CM169:CM170" si="1340">+CL169</f>
        <v>350.94</v>
      </c>
      <c r="CN169" s="24">
        <f t="shared" ref="CN169:CN170" si="1341">+CM169</f>
        <v>350.94</v>
      </c>
      <c r="CO169" s="24">
        <f t="shared" ref="CO169:CO170" si="1342">+CN169</f>
        <v>350.94</v>
      </c>
      <c r="CP169" s="24">
        <f t="shared" ref="CP169:CP170" si="1343">+CO169</f>
        <v>350.94</v>
      </c>
      <c r="CQ169" s="24">
        <f t="shared" ref="CQ169:CQ170" si="1344">+CP169</f>
        <v>350.94</v>
      </c>
      <c r="CR169" s="24">
        <f t="shared" ref="CR169:CR170" si="1345">+CQ169</f>
        <v>350.94</v>
      </c>
      <c r="CS169" s="24">
        <f t="shared" ref="CS169:CS170" si="1346">+CR169</f>
        <v>350.94</v>
      </c>
      <c r="CT169" s="24">
        <f t="shared" ref="CT169:CT170" si="1347">+CS169</f>
        <v>350.94</v>
      </c>
      <c r="CU169" s="24">
        <f t="shared" ref="CU169:CU170" si="1348">+CT169</f>
        <v>350.94</v>
      </c>
      <c r="CV169" s="24">
        <f t="shared" ref="CV169:CV170" si="1349">+CU169</f>
        <v>350.94</v>
      </c>
      <c r="CW169" s="24">
        <f t="shared" ref="CW169:CW170" si="1350">+CV169</f>
        <v>350.94</v>
      </c>
      <c r="CX169" s="24">
        <f t="shared" ref="CX169:CX170" si="1351">+CW169</f>
        <v>350.94</v>
      </c>
      <c r="CY169" s="24">
        <f t="shared" ref="CY169:CY170" si="1352">+CX169</f>
        <v>350.94</v>
      </c>
      <c r="CZ169" s="24">
        <f t="shared" ref="CZ169:CZ170" si="1353">+CY169</f>
        <v>350.94</v>
      </c>
      <c r="DA169" s="24">
        <f t="shared" ref="DA169:DA170" si="1354">+CZ169</f>
        <v>350.94</v>
      </c>
      <c r="DB169" s="24">
        <f t="shared" ref="DB169:DB170" si="1355">+DA169</f>
        <v>350.94</v>
      </c>
      <c r="DE169" s="123"/>
      <c r="DF169" s="23">
        <v>364.01</v>
      </c>
    </row>
    <row r="170" spans="1:110" s="23" customFormat="1" x14ac:dyDescent="0.2">
      <c r="A170" s="23" t="s">
        <v>79</v>
      </c>
      <c r="B170" s="23">
        <f>'Annual Raw'!C83</f>
        <v>0</v>
      </c>
      <c r="C170" s="23">
        <f>'Annual Raw'!D83</f>
        <v>0</v>
      </c>
      <c r="D170" s="23">
        <f>'Annual Raw'!E83</f>
        <v>0</v>
      </c>
      <c r="E170" s="23">
        <f>'Annual Raw'!F83</f>
        <v>0.3052222</v>
      </c>
      <c r="F170" s="23">
        <f>'Annual Raw'!G83</f>
        <v>7.8717999999999996E-2</v>
      </c>
      <c r="G170" s="23">
        <f>'Annual Raw'!H83</f>
        <v>6.2399999999999997E-2</v>
      </c>
      <c r="H170" s="23">
        <f>'Annual Raw'!I83</f>
        <v>0</v>
      </c>
      <c r="I170" s="23">
        <f>'Annual Raw'!J83</f>
        <v>0</v>
      </c>
      <c r="J170" s="23">
        <f>'Annual Raw'!K83</f>
        <v>0</v>
      </c>
      <c r="K170" s="23">
        <f>'Annual Raw'!L83</f>
        <v>0</v>
      </c>
      <c r="L170" s="23">
        <f>'Annual Raw'!M83</f>
        <v>0</v>
      </c>
      <c r="M170" s="23">
        <f>'Annual Raw'!N83</f>
        <v>0</v>
      </c>
      <c r="N170" s="23">
        <f>'Annual Raw'!O83</f>
        <v>0</v>
      </c>
      <c r="O170" s="23">
        <f>'Annual Raw'!P83</f>
        <v>0</v>
      </c>
      <c r="P170" s="23">
        <f>'Annual Raw'!Q83</f>
        <v>0</v>
      </c>
      <c r="Q170" s="23">
        <f>'Annual Raw'!R83</f>
        <v>0</v>
      </c>
      <c r="R170" s="23">
        <f>'Annual Raw'!S83</f>
        <v>0</v>
      </c>
      <c r="S170" s="23">
        <f>'Annual Raw'!T83</f>
        <v>0</v>
      </c>
      <c r="T170" s="23">
        <f>'Annual Raw'!U83</f>
        <v>0</v>
      </c>
      <c r="U170" s="23">
        <f>'Annual Raw'!V83</f>
        <v>0</v>
      </c>
      <c r="V170" s="23">
        <f>'Annual Raw'!W83</f>
        <v>0</v>
      </c>
      <c r="W170" s="23">
        <f>'Annual Raw'!X83</f>
        <v>0</v>
      </c>
      <c r="X170" s="23">
        <f>'Annual Raw'!Y83</f>
        <v>0</v>
      </c>
      <c r="Y170" s="23">
        <f>'Annual Raw'!Z83</f>
        <v>0</v>
      </c>
      <c r="Z170" s="23">
        <f>'Annual Raw'!AA83</f>
        <v>0</v>
      </c>
      <c r="AA170" s="23">
        <f>'Annual Raw'!AB83</f>
        <v>0</v>
      </c>
      <c r="AB170" s="24">
        <f t="shared" si="1332"/>
        <v>0</v>
      </c>
      <c r="AC170" s="24">
        <f t="shared" si="1333"/>
        <v>0</v>
      </c>
      <c r="AD170" s="24">
        <f t="shared" si="1334"/>
        <v>0</v>
      </c>
      <c r="AE170" s="24">
        <f t="shared" si="1335"/>
        <v>0</v>
      </c>
      <c r="AJ170" s="23">
        <f>+'QTR Raw'!D95</f>
        <v>0</v>
      </c>
      <c r="AK170" s="23">
        <f t="shared" ref="AK170:CE170" si="1356">+AJ170</f>
        <v>0</v>
      </c>
      <c r="AL170" s="23">
        <f>+'QTR Raw'!F95</f>
        <v>0</v>
      </c>
      <c r="AM170" s="23">
        <f t="shared" si="1356"/>
        <v>0</v>
      </c>
      <c r="AN170" s="23">
        <f>+'QTR Raw'!H95</f>
        <v>0</v>
      </c>
      <c r="AO170" s="23">
        <f t="shared" si="1356"/>
        <v>0</v>
      </c>
      <c r="AP170" s="23">
        <f>+'QTR Raw'!J95</f>
        <v>0</v>
      </c>
      <c r="AQ170" s="23">
        <f t="shared" si="1356"/>
        <v>0</v>
      </c>
      <c r="AR170" s="23">
        <f>+'QTR Raw'!L95</f>
        <v>0</v>
      </c>
      <c r="AS170" s="23">
        <f t="shared" si="1356"/>
        <v>0</v>
      </c>
      <c r="AT170" s="23">
        <f>+'QTR Raw'!N95</f>
        <v>0</v>
      </c>
      <c r="AU170" s="23">
        <f t="shared" si="1356"/>
        <v>0</v>
      </c>
      <c r="AV170" s="23">
        <f>+'QTR Raw'!P95</f>
        <v>0</v>
      </c>
      <c r="AW170" s="23">
        <f t="shared" si="1356"/>
        <v>0</v>
      </c>
      <c r="AX170" s="23">
        <f>+'QTR Raw'!R95</f>
        <v>0</v>
      </c>
      <c r="AY170" s="23">
        <f t="shared" si="1356"/>
        <v>0</v>
      </c>
      <c r="AZ170" s="23">
        <f>+'QTR Raw'!T95</f>
        <v>0</v>
      </c>
      <c r="BA170" s="23">
        <f t="shared" si="1356"/>
        <v>0</v>
      </c>
      <c r="BB170" s="23">
        <f>+'QTR Raw'!V95</f>
        <v>0</v>
      </c>
      <c r="BC170" s="23">
        <f t="shared" si="1356"/>
        <v>0</v>
      </c>
      <c r="BD170" s="23">
        <f>+'QTR Raw'!X95</f>
        <v>0</v>
      </c>
      <c r="BE170" s="23">
        <f t="shared" si="1356"/>
        <v>0</v>
      </c>
      <c r="BF170" s="23">
        <f>+'QTR Raw'!Z95</f>
        <v>0</v>
      </c>
      <c r="BG170" s="23">
        <f t="shared" si="1356"/>
        <v>0</v>
      </c>
      <c r="BH170" s="23">
        <f>+'QTR Raw'!AB95</f>
        <v>0</v>
      </c>
      <c r="BI170" s="23">
        <f t="shared" si="1356"/>
        <v>0</v>
      </c>
      <c r="BJ170" s="23">
        <f>+'QTR Raw'!AD95</f>
        <v>0</v>
      </c>
      <c r="BK170" s="23">
        <f t="shared" si="1356"/>
        <v>0</v>
      </c>
      <c r="BL170" s="23">
        <f>+'QTR Raw'!AF95</f>
        <v>0</v>
      </c>
      <c r="BM170" s="23">
        <f t="shared" si="1356"/>
        <v>0</v>
      </c>
      <c r="BN170" s="23">
        <f>+'QTR Raw'!AH95</f>
        <v>0</v>
      </c>
      <c r="BO170" s="23">
        <f t="shared" si="1356"/>
        <v>0</v>
      </c>
      <c r="BP170" s="23">
        <f>+'QTR Raw'!AJ95</f>
        <v>0</v>
      </c>
      <c r="BQ170" s="23">
        <f t="shared" si="1356"/>
        <v>0</v>
      </c>
      <c r="BR170" s="23">
        <f>+'QTR Raw'!AL95</f>
        <v>0</v>
      </c>
      <c r="BS170" s="23">
        <f t="shared" si="1356"/>
        <v>0</v>
      </c>
      <c r="BT170" s="23">
        <f>+'QTR Raw'!AN95</f>
        <v>0</v>
      </c>
      <c r="BU170" s="23">
        <f t="shared" si="1356"/>
        <v>0</v>
      </c>
      <c r="BV170" s="23">
        <f>+'QTR Raw'!AP95</f>
        <v>0</v>
      </c>
      <c r="BW170" s="23">
        <f t="shared" si="1356"/>
        <v>0</v>
      </c>
      <c r="BX170" s="23">
        <f>+'QTR Raw'!AR95</f>
        <v>0</v>
      </c>
      <c r="BY170" s="23">
        <f t="shared" si="1356"/>
        <v>0</v>
      </c>
      <c r="BZ170" s="23">
        <f>+'QTR Raw'!AT95</f>
        <v>0</v>
      </c>
      <c r="CA170" s="23">
        <f t="shared" si="1356"/>
        <v>0</v>
      </c>
      <c r="CB170" s="23">
        <f>+'QTR Raw'!AV95</f>
        <v>0</v>
      </c>
      <c r="CC170" s="23">
        <f t="shared" si="1356"/>
        <v>0</v>
      </c>
      <c r="CD170" s="23">
        <f>+'QTR Raw'!AX95</f>
        <v>0</v>
      </c>
      <c r="CE170" s="23">
        <f t="shared" si="1356"/>
        <v>0</v>
      </c>
      <c r="CF170" s="23">
        <f>+'QTR Raw'!AZ95</f>
        <v>0</v>
      </c>
      <c r="CG170" s="23">
        <f t="shared" si="1337"/>
        <v>0</v>
      </c>
      <c r="CH170" s="23">
        <f t="shared" si="1338"/>
        <v>0</v>
      </c>
      <c r="CI170" s="23">
        <f t="shared" si="1337"/>
        <v>0</v>
      </c>
      <c r="CJ170" s="23">
        <f>+'QTR Raw'!BD95</f>
        <v>0</v>
      </c>
      <c r="CK170" s="24">
        <f t="shared" si="1339"/>
        <v>0</v>
      </c>
      <c r="CL170" s="23">
        <f>+'QTR Raw'!BF95</f>
        <v>0</v>
      </c>
      <c r="CM170" s="24">
        <f t="shared" si="1340"/>
        <v>0</v>
      </c>
      <c r="CN170" s="24">
        <f t="shared" si="1341"/>
        <v>0</v>
      </c>
      <c r="CO170" s="24">
        <f t="shared" si="1342"/>
        <v>0</v>
      </c>
      <c r="CP170" s="24">
        <f t="shared" si="1343"/>
        <v>0</v>
      </c>
      <c r="CQ170" s="24">
        <f t="shared" si="1344"/>
        <v>0</v>
      </c>
      <c r="CR170" s="24">
        <f t="shared" si="1345"/>
        <v>0</v>
      </c>
      <c r="CS170" s="24">
        <f t="shared" si="1346"/>
        <v>0</v>
      </c>
      <c r="CT170" s="24">
        <f t="shared" si="1347"/>
        <v>0</v>
      </c>
      <c r="CU170" s="24">
        <f t="shared" si="1348"/>
        <v>0</v>
      </c>
      <c r="CV170" s="24">
        <f t="shared" si="1349"/>
        <v>0</v>
      </c>
      <c r="CW170" s="24">
        <f t="shared" si="1350"/>
        <v>0</v>
      </c>
      <c r="CX170" s="24">
        <f t="shared" si="1351"/>
        <v>0</v>
      </c>
      <c r="CY170" s="24">
        <f t="shared" si="1352"/>
        <v>0</v>
      </c>
      <c r="CZ170" s="24">
        <f t="shared" si="1353"/>
        <v>0</v>
      </c>
      <c r="DA170" s="24">
        <f t="shared" si="1354"/>
        <v>0</v>
      </c>
      <c r="DB170" s="24">
        <f t="shared" si="1355"/>
        <v>0</v>
      </c>
      <c r="DE170" s="123"/>
      <c r="DF170" s="23">
        <v>0</v>
      </c>
    </row>
    <row r="171" spans="1:110" s="26" customFormat="1" x14ac:dyDescent="0.2">
      <c r="A171" s="26" t="s">
        <v>438</v>
      </c>
      <c r="B171" s="26">
        <f t="shared" ref="B171:W171" si="1357">B169+B167+B163+B146+B144+B170</f>
        <v>0</v>
      </c>
      <c r="C171" s="26">
        <f t="shared" si="1357"/>
        <v>0</v>
      </c>
      <c r="D171" s="26">
        <f t="shared" si="1357"/>
        <v>0</v>
      </c>
      <c r="E171" s="26">
        <f t="shared" si="1357"/>
        <v>47.339939600000001</v>
      </c>
      <c r="F171" s="26">
        <f t="shared" si="1357"/>
        <v>42.268308299999994</v>
      </c>
      <c r="G171" s="26">
        <f t="shared" si="1357"/>
        <v>559.63139999999999</v>
      </c>
      <c r="H171" s="26">
        <f t="shared" si="1357"/>
        <v>561.55790000000002</v>
      </c>
      <c r="I171" s="26">
        <f t="shared" si="1357"/>
        <v>584.07780000000002</v>
      </c>
      <c r="J171" s="26">
        <f t="shared" si="1357"/>
        <v>671.44340000000011</v>
      </c>
      <c r="K171" s="26">
        <f t="shared" si="1357"/>
        <v>644.95839999999998</v>
      </c>
      <c r="L171" s="26">
        <f t="shared" si="1357"/>
        <v>770.52189999999996</v>
      </c>
      <c r="M171" s="26">
        <f t="shared" si="1357"/>
        <v>1120.6999999999998</v>
      </c>
      <c r="N171" s="26">
        <f t="shared" si="1357"/>
        <v>1249.7899999999997</v>
      </c>
      <c r="O171" s="26">
        <f t="shared" si="1357"/>
        <v>1591.29</v>
      </c>
      <c r="P171" s="26">
        <f t="shared" si="1357"/>
        <v>1427.6100000000001</v>
      </c>
      <c r="Q171" s="26">
        <f t="shared" si="1357"/>
        <v>1798.2600000000002</v>
      </c>
      <c r="R171" s="26">
        <f t="shared" si="1357"/>
        <v>1638.4900000000002</v>
      </c>
      <c r="S171" s="26">
        <f t="shared" si="1357"/>
        <v>1617.85</v>
      </c>
      <c r="T171" s="26">
        <f t="shared" si="1357"/>
        <v>1757</v>
      </c>
      <c r="U171" s="26">
        <f t="shared" si="1357"/>
        <v>1852.5989999999997</v>
      </c>
      <c r="V171" s="26">
        <f t="shared" si="1357"/>
        <v>2142.1539999999995</v>
      </c>
      <c r="W171" s="26">
        <f t="shared" si="1357"/>
        <v>2280.1610000000001</v>
      </c>
      <c r="X171" s="26">
        <f t="shared" ref="X171:Y171" si="1358">X169+X167+X163+X146+X144+X170</f>
        <v>2989.4500000000003</v>
      </c>
      <c r="Y171" s="26">
        <f t="shared" si="1358"/>
        <v>3220.82</v>
      </c>
      <c r="Z171" s="26">
        <f t="shared" ref="Z171:AA171" si="1359">Z169+Z167+Z163+Z146+Z144+Z170</f>
        <v>3579.4200000000005</v>
      </c>
      <c r="AA171" s="26">
        <f t="shared" si="1359"/>
        <v>4588.9299999999994</v>
      </c>
      <c r="AB171" s="27">
        <f t="shared" ref="AA171:AD171" si="1360">AB169+AB167+AB163+AB146+AB144+AB170</f>
        <v>5071.2240460682988</v>
      </c>
      <c r="AC171" s="27">
        <f t="shared" si="1360"/>
        <v>6068.5028818641586</v>
      </c>
      <c r="AD171" s="27">
        <f t="shared" si="1360"/>
        <v>7420.0769536149983</v>
      </c>
      <c r="AE171" s="27">
        <f t="shared" ref="AE171" si="1361">AE169+AE167+AE163+AE146+AE144+AE170</f>
        <v>9164.9702843910909</v>
      </c>
      <c r="AJ171" s="26">
        <f t="shared" ref="AJ171" si="1362">AJ169+AJ167+AJ163+AJ146+AJ144+AJ170</f>
        <v>0</v>
      </c>
      <c r="AK171" s="26" t="e">
        <f t="shared" ref="AK171:AL171" si="1363">AK169+AK167+AK163+AK146+AK144+AK170</f>
        <v>#DIV/0!</v>
      </c>
      <c r="AL171" s="26">
        <f t="shared" si="1363"/>
        <v>0</v>
      </c>
      <c r="AM171" s="26" t="e">
        <f t="shared" ref="AM171:AO171" si="1364">AM169+AM167+AM163+AM146+AM144+AM170</f>
        <v>#DIV/0!</v>
      </c>
      <c r="AN171" s="26">
        <f t="shared" si="1364"/>
        <v>0</v>
      </c>
      <c r="AO171" s="26" t="e">
        <f t="shared" si="1364"/>
        <v>#DIV/0!</v>
      </c>
      <c r="AP171" s="26">
        <f t="shared" ref="AP171:CE171" si="1365">AP169+AP167+AP163+AP146+AP144+AP170</f>
        <v>0</v>
      </c>
      <c r="AQ171" s="26" t="e">
        <f t="shared" si="1365"/>
        <v>#DIV/0!</v>
      </c>
      <c r="AR171" s="26">
        <f t="shared" si="1365"/>
        <v>0</v>
      </c>
      <c r="AS171" s="26" t="e">
        <f t="shared" si="1365"/>
        <v>#DIV/0!</v>
      </c>
      <c r="AT171" s="26">
        <f t="shared" si="1365"/>
        <v>0</v>
      </c>
      <c r="AU171" s="26" t="e">
        <f t="shared" si="1365"/>
        <v>#DIV/0!</v>
      </c>
      <c r="AV171" s="26">
        <f t="shared" si="1365"/>
        <v>0</v>
      </c>
      <c r="AW171" s="26" t="e">
        <f t="shared" si="1365"/>
        <v>#DIV/0!</v>
      </c>
      <c r="AX171" s="26">
        <f t="shared" si="1365"/>
        <v>0</v>
      </c>
      <c r="AY171" s="26" t="e">
        <f t="shared" si="1365"/>
        <v>#DIV/0!</v>
      </c>
      <c r="AZ171" s="26">
        <f t="shared" si="1365"/>
        <v>0</v>
      </c>
      <c r="BA171" s="26" t="e">
        <f t="shared" si="1365"/>
        <v>#DIV/0!</v>
      </c>
      <c r="BB171" s="26">
        <f t="shared" si="1365"/>
        <v>0</v>
      </c>
      <c r="BC171" s="26" t="e">
        <f t="shared" si="1365"/>
        <v>#DIV/0!</v>
      </c>
      <c r="BD171" s="26">
        <f t="shared" si="1365"/>
        <v>0</v>
      </c>
      <c r="BE171" s="26" t="e">
        <f t="shared" si="1365"/>
        <v>#DIV/0!</v>
      </c>
      <c r="BF171" s="26">
        <f t="shared" si="1365"/>
        <v>0</v>
      </c>
      <c r="BG171" s="26" t="e">
        <f t="shared" si="1365"/>
        <v>#DIV/0!</v>
      </c>
      <c r="BH171" s="26">
        <f t="shared" ref="BH171" si="1366">BH169+BH167+BH163+BH146+BH144+BH170</f>
        <v>0</v>
      </c>
      <c r="BI171" s="26" t="e">
        <f t="shared" si="1365"/>
        <v>#DIV/0!</v>
      </c>
      <c r="BJ171" s="26">
        <f t="shared" si="1365"/>
        <v>0</v>
      </c>
      <c r="BK171" s="26" t="e">
        <f t="shared" si="1365"/>
        <v>#DIV/0!</v>
      </c>
      <c r="BL171" s="26">
        <f t="shared" si="1365"/>
        <v>0</v>
      </c>
      <c r="BM171" s="26" t="e">
        <f t="shared" si="1365"/>
        <v>#DIV/0!</v>
      </c>
      <c r="BN171" s="26">
        <f t="shared" si="1365"/>
        <v>0</v>
      </c>
      <c r="BO171" s="26" t="e">
        <f t="shared" si="1365"/>
        <v>#DIV/0!</v>
      </c>
      <c r="BP171" s="26">
        <f t="shared" si="1365"/>
        <v>0</v>
      </c>
      <c r="BQ171" s="26" t="e">
        <f t="shared" si="1365"/>
        <v>#DIV/0!</v>
      </c>
      <c r="BR171" s="26">
        <f t="shared" si="1365"/>
        <v>0</v>
      </c>
      <c r="BS171" s="26" t="e">
        <f t="shared" si="1365"/>
        <v>#DIV/0!</v>
      </c>
      <c r="BT171" s="26">
        <f t="shared" si="1365"/>
        <v>0</v>
      </c>
      <c r="BU171" s="26" t="e">
        <f t="shared" si="1365"/>
        <v>#DIV/0!</v>
      </c>
      <c r="BV171" s="26">
        <f t="shared" si="1365"/>
        <v>0</v>
      </c>
      <c r="BW171" s="26" t="e">
        <f t="shared" si="1365"/>
        <v>#DIV/0!</v>
      </c>
      <c r="BX171" s="26">
        <f t="shared" si="1365"/>
        <v>0</v>
      </c>
      <c r="BY171" s="26" t="e">
        <f t="shared" si="1365"/>
        <v>#DIV/0!</v>
      </c>
      <c r="BZ171" s="26">
        <f t="shared" si="1365"/>
        <v>2989.4500000000007</v>
      </c>
      <c r="CA171" s="26">
        <f t="shared" si="1365"/>
        <v>3180.9800000000005</v>
      </c>
      <c r="CB171" s="26">
        <f t="shared" si="1365"/>
        <v>0</v>
      </c>
      <c r="CC171" s="26">
        <f t="shared" si="1365"/>
        <v>170.2199999999998</v>
      </c>
      <c r="CD171" s="26">
        <f t="shared" si="1365"/>
        <v>3220.82</v>
      </c>
      <c r="CE171" s="26">
        <f t="shared" si="1365"/>
        <v>3382.8500000000004</v>
      </c>
      <c r="CF171" s="26">
        <f t="shared" ref="CF171:CG171" si="1367">CF169+CF167+CF163+CF146+CF144+CF170</f>
        <v>3215.0899999999992</v>
      </c>
      <c r="CG171" s="26">
        <f t="shared" si="1367"/>
        <v>3383.7299999999996</v>
      </c>
      <c r="CH171" s="26">
        <f t="shared" ref="CH171:CI171" si="1368">CH169+CH167+CH163+CH146+CH144+CH170</f>
        <v>3579.4200000000005</v>
      </c>
      <c r="CI171" s="26">
        <f t="shared" si="1368"/>
        <v>3749.7000000000007</v>
      </c>
      <c r="CJ171" s="26">
        <f t="shared" ref="CJ171:DB171" si="1369">CJ169+CJ167+CJ163+CJ146+CJ144+CJ170</f>
        <v>3566.3500000000004</v>
      </c>
      <c r="CK171" s="27">
        <f t="shared" si="1369"/>
        <v>3572.9900000000002</v>
      </c>
      <c r="CL171" s="26">
        <f t="shared" ref="CL171" si="1370">CL169+CL167+CL163+CL146+CL144+CL170</f>
        <v>4588.9299999999985</v>
      </c>
      <c r="CM171" s="27">
        <f t="shared" si="1369"/>
        <v>4619.565169808021</v>
      </c>
      <c r="CN171" s="27">
        <f t="shared" si="1369"/>
        <v>4720.7956277804242</v>
      </c>
      <c r="CO171" s="27">
        <f t="shared" si="1369"/>
        <v>4868.3179899893639</v>
      </c>
      <c r="CP171" s="27">
        <f t="shared" si="1369"/>
        <v>5071.2240460682988</v>
      </c>
      <c r="CQ171" s="27">
        <f t="shared" si="1369"/>
        <v>5264.0584979537034</v>
      </c>
      <c r="CR171" s="27">
        <f t="shared" si="1369"/>
        <v>5494.4310097835614</v>
      </c>
      <c r="CS171" s="27">
        <f t="shared" si="1369"/>
        <v>5751.7437564354659</v>
      </c>
      <c r="CT171" s="27">
        <f t="shared" si="1369"/>
        <v>6068.5028818641586</v>
      </c>
      <c r="CU171" s="27">
        <f t="shared" si="1369"/>
        <v>6337.0834021804694</v>
      </c>
      <c r="CV171" s="27">
        <f t="shared" si="1369"/>
        <v>6653.440704812363</v>
      </c>
      <c r="CW171" s="27">
        <f t="shared" si="1369"/>
        <v>7001.8942318172831</v>
      </c>
      <c r="CX171" s="27">
        <f t="shared" si="1369"/>
        <v>7420.0769536149983</v>
      </c>
      <c r="CY171" s="27">
        <f t="shared" si="1369"/>
        <v>7784.0176069195441</v>
      </c>
      <c r="CZ171" s="27">
        <f t="shared" si="1369"/>
        <v>8195.6279559195427</v>
      </c>
      <c r="DA171" s="27">
        <f t="shared" si="1369"/>
        <v>8639.5455592511444</v>
      </c>
      <c r="DB171" s="27">
        <f t="shared" si="1369"/>
        <v>9164.9702843910909</v>
      </c>
      <c r="DE171" s="121"/>
      <c r="DF171" s="26">
        <v>3738.9514654806289</v>
      </c>
    </row>
    <row r="172" spans="1:110" s="23" customFormat="1" x14ac:dyDescent="0.2">
      <c r="A172" s="28" t="s">
        <v>439</v>
      </c>
      <c r="B172" s="23">
        <f t="shared" ref="B172:W172" si="1371">B171-B135</f>
        <v>0</v>
      </c>
      <c r="C172" s="23">
        <f t="shared" si="1371"/>
        <v>0</v>
      </c>
      <c r="D172" s="23">
        <f t="shared" si="1371"/>
        <v>0</v>
      </c>
      <c r="E172" s="23">
        <f t="shared" si="1371"/>
        <v>0</v>
      </c>
      <c r="F172" s="23">
        <f t="shared" si="1371"/>
        <v>0</v>
      </c>
      <c r="G172" s="23">
        <f t="shared" si="1371"/>
        <v>0</v>
      </c>
      <c r="H172" s="23">
        <f t="shared" si="1371"/>
        <v>0</v>
      </c>
      <c r="I172" s="23">
        <f t="shared" si="1371"/>
        <v>0</v>
      </c>
      <c r="J172" s="23">
        <f t="shared" si="1371"/>
        <v>0</v>
      </c>
      <c r="K172" s="23">
        <f t="shared" si="1371"/>
        <v>0</v>
      </c>
      <c r="L172" s="23">
        <f t="shared" si="1371"/>
        <v>0</v>
      </c>
      <c r="M172" s="23">
        <f t="shared" si="1371"/>
        <v>0</v>
      </c>
      <c r="N172" s="23">
        <f t="shared" si="1371"/>
        <v>0</v>
      </c>
      <c r="O172" s="23">
        <f t="shared" si="1371"/>
        <v>0</v>
      </c>
      <c r="P172" s="23">
        <f t="shared" si="1371"/>
        <v>0</v>
      </c>
      <c r="Q172" s="23">
        <f t="shared" si="1371"/>
        <v>0</v>
      </c>
      <c r="R172" s="23">
        <f t="shared" si="1371"/>
        <v>0</v>
      </c>
      <c r="S172" s="23">
        <f t="shared" si="1371"/>
        <v>0</v>
      </c>
      <c r="T172" s="23">
        <f t="shared" si="1371"/>
        <v>0</v>
      </c>
      <c r="U172" s="23">
        <f t="shared" si="1371"/>
        <v>0</v>
      </c>
      <c r="V172" s="23">
        <f t="shared" si="1371"/>
        <v>0</v>
      </c>
      <c r="W172" s="23">
        <f t="shared" si="1371"/>
        <v>0</v>
      </c>
      <c r="X172" s="23">
        <f t="shared" ref="X172:Y172" si="1372">X171-X135</f>
        <v>0</v>
      </c>
      <c r="Y172" s="23">
        <f t="shared" si="1372"/>
        <v>0</v>
      </c>
      <c r="Z172" s="23">
        <f t="shared" ref="Z172:AA172" si="1373">Z171-Z135</f>
        <v>0</v>
      </c>
      <c r="AA172" s="23">
        <f t="shared" si="1373"/>
        <v>0</v>
      </c>
      <c r="AB172" s="24">
        <f t="shared" ref="AA172:AD172" si="1374">AB171-AB135</f>
        <v>0</v>
      </c>
      <c r="AC172" s="24">
        <f t="shared" si="1374"/>
        <v>0</v>
      </c>
      <c r="AD172" s="24">
        <f t="shared" si="1374"/>
        <v>0</v>
      </c>
      <c r="AE172" s="24">
        <f t="shared" ref="AE172" si="1375">AE171-AE135</f>
        <v>0</v>
      </c>
      <c r="AJ172" s="23">
        <f t="shared" ref="AJ172" si="1376">AJ171-AJ135</f>
        <v>0</v>
      </c>
      <c r="AK172" s="23" t="e">
        <f t="shared" ref="AK172" si="1377">AK171-AK135</f>
        <v>#DIV/0!</v>
      </c>
      <c r="AL172" s="23">
        <f t="shared" ref="AL172:AM172" si="1378">AL171-AL135</f>
        <v>0</v>
      </c>
      <c r="AM172" s="23" t="e">
        <f t="shared" si="1378"/>
        <v>#DIV/0!</v>
      </c>
      <c r="AN172" s="23">
        <f t="shared" ref="AN172:AO172" si="1379">AN171-AN135</f>
        <v>0</v>
      </c>
      <c r="AO172" s="23" t="e">
        <f t="shared" si="1379"/>
        <v>#DIV/0!</v>
      </c>
      <c r="AP172" s="23">
        <f t="shared" ref="AP172:CE172" si="1380">AP171-AP135</f>
        <v>0</v>
      </c>
      <c r="AQ172" s="23" t="e">
        <f t="shared" si="1380"/>
        <v>#DIV/0!</v>
      </c>
      <c r="AR172" s="23">
        <f t="shared" si="1380"/>
        <v>0</v>
      </c>
      <c r="AS172" s="23" t="e">
        <f t="shared" si="1380"/>
        <v>#DIV/0!</v>
      </c>
      <c r="AT172" s="23">
        <f t="shared" si="1380"/>
        <v>0</v>
      </c>
      <c r="AU172" s="23" t="e">
        <f t="shared" si="1380"/>
        <v>#DIV/0!</v>
      </c>
      <c r="AV172" s="23">
        <f t="shared" si="1380"/>
        <v>0</v>
      </c>
      <c r="AW172" s="23" t="e">
        <f t="shared" si="1380"/>
        <v>#DIV/0!</v>
      </c>
      <c r="AX172" s="23">
        <f t="shared" si="1380"/>
        <v>0</v>
      </c>
      <c r="AY172" s="23" t="e">
        <f t="shared" si="1380"/>
        <v>#DIV/0!</v>
      </c>
      <c r="AZ172" s="23">
        <f t="shared" si="1380"/>
        <v>0</v>
      </c>
      <c r="BA172" s="23" t="e">
        <f t="shared" si="1380"/>
        <v>#DIV/0!</v>
      </c>
      <c r="BB172" s="23">
        <f t="shared" si="1380"/>
        <v>0</v>
      </c>
      <c r="BC172" s="23" t="e">
        <f t="shared" si="1380"/>
        <v>#DIV/0!</v>
      </c>
      <c r="BD172" s="23">
        <f t="shared" si="1380"/>
        <v>0</v>
      </c>
      <c r="BE172" s="23" t="e">
        <f t="shared" si="1380"/>
        <v>#DIV/0!</v>
      </c>
      <c r="BF172" s="23">
        <f t="shared" si="1380"/>
        <v>0</v>
      </c>
      <c r="BG172" s="23" t="e">
        <f t="shared" si="1380"/>
        <v>#DIV/0!</v>
      </c>
      <c r="BH172" s="23">
        <f t="shared" ref="BH172" si="1381">BH171-BH135</f>
        <v>0</v>
      </c>
      <c r="BI172" s="23" t="e">
        <f t="shared" si="1380"/>
        <v>#DIV/0!</v>
      </c>
      <c r="BJ172" s="23">
        <f t="shared" si="1380"/>
        <v>0</v>
      </c>
      <c r="BK172" s="23" t="e">
        <f t="shared" si="1380"/>
        <v>#DIV/0!</v>
      </c>
      <c r="BL172" s="23">
        <f t="shared" si="1380"/>
        <v>0</v>
      </c>
      <c r="BM172" s="23" t="e">
        <f t="shared" si="1380"/>
        <v>#DIV/0!</v>
      </c>
      <c r="BN172" s="23">
        <f t="shared" si="1380"/>
        <v>0</v>
      </c>
      <c r="BO172" s="23" t="e">
        <f t="shared" si="1380"/>
        <v>#DIV/0!</v>
      </c>
      <c r="BP172" s="23">
        <f t="shared" si="1380"/>
        <v>0</v>
      </c>
      <c r="BQ172" s="23" t="e">
        <f t="shared" si="1380"/>
        <v>#DIV/0!</v>
      </c>
      <c r="BR172" s="23">
        <f t="shared" si="1380"/>
        <v>0</v>
      </c>
      <c r="BS172" s="23" t="e">
        <f t="shared" si="1380"/>
        <v>#DIV/0!</v>
      </c>
      <c r="BT172" s="23">
        <f t="shared" si="1380"/>
        <v>0</v>
      </c>
      <c r="BU172" s="23" t="e">
        <f t="shared" si="1380"/>
        <v>#DIV/0!</v>
      </c>
      <c r="BV172" s="23">
        <f t="shared" si="1380"/>
        <v>0</v>
      </c>
      <c r="BW172" s="23" t="e">
        <f t="shared" si="1380"/>
        <v>#DIV/0!</v>
      </c>
      <c r="BX172" s="23">
        <f t="shared" si="1380"/>
        <v>0</v>
      </c>
      <c r="BY172" s="23" t="e">
        <f t="shared" si="1380"/>
        <v>#DIV/0!</v>
      </c>
      <c r="BZ172" s="23">
        <f t="shared" si="1380"/>
        <v>0</v>
      </c>
      <c r="CA172" s="23">
        <f t="shared" si="1380"/>
        <v>0</v>
      </c>
      <c r="CB172" s="23">
        <f t="shared" si="1380"/>
        <v>0</v>
      </c>
      <c r="CC172" s="23">
        <f t="shared" si="1380"/>
        <v>0</v>
      </c>
      <c r="CD172" s="23">
        <f t="shared" si="1380"/>
        <v>0</v>
      </c>
      <c r="CE172" s="23">
        <f t="shared" si="1380"/>
        <v>0</v>
      </c>
      <c r="CF172" s="23">
        <f t="shared" ref="CF172:CG172" si="1382">CF171-CF135</f>
        <v>0</v>
      </c>
      <c r="CG172" s="23">
        <f t="shared" si="1382"/>
        <v>0</v>
      </c>
      <c r="CH172" s="23">
        <f t="shared" ref="CH172:CI172" si="1383">CH171-CH135</f>
        <v>0</v>
      </c>
      <c r="CI172" s="23">
        <f t="shared" si="1383"/>
        <v>0</v>
      </c>
      <c r="CJ172" s="23">
        <f t="shared" ref="CJ172:DB172" si="1384">CJ171-CJ135</f>
        <v>0</v>
      </c>
      <c r="CK172" s="24">
        <f t="shared" si="1384"/>
        <v>0</v>
      </c>
      <c r="CL172" s="23">
        <f t="shared" ref="CL172" si="1385">CL171-CL135</f>
        <v>0</v>
      </c>
      <c r="CM172" s="24">
        <f t="shared" si="1384"/>
        <v>0</v>
      </c>
      <c r="CN172" s="24">
        <f t="shared" si="1384"/>
        <v>0</v>
      </c>
      <c r="CO172" s="24">
        <f t="shared" si="1384"/>
        <v>0</v>
      </c>
      <c r="CP172" s="24">
        <f t="shared" si="1384"/>
        <v>0</v>
      </c>
      <c r="CQ172" s="24">
        <f t="shared" si="1384"/>
        <v>0</v>
      </c>
      <c r="CR172" s="24">
        <f t="shared" si="1384"/>
        <v>0</v>
      </c>
      <c r="CS172" s="24">
        <f t="shared" si="1384"/>
        <v>0</v>
      </c>
      <c r="CT172" s="24">
        <f t="shared" si="1384"/>
        <v>0</v>
      </c>
      <c r="CU172" s="24">
        <f t="shared" si="1384"/>
        <v>0</v>
      </c>
      <c r="CV172" s="24">
        <f t="shared" si="1384"/>
        <v>0</v>
      </c>
      <c r="CW172" s="24">
        <f t="shared" si="1384"/>
        <v>0</v>
      </c>
      <c r="CX172" s="24">
        <f t="shared" si="1384"/>
        <v>0</v>
      </c>
      <c r="CY172" s="24">
        <f t="shared" si="1384"/>
        <v>0</v>
      </c>
      <c r="CZ172" s="24">
        <f t="shared" si="1384"/>
        <v>0</v>
      </c>
      <c r="DA172" s="24">
        <f t="shared" si="1384"/>
        <v>0</v>
      </c>
      <c r="DB172" s="24">
        <f t="shared" si="1384"/>
        <v>0</v>
      </c>
      <c r="DE172" s="123"/>
      <c r="DF172" s="23">
        <v>0</v>
      </c>
    </row>
    <row r="173" spans="1:110" s="23" customFormat="1" x14ac:dyDescent="0.2">
      <c r="A173" s="28"/>
      <c r="AB173" s="24"/>
      <c r="AC173" s="24"/>
      <c r="AD173" s="24"/>
      <c r="AE173" s="24"/>
      <c r="CK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2" customFormat="1" x14ac:dyDescent="0.2">
      <c r="A174" s="22" t="s">
        <v>80</v>
      </c>
      <c r="B174" s="22">
        <f t="shared" ref="B174:W174" si="1386">B134-B167</f>
        <v>0</v>
      </c>
      <c r="C174" s="22">
        <f t="shared" si="1386"/>
        <v>0</v>
      </c>
      <c r="D174" s="22">
        <f t="shared" si="1386"/>
        <v>0</v>
      </c>
      <c r="E174" s="22">
        <f t="shared" si="1386"/>
        <v>14.8690464</v>
      </c>
      <c r="F174" s="22">
        <f t="shared" si="1386"/>
        <v>5.6771259000000001</v>
      </c>
      <c r="G174" s="22">
        <f t="shared" si="1386"/>
        <v>181.29900000000001</v>
      </c>
      <c r="H174" s="22">
        <f t="shared" si="1386"/>
        <v>181.0067</v>
      </c>
      <c r="I174" s="22">
        <f t="shared" si="1386"/>
        <v>179.62569999999999</v>
      </c>
      <c r="J174" s="22">
        <f t="shared" si="1386"/>
        <v>248.53019999999998</v>
      </c>
      <c r="K174" s="22">
        <f t="shared" si="1386"/>
        <v>159.685</v>
      </c>
      <c r="L174" s="22">
        <f t="shared" si="1386"/>
        <v>33.335100000000011</v>
      </c>
      <c r="M174" s="22">
        <f t="shared" si="1386"/>
        <v>-150.02999999999997</v>
      </c>
      <c r="N174" s="22">
        <f t="shared" si="1386"/>
        <v>-271.68999999999988</v>
      </c>
      <c r="O174" s="22">
        <f t="shared" si="1386"/>
        <v>-547.69999999999993</v>
      </c>
      <c r="P174" s="22">
        <f t="shared" si="1386"/>
        <v>-384.75000000000006</v>
      </c>
      <c r="Q174" s="22">
        <f t="shared" si="1386"/>
        <v>-246.51999999999998</v>
      </c>
      <c r="R174" s="22">
        <f t="shared" si="1386"/>
        <v>-273.49000000000007</v>
      </c>
      <c r="S174" s="22">
        <f t="shared" si="1386"/>
        <v>-189.44</v>
      </c>
      <c r="T174" s="22">
        <f t="shared" si="1386"/>
        <v>-388.93</v>
      </c>
      <c r="U174" s="22">
        <f t="shared" si="1386"/>
        <v>-420.06700000000001</v>
      </c>
      <c r="V174" s="22">
        <f t="shared" si="1386"/>
        <v>-1280.47</v>
      </c>
      <c r="W174" s="22">
        <f t="shared" si="1386"/>
        <v>-1397.07</v>
      </c>
      <c r="X174" s="22">
        <f t="shared" ref="X174:Y174" si="1387">X134-X167</f>
        <v>-1028.98</v>
      </c>
      <c r="Y174" s="22">
        <f t="shared" si="1387"/>
        <v>-1063.74</v>
      </c>
      <c r="Z174" s="22">
        <f t="shared" ref="Z174:AA174" si="1388">Z134-Z167</f>
        <v>-1514.29</v>
      </c>
      <c r="AA174" s="22">
        <f t="shared" si="1388"/>
        <v>-847.42000000000007</v>
      </c>
      <c r="AB174" s="21">
        <f t="shared" ref="AA174:AD174" si="1389">AB134-AB167</f>
        <v>-1549.6497368719929</v>
      </c>
      <c r="AC174" s="21">
        <f t="shared" si="1389"/>
        <v>-2354.9990902597369</v>
      </c>
      <c r="AD174" s="21">
        <f t="shared" si="1389"/>
        <v>-3493.6833919173682</v>
      </c>
      <c r="AE174" s="21">
        <f t="shared" ref="AE174" si="1390">AE134-AE167</f>
        <v>-4898.3998835773818</v>
      </c>
      <c r="AJ174" s="22">
        <f t="shared" ref="AJ174:AM174" si="1391">AJ134-AJ167</f>
        <v>0</v>
      </c>
      <c r="AK174" s="22" t="e">
        <f t="shared" si="1391"/>
        <v>#DIV/0!</v>
      </c>
      <c r="AL174" s="22">
        <f t="shared" si="1391"/>
        <v>0</v>
      </c>
      <c r="AM174" s="22" t="e">
        <f t="shared" si="1391"/>
        <v>#DIV/0!</v>
      </c>
      <c r="AN174" s="22">
        <f t="shared" ref="AN174:AO174" si="1392">AN134-AN167</f>
        <v>0</v>
      </c>
      <c r="AO174" s="22" t="e">
        <f t="shared" si="1392"/>
        <v>#DIV/0!</v>
      </c>
      <c r="AP174" s="22">
        <f t="shared" ref="AP174:CE174" si="1393">AP134-AP167</f>
        <v>0</v>
      </c>
      <c r="AQ174" s="22" t="e">
        <f t="shared" si="1393"/>
        <v>#DIV/0!</v>
      </c>
      <c r="AR174" s="22">
        <f t="shared" si="1393"/>
        <v>0</v>
      </c>
      <c r="AS174" s="22" t="e">
        <f t="shared" si="1393"/>
        <v>#DIV/0!</v>
      </c>
      <c r="AT174" s="22">
        <f t="shared" si="1393"/>
        <v>0</v>
      </c>
      <c r="AU174" s="22" t="e">
        <f t="shared" si="1393"/>
        <v>#DIV/0!</v>
      </c>
      <c r="AV174" s="22">
        <f t="shared" si="1393"/>
        <v>0</v>
      </c>
      <c r="AW174" s="22" t="e">
        <f t="shared" si="1393"/>
        <v>#DIV/0!</v>
      </c>
      <c r="AX174" s="22">
        <f t="shared" si="1393"/>
        <v>0</v>
      </c>
      <c r="AY174" s="22" t="e">
        <f t="shared" si="1393"/>
        <v>#DIV/0!</v>
      </c>
      <c r="AZ174" s="22">
        <f t="shared" si="1393"/>
        <v>0</v>
      </c>
      <c r="BA174" s="22" t="e">
        <f t="shared" si="1393"/>
        <v>#DIV/0!</v>
      </c>
      <c r="BB174" s="22">
        <f t="shared" si="1393"/>
        <v>0</v>
      </c>
      <c r="BC174" s="22" t="e">
        <f t="shared" si="1393"/>
        <v>#DIV/0!</v>
      </c>
      <c r="BD174" s="22">
        <f t="shared" si="1393"/>
        <v>0</v>
      </c>
      <c r="BE174" s="22" t="e">
        <f t="shared" si="1393"/>
        <v>#DIV/0!</v>
      </c>
      <c r="BF174" s="22">
        <f t="shared" si="1393"/>
        <v>0</v>
      </c>
      <c r="BG174" s="22" t="e">
        <f t="shared" si="1393"/>
        <v>#DIV/0!</v>
      </c>
      <c r="BH174" s="22">
        <f t="shared" si="1393"/>
        <v>0</v>
      </c>
      <c r="BI174" s="22" t="e">
        <f t="shared" si="1393"/>
        <v>#DIV/0!</v>
      </c>
      <c r="BJ174" s="22">
        <f t="shared" si="1393"/>
        <v>0</v>
      </c>
      <c r="BK174" s="22" t="e">
        <f t="shared" si="1393"/>
        <v>#DIV/0!</v>
      </c>
      <c r="BL174" s="22">
        <f t="shared" si="1393"/>
        <v>0</v>
      </c>
      <c r="BM174" s="22" t="e">
        <f t="shared" si="1393"/>
        <v>#DIV/0!</v>
      </c>
      <c r="BN174" s="22">
        <f t="shared" si="1393"/>
        <v>0</v>
      </c>
      <c r="BO174" s="22" t="e">
        <f t="shared" si="1393"/>
        <v>#DIV/0!</v>
      </c>
      <c r="BP174" s="22">
        <f t="shared" si="1393"/>
        <v>0</v>
      </c>
      <c r="BQ174" s="22" t="e">
        <f t="shared" si="1393"/>
        <v>#DIV/0!</v>
      </c>
      <c r="BR174" s="22">
        <f t="shared" si="1393"/>
        <v>0</v>
      </c>
      <c r="BS174" s="22" t="e">
        <f t="shared" si="1393"/>
        <v>#DIV/0!</v>
      </c>
      <c r="BT174" s="22">
        <f t="shared" si="1393"/>
        <v>0</v>
      </c>
      <c r="BU174" s="22" t="e">
        <f t="shared" si="1393"/>
        <v>#DIV/0!</v>
      </c>
      <c r="BV174" s="22">
        <f t="shared" si="1393"/>
        <v>0</v>
      </c>
      <c r="BW174" s="22" t="e">
        <f t="shared" si="1393"/>
        <v>#DIV/0!</v>
      </c>
      <c r="BX174" s="22">
        <f t="shared" si="1393"/>
        <v>0</v>
      </c>
      <c r="BY174" s="22" t="e">
        <f t="shared" si="1393"/>
        <v>#DIV/0!</v>
      </c>
      <c r="BZ174" s="22">
        <f t="shared" si="1393"/>
        <v>-1028.98</v>
      </c>
      <c r="CA174" s="22">
        <f t="shared" si="1393"/>
        <v>-1266.8285509023881</v>
      </c>
      <c r="CB174" s="22">
        <f t="shared" si="1393"/>
        <v>0</v>
      </c>
      <c r="CC174" s="22">
        <f t="shared" si="1393"/>
        <v>-170.2199999999998</v>
      </c>
      <c r="CD174" s="22">
        <f t="shared" si="1393"/>
        <v>-1063.74</v>
      </c>
      <c r="CE174" s="22">
        <f t="shared" si="1393"/>
        <v>-1242.2034025594708</v>
      </c>
      <c r="CF174" s="22">
        <f t="shared" ref="CF174:CG174" si="1394">CF134-CF167</f>
        <v>-998.1</v>
      </c>
      <c r="CG174" s="22">
        <f t="shared" si="1394"/>
        <v>-1156.9408628176941</v>
      </c>
      <c r="CH174" s="22">
        <f t="shared" ref="CH174:CI174" si="1395">CH134-CH167</f>
        <v>-1514.29</v>
      </c>
      <c r="CI174" s="22">
        <f t="shared" si="1395"/>
        <v>-1734.8577524209552</v>
      </c>
      <c r="CJ174" s="22">
        <f t="shared" ref="CJ174:DB174" si="1396">CJ134-CJ167</f>
        <v>-1023.29</v>
      </c>
      <c r="CK174" s="21">
        <f t="shared" si="1396"/>
        <v>-998.56482578041755</v>
      </c>
      <c r="CL174" s="22">
        <f t="shared" ref="CL174" si="1397">CL134-CL167</f>
        <v>-847.42000000000007</v>
      </c>
      <c r="CM174" s="21">
        <f t="shared" si="1396"/>
        <v>-1154.5578966560799</v>
      </c>
      <c r="CN174" s="21">
        <f t="shared" si="1396"/>
        <v>-1294.0217590545326</v>
      </c>
      <c r="CO174" s="21">
        <f t="shared" si="1396"/>
        <v>-1460.1299268026287</v>
      </c>
      <c r="CP174" s="21">
        <f t="shared" si="1396"/>
        <v>-1549.6497368719929</v>
      </c>
      <c r="CQ174" s="21">
        <f t="shared" si="1396"/>
        <v>-1895.0489676888278</v>
      </c>
      <c r="CR174" s="21">
        <f t="shared" si="1396"/>
        <v>-2042.7933138533526</v>
      </c>
      <c r="CS174" s="21">
        <f t="shared" si="1396"/>
        <v>-2237.3893849393248</v>
      </c>
      <c r="CT174" s="21">
        <f t="shared" si="1396"/>
        <v>-2354.9990902597369</v>
      </c>
      <c r="CU174" s="21">
        <f t="shared" si="1396"/>
        <v>-2840.7541990580744</v>
      </c>
      <c r="CV174" s="21">
        <f t="shared" si="1396"/>
        <v>-3051.501028022768</v>
      </c>
      <c r="CW174" s="21">
        <f t="shared" si="1396"/>
        <v>-3320.2642191755981</v>
      </c>
      <c r="CX174" s="21">
        <f t="shared" si="1396"/>
        <v>-3493.6833919173682</v>
      </c>
      <c r="CY174" s="21">
        <f t="shared" si="1396"/>
        <v>-4092.9459947731079</v>
      </c>
      <c r="CZ174" s="21">
        <f t="shared" si="1396"/>
        <v>-4350.3890651133679</v>
      </c>
      <c r="DA174" s="21">
        <f t="shared" si="1396"/>
        <v>-4682.0245575524987</v>
      </c>
      <c r="DB174" s="21">
        <f t="shared" si="1396"/>
        <v>-4898.3998835773818</v>
      </c>
      <c r="DE174" s="126"/>
      <c r="DF174" s="22">
        <v>-1175.3285730450398</v>
      </c>
    </row>
    <row r="175" spans="1:110" x14ac:dyDescent="0.2">
      <c r="AA175" s="2"/>
      <c r="CE175" s="111"/>
      <c r="CG175" s="111"/>
      <c r="CL175" s="2"/>
    </row>
    <row r="176" spans="1:110" s="49" customFormat="1" x14ac:dyDescent="0.2">
      <c r="A176" s="49" t="s">
        <v>81</v>
      </c>
      <c r="B176" s="49">
        <f>'Annual Raw'!C85</f>
        <v>0</v>
      </c>
      <c r="C176" s="49">
        <f>'Annual Raw'!D85</f>
        <v>0</v>
      </c>
      <c r="D176" s="49">
        <f>'Annual Raw'!E85</f>
        <v>0</v>
      </c>
      <c r="E176" s="49">
        <f>'Annual Raw'!F85</f>
        <v>14.520202100000001</v>
      </c>
      <c r="F176" s="49">
        <f>'Annual Raw'!G85</f>
        <v>23.2067491</v>
      </c>
      <c r="G176" s="49">
        <f>'Annual Raw'!H85</f>
        <v>34.741900000000001</v>
      </c>
      <c r="H176" s="49">
        <f>'Annual Raw'!I85</f>
        <v>43.925199999999997</v>
      </c>
      <c r="I176" s="49">
        <f>'Annual Raw'!J85</f>
        <v>55.494700000000002</v>
      </c>
      <c r="J176" s="49">
        <f>'Annual Raw'!K85</f>
        <v>67.831400000000002</v>
      </c>
      <c r="K176" s="49">
        <f>'Annual Raw'!L85</f>
        <v>55.070700000000002</v>
      </c>
      <c r="L176" s="49">
        <f>'Annual Raw'!M85</f>
        <v>10.1577</v>
      </c>
      <c r="M176" s="49">
        <f>'Annual Raw'!N85</f>
        <v>27.18</v>
      </c>
      <c r="N176" s="49">
        <f>'Annual Raw'!O85</f>
        <v>98.22</v>
      </c>
      <c r="O176" s="49">
        <f>'Annual Raw'!P85</f>
        <v>146.22</v>
      </c>
      <c r="P176" s="49">
        <f>'Annual Raw'!Q85</f>
        <v>160.43</v>
      </c>
      <c r="Q176" s="49">
        <f>'Annual Raw'!R85</f>
        <v>43.45</v>
      </c>
      <c r="R176" s="49">
        <f>'Annual Raw'!S85</f>
        <v>37.79</v>
      </c>
      <c r="S176" s="49">
        <f>'Annual Raw'!T85</f>
        <v>16.04</v>
      </c>
      <c r="T176" s="49">
        <f>'Annual Raw'!U85</f>
        <v>40.26</v>
      </c>
      <c r="U176" s="49">
        <f>'Annual Raw'!V85</f>
        <v>32.529000000000003</v>
      </c>
      <c r="V176" s="49">
        <f>'Annual Raw'!W85</f>
        <v>38.874000000000002</v>
      </c>
      <c r="W176" s="49">
        <f>'Annual Raw'!X85</f>
        <v>35.978999999999999</v>
      </c>
      <c r="X176" s="49">
        <f>'Annual Raw'!Y85</f>
        <v>28.93</v>
      </c>
      <c r="Y176" s="49">
        <f>'Annual Raw'!Z85</f>
        <v>29.71</v>
      </c>
      <c r="Z176" s="49">
        <f>'Annual Raw'!AA85</f>
        <v>29.71</v>
      </c>
      <c r="AA176" s="49">
        <f>'Annual Raw'!AB85</f>
        <v>40.68</v>
      </c>
      <c r="AB176" s="50"/>
      <c r="AC176" s="50"/>
      <c r="AD176" s="50"/>
      <c r="AE176" s="50"/>
      <c r="CK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E176" s="138"/>
    </row>
    <row r="177" spans="1:110" s="29" customFormat="1" x14ac:dyDescent="0.2">
      <c r="A177" s="29" t="s">
        <v>82</v>
      </c>
      <c r="B177" s="29">
        <f>'Annual Raw'!C95</f>
        <v>0</v>
      </c>
      <c r="C177" s="29">
        <f>'Annual Raw'!D95</f>
        <v>0</v>
      </c>
      <c r="D177" s="29">
        <f>'Annual Raw'!E95</f>
        <v>0</v>
      </c>
      <c r="E177" s="29">
        <f>'Annual Raw'!F95</f>
        <v>0</v>
      </c>
      <c r="F177" s="29">
        <f>'Annual Raw'!G95</f>
        <v>0</v>
      </c>
      <c r="G177" s="29">
        <f>'Annual Raw'!H95</f>
        <v>0</v>
      </c>
      <c r="H177" s="29">
        <f>'Annual Raw'!I95</f>
        <v>0</v>
      </c>
      <c r="I177" s="29">
        <f>'Annual Raw'!J95</f>
        <v>0</v>
      </c>
      <c r="J177" s="29">
        <f>'Annual Raw'!K95</f>
        <v>0</v>
      </c>
      <c r="K177" s="29">
        <f>'Annual Raw'!L95</f>
        <v>0</v>
      </c>
      <c r="L177" s="29">
        <f>'Annual Raw'!M95</f>
        <v>0</v>
      </c>
      <c r="M177" s="29">
        <f>'Annual Raw'!N95</f>
        <v>0</v>
      </c>
      <c r="N177" s="29">
        <f>'Annual Raw'!O95</f>
        <v>0</v>
      </c>
      <c r="O177" s="29">
        <f>'Annual Raw'!P95</f>
        <v>0</v>
      </c>
      <c r="P177" s="29">
        <f>'Annual Raw'!Q95</f>
        <v>0</v>
      </c>
      <c r="Q177" s="29">
        <f>'Annual Raw'!R95</f>
        <v>0</v>
      </c>
      <c r="R177" s="29">
        <f>'Annual Raw'!S95</f>
        <v>0</v>
      </c>
      <c r="S177" s="29">
        <f>'Annual Raw'!T95</f>
        <v>0</v>
      </c>
      <c r="T177" s="29">
        <f>'Annual Raw'!U95</f>
        <v>0</v>
      </c>
      <c r="U177" s="29">
        <f>'Annual Raw'!V95</f>
        <v>0</v>
      </c>
      <c r="V177" s="29">
        <f>'Annual Raw'!W95</f>
        <v>0</v>
      </c>
      <c r="W177" s="29">
        <f>'Annual Raw'!X95</f>
        <v>0</v>
      </c>
      <c r="X177" s="29">
        <f>'Annual Raw'!Y95</f>
        <v>0</v>
      </c>
      <c r="Y177" s="29">
        <f>'Annual Raw'!Z95</f>
        <v>0</v>
      </c>
      <c r="Z177" s="29">
        <f>'Annual Raw'!AA95</f>
        <v>0</v>
      </c>
      <c r="AA177" s="29">
        <f>'Annual Raw'!AB95</f>
        <v>0</v>
      </c>
      <c r="AB177" s="30"/>
      <c r="AC177" s="30"/>
      <c r="AD177" s="30"/>
      <c r="AE177" s="30"/>
      <c r="CK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E177" s="139"/>
    </row>
    <row r="178" spans="1:110" s="29" customFormat="1" x14ac:dyDescent="0.2">
      <c r="A178" s="29" t="s">
        <v>83</v>
      </c>
      <c r="B178" s="29">
        <f>'Annual Raw'!C93</f>
        <v>0</v>
      </c>
      <c r="C178" s="29">
        <f>'Annual Raw'!D93</f>
        <v>0</v>
      </c>
      <c r="D178" s="29">
        <f>'Annual Raw'!E93</f>
        <v>0</v>
      </c>
      <c r="E178" s="29">
        <f>'Annual Raw'!F93</f>
        <v>1.4557297</v>
      </c>
      <c r="F178" s="29">
        <f>'Annual Raw'!G93</f>
        <v>1.4557297</v>
      </c>
      <c r="G178" s="29">
        <f>'Annual Raw'!H93</f>
        <v>1.8269</v>
      </c>
      <c r="H178" s="29">
        <f>'Annual Raw'!I93</f>
        <v>7.2058999999999997</v>
      </c>
      <c r="I178" s="29">
        <f>'Annual Raw'!J93</f>
        <v>6.6833999999999998</v>
      </c>
      <c r="J178" s="29">
        <f>'Annual Raw'!K93</f>
        <v>2.4998</v>
      </c>
      <c r="K178" s="29">
        <f>'Annual Raw'!L93</f>
        <v>3.5089000000000001</v>
      </c>
      <c r="L178" s="29">
        <f>'Annual Raw'!M93</f>
        <v>10.1577</v>
      </c>
      <c r="M178" s="29">
        <f>'Annual Raw'!N93</f>
        <v>27.18</v>
      </c>
      <c r="N178" s="29">
        <f>'Annual Raw'!O93</f>
        <v>31.53</v>
      </c>
      <c r="O178" s="29">
        <f>'Annual Raw'!P93</f>
        <v>32.61</v>
      </c>
      <c r="P178" s="29">
        <f>'Annual Raw'!Q93</f>
        <v>33.36</v>
      </c>
      <c r="Q178" s="29">
        <f>'Annual Raw'!R93</f>
        <v>43.45</v>
      </c>
      <c r="R178" s="29">
        <f>'Annual Raw'!S93</f>
        <v>37.79</v>
      </c>
      <c r="S178" s="29">
        <f>'Annual Raw'!T93</f>
        <v>16.04</v>
      </c>
      <c r="T178" s="29">
        <f>'Annual Raw'!U93</f>
        <v>40.26</v>
      </c>
      <c r="U178" s="29">
        <f>'Annual Raw'!V93</f>
        <v>32.529000000000003</v>
      </c>
      <c r="V178" s="29">
        <f>'Annual Raw'!W93</f>
        <v>38.874000000000002</v>
      </c>
      <c r="W178" s="29">
        <f>'Annual Raw'!X93</f>
        <v>35.978999999999999</v>
      </c>
      <c r="X178" s="29">
        <f>'Annual Raw'!Y93</f>
        <v>28.93</v>
      </c>
      <c r="Y178" s="29">
        <f>'Annual Raw'!Z93</f>
        <v>29.71</v>
      </c>
      <c r="Z178" s="29">
        <f>'Annual Raw'!AA93</f>
        <v>29.71</v>
      </c>
      <c r="AA178" s="29">
        <f>'Annual Raw'!AB93</f>
        <v>40.68</v>
      </c>
      <c r="AB178" s="30"/>
      <c r="AC178" s="30"/>
      <c r="AD178" s="30"/>
      <c r="AE178" s="30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29" customFormat="1" x14ac:dyDescent="0.2">
      <c r="A179" s="29" t="s">
        <v>84</v>
      </c>
      <c r="B179" s="29">
        <f t="shared" ref="B179:V179" si="1398">B176-B177-B178</f>
        <v>0</v>
      </c>
      <c r="C179" s="29">
        <f t="shared" si="1398"/>
        <v>0</v>
      </c>
      <c r="D179" s="29">
        <f t="shared" si="1398"/>
        <v>0</v>
      </c>
      <c r="E179" s="29">
        <f t="shared" si="1398"/>
        <v>13.0644724</v>
      </c>
      <c r="F179" s="29">
        <f t="shared" si="1398"/>
        <v>21.751019400000001</v>
      </c>
      <c r="G179" s="29">
        <f t="shared" si="1398"/>
        <v>32.914999999999999</v>
      </c>
      <c r="H179" s="29">
        <f t="shared" si="1398"/>
        <v>36.719299999999997</v>
      </c>
      <c r="I179" s="29">
        <f t="shared" si="1398"/>
        <v>48.811300000000003</v>
      </c>
      <c r="J179" s="29">
        <f t="shared" si="1398"/>
        <v>65.331600000000009</v>
      </c>
      <c r="K179" s="29">
        <f t="shared" si="1398"/>
        <v>51.561800000000005</v>
      </c>
      <c r="L179" s="29">
        <f t="shared" si="1398"/>
        <v>0</v>
      </c>
      <c r="M179" s="29">
        <f t="shared" si="1398"/>
        <v>0</v>
      </c>
      <c r="N179" s="29">
        <f t="shared" si="1398"/>
        <v>66.69</v>
      </c>
      <c r="O179" s="29">
        <f t="shared" si="1398"/>
        <v>113.61</v>
      </c>
      <c r="P179" s="29">
        <f t="shared" si="1398"/>
        <v>127.07000000000001</v>
      </c>
      <c r="Q179" s="29">
        <f t="shared" si="1398"/>
        <v>0</v>
      </c>
      <c r="R179" s="29">
        <f t="shared" si="1398"/>
        <v>0</v>
      </c>
      <c r="S179" s="29">
        <f t="shared" si="1398"/>
        <v>0</v>
      </c>
      <c r="T179" s="29">
        <f t="shared" si="1398"/>
        <v>0</v>
      </c>
      <c r="U179" s="29">
        <f t="shared" si="1398"/>
        <v>0</v>
      </c>
      <c r="V179" s="29">
        <f t="shared" si="1398"/>
        <v>0</v>
      </c>
      <c r="W179" s="29">
        <f t="shared" ref="W179" si="1399">W176-W177-W178</f>
        <v>0</v>
      </c>
      <c r="X179" s="29">
        <f t="shared" ref="X179:Y179" si="1400">X176-X177-X178</f>
        <v>0</v>
      </c>
      <c r="Y179" s="29">
        <f t="shared" si="1400"/>
        <v>0</v>
      </c>
      <c r="Z179" s="29">
        <f t="shared" ref="Z179:AA179" si="1401">Z176-Z177-Z178</f>
        <v>0</v>
      </c>
      <c r="AA179" s="29">
        <f t="shared" si="1401"/>
        <v>0</v>
      </c>
      <c r="AB179" s="30">
        <f t="shared" ref="AA179:AD179" si="1402">AB176-AB177-AB178</f>
        <v>0</v>
      </c>
      <c r="AC179" s="30">
        <f t="shared" si="1402"/>
        <v>0</v>
      </c>
      <c r="AD179" s="30">
        <f t="shared" si="1402"/>
        <v>0</v>
      </c>
      <c r="AE179" s="30">
        <f t="shared" ref="AE179" si="1403">AE176-AE177-AE178</f>
        <v>0</v>
      </c>
      <c r="CK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  <c r="DF179" s="29">
        <v>0</v>
      </c>
    </row>
    <row r="180" spans="1:110" s="5" customFormat="1" x14ac:dyDescent="0.2">
      <c r="AB180" s="63"/>
      <c r="AC180" s="63"/>
      <c r="AD180" s="63"/>
      <c r="AE180" s="63"/>
      <c r="CE180" s="112"/>
      <c r="CG180" s="112"/>
      <c r="CK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95" customFormat="1" x14ac:dyDescent="0.2">
      <c r="A181" s="95" t="s">
        <v>85</v>
      </c>
      <c r="B181" s="95" t="e">
        <f t="shared" ref="B181:W181" si="1404">B176/B126</f>
        <v>#DIV/0!</v>
      </c>
      <c r="C181" s="95" t="e">
        <f t="shared" si="1404"/>
        <v>#DIV/0!</v>
      </c>
      <c r="D181" s="95" t="e">
        <f t="shared" si="1404"/>
        <v>#DIV/0!</v>
      </c>
      <c r="E181" s="95">
        <f t="shared" si="1404"/>
        <v>0.49116303945386408</v>
      </c>
      <c r="F181" s="95">
        <f t="shared" si="1404"/>
        <v>0.68535421428720844</v>
      </c>
      <c r="G181" s="95">
        <f t="shared" si="1404"/>
        <v>0.12360089411853439</v>
      </c>
      <c r="H181" s="95">
        <f t="shared" si="1404"/>
        <v>0.12776950224951836</v>
      </c>
      <c r="I181" s="95">
        <f t="shared" si="1404"/>
        <v>0.15199251084659149</v>
      </c>
      <c r="J181" s="95">
        <f t="shared" si="1404"/>
        <v>0.19840089198123612</v>
      </c>
      <c r="K181" s="95">
        <f t="shared" si="1404"/>
        <v>0.15861002130710047</v>
      </c>
      <c r="L181" s="95">
        <f t="shared" si="1404"/>
        <v>2.1715340209562003E-2</v>
      </c>
      <c r="M181" s="95">
        <f t="shared" si="1404"/>
        <v>3.4809113379352739E-2</v>
      </c>
      <c r="N181" s="95">
        <f t="shared" si="1404"/>
        <v>0.10307806941135726</v>
      </c>
      <c r="O181" s="95">
        <f t="shared" si="1404"/>
        <v>0.12384808239598863</v>
      </c>
      <c r="P181" s="95">
        <f t="shared" si="1404"/>
        <v>0.15061586991625669</v>
      </c>
      <c r="Q181" s="95">
        <f t="shared" si="1404"/>
        <v>3.0985473553595246E-2</v>
      </c>
      <c r="R181" s="95">
        <f t="shared" si="1404"/>
        <v>2.659338648726628E-2</v>
      </c>
      <c r="S181" s="95">
        <f t="shared" si="1404"/>
        <v>1.0345183427067747E-2</v>
      </c>
      <c r="T181" s="95">
        <f t="shared" si="1404"/>
        <v>2.2914058053500285E-2</v>
      </c>
      <c r="U181" s="95">
        <f t="shared" si="1404"/>
        <v>1.7558575817000873E-2</v>
      </c>
      <c r="V181" s="95">
        <f t="shared" si="1404"/>
        <v>1.8147154686357751E-2</v>
      </c>
      <c r="W181" s="95">
        <f t="shared" si="1404"/>
        <v>1.5779148928518647E-2</v>
      </c>
      <c r="X181" s="95">
        <f t="shared" ref="X181:Y181" si="1405">X176/X126</f>
        <v>9.6773654016625126E-3</v>
      </c>
      <c r="Y181" s="95">
        <f t="shared" si="1405"/>
        <v>9.2243590141640949E-3</v>
      </c>
      <c r="Z181" s="95">
        <f t="shared" ref="Z181:AA181" si="1406">Z176/Z126</f>
        <v>8.3002274111448216E-3</v>
      </c>
      <c r="AA181" s="95">
        <f t="shared" si="1406"/>
        <v>1.036863716651756E-2</v>
      </c>
      <c r="AB181" s="87">
        <f t="shared" ref="AA181:AD181" si="1407">AB176/AB126</f>
        <v>0</v>
      </c>
      <c r="AC181" s="87">
        <f t="shared" si="1407"/>
        <v>0</v>
      </c>
      <c r="AD181" s="87">
        <f t="shared" si="1407"/>
        <v>0</v>
      </c>
      <c r="AE181" s="87">
        <f t="shared" ref="AE181" si="1408">AE176/AE126</f>
        <v>0</v>
      </c>
      <c r="CK181" s="96"/>
      <c r="CM181" s="96"/>
      <c r="CN181" s="96"/>
      <c r="CO181" s="96"/>
      <c r="CP181" s="96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E181" s="140"/>
      <c r="DF181" s="95">
        <v>0</v>
      </c>
    </row>
    <row r="182" spans="1:110" x14ac:dyDescent="0.2">
      <c r="A182" s="152" t="s">
        <v>492</v>
      </c>
      <c r="AA182" s="2"/>
      <c r="CE182" s="111"/>
      <c r="CG182" s="111"/>
      <c r="CL182" s="2"/>
    </row>
    <row r="183" spans="1:110" s="6" customFormat="1" x14ac:dyDescent="0.2">
      <c r="AB183" s="19"/>
      <c r="AC183" s="19"/>
      <c r="AD183" s="19"/>
      <c r="AE183" s="19"/>
      <c r="CE183" s="113"/>
      <c r="CG183" s="113"/>
      <c r="CK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62" customFormat="1" x14ac:dyDescent="0.2">
      <c r="A184" s="153" t="s">
        <v>493</v>
      </c>
      <c r="AB184" s="63"/>
      <c r="AC184" s="63"/>
      <c r="AD184" s="63"/>
      <c r="AE184" s="63"/>
      <c r="CE184" s="114"/>
      <c r="CG184" s="114"/>
      <c r="CK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62" customFormat="1" outlineLevel="1" x14ac:dyDescent="0.2">
      <c r="A185" s="68" t="s">
        <v>464</v>
      </c>
      <c r="B185" s="67" t="e">
        <f t="shared" ref="B185:AE185" si="1409">B150/B14*365</f>
        <v>#DIV/0!</v>
      </c>
      <c r="C185" s="67" t="e">
        <f t="shared" si="1409"/>
        <v>#DIV/0!</v>
      </c>
      <c r="D185" s="67" t="e">
        <f t="shared" si="1409"/>
        <v>#DIV/0!</v>
      </c>
      <c r="E185" s="67">
        <f t="shared" si="1409"/>
        <v>0.16873169347048958</v>
      </c>
      <c r="F185" s="67">
        <f t="shared" si="1409"/>
        <v>3.8205360566592718E-2</v>
      </c>
      <c r="G185" s="67">
        <f t="shared" si="1409"/>
        <v>3.375897604208193</v>
      </c>
      <c r="H185" s="67">
        <f t="shared" si="1409"/>
        <v>1.9498968797631806</v>
      </c>
      <c r="I185" s="67">
        <f t="shared" si="1409"/>
        <v>0.73060406659391164</v>
      </c>
      <c r="J185" s="67">
        <f t="shared" si="1409"/>
        <v>0.56836754899447095</v>
      </c>
      <c r="K185" s="67">
        <f t="shared" si="1409"/>
        <v>1.8213063058349768</v>
      </c>
      <c r="L185" s="67">
        <f t="shared" si="1409"/>
        <v>0.22431912713031413</v>
      </c>
      <c r="M185" s="67">
        <f t="shared" si="1409"/>
        <v>1.1110367037823952E-2</v>
      </c>
      <c r="N185" s="67">
        <f t="shared" si="1409"/>
        <v>1.0977443609022556E-2</v>
      </c>
      <c r="O185" s="67">
        <f t="shared" si="1409"/>
        <v>0</v>
      </c>
      <c r="P185" s="67">
        <f t="shared" si="1409"/>
        <v>0.10552386092051499</v>
      </c>
      <c r="Q185" s="67">
        <f t="shared" si="1409"/>
        <v>0</v>
      </c>
      <c r="R185" s="67">
        <f t="shared" si="1409"/>
        <v>2.6053284319848677E-3</v>
      </c>
      <c r="S185" s="67">
        <f t="shared" si="1409"/>
        <v>0.16951639989894038</v>
      </c>
      <c r="T185" s="67">
        <f t="shared" si="1409"/>
        <v>4.9622562631491292E-3</v>
      </c>
      <c r="U185" s="67">
        <f t="shared" si="1409"/>
        <v>0</v>
      </c>
      <c r="V185" s="67">
        <f t="shared" si="1409"/>
        <v>0</v>
      </c>
      <c r="W185" s="67">
        <f t="shared" si="1409"/>
        <v>0</v>
      </c>
      <c r="X185" s="67">
        <f t="shared" si="1409"/>
        <v>0</v>
      </c>
      <c r="Y185" s="67">
        <f t="shared" si="1409"/>
        <v>0</v>
      </c>
      <c r="Z185" s="67">
        <f t="shared" si="1409"/>
        <v>0</v>
      </c>
      <c r="AA185" s="67">
        <f t="shared" ref="AA185" si="1410">AA150/AA14*365</f>
        <v>0</v>
      </c>
      <c r="AB185" s="18">
        <f t="shared" si="1409"/>
        <v>0</v>
      </c>
      <c r="AC185" s="18">
        <f t="shared" si="1409"/>
        <v>0</v>
      </c>
      <c r="AD185" s="18">
        <f t="shared" si="1409"/>
        <v>0</v>
      </c>
      <c r="AE185" s="18">
        <f t="shared" si="1409"/>
        <v>0</v>
      </c>
      <c r="AI185" s="67" t="e">
        <f>AJ150/AI14*90</f>
        <v>#DIV/0!</v>
      </c>
      <c r="AJ185" s="67" t="e">
        <f>AJ150/AJ14*90</f>
        <v>#DIV/0!</v>
      </c>
      <c r="AK185" s="67" t="e">
        <f t="shared" ref="AK185:CE185" si="1411">+AJ185</f>
        <v>#DIV/0!</v>
      </c>
      <c r="AL185" s="67" t="e">
        <f>AL150/AL14*90</f>
        <v>#DIV/0!</v>
      </c>
      <c r="AM185" s="67" t="e">
        <f t="shared" ref="AM185:AM186" si="1412">+AL185</f>
        <v>#DIV/0!</v>
      </c>
      <c r="AN185" s="67" t="e">
        <f>AN150/AN14*90</f>
        <v>#DIV/0!</v>
      </c>
      <c r="AO185" s="67" t="e">
        <f t="shared" ref="AO185:AO186" si="1413">+AN185</f>
        <v>#DIV/0!</v>
      </c>
      <c r="AP185" s="67" t="e">
        <f>AP150/AP14*90</f>
        <v>#DIV/0!</v>
      </c>
      <c r="AQ185" s="67" t="e">
        <f t="shared" ref="AQ185:AQ186" si="1414">+AP185</f>
        <v>#DIV/0!</v>
      </c>
      <c r="AR185" s="67" t="e">
        <f>AR150/AR14*90</f>
        <v>#DIV/0!</v>
      </c>
      <c r="AS185" s="67" t="e">
        <f t="shared" ref="AS185:AS186" si="1415">+AR185</f>
        <v>#DIV/0!</v>
      </c>
      <c r="AT185" s="67" t="e">
        <f>AT150/AT14*90</f>
        <v>#DIV/0!</v>
      </c>
      <c r="AU185" s="67" t="e">
        <f t="shared" ref="AU185:AU186" si="1416">+AT185</f>
        <v>#DIV/0!</v>
      </c>
      <c r="AV185" s="67" t="e">
        <f>AV150/AV14*90</f>
        <v>#DIV/0!</v>
      </c>
      <c r="AW185" s="67" t="e">
        <f t="shared" ref="AW185:AW186" si="1417">+AV185</f>
        <v>#DIV/0!</v>
      </c>
      <c r="AX185" s="67" t="e">
        <f>AX150/AX14*90</f>
        <v>#DIV/0!</v>
      </c>
      <c r="AY185" s="67" t="e">
        <f t="shared" ref="AY185:AY186" si="1418">+AX185</f>
        <v>#DIV/0!</v>
      </c>
      <c r="AZ185" s="67" t="e">
        <f>AZ150/AZ14*90</f>
        <v>#DIV/0!</v>
      </c>
      <c r="BA185" s="67" t="e">
        <f t="shared" ref="BA185:BA186" si="1419">+AZ185</f>
        <v>#DIV/0!</v>
      </c>
      <c r="BB185" s="67" t="e">
        <f>BB150/BB14*90</f>
        <v>#DIV/0!</v>
      </c>
      <c r="BC185" s="67" t="e">
        <f t="shared" ref="BC185:BC186" si="1420">+BB185</f>
        <v>#DIV/0!</v>
      </c>
      <c r="BD185" s="67" t="e">
        <f>BD150/BD14*90</f>
        <v>#DIV/0!</v>
      </c>
      <c r="BE185" s="67" t="e">
        <f t="shared" ref="BE185:BE186" si="1421">+BD185</f>
        <v>#DIV/0!</v>
      </c>
      <c r="BF185" s="67" t="e">
        <f>BF150/BF14*90</f>
        <v>#DIV/0!</v>
      </c>
      <c r="BG185" s="67" t="e">
        <f t="shared" ref="BG185:BG186" si="1422">+BF185</f>
        <v>#DIV/0!</v>
      </c>
      <c r="BH185" s="67" t="e">
        <f>BH150/BH14*90</f>
        <v>#DIV/0!</v>
      </c>
      <c r="BI185" s="67" t="e">
        <f t="shared" ref="BI185:BI186" si="1423">+BH185</f>
        <v>#DIV/0!</v>
      </c>
      <c r="BJ185" s="67" t="e">
        <f>BJ150/BJ14*90</f>
        <v>#DIV/0!</v>
      </c>
      <c r="BK185" s="67" t="e">
        <f t="shared" ref="BK185:BK186" si="1424">+BJ185</f>
        <v>#DIV/0!</v>
      </c>
      <c r="BL185" s="67" t="e">
        <f>BL150/BL14*90</f>
        <v>#DIV/0!</v>
      </c>
      <c r="BM185" s="67" t="e">
        <f t="shared" ref="BM185:BM186" si="1425">+BL185</f>
        <v>#DIV/0!</v>
      </c>
      <c r="BN185" s="67" t="e">
        <f>BN150/BN14*90</f>
        <v>#DIV/0!</v>
      </c>
      <c r="BO185" s="67" t="e">
        <f t="shared" ref="BO185:BO186" si="1426">+BN185</f>
        <v>#DIV/0!</v>
      </c>
      <c r="BP185" s="67" t="e">
        <f>BP150/BP14*90</f>
        <v>#DIV/0!</v>
      </c>
      <c r="BQ185" s="67" t="e">
        <f t="shared" ref="BQ185:BQ186" si="1427">+BP185</f>
        <v>#DIV/0!</v>
      </c>
      <c r="BR185" s="67" t="e">
        <f>BR150/BR14*90</f>
        <v>#DIV/0!</v>
      </c>
      <c r="BS185" s="67" t="e">
        <f t="shared" ref="BS185:BS186" si="1428">+BR185</f>
        <v>#DIV/0!</v>
      </c>
      <c r="BT185" s="67" t="e">
        <f>BT150/BT14*90</f>
        <v>#DIV/0!</v>
      </c>
      <c r="BU185" s="67" t="e">
        <f t="shared" ref="BU185:BU186" si="1429">+BT185</f>
        <v>#DIV/0!</v>
      </c>
      <c r="BV185" s="67" t="e">
        <f>BV150/BV14*90</f>
        <v>#DIV/0!</v>
      </c>
      <c r="BW185" s="67" t="e">
        <f t="shared" ref="BW185:BW186" si="1430">+BV185</f>
        <v>#DIV/0!</v>
      </c>
      <c r="BX185" s="67" t="e">
        <f>BX150/BX14*90</f>
        <v>#DIV/0!</v>
      </c>
      <c r="BY185" s="67" t="e">
        <f t="shared" ref="BY185:BY186" si="1431">+BX185</f>
        <v>#DIV/0!</v>
      </c>
      <c r="BZ185" s="67">
        <f>BZ150/BZ14*90</f>
        <v>0</v>
      </c>
      <c r="CA185" s="67">
        <f t="shared" ref="CA185:CA186" si="1432">+BZ185</f>
        <v>0</v>
      </c>
      <c r="CB185" s="67">
        <f>CB150/CB14*90</f>
        <v>0</v>
      </c>
      <c r="CC185" s="67">
        <f t="shared" ref="CC185:CC186" si="1433">+CB185</f>
        <v>0</v>
      </c>
      <c r="CD185" s="67">
        <f>CD150/CD14*90</f>
        <v>0</v>
      </c>
      <c r="CE185" s="67">
        <f t="shared" si="1411"/>
        <v>0</v>
      </c>
      <c r="CF185" s="67">
        <f>CF150/CF14*90</f>
        <v>0</v>
      </c>
      <c r="CG185" s="67">
        <f t="shared" ref="CG185:CI186" si="1434">+CF185</f>
        <v>0</v>
      </c>
      <c r="CH185" s="67">
        <f>CH150/CH14*90</f>
        <v>0</v>
      </c>
      <c r="CI185" s="67">
        <f t="shared" si="1434"/>
        <v>0</v>
      </c>
      <c r="CJ185" s="67">
        <f>CJ150/CJ14*90</f>
        <v>0</v>
      </c>
      <c r="CK185" s="30">
        <f t="shared" ref="CK185:CK186" si="1435">+CJ185</f>
        <v>0</v>
      </c>
      <c r="CL185" s="67">
        <f>CL150/CL14*90</f>
        <v>0</v>
      </c>
      <c r="CM185" s="30">
        <f t="shared" ref="CM185:CM186" si="1436">+CL185</f>
        <v>0</v>
      </c>
      <c r="CN185" s="30">
        <f t="shared" ref="CN185:CN186" si="1437">+CM185</f>
        <v>0</v>
      </c>
      <c r="CO185" s="30">
        <f t="shared" ref="CO185:CO186" si="1438">+CN185</f>
        <v>0</v>
      </c>
      <c r="CP185" s="30">
        <f t="shared" ref="CP185:CP186" si="1439">+CO185</f>
        <v>0</v>
      </c>
      <c r="CQ185" s="30">
        <f t="shared" ref="CQ185:CQ186" si="1440">+CP185</f>
        <v>0</v>
      </c>
      <c r="CR185" s="30">
        <f t="shared" ref="CR185:CR186" si="1441">+CQ185</f>
        <v>0</v>
      </c>
      <c r="CS185" s="30">
        <f t="shared" ref="CS185:CS186" si="1442">+CR185</f>
        <v>0</v>
      </c>
      <c r="CT185" s="30">
        <f t="shared" ref="CT185:CT186" si="1443">+CS185</f>
        <v>0</v>
      </c>
      <c r="CU185" s="30">
        <f t="shared" ref="CU185:CU186" si="1444">+CT185</f>
        <v>0</v>
      </c>
      <c r="CV185" s="30">
        <f t="shared" ref="CV185:CV186" si="1445">+CU185</f>
        <v>0</v>
      </c>
      <c r="CW185" s="30">
        <f t="shared" ref="CW185:CW186" si="1446">+CV185</f>
        <v>0</v>
      </c>
      <c r="CX185" s="30">
        <f t="shared" ref="CX185:CX186" si="1447">+CW185</f>
        <v>0</v>
      </c>
      <c r="CY185" s="30">
        <f t="shared" ref="CY185:CY186" si="1448">+CX185</f>
        <v>0</v>
      </c>
      <c r="CZ185" s="30">
        <f t="shared" ref="CZ185:CZ186" si="1449">+CY185</f>
        <v>0</v>
      </c>
      <c r="DA185" s="30">
        <f t="shared" ref="DA185:DA186" si="1450">+CZ185</f>
        <v>0</v>
      </c>
      <c r="DB185" s="30">
        <f t="shared" ref="DB185:DB186" si="1451">+DA185</f>
        <v>0</v>
      </c>
      <c r="DE185" s="139"/>
      <c r="DF185" s="62">
        <v>0</v>
      </c>
    </row>
    <row r="186" spans="1:110" s="62" customFormat="1" outlineLevel="1" x14ac:dyDescent="0.2">
      <c r="A186" s="68" t="s">
        <v>465</v>
      </c>
      <c r="B186" s="67" t="e">
        <f t="shared" ref="B186:AE186" si="1452">B151/B14*365</f>
        <v>#DIV/0!</v>
      </c>
      <c r="C186" s="67" t="e">
        <f t="shared" si="1452"/>
        <v>#DIV/0!</v>
      </c>
      <c r="D186" s="67" t="e">
        <f t="shared" si="1452"/>
        <v>#DIV/0!</v>
      </c>
      <c r="E186" s="67">
        <f t="shared" si="1452"/>
        <v>53.385841324057019</v>
      </c>
      <c r="F186" s="67">
        <f t="shared" si="1452"/>
        <v>46.559351454554395</v>
      </c>
      <c r="G186" s="67">
        <f t="shared" si="1452"/>
        <v>95.564582307107216</v>
      </c>
      <c r="H186" s="67">
        <f t="shared" si="1452"/>
        <v>79.661988684737295</v>
      </c>
      <c r="I186" s="67">
        <f t="shared" si="1452"/>
        <v>78.360097711906704</v>
      </c>
      <c r="J186" s="67">
        <f t="shared" si="1452"/>
        <v>85.902180131394857</v>
      </c>
      <c r="K186" s="67">
        <f t="shared" si="1452"/>
        <v>76.054908769393919</v>
      </c>
      <c r="L186" s="67">
        <f t="shared" si="1452"/>
        <v>69.04252327741078</v>
      </c>
      <c r="M186" s="67">
        <f t="shared" si="1452"/>
        <v>64.444572966194045</v>
      </c>
      <c r="N186" s="67">
        <f t="shared" si="1452"/>
        <v>57.761478696741854</v>
      </c>
      <c r="O186" s="67">
        <f t="shared" si="1452"/>
        <v>47.820768197231764</v>
      </c>
      <c r="P186" s="67">
        <f t="shared" si="1452"/>
        <v>51.132642047644744</v>
      </c>
      <c r="Q186" s="67">
        <f t="shared" si="1452"/>
        <v>60.627939389873973</v>
      </c>
      <c r="R186" s="67">
        <f t="shared" si="1452"/>
        <v>68.514927104338057</v>
      </c>
      <c r="S186" s="67">
        <f t="shared" si="1452"/>
        <v>82.052718207083089</v>
      </c>
      <c r="T186" s="67">
        <f t="shared" si="1452"/>
        <v>71.416792139242261</v>
      </c>
      <c r="U186" s="67">
        <f t="shared" si="1452"/>
        <v>92.580618185834439</v>
      </c>
      <c r="V186" s="67">
        <f t="shared" si="1452"/>
        <v>91.330062316483065</v>
      </c>
      <c r="W186" s="67">
        <f t="shared" si="1452"/>
        <v>79.438621592370765</v>
      </c>
      <c r="X186" s="67">
        <f t="shared" si="1452"/>
        <v>91.471190572201408</v>
      </c>
      <c r="Y186" s="67">
        <f t="shared" si="1452"/>
        <v>81.87463847416555</v>
      </c>
      <c r="Z186" s="67">
        <f t="shared" si="1452"/>
        <v>71.012731089591654</v>
      </c>
      <c r="AA186" s="67">
        <f t="shared" ref="AA186" si="1453">AA151/AA14*365</f>
        <v>78.684659354072323</v>
      </c>
      <c r="AB186" s="18">
        <f t="shared" si="1452"/>
        <v>81.650630920571516</v>
      </c>
      <c r="AC186" s="18">
        <f t="shared" si="1452"/>
        <v>83.315323278815796</v>
      </c>
      <c r="AD186" s="18">
        <f t="shared" si="1452"/>
        <v>83.54793968528594</v>
      </c>
      <c r="AE186" s="18">
        <f t="shared" si="1452"/>
        <v>83.573987525384538</v>
      </c>
      <c r="AI186" s="67" t="e">
        <f>AJ151/AI14*90</f>
        <v>#DIV/0!</v>
      </c>
      <c r="AJ186" s="67" t="e">
        <f>AJ151/AJ14*90</f>
        <v>#DIV/0!</v>
      </c>
      <c r="AK186" s="67" t="e">
        <f>+AJ186</f>
        <v>#DIV/0!</v>
      </c>
      <c r="AL186" s="67" t="e">
        <f>AL151/AL14*90</f>
        <v>#DIV/0!</v>
      </c>
      <c r="AM186" s="67" t="e">
        <f t="shared" si="1412"/>
        <v>#DIV/0!</v>
      </c>
      <c r="AN186" s="67" t="e">
        <f>AN151/AN14*90</f>
        <v>#DIV/0!</v>
      </c>
      <c r="AO186" s="67" t="e">
        <f t="shared" si="1413"/>
        <v>#DIV/0!</v>
      </c>
      <c r="AP186" s="67" t="e">
        <f>AP151/AP14*90</f>
        <v>#DIV/0!</v>
      </c>
      <c r="AQ186" s="67" t="e">
        <f t="shared" si="1414"/>
        <v>#DIV/0!</v>
      </c>
      <c r="AR186" s="67" t="e">
        <f>AR151/AR14*90</f>
        <v>#DIV/0!</v>
      </c>
      <c r="AS186" s="67" t="e">
        <f t="shared" si="1415"/>
        <v>#DIV/0!</v>
      </c>
      <c r="AT186" s="67" t="e">
        <f>AT151/AT14*90</f>
        <v>#DIV/0!</v>
      </c>
      <c r="AU186" s="67" t="e">
        <f t="shared" si="1416"/>
        <v>#DIV/0!</v>
      </c>
      <c r="AV186" s="67" t="e">
        <f>AV151/AV14*90</f>
        <v>#DIV/0!</v>
      </c>
      <c r="AW186" s="67" t="e">
        <f t="shared" si="1417"/>
        <v>#DIV/0!</v>
      </c>
      <c r="AX186" s="67" t="e">
        <f>AX151/AX14*90</f>
        <v>#DIV/0!</v>
      </c>
      <c r="AY186" s="67" t="e">
        <f t="shared" si="1418"/>
        <v>#DIV/0!</v>
      </c>
      <c r="AZ186" s="67" t="e">
        <f>AZ151/AZ14*90</f>
        <v>#DIV/0!</v>
      </c>
      <c r="BA186" s="67" t="e">
        <f t="shared" si="1419"/>
        <v>#DIV/0!</v>
      </c>
      <c r="BB186" s="67" t="e">
        <f>BB151/BB14*90</f>
        <v>#DIV/0!</v>
      </c>
      <c r="BC186" s="67" t="e">
        <f t="shared" si="1420"/>
        <v>#DIV/0!</v>
      </c>
      <c r="BD186" s="67" t="e">
        <f>BD151/BD14*90</f>
        <v>#DIV/0!</v>
      </c>
      <c r="BE186" s="67" t="e">
        <f t="shared" si="1421"/>
        <v>#DIV/0!</v>
      </c>
      <c r="BF186" s="67" t="e">
        <f>BF151/BF14*90</f>
        <v>#DIV/0!</v>
      </c>
      <c r="BG186" s="67" t="e">
        <f t="shared" si="1422"/>
        <v>#DIV/0!</v>
      </c>
      <c r="BH186" s="67" t="e">
        <f>BH151/BH14*90</f>
        <v>#DIV/0!</v>
      </c>
      <c r="BI186" s="67" t="e">
        <f t="shared" si="1423"/>
        <v>#DIV/0!</v>
      </c>
      <c r="BJ186" s="67" t="e">
        <f>BJ151/BJ14*90</f>
        <v>#DIV/0!</v>
      </c>
      <c r="BK186" s="67" t="e">
        <f t="shared" si="1424"/>
        <v>#DIV/0!</v>
      </c>
      <c r="BL186" s="67" t="e">
        <f>BL151/BL14*90</f>
        <v>#DIV/0!</v>
      </c>
      <c r="BM186" s="67" t="e">
        <f t="shared" si="1425"/>
        <v>#DIV/0!</v>
      </c>
      <c r="BN186" s="67" t="e">
        <f>BN151/BN14*90</f>
        <v>#DIV/0!</v>
      </c>
      <c r="BO186" s="67" t="e">
        <f t="shared" si="1426"/>
        <v>#DIV/0!</v>
      </c>
      <c r="BP186" s="67" t="e">
        <f>BP151/BP14*90</f>
        <v>#DIV/0!</v>
      </c>
      <c r="BQ186" s="67" t="e">
        <f t="shared" si="1427"/>
        <v>#DIV/0!</v>
      </c>
      <c r="BR186" s="67" t="e">
        <f>BR151/BR14*90</f>
        <v>#DIV/0!</v>
      </c>
      <c r="BS186" s="67" t="e">
        <f t="shared" si="1428"/>
        <v>#DIV/0!</v>
      </c>
      <c r="BT186" s="67" t="e">
        <f>BT151/BT14*90</f>
        <v>#DIV/0!</v>
      </c>
      <c r="BU186" s="67" t="e">
        <f t="shared" si="1429"/>
        <v>#DIV/0!</v>
      </c>
      <c r="BV186" s="67" t="e">
        <f>BV151/BV14*90</f>
        <v>#DIV/0!</v>
      </c>
      <c r="BW186" s="67" t="e">
        <f t="shared" si="1430"/>
        <v>#DIV/0!</v>
      </c>
      <c r="BX186" s="67" t="e">
        <f>BX151/BX14*90</f>
        <v>#DIV/0!</v>
      </c>
      <c r="BY186" s="67" t="e">
        <f t="shared" si="1431"/>
        <v>#DIV/0!</v>
      </c>
      <c r="BZ186" s="67">
        <f>BZ151/BZ14*90</f>
        <v>70.992947753477978</v>
      </c>
      <c r="CA186" s="67">
        <f t="shared" si="1432"/>
        <v>70.992947753477978</v>
      </c>
      <c r="CB186" s="67">
        <f>CB151/CB14*90</f>
        <v>0</v>
      </c>
      <c r="CC186" s="67">
        <f t="shared" si="1433"/>
        <v>0</v>
      </c>
      <c r="CD186" s="67">
        <f>CD151/CD14*90</f>
        <v>79.403097498174546</v>
      </c>
      <c r="CE186" s="114">
        <f t="shared" ref="CE186" si="1454">+CD186</f>
        <v>79.403097498174546</v>
      </c>
      <c r="CF186" s="67">
        <f>CF151/CF14*90</f>
        <v>74.735161402290871</v>
      </c>
      <c r="CG186" s="67">
        <f t="shared" si="1434"/>
        <v>74.735161402290871</v>
      </c>
      <c r="CH186" s="67">
        <f>CH151/CH14*90</f>
        <v>70.392019600980035</v>
      </c>
      <c r="CI186" s="67">
        <f t="shared" si="1434"/>
        <v>70.392019600980035</v>
      </c>
      <c r="CJ186" s="67">
        <f>CJ151/CJ14*90</f>
        <v>85.726236086236995</v>
      </c>
      <c r="CK186" s="30">
        <f t="shared" si="1435"/>
        <v>85.726236086236995</v>
      </c>
      <c r="CL186" s="67">
        <f>CL151/CL14*90</f>
        <v>67.940491788680959</v>
      </c>
      <c r="CM186" s="30">
        <f t="shared" si="1436"/>
        <v>67.940491788680959</v>
      </c>
      <c r="CN186" s="30">
        <f t="shared" si="1437"/>
        <v>67.940491788680959</v>
      </c>
      <c r="CO186" s="30">
        <f t="shared" si="1438"/>
        <v>67.940491788680959</v>
      </c>
      <c r="CP186" s="30">
        <f t="shared" si="1439"/>
        <v>67.940491788680959</v>
      </c>
      <c r="CQ186" s="30">
        <f t="shared" si="1440"/>
        <v>67.940491788680959</v>
      </c>
      <c r="CR186" s="30">
        <f t="shared" si="1441"/>
        <v>67.940491788680959</v>
      </c>
      <c r="CS186" s="30">
        <f t="shared" si="1442"/>
        <v>67.940491788680959</v>
      </c>
      <c r="CT186" s="30">
        <f t="shared" si="1443"/>
        <v>67.940491788680959</v>
      </c>
      <c r="CU186" s="30">
        <f t="shared" si="1444"/>
        <v>67.940491788680959</v>
      </c>
      <c r="CV186" s="30">
        <f t="shared" si="1445"/>
        <v>67.940491788680959</v>
      </c>
      <c r="CW186" s="30">
        <f t="shared" si="1446"/>
        <v>67.940491788680959</v>
      </c>
      <c r="CX186" s="30">
        <f t="shared" si="1447"/>
        <v>67.940491788680959</v>
      </c>
      <c r="CY186" s="30">
        <f t="shared" si="1448"/>
        <v>67.940491788680959</v>
      </c>
      <c r="CZ186" s="30">
        <f t="shared" si="1449"/>
        <v>67.940491788680959</v>
      </c>
      <c r="DA186" s="30">
        <f t="shared" si="1450"/>
        <v>67.940491788680959</v>
      </c>
      <c r="DB186" s="30">
        <f t="shared" si="1451"/>
        <v>67.940491788680959</v>
      </c>
      <c r="DE186" s="139"/>
      <c r="DF186" s="62">
        <v>85.726236086236995</v>
      </c>
    </row>
    <row r="187" spans="1:110" s="62" customFormat="1" outlineLevel="1" x14ac:dyDescent="0.2">
      <c r="A187" s="68" t="s">
        <v>466</v>
      </c>
      <c r="B187" s="67" t="e">
        <f>B188-B186-B185</f>
        <v>#DIV/0!</v>
      </c>
      <c r="C187" s="67" t="e">
        <f t="shared" ref="C187:U187" si="1455">C188-C186-C185</f>
        <v>#DIV/0!</v>
      </c>
      <c r="D187" s="67" t="e">
        <f t="shared" si="1455"/>
        <v>#DIV/0!</v>
      </c>
      <c r="E187" s="67">
        <f t="shared" si="1455"/>
        <v>30.213786007281719</v>
      </c>
      <c r="F187" s="67">
        <f t="shared" si="1455"/>
        <v>29.548401491959716</v>
      </c>
      <c r="G187" s="67">
        <f t="shared" si="1455"/>
        <v>24.948962200027466</v>
      </c>
      <c r="H187" s="67">
        <f t="shared" si="1455"/>
        <v>19.326398350420369</v>
      </c>
      <c r="I187" s="67">
        <f t="shared" si="1455"/>
        <v>28.714174222765081</v>
      </c>
      <c r="J187" s="67">
        <f t="shared" si="1455"/>
        <v>33.353862203307685</v>
      </c>
      <c r="K187" s="67">
        <f t="shared" si="1455"/>
        <v>44.252618026536965</v>
      </c>
      <c r="L187" s="67">
        <f t="shared" si="1455"/>
        <v>27.784164749094472</v>
      </c>
      <c r="M187" s="67">
        <f t="shared" si="1455"/>
        <v>36.850865391054491</v>
      </c>
      <c r="N187" s="67">
        <f t="shared" si="1455"/>
        <v>57.841979949874691</v>
      </c>
      <c r="O187" s="67">
        <f t="shared" si="1455"/>
        <v>24.050502249994672</v>
      </c>
      <c r="P187" s="67">
        <f t="shared" si="1455"/>
        <v>53.373968853596487</v>
      </c>
      <c r="Q187" s="67">
        <f t="shared" si="1455"/>
        <v>48.478411555575434</v>
      </c>
      <c r="R187" s="67">
        <f t="shared" si="1455"/>
        <v>35.519745177465708</v>
      </c>
      <c r="S187" s="67">
        <f t="shared" si="1455"/>
        <v>57.665410852021949</v>
      </c>
      <c r="T187" s="67">
        <f t="shared" si="1455"/>
        <v>49.10152572386064</v>
      </c>
      <c r="U187" s="67">
        <f t="shared" si="1455"/>
        <v>34.919792921244479</v>
      </c>
      <c r="V187" s="67">
        <f>V188-V186-V185</f>
        <v>86.40628734127398</v>
      </c>
      <c r="W187" s="67">
        <f t="shared" ref="W187" si="1456">W188-W186-W185</f>
        <v>95.878192306166738</v>
      </c>
      <c r="X187" s="67">
        <f t="shared" ref="X187:Y187" si="1457">X188-X186-X185</f>
        <v>150.17310123284506</v>
      </c>
      <c r="Y187" s="67">
        <f t="shared" si="1457"/>
        <v>140.00986867818344</v>
      </c>
      <c r="Z187" s="67">
        <f t="shared" ref="Z187:AA187" si="1458">Z188-Z186-Z185</f>
        <v>188.45509775658084</v>
      </c>
      <c r="AA187" s="67">
        <f t="shared" si="1458"/>
        <v>246.19402713978747</v>
      </c>
      <c r="AB187" s="18">
        <f t="shared" ref="AA187:AD187" si="1459">AB188-AB186-AB185</f>
        <v>268.97528247698307</v>
      </c>
      <c r="AC187" s="18">
        <f t="shared" si="1459"/>
        <v>274.45914821381496</v>
      </c>
      <c r="AD187" s="18">
        <f t="shared" si="1459"/>
        <v>275.22543823427969</v>
      </c>
      <c r="AE187" s="18">
        <f t="shared" ref="AE187" si="1460">AE188-AE186-AE185</f>
        <v>275.31124559509794</v>
      </c>
      <c r="AI187" s="67" t="e">
        <f t="shared" ref="AI187:AK187" si="1461">AI188-AI186-AI185</f>
        <v>#DIV/0!</v>
      </c>
      <c r="AJ187" s="67" t="e">
        <f t="shared" ref="AJ187:AM187" si="1462">AJ188-AJ186-AJ185</f>
        <v>#DIV/0!</v>
      </c>
      <c r="AK187" s="67" t="e">
        <f t="shared" si="1461"/>
        <v>#DIV/0!</v>
      </c>
      <c r="AL187" s="67" t="e">
        <f t="shared" si="1462"/>
        <v>#DIV/0!</v>
      </c>
      <c r="AM187" s="67" t="e">
        <f t="shared" si="1462"/>
        <v>#DIV/0!</v>
      </c>
      <c r="AN187" s="67" t="e">
        <f t="shared" ref="AN187:AY187" si="1463">AN188-AN186-AN185</f>
        <v>#DIV/0!</v>
      </c>
      <c r="AO187" s="67" t="e">
        <f t="shared" si="1463"/>
        <v>#DIV/0!</v>
      </c>
      <c r="AP187" s="67" t="e">
        <f t="shared" si="1463"/>
        <v>#DIV/0!</v>
      </c>
      <c r="AQ187" s="67" t="e">
        <f t="shared" si="1463"/>
        <v>#DIV/0!</v>
      </c>
      <c r="AR187" s="67" t="e">
        <f t="shared" si="1463"/>
        <v>#DIV/0!</v>
      </c>
      <c r="AS187" s="67" t="e">
        <f t="shared" si="1463"/>
        <v>#DIV/0!</v>
      </c>
      <c r="AT187" s="67" t="e">
        <f t="shared" si="1463"/>
        <v>#DIV/0!</v>
      </c>
      <c r="AU187" s="67" t="e">
        <f t="shared" si="1463"/>
        <v>#DIV/0!</v>
      </c>
      <c r="AV187" s="67" t="e">
        <f t="shared" si="1463"/>
        <v>#DIV/0!</v>
      </c>
      <c r="AW187" s="67" t="e">
        <f t="shared" si="1463"/>
        <v>#DIV/0!</v>
      </c>
      <c r="AX187" s="67" t="e">
        <f t="shared" si="1463"/>
        <v>#DIV/0!</v>
      </c>
      <c r="AY187" s="67" t="e">
        <f t="shared" si="1463"/>
        <v>#DIV/0!</v>
      </c>
      <c r="AZ187" s="67" t="e">
        <f t="shared" ref="AZ187:BC187" si="1464">AZ188-AZ186-AZ185</f>
        <v>#DIV/0!</v>
      </c>
      <c r="BA187" s="67" t="e">
        <f t="shared" si="1464"/>
        <v>#DIV/0!</v>
      </c>
      <c r="BB187" s="67" t="e">
        <f t="shared" si="1464"/>
        <v>#DIV/0!</v>
      </c>
      <c r="BC187" s="67" t="e">
        <f t="shared" si="1464"/>
        <v>#DIV/0!</v>
      </c>
      <c r="BD187" s="67" t="e">
        <f t="shared" ref="BD187:CE187" si="1465">BD188-BD186-BD185</f>
        <v>#DIV/0!</v>
      </c>
      <c r="BE187" s="67" t="e">
        <f t="shared" si="1465"/>
        <v>#DIV/0!</v>
      </c>
      <c r="BF187" s="67" t="e">
        <f t="shared" si="1465"/>
        <v>#DIV/0!</v>
      </c>
      <c r="BG187" s="67" t="e">
        <f t="shared" si="1465"/>
        <v>#DIV/0!</v>
      </c>
      <c r="BH187" s="67" t="e">
        <f t="shared" si="1465"/>
        <v>#DIV/0!</v>
      </c>
      <c r="BI187" s="67" t="e">
        <f t="shared" si="1465"/>
        <v>#DIV/0!</v>
      </c>
      <c r="BJ187" s="67" t="e">
        <f t="shared" si="1465"/>
        <v>#DIV/0!</v>
      </c>
      <c r="BK187" s="67" t="e">
        <f t="shared" si="1465"/>
        <v>#DIV/0!</v>
      </c>
      <c r="BL187" s="67" t="e">
        <f t="shared" si="1465"/>
        <v>#DIV/0!</v>
      </c>
      <c r="BM187" s="67" t="e">
        <f t="shared" si="1465"/>
        <v>#DIV/0!</v>
      </c>
      <c r="BN187" s="67" t="e">
        <f t="shared" si="1465"/>
        <v>#DIV/0!</v>
      </c>
      <c r="BO187" s="67" t="e">
        <f t="shared" si="1465"/>
        <v>#DIV/0!</v>
      </c>
      <c r="BP187" s="67" t="e">
        <f t="shared" si="1465"/>
        <v>#DIV/0!</v>
      </c>
      <c r="BQ187" s="67" t="e">
        <f t="shared" si="1465"/>
        <v>#DIV/0!</v>
      </c>
      <c r="BR187" s="67" t="e">
        <f t="shared" si="1465"/>
        <v>#DIV/0!</v>
      </c>
      <c r="BS187" s="67" t="e">
        <f t="shared" si="1465"/>
        <v>#DIV/0!</v>
      </c>
      <c r="BT187" s="67" t="e">
        <f t="shared" si="1465"/>
        <v>#DIV/0!</v>
      </c>
      <c r="BU187" s="67" t="e">
        <f t="shared" si="1465"/>
        <v>#DIV/0!</v>
      </c>
      <c r="BV187" s="67" t="e">
        <f t="shared" si="1465"/>
        <v>#DIV/0!</v>
      </c>
      <c r="BW187" s="67" t="e">
        <f t="shared" si="1465"/>
        <v>#DIV/0!</v>
      </c>
      <c r="BX187" s="67" t="e">
        <f t="shared" si="1465"/>
        <v>#DIV/0!</v>
      </c>
      <c r="BY187" s="67" t="e">
        <f t="shared" si="1465"/>
        <v>#DIV/0!</v>
      </c>
      <c r="BZ187" s="67">
        <f t="shared" si="1465"/>
        <v>128.1232039589558</v>
      </c>
      <c r="CA187" s="67">
        <f t="shared" si="1465"/>
        <v>142.88223740189105</v>
      </c>
      <c r="CB187" s="67">
        <f t="shared" si="1465"/>
        <v>0</v>
      </c>
      <c r="CC187" s="67">
        <f t="shared" si="1465"/>
        <v>0</v>
      </c>
      <c r="CD187" s="67">
        <f t="shared" si="1465"/>
        <v>148.30060335882558</v>
      </c>
      <c r="CE187" s="114">
        <f t="shared" si="1465"/>
        <v>152.04969384619022</v>
      </c>
      <c r="CF187" s="67">
        <f t="shared" ref="CF187:CG187" si="1466">CF188-CF186-CF185</f>
        <v>174.6810135369663</v>
      </c>
      <c r="CG187" s="67">
        <f t="shared" si="1466"/>
        <v>171.90575232658762</v>
      </c>
      <c r="CH187" s="67">
        <f t="shared" ref="CH187" si="1467">CH188-CH186-CH185</f>
        <v>186.80784039201959</v>
      </c>
      <c r="CI187" s="67">
        <f>CH187</f>
        <v>186.80784039201959</v>
      </c>
      <c r="CJ187" s="67">
        <f t="shared" ref="CJ187:CL187" si="1468">CJ188-CJ186-CJ185</f>
        <v>237.90528439618237</v>
      </c>
      <c r="CK187" s="30">
        <f t="shared" ref="CK187:DB187" si="1469">CJ187</f>
        <v>237.90528439618237</v>
      </c>
      <c r="CL187" s="67">
        <f t="shared" si="1468"/>
        <v>223.81104425589291</v>
      </c>
      <c r="CM187" s="30">
        <f t="shared" si="1469"/>
        <v>223.81104425589291</v>
      </c>
      <c r="CN187" s="30">
        <f t="shared" si="1469"/>
        <v>223.81104425589291</v>
      </c>
      <c r="CO187" s="30">
        <f t="shared" si="1469"/>
        <v>223.81104425589291</v>
      </c>
      <c r="CP187" s="30">
        <f t="shared" si="1469"/>
        <v>223.81104425589291</v>
      </c>
      <c r="CQ187" s="30">
        <f t="shared" si="1469"/>
        <v>223.81104425589291</v>
      </c>
      <c r="CR187" s="30">
        <f t="shared" si="1469"/>
        <v>223.81104425589291</v>
      </c>
      <c r="CS187" s="30">
        <f t="shared" si="1469"/>
        <v>223.81104425589291</v>
      </c>
      <c r="CT187" s="30">
        <f t="shared" si="1469"/>
        <v>223.81104425589291</v>
      </c>
      <c r="CU187" s="30">
        <f t="shared" si="1469"/>
        <v>223.81104425589291</v>
      </c>
      <c r="CV187" s="30">
        <f t="shared" si="1469"/>
        <v>223.81104425589291</v>
      </c>
      <c r="CW187" s="30">
        <f t="shared" si="1469"/>
        <v>223.81104425589291</v>
      </c>
      <c r="CX187" s="30">
        <f t="shared" si="1469"/>
        <v>223.81104425589291</v>
      </c>
      <c r="CY187" s="30">
        <f t="shared" si="1469"/>
        <v>223.81104425589291</v>
      </c>
      <c r="CZ187" s="30">
        <f t="shared" si="1469"/>
        <v>223.81104425589291</v>
      </c>
      <c r="DA187" s="30">
        <f t="shared" si="1469"/>
        <v>223.81104425589291</v>
      </c>
      <c r="DB187" s="30">
        <f t="shared" si="1469"/>
        <v>223.81104425589291</v>
      </c>
      <c r="DE187" s="139"/>
      <c r="DF187" s="62">
        <v>237.90528439618237</v>
      </c>
    </row>
    <row r="188" spans="1:110" s="7" customFormat="1" outlineLevel="1" x14ac:dyDescent="0.2">
      <c r="A188" s="69" t="s">
        <v>467</v>
      </c>
      <c r="B188" s="70" t="e">
        <f t="shared" ref="B188:AE188" si="1470">B154/B14*365</f>
        <v>#DIV/0!</v>
      </c>
      <c r="C188" s="70" t="e">
        <f t="shared" si="1470"/>
        <v>#DIV/0!</v>
      </c>
      <c r="D188" s="70" t="e">
        <f t="shared" si="1470"/>
        <v>#DIV/0!</v>
      </c>
      <c r="E188" s="70">
        <f t="shared" si="1470"/>
        <v>83.768359024809229</v>
      </c>
      <c r="F188" s="70">
        <f t="shared" si="1470"/>
        <v>76.145958307080704</v>
      </c>
      <c r="G188" s="70">
        <f t="shared" si="1470"/>
        <v>123.88944211134287</v>
      </c>
      <c r="H188" s="70">
        <f t="shared" si="1470"/>
        <v>100.93828391492085</v>
      </c>
      <c r="I188" s="70">
        <f t="shared" si="1470"/>
        <v>107.8048760012657</v>
      </c>
      <c r="J188" s="70">
        <f t="shared" si="1470"/>
        <v>119.82440988369702</v>
      </c>
      <c r="K188" s="70">
        <f t="shared" si="1470"/>
        <v>122.12883310176586</v>
      </c>
      <c r="L188" s="70">
        <f t="shared" si="1470"/>
        <v>97.051007153635567</v>
      </c>
      <c r="M188" s="70">
        <f t="shared" si="1470"/>
        <v>101.30654872428636</v>
      </c>
      <c r="N188" s="70">
        <f t="shared" si="1470"/>
        <v>115.61443609022557</v>
      </c>
      <c r="O188" s="70">
        <f t="shared" si="1470"/>
        <v>71.871270447226436</v>
      </c>
      <c r="P188" s="70">
        <f t="shared" si="1470"/>
        <v>104.61213476216174</v>
      </c>
      <c r="Q188" s="70">
        <f t="shared" si="1470"/>
        <v>109.10635094544941</v>
      </c>
      <c r="R188" s="70">
        <f t="shared" si="1470"/>
        <v>104.03727761023575</v>
      </c>
      <c r="S188" s="70">
        <f t="shared" si="1470"/>
        <v>139.88764545900398</v>
      </c>
      <c r="T188" s="70">
        <f t="shared" si="1470"/>
        <v>120.52328011936605</v>
      </c>
      <c r="U188" s="70">
        <f t="shared" si="1470"/>
        <v>127.50041110707892</v>
      </c>
      <c r="V188" s="70">
        <f t="shared" si="1470"/>
        <v>177.73634965775705</v>
      </c>
      <c r="W188" s="70">
        <f t="shared" si="1470"/>
        <v>175.3168138985375</v>
      </c>
      <c r="X188" s="70">
        <f t="shared" si="1470"/>
        <v>241.64429180504646</v>
      </c>
      <c r="Y188" s="70">
        <f t="shared" si="1470"/>
        <v>221.88450715234899</v>
      </c>
      <c r="Z188" s="70">
        <f t="shared" si="1470"/>
        <v>259.46782884617249</v>
      </c>
      <c r="AA188" s="70">
        <f t="shared" ref="AA188" si="1471">AA154/AA14*365</f>
        <v>324.87868649385979</v>
      </c>
      <c r="AB188" s="71">
        <f t="shared" si="1470"/>
        <v>350.6259133975546</v>
      </c>
      <c r="AC188" s="71">
        <f t="shared" si="1470"/>
        <v>357.77447149263077</v>
      </c>
      <c r="AD188" s="71">
        <f t="shared" si="1470"/>
        <v>358.77337791956563</v>
      </c>
      <c r="AE188" s="71">
        <f t="shared" si="1470"/>
        <v>358.8852331204825</v>
      </c>
      <c r="AI188" s="70" t="e">
        <f t="shared" ref="AI188:CD188" si="1472">AI154/AI14*90</f>
        <v>#DIV/0!</v>
      </c>
      <c r="AJ188" s="70" t="e">
        <f t="shared" si="1472"/>
        <v>#DIV/0!</v>
      </c>
      <c r="AK188" s="70" t="e">
        <f t="shared" si="1472"/>
        <v>#DIV/0!</v>
      </c>
      <c r="AL188" s="70" t="e">
        <f t="shared" si="1472"/>
        <v>#DIV/0!</v>
      </c>
      <c r="AM188" s="70" t="e">
        <f t="shared" si="1472"/>
        <v>#DIV/0!</v>
      </c>
      <c r="AN188" s="70" t="e">
        <f t="shared" si="1472"/>
        <v>#DIV/0!</v>
      </c>
      <c r="AO188" s="70" t="e">
        <f t="shared" si="1472"/>
        <v>#DIV/0!</v>
      </c>
      <c r="AP188" s="70" t="e">
        <f t="shared" si="1472"/>
        <v>#DIV/0!</v>
      </c>
      <c r="AQ188" s="70" t="e">
        <f t="shared" si="1472"/>
        <v>#DIV/0!</v>
      </c>
      <c r="AR188" s="70" t="e">
        <f t="shared" si="1472"/>
        <v>#DIV/0!</v>
      </c>
      <c r="AS188" s="70" t="e">
        <f t="shared" si="1472"/>
        <v>#DIV/0!</v>
      </c>
      <c r="AT188" s="70" t="e">
        <f t="shared" si="1472"/>
        <v>#DIV/0!</v>
      </c>
      <c r="AU188" s="70" t="e">
        <f t="shared" si="1472"/>
        <v>#DIV/0!</v>
      </c>
      <c r="AV188" s="70" t="e">
        <f t="shared" si="1472"/>
        <v>#DIV/0!</v>
      </c>
      <c r="AW188" s="70" t="e">
        <f t="shared" si="1472"/>
        <v>#DIV/0!</v>
      </c>
      <c r="AX188" s="70" t="e">
        <f t="shared" si="1472"/>
        <v>#DIV/0!</v>
      </c>
      <c r="AY188" s="70" t="e">
        <f t="shared" si="1472"/>
        <v>#DIV/0!</v>
      </c>
      <c r="AZ188" s="70" t="e">
        <f t="shared" si="1472"/>
        <v>#DIV/0!</v>
      </c>
      <c r="BA188" s="70" t="e">
        <f t="shared" si="1472"/>
        <v>#DIV/0!</v>
      </c>
      <c r="BB188" s="70" t="e">
        <f t="shared" si="1472"/>
        <v>#DIV/0!</v>
      </c>
      <c r="BC188" s="70" t="e">
        <f t="shared" si="1472"/>
        <v>#DIV/0!</v>
      </c>
      <c r="BD188" s="70" t="e">
        <f t="shared" si="1472"/>
        <v>#DIV/0!</v>
      </c>
      <c r="BE188" s="70" t="e">
        <f t="shared" si="1472"/>
        <v>#DIV/0!</v>
      </c>
      <c r="BF188" s="70" t="e">
        <f t="shared" si="1472"/>
        <v>#DIV/0!</v>
      </c>
      <c r="BG188" s="70" t="e">
        <f t="shared" si="1472"/>
        <v>#DIV/0!</v>
      </c>
      <c r="BH188" s="70" t="e">
        <f t="shared" si="1472"/>
        <v>#DIV/0!</v>
      </c>
      <c r="BI188" s="70" t="e">
        <f t="shared" si="1472"/>
        <v>#DIV/0!</v>
      </c>
      <c r="BJ188" s="70" t="e">
        <f t="shared" si="1472"/>
        <v>#DIV/0!</v>
      </c>
      <c r="BK188" s="70" t="e">
        <f t="shared" si="1472"/>
        <v>#DIV/0!</v>
      </c>
      <c r="BL188" s="70" t="e">
        <f t="shared" si="1472"/>
        <v>#DIV/0!</v>
      </c>
      <c r="BM188" s="70" t="e">
        <f t="shared" si="1472"/>
        <v>#DIV/0!</v>
      </c>
      <c r="BN188" s="70" t="e">
        <f t="shared" si="1472"/>
        <v>#DIV/0!</v>
      </c>
      <c r="BO188" s="70" t="e">
        <f t="shared" si="1472"/>
        <v>#DIV/0!</v>
      </c>
      <c r="BP188" s="70" t="e">
        <f t="shared" si="1472"/>
        <v>#DIV/0!</v>
      </c>
      <c r="BQ188" s="70" t="e">
        <f t="shared" si="1472"/>
        <v>#DIV/0!</v>
      </c>
      <c r="BR188" s="70" t="e">
        <f t="shared" si="1472"/>
        <v>#DIV/0!</v>
      </c>
      <c r="BS188" s="70" t="e">
        <f t="shared" si="1472"/>
        <v>#DIV/0!</v>
      </c>
      <c r="BT188" s="70" t="e">
        <f t="shared" si="1472"/>
        <v>#DIV/0!</v>
      </c>
      <c r="BU188" s="70" t="e">
        <f t="shared" si="1472"/>
        <v>#DIV/0!</v>
      </c>
      <c r="BV188" s="70" t="e">
        <f t="shared" si="1472"/>
        <v>#DIV/0!</v>
      </c>
      <c r="BW188" s="70" t="e">
        <f t="shared" si="1472"/>
        <v>#DIV/0!</v>
      </c>
      <c r="BX188" s="70" t="e">
        <f t="shared" si="1472"/>
        <v>#DIV/0!</v>
      </c>
      <c r="BY188" s="70" t="e">
        <f t="shared" si="1472"/>
        <v>#DIV/0!</v>
      </c>
      <c r="BZ188" s="70">
        <f t="shared" si="1472"/>
        <v>199.11615171243378</v>
      </c>
      <c r="CA188" s="70">
        <f t="shared" si="1472"/>
        <v>213.87518515536902</v>
      </c>
      <c r="CB188" s="70">
        <f t="shared" si="1472"/>
        <v>0</v>
      </c>
      <c r="CC188" s="70">
        <f t="shared" si="1472"/>
        <v>0</v>
      </c>
      <c r="CD188" s="70">
        <f t="shared" si="1472"/>
        <v>227.70370085700011</v>
      </c>
      <c r="CE188" s="115">
        <f>CE154/CE16*90</f>
        <v>231.45279134436478</v>
      </c>
      <c r="CF188" s="70">
        <f>CF154/CF14*90</f>
        <v>249.41617493925716</v>
      </c>
      <c r="CG188" s="70">
        <f>CG154/CG16*90</f>
        <v>246.64091372887847</v>
      </c>
      <c r="CH188" s="70">
        <f>CH154/CH14*90</f>
        <v>257.19985999299962</v>
      </c>
      <c r="CI188" s="70">
        <f>CI185+CI186+CI187</f>
        <v>257.19985999299962</v>
      </c>
      <c r="CJ188" s="70">
        <f>CJ154/CJ14*90</f>
        <v>323.63152048241938</v>
      </c>
      <c r="CK188" s="50">
        <f t="shared" ref="CK188:DB188" si="1473">CK185+CK186+CK187</f>
        <v>323.63152048241938</v>
      </c>
      <c r="CL188" s="70">
        <f>CL154/CL14*90</f>
        <v>291.75153604457387</v>
      </c>
      <c r="CM188" s="50">
        <f t="shared" si="1473"/>
        <v>291.75153604457387</v>
      </c>
      <c r="CN188" s="50">
        <f t="shared" si="1473"/>
        <v>291.75153604457387</v>
      </c>
      <c r="CO188" s="50">
        <f t="shared" si="1473"/>
        <v>291.75153604457387</v>
      </c>
      <c r="CP188" s="50">
        <f t="shared" si="1473"/>
        <v>291.75153604457387</v>
      </c>
      <c r="CQ188" s="50">
        <f t="shared" si="1473"/>
        <v>291.75153604457387</v>
      </c>
      <c r="CR188" s="50">
        <f t="shared" si="1473"/>
        <v>291.75153604457387</v>
      </c>
      <c r="CS188" s="50">
        <f t="shared" si="1473"/>
        <v>291.75153604457387</v>
      </c>
      <c r="CT188" s="50">
        <f t="shared" si="1473"/>
        <v>291.75153604457387</v>
      </c>
      <c r="CU188" s="50">
        <f t="shared" si="1473"/>
        <v>291.75153604457387</v>
      </c>
      <c r="CV188" s="50">
        <f t="shared" si="1473"/>
        <v>291.75153604457387</v>
      </c>
      <c r="CW188" s="50">
        <f t="shared" si="1473"/>
        <v>291.75153604457387</v>
      </c>
      <c r="CX188" s="50">
        <f t="shared" si="1473"/>
        <v>291.75153604457387</v>
      </c>
      <c r="CY188" s="50">
        <f t="shared" si="1473"/>
        <v>291.75153604457387</v>
      </c>
      <c r="CZ188" s="50">
        <f t="shared" si="1473"/>
        <v>291.75153604457387</v>
      </c>
      <c r="DA188" s="50">
        <f t="shared" si="1473"/>
        <v>291.75153604457387</v>
      </c>
      <c r="DB188" s="50">
        <f t="shared" si="1473"/>
        <v>291.75153604457387</v>
      </c>
      <c r="DE188" s="138"/>
      <c r="DF188" s="7">
        <v>323.63152048241938</v>
      </c>
    </row>
    <row r="189" spans="1:110" s="62" customFormat="1" outlineLevel="1" x14ac:dyDescent="0.2">
      <c r="A189" s="68" t="s">
        <v>468</v>
      </c>
      <c r="B189" s="67" t="e">
        <f t="shared" ref="B189:AE189" si="1474">B159/B14*365</f>
        <v>#DIV/0!</v>
      </c>
      <c r="C189" s="67" t="e">
        <f t="shared" si="1474"/>
        <v>#DIV/0!</v>
      </c>
      <c r="D189" s="67" t="e">
        <f t="shared" si="1474"/>
        <v>#DIV/0!</v>
      </c>
      <c r="E189" s="67">
        <f t="shared" si="1474"/>
        <v>33.501679495877731</v>
      </c>
      <c r="F189" s="67">
        <f t="shared" si="1474"/>
        <v>48.688052188676636</v>
      </c>
      <c r="G189" s="67">
        <f t="shared" si="1474"/>
        <v>55.459114686276273</v>
      </c>
      <c r="H189" s="67">
        <f t="shared" si="1474"/>
        <v>49.780332277752663</v>
      </c>
      <c r="I189" s="67">
        <f t="shared" si="1474"/>
        <v>47.135983018497178</v>
      </c>
      <c r="J189" s="67">
        <f t="shared" si="1474"/>
        <v>44.979079148199659</v>
      </c>
      <c r="K189" s="67">
        <f t="shared" si="1474"/>
        <v>57.426475616655814</v>
      </c>
      <c r="L189" s="67">
        <f t="shared" si="1474"/>
        <v>52.748417782818031</v>
      </c>
      <c r="M189" s="67">
        <f t="shared" si="1474"/>
        <v>53.574189856387086</v>
      </c>
      <c r="N189" s="67">
        <f t="shared" si="1474"/>
        <v>53.886441102756883</v>
      </c>
      <c r="O189" s="67">
        <f t="shared" si="1474"/>
        <v>59.962784448378081</v>
      </c>
      <c r="P189" s="67">
        <f t="shared" si="1474"/>
        <v>49.886053503970402</v>
      </c>
      <c r="Q189" s="67">
        <f t="shared" si="1474"/>
        <v>41.583432089379812</v>
      </c>
      <c r="R189" s="67">
        <f t="shared" si="1474"/>
        <v>37.023019682720964</v>
      </c>
      <c r="S189" s="67">
        <f t="shared" si="1474"/>
        <v>42.931045372806039</v>
      </c>
      <c r="T189" s="67">
        <f t="shared" si="1474"/>
        <v>36.574309787540656</v>
      </c>
      <c r="U189" s="67">
        <f t="shared" si="1474"/>
        <v>31.110402849874916</v>
      </c>
      <c r="V189" s="67">
        <f t="shared" si="1474"/>
        <v>34.288133827765925</v>
      </c>
      <c r="W189" s="67">
        <f t="shared" si="1474"/>
        <v>34.808080564826405</v>
      </c>
      <c r="X189" s="67">
        <f t="shared" si="1474"/>
        <v>54.393035626095894</v>
      </c>
      <c r="Y189" s="67">
        <f t="shared" si="1474"/>
        <v>34.335906355037913</v>
      </c>
      <c r="Z189" s="67">
        <f t="shared" si="1474"/>
        <v>33.666340972632028</v>
      </c>
      <c r="AA189" s="67">
        <f t="shared" ref="AA189" si="1475">AA159/AA14*365</f>
        <v>38.542130969182125</v>
      </c>
      <c r="AB189" s="18">
        <f t="shared" si="1474"/>
        <v>39.994953736736825</v>
      </c>
      <c r="AC189" s="18">
        <f t="shared" si="1474"/>
        <v>40.810370508208514</v>
      </c>
      <c r="AD189" s="18">
        <f t="shared" si="1474"/>
        <v>40.924313074362473</v>
      </c>
      <c r="AE189" s="18">
        <f t="shared" si="1474"/>
        <v>40.937072095914914</v>
      </c>
      <c r="AI189" s="67" t="e">
        <f>AJ159/AI14*90</f>
        <v>#DIV/0!</v>
      </c>
      <c r="AJ189" s="67" t="e">
        <f>AJ159/AJ14*90</f>
        <v>#DIV/0!</v>
      </c>
      <c r="AK189" s="67" t="e">
        <f t="shared" ref="AK189:CE189" si="1476">+AJ189</f>
        <v>#DIV/0!</v>
      </c>
      <c r="AL189" s="67" t="e">
        <f>AL159/AL14*90</f>
        <v>#DIV/0!</v>
      </c>
      <c r="AM189" s="67" t="e">
        <f t="shared" ref="AM189" si="1477">+AL189</f>
        <v>#DIV/0!</v>
      </c>
      <c r="AN189" s="67" t="e">
        <f>AN159/AN14*90</f>
        <v>#DIV/0!</v>
      </c>
      <c r="AO189" s="67" t="e">
        <f t="shared" ref="AO189" si="1478">+AN189</f>
        <v>#DIV/0!</v>
      </c>
      <c r="AP189" s="67" t="e">
        <f>AP159/AP14*90</f>
        <v>#DIV/0!</v>
      </c>
      <c r="AQ189" s="67" t="e">
        <f t="shared" ref="AQ189" si="1479">+AP189</f>
        <v>#DIV/0!</v>
      </c>
      <c r="AR189" s="67" t="e">
        <f>AR159/AR14*90</f>
        <v>#DIV/0!</v>
      </c>
      <c r="AS189" s="67" t="e">
        <f t="shared" ref="AS189" si="1480">+AR189</f>
        <v>#DIV/0!</v>
      </c>
      <c r="AT189" s="67" t="e">
        <f>AT159/AT14*90</f>
        <v>#DIV/0!</v>
      </c>
      <c r="AU189" s="67" t="e">
        <f t="shared" ref="AU189" si="1481">+AT189</f>
        <v>#DIV/0!</v>
      </c>
      <c r="AV189" s="67" t="e">
        <f>AV159/AV14*90</f>
        <v>#DIV/0!</v>
      </c>
      <c r="AW189" s="67" t="e">
        <f t="shared" ref="AW189" si="1482">+AV189</f>
        <v>#DIV/0!</v>
      </c>
      <c r="AX189" s="67" t="e">
        <f>AX159/AX14*90</f>
        <v>#DIV/0!</v>
      </c>
      <c r="AY189" s="67" t="e">
        <f t="shared" ref="AY189" si="1483">+AX189</f>
        <v>#DIV/0!</v>
      </c>
      <c r="AZ189" s="67" t="e">
        <f>AZ159/AZ14*90</f>
        <v>#DIV/0!</v>
      </c>
      <c r="BA189" s="67" t="e">
        <f t="shared" ref="BA189" si="1484">+AZ189</f>
        <v>#DIV/0!</v>
      </c>
      <c r="BB189" s="67" t="e">
        <f>BB159/BB14*90</f>
        <v>#DIV/0!</v>
      </c>
      <c r="BC189" s="67" t="e">
        <f t="shared" ref="BC189" si="1485">+BB189</f>
        <v>#DIV/0!</v>
      </c>
      <c r="BD189" s="67" t="e">
        <f>BD159/BD14*90</f>
        <v>#DIV/0!</v>
      </c>
      <c r="BE189" s="67" t="e">
        <f t="shared" ref="BE189" si="1486">+BD189</f>
        <v>#DIV/0!</v>
      </c>
      <c r="BF189" s="67" t="e">
        <f>BF159/BF14*90</f>
        <v>#DIV/0!</v>
      </c>
      <c r="BG189" s="67" t="e">
        <f t="shared" ref="BG189" si="1487">+BF189</f>
        <v>#DIV/0!</v>
      </c>
      <c r="BH189" s="67" t="e">
        <f>BH159/BH14*90</f>
        <v>#DIV/0!</v>
      </c>
      <c r="BI189" s="67" t="e">
        <f t="shared" ref="BI189" si="1488">+BH189</f>
        <v>#DIV/0!</v>
      </c>
      <c r="BJ189" s="67" t="e">
        <f>BJ159/BJ14*90</f>
        <v>#DIV/0!</v>
      </c>
      <c r="BK189" s="67" t="e">
        <f t="shared" ref="BK189" si="1489">+BJ189</f>
        <v>#DIV/0!</v>
      </c>
      <c r="BL189" s="67" t="e">
        <f>BL159/BL14*90</f>
        <v>#DIV/0!</v>
      </c>
      <c r="BM189" s="67" t="e">
        <f t="shared" ref="BM189" si="1490">+BL189</f>
        <v>#DIV/0!</v>
      </c>
      <c r="BN189" s="67" t="e">
        <f>BN159/BN14*90</f>
        <v>#DIV/0!</v>
      </c>
      <c r="BO189" s="67" t="e">
        <f t="shared" ref="BO189" si="1491">+BN189</f>
        <v>#DIV/0!</v>
      </c>
      <c r="BP189" s="67" t="e">
        <f>BP159/BP14*90</f>
        <v>#DIV/0!</v>
      </c>
      <c r="BQ189" s="67" t="e">
        <f t="shared" ref="BQ189" si="1492">+BP189</f>
        <v>#DIV/0!</v>
      </c>
      <c r="BR189" s="67" t="e">
        <f>BR159/BR14*90</f>
        <v>#DIV/0!</v>
      </c>
      <c r="BS189" s="67" t="e">
        <f t="shared" ref="BS189" si="1493">+BR189</f>
        <v>#DIV/0!</v>
      </c>
      <c r="BT189" s="67" t="e">
        <f>BT159/BT14*90</f>
        <v>#DIV/0!</v>
      </c>
      <c r="BU189" s="67" t="e">
        <f t="shared" ref="BU189" si="1494">+BT189</f>
        <v>#DIV/0!</v>
      </c>
      <c r="BV189" s="67" t="e">
        <f>BV159/BV14*90</f>
        <v>#DIV/0!</v>
      </c>
      <c r="BW189" s="67" t="e">
        <f t="shared" ref="BW189" si="1495">+BV189</f>
        <v>#DIV/0!</v>
      </c>
      <c r="BX189" s="67" t="e">
        <f>BX159/BX14*90</f>
        <v>#DIV/0!</v>
      </c>
      <c r="BY189" s="67" t="e">
        <f t="shared" ref="BY189" si="1496">+BX189</f>
        <v>#DIV/0!</v>
      </c>
      <c r="BZ189" s="67">
        <f>BZ159/BZ14*90</f>
        <v>42.215717453775333</v>
      </c>
      <c r="CA189" s="67">
        <f t="shared" ref="CA189" si="1497">+BZ189</f>
        <v>42.215717453775333</v>
      </c>
      <c r="CB189" s="67">
        <f>CB159/CB14*90</f>
        <v>0</v>
      </c>
      <c r="CC189" s="67">
        <f t="shared" ref="CC189" si="1498">+CB189</f>
        <v>0</v>
      </c>
      <c r="CD189" s="67">
        <f>CD159/CD14*90</f>
        <v>33.299412013373818</v>
      </c>
      <c r="CE189" s="114">
        <f t="shared" si="1476"/>
        <v>33.299412013373818</v>
      </c>
      <c r="CF189" s="67">
        <f>CF159/CF14*90</f>
        <v>32.598403332176325</v>
      </c>
      <c r="CG189" s="67">
        <f t="shared" ref="CG189:CI189" si="1499">+CF189</f>
        <v>32.598403332176325</v>
      </c>
      <c r="CH189" s="67">
        <f>CH159/CH14*90</f>
        <v>33.372068603430172</v>
      </c>
      <c r="CI189" s="67">
        <f t="shared" si="1499"/>
        <v>33.372068603430172</v>
      </c>
      <c r="CJ189" s="67">
        <f>CJ159/CJ14*90</f>
        <v>32.544943438144678</v>
      </c>
      <c r="CK189" s="30">
        <f t="shared" ref="CK189" si="1500">+CJ189</f>
        <v>32.544943438144678</v>
      </c>
      <c r="CL189" s="67">
        <f>CL159/CL14*90</f>
        <v>33.279312055564745</v>
      </c>
      <c r="CM189" s="30">
        <f t="shared" ref="CM189" si="1501">+CL189</f>
        <v>33.279312055564745</v>
      </c>
      <c r="CN189" s="30">
        <f t="shared" ref="CN189" si="1502">+CM189</f>
        <v>33.279312055564745</v>
      </c>
      <c r="CO189" s="30">
        <f t="shared" ref="CO189" si="1503">+CN189</f>
        <v>33.279312055564745</v>
      </c>
      <c r="CP189" s="30">
        <f t="shared" ref="CP189" si="1504">+CO189</f>
        <v>33.279312055564745</v>
      </c>
      <c r="CQ189" s="30">
        <f t="shared" ref="CQ189" si="1505">+CP189</f>
        <v>33.279312055564745</v>
      </c>
      <c r="CR189" s="30">
        <f t="shared" ref="CR189" si="1506">+CQ189</f>
        <v>33.279312055564745</v>
      </c>
      <c r="CS189" s="30">
        <f t="shared" ref="CS189" si="1507">+CR189</f>
        <v>33.279312055564745</v>
      </c>
      <c r="CT189" s="30">
        <f t="shared" ref="CT189" si="1508">+CS189</f>
        <v>33.279312055564745</v>
      </c>
      <c r="CU189" s="30">
        <f t="shared" ref="CU189" si="1509">+CT189</f>
        <v>33.279312055564745</v>
      </c>
      <c r="CV189" s="30">
        <f t="shared" ref="CV189" si="1510">+CU189</f>
        <v>33.279312055564745</v>
      </c>
      <c r="CW189" s="30">
        <f t="shared" ref="CW189" si="1511">+CV189</f>
        <v>33.279312055564745</v>
      </c>
      <c r="CX189" s="30">
        <f t="shared" ref="CX189" si="1512">+CW189</f>
        <v>33.279312055564745</v>
      </c>
      <c r="CY189" s="30">
        <f t="shared" ref="CY189" si="1513">+CX189</f>
        <v>33.279312055564745</v>
      </c>
      <c r="CZ189" s="30">
        <f t="shared" ref="CZ189" si="1514">+CY189</f>
        <v>33.279312055564745</v>
      </c>
      <c r="DA189" s="30">
        <f t="shared" ref="DA189" si="1515">+CZ189</f>
        <v>33.279312055564745</v>
      </c>
      <c r="DB189" s="30">
        <f t="shared" ref="DB189" si="1516">+DA189</f>
        <v>33.279312055564745</v>
      </c>
      <c r="DE189" s="139"/>
      <c r="DF189" s="62">
        <v>32.544943438144678</v>
      </c>
    </row>
    <row r="190" spans="1:110" s="62" customFormat="1" outlineLevel="1" x14ac:dyDescent="0.2">
      <c r="A190" s="68" t="s">
        <v>466</v>
      </c>
      <c r="B190" s="67" t="e">
        <f>B191-B189</f>
        <v>#DIV/0!</v>
      </c>
      <c r="C190" s="67" t="e">
        <f t="shared" ref="C190:V190" si="1517">C191-C189</f>
        <v>#DIV/0!</v>
      </c>
      <c r="D190" s="67" t="e">
        <f t="shared" si="1517"/>
        <v>#DIV/0!</v>
      </c>
      <c r="E190" s="67">
        <f t="shared" si="1517"/>
        <v>48.111937061342111</v>
      </c>
      <c r="F190" s="67">
        <f t="shared" si="1517"/>
        <v>48.39936144485344</v>
      </c>
      <c r="G190" s="67">
        <f t="shared" si="1517"/>
        <v>46.838963622067006</v>
      </c>
      <c r="H190" s="67">
        <f t="shared" si="1517"/>
        <v>28.998273155483545</v>
      </c>
      <c r="I190" s="67">
        <f t="shared" si="1517"/>
        <v>26.475996376393802</v>
      </c>
      <c r="J190" s="67">
        <f t="shared" si="1517"/>
        <v>26.578650252441562</v>
      </c>
      <c r="K190" s="67">
        <f t="shared" si="1517"/>
        <v>31.931324519818254</v>
      </c>
      <c r="L190" s="67">
        <f t="shared" si="1517"/>
        <v>26.469072684817725</v>
      </c>
      <c r="M190" s="67">
        <f t="shared" si="1517"/>
        <v>30.780160841587495</v>
      </c>
      <c r="N190" s="67">
        <f t="shared" si="1517"/>
        <v>38.69548872180453</v>
      </c>
      <c r="O190" s="67">
        <f t="shared" si="1517"/>
        <v>37.887948132824341</v>
      </c>
      <c r="P190" s="67">
        <f t="shared" si="1517"/>
        <v>70.553253411456339</v>
      </c>
      <c r="Q190" s="67">
        <f t="shared" si="1517"/>
        <v>25.286578866951388</v>
      </c>
      <c r="R190" s="67">
        <f t="shared" si="1517"/>
        <v>26.368529060118846</v>
      </c>
      <c r="S190" s="67">
        <f t="shared" si="1517"/>
        <v>36.444669847072973</v>
      </c>
      <c r="T190" s="67">
        <f t="shared" si="1517"/>
        <v>26.941329816702414</v>
      </c>
      <c r="U190" s="67">
        <f t="shared" si="1517"/>
        <v>61.081546463865521</v>
      </c>
      <c r="V190" s="67">
        <f t="shared" si="1517"/>
        <v>185.02374511269008</v>
      </c>
      <c r="W190" s="67">
        <f t="shared" ref="W190" si="1518">W191-W189</f>
        <v>165.5871137642439</v>
      </c>
      <c r="X190" s="67">
        <f t="shared" ref="X190:Y190" si="1519">X191-X189</f>
        <v>128.51627029255718</v>
      </c>
      <c r="Y190" s="67">
        <f t="shared" si="1519"/>
        <v>133.82001876025953</v>
      </c>
      <c r="Z190" s="67">
        <f t="shared" ref="Z190:AA190" si="1520">Z191-Z189</f>
        <v>184.1853650514177</v>
      </c>
      <c r="AA190" s="67">
        <f t="shared" si="1520"/>
        <v>244.62478907724361</v>
      </c>
      <c r="AB190" s="18">
        <f t="shared" ref="AA190:AD190" si="1521">AB191-AB189</f>
        <v>253.84577541460675</v>
      </c>
      <c r="AC190" s="18">
        <f t="shared" si="1521"/>
        <v>259.02118089207767</v>
      </c>
      <c r="AD190" s="18">
        <f t="shared" si="1521"/>
        <v>259.74436810335607</v>
      </c>
      <c r="AE190" s="18">
        <f t="shared" ref="AE190" si="1522">AE191-AE189</f>
        <v>259.82534891260593</v>
      </c>
      <c r="AI190" s="67" t="e">
        <f t="shared" ref="AI190:AK190" si="1523">AI191-AI189</f>
        <v>#DIV/0!</v>
      </c>
      <c r="AJ190" s="67" t="e">
        <f t="shared" ref="AJ190:AM190" si="1524">AJ191-AJ189</f>
        <v>#DIV/0!</v>
      </c>
      <c r="AK190" s="67" t="e">
        <f t="shared" si="1523"/>
        <v>#DIV/0!</v>
      </c>
      <c r="AL190" s="67" t="e">
        <f t="shared" si="1524"/>
        <v>#DIV/0!</v>
      </c>
      <c r="AM190" s="67" t="e">
        <f t="shared" si="1524"/>
        <v>#DIV/0!</v>
      </c>
      <c r="AN190" s="67" t="e">
        <f t="shared" ref="AN190:AY190" si="1525">AN191-AN189</f>
        <v>#DIV/0!</v>
      </c>
      <c r="AO190" s="67" t="e">
        <f t="shared" si="1525"/>
        <v>#DIV/0!</v>
      </c>
      <c r="AP190" s="67" t="e">
        <f t="shared" si="1525"/>
        <v>#DIV/0!</v>
      </c>
      <c r="AQ190" s="67" t="e">
        <f t="shared" si="1525"/>
        <v>#DIV/0!</v>
      </c>
      <c r="AR190" s="67" t="e">
        <f t="shared" si="1525"/>
        <v>#DIV/0!</v>
      </c>
      <c r="AS190" s="67" t="e">
        <f t="shared" si="1525"/>
        <v>#DIV/0!</v>
      </c>
      <c r="AT190" s="67" t="e">
        <f t="shared" si="1525"/>
        <v>#DIV/0!</v>
      </c>
      <c r="AU190" s="67" t="e">
        <f t="shared" si="1525"/>
        <v>#DIV/0!</v>
      </c>
      <c r="AV190" s="67" t="e">
        <f t="shared" si="1525"/>
        <v>#DIV/0!</v>
      </c>
      <c r="AW190" s="67" t="e">
        <f t="shared" si="1525"/>
        <v>#DIV/0!</v>
      </c>
      <c r="AX190" s="67" t="e">
        <f t="shared" si="1525"/>
        <v>#DIV/0!</v>
      </c>
      <c r="AY190" s="67" t="e">
        <f t="shared" si="1525"/>
        <v>#DIV/0!</v>
      </c>
      <c r="AZ190" s="67" t="e">
        <f t="shared" ref="AZ190:BC190" si="1526">AZ191-AZ189</f>
        <v>#DIV/0!</v>
      </c>
      <c r="BA190" s="67" t="e">
        <f t="shared" si="1526"/>
        <v>#DIV/0!</v>
      </c>
      <c r="BB190" s="67" t="e">
        <f t="shared" si="1526"/>
        <v>#DIV/0!</v>
      </c>
      <c r="BC190" s="67" t="e">
        <f t="shared" si="1526"/>
        <v>#DIV/0!</v>
      </c>
      <c r="BD190" s="67" t="e">
        <f t="shared" ref="BD190:CE190" si="1527">BD191-BD189</f>
        <v>#DIV/0!</v>
      </c>
      <c r="BE190" s="67" t="e">
        <f t="shared" si="1527"/>
        <v>#DIV/0!</v>
      </c>
      <c r="BF190" s="67" t="e">
        <f t="shared" si="1527"/>
        <v>#DIV/0!</v>
      </c>
      <c r="BG190" s="67" t="e">
        <f t="shared" si="1527"/>
        <v>#DIV/0!</v>
      </c>
      <c r="BH190" s="67" t="e">
        <f t="shared" si="1527"/>
        <v>#DIV/0!</v>
      </c>
      <c r="BI190" s="67" t="e">
        <f t="shared" si="1527"/>
        <v>#DIV/0!</v>
      </c>
      <c r="BJ190" s="67" t="e">
        <f t="shared" si="1527"/>
        <v>#DIV/0!</v>
      </c>
      <c r="BK190" s="67" t="e">
        <f t="shared" si="1527"/>
        <v>#DIV/0!</v>
      </c>
      <c r="BL190" s="67" t="e">
        <f t="shared" si="1527"/>
        <v>#DIV/0!</v>
      </c>
      <c r="BM190" s="67" t="e">
        <f t="shared" si="1527"/>
        <v>#DIV/0!</v>
      </c>
      <c r="BN190" s="67" t="e">
        <f t="shared" si="1527"/>
        <v>#DIV/0!</v>
      </c>
      <c r="BO190" s="67" t="e">
        <f t="shared" si="1527"/>
        <v>#DIV/0!</v>
      </c>
      <c r="BP190" s="67" t="e">
        <f t="shared" si="1527"/>
        <v>#DIV/0!</v>
      </c>
      <c r="BQ190" s="67" t="e">
        <f t="shared" si="1527"/>
        <v>#DIV/0!</v>
      </c>
      <c r="BR190" s="67" t="e">
        <f t="shared" si="1527"/>
        <v>#DIV/0!</v>
      </c>
      <c r="BS190" s="67" t="e">
        <f t="shared" si="1527"/>
        <v>#DIV/0!</v>
      </c>
      <c r="BT190" s="67" t="e">
        <f t="shared" si="1527"/>
        <v>#DIV/0!</v>
      </c>
      <c r="BU190" s="67" t="e">
        <f t="shared" si="1527"/>
        <v>#DIV/0!</v>
      </c>
      <c r="BV190" s="67" t="e">
        <f t="shared" si="1527"/>
        <v>#DIV/0!</v>
      </c>
      <c r="BW190" s="67" t="e">
        <f t="shared" si="1527"/>
        <v>#DIV/0!</v>
      </c>
      <c r="BX190" s="67" t="e">
        <f t="shared" si="1527"/>
        <v>#DIV/0!</v>
      </c>
      <c r="BY190" s="67" t="e">
        <f t="shared" si="1527"/>
        <v>#DIV/0!</v>
      </c>
      <c r="BZ190" s="67">
        <f t="shared" si="1527"/>
        <v>99.744507590613154</v>
      </c>
      <c r="CA190" s="67">
        <f t="shared" si="1527"/>
        <v>111.23448347156724</v>
      </c>
      <c r="CB190" s="67">
        <f t="shared" si="1527"/>
        <v>0</v>
      </c>
      <c r="CC190" s="67">
        <f t="shared" si="1527"/>
        <v>0</v>
      </c>
      <c r="CD190" s="67">
        <f t="shared" si="1527"/>
        <v>129.78040813189347</v>
      </c>
      <c r="CE190" s="114">
        <f t="shared" si="1527"/>
        <v>133.06130168561904</v>
      </c>
      <c r="CF190" s="67">
        <f t="shared" ref="CF190:CG190" si="1528">CF191-CF189</f>
        <v>151.49323151683444</v>
      </c>
      <c r="CG190" s="67">
        <f t="shared" si="1528"/>
        <v>149.08636839788065</v>
      </c>
      <c r="CH190" s="67">
        <f t="shared" ref="CH190" si="1529">CH191-CH189</f>
        <v>182.57542877143857</v>
      </c>
      <c r="CI190" s="67">
        <f>CH190</f>
        <v>182.57542877143857</v>
      </c>
      <c r="CJ190" s="67">
        <f t="shared" ref="CJ190:CL190" si="1530">CJ191-CJ189</f>
        <v>211.77370723855728</v>
      </c>
      <c r="CK190" s="30">
        <f t="shared" ref="CK190:DB190" si="1531">CJ190</f>
        <v>211.77370723855728</v>
      </c>
      <c r="CL190" s="67">
        <f t="shared" si="1530"/>
        <v>211.22196639147194</v>
      </c>
      <c r="CM190" s="30">
        <f t="shared" si="1531"/>
        <v>211.22196639147194</v>
      </c>
      <c r="CN190" s="30">
        <f t="shared" si="1531"/>
        <v>211.22196639147194</v>
      </c>
      <c r="CO190" s="30">
        <f t="shared" si="1531"/>
        <v>211.22196639147194</v>
      </c>
      <c r="CP190" s="30">
        <f t="shared" si="1531"/>
        <v>211.22196639147194</v>
      </c>
      <c r="CQ190" s="30">
        <f t="shared" si="1531"/>
        <v>211.22196639147194</v>
      </c>
      <c r="CR190" s="30">
        <f t="shared" si="1531"/>
        <v>211.22196639147194</v>
      </c>
      <c r="CS190" s="30">
        <f t="shared" si="1531"/>
        <v>211.22196639147194</v>
      </c>
      <c r="CT190" s="30">
        <f t="shared" si="1531"/>
        <v>211.22196639147194</v>
      </c>
      <c r="CU190" s="30">
        <f t="shared" si="1531"/>
        <v>211.22196639147194</v>
      </c>
      <c r="CV190" s="30">
        <f t="shared" si="1531"/>
        <v>211.22196639147194</v>
      </c>
      <c r="CW190" s="30">
        <f t="shared" si="1531"/>
        <v>211.22196639147194</v>
      </c>
      <c r="CX190" s="30">
        <f t="shared" si="1531"/>
        <v>211.22196639147194</v>
      </c>
      <c r="CY190" s="30">
        <f t="shared" si="1531"/>
        <v>211.22196639147194</v>
      </c>
      <c r="CZ190" s="30">
        <f t="shared" si="1531"/>
        <v>211.22196639147194</v>
      </c>
      <c r="DA190" s="30">
        <f t="shared" si="1531"/>
        <v>211.22196639147194</v>
      </c>
      <c r="DB190" s="30">
        <f t="shared" si="1531"/>
        <v>211.22196639147194</v>
      </c>
      <c r="DE190" s="139"/>
      <c r="DF190" s="62">
        <v>211.77370723855728</v>
      </c>
    </row>
    <row r="191" spans="1:110" s="7" customFormat="1" outlineLevel="1" x14ac:dyDescent="0.2">
      <c r="A191" s="69" t="s">
        <v>469</v>
      </c>
      <c r="B191" s="70" t="e">
        <f t="shared" ref="B191:AE191" si="1532">B162/B14*365</f>
        <v>#DIV/0!</v>
      </c>
      <c r="C191" s="70" t="e">
        <f t="shared" si="1532"/>
        <v>#DIV/0!</v>
      </c>
      <c r="D191" s="70" t="e">
        <f t="shared" si="1532"/>
        <v>#DIV/0!</v>
      </c>
      <c r="E191" s="70">
        <f t="shared" si="1532"/>
        <v>81.613616557219842</v>
      </c>
      <c r="F191" s="70">
        <f t="shared" si="1532"/>
        <v>97.087413633530076</v>
      </c>
      <c r="G191" s="70">
        <f t="shared" si="1532"/>
        <v>102.29807830834328</v>
      </c>
      <c r="H191" s="70">
        <f t="shared" si="1532"/>
        <v>78.778605433236208</v>
      </c>
      <c r="I191" s="70">
        <f t="shared" si="1532"/>
        <v>73.61197939489098</v>
      </c>
      <c r="J191" s="70">
        <f t="shared" si="1532"/>
        <v>71.557729400641222</v>
      </c>
      <c r="K191" s="70">
        <f t="shared" si="1532"/>
        <v>89.357800136474069</v>
      </c>
      <c r="L191" s="70">
        <f t="shared" si="1532"/>
        <v>79.217490467635756</v>
      </c>
      <c r="M191" s="70">
        <f t="shared" si="1532"/>
        <v>84.354350697974581</v>
      </c>
      <c r="N191" s="70">
        <f t="shared" si="1532"/>
        <v>92.581929824561414</v>
      </c>
      <c r="O191" s="70">
        <f t="shared" si="1532"/>
        <v>97.850732581202422</v>
      </c>
      <c r="P191" s="70">
        <f t="shared" si="1532"/>
        <v>120.43930691542674</v>
      </c>
      <c r="Q191" s="70">
        <f t="shared" si="1532"/>
        <v>66.8700109563312</v>
      </c>
      <c r="R191" s="70">
        <f t="shared" si="1532"/>
        <v>63.391548742839809</v>
      </c>
      <c r="S191" s="70">
        <f t="shared" si="1532"/>
        <v>79.375715219879012</v>
      </c>
      <c r="T191" s="70">
        <f t="shared" si="1532"/>
        <v>63.51563960424307</v>
      </c>
      <c r="U191" s="70">
        <f t="shared" si="1532"/>
        <v>92.191949313740437</v>
      </c>
      <c r="V191" s="70">
        <f t="shared" si="1532"/>
        <v>219.31187894045601</v>
      </c>
      <c r="W191" s="70">
        <f t="shared" si="1532"/>
        <v>200.39519432907031</v>
      </c>
      <c r="X191" s="70">
        <f t="shared" si="1532"/>
        <v>182.90930591865308</v>
      </c>
      <c r="Y191" s="70">
        <f t="shared" si="1532"/>
        <v>168.15592511529744</v>
      </c>
      <c r="Z191" s="70">
        <f t="shared" si="1532"/>
        <v>217.85170602404975</v>
      </c>
      <c r="AA191" s="70">
        <f t="shared" ref="AA191" si="1533">AA162/AA14*365</f>
        <v>283.16692004642573</v>
      </c>
      <c r="AB191" s="71">
        <f t="shared" si="1532"/>
        <v>293.84072915134357</v>
      </c>
      <c r="AC191" s="71">
        <f t="shared" si="1532"/>
        <v>299.83155140028617</v>
      </c>
      <c r="AD191" s="71">
        <f t="shared" si="1532"/>
        <v>300.66868117771855</v>
      </c>
      <c r="AE191" s="71">
        <f t="shared" si="1532"/>
        <v>300.76242100852085</v>
      </c>
      <c r="AI191" s="70" t="e">
        <f t="shared" ref="AI191:CD191" si="1534">AI162/AI14*90</f>
        <v>#DIV/0!</v>
      </c>
      <c r="AJ191" s="70" t="e">
        <f t="shared" si="1534"/>
        <v>#DIV/0!</v>
      </c>
      <c r="AK191" s="70" t="e">
        <f>AK162/AK14*90</f>
        <v>#DIV/0!</v>
      </c>
      <c r="AL191" s="70" t="e">
        <f t="shared" si="1534"/>
        <v>#DIV/0!</v>
      </c>
      <c r="AM191" s="70" t="e">
        <f t="shared" si="1534"/>
        <v>#DIV/0!</v>
      </c>
      <c r="AN191" s="70" t="e">
        <f t="shared" si="1534"/>
        <v>#DIV/0!</v>
      </c>
      <c r="AO191" s="70" t="e">
        <f t="shared" si="1534"/>
        <v>#DIV/0!</v>
      </c>
      <c r="AP191" s="70" t="e">
        <f t="shared" si="1534"/>
        <v>#DIV/0!</v>
      </c>
      <c r="AQ191" s="70" t="e">
        <f t="shared" si="1534"/>
        <v>#DIV/0!</v>
      </c>
      <c r="AR191" s="70" t="e">
        <f t="shared" si="1534"/>
        <v>#DIV/0!</v>
      </c>
      <c r="AS191" s="70" t="e">
        <f t="shared" si="1534"/>
        <v>#DIV/0!</v>
      </c>
      <c r="AT191" s="70" t="e">
        <f t="shared" si="1534"/>
        <v>#DIV/0!</v>
      </c>
      <c r="AU191" s="70" t="e">
        <f t="shared" si="1534"/>
        <v>#DIV/0!</v>
      </c>
      <c r="AV191" s="70" t="e">
        <f t="shared" si="1534"/>
        <v>#DIV/0!</v>
      </c>
      <c r="AW191" s="70" t="e">
        <f t="shared" si="1534"/>
        <v>#DIV/0!</v>
      </c>
      <c r="AX191" s="70" t="e">
        <f t="shared" si="1534"/>
        <v>#DIV/0!</v>
      </c>
      <c r="AY191" s="70" t="e">
        <f t="shared" si="1534"/>
        <v>#DIV/0!</v>
      </c>
      <c r="AZ191" s="70" t="e">
        <f t="shared" si="1534"/>
        <v>#DIV/0!</v>
      </c>
      <c r="BA191" s="70" t="e">
        <f t="shared" si="1534"/>
        <v>#DIV/0!</v>
      </c>
      <c r="BB191" s="70" t="e">
        <f t="shared" si="1534"/>
        <v>#DIV/0!</v>
      </c>
      <c r="BC191" s="70" t="e">
        <f t="shared" si="1534"/>
        <v>#DIV/0!</v>
      </c>
      <c r="BD191" s="70" t="e">
        <f t="shared" si="1534"/>
        <v>#DIV/0!</v>
      </c>
      <c r="BE191" s="70" t="e">
        <f t="shared" si="1534"/>
        <v>#DIV/0!</v>
      </c>
      <c r="BF191" s="70" t="e">
        <f t="shared" si="1534"/>
        <v>#DIV/0!</v>
      </c>
      <c r="BG191" s="70" t="e">
        <f t="shared" si="1534"/>
        <v>#DIV/0!</v>
      </c>
      <c r="BH191" s="70" t="e">
        <f t="shared" si="1534"/>
        <v>#DIV/0!</v>
      </c>
      <c r="BI191" s="70" t="e">
        <f t="shared" si="1534"/>
        <v>#DIV/0!</v>
      </c>
      <c r="BJ191" s="70" t="e">
        <f t="shared" si="1534"/>
        <v>#DIV/0!</v>
      </c>
      <c r="BK191" s="70" t="e">
        <f t="shared" si="1534"/>
        <v>#DIV/0!</v>
      </c>
      <c r="BL191" s="70" t="e">
        <f t="shared" si="1534"/>
        <v>#DIV/0!</v>
      </c>
      <c r="BM191" s="70" t="e">
        <f t="shared" si="1534"/>
        <v>#DIV/0!</v>
      </c>
      <c r="BN191" s="70" t="e">
        <f t="shared" si="1534"/>
        <v>#DIV/0!</v>
      </c>
      <c r="BO191" s="70" t="e">
        <f t="shared" si="1534"/>
        <v>#DIV/0!</v>
      </c>
      <c r="BP191" s="70" t="e">
        <f t="shared" si="1534"/>
        <v>#DIV/0!</v>
      </c>
      <c r="BQ191" s="70" t="e">
        <f t="shared" si="1534"/>
        <v>#DIV/0!</v>
      </c>
      <c r="BR191" s="70" t="e">
        <f t="shared" si="1534"/>
        <v>#DIV/0!</v>
      </c>
      <c r="BS191" s="70" t="e">
        <f t="shared" si="1534"/>
        <v>#DIV/0!</v>
      </c>
      <c r="BT191" s="70" t="e">
        <f t="shared" si="1534"/>
        <v>#DIV/0!</v>
      </c>
      <c r="BU191" s="70" t="e">
        <f t="shared" si="1534"/>
        <v>#DIV/0!</v>
      </c>
      <c r="BV191" s="70" t="e">
        <f t="shared" si="1534"/>
        <v>#DIV/0!</v>
      </c>
      <c r="BW191" s="70" t="e">
        <f t="shared" si="1534"/>
        <v>#DIV/0!</v>
      </c>
      <c r="BX191" s="70" t="e">
        <f t="shared" si="1534"/>
        <v>#DIV/0!</v>
      </c>
      <c r="BY191" s="70" t="e">
        <f t="shared" si="1534"/>
        <v>#DIV/0!</v>
      </c>
      <c r="BZ191" s="70">
        <f t="shared" si="1534"/>
        <v>141.96022504438849</v>
      </c>
      <c r="CA191" s="70">
        <f t="shared" si="1534"/>
        <v>153.45020092534259</v>
      </c>
      <c r="CB191" s="70">
        <f t="shared" si="1534"/>
        <v>0</v>
      </c>
      <c r="CC191" s="70">
        <f t="shared" si="1534"/>
        <v>0</v>
      </c>
      <c r="CD191" s="70">
        <f t="shared" si="1534"/>
        <v>163.07982014526729</v>
      </c>
      <c r="CE191" s="115">
        <f>CE162/CE16*90</f>
        <v>166.36071369899287</v>
      </c>
      <c r="CF191" s="70">
        <f>CF162/CF14*90</f>
        <v>184.09163484901077</v>
      </c>
      <c r="CG191" s="70">
        <f>CG162/CG16*90</f>
        <v>181.68477173005698</v>
      </c>
      <c r="CH191" s="70">
        <f>CH162/CH14*90</f>
        <v>215.94749737486873</v>
      </c>
      <c r="CI191" s="70">
        <f>CI189+CI190</f>
        <v>215.94749737486873</v>
      </c>
      <c r="CJ191" s="70">
        <f>CJ162/CJ14*90</f>
        <v>244.31865067670196</v>
      </c>
      <c r="CK191" s="50">
        <f t="shared" ref="CK191:DB191" si="1535">CK189+CK190</f>
        <v>244.31865067670196</v>
      </c>
      <c r="CL191" s="70">
        <f>CL162/CL14*90</f>
        <v>244.5012784470367</v>
      </c>
      <c r="CM191" s="50">
        <f t="shared" si="1535"/>
        <v>244.50127844703667</v>
      </c>
      <c r="CN191" s="50">
        <f t="shared" si="1535"/>
        <v>244.50127844703667</v>
      </c>
      <c r="CO191" s="50">
        <f t="shared" si="1535"/>
        <v>244.50127844703667</v>
      </c>
      <c r="CP191" s="50">
        <f t="shared" si="1535"/>
        <v>244.50127844703667</v>
      </c>
      <c r="CQ191" s="50">
        <f t="shared" si="1535"/>
        <v>244.50127844703667</v>
      </c>
      <c r="CR191" s="50">
        <f t="shared" si="1535"/>
        <v>244.50127844703667</v>
      </c>
      <c r="CS191" s="50">
        <f t="shared" si="1535"/>
        <v>244.50127844703667</v>
      </c>
      <c r="CT191" s="50">
        <f t="shared" si="1535"/>
        <v>244.50127844703667</v>
      </c>
      <c r="CU191" s="50">
        <f t="shared" si="1535"/>
        <v>244.50127844703667</v>
      </c>
      <c r="CV191" s="50">
        <f t="shared" si="1535"/>
        <v>244.50127844703667</v>
      </c>
      <c r="CW191" s="50">
        <f t="shared" si="1535"/>
        <v>244.50127844703667</v>
      </c>
      <c r="CX191" s="50">
        <f t="shared" si="1535"/>
        <v>244.50127844703667</v>
      </c>
      <c r="CY191" s="50">
        <f t="shared" si="1535"/>
        <v>244.50127844703667</v>
      </c>
      <c r="CZ191" s="50">
        <f t="shared" si="1535"/>
        <v>244.50127844703667</v>
      </c>
      <c r="DA191" s="50">
        <f t="shared" si="1535"/>
        <v>244.50127844703667</v>
      </c>
      <c r="DB191" s="50">
        <f t="shared" si="1535"/>
        <v>244.50127844703667</v>
      </c>
      <c r="DE191" s="138"/>
      <c r="DF191" s="7">
        <v>244.31865067670196</v>
      </c>
    </row>
    <row r="192" spans="1:110" s="7" customFormat="1" x14ac:dyDescent="0.2">
      <c r="A192" s="69" t="s">
        <v>470</v>
      </c>
      <c r="B192" s="70" t="e">
        <f>B188-B191</f>
        <v>#DIV/0!</v>
      </c>
      <c r="C192" s="70" t="e">
        <f t="shared" ref="C192:V192" si="1536">C188-C191</f>
        <v>#DIV/0!</v>
      </c>
      <c r="D192" s="70" t="e">
        <f t="shared" si="1536"/>
        <v>#DIV/0!</v>
      </c>
      <c r="E192" s="70">
        <f t="shared" si="1536"/>
        <v>2.1547424675893865</v>
      </c>
      <c r="F192" s="70">
        <f t="shared" si="1536"/>
        <v>-20.941455326449372</v>
      </c>
      <c r="G192" s="70">
        <f t="shared" si="1536"/>
        <v>21.591363802999595</v>
      </c>
      <c r="H192" s="70">
        <f t="shared" si="1536"/>
        <v>22.159678481684637</v>
      </c>
      <c r="I192" s="70">
        <f t="shared" si="1536"/>
        <v>34.192896606374717</v>
      </c>
      <c r="J192" s="70">
        <f t="shared" si="1536"/>
        <v>48.266680483055794</v>
      </c>
      <c r="K192" s="70">
        <f t="shared" si="1536"/>
        <v>32.771032965291795</v>
      </c>
      <c r="L192" s="70">
        <f t="shared" si="1536"/>
        <v>17.833516685999811</v>
      </c>
      <c r="M192" s="70">
        <f t="shared" si="1536"/>
        <v>16.952198026311777</v>
      </c>
      <c r="N192" s="70">
        <f t="shared" si="1536"/>
        <v>23.032506265664153</v>
      </c>
      <c r="O192" s="70">
        <f t="shared" si="1536"/>
        <v>-25.979462133975986</v>
      </c>
      <c r="P192" s="70">
        <f t="shared" si="1536"/>
        <v>-15.827172153264996</v>
      </c>
      <c r="Q192" s="70">
        <f t="shared" si="1536"/>
        <v>42.236339989118207</v>
      </c>
      <c r="R192" s="70">
        <f t="shared" si="1536"/>
        <v>40.645728867395938</v>
      </c>
      <c r="S192" s="70">
        <f t="shared" si="1536"/>
        <v>60.511930239124965</v>
      </c>
      <c r="T192" s="70">
        <f t="shared" si="1536"/>
        <v>57.007640515122979</v>
      </c>
      <c r="U192" s="70">
        <f t="shared" si="1536"/>
        <v>35.308461793338481</v>
      </c>
      <c r="V192" s="70">
        <f t="shared" si="1536"/>
        <v>-41.575529282698966</v>
      </c>
      <c r="W192" s="70">
        <f t="shared" ref="W192" si="1537">W188-W191</f>
        <v>-25.078380430532803</v>
      </c>
      <c r="X192" s="70">
        <f t="shared" ref="X192:Y192" si="1538">X188-X191</f>
        <v>58.734985886393389</v>
      </c>
      <c r="Y192" s="70">
        <f t="shared" si="1538"/>
        <v>53.728582037051552</v>
      </c>
      <c r="Z192" s="70">
        <f t="shared" ref="Z192:AA192" si="1539">Z188-Z191</f>
        <v>41.616122822122747</v>
      </c>
      <c r="AA192" s="70">
        <f t="shared" si="1539"/>
        <v>41.711766447434059</v>
      </c>
      <c r="AB192" s="71">
        <f t="shared" ref="AA192:AD192" si="1540">AB188-AB191</f>
        <v>56.785184246211031</v>
      </c>
      <c r="AC192" s="71">
        <f t="shared" si="1540"/>
        <v>57.942920092344593</v>
      </c>
      <c r="AD192" s="71">
        <f t="shared" si="1540"/>
        <v>58.104696741847079</v>
      </c>
      <c r="AE192" s="71">
        <f t="shared" ref="AE192" si="1541">AE188-AE191</f>
        <v>58.12281211196165</v>
      </c>
      <c r="AI192" s="70" t="e">
        <f t="shared" ref="AI192:AK192" si="1542">AI188-AI191</f>
        <v>#DIV/0!</v>
      </c>
      <c r="AJ192" s="70" t="e">
        <f t="shared" ref="AJ192:AM192" si="1543">AJ188-AJ191</f>
        <v>#DIV/0!</v>
      </c>
      <c r="AK192" s="70" t="e">
        <f t="shared" si="1542"/>
        <v>#DIV/0!</v>
      </c>
      <c r="AL192" s="70" t="e">
        <f t="shared" si="1543"/>
        <v>#DIV/0!</v>
      </c>
      <c r="AM192" s="70" t="e">
        <f t="shared" si="1543"/>
        <v>#DIV/0!</v>
      </c>
      <c r="AN192" s="70" t="e">
        <f t="shared" ref="AN192:AY192" si="1544">AN188-AN191</f>
        <v>#DIV/0!</v>
      </c>
      <c r="AO192" s="70" t="e">
        <f t="shared" si="1544"/>
        <v>#DIV/0!</v>
      </c>
      <c r="AP192" s="70" t="e">
        <f t="shared" si="1544"/>
        <v>#DIV/0!</v>
      </c>
      <c r="AQ192" s="70" t="e">
        <f t="shared" si="1544"/>
        <v>#DIV/0!</v>
      </c>
      <c r="AR192" s="70" t="e">
        <f t="shared" si="1544"/>
        <v>#DIV/0!</v>
      </c>
      <c r="AS192" s="70" t="e">
        <f t="shared" si="1544"/>
        <v>#DIV/0!</v>
      </c>
      <c r="AT192" s="70" t="e">
        <f t="shared" si="1544"/>
        <v>#DIV/0!</v>
      </c>
      <c r="AU192" s="70" t="e">
        <f t="shared" si="1544"/>
        <v>#DIV/0!</v>
      </c>
      <c r="AV192" s="70" t="e">
        <f t="shared" si="1544"/>
        <v>#DIV/0!</v>
      </c>
      <c r="AW192" s="70" t="e">
        <f t="shared" si="1544"/>
        <v>#DIV/0!</v>
      </c>
      <c r="AX192" s="70" t="e">
        <f t="shared" si="1544"/>
        <v>#DIV/0!</v>
      </c>
      <c r="AY192" s="70" t="e">
        <f t="shared" si="1544"/>
        <v>#DIV/0!</v>
      </c>
      <c r="AZ192" s="70" t="e">
        <f t="shared" ref="AZ192:BC192" si="1545">AZ188-AZ191</f>
        <v>#DIV/0!</v>
      </c>
      <c r="BA192" s="70" t="e">
        <f t="shared" si="1545"/>
        <v>#DIV/0!</v>
      </c>
      <c r="BB192" s="70" t="e">
        <f t="shared" si="1545"/>
        <v>#DIV/0!</v>
      </c>
      <c r="BC192" s="70" t="e">
        <f t="shared" si="1545"/>
        <v>#DIV/0!</v>
      </c>
      <c r="BD192" s="70" t="e">
        <f t="shared" ref="BD192:CE192" si="1546">BD188-BD191</f>
        <v>#DIV/0!</v>
      </c>
      <c r="BE192" s="70" t="e">
        <f t="shared" si="1546"/>
        <v>#DIV/0!</v>
      </c>
      <c r="BF192" s="70" t="e">
        <f t="shared" si="1546"/>
        <v>#DIV/0!</v>
      </c>
      <c r="BG192" s="70" t="e">
        <f t="shared" si="1546"/>
        <v>#DIV/0!</v>
      </c>
      <c r="BH192" s="70" t="e">
        <f t="shared" si="1546"/>
        <v>#DIV/0!</v>
      </c>
      <c r="BI192" s="70" t="e">
        <f t="shared" si="1546"/>
        <v>#DIV/0!</v>
      </c>
      <c r="BJ192" s="70" t="e">
        <f t="shared" si="1546"/>
        <v>#DIV/0!</v>
      </c>
      <c r="BK192" s="70" t="e">
        <f t="shared" si="1546"/>
        <v>#DIV/0!</v>
      </c>
      <c r="BL192" s="70" t="e">
        <f t="shared" si="1546"/>
        <v>#DIV/0!</v>
      </c>
      <c r="BM192" s="70" t="e">
        <f t="shared" si="1546"/>
        <v>#DIV/0!</v>
      </c>
      <c r="BN192" s="70" t="e">
        <f t="shared" si="1546"/>
        <v>#DIV/0!</v>
      </c>
      <c r="BO192" s="70" t="e">
        <f t="shared" si="1546"/>
        <v>#DIV/0!</v>
      </c>
      <c r="BP192" s="70" t="e">
        <f t="shared" si="1546"/>
        <v>#DIV/0!</v>
      </c>
      <c r="BQ192" s="70" t="e">
        <f t="shared" si="1546"/>
        <v>#DIV/0!</v>
      </c>
      <c r="BR192" s="70" t="e">
        <f t="shared" si="1546"/>
        <v>#DIV/0!</v>
      </c>
      <c r="BS192" s="70" t="e">
        <f t="shared" si="1546"/>
        <v>#DIV/0!</v>
      </c>
      <c r="BT192" s="70" t="e">
        <f t="shared" si="1546"/>
        <v>#DIV/0!</v>
      </c>
      <c r="BU192" s="70" t="e">
        <f t="shared" si="1546"/>
        <v>#DIV/0!</v>
      </c>
      <c r="BV192" s="70" t="e">
        <f t="shared" si="1546"/>
        <v>#DIV/0!</v>
      </c>
      <c r="BW192" s="70" t="e">
        <f t="shared" si="1546"/>
        <v>#DIV/0!</v>
      </c>
      <c r="BX192" s="70" t="e">
        <f t="shared" si="1546"/>
        <v>#DIV/0!</v>
      </c>
      <c r="BY192" s="70" t="e">
        <f t="shared" si="1546"/>
        <v>#DIV/0!</v>
      </c>
      <c r="BZ192" s="70">
        <f t="shared" si="1546"/>
        <v>57.155926668045282</v>
      </c>
      <c r="CA192" s="70">
        <f t="shared" si="1546"/>
        <v>60.424984230026439</v>
      </c>
      <c r="CB192" s="70">
        <f t="shared" si="1546"/>
        <v>0</v>
      </c>
      <c r="CC192" s="70">
        <f t="shared" si="1546"/>
        <v>0</v>
      </c>
      <c r="CD192" s="70">
        <f t="shared" si="1546"/>
        <v>64.623880711732824</v>
      </c>
      <c r="CE192" s="115">
        <f t="shared" si="1546"/>
        <v>65.092077645371916</v>
      </c>
      <c r="CF192" s="70">
        <f t="shared" ref="CF192:CG192" si="1547">CF188-CF191</f>
        <v>65.324540090246387</v>
      </c>
      <c r="CG192" s="70">
        <f t="shared" si="1547"/>
        <v>64.956141998821494</v>
      </c>
      <c r="CH192" s="70">
        <f t="shared" ref="CH192:CI192" si="1548">CH188-CH191</f>
        <v>41.252362618130888</v>
      </c>
      <c r="CI192" s="70">
        <f t="shared" si="1548"/>
        <v>41.252362618130888</v>
      </c>
      <c r="CJ192" s="70">
        <f t="shared" ref="CJ192:DB192" si="1549">CJ188-CJ191</f>
        <v>79.312869805717412</v>
      </c>
      <c r="CK192" s="50">
        <f t="shared" si="1549"/>
        <v>79.312869805717412</v>
      </c>
      <c r="CL192" s="70">
        <f t="shared" ref="CL192" si="1550">CL188-CL191</f>
        <v>47.250257597537171</v>
      </c>
      <c r="CM192" s="50">
        <f t="shared" si="1549"/>
        <v>47.2502575975372</v>
      </c>
      <c r="CN192" s="50">
        <f t="shared" si="1549"/>
        <v>47.2502575975372</v>
      </c>
      <c r="CO192" s="50">
        <f t="shared" si="1549"/>
        <v>47.2502575975372</v>
      </c>
      <c r="CP192" s="50">
        <f t="shared" si="1549"/>
        <v>47.2502575975372</v>
      </c>
      <c r="CQ192" s="50">
        <f t="shared" si="1549"/>
        <v>47.2502575975372</v>
      </c>
      <c r="CR192" s="50">
        <f t="shared" si="1549"/>
        <v>47.2502575975372</v>
      </c>
      <c r="CS192" s="50">
        <f t="shared" si="1549"/>
        <v>47.2502575975372</v>
      </c>
      <c r="CT192" s="50">
        <f t="shared" si="1549"/>
        <v>47.2502575975372</v>
      </c>
      <c r="CU192" s="50">
        <f t="shared" si="1549"/>
        <v>47.2502575975372</v>
      </c>
      <c r="CV192" s="50">
        <f t="shared" si="1549"/>
        <v>47.2502575975372</v>
      </c>
      <c r="CW192" s="50">
        <f t="shared" si="1549"/>
        <v>47.2502575975372</v>
      </c>
      <c r="CX192" s="50">
        <f t="shared" si="1549"/>
        <v>47.2502575975372</v>
      </c>
      <c r="CY192" s="50">
        <f t="shared" si="1549"/>
        <v>47.2502575975372</v>
      </c>
      <c r="CZ192" s="50">
        <f t="shared" si="1549"/>
        <v>47.2502575975372</v>
      </c>
      <c r="DA192" s="50">
        <f t="shared" si="1549"/>
        <v>47.2502575975372</v>
      </c>
      <c r="DB192" s="50">
        <f t="shared" si="1549"/>
        <v>47.2502575975372</v>
      </c>
      <c r="DE192" s="138"/>
      <c r="DF192" s="7">
        <v>79.312869805717412</v>
      </c>
    </row>
    <row r="193" spans="1:110" s="7" customFormat="1" x14ac:dyDescent="0.2">
      <c r="A193" s="69" t="s">
        <v>86</v>
      </c>
      <c r="AB193" s="77"/>
      <c r="AC193" s="77"/>
      <c r="AD193" s="77"/>
      <c r="AE193" s="77"/>
      <c r="CE193" s="115"/>
      <c r="CG193" s="115"/>
      <c r="CK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E193" s="138"/>
    </row>
    <row r="194" spans="1:110" s="86" customFormat="1" x14ac:dyDescent="0.2">
      <c r="A194" s="86" t="s">
        <v>440</v>
      </c>
      <c r="C194" s="86" t="e">
        <f t="shared" ref="C194:Y194" si="1551">C16/B16-1</f>
        <v>#DIV/0!</v>
      </c>
      <c r="D194" s="86" t="e">
        <f t="shared" si="1551"/>
        <v>#DIV/0!</v>
      </c>
      <c r="E194" s="86" t="e">
        <f t="shared" si="1551"/>
        <v>#DIV/0!</v>
      </c>
      <c r="F194" s="86">
        <f t="shared" si="1551"/>
        <v>0.32403338478054078</v>
      </c>
      <c r="G194" s="86">
        <f t="shared" si="1551"/>
        <v>2.0016261077260862</v>
      </c>
      <c r="H194" s="86">
        <f t="shared" si="1551"/>
        <v>0.73289102871979339</v>
      </c>
      <c r="I194" s="86">
        <f t="shared" si="1551"/>
        <v>0.1658598881207809</v>
      </c>
      <c r="J194" s="86">
        <f t="shared" si="1551"/>
        <v>0.109255878443141</v>
      </c>
      <c r="K194" s="86">
        <f t="shared" si="1551"/>
        <v>-0.10981892019762862</v>
      </c>
      <c r="L194" s="86">
        <f t="shared" si="1551"/>
        <v>0.16716991172533557</v>
      </c>
      <c r="M194" s="86">
        <f t="shared" si="1551"/>
        <v>0.31480030621389443</v>
      </c>
      <c r="N194" s="86">
        <f t="shared" si="1551"/>
        <v>0.21453053372376885</v>
      </c>
      <c r="O194" s="86">
        <f t="shared" si="1551"/>
        <v>0.17516290726817041</v>
      </c>
      <c r="P194" s="86">
        <f t="shared" si="1551"/>
        <v>0.10652818358250338</v>
      </c>
      <c r="Q194" s="86">
        <f t="shared" si="1551"/>
        <v>3.4376686454398397E-2</v>
      </c>
      <c r="R194" s="86">
        <f t="shared" si="1551"/>
        <v>4.4186809173504926E-2</v>
      </c>
      <c r="S194" s="86">
        <f t="shared" si="1551"/>
        <v>-3.942611395635176E-2</v>
      </c>
      <c r="T194" s="86">
        <f t="shared" si="1551"/>
        <v>9.315692481460025E-2</v>
      </c>
      <c r="U194" s="86">
        <f t="shared" si="1551"/>
        <v>-3.064193242494595E-2</v>
      </c>
      <c r="V194" s="86">
        <f t="shared" si="1551"/>
        <v>-0.16519457023093864</v>
      </c>
      <c r="W194" s="86">
        <f t="shared" si="1551"/>
        <v>0.48244936496996305</v>
      </c>
      <c r="X194" s="86">
        <f t="shared" si="1551"/>
        <v>0.25062472022166959</v>
      </c>
      <c r="Y194" s="86">
        <f t="shared" si="1551"/>
        <v>0.15926400826427556</v>
      </c>
      <c r="Z194" s="86">
        <f>Z16/Y16-1</f>
        <v>1.0015242710857519E-2</v>
      </c>
      <c r="AA194" s="86">
        <f>AA16/Z16-1</f>
        <v>6.5226518588745064E-2</v>
      </c>
      <c r="AB194" s="87">
        <f t="shared" ref="AA194:AE194" si="1552">AB16/AA16-1</f>
        <v>0.15395528277127513</v>
      </c>
      <c r="AC194" s="87">
        <f t="shared" si="1552"/>
        <v>0.22323687833078365</v>
      </c>
      <c r="AD194" s="87">
        <f t="shared" si="1552"/>
        <v>0.22895999456555072</v>
      </c>
      <c r="AE194" s="87">
        <f t="shared" si="1552"/>
        <v>0.23012427061917107</v>
      </c>
      <c r="AN194" s="86" t="e">
        <f t="shared" ref="AN194:CI194" si="1553">+(AN16+AM16)/(AJ16+AI16)-1</f>
        <v>#DIV/0!</v>
      </c>
      <c r="AO194" s="86" t="e">
        <f t="shared" si="1553"/>
        <v>#DIV/0!</v>
      </c>
      <c r="AP194" s="86" t="e">
        <f t="shared" si="1553"/>
        <v>#DIV/0!</v>
      </c>
      <c r="AQ194" s="86" t="e">
        <f t="shared" si="1553"/>
        <v>#DIV/0!</v>
      </c>
      <c r="AR194" s="86" t="e">
        <f t="shared" si="1553"/>
        <v>#DIV/0!</v>
      </c>
      <c r="AS194" s="86" t="e">
        <f t="shared" si="1553"/>
        <v>#DIV/0!</v>
      </c>
      <c r="AT194" s="86" t="e">
        <f t="shared" si="1553"/>
        <v>#DIV/0!</v>
      </c>
      <c r="AU194" s="86" t="e">
        <f t="shared" si="1553"/>
        <v>#DIV/0!</v>
      </c>
      <c r="AV194" s="86" t="e">
        <f t="shared" si="1553"/>
        <v>#DIV/0!</v>
      </c>
      <c r="AW194" s="86" t="e">
        <f t="shared" si="1553"/>
        <v>#DIV/0!</v>
      </c>
      <c r="AX194" s="86" t="e">
        <f t="shared" si="1553"/>
        <v>#DIV/0!</v>
      </c>
      <c r="AY194" s="86" t="e">
        <f t="shared" si="1553"/>
        <v>#DIV/0!</v>
      </c>
      <c r="AZ194" s="86" t="e">
        <f t="shared" si="1553"/>
        <v>#DIV/0!</v>
      </c>
      <c r="BA194" s="86" t="e">
        <f t="shared" si="1553"/>
        <v>#DIV/0!</v>
      </c>
      <c r="BB194" s="86" t="e">
        <f t="shared" si="1553"/>
        <v>#DIV/0!</v>
      </c>
      <c r="BC194" s="86" t="e">
        <f t="shared" si="1553"/>
        <v>#DIV/0!</v>
      </c>
      <c r="BD194" s="86" t="e">
        <f t="shared" si="1553"/>
        <v>#DIV/0!</v>
      </c>
      <c r="BE194" s="86" t="e">
        <f t="shared" si="1553"/>
        <v>#DIV/0!</v>
      </c>
      <c r="BF194" s="86" t="e">
        <f t="shared" si="1553"/>
        <v>#DIV/0!</v>
      </c>
      <c r="BG194" s="86" t="e">
        <f t="shared" si="1553"/>
        <v>#DIV/0!</v>
      </c>
      <c r="BH194" s="86" t="e">
        <f t="shared" si="1553"/>
        <v>#DIV/0!</v>
      </c>
      <c r="BI194" s="86" t="e">
        <f t="shared" si="1553"/>
        <v>#DIV/0!</v>
      </c>
      <c r="BJ194" s="86" t="e">
        <f t="shared" si="1553"/>
        <v>#DIV/0!</v>
      </c>
      <c r="BK194" s="86" t="e">
        <f t="shared" si="1553"/>
        <v>#DIV/0!</v>
      </c>
      <c r="BL194" s="86" t="e">
        <f t="shared" si="1553"/>
        <v>#DIV/0!</v>
      </c>
      <c r="BM194" s="86" t="e">
        <f t="shared" si="1553"/>
        <v>#DIV/0!</v>
      </c>
      <c r="BN194" s="86" t="e">
        <f t="shared" si="1553"/>
        <v>#DIV/0!</v>
      </c>
      <c r="BO194" s="86" t="e">
        <f t="shared" si="1553"/>
        <v>#DIV/0!</v>
      </c>
      <c r="BP194" s="86" t="e">
        <f t="shared" si="1553"/>
        <v>#DIV/0!</v>
      </c>
      <c r="BQ194" s="86" t="e">
        <f t="shared" si="1553"/>
        <v>#DIV/0!</v>
      </c>
      <c r="BR194" s="86" t="e">
        <f t="shared" si="1553"/>
        <v>#DIV/0!</v>
      </c>
      <c r="BS194" s="86" t="e">
        <f t="shared" si="1553"/>
        <v>#DIV/0!</v>
      </c>
      <c r="BT194" s="86" t="e">
        <f t="shared" si="1553"/>
        <v>#DIV/0!</v>
      </c>
      <c r="BU194" s="86" t="e">
        <f t="shared" si="1553"/>
        <v>#DIV/0!</v>
      </c>
      <c r="BV194" s="86" t="e">
        <f t="shared" si="1553"/>
        <v>#DIV/0!</v>
      </c>
      <c r="BW194" s="86" t="e">
        <f t="shared" si="1553"/>
        <v>#DIV/0!</v>
      </c>
      <c r="BX194" s="86" t="e">
        <f t="shared" si="1553"/>
        <v>#DIV/0!</v>
      </c>
      <c r="BY194" s="86" t="e">
        <f t="shared" si="1553"/>
        <v>#DIV/0!</v>
      </c>
      <c r="BZ194" s="86" t="e">
        <f t="shared" si="1553"/>
        <v>#DIV/0!</v>
      </c>
      <c r="CA194" s="86" t="e">
        <f t="shared" si="1553"/>
        <v>#DIV/0!</v>
      </c>
      <c r="CB194" s="86" t="e">
        <f t="shared" si="1553"/>
        <v>#DIV/0!</v>
      </c>
      <c r="CC194" s="86">
        <f t="shared" si="1553"/>
        <v>1.276575109663757</v>
      </c>
      <c r="CD194" s="86">
        <f t="shared" si="1553"/>
        <v>2.5420776794337741E-2</v>
      </c>
      <c r="CE194" s="86">
        <f t="shared" si="1553"/>
        <v>-3.3798008962675596E-2</v>
      </c>
      <c r="CF194" s="86">
        <f t="shared" si="1553"/>
        <v>1.5324336090553059E-2</v>
      </c>
      <c r="CG194" s="86">
        <f t="shared" si="1553"/>
        <v>2.15780381611963E-2</v>
      </c>
      <c r="CH194" s="86">
        <f t="shared" si="1553"/>
        <v>4.8369040725728674E-3</v>
      </c>
      <c r="CI194" s="86">
        <f t="shared" si="1553"/>
        <v>-1.5595209375802499E-2</v>
      </c>
      <c r="CJ194" s="86">
        <f>+(CJ16+CI16)/(CF16+CE16)-1</f>
        <v>8.5755938598741643E-4</v>
      </c>
      <c r="CK194" s="87"/>
      <c r="CL194" s="86">
        <f>+(CL16+CK16)/(CH16+CG16)-1</f>
        <v>0.12866543989120349</v>
      </c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E194" s="141"/>
      <c r="DF194" s="86">
        <v>6.5226518588745064E-2</v>
      </c>
    </row>
    <row r="195" spans="1:110" s="86" customFormat="1" x14ac:dyDescent="0.2">
      <c r="A195" s="86" t="s">
        <v>441</v>
      </c>
      <c r="C195" s="86" t="e">
        <f t="shared" ref="C195" si="1554">C192/B192-1</f>
        <v>#DIV/0!</v>
      </c>
      <c r="D195" s="86" t="e">
        <f t="shared" ref="D195" si="1555">D192/C192-1</f>
        <v>#DIV/0!</v>
      </c>
      <c r="E195" s="86" t="e">
        <f>E192/D192-1</f>
        <v>#DIV/0!</v>
      </c>
      <c r="F195" s="86">
        <f t="shared" ref="F195" si="1556">F192/E192-1</f>
        <v>-10.71877411868973</v>
      </c>
      <c r="G195" s="86">
        <f t="shared" ref="G195" si="1557">G192/F192-1</f>
        <v>-2.0310345420802429</v>
      </c>
      <c r="H195" s="86">
        <f t="shared" ref="H195" si="1558">H192/G192-1</f>
        <v>2.6321388675137225E-2</v>
      </c>
      <c r="I195" s="86">
        <f t="shared" ref="I195" si="1559">I192/H192-1</f>
        <v>0.5430231370295262</v>
      </c>
      <c r="J195" s="86">
        <f t="shared" ref="J195" si="1560">J192/I192-1</f>
        <v>0.41159963833123303</v>
      </c>
      <c r="K195" s="86">
        <f>K192/J192-1</f>
        <v>-0.32104232904941132</v>
      </c>
      <c r="L195" s="86">
        <f t="shared" ref="L195" si="1561">L192/K192-1</f>
        <v>-0.45581463041194004</v>
      </c>
      <c r="M195" s="86">
        <f t="shared" ref="M195" si="1562">M192/L192-1</f>
        <v>-4.9419229824699262E-2</v>
      </c>
      <c r="N195" s="86">
        <f t="shared" ref="N195" si="1563">N192/M192-1</f>
        <v>0.35867373835033267</v>
      </c>
      <c r="O195" s="86">
        <f t="shared" ref="O195" si="1564">O192/N192-1</f>
        <v>-2.1279476855154504</v>
      </c>
      <c r="P195" s="86">
        <f t="shared" ref="P195" si="1565">P192/O192-1</f>
        <v>-0.39078137677969116</v>
      </c>
      <c r="Q195" s="86">
        <f t="shared" ref="Q195" si="1566">Q192/P192-1</f>
        <v>-3.6685967385781701</v>
      </c>
      <c r="R195" s="86">
        <f t="shared" ref="R195" si="1567">R192/Q192-1</f>
        <v>-3.7659776442089288E-2</v>
      </c>
      <c r="S195" s="86">
        <f t="shared" ref="S195" si="1568">S192/R192-1</f>
        <v>0.48876479584217125</v>
      </c>
      <c r="T195" s="86">
        <f t="shared" ref="T195" si="1569">T192/S192-1</f>
        <v>-5.7910724548929204E-2</v>
      </c>
      <c r="U195" s="86">
        <f t="shared" ref="U195" si="1570">U192/T192-1</f>
        <v>-0.38063632393324787</v>
      </c>
      <c r="V195" s="86">
        <f t="shared" ref="V195" si="1571">V192/U192-1</f>
        <v>-2.1774947752196576</v>
      </c>
      <c r="W195" s="86">
        <f t="shared" ref="W195:AA195" si="1572">W192/V192-1</f>
        <v>-0.39679949087337785</v>
      </c>
      <c r="X195" s="86">
        <f t="shared" si="1572"/>
        <v>-3.3420565793349173</v>
      </c>
      <c r="Y195" s="86">
        <f t="shared" si="1572"/>
        <v>-8.523716782745705E-2</v>
      </c>
      <c r="Z195" s="86">
        <f t="shared" si="1572"/>
        <v>-0.22543790950179887</v>
      </c>
      <c r="AA195" s="86">
        <f t="shared" si="1572"/>
        <v>2.2982348865154822E-3</v>
      </c>
      <c r="AB195" s="87">
        <f t="shared" ref="AB195" si="1573">AB192/AA192-1</f>
        <v>0.36137088123018657</v>
      </c>
      <c r="AC195" s="87">
        <f t="shared" ref="AC195" si="1574">AC192/AB192-1</f>
        <v>2.0387991366089597E-2</v>
      </c>
      <c r="AD195" s="87">
        <f t="shared" ref="AD195" si="1575">AD192/AC192-1</f>
        <v>2.7920002865693405E-3</v>
      </c>
      <c r="AE195" s="87">
        <f t="shared" ref="AE195" si="1576">AE192/AD192-1</f>
        <v>3.1177118426506389E-4</v>
      </c>
      <c r="AN195" s="86" t="e">
        <f t="shared" ref="AN195:CI195" si="1577">+AN192/AJ192-1</f>
        <v>#DIV/0!</v>
      </c>
      <c r="AO195" s="86" t="e">
        <f t="shared" si="1577"/>
        <v>#DIV/0!</v>
      </c>
      <c r="AP195" s="86" t="e">
        <f t="shared" si="1577"/>
        <v>#DIV/0!</v>
      </c>
      <c r="AQ195" s="86" t="e">
        <f t="shared" si="1577"/>
        <v>#DIV/0!</v>
      </c>
      <c r="AR195" s="86" t="e">
        <f t="shared" si="1577"/>
        <v>#DIV/0!</v>
      </c>
      <c r="AS195" s="86" t="e">
        <f t="shared" si="1577"/>
        <v>#DIV/0!</v>
      </c>
      <c r="AT195" s="86" t="e">
        <f t="shared" si="1577"/>
        <v>#DIV/0!</v>
      </c>
      <c r="AU195" s="86" t="e">
        <f t="shared" si="1577"/>
        <v>#DIV/0!</v>
      </c>
      <c r="AV195" s="86" t="e">
        <f t="shared" si="1577"/>
        <v>#DIV/0!</v>
      </c>
      <c r="AW195" s="86" t="e">
        <f t="shared" si="1577"/>
        <v>#DIV/0!</v>
      </c>
      <c r="AX195" s="86" t="e">
        <f t="shared" si="1577"/>
        <v>#DIV/0!</v>
      </c>
      <c r="AY195" s="86" t="e">
        <f t="shared" si="1577"/>
        <v>#DIV/0!</v>
      </c>
      <c r="AZ195" s="86" t="e">
        <f t="shared" si="1577"/>
        <v>#DIV/0!</v>
      </c>
      <c r="BA195" s="86" t="e">
        <f t="shared" si="1577"/>
        <v>#DIV/0!</v>
      </c>
      <c r="BB195" s="86" t="e">
        <f t="shared" si="1577"/>
        <v>#DIV/0!</v>
      </c>
      <c r="BC195" s="86" t="e">
        <f t="shared" si="1577"/>
        <v>#DIV/0!</v>
      </c>
      <c r="BD195" s="86" t="e">
        <f t="shared" si="1577"/>
        <v>#DIV/0!</v>
      </c>
      <c r="BE195" s="86" t="e">
        <f t="shared" si="1577"/>
        <v>#DIV/0!</v>
      </c>
      <c r="BF195" s="86" t="e">
        <f t="shared" si="1577"/>
        <v>#DIV/0!</v>
      </c>
      <c r="BG195" s="86" t="e">
        <f t="shared" si="1577"/>
        <v>#DIV/0!</v>
      </c>
      <c r="BH195" s="86" t="e">
        <f t="shared" si="1577"/>
        <v>#DIV/0!</v>
      </c>
      <c r="BI195" s="86" t="e">
        <f t="shared" si="1577"/>
        <v>#DIV/0!</v>
      </c>
      <c r="BJ195" s="86" t="e">
        <f t="shared" si="1577"/>
        <v>#DIV/0!</v>
      </c>
      <c r="BK195" s="86" t="e">
        <f t="shared" si="1577"/>
        <v>#DIV/0!</v>
      </c>
      <c r="BL195" s="86" t="e">
        <f t="shared" si="1577"/>
        <v>#DIV/0!</v>
      </c>
      <c r="BM195" s="86" t="e">
        <f t="shared" si="1577"/>
        <v>#DIV/0!</v>
      </c>
      <c r="BN195" s="86" t="e">
        <f t="shared" si="1577"/>
        <v>#DIV/0!</v>
      </c>
      <c r="BO195" s="86" t="e">
        <f t="shared" si="1577"/>
        <v>#DIV/0!</v>
      </c>
      <c r="BP195" s="86" t="e">
        <f t="shared" si="1577"/>
        <v>#DIV/0!</v>
      </c>
      <c r="BQ195" s="86" t="e">
        <f t="shared" si="1577"/>
        <v>#DIV/0!</v>
      </c>
      <c r="BR195" s="86" t="e">
        <f t="shared" si="1577"/>
        <v>#DIV/0!</v>
      </c>
      <c r="BS195" s="86" t="e">
        <f t="shared" si="1577"/>
        <v>#DIV/0!</v>
      </c>
      <c r="BT195" s="86" t="e">
        <f t="shared" si="1577"/>
        <v>#DIV/0!</v>
      </c>
      <c r="BU195" s="86" t="e">
        <f t="shared" si="1577"/>
        <v>#DIV/0!</v>
      </c>
      <c r="BV195" s="86" t="e">
        <f t="shared" si="1577"/>
        <v>#DIV/0!</v>
      </c>
      <c r="BW195" s="86" t="e">
        <f t="shared" si="1577"/>
        <v>#DIV/0!</v>
      </c>
      <c r="BX195" s="86" t="e">
        <f t="shared" si="1577"/>
        <v>#DIV/0!</v>
      </c>
      <c r="BY195" s="86" t="e">
        <f t="shared" si="1577"/>
        <v>#DIV/0!</v>
      </c>
      <c r="BZ195" s="86" t="e">
        <f t="shared" si="1577"/>
        <v>#DIV/0!</v>
      </c>
      <c r="CA195" s="86" t="e">
        <f t="shared" si="1577"/>
        <v>#DIV/0!</v>
      </c>
      <c r="CB195" s="86" t="e">
        <f t="shared" si="1577"/>
        <v>#DIV/0!</v>
      </c>
      <c r="CC195" s="86" t="e">
        <f t="shared" si="1577"/>
        <v>#DIV/0!</v>
      </c>
      <c r="CD195" s="86">
        <f t="shared" si="1577"/>
        <v>0.13065931179911616</v>
      </c>
      <c r="CE195" s="86">
        <f t="shared" si="1577"/>
        <v>7.7237809406432545E-2</v>
      </c>
      <c r="CF195" s="86" t="e">
        <f t="shared" si="1577"/>
        <v>#DIV/0!</v>
      </c>
      <c r="CG195" s="86" t="e">
        <f t="shared" si="1577"/>
        <v>#DIV/0!</v>
      </c>
      <c r="CH195" s="86">
        <f t="shared" si="1577"/>
        <v>-0.36165451279311223</v>
      </c>
      <c r="CI195" s="86">
        <f t="shared" si="1577"/>
        <v>-0.36624603007945389</v>
      </c>
      <c r="CJ195" s="86">
        <f>+CJ192/CF192-1</f>
        <v>0.21413590813109495</v>
      </c>
      <c r="CK195" s="87"/>
      <c r="CL195" s="86">
        <f>+CL192/CH192-1</f>
        <v>0.14539518705699872</v>
      </c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E195" s="141"/>
      <c r="DF195" s="86">
        <v>0.31493397498295961</v>
      </c>
    </row>
    <row r="196" spans="1:110" s="103" customFormat="1" x14ac:dyDescent="0.2">
      <c r="A196" s="147" t="s">
        <v>87</v>
      </c>
      <c r="C196" s="103" t="e">
        <f>IF(C195&gt;C194,"RF",0)</f>
        <v>#DIV/0!</v>
      </c>
      <c r="D196" s="103" t="e">
        <f>IF(D195&gt;D194,"RF",0)</f>
        <v>#DIV/0!</v>
      </c>
      <c r="E196" s="103" t="e">
        <f t="shared" ref="E196:U196" si="1578">IF(E195&gt;E194,"RF",0)</f>
        <v>#DIV/0!</v>
      </c>
      <c r="F196" s="103">
        <f t="shared" si="1578"/>
        <v>0</v>
      </c>
      <c r="G196" s="103">
        <f t="shared" si="1578"/>
        <v>0</v>
      </c>
      <c r="H196" s="103">
        <f t="shared" si="1578"/>
        <v>0</v>
      </c>
      <c r="I196" s="103" t="str">
        <f t="shared" si="1578"/>
        <v>RF</v>
      </c>
      <c r="J196" s="103" t="str">
        <f t="shared" si="1578"/>
        <v>RF</v>
      </c>
      <c r="K196" s="103">
        <f t="shared" si="1578"/>
        <v>0</v>
      </c>
      <c r="L196" s="103">
        <f t="shared" si="1578"/>
        <v>0</v>
      </c>
      <c r="M196" s="103">
        <f t="shared" si="1578"/>
        <v>0</v>
      </c>
      <c r="N196" s="103" t="str">
        <f t="shared" si="1578"/>
        <v>RF</v>
      </c>
      <c r="O196" s="103">
        <f t="shared" si="1578"/>
        <v>0</v>
      </c>
      <c r="P196" s="103">
        <f t="shared" si="1578"/>
        <v>0</v>
      </c>
      <c r="Q196" s="103">
        <f t="shared" si="1578"/>
        <v>0</v>
      </c>
      <c r="R196" s="103">
        <f t="shared" si="1578"/>
        <v>0</v>
      </c>
      <c r="S196" s="103" t="str">
        <f t="shared" si="1578"/>
        <v>RF</v>
      </c>
      <c r="T196" s="103">
        <f t="shared" si="1578"/>
        <v>0</v>
      </c>
      <c r="U196" s="103">
        <f t="shared" si="1578"/>
        <v>0</v>
      </c>
      <c r="V196" s="103">
        <f>IF(V195&gt;V194,"RF",0)</f>
        <v>0</v>
      </c>
      <c r="W196" s="103">
        <f t="shared" ref="W196" si="1579">IF(W195&gt;W194,"RF",0)</f>
        <v>0</v>
      </c>
      <c r="X196" s="103">
        <f t="shared" ref="X196:Y196" si="1580">IF(X195&gt;X194,"RF",0)</f>
        <v>0</v>
      </c>
      <c r="Y196" s="103">
        <f t="shared" si="1580"/>
        <v>0</v>
      </c>
      <c r="Z196" s="103">
        <f t="shared" ref="Z196:AA196" si="1581">IF(Z195&gt;Z194,"RF",0)</f>
        <v>0</v>
      </c>
      <c r="AA196" s="103">
        <f t="shared" si="1581"/>
        <v>0</v>
      </c>
      <c r="AB196" s="73" t="str">
        <f t="shared" ref="AA196:AD196" si="1582">IF(AB195&gt;AB194,"RF",0)</f>
        <v>RF</v>
      </c>
      <c r="AC196" s="73">
        <f t="shared" si="1582"/>
        <v>0</v>
      </c>
      <c r="AD196" s="73">
        <f t="shared" si="1582"/>
        <v>0</v>
      </c>
      <c r="AE196" s="73">
        <f t="shared" ref="AE196" si="1583">IF(AE195&gt;AE194,"RF",0)</f>
        <v>0</v>
      </c>
      <c r="CK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E196" s="142"/>
      <c r="DF196" s="103" t="s">
        <v>528</v>
      </c>
    </row>
    <row r="197" spans="1:110" x14ac:dyDescent="0.2">
      <c r="A197" s="153" t="s">
        <v>494</v>
      </c>
      <c r="AA197" s="2"/>
      <c r="CL197" s="2"/>
    </row>
    <row r="198" spans="1:110" x14ac:dyDescent="0.2">
      <c r="A198" s="152" t="s">
        <v>495</v>
      </c>
      <c r="AA198" s="2"/>
      <c r="CL198" s="2"/>
    </row>
    <row r="199" spans="1:110" s="23" customFormat="1" x14ac:dyDescent="0.2">
      <c r="A199" s="23" t="s">
        <v>22</v>
      </c>
      <c r="C199" s="23">
        <f t="shared" ref="C199:AE199" si="1584">C54</f>
        <v>0</v>
      </c>
      <c r="D199" s="23">
        <f t="shared" si="1584"/>
        <v>0</v>
      </c>
      <c r="E199" s="23">
        <f t="shared" si="1584"/>
        <v>8.0062737000000084</v>
      </c>
      <c r="F199" s="23">
        <f t="shared" si="1584"/>
        <v>7.7165101999999877</v>
      </c>
      <c r="G199" s="23">
        <f t="shared" si="1584"/>
        <v>11.629900000000152</v>
      </c>
      <c r="H199" s="23">
        <f t="shared" si="1584"/>
        <v>16.284700000000068</v>
      </c>
      <c r="I199" s="23">
        <f t="shared" si="1584"/>
        <v>29.997800000000087</v>
      </c>
      <c r="J199" s="23">
        <f t="shared" si="1584"/>
        <v>65.865500000000097</v>
      </c>
      <c r="K199" s="23">
        <f t="shared" si="1584"/>
        <v>90.999599999999774</v>
      </c>
      <c r="L199" s="23">
        <f t="shared" si="1584"/>
        <v>139.01870000000002</v>
      </c>
      <c r="M199" s="23">
        <f t="shared" si="1584"/>
        <v>208.37000000000003</v>
      </c>
      <c r="N199" s="23">
        <f t="shared" si="1584"/>
        <v>300.73</v>
      </c>
      <c r="O199" s="23">
        <f t="shared" si="1584"/>
        <v>273.21999999999991</v>
      </c>
      <c r="P199" s="23">
        <f t="shared" si="1584"/>
        <v>334.06999999999954</v>
      </c>
      <c r="Q199" s="23">
        <f t="shared" si="1584"/>
        <v>383.56000000000012</v>
      </c>
      <c r="R199" s="23">
        <f t="shared" si="1584"/>
        <v>350.97999999999979</v>
      </c>
      <c r="S199" s="23">
        <f t="shared" si="1584"/>
        <v>245.81000000000006</v>
      </c>
      <c r="T199" s="23">
        <f t="shared" si="1584"/>
        <v>352.60000000000082</v>
      </c>
      <c r="U199" s="23">
        <f t="shared" si="1584"/>
        <v>251.56699999999955</v>
      </c>
      <c r="V199" s="23">
        <f t="shared" si="1584"/>
        <v>239.17300000000014</v>
      </c>
      <c r="W199" s="23">
        <f t="shared" si="1584"/>
        <v>436.99100000000044</v>
      </c>
      <c r="X199" s="23">
        <f t="shared" si="1584"/>
        <v>624.02999999999986</v>
      </c>
      <c r="Y199" s="23">
        <f t="shared" si="1584"/>
        <v>679.37000000000057</v>
      </c>
      <c r="Z199" s="23">
        <f t="shared" si="1584"/>
        <v>676.95</v>
      </c>
      <c r="AA199" s="23">
        <f t="shared" ref="AA199" si="1585">AA54</f>
        <v>546.58999999999878</v>
      </c>
      <c r="AB199" s="24">
        <f t="shared" si="1584"/>
        <v>482.29404606830002</v>
      </c>
      <c r="AC199" s="24">
        <f t="shared" si="1584"/>
        <v>997.27883579586148</v>
      </c>
      <c r="AD199" s="24">
        <f t="shared" si="1584"/>
        <v>1351.5740717508397</v>
      </c>
      <c r="AE199" s="24">
        <f t="shared" si="1584"/>
        <v>1744.8933307760913</v>
      </c>
      <c r="AI199" s="23">
        <f t="shared" ref="AI199:BN199" si="1586">AI54</f>
        <v>0</v>
      </c>
      <c r="AJ199" s="23">
        <f t="shared" si="1586"/>
        <v>0</v>
      </c>
      <c r="AK199" s="23">
        <f t="shared" si="1586"/>
        <v>0</v>
      </c>
      <c r="AL199" s="23">
        <f t="shared" si="1586"/>
        <v>0</v>
      </c>
      <c r="AM199" s="23">
        <f t="shared" si="1586"/>
        <v>0</v>
      </c>
      <c r="AN199" s="23">
        <f t="shared" si="1586"/>
        <v>0</v>
      </c>
      <c r="AO199" s="23">
        <f t="shared" si="1586"/>
        <v>0</v>
      </c>
      <c r="AP199" s="23">
        <f t="shared" si="1586"/>
        <v>0</v>
      </c>
      <c r="AQ199" s="23">
        <f t="shared" si="1586"/>
        <v>0</v>
      </c>
      <c r="AR199" s="23">
        <f t="shared" si="1586"/>
        <v>0</v>
      </c>
      <c r="AS199" s="23">
        <f t="shared" si="1586"/>
        <v>0</v>
      </c>
      <c r="AT199" s="23">
        <f t="shared" si="1586"/>
        <v>0</v>
      </c>
      <c r="AU199" s="23">
        <f t="shared" si="1586"/>
        <v>0</v>
      </c>
      <c r="AV199" s="23">
        <f t="shared" si="1586"/>
        <v>0</v>
      </c>
      <c r="AW199" s="23">
        <f t="shared" si="1586"/>
        <v>0</v>
      </c>
      <c r="AX199" s="23">
        <f t="shared" si="1586"/>
        <v>0</v>
      </c>
      <c r="AY199" s="23">
        <f t="shared" si="1586"/>
        <v>0</v>
      </c>
      <c r="AZ199" s="23">
        <f t="shared" si="1586"/>
        <v>0</v>
      </c>
      <c r="BA199" s="23">
        <f t="shared" si="1586"/>
        <v>0</v>
      </c>
      <c r="BB199" s="23">
        <f t="shared" si="1586"/>
        <v>0</v>
      </c>
      <c r="BC199" s="23">
        <f t="shared" si="1586"/>
        <v>0</v>
      </c>
      <c r="BD199" s="23">
        <f t="shared" si="1586"/>
        <v>0</v>
      </c>
      <c r="BE199" s="23">
        <f t="shared" si="1586"/>
        <v>0</v>
      </c>
      <c r="BF199" s="23">
        <f t="shared" si="1586"/>
        <v>0</v>
      </c>
      <c r="BG199" s="23">
        <f t="shared" si="1586"/>
        <v>0</v>
      </c>
      <c r="BH199" s="23">
        <f t="shared" si="1586"/>
        <v>0</v>
      </c>
      <c r="BI199" s="23">
        <f t="shared" si="1586"/>
        <v>0</v>
      </c>
      <c r="BJ199" s="23">
        <f t="shared" si="1586"/>
        <v>0</v>
      </c>
      <c r="BK199" s="23">
        <f t="shared" si="1586"/>
        <v>0</v>
      </c>
      <c r="BL199" s="23">
        <f t="shared" si="1586"/>
        <v>0</v>
      </c>
      <c r="BM199" s="23">
        <f t="shared" si="1586"/>
        <v>0</v>
      </c>
      <c r="BN199" s="23">
        <f t="shared" si="1586"/>
        <v>0</v>
      </c>
      <c r="BO199" s="23">
        <f t="shared" ref="BO199:CT199" si="1587">BO54</f>
        <v>0</v>
      </c>
      <c r="BP199" s="23">
        <f t="shared" si="1587"/>
        <v>0</v>
      </c>
      <c r="BQ199" s="23">
        <f t="shared" si="1587"/>
        <v>0</v>
      </c>
      <c r="BR199" s="23">
        <f t="shared" si="1587"/>
        <v>0</v>
      </c>
      <c r="BS199" s="23">
        <f t="shared" si="1587"/>
        <v>0</v>
      </c>
      <c r="BT199" s="23">
        <f t="shared" si="1587"/>
        <v>0</v>
      </c>
      <c r="BU199" s="23">
        <f t="shared" si="1587"/>
        <v>0</v>
      </c>
      <c r="BV199" s="23">
        <f t="shared" si="1587"/>
        <v>0</v>
      </c>
      <c r="BW199" s="23">
        <f t="shared" si="1587"/>
        <v>0</v>
      </c>
      <c r="BX199" s="23">
        <f t="shared" si="1587"/>
        <v>0</v>
      </c>
      <c r="BY199" s="23">
        <f t="shared" si="1587"/>
        <v>148.38000000000011</v>
      </c>
      <c r="BZ199" s="23">
        <f t="shared" si="1587"/>
        <v>216.5600000000002</v>
      </c>
      <c r="CA199" s="23">
        <f t="shared" si="1587"/>
        <v>191.5299999999998</v>
      </c>
      <c r="CB199" s="23">
        <f t="shared" si="1587"/>
        <v>160.38000000000017</v>
      </c>
      <c r="CC199" s="23">
        <f t="shared" si="1587"/>
        <v>170.2199999999998</v>
      </c>
      <c r="CD199" s="23">
        <f t="shared" si="1587"/>
        <v>157.2399999999999</v>
      </c>
      <c r="CE199" s="23">
        <f t="shared" si="1587"/>
        <v>162.02999999999992</v>
      </c>
      <c r="CF199" s="23">
        <f t="shared" si="1587"/>
        <v>157.40999999999997</v>
      </c>
      <c r="CG199" s="23">
        <f t="shared" si="1587"/>
        <v>168.6400000000001</v>
      </c>
      <c r="CH199" s="23">
        <f t="shared" si="1587"/>
        <v>188.8700000000002</v>
      </c>
      <c r="CI199" s="23">
        <f t="shared" si="1587"/>
        <v>170.27999999999989</v>
      </c>
      <c r="CJ199" s="23">
        <f t="shared" si="1587"/>
        <v>165.49999999999994</v>
      </c>
      <c r="CK199" s="24">
        <f t="shared" si="1587"/>
        <v>6.6400000000001285</v>
      </c>
      <c r="CL199" s="23">
        <f t="shared" ref="CL199" si="1588">CL54</f>
        <v>204.1700000000001</v>
      </c>
      <c r="CM199" s="24">
        <f t="shared" si="1587"/>
        <v>30.635169808022145</v>
      </c>
      <c r="CN199" s="24">
        <f t="shared" si="1587"/>
        <v>101.23045797240356</v>
      </c>
      <c r="CO199" s="24">
        <f t="shared" si="1587"/>
        <v>147.52236220893957</v>
      </c>
      <c r="CP199" s="24">
        <f t="shared" si="1587"/>
        <v>202.90605607893357</v>
      </c>
      <c r="CQ199" s="24">
        <f t="shared" si="1587"/>
        <v>192.834451885405</v>
      </c>
      <c r="CR199" s="24">
        <f t="shared" si="1587"/>
        <v>230.3725118298583</v>
      </c>
      <c r="CS199" s="24">
        <f t="shared" si="1587"/>
        <v>257.3127466519046</v>
      </c>
      <c r="CT199" s="24">
        <f t="shared" si="1587"/>
        <v>316.75912542869321</v>
      </c>
      <c r="CU199" s="24">
        <f t="shared" ref="CU199:DB199" si="1589">CU54</f>
        <v>268.58052031630933</v>
      </c>
      <c r="CV199" s="24">
        <f t="shared" si="1589"/>
        <v>316.3573026318943</v>
      </c>
      <c r="CW199" s="24">
        <f t="shared" si="1589"/>
        <v>348.45352700492043</v>
      </c>
      <c r="CX199" s="24">
        <f t="shared" si="1589"/>
        <v>418.18272179771577</v>
      </c>
      <c r="CY199" s="24">
        <f t="shared" si="1589"/>
        <v>363.94065330454492</v>
      </c>
      <c r="CZ199" s="24">
        <f t="shared" si="1589"/>
        <v>411.61034899999936</v>
      </c>
      <c r="DA199" s="24">
        <f t="shared" si="1589"/>
        <v>443.91760333160096</v>
      </c>
      <c r="DB199" s="24">
        <f t="shared" si="1589"/>
        <v>525.42472513994574</v>
      </c>
      <c r="DE199" s="123"/>
      <c r="DF199" s="23">
        <v>165.96146548062913</v>
      </c>
    </row>
    <row r="200" spans="1:110" s="23" customFormat="1" x14ac:dyDescent="0.2">
      <c r="A200" s="23" t="s">
        <v>88</v>
      </c>
      <c r="C200" s="23">
        <f t="shared" ref="C200:AE200" si="1590">C38</f>
        <v>0</v>
      </c>
      <c r="D200" s="23">
        <f t="shared" si="1590"/>
        <v>0</v>
      </c>
      <c r="E200" s="23">
        <f t="shared" si="1590"/>
        <v>6.5950357000000004</v>
      </c>
      <c r="F200" s="23">
        <f t="shared" si="1590"/>
        <v>7.3184203999999999</v>
      </c>
      <c r="G200" s="23">
        <f t="shared" si="1590"/>
        <v>11.6248</v>
      </c>
      <c r="H200" s="23">
        <f t="shared" si="1590"/>
        <v>14.649699999999999</v>
      </c>
      <c r="I200" s="23">
        <f t="shared" si="1590"/>
        <v>14.4755</v>
      </c>
      <c r="J200" s="23">
        <f t="shared" si="1590"/>
        <v>14.7905</v>
      </c>
      <c r="K200" s="23">
        <f t="shared" si="1590"/>
        <v>14.6762</v>
      </c>
      <c r="L200" s="23">
        <f t="shared" si="1590"/>
        <v>18.872599999999998</v>
      </c>
      <c r="M200" s="23">
        <f t="shared" si="1590"/>
        <v>26.19</v>
      </c>
      <c r="N200" s="23">
        <f t="shared" si="1590"/>
        <v>33.090000000000003</v>
      </c>
      <c r="O200" s="23">
        <f t="shared" si="1590"/>
        <v>48.11</v>
      </c>
      <c r="P200" s="23">
        <f t="shared" si="1590"/>
        <v>51.22</v>
      </c>
      <c r="Q200" s="23">
        <f t="shared" si="1590"/>
        <v>58.53</v>
      </c>
      <c r="R200" s="23">
        <f t="shared" si="1590"/>
        <v>62.84</v>
      </c>
      <c r="S200" s="23">
        <f t="shared" si="1590"/>
        <v>71.430000000000007</v>
      </c>
      <c r="T200" s="23">
        <f t="shared" si="1590"/>
        <v>68.64</v>
      </c>
      <c r="U200" s="23">
        <f t="shared" si="1590"/>
        <v>99.153000000000006</v>
      </c>
      <c r="V200" s="23">
        <f t="shared" si="1590"/>
        <v>92.2</v>
      </c>
      <c r="W200" s="23">
        <f t="shared" si="1590"/>
        <v>85.71</v>
      </c>
      <c r="X200" s="23">
        <f t="shared" si="1590"/>
        <v>94.55</v>
      </c>
      <c r="Y200" s="23">
        <f t="shared" si="1590"/>
        <v>105.87</v>
      </c>
      <c r="Z200" s="23">
        <f t="shared" si="1590"/>
        <v>121.21</v>
      </c>
      <c r="AA200" s="23">
        <f t="shared" ref="AA200" si="1591">AA38</f>
        <v>144.94999999999999</v>
      </c>
      <c r="AB200" s="24">
        <f t="shared" si="1590"/>
        <v>502.91729880405364</v>
      </c>
      <c r="AC200" s="24">
        <f t="shared" si="1590"/>
        <v>173.36829373776834</v>
      </c>
      <c r="AD200" s="24">
        <f t="shared" si="1590"/>
        <v>73.811173421039527</v>
      </c>
      <c r="AE200" s="24">
        <f t="shared" si="1590"/>
        <v>10.287277165503996</v>
      </c>
      <c r="AI200" s="23">
        <f t="shared" ref="AI200:BN200" si="1592">AI38</f>
        <v>0</v>
      </c>
      <c r="AJ200" s="23">
        <f t="shared" si="1592"/>
        <v>0</v>
      </c>
      <c r="AK200" s="23">
        <f t="shared" si="1592"/>
        <v>0</v>
      </c>
      <c r="AL200" s="23">
        <f t="shared" si="1592"/>
        <v>0</v>
      </c>
      <c r="AM200" s="23">
        <f t="shared" si="1592"/>
        <v>0</v>
      </c>
      <c r="AN200" s="23">
        <f t="shared" si="1592"/>
        <v>0</v>
      </c>
      <c r="AO200" s="23">
        <f t="shared" si="1592"/>
        <v>0</v>
      </c>
      <c r="AP200" s="23">
        <f t="shared" si="1592"/>
        <v>0</v>
      </c>
      <c r="AQ200" s="23">
        <f t="shared" si="1592"/>
        <v>0</v>
      </c>
      <c r="AR200" s="23">
        <f t="shared" si="1592"/>
        <v>0</v>
      </c>
      <c r="AS200" s="23">
        <f t="shared" si="1592"/>
        <v>0</v>
      </c>
      <c r="AT200" s="23">
        <f t="shared" si="1592"/>
        <v>0</v>
      </c>
      <c r="AU200" s="23">
        <f t="shared" si="1592"/>
        <v>0</v>
      </c>
      <c r="AV200" s="23">
        <f t="shared" si="1592"/>
        <v>0</v>
      </c>
      <c r="AW200" s="23">
        <f t="shared" si="1592"/>
        <v>0</v>
      </c>
      <c r="AX200" s="23">
        <f t="shared" si="1592"/>
        <v>0</v>
      </c>
      <c r="AY200" s="23">
        <f t="shared" si="1592"/>
        <v>0</v>
      </c>
      <c r="AZ200" s="23">
        <f t="shared" si="1592"/>
        <v>0</v>
      </c>
      <c r="BA200" s="23">
        <f t="shared" si="1592"/>
        <v>0</v>
      </c>
      <c r="BB200" s="23">
        <f t="shared" si="1592"/>
        <v>0</v>
      </c>
      <c r="BC200" s="23">
        <f t="shared" si="1592"/>
        <v>0</v>
      </c>
      <c r="BD200" s="23">
        <f t="shared" si="1592"/>
        <v>0</v>
      </c>
      <c r="BE200" s="23">
        <f t="shared" si="1592"/>
        <v>0</v>
      </c>
      <c r="BF200" s="23">
        <f t="shared" si="1592"/>
        <v>0</v>
      </c>
      <c r="BG200" s="23">
        <f t="shared" si="1592"/>
        <v>0</v>
      </c>
      <c r="BH200" s="23">
        <f t="shared" si="1592"/>
        <v>0</v>
      </c>
      <c r="BI200" s="23">
        <f t="shared" si="1592"/>
        <v>0</v>
      </c>
      <c r="BJ200" s="23">
        <f t="shared" si="1592"/>
        <v>0</v>
      </c>
      <c r="BK200" s="23">
        <f t="shared" si="1592"/>
        <v>0</v>
      </c>
      <c r="BL200" s="23">
        <f t="shared" si="1592"/>
        <v>0</v>
      </c>
      <c r="BM200" s="23">
        <f t="shared" si="1592"/>
        <v>0</v>
      </c>
      <c r="BN200" s="23">
        <f t="shared" si="1592"/>
        <v>0</v>
      </c>
      <c r="BO200" s="23">
        <f t="shared" ref="BO200:CT200" si="1593">BO38</f>
        <v>0</v>
      </c>
      <c r="BP200" s="23">
        <f t="shared" si="1593"/>
        <v>0</v>
      </c>
      <c r="BQ200" s="23">
        <f t="shared" si="1593"/>
        <v>0</v>
      </c>
      <c r="BR200" s="23">
        <f t="shared" si="1593"/>
        <v>0</v>
      </c>
      <c r="BS200" s="23">
        <f t="shared" si="1593"/>
        <v>0</v>
      </c>
      <c r="BT200" s="23">
        <f t="shared" si="1593"/>
        <v>0</v>
      </c>
      <c r="BU200" s="23">
        <f t="shared" si="1593"/>
        <v>0</v>
      </c>
      <c r="BV200" s="23">
        <f t="shared" si="1593"/>
        <v>0</v>
      </c>
      <c r="BW200" s="23">
        <f t="shared" si="1593"/>
        <v>0</v>
      </c>
      <c r="BX200" s="23">
        <f t="shared" si="1593"/>
        <v>0</v>
      </c>
      <c r="BY200" s="23">
        <f t="shared" si="1593"/>
        <v>23.92</v>
      </c>
      <c r="BZ200" s="23">
        <f t="shared" si="1593"/>
        <v>25.02</v>
      </c>
      <c r="CA200" s="23">
        <f t="shared" si="1593"/>
        <v>23.57</v>
      </c>
      <c r="CB200" s="23">
        <f t="shared" si="1593"/>
        <v>26.17</v>
      </c>
      <c r="CC200" s="23">
        <f t="shared" si="1593"/>
        <v>27.17</v>
      </c>
      <c r="CD200" s="23">
        <f t="shared" si="1593"/>
        <v>28.96</v>
      </c>
      <c r="CE200" s="23">
        <f t="shared" si="1593"/>
        <v>29.71</v>
      </c>
      <c r="CF200" s="23">
        <f t="shared" si="1593"/>
        <v>29.9</v>
      </c>
      <c r="CG200" s="23">
        <f t="shared" si="1593"/>
        <v>30.45</v>
      </c>
      <c r="CH200" s="23">
        <f t="shared" si="1593"/>
        <v>31.15</v>
      </c>
      <c r="CI200" s="23">
        <f t="shared" si="1593"/>
        <v>31.33</v>
      </c>
      <c r="CJ200" s="23">
        <f t="shared" si="1593"/>
        <v>30.89</v>
      </c>
      <c r="CK200" s="24">
        <f t="shared" si="1593"/>
        <v>36</v>
      </c>
      <c r="CL200" s="23">
        <f t="shared" ref="CL200" si="1594">CL38</f>
        <v>46.73</v>
      </c>
      <c r="CM200" s="24">
        <f t="shared" si="1593"/>
        <v>203.07497294597519</v>
      </c>
      <c r="CN200" s="24">
        <f t="shared" si="1593"/>
        <v>135.74962968646119</v>
      </c>
      <c r="CO200" s="24">
        <f t="shared" si="1593"/>
        <v>94.61352550558766</v>
      </c>
      <c r="CP200" s="24">
        <f t="shared" si="1593"/>
        <v>69.479170666029603</v>
      </c>
      <c r="CQ200" s="24">
        <f t="shared" si="1593"/>
        <v>54.121960600071354</v>
      </c>
      <c r="CR200" s="24">
        <f t="shared" si="1593"/>
        <v>44.738632381963178</v>
      </c>
      <c r="CS200" s="24">
        <f t="shared" si="1593"/>
        <v>39.005374318122811</v>
      </c>
      <c r="CT200" s="24">
        <f t="shared" si="1593"/>
        <v>35.502326437611003</v>
      </c>
      <c r="CU200" s="24">
        <f t="shared" ref="CU200:DB200" si="1595">CU38</f>
        <v>33.361947561147517</v>
      </c>
      <c r="CV200" s="24">
        <f t="shared" si="1595"/>
        <v>20.384308257622845</v>
      </c>
      <c r="CW200" s="24">
        <f t="shared" si="1595"/>
        <v>12.454909066091009</v>
      </c>
      <c r="CX200" s="24">
        <f t="shared" si="1595"/>
        <v>7.6100085361781522</v>
      </c>
      <c r="CY200" s="24">
        <f t="shared" si="1595"/>
        <v>4.649751324027938</v>
      </c>
      <c r="CZ200" s="24">
        <f t="shared" si="1595"/>
        <v>2.8410201213989308</v>
      </c>
      <c r="DA200" s="24">
        <f t="shared" si="1595"/>
        <v>1.735876774416713</v>
      </c>
      <c r="DB200" s="24">
        <f t="shared" si="1595"/>
        <v>1.0606289456604141</v>
      </c>
      <c r="DE200" s="123"/>
      <c r="DF200" s="23">
        <v>34.287481170221199</v>
      </c>
    </row>
    <row r="201" spans="1:110" s="22" customFormat="1" x14ac:dyDescent="0.2">
      <c r="A201" s="22" t="s">
        <v>89</v>
      </c>
      <c r="C201" s="22">
        <f t="shared" ref="C201:W201" si="1596">C199+C200</f>
        <v>0</v>
      </c>
      <c r="D201" s="22">
        <f t="shared" si="1596"/>
        <v>0</v>
      </c>
      <c r="E201" s="22">
        <f t="shared" si="1596"/>
        <v>14.601309400000009</v>
      </c>
      <c r="F201" s="22">
        <f t="shared" si="1596"/>
        <v>15.034930599999988</v>
      </c>
      <c r="G201" s="22">
        <f t="shared" si="1596"/>
        <v>23.254700000000152</v>
      </c>
      <c r="H201" s="22">
        <f t="shared" si="1596"/>
        <v>30.934400000000068</v>
      </c>
      <c r="I201" s="22">
        <f t="shared" si="1596"/>
        <v>44.473300000000087</v>
      </c>
      <c r="J201" s="22">
        <f t="shared" si="1596"/>
        <v>80.656000000000091</v>
      </c>
      <c r="K201" s="22">
        <f t="shared" si="1596"/>
        <v>105.67579999999977</v>
      </c>
      <c r="L201" s="22">
        <f t="shared" si="1596"/>
        <v>157.89130000000003</v>
      </c>
      <c r="M201" s="22">
        <f t="shared" si="1596"/>
        <v>234.56000000000003</v>
      </c>
      <c r="N201" s="22">
        <f t="shared" si="1596"/>
        <v>333.82000000000005</v>
      </c>
      <c r="O201" s="22">
        <f t="shared" si="1596"/>
        <v>321.32999999999993</v>
      </c>
      <c r="P201" s="22">
        <f t="shared" si="1596"/>
        <v>385.28999999999951</v>
      </c>
      <c r="Q201" s="22">
        <f t="shared" si="1596"/>
        <v>442.09000000000015</v>
      </c>
      <c r="R201" s="22">
        <f t="shared" si="1596"/>
        <v>413.81999999999982</v>
      </c>
      <c r="S201" s="22">
        <f t="shared" si="1596"/>
        <v>317.24000000000007</v>
      </c>
      <c r="T201" s="22">
        <f t="shared" si="1596"/>
        <v>421.2400000000008</v>
      </c>
      <c r="U201" s="22">
        <f t="shared" si="1596"/>
        <v>350.71999999999957</v>
      </c>
      <c r="V201" s="22">
        <f t="shared" si="1596"/>
        <v>331.37300000000016</v>
      </c>
      <c r="W201" s="22">
        <f t="shared" si="1596"/>
        <v>522.70100000000048</v>
      </c>
      <c r="X201" s="22">
        <f t="shared" ref="X201:Y201" si="1597">X199+X200</f>
        <v>718.57999999999981</v>
      </c>
      <c r="Y201" s="22">
        <f t="shared" si="1597"/>
        <v>785.24000000000058</v>
      </c>
      <c r="Z201" s="22">
        <f t="shared" ref="Z201:AA201" si="1598">Z199+Z200</f>
        <v>798.16000000000008</v>
      </c>
      <c r="AA201" s="22">
        <f t="shared" si="1598"/>
        <v>691.53999999999883</v>
      </c>
      <c r="AB201" s="21">
        <f t="shared" ref="AA201:AD201" si="1599">AB199+AB200</f>
        <v>985.21134487235372</v>
      </c>
      <c r="AC201" s="21">
        <f t="shared" si="1599"/>
        <v>1170.6471295336298</v>
      </c>
      <c r="AD201" s="21">
        <f t="shared" si="1599"/>
        <v>1425.3852451718792</v>
      </c>
      <c r="AE201" s="21">
        <f t="shared" ref="AE201" si="1600">AE199+AE200</f>
        <v>1755.1806079415953</v>
      </c>
      <c r="AI201" s="22">
        <f t="shared" ref="AI201" si="1601">AI199+AI200</f>
        <v>0</v>
      </c>
      <c r="AJ201" s="22">
        <f t="shared" ref="AJ201:AL201" si="1602">AJ199+AJ200</f>
        <v>0</v>
      </c>
      <c r="AK201" s="22">
        <f t="shared" si="1602"/>
        <v>0</v>
      </c>
      <c r="AL201" s="22">
        <f t="shared" si="1602"/>
        <v>0</v>
      </c>
      <c r="AM201" s="22">
        <f t="shared" ref="AM201" si="1603">AM199+AM200</f>
        <v>0</v>
      </c>
      <c r="AN201" s="22">
        <f t="shared" ref="AN201:CD201" si="1604">AN199+AN200</f>
        <v>0</v>
      </c>
      <c r="AO201" s="22">
        <f t="shared" si="1604"/>
        <v>0</v>
      </c>
      <c r="AP201" s="22">
        <f t="shared" si="1604"/>
        <v>0</v>
      </c>
      <c r="AQ201" s="22">
        <f t="shared" si="1604"/>
        <v>0</v>
      </c>
      <c r="AR201" s="22">
        <f t="shared" si="1604"/>
        <v>0</v>
      </c>
      <c r="AS201" s="22">
        <f t="shared" si="1604"/>
        <v>0</v>
      </c>
      <c r="AT201" s="22">
        <f t="shared" si="1604"/>
        <v>0</v>
      </c>
      <c r="AU201" s="22">
        <f t="shared" si="1604"/>
        <v>0</v>
      </c>
      <c r="AV201" s="22">
        <f t="shared" si="1604"/>
        <v>0</v>
      </c>
      <c r="AW201" s="22">
        <f t="shared" si="1604"/>
        <v>0</v>
      </c>
      <c r="AX201" s="22">
        <f t="shared" si="1604"/>
        <v>0</v>
      </c>
      <c r="AY201" s="22">
        <f t="shared" si="1604"/>
        <v>0</v>
      </c>
      <c r="AZ201" s="22">
        <f t="shared" si="1604"/>
        <v>0</v>
      </c>
      <c r="BA201" s="22">
        <f t="shared" si="1604"/>
        <v>0</v>
      </c>
      <c r="BB201" s="22">
        <f t="shared" si="1604"/>
        <v>0</v>
      </c>
      <c r="BC201" s="22">
        <f t="shared" si="1604"/>
        <v>0</v>
      </c>
      <c r="BD201" s="22">
        <f t="shared" si="1604"/>
        <v>0</v>
      </c>
      <c r="BE201" s="22">
        <f t="shared" si="1604"/>
        <v>0</v>
      </c>
      <c r="BF201" s="22">
        <f t="shared" si="1604"/>
        <v>0</v>
      </c>
      <c r="BG201" s="22">
        <f t="shared" si="1604"/>
        <v>0</v>
      </c>
      <c r="BH201" s="22">
        <f t="shared" si="1604"/>
        <v>0</v>
      </c>
      <c r="BI201" s="22">
        <f t="shared" si="1604"/>
        <v>0</v>
      </c>
      <c r="BJ201" s="22">
        <f t="shared" si="1604"/>
        <v>0</v>
      </c>
      <c r="BK201" s="22">
        <f t="shared" si="1604"/>
        <v>0</v>
      </c>
      <c r="BL201" s="22">
        <f t="shared" si="1604"/>
        <v>0</v>
      </c>
      <c r="BM201" s="22">
        <f t="shared" si="1604"/>
        <v>0</v>
      </c>
      <c r="BN201" s="22">
        <f t="shared" si="1604"/>
        <v>0</v>
      </c>
      <c r="BO201" s="22">
        <f t="shared" si="1604"/>
        <v>0</v>
      </c>
      <c r="BP201" s="22">
        <f t="shared" si="1604"/>
        <v>0</v>
      </c>
      <c r="BQ201" s="22">
        <f t="shared" si="1604"/>
        <v>0</v>
      </c>
      <c r="BR201" s="22">
        <f t="shared" si="1604"/>
        <v>0</v>
      </c>
      <c r="BS201" s="22">
        <f t="shared" si="1604"/>
        <v>0</v>
      </c>
      <c r="BT201" s="22">
        <f t="shared" si="1604"/>
        <v>0</v>
      </c>
      <c r="BU201" s="22">
        <f t="shared" si="1604"/>
        <v>0</v>
      </c>
      <c r="BV201" s="22">
        <f t="shared" si="1604"/>
        <v>0</v>
      </c>
      <c r="BW201" s="22">
        <f t="shared" si="1604"/>
        <v>0</v>
      </c>
      <c r="BX201" s="22">
        <f t="shared" si="1604"/>
        <v>0</v>
      </c>
      <c r="BY201" s="22">
        <f t="shared" si="1604"/>
        <v>172.30000000000013</v>
      </c>
      <c r="BZ201" s="22">
        <f t="shared" si="1604"/>
        <v>241.58000000000021</v>
      </c>
      <c r="CA201" s="22">
        <f t="shared" si="1604"/>
        <v>215.0999999999998</v>
      </c>
      <c r="CB201" s="22">
        <f t="shared" si="1604"/>
        <v>186.55000000000018</v>
      </c>
      <c r="CC201" s="22">
        <f t="shared" si="1604"/>
        <v>197.38999999999982</v>
      </c>
      <c r="CD201" s="22">
        <f t="shared" si="1604"/>
        <v>186.1999999999999</v>
      </c>
      <c r="CE201" s="22">
        <f t="shared" ref="CE201:CF201" si="1605">CE199+CE200</f>
        <v>191.73999999999992</v>
      </c>
      <c r="CF201" s="22">
        <f t="shared" si="1605"/>
        <v>187.30999999999997</v>
      </c>
      <c r="CG201" s="22">
        <f t="shared" ref="CG201:CH201" si="1606">CG199+CG200</f>
        <v>199.09000000000009</v>
      </c>
      <c r="CH201" s="22">
        <f t="shared" si="1606"/>
        <v>220.02000000000021</v>
      </c>
      <c r="CI201" s="22">
        <f t="shared" ref="CI201:CJ201" si="1607">CI199+CI200</f>
        <v>201.6099999999999</v>
      </c>
      <c r="CJ201" s="22">
        <f t="shared" si="1607"/>
        <v>196.38999999999993</v>
      </c>
      <c r="CK201" s="21">
        <f t="shared" ref="CK201:DB201" si="1608">CK199+CK200</f>
        <v>42.640000000000128</v>
      </c>
      <c r="CL201" s="22">
        <f t="shared" si="1608"/>
        <v>250.90000000000009</v>
      </c>
      <c r="CM201" s="21">
        <f t="shared" si="1608"/>
        <v>233.71014275399733</v>
      </c>
      <c r="CN201" s="21">
        <f t="shared" si="1608"/>
        <v>236.98008765886476</v>
      </c>
      <c r="CO201" s="21">
        <f t="shared" si="1608"/>
        <v>242.13588771452723</v>
      </c>
      <c r="CP201" s="21">
        <f t="shared" si="1608"/>
        <v>272.38522674496318</v>
      </c>
      <c r="CQ201" s="21">
        <f t="shared" si="1608"/>
        <v>246.95641248547636</v>
      </c>
      <c r="CR201" s="21">
        <f t="shared" si="1608"/>
        <v>275.11114421182145</v>
      </c>
      <c r="CS201" s="21">
        <f t="shared" si="1608"/>
        <v>296.31812097002739</v>
      </c>
      <c r="CT201" s="21">
        <f t="shared" si="1608"/>
        <v>352.26145186630424</v>
      </c>
      <c r="CU201" s="21">
        <f t="shared" si="1608"/>
        <v>301.94246787745686</v>
      </c>
      <c r="CV201" s="21">
        <f t="shared" si="1608"/>
        <v>336.74161088951712</v>
      </c>
      <c r="CW201" s="21">
        <f t="shared" si="1608"/>
        <v>360.90843607101147</v>
      </c>
      <c r="CX201" s="21">
        <f t="shared" si="1608"/>
        <v>425.79273033389393</v>
      </c>
      <c r="CY201" s="21">
        <f t="shared" si="1608"/>
        <v>368.59040462857286</v>
      </c>
      <c r="CZ201" s="21">
        <f t="shared" si="1608"/>
        <v>414.45136912139827</v>
      </c>
      <c r="DA201" s="21">
        <f t="shared" si="1608"/>
        <v>445.6534801060177</v>
      </c>
      <c r="DB201" s="21">
        <f t="shared" si="1608"/>
        <v>526.4853540856061</v>
      </c>
      <c r="DE201" s="126"/>
      <c r="DF201" s="22">
        <v>200.24894665085031</v>
      </c>
    </row>
    <row r="202" spans="1:110" s="23" customFormat="1" x14ac:dyDescent="0.2">
      <c r="A202" s="23" t="s">
        <v>65</v>
      </c>
      <c r="C202" s="23">
        <f t="shared" ref="C202:AA202" si="1609">B154-C154+B169+B170-C169-C170</f>
        <v>0</v>
      </c>
      <c r="D202" s="23">
        <f t="shared" si="1609"/>
        <v>0</v>
      </c>
      <c r="E202" s="23">
        <f>D154-E154+D169+D170-E169-E170</f>
        <v>-29.620568200000001</v>
      </c>
      <c r="F202" s="23">
        <f t="shared" si="1609"/>
        <v>-6.633142399999997</v>
      </c>
      <c r="G202" s="23">
        <f t="shared" si="1609"/>
        <v>-151.67118939999997</v>
      </c>
      <c r="H202" s="23">
        <f t="shared" si="1609"/>
        <v>-72.828699999999998</v>
      </c>
      <c r="I202" s="23">
        <f t="shared" si="1609"/>
        <v>-62.967300000000044</v>
      </c>
      <c r="J202" s="23">
        <f>I154-J154+I169+I170-J169-J170</f>
        <v>-79.041800000000052</v>
      </c>
      <c r="K202" s="23">
        <f>J154-K154+J169+J170-K169-K170</f>
        <v>37.341300000000054</v>
      </c>
      <c r="L202" s="23">
        <f t="shared" si="1609"/>
        <v>24.642199999999956</v>
      </c>
      <c r="M202" s="23">
        <f t="shared" si="1609"/>
        <v>-116.95079999999992</v>
      </c>
      <c r="N202" s="23">
        <f t="shared" si="1609"/>
        <v>-176.46</v>
      </c>
      <c r="O202" s="23">
        <f t="shared" si="1609"/>
        <v>161.64999999999992</v>
      </c>
      <c r="P202" s="23">
        <f t="shared" si="1609"/>
        <v>-277.02</v>
      </c>
      <c r="Q202" s="23">
        <f t="shared" si="1609"/>
        <v>-69.650000000000134</v>
      </c>
      <c r="R202" s="23">
        <f t="shared" si="1609"/>
        <v>-6.2699999999999712</v>
      </c>
      <c r="S202" s="23">
        <f t="shared" si="1609"/>
        <v>-218.81999999999991</v>
      </c>
      <c r="T202" s="23">
        <f t="shared" si="1609"/>
        <v>42.120000000000005</v>
      </c>
      <c r="U202" s="23">
        <f t="shared" si="1609"/>
        <v>-26.117999999999913</v>
      </c>
      <c r="V202" s="23">
        <f t="shared" si="1609"/>
        <v>-174.05500000000018</v>
      </c>
      <c r="W202" s="23">
        <f t="shared" si="1609"/>
        <v>-550.41899999999987</v>
      </c>
      <c r="X202" s="23">
        <f t="shared" si="1609"/>
        <v>-1321.6680000000001</v>
      </c>
      <c r="Y202" s="23">
        <f t="shared" si="1609"/>
        <v>-289.60000000000008</v>
      </c>
      <c r="Z202" s="23">
        <f t="shared" si="1609"/>
        <v>-651.58000000000015</v>
      </c>
      <c r="AA202" s="23">
        <f t="shared" si="1609"/>
        <v>-1235.7099999999991</v>
      </c>
      <c r="AB202" s="24">
        <f t="shared" ref="AB202" si="1610">AA154-AB154+AA169+AA170-AB169-AB170</f>
        <v>-1202.5965661105374</v>
      </c>
      <c r="AC202" s="24">
        <f t="shared" ref="AC202" si="1611">AB154-AC154+AB169+AB170-AC169-AC170</f>
        <v>-1514.6161442855328</v>
      </c>
      <c r="AD202" s="24">
        <f t="shared" ref="AD202" si="1612">AC154-AD154+AC169+AC170-AD169-AD170</f>
        <v>-1770.264225185314</v>
      </c>
      <c r="AE202" s="24">
        <f t="shared" ref="AE202" si="1613">AD154-AE154+AD169+AD170-AE169-AE170</f>
        <v>-2163.9764406064423</v>
      </c>
      <c r="AI202" s="23">
        <f>AH154-AI154+AH169+AH170-AI169-AJ170</f>
        <v>0</v>
      </c>
      <c r="AJ202" s="23">
        <f t="shared" ref="AJ202:AL202" si="1614">AI154-AJ154+AI169+AI170-AJ169-AK170</f>
        <v>0</v>
      </c>
      <c r="AK202" s="23" t="e">
        <f t="shared" si="1614"/>
        <v>#DIV/0!</v>
      </c>
      <c r="AL202" s="23" t="e">
        <f t="shared" si="1614"/>
        <v>#DIV/0!</v>
      </c>
      <c r="AM202" s="23" t="e">
        <f t="shared" ref="AM202" si="1615">AL154-AM154+AL169+AL170-AM169-AM170</f>
        <v>#DIV/0!</v>
      </c>
      <c r="AN202" s="23" t="e">
        <f t="shared" ref="AN202" si="1616">AM154-AN154+AM169+AM170-AN169-AN170</f>
        <v>#DIV/0!</v>
      </c>
      <c r="AO202" s="23" t="e">
        <f t="shared" ref="AO202" si="1617">AN154-AO154+AN169+AN170-AO169-AO170</f>
        <v>#DIV/0!</v>
      </c>
      <c r="AP202" s="23" t="e">
        <f t="shared" ref="AP202" si="1618">AO154-AP154+AO169+AO170-AP169-AP170</f>
        <v>#DIV/0!</v>
      </c>
      <c r="AQ202" s="23" t="e">
        <f t="shared" ref="AQ202" si="1619">AP154-AQ154+AP169+AP170-AQ169-AQ170</f>
        <v>#DIV/0!</v>
      </c>
      <c r="AR202" s="23" t="e">
        <f t="shared" ref="AR202" si="1620">AQ154-AR154+AQ169+AQ170-AR169-AR170</f>
        <v>#DIV/0!</v>
      </c>
      <c r="AS202" s="23" t="e">
        <f t="shared" ref="AS202" si="1621">AR154-AS154+AR169+AR170-AS169-AS170</f>
        <v>#DIV/0!</v>
      </c>
      <c r="AT202" s="23" t="e">
        <f t="shared" ref="AT202" si="1622">AS154-AT154+AS169+AS170-AT169-AT170</f>
        <v>#DIV/0!</v>
      </c>
      <c r="AU202" s="23" t="e">
        <f t="shared" ref="AU202" si="1623">AT154-AU154+AT169+AT170-AU169-AU170</f>
        <v>#DIV/0!</v>
      </c>
      <c r="AV202" s="23" t="e">
        <f t="shared" ref="AV202" si="1624">AU154-AV154+AU169+AU170-AV169-AV170</f>
        <v>#DIV/0!</v>
      </c>
      <c r="AW202" s="23" t="e">
        <f t="shared" ref="AW202" si="1625">AV154-AW154+AV169+AV170-AW169-AW170</f>
        <v>#DIV/0!</v>
      </c>
      <c r="AX202" s="23" t="e">
        <f t="shared" ref="AX202" si="1626">AW154-AX154+AW169+AW170-AX169-AX170</f>
        <v>#DIV/0!</v>
      </c>
      <c r="AY202" s="23" t="e">
        <f t="shared" ref="AY202" si="1627">AX154-AY154+AX169+AX170-AY169-AY170</f>
        <v>#DIV/0!</v>
      </c>
      <c r="AZ202" s="23" t="e">
        <f t="shared" ref="AZ202" si="1628">AY154-AZ154+AY169+AY170-AZ169-AZ170</f>
        <v>#DIV/0!</v>
      </c>
      <c r="BA202" s="23" t="e">
        <f t="shared" ref="BA202" si="1629">AZ154-BA154+AZ169+AZ170-BA169-BA170</f>
        <v>#DIV/0!</v>
      </c>
      <c r="BB202" s="23" t="e">
        <f t="shared" ref="BB202" si="1630">BA154-BB154+BA169+BA170-BB169-BB170</f>
        <v>#DIV/0!</v>
      </c>
      <c r="BC202" s="23" t="e">
        <f t="shared" ref="BC202" si="1631">BB154-BC154+BB169+BB170-BC169-BC170</f>
        <v>#DIV/0!</v>
      </c>
      <c r="BD202" s="23" t="e">
        <f t="shared" ref="BD202" si="1632">BC154-BD154+BC169+BC170-BD169-BD170</f>
        <v>#DIV/0!</v>
      </c>
      <c r="BE202" s="23" t="e">
        <f t="shared" ref="BE202" si="1633">BD154-BE154+BD169+BD170-BE169-BE170</f>
        <v>#DIV/0!</v>
      </c>
      <c r="BF202" s="23" t="e">
        <f t="shared" ref="BF202" si="1634">BE154-BF154+BE169+BE170-BF169-BF170</f>
        <v>#DIV/0!</v>
      </c>
      <c r="BG202" s="23" t="e">
        <f t="shared" ref="BG202" si="1635">BF154-BG154+BF169+BF170-BG169-BG170</f>
        <v>#DIV/0!</v>
      </c>
      <c r="BH202" s="23" t="e">
        <f t="shared" ref="BH202" si="1636">BG154-BH154+BG169+BG170-BH169-BH170</f>
        <v>#DIV/0!</v>
      </c>
      <c r="BI202" s="23" t="e">
        <f t="shared" ref="BI202" si="1637">BH154-BI154+BH169+BH170-BI169-BI170</f>
        <v>#DIV/0!</v>
      </c>
      <c r="BJ202" s="23" t="e">
        <f t="shared" ref="BJ202" si="1638">BI154-BJ154+BI169+BI170-BJ169-BJ170</f>
        <v>#DIV/0!</v>
      </c>
      <c r="BK202" s="23" t="e">
        <f t="shared" ref="BK202" si="1639">BJ154-BK154+BJ169+BJ170-BK169-BK170</f>
        <v>#DIV/0!</v>
      </c>
      <c r="BL202" s="23" t="e">
        <f t="shared" ref="BL202" si="1640">BK154-BL154+BK169+BK170-BL169-BL170</f>
        <v>#DIV/0!</v>
      </c>
      <c r="BM202" s="23" t="e">
        <f t="shared" ref="BM202" si="1641">BL154-BM154+BL169+BL170-BM169-BM170</f>
        <v>#DIV/0!</v>
      </c>
      <c r="BN202" s="23" t="e">
        <f t="shared" ref="BN202" si="1642">BM154-BN154+BM169+BM170-BN169-BN170</f>
        <v>#DIV/0!</v>
      </c>
      <c r="BO202" s="23" t="e">
        <f t="shared" ref="BO202" si="1643">BN154-BO154+BN169+BN170-BO169-BO170</f>
        <v>#DIV/0!</v>
      </c>
      <c r="BP202" s="23" t="e">
        <f t="shared" ref="BP202" si="1644">BO154-BP154+BO169+BO170-BP169-BP170</f>
        <v>#DIV/0!</v>
      </c>
      <c r="BQ202" s="23" t="e">
        <f t="shared" ref="BQ202" si="1645">BP154-BQ154+BP169+BP170-BQ169-BQ170</f>
        <v>#DIV/0!</v>
      </c>
      <c r="BR202" s="23" t="e">
        <f t="shared" ref="BR202" si="1646">BQ154-BR154+BQ169+BQ170-BR169-BR170</f>
        <v>#DIV/0!</v>
      </c>
      <c r="BS202" s="23" t="e">
        <f t="shared" ref="BS202" si="1647">BR154-BS154+BR169+BR170-BS169-BS170</f>
        <v>#DIV/0!</v>
      </c>
      <c r="BT202" s="23" t="e">
        <f t="shared" ref="BT202" si="1648">BS154-BT154+BS169+BS170-BT169-BT170</f>
        <v>#DIV/0!</v>
      </c>
      <c r="BU202" s="23" t="e">
        <f t="shared" ref="BU202" si="1649">BT154-BU154+BT169+BT170-BU169-BU170</f>
        <v>#DIV/0!</v>
      </c>
      <c r="BV202" s="23" t="e">
        <f t="shared" ref="BV202" si="1650">BU154-BV154+BU169+BU170-BV169-BV170</f>
        <v>#DIV/0!</v>
      </c>
      <c r="BW202" s="23" t="e">
        <f t="shared" ref="BW202" si="1651">BV154-BW154+BV169+BV170-BW169-BW170</f>
        <v>#DIV/0!</v>
      </c>
      <c r="BX202" s="23" t="e">
        <f t="shared" ref="BX202" si="1652">BW154-BX154+BW169+BW170-BX169-BX170</f>
        <v>#DIV/0!</v>
      </c>
      <c r="BY202" s="23" t="e">
        <f t="shared" ref="BY202" si="1653">BX154-BY154+BX169+BX170-BY169-BY170</f>
        <v>#DIV/0!</v>
      </c>
      <c r="BZ202" s="23" t="e">
        <f t="shared" ref="BZ202" si="1654">BY154-BZ154+BY169+BY170-BZ169-BZ170</f>
        <v>#DIV/0!</v>
      </c>
      <c r="CA202" s="23">
        <f t="shared" ref="CA202" si="1655">BZ154-CA154+BZ169+BZ170-CA169-CA170</f>
        <v>114.26709346187639</v>
      </c>
      <c r="CB202" s="23">
        <f t="shared" ref="CB202" si="1656">CA154-CB154+CA169+CA170-CB169-CB170</f>
        <v>3140.4629065381241</v>
      </c>
      <c r="CC202" s="23">
        <f t="shared" ref="CC202" si="1657">CB154-CC154+CB169+CB170-CC169-CC170</f>
        <v>0</v>
      </c>
      <c r="CD202" s="23">
        <f t="shared" ref="CD202" si="1658">CC154-CD154+CC169+CC170-CD169-CD170</f>
        <v>-3544.9900000000002</v>
      </c>
      <c r="CE202" s="23">
        <f t="shared" ref="CE202" si="1659">CD154-CE154+CD169+CD170-CE169-CE170</f>
        <v>28.302792974904577</v>
      </c>
      <c r="CF202" s="23">
        <f t="shared" ref="CF202" si="1660">CE154-CF154+CE169+CE170-CF169-CF170</f>
        <v>-368.57279297490425</v>
      </c>
      <c r="CG202" s="23">
        <f t="shared" ref="CG202" si="1661">CF154-CG154+CF169+CF170-CG169-CG170</f>
        <v>-17.380076979444311</v>
      </c>
      <c r="CH202" s="23">
        <f t="shared" ref="CH202:CL202" si="1662">CG154-CH154+CG169+CG170-CH169-CH170</f>
        <v>-112.97992302055633</v>
      </c>
      <c r="CI202" s="23">
        <f t="shared" si="1662"/>
        <v>118.19762454789497</v>
      </c>
      <c r="CJ202" s="23">
        <f t="shared" si="1662"/>
        <v>-1225.1576245478952</v>
      </c>
      <c r="CK202" s="24">
        <f t="shared" ref="CK202" si="1663">CJ154-CK154+CJ169+CJ170-CK169-CK170</f>
        <v>-152.46640520505116</v>
      </c>
      <c r="CL202" s="23">
        <f t="shared" si="1662"/>
        <v>-172.53359479494765</v>
      </c>
      <c r="CM202" s="24">
        <f t="shared" ref="CM202" si="1664">CL154-CM154+CL169+CL170-CM169-CM170</f>
        <v>638.62521824950818</v>
      </c>
      <c r="CN202" s="24">
        <f t="shared" ref="CN202" si="1665">CM154-CN154+CM169+CM170-CN169-CN170</f>
        <v>-416.8858209290147</v>
      </c>
      <c r="CO202" s="24">
        <f t="shared" ref="CO202" si="1666">CN154-CO154+CN169+CN170-CO169-CO170</f>
        <v>-284.20285271705325</v>
      </c>
      <c r="CP202" s="24">
        <f t="shared" ref="CP202" si="1667">CO154-CP154+CO169+CO170-CP169-CP170</f>
        <v>-943.88311071397766</v>
      </c>
      <c r="CQ202" s="24">
        <f t="shared" ref="CQ202" si="1668">CP154-CQ154+CP169+CP170-CQ169-CQ170</f>
        <v>793.08328562469615</v>
      </c>
      <c r="CR202" s="24">
        <f t="shared" ref="CR202" si="1669">CQ154-CR154+CQ169+CQ170-CR169-CR170</f>
        <v>-601.20122798063767</v>
      </c>
      <c r="CS202" s="24">
        <f t="shared" ref="CS202" si="1670">CR154-CS154+CR169+CR170-CS169-CS170</f>
        <v>-442.85511414924076</v>
      </c>
      <c r="CT202" s="24">
        <f t="shared" ref="CT202" si="1671">CS154-CT154+CS169+CS170-CT169-CT170</f>
        <v>-1263.6430877803505</v>
      </c>
      <c r="CU202" s="24">
        <f t="shared" ref="CU202" si="1672">CT154-CU154+CT169+CT170-CU169-CU170</f>
        <v>1134.9699040767182</v>
      </c>
      <c r="CV202" s="24">
        <f t="shared" ref="CV202" si="1673">CU154-CV154+CU169+CU170-CV169-CV170</f>
        <v>-777.96763508194272</v>
      </c>
      <c r="CW202" s="24">
        <f t="shared" ref="CW202" si="1674">CV154-CW154+CV169+CV170-CW169-CW170</f>
        <v>-568.96021547794135</v>
      </c>
      <c r="CX202" s="24">
        <f t="shared" ref="CX202" si="1675">CW154-CX154+CW169+CW170-CX169-CX170</f>
        <v>-1558.3062787021481</v>
      </c>
      <c r="CY202" s="24">
        <f t="shared" ref="CY202" si="1676">CX154-CY154+CX169+CX170-CY169-CY170</f>
        <v>1424.3090213134083</v>
      </c>
      <c r="CZ202" s="24">
        <f t="shared" ref="CZ202" si="1677">CY154-CZ154+CY169+CY170-CZ169-CZ170</f>
        <v>-969.46375893472486</v>
      </c>
      <c r="DA202" s="24">
        <f t="shared" ref="DA202" si="1678">CZ154-DA154+CZ169+CZ170-DA169-DA170</f>
        <v>-704.01569705430302</v>
      </c>
      <c r="DB202" s="24">
        <f t="shared" ref="DB202" si="1679">DA154-DB154+DA169+DA170-DB169-DB170</f>
        <v>-1914.8060059308227</v>
      </c>
      <c r="DE202" s="123"/>
      <c r="DF202" s="23">
        <v>26.583262381494933</v>
      </c>
    </row>
    <row r="203" spans="1:110" s="23" customFormat="1" x14ac:dyDescent="0.2">
      <c r="A203" s="23" t="s">
        <v>73</v>
      </c>
      <c r="C203" s="23">
        <f t="shared" ref="C203:AA203" si="1680">B162-C162</f>
        <v>0</v>
      </c>
      <c r="D203" s="23">
        <f t="shared" si="1680"/>
        <v>0</v>
      </c>
      <c r="E203" s="23">
        <f>D162-E162</f>
        <v>-30.187496600000003</v>
      </c>
      <c r="F203" s="23">
        <f t="shared" si="1680"/>
        <v>-17.359856299999997</v>
      </c>
      <c r="G203" s="23">
        <f t="shared" si="1680"/>
        <v>-102.83174710000003</v>
      </c>
      <c r="H203" s="23">
        <f t="shared" si="1680"/>
        <v>-50.2988</v>
      </c>
      <c r="I203" s="23">
        <f t="shared" si="1680"/>
        <v>-17.940199999999976</v>
      </c>
      <c r="J203" s="23">
        <f>I162-J162</f>
        <v>-17.11790000000002</v>
      </c>
      <c r="K203" s="23">
        <f>J162-K162</f>
        <v>-26.31159999999997</v>
      </c>
      <c r="L203" s="23">
        <f t="shared" si="1680"/>
        <v>-9.0982000000000198</v>
      </c>
      <c r="M203" s="23">
        <f t="shared" si="1680"/>
        <v>-108.4742</v>
      </c>
      <c r="N203" s="23">
        <f t="shared" si="1680"/>
        <v>-126.41000000000003</v>
      </c>
      <c r="O203" s="23">
        <f t="shared" si="1680"/>
        <v>-122.47999999999996</v>
      </c>
      <c r="P203" s="23">
        <f t="shared" si="1680"/>
        <v>-227.5</v>
      </c>
      <c r="Q203" s="23">
        <f t="shared" si="1680"/>
        <v>364.4</v>
      </c>
      <c r="R203" s="23">
        <f t="shared" si="1680"/>
        <v>4.9800000000000182</v>
      </c>
      <c r="S203" s="23">
        <f t="shared" si="1680"/>
        <v>-98.67999999999995</v>
      </c>
      <c r="T203" s="23">
        <f t="shared" si="1680"/>
        <v>73.319999999999936</v>
      </c>
      <c r="U203" s="23">
        <f t="shared" si="1680"/>
        <v>-208.38400000000001</v>
      </c>
      <c r="V203" s="23">
        <f t="shared" si="1680"/>
        <v>-710.20700000000011</v>
      </c>
      <c r="W203" s="23">
        <f t="shared" si="1680"/>
        <v>-507.25699999999983</v>
      </c>
      <c r="X203" s="23">
        <f t="shared" si="1680"/>
        <v>-274.202</v>
      </c>
      <c r="Y203" s="23">
        <f t="shared" si="1680"/>
        <v>-145.46000000000004</v>
      </c>
      <c r="Z203" s="23">
        <f t="shared" si="1680"/>
        <v>-727.31</v>
      </c>
      <c r="AA203" s="23">
        <f t="shared" si="1680"/>
        <v>-1186.4100000000003</v>
      </c>
      <c r="AB203" s="24">
        <f t="shared" ref="AB203" si="1681">AA162-AB162</f>
        <v>-843.36495811017721</v>
      </c>
      <c r="AC203" s="24">
        <f t="shared" ref="AC203" si="1682">AB162-AC162</f>
        <v>-1269.3183681396476</v>
      </c>
      <c r="AD203" s="24">
        <f t="shared" ref="AD203" si="1683">AC162-AD162</f>
        <v>-1483.5632816710659</v>
      </c>
      <c r="AE203" s="24">
        <f t="shared" ref="AE203" si="1684">AD162-AE162</f>
        <v>-1813.5123243248599</v>
      </c>
      <c r="AI203" s="23">
        <f t="shared" ref="AI203" si="1685">AH162-AI162</f>
        <v>0</v>
      </c>
      <c r="AJ203" s="23">
        <f t="shared" ref="AJ203" si="1686">AI162-AJ162</f>
        <v>0</v>
      </c>
      <c r="AK203" s="23" t="e">
        <f t="shared" ref="AK203" si="1687">AJ162-AK162</f>
        <v>#DIV/0!</v>
      </c>
      <c r="AL203" s="23" t="e">
        <f t="shared" ref="AL203" si="1688">AK162-AL162</f>
        <v>#DIV/0!</v>
      </c>
      <c r="AM203" s="23" t="e">
        <f t="shared" ref="AM203" si="1689">AL162-AM162</f>
        <v>#DIV/0!</v>
      </c>
      <c r="AN203" s="23" t="e">
        <f t="shared" ref="AN203" si="1690">AM162-AN162</f>
        <v>#DIV/0!</v>
      </c>
      <c r="AO203" s="23" t="e">
        <f t="shared" ref="AO203" si="1691">AN162-AO162</f>
        <v>#DIV/0!</v>
      </c>
      <c r="AP203" s="23" t="e">
        <f t="shared" ref="AP203" si="1692">AO162-AP162</f>
        <v>#DIV/0!</v>
      </c>
      <c r="AQ203" s="23" t="e">
        <f t="shared" ref="AQ203" si="1693">AP162-AQ162</f>
        <v>#DIV/0!</v>
      </c>
      <c r="AR203" s="23" t="e">
        <f t="shared" ref="AR203" si="1694">AQ162-AR162</f>
        <v>#DIV/0!</v>
      </c>
      <c r="AS203" s="23" t="e">
        <f t="shared" ref="AS203" si="1695">AR162-AS162</f>
        <v>#DIV/0!</v>
      </c>
      <c r="AT203" s="23" t="e">
        <f t="shared" ref="AT203" si="1696">AS162-AT162</f>
        <v>#DIV/0!</v>
      </c>
      <c r="AU203" s="23" t="e">
        <f t="shared" ref="AU203" si="1697">AT162-AU162</f>
        <v>#DIV/0!</v>
      </c>
      <c r="AV203" s="23" t="e">
        <f t="shared" ref="AV203" si="1698">AU162-AV162</f>
        <v>#DIV/0!</v>
      </c>
      <c r="AW203" s="23" t="e">
        <f t="shared" ref="AW203" si="1699">AV162-AW162</f>
        <v>#DIV/0!</v>
      </c>
      <c r="AX203" s="23" t="e">
        <f t="shared" ref="AX203" si="1700">AW162-AX162</f>
        <v>#DIV/0!</v>
      </c>
      <c r="AY203" s="23" t="e">
        <f t="shared" ref="AY203" si="1701">AX162-AY162</f>
        <v>#DIV/0!</v>
      </c>
      <c r="AZ203" s="23" t="e">
        <f t="shared" ref="AZ203" si="1702">AY162-AZ162</f>
        <v>#DIV/0!</v>
      </c>
      <c r="BA203" s="23" t="e">
        <f t="shared" ref="BA203" si="1703">AZ162-BA162</f>
        <v>#DIV/0!</v>
      </c>
      <c r="BB203" s="23" t="e">
        <f t="shared" ref="BB203" si="1704">BA162-BB162</f>
        <v>#DIV/0!</v>
      </c>
      <c r="BC203" s="23" t="e">
        <f t="shared" ref="BC203" si="1705">BB162-BC162</f>
        <v>#DIV/0!</v>
      </c>
      <c r="BD203" s="23" t="e">
        <f t="shared" ref="BD203" si="1706">BC162-BD162</f>
        <v>#DIV/0!</v>
      </c>
      <c r="BE203" s="23" t="e">
        <f t="shared" ref="BE203" si="1707">BD162-BE162</f>
        <v>#DIV/0!</v>
      </c>
      <c r="BF203" s="23" t="e">
        <f t="shared" ref="BF203" si="1708">BE162-BF162</f>
        <v>#DIV/0!</v>
      </c>
      <c r="BG203" s="23" t="e">
        <f t="shared" ref="BG203" si="1709">BF162-BG162</f>
        <v>#DIV/0!</v>
      </c>
      <c r="BH203" s="23" t="e">
        <f t="shared" ref="BH203" si="1710">BG162-BH162</f>
        <v>#DIV/0!</v>
      </c>
      <c r="BI203" s="23" t="e">
        <f t="shared" ref="BI203" si="1711">BH162-BI162</f>
        <v>#DIV/0!</v>
      </c>
      <c r="BJ203" s="23" t="e">
        <f t="shared" ref="BJ203" si="1712">BI162-BJ162</f>
        <v>#DIV/0!</v>
      </c>
      <c r="BK203" s="23" t="e">
        <f t="shared" ref="BK203" si="1713">BJ162-BK162</f>
        <v>#DIV/0!</v>
      </c>
      <c r="BL203" s="23" t="e">
        <f t="shared" ref="BL203" si="1714">BK162-BL162</f>
        <v>#DIV/0!</v>
      </c>
      <c r="BM203" s="23" t="e">
        <f t="shared" ref="BM203" si="1715">BL162-BM162</f>
        <v>#DIV/0!</v>
      </c>
      <c r="BN203" s="23" t="e">
        <f t="shared" ref="BN203" si="1716">BM162-BN162</f>
        <v>#DIV/0!</v>
      </c>
      <c r="BO203" s="23" t="e">
        <f t="shared" ref="BO203" si="1717">BN162-BO162</f>
        <v>#DIV/0!</v>
      </c>
      <c r="BP203" s="23" t="e">
        <f t="shared" ref="BP203" si="1718">BO162-BP162</f>
        <v>#DIV/0!</v>
      </c>
      <c r="BQ203" s="23" t="e">
        <f t="shared" ref="BQ203" si="1719">BP162-BQ162</f>
        <v>#DIV/0!</v>
      </c>
      <c r="BR203" s="23" t="e">
        <f t="shared" ref="BR203" si="1720">BQ162-BR162</f>
        <v>#DIV/0!</v>
      </c>
      <c r="BS203" s="23" t="e">
        <f t="shared" ref="BS203" si="1721">BR162-BS162</f>
        <v>#DIV/0!</v>
      </c>
      <c r="BT203" s="23" t="e">
        <f t="shared" ref="BT203" si="1722">BS162-BT162</f>
        <v>#DIV/0!</v>
      </c>
      <c r="BU203" s="23" t="e">
        <f t="shared" ref="BU203" si="1723">BT162-BU162</f>
        <v>#DIV/0!</v>
      </c>
      <c r="BV203" s="23" t="e">
        <f t="shared" ref="BV203" si="1724">BU162-BV162</f>
        <v>#DIV/0!</v>
      </c>
      <c r="BW203" s="23" t="e">
        <f t="shared" ref="BW203" si="1725">BV162-BW162</f>
        <v>#DIV/0!</v>
      </c>
      <c r="BX203" s="23" t="e">
        <f t="shared" ref="BX203" si="1726">BW162-BX162</f>
        <v>#DIV/0!</v>
      </c>
      <c r="BY203" s="23" t="e">
        <f t="shared" ref="BY203" si="1727">BX162-BY162</f>
        <v>#DIV/0!</v>
      </c>
      <c r="BZ203" s="23" t="e">
        <f t="shared" ref="BZ203" si="1728">BY162-BZ162</f>
        <v>#DIV/0!</v>
      </c>
      <c r="CA203" s="23">
        <f t="shared" ref="CA203" si="1729">BZ162-CA162</f>
        <v>67.948542559488033</v>
      </c>
      <c r="CB203" s="23">
        <f t="shared" ref="CB203" si="1730">CA162-CB162</f>
        <v>2144.0914574405119</v>
      </c>
      <c r="CC203" s="23">
        <f t="shared" ref="CC203" si="1731">CB162-CC162</f>
        <v>0</v>
      </c>
      <c r="CD203" s="23">
        <f t="shared" ref="CD203" si="1732">CC162-CD162</f>
        <v>-2357.5</v>
      </c>
      <c r="CE203" s="23">
        <f t="shared" ref="CE203" si="1733">CD162-CE162</f>
        <v>11.869390415433827</v>
      </c>
      <c r="CF203" s="23">
        <f t="shared" ref="CF203" si="1734">CE162-CF162</f>
        <v>-306.20939041543397</v>
      </c>
      <c r="CG203" s="23">
        <f t="shared" ref="CG203" si="1735">CF162-CG162</f>
        <v>-7.5809397971383987</v>
      </c>
      <c r="CH203" s="23">
        <f t="shared" ref="CH203:CL203" si="1736">CG162-CH162</f>
        <v>-425.3890602028614</v>
      </c>
      <c r="CI203" s="23">
        <f t="shared" si="1736"/>
        <v>99.239872126939645</v>
      </c>
      <c r="CJ203" s="23">
        <f t="shared" si="1736"/>
        <v>-606.80987212693981</v>
      </c>
      <c r="CK203" s="24">
        <f t="shared" ref="CK203" si="1737">CJ162-CK162</f>
        <v>-115.10123098546865</v>
      </c>
      <c r="CL203" s="23">
        <f t="shared" si="1736"/>
        <v>-563.7387690145315</v>
      </c>
      <c r="CM203" s="24">
        <f t="shared" ref="CM203" si="1738">CL162-CM162</f>
        <v>535.19746434742547</v>
      </c>
      <c r="CN203" s="24">
        <f t="shared" ref="CN203" si="1739">CM162-CN162</f>
        <v>-349.36959566860241</v>
      </c>
      <c r="CO203" s="24">
        <f t="shared" ref="CO203" si="1740">CN162-CO162</f>
        <v>-238.1751327506222</v>
      </c>
      <c r="CP203" s="24">
        <f t="shared" ref="CP203" si="1741">CO162-CP162</f>
        <v>-791.01769403837807</v>
      </c>
      <c r="CQ203" s="24">
        <f t="shared" ref="CQ203" si="1742">CP162-CQ162</f>
        <v>664.64046729333768</v>
      </c>
      <c r="CR203" s="24">
        <f t="shared" ref="CR203" si="1743">CQ162-CR162</f>
        <v>-503.8344299333412</v>
      </c>
      <c r="CS203" s="24">
        <f t="shared" ref="CS203" si="1744">CR162-CS162</f>
        <v>-371.13306426518557</v>
      </c>
      <c r="CT203" s="24">
        <f t="shared" ref="CT203" si="1745">CS162-CT162</f>
        <v>-1058.9913412344586</v>
      </c>
      <c r="CU203" s="24">
        <f t="shared" ref="CU203" si="1746">CT162-CU162</f>
        <v>951.15726315583743</v>
      </c>
      <c r="CV203" s="24">
        <f t="shared" ref="CV203" si="1747">CU162-CV162</f>
        <v>-651.97285315711906</v>
      </c>
      <c r="CW203" s="24">
        <f t="shared" ref="CW203" si="1748">CV162-CW162</f>
        <v>-476.81497055975979</v>
      </c>
      <c r="CX203" s="24">
        <f t="shared" ref="CX203" si="1749">CW162-CX162</f>
        <v>-1305.9327211100244</v>
      </c>
      <c r="CY203" s="24">
        <f t="shared" ref="CY203" si="1750">CX162-CY162</f>
        <v>1193.6368230862417</v>
      </c>
      <c r="CZ203" s="24">
        <f t="shared" ref="CZ203" si="1751">CY162-CZ162</f>
        <v>-812.4554601535865</v>
      </c>
      <c r="DA203" s="24">
        <f t="shared" ref="DA203" si="1752">CZ162-DA162</f>
        <v>-589.99770938741676</v>
      </c>
      <c r="DB203" s="24">
        <f t="shared" ref="DB203" si="1753">DA162-DB162</f>
        <v>-1604.6959778700984</v>
      </c>
      <c r="DE203" s="123"/>
      <c r="DF203" s="23">
        <v>20.068461767722965</v>
      </c>
    </row>
    <row r="204" spans="1:110" s="22" customFormat="1" x14ac:dyDescent="0.2">
      <c r="A204" s="22" t="s">
        <v>90</v>
      </c>
      <c r="C204" s="22">
        <f t="shared" ref="C204:W204" si="1754">C202-C203</f>
        <v>0</v>
      </c>
      <c r="D204" s="22">
        <f t="shared" si="1754"/>
        <v>0</v>
      </c>
      <c r="E204" s="22">
        <f t="shared" si="1754"/>
        <v>0.56692840000000189</v>
      </c>
      <c r="F204" s="22">
        <f t="shared" si="1754"/>
        <v>10.7267139</v>
      </c>
      <c r="G204" s="22">
        <f t="shared" si="1754"/>
        <v>-48.839442299999945</v>
      </c>
      <c r="H204" s="22">
        <f t="shared" si="1754"/>
        <v>-22.529899999999998</v>
      </c>
      <c r="I204" s="22">
        <f t="shared" si="1754"/>
        <v>-45.027100000000068</v>
      </c>
      <c r="J204" s="22">
        <f>J202-J203</f>
        <v>-61.923900000000032</v>
      </c>
      <c r="K204" s="22">
        <f t="shared" si="1754"/>
        <v>63.652900000000024</v>
      </c>
      <c r="L204" s="22">
        <f t="shared" si="1754"/>
        <v>33.74039999999998</v>
      </c>
      <c r="M204" s="22">
        <f t="shared" si="1754"/>
        <v>-8.4765999999999195</v>
      </c>
      <c r="N204" s="22">
        <f t="shared" si="1754"/>
        <v>-50.049999999999983</v>
      </c>
      <c r="O204" s="22">
        <f t="shared" si="1754"/>
        <v>284.12999999999988</v>
      </c>
      <c r="P204" s="22">
        <f t="shared" si="1754"/>
        <v>-49.519999999999982</v>
      </c>
      <c r="Q204" s="22">
        <f t="shared" si="1754"/>
        <v>-434.05000000000013</v>
      </c>
      <c r="R204" s="22">
        <f t="shared" si="1754"/>
        <v>-11.249999999999989</v>
      </c>
      <c r="S204" s="22">
        <f t="shared" si="1754"/>
        <v>-120.13999999999996</v>
      </c>
      <c r="T204" s="22">
        <f t="shared" si="1754"/>
        <v>-31.199999999999932</v>
      </c>
      <c r="U204" s="22">
        <f t="shared" si="1754"/>
        <v>182.2660000000001</v>
      </c>
      <c r="V204" s="22">
        <f t="shared" si="1754"/>
        <v>536.15199999999993</v>
      </c>
      <c r="W204" s="22">
        <f t="shared" si="1754"/>
        <v>-43.162000000000035</v>
      </c>
      <c r="X204" s="22">
        <f t="shared" ref="X204:Y204" si="1755">X202-X203</f>
        <v>-1047.4660000000001</v>
      </c>
      <c r="Y204" s="22">
        <f t="shared" si="1755"/>
        <v>-144.14000000000004</v>
      </c>
      <c r="Z204" s="22">
        <f t="shared" ref="Z204:AA204" si="1756">Z202-Z203</f>
        <v>75.729999999999791</v>
      </c>
      <c r="AA204" s="22">
        <f t="shared" si="1756"/>
        <v>-49.299999999998818</v>
      </c>
      <c r="AB204" s="21">
        <f t="shared" ref="AA204:AD204" si="1757">AB202-AB203</f>
        <v>-359.23160800036021</v>
      </c>
      <c r="AC204" s="21">
        <f t="shared" si="1757"/>
        <v>-245.29777614588511</v>
      </c>
      <c r="AD204" s="21">
        <f t="shared" si="1757"/>
        <v>-286.70094351424814</v>
      </c>
      <c r="AE204" s="21">
        <f t="shared" ref="AE204" si="1758">AE202-AE203</f>
        <v>-350.46411628158239</v>
      </c>
      <c r="AI204" s="22">
        <f t="shared" ref="AI204" si="1759">AI202-AI203</f>
        <v>0</v>
      </c>
      <c r="AJ204" s="22">
        <f t="shared" ref="AJ204:AL204" si="1760">AJ202-AJ203</f>
        <v>0</v>
      </c>
      <c r="AK204" s="22" t="e">
        <f t="shared" si="1760"/>
        <v>#DIV/0!</v>
      </c>
      <c r="AL204" s="22" t="e">
        <f t="shared" si="1760"/>
        <v>#DIV/0!</v>
      </c>
      <c r="AM204" s="22" t="e">
        <f t="shared" ref="AM204" si="1761">AM202-AM203</f>
        <v>#DIV/0!</v>
      </c>
      <c r="AN204" s="22" t="e">
        <f t="shared" ref="AN204:CD204" si="1762">AN202-AN203</f>
        <v>#DIV/0!</v>
      </c>
      <c r="AO204" s="22" t="e">
        <f t="shared" si="1762"/>
        <v>#DIV/0!</v>
      </c>
      <c r="AP204" s="22" t="e">
        <f t="shared" si="1762"/>
        <v>#DIV/0!</v>
      </c>
      <c r="AQ204" s="22" t="e">
        <f t="shared" si="1762"/>
        <v>#DIV/0!</v>
      </c>
      <c r="AR204" s="22" t="e">
        <f t="shared" si="1762"/>
        <v>#DIV/0!</v>
      </c>
      <c r="AS204" s="22" t="e">
        <f t="shared" si="1762"/>
        <v>#DIV/0!</v>
      </c>
      <c r="AT204" s="22" t="e">
        <f t="shared" si="1762"/>
        <v>#DIV/0!</v>
      </c>
      <c r="AU204" s="22" t="e">
        <f t="shared" si="1762"/>
        <v>#DIV/0!</v>
      </c>
      <c r="AV204" s="22" t="e">
        <f t="shared" si="1762"/>
        <v>#DIV/0!</v>
      </c>
      <c r="AW204" s="22" t="e">
        <f t="shared" si="1762"/>
        <v>#DIV/0!</v>
      </c>
      <c r="AX204" s="22" t="e">
        <f t="shared" si="1762"/>
        <v>#DIV/0!</v>
      </c>
      <c r="AY204" s="22" t="e">
        <f t="shared" si="1762"/>
        <v>#DIV/0!</v>
      </c>
      <c r="AZ204" s="22" t="e">
        <f t="shared" si="1762"/>
        <v>#DIV/0!</v>
      </c>
      <c r="BA204" s="22" t="e">
        <f t="shared" si="1762"/>
        <v>#DIV/0!</v>
      </c>
      <c r="BB204" s="22" t="e">
        <f t="shared" si="1762"/>
        <v>#DIV/0!</v>
      </c>
      <c r="BC204" s="22" t="e">
        <f t="shared" si="1762"/>
        <v>#DIV/0!</v>
      </c>
      <c r="BD204" s="22" t="e">
        <f t="shared" si="1762"/>
        <v>#DIV/0!</v>
      </c>
      <c r="BE204" s="22" t="e">
        <f t="shared" si="1762"/>
        <v>#DIV/0!</v>
      </c>
      <c r="BF204" s="22" t="e">
        <f t="shared" si="1762"/>
        <v>#DIV/0!</v>
      </c>
      <c r="BG204" s="22" t="e">
        <f t="shared" si="1762"/>
        <v>#DIV/0!</v>
      </c>
      <c r="BH204" s="22" t="e">
        <f t="shared" si="1762"/>
        <v>#DIV/0!</v>
      </c>
      <c r="BI204" s="22" t="e">
        <f t="shared" si="1762"/>
        <v>#DIV/0!</v>
      </c>
      <c r="BJ204" s="22" t="e">
        <f t="shared" si="1762"/>
        <v>#DIV/0!</v>
      </c>
      <c r="BK204" s="22" t="e">
        <f t="shared" si="1762"/>
        <v>#DIV/0!</v>
      </c>
      <c r="BL204" s="22" t="e">
        <f t="shared" si="1762"/>
        <v>#DIV/0!</v>
      </c>
      <c r="BM204" s="22" t="e">
        <f t="shared" si="1762"/>
        <v>#DIV/0!</v>
      </c>
      <c r="BN204" s="22" t="e">
        <f t="shared" si="1762"/>
        <v>#DIV/0!</v>
      </c>
      <c r="BO204" s="22" t="e">
        <f t="shared" si="1762"/>
        <v>#DIV/0!</v>
      </c>
      <c r="BP204" s="22" t="e">
        <f t="shared" si="1762"/>
        <v>#DIV/0!</v>
      </c>
      <c r="BQ204" s="22" t="e">
        <f t="shared" si="1762"/>
        <v>#DIV/0!</v>
      </c>
      <c r="BR204" s="22" t="e">
        <f t="shared" si="1762"/>
        <v>#DIV/0!</v>
      </c>
      <c r="BS204" s="22" t="e">
        <f t="shared" si="1762"/>
        <v>#DIV/0!</v>
      </c>
      <c r="BT204" s="22" t="e">
        <f t="shared" si="1762"/>
        <v>#DIV/0!</v>
      </c>
      <c r="BU204" s="22" t="e">
        <f t="shared" si="1762"/>
        <v>#DIV/0!</v>
      </c>
      <c r="BV204" s="22" t="e">
        <f t="shared" si="1762"/>
        <v>#DIV/0!</v>
      </c>
      <c r="BW204" s="22" t="e">
        <f t="shared" si="1762"/>
        <v>#DIV/0!</v>
      </c>
      <c r="BX204" s="22" t="e">
        <f t="shared" si="1762"/>
        <v>#DIV/0!</v>
      </c>
      <c r="BY204" s="22" t="e">
        <f t="shared" si="1762"/>
        <v>#DIV/0!</v>
      </c>
      <c r="BZ204" s="22" t="e">
        <f t="shared" si="1762"/>
        <v>#DIV/0!</v>
      </c>
      <c r="CA204" s="22">
        <f t="shared" si="1762"/>
        <v>46.318550902388353</v>
      </c>
      <c r="CB204" s="22">
        <f t="shared" si="1762"/>
        <v>996.37144909761219</v>
      </c>
      <c r="CC204" s="22">
        <f t="shared" si="1762"/>
        <v>0</v>
      </c>
      <c r="CD204" s="22">
        <f t="shared" si="1762"/>
        <v>-1187.4900000000002</v>
      </c>
      <c r="CE204" s="22">
        <f t="shared" ref="CE204:CF204" si="1763">CE202-CE203</f>
        <v>16.43340255947075</v>
      </c>
      <c r="CF204" s="22">
        <f t="shared" si="1763"/>
        <v>-62.363402559470273</v>
      </c>
      <c r="CG204" s="22">
        <f t="shared" ref="CG204:CH204" si="1764">CG202-CG203</f>
        <v>-9.7991371823059126</v>
      </c>
      <c r="CH204" s="22">
        <f t="shared" si="1764"/>
        <v>312.40913718230507</v>
      </c>
      <c r="CI204" s="22">
        <f t="shared" ref="CI204:CJ204" si="1765">CI202-CI203</f>
        <v>18.95775242095533</v>
      </c>
      <c r="CJ204" s="22">
        <f t="shared" si="1765"/>
        <v>-618.34775242095543</v>
      </c>
      <c r="CK204" s="21">
        <f t="shared" ref="CK204:DB204" si="1766">CK202-CK203</f>
        <v>-37.365174219582514</v>
      </c>
      <c r="CL204" s="22">
        <f t="shared" si="1766"/>
        <v>391.20517421958385</v>
      </c>
      <c r="CM204" s="21">
        <f t="shared" si="1766"/>
        <v>103.42775390208271</v>
      </c>
      <c r="CN204" s="21">
        <f t="shared" si="1766"/>
        <v>-67.516225260412284</v>
      </c>
      <c r="CO204" s="21">
        <f t="shared" si="1766"/>
        <v>-46.02771996643105</v>
      </c>
      <c r="CP204" s="21">
        <f t="shared" si="1766"/>
        <v>-152.86541667559959</v>
      </c>
      <c r="CQ204" s="21">
        <f t="shared" si="1766"/>
        <v>128.44281833135847</v>
      </c>
      <c r="CR204" s="21">
        <f t="shared" si="1766"/>
        <v>-97.36679804729647</v>
      </c>
      <c r="CS204" s="21">
        <f t="shared" si="1766"/>
        <v>-71.722049884055195</v>
      </c>
      <c r="CT204" s="21">
        <f t="shared" si="1766"/>
        <v>-204.65174654589191</v>
      </c>
      <c r="CU204" s="21">
        <f t="shared" si="1766"/>
        <v>183.81264092088077</v>
      </c>
      <c r="CV204" s="21">
        <f t="shared" si="1766"/>
        <v>-125.99478192482366</v>
      </c>
      <c r="CW204" s="21">
        <f t="shared" si="1766"/>
        <v>-92.145244918181561</v>
      </c>
      <c r="CX204" s="21">
        <f t="shared" si="1766"/>
        <v>-252.37355759212369</v>
      </c>
      <c r="CY204" s="21">
        <f t="shared" si="1766"/>
        <v>230.67219822716652</v>
      </c>
      <c r="CZ204" s="21">
        <f t="shared" si="1766"/>
        <v>-157.00829878113836</v>
      </c>
      <c r="DA204" s="21">
        <f t="shared" si="1766"/>
        <v>-114.01798766688626</v>
      </c>
      <c r="DB204" s="21">
        <f t="shared" si="1766"/>
        <v>-310.11002806072429</v>
      </c>
      <c r="DE204" s="126"/>
      <c r="DF204" s="22">
        <v>6.5148006137719676</v>
      </c>
    </row>
    <row r="205" spans="1:110" s="22" customFormat="1" x14ac:dyDescent="0.2">
      <c r="A205" s="22" t="s">
        <v>91</v>
      </c>
      <c r="C205" s="22">
        <f t="shared" ref="C205:W205" si="1767">C201+C204</f>
        <v>0</v>
      </c>
      <c r="D205" s="22">
        <f>D201+D204</f>
        <v>0</v>
      </c>
      <c r="E205" s="22">
        <f t="shared" si="1767"/>
        <v>15.168237800000011</v>
      </c>
      <c r="F205" s="22">
        <f t="shared" si="1767"/>
        <v>25.761644499999989</v>
      </c>
      <c r="G205" s="22">
        <f t="shared" si="1767"/>
        <v>-25.584742299999792</v>
      </c>
      <c r="H205" s="22">
        <f t="shared" si="1767"/>
        <v>8.4045000000000698</v>
      </c>
      <c r="I205" s="22">
        <f t="shared" si="1767"/>
        <v>-0.5537999999999812</v>
      </c>
      <c r="J205" s="22">
        <f>J201+J204</f>
        <v>18.732100000000059</v>
      </c>
      <c r="K205" s="22">
        <f t="shared" si="1767"/>
        <v>169.3286999999998</v>
      </c>
      <c r="L205" s="22">
        <f t="shared" si="1767"/>
        <v>191.63170000000002</v>
      </c>
      <c r="M205" s="22">
        <f t="shared" si="1767"/>
        <v>226.0834000000001</v>
      </c>
      <c r="N205" s="22">
        <f t="shared" si="1767"/>
        <v>283.7700000000001</v>
      </c>
      <c r="O205" s="22">
        <f t="shared" si="1767"/>
        <v>605.45999999999981</v>
      </c>
      <c r="P205" s="22">
        <f t="shared" si="1767"/>
        <v>335.76999999999953</v>
      </c>
      <c r="Q205" s="22">
        <f t="shared" si="1767"/>
        <v>8.0400000000000205</v>
      </c>
      <c r="R205" s="22">
        <f t="shared" si="1767"/>
        <v>402.56999999999982</v>
      </c>
      <c r="S205" s="22">
        <f t="shared" si="1767"/>
        <v>197.10000000000011</v>
      </c>
      <c r="T205" s="22">
        <f t="shared" si="1767"/>
        <v>390.04000000000087</v>
      </c>
      <c r="U205" s="22">
        <f t="shared" si="1767"/>
        <v>532.98599999999965</v>
      </c>
      <c r="V205" s="22">
        <f t="shared" si="1767"/>
        <v>867.52500000000009</v>
      </c>
      <c r="W205" s="22">
        <f t="shared" si="1767"/>
        <v>479.53900000000044</v>
      </c>
      <c r="X205" s="22">
        <f t="shared" ref="X205:Y205" si="1768">X201+X204</f>
        <v>-328.88600000000031</v>
      </c>
      <c r="Y205" s="22">
        <f t="shared" si="1768"/>
        <v>641.10000000000059</v>
      </c>
      <c r="Z205" s="22">
        <f t="shared" ref="Z205:AA205" si="1769">Z201+Z204</f>
        <v>873.88999999999987</v>
      </c>
      <c r="AA205" s="22">
        <f t="shared" si="1769"/>
        <v>642.24</v>
      </c>
      <c r="AB205" s="21">
        <f t="shared" ref="AA205:AD205" si="1770">AB201+AB204</f>
        <v>625.97973687199351</v>
      </c>
      <c r="AC205" s="21">
        <f t="shared" si="1770"/>
        <v>925.34935338774471</v>
      </c>
      <c r="AD205" s="21">
        <f t="shared" si="1770"/>
        <v>1138.6843016576311</v>
      </c>
      <c r="AE205" s="21">
        <f t="shared" ref="AE205" si="1771">AE201+AE204</f>
        <v>1404.7164916600129</v>
      </c>
      <c r="AI205" s="22">
        <f t="shared" ref="AI205" si="1772">AI201+AI204</f>
        <v>0</v>
      </c>
      <c r="AJ205" s="22">
        <f t="shared" ref="AJ205:AL205" si="1773">AJ201+AJ204</f>
        <v>0</v>
      </c>
      <c r="AK205" s="22" t="e">
        <f t="shared" si="1773"/>
        <v>#DIV/0!</v>
      </c>
      <c r="AL205" s="22" t="e">
        <f t="shared" si="1773"/>
        <v>#DIV/0!</v>
      </c>
      <c r="AM205" s="22" t="e">
        <f t="shared" ref="AM205" si="1774">AM201+AM204</f>
        <v>#DIV/0!</v>
      </c>
      <c r="AN205" s="22" t="e">
        <f t="shared" ref="AN205:CD205" si="1775">AN201+AN204</f>
        <v>#DIV/0!</v>
      </c>
      <c r="AO205" s="22" t="e">
        <f t="shared" si="1775"/>
        <v>#DIV/0!</v>
      </c>
      <c r="AP205" s="22" t="e">
        <f t="shared" si="1775"/>
        <v>#DIV/0!</v>
      </c>
      <c r="AQ205" s="22" t="e">
        <f t="shared" si="1775"/>
        <v>#DIV/0!</v>
      </c>
      <c r="AR205" s="22" t="e">
        <f t="shared" si="1775"/>
        <v>#DIV/0!</v>
      </c>
      <c r="AS205" s="22" t="e">
        <f t="shared" si="1775"/>
        <v>#DIV/0!</v>
      </c>
      <c r="AT205" s="22" t="e">
        <f t="shared" si="1775"/>
        <v>#DIV/0!</v>
      </c>
      <c r="AU205" s="22" t="e">
        <f t="shared" si="1775"/>
        <v>#DIV/0!</v>
      </c>
      <c r="AV205" s="22" t="e">
        <f t="shared" si="1775"/>
        <v>#DIV/0!</v>
      </c>
      <c r="AW205" s="22" t="e">
        <f t="shared" si="1775"/>
        <v>#DIV/0!</v>
      </c>
      <c r="AX205" s="22" t="e">
        <f t="shared" si="1775"/>
        <v>#DIV/0!</v>
      </c>
      <c r="AY205" s="22" t="e">
        <f t="shared" si="1775"/>
        <v>#DIV/0!</v>
      </c>
      <c r="AZ205" s="22" t="e">
        <f t="shared" si="1775"/>
        <v>#DIV/0!</v>
      </c>
      <c r="BA205" s="22" t="e">
        <f t="shared" si="1775"/>
        <v>#DIV/0!</v>
      </c>
      <c r="BB205" s="22" t="e">
        <f t="shared" si="1775"/>
        <v>#DIV/0!</v>
      </c>
      <c r="BC205" s="22" t="e">
        <f t="shared" si="1775"/>
        <v>#DIV/0!</v>
      </c>
      <c r="BD205" s="22" t="e">
        <f t="shared" si="1775"/>
        <v>#DIV/0!</v>
      </c>
      <c r="BE205" s="22" t="e">
        <f t="shared" si="1775"/>
        <v>#DIV/0!</v>
      </c>
      <c r="BF205" s="22" t="e">
        <f t="shared" si="1775"/>
        <v>#DIV/0!</v>
      </c>
      <c r="BG205" s="22" t="e">
        <f t="shared" si="1775"/>
        <v>#DIV/0!</v>
      </c>
      <c r="BH205" s="22" t="e">
        <f t="shared" si="1775"/>
        <v>#DIV/0!</v>
      </c>
      <c r="BI205" s="22" t="e">
        <f t="shared" si="1775"/>
        <v>#DIV/0!</v>
      </c>
      <c r="BJ205" s="22" t="e">
        <f t="shared" si="1775"/>
        <v>#DIV/0!</v>
      </c>
      <c r="BK205" s="22" t="e">
        <f t="shared" si="1775"/>
        <v>#DIV/0!</v>
      </c>
      <c r="BL205" s="22" t="e">
        <f t="shared" si="1775"/>
        <v>#DIV/0!</v>
      </c>
      <c r="BM205" s="22" t="e">
        <f t="shared" si="1775"/>
        <v>#DIV/0!</v>
      </c>
      <c r="BN205" s="22" t="e">
        <f t="shared" si="1775"/>
        <v>#DIV/0!</v>
      </c>
      <c r="BO205" s="22" t="e">
        <f t="shared" si="1775"/>
        <v>#DIV/0!</v>
      </c>
      <c r="BP205" s="22" t="e">
        <f t="shared" si="1775"/>
        <v>#DIV/0!</v>
      </c>
      <c r="BQ205" s="22" t="e">
        <f t="shared" si="1775"/>
        <v>#DIV/0!</v>
      </c>
      <c r="BR205" s="22" t="e">
        <f t="shared" si="1775"/>
        <v>#DIV/0!</v>
      </c>
      <c r="BS205" s="22" t="e">
        <f t="shared" si="1775"/>
        <v>#DIV/0!</v>
      </c>
      <c r="BT205" s="22" t="e">
        <f t="shared" si="1775"/>
        <v>#DIV/0!</v>
      </c>
      <c r="BU205" s="22" t="e">
        <f t="shared" si="1775"/>
        <v>#DIV/0!</v>
      </c>
      <c r="BV205" s="22" t="e">
        <f t="shared" si="1775"/>
        <v>#DIV/0!</v>
      </c>
      <c r="BW205" s="22" t="e">
        <f t="shared" si="1775"/>
        <v>#DIV/0!</v>
      </c>
      <c r="BX205" s="22" t="e">
        <f t="shared" si="1775"/>
        <v>#DIV/0!</v>
      </c>
      <c r="BY205" s="22" t="e">
        <f t="shared" si="1775"/>
        <v>#DIV/0!</v>
      </c>
      <c r="BZ205" s="22" t="e">
        <f t="shared" si="1775"/>
        <v>#DIV/0!</v>
      </c>
      <c r="CA205" s="22">
        <f t="shared" si="1775"/>
        <v>261.41855090238812</v>
      </c>
      <c r="CB205" s="22">
        <f t="shared" si="1775"/>
        <v>1182.9214490976124</v>
      </c>
      <c r="CC205" s="22">
        <f t="shared" si="1775"/>
        <v>197.38999999999982</v>
      </c>
      <c r="CD205" s="22">
        <f t="shared" si="1775"/>
        <v>-1001.2900000000003</v>
      </c>
      <c r="CE205" s="22">
        <f t="shared" ref="CE205:CF205" si="1776">CE201+CE204</f>
        <v>208.17340255947067</v>
      </c>
      <c r="CF205" s="22">
        <f t="shared" si="1776"/>
        <v>124.9465974405297</v>
      </c>
      <c r="CG205" s="22">
        <f t="shared" ref="CG205:CH205" si="1777">CG201+CG204</f>
        <v>189.29086281769418</v>
      </c>
      <c r="CH205" s="22">
        <f t="shared" si="1777"/>
        <v>532.42913718230534</v>
      </c>
      <c r="CI205" s="22">
        <f t="shared" ref="CI205:CJ205" si="1778">CI201+CI204</f>
        <v>220.56775242095523</v>
      </c>
      <c r="CJ205" s="22">
        <f t="shared" si="1778"/>
        <v>-421.9577524209555</v>
      </c>
      <c r="CK205" s="21">
        <f t="shared" ref="CK205:DB205" si="1779">CK201+CK204</f>
        <v>5.2748257804176149</v>
      </c>
      <c r="CL205" s="22">
        <f t="shared" si="1779"/>
        <v>642.10517421958389</v>
      </c>
      <c r="CM205" s="21">
        <f t="shared" si="1779"/>
        <v>337.13789665608004</v>
      </c>
      <c r="CN205" s="21">
        <f t="shared" si="1779"/>
        <v>169.46386239845248</v>
      </c>
      <c r="CO205" s="21">
        <f t="shared" si="1779"/>
        <v>196.10816774809618</v>
      </c>
      <c r="CP205" s="21">
        <f t="shared" si="1779"/>
        <v>119.51981006936359</v>
      </c>
      <c r="CQ205" s="21">
        <f t="shared" si="1779"/>
        <v>375.3992308168348</v>
      </c>
      <c r="CR205" s="21">
        <f t="shared" si="1779"/>
        <v>177.74434616452498</v>
      </c>
      <c r="CS205" s="21">
        <f t="shared" si="1779"/>
        <v>224.5960710859722</v>
      </c>
      <c r="CT205" s="21">
        <f t="shared" si="1779"/>
        <v>147.60970532041233</v>
      </c>
      <c r="CU205" s="21">
        <f t="shared" si="1779"/>
        <v>485.75510879833763</v>
      </c>
      <c r="CV205" s="21">
        <f t="shared" si="1779"/>
        <v>210.74682896469346</v>
      </c>
      <c r="CW205" s="21">
        <f t="shared" si="1779"/>
        <v>268.7631911528299</v>
      </c>
      <c r="CX205" s="21">
        <f t="shared" si="1779"/>
        <v>173.41917274177024</v>
      </c>
      <c r="CY205" s="21">
        <f t="shared" si="1779"/>
        <v>599.26260285573937</v>
      </c>
      <c r="CZ205" s="21">
        <f t="shared" si="1779"/>
        <v>257.44307034025991</v>
      </c>
      <c r="DA205" s="21">
        <f t="shared" si="1779"/>
        <v>331.63549243913144</v>
      </c>
      <c r="DB205" s="21">
        <f t="shared" si="1779"/>
        <v>216.37532602488182</v>
      </c>
      <c r="DE205" s="126"/>
      <c r="DF205" s="22">
        <v>206.76374726462228</v>
      </c>
    </row>
    <row r="206" spans="1:110" s="23" customFormat="1" x14ac:dyDescent="0.2">
      <c r="AB206" s="24"/>
      <c r="AC206" s="24"/>
      <c r="AD206" s="24"/>
      <c r="AE206" s="24"/>
      <c r="CK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</row>
    <row r="207" spans="1:110" s="22" customFormat="1" x14ac:dyDescent="0.2">
      <c r="A207" s="22" t="s">
        <v>92</v>
      </c>
      <c r="C207" s="22">
        <f t="shared" ref="C207:W207" si="1780">C208+C209</f>
        <v>0</v>
      </c>
      <c r="D207" s="22">
        <f>D208+D209</f>
        <v>0</v>
      </c>
      <c r="E207" s="22">
        <f t="shared" si="1780"/>
        <v>-51.593907000000002</v>
      </c>
      <c r="F207" s="22">
        <f t="shared" si="1780"/>
        <v>-13.151273599999996</v>
      </c>
      <c r="G207" s="22">
        <f t="shared" si="1780"/>
        <v>-392.54567550000002</v>
      </c>
      <c r="H207" s="22">
        <f t="shared" si="1780"/>
        <v>-47.612799999999993</v>
      </c>
      <c r="I207" s="22">
        <f t="shared" si="1780"/>
        <v>10.602599999999995</v>
      </c>
      <c r="J207" s="22">
        <f t="shared" si="1780"/>
        <v>1.4529999999999745</v>
      </c>
      <c r="K207" s="22">
        <f t="shared" si="1780"/>
        <v>5.1985000000000241</v>
      </c>
      <c r="L207" s="22">
        <f t="shared" si="1780"/>
        <v>-46.820999999999913</v>
      </c>
      <c r="M207" s="22">
        <f t="shared" si="1780"/>
        <v>-147.41219999999998</v>
      </c>
      <c r="N207" s="22">
        <f t="shared" si="1780"/>
        <v>-33.420000000000073</v>
      </c>
      <c r="O207" s="22">
        <f t="shared" si="1780"/>
        <v>-284</v>
      </c>
      <c r="P207" s="22">
        <f t="shared" si="1780"/>
        <v>-49.170000000000073</v>
      </c>
      <c r="Q207" s="22">
        <f t="shared" si="1780"/>
        <v>-99.819999999999979</v>
      </c>
      <c r="R207" s="22">
        <f t="shared" si="1780"/>
        <v>-43.380000000000038</v>
      </c>
      <c r="S207" s="22">
        <f t="shared" si="1780"/>
        <v>-164.78999999999991</v>
      </c>
      <c r="T207" s="22">
        <f t="shared" si="1780"/>
        <v>-44.470000000000063</v>
      </c>
      <c r="U207" s="22">
        <f t="shared" si="1780"/>
        <v>-345.88099999999991</v>
      </c>
      <c r="V207" s="22">
        <f t="shared" si="1780"/>
        <v>-57.503999999999905</v>
      </c>
      <c r="W207" s="22">
        <f t="shared" si="1780"/>
        <v>-63.955000000000382</v>
      </c>
      <c r="X207" s="22">
        <f t="shared" ref="X207:Y207" si="1781">X208+X209</f>
        <v>-124.46299999999997</v>
      </c>
      <c r="Y207" s="22">
        <f t="shared" si="1781"/>
        <v>-158.3399999999998</v>
      </c>
      <c r="Z207" s="22">
        <f t="shared" ref="Z207:AA207" si="1782">Z208+Z209</f>
        <v>-104.99000000000007</v>
      </c>
      <c r="AA207" s="22">
        <f t="shared" si="1782"/>
        <v>-1106.4700000000003</v>
      </c>
      <c r="AB207" s="21">
        <f t="shared" ref="AA207:AD207" si="1783">AB208+AB209</f>
        <v>76.250000000000455</v>
      </c>
      <c r="AC207" s="21">
        <f t="shared" si="1783"/>
        <v>-120</v>
      </c>
      <c r="AD207" s="21">
        <f t="shared" si="1783"/>
        <v>0</v>
      </c>
      <c r="AE207" s="21">
        <f t="shared" ref="AE207" si="1784">AE208+AE209</f>
        <v>0</v>
      </c>
      <c r="AI207" s="22">
        <f t="shared" ref="AI207" si="1785">AI208+AI209</f>
        <v>0</v>
      </c>
      <c r="AJ207" s="22">
        <f t="shared" ref="AJ207:AL207" si="1786">AJ208+AJ209</f>
        <v>0</v>
      </c>
      <c r="AK207" s="22">
        <f t="shared" si="1786"/>
        <v>0</v>
      </c>
      <c r="AL207" s="22">
        <f t="shared" si="1786"/>
        <v>0</v>
      </c>
      <c r="AM207" s="22">
        <f t="shared" ref="AM207" si="1787">AM208+AM209</f>
        <v>0</v>
      </c>
      <c r="AN207" s="22">
        <f t="shared" ref="AN207:CD207" si="1788">AN208+AN209</f>
        <v>0</v>
      </c>
      <c r="AO207" s="22">
        <f t="shared" si="1788"/>
        <v>0</v>
      </c>
      <c r="AP207" s="22">
        <f t="shared" si="1788"/>
        <v>0</v>
      </c>
      <c r="AQ207" s="22">
        <f t="shared" si="1788"/>
        <v>0</v>
      </c>
      <c r="AR207" s="22">
        <f t="shared" si="1788"/>
        <v>0</v>
      </c>
      <c r="AS207" s="22">
        <f t="shared" si="1788"/>
        <v>0</v>
      </c>
      <c r="AT207" s="22">
        <f t="shared" si="1788"/>
        <v>0</v>
      </c>
      <c r="AU207" s="22">
        <f t="shared" si="1788"/>
        <v>0</v>
      </c>
      <c r="AV207" s="22">
        <f t="shared" si="1788"/>
        <v>0</v>
      </c>
      <c r="AW207" s="22">
        <f t="shared" si="1788"/>
        <v>0</v>
      </c>
      <c r="AX207" s="22">
        <f t="shared" si="1788"/>
        <v>0</v>
      </c>
      <c r="AY207" s="22">
        <f t="shared" si="1788"/>
        <v>0</v>
      </c>
      <c r="AZ207" s="22">
        <f t="shared" si="1788"/>
        <v>0</v>
      </c>
      <c r="BA207" s="22">
        <f t="shared" si="1788"/>
        <v>0</v>
      </c>
      <c r="BB207" s="22">
        <f t="shared" si="1788"/>
        <v>0</v>
      </c>
      <c r="BC207" s="22">
        <f t="shared" si="1788"/>
        <v>0</v>
      </c>
      <c r="BD207" s="22">
        <f t="shared" si="1788"/>
        <v>0</v>
      </c>
      <c r="BE207" s="22">
        <f t="shared" si="1788"/>
        <v>0</v>
      </c>
      <c r="BF207" s="22">
        <f t="shared" si="1788"/>
        <v>0</v>
      </c>
      <c r="BG207" s="22">
        <f t="shared" si="1788"/>
        <v>0</v>
      </c>
      <c r="BH207" s="22">
        <f t="shared" si="1788"/>
        <v>0</v>
      </c>
      <c r="BI207" s="22">
        <f t="shared" si="1788"/>
        <v>0</v>
      </c>
      <c r="BJ207" s="22">
        <f t="shared" si="1788"/>
        <v>0</v>
      </c>
      <c r="BK207" s="22">
        <f t="shared" si="1788"/>
        <v>0</v>
      </c>
      <c r="BL207" s="22">
        <f t="shared" si="1788"/>
        <v>0</v>
      </c>
      <c r="BM207" s="22">
        <f t="shared" si="1788"/>
        <v>0</v>
      </c>
      <c r="BN207" s="22">
        <f t="shared" si="1788"/>
        <v>0</v>
      </c>
      <c r="BO207" s="22">
        <f t="shared" si="1788"/>
        <v>0</v>
      </c>
      <c r="BP207" s="22">
        <f t="shared" si="1788"/>
        <v>0</v>
      </c>
      <c r="BQ207" s="22">
        <f t="shared" si="1788"/>
        <v>0</v>
      </c>
      <c r="BR207" s="22">
        <f t="shared" si="1788"/>
        <v>0</v>
      </c>
      <c r="BS207" s="22">
        <f t="shared" si="1788"/>
        <v>0</v>
      </c>
      <c r="BT207" s="22">
        <f t="shared" si="1788"/>
        <v>0</v>
      </c>
      <c r="BU207" s="22">
        <f t="shared" si="1788"/>
        <v>0</v>
      </c>
      <c r="BV207" s="22">
        <f t="shared" si="1788"/>
        <v>0</v>
      </c>
      <c r="BW207" s="22">
        <f t="shared" si="1788"/>
        <v>0</v>
      </c>
      <c r="BX207" s="22">
        <f t="shared" si="1788"/>
        <v>0</v>
      </c>
      <c r="BY207" s="22">
        <f t="shared" si="1788"/>
        <v>-23.92</v>
      </c>
      <c r="BZ207" s="22">
        <f t="shared" si="1788"/>
        <v>-942.8</v>
      </c>
      <c r="CA207" s="22">
        <f t="shared" si="1788"/>
        <v>-23.57000000000005</v>
      </c>
      <c r="CB207" s="22">
        <f t="shared" si="1788"/>
        <v>891.61</v>
      </c>
      <c r="CC207" s="22">
        <f t="shared" si="1788"/>
        <v>-27.17</v>
      </c>
      <c r="CD207" s="22">
        <f t="shared" si="1788"/>
        <v>-998.55000000000007</v>
      </c>
      <c r="CE207" s="22">
        <f t="shared" ref="CE207:CF207" si="1789">CE208+CE209</f>
        <v>-29.710000000000036</v>
      </c>
      <c r="CF207" s="22">
        <f t="shared" si="1789"/>
        <v>-43.879999999999882</v>
      </c>
      <c r="CG207" s="22">
        <f t="shared" ref="CG207:CH207" si="1790">CG208+CG209</f>
        <v>-30.450000000000045</v>
      </c>
      <c r="CH207" s="22">
        <f t="shared" si="1790"/>
        <v>-181.90000000000003</v>
      </c>
      <c r="CI207" s="22">
        <f t="shared" ref="CI207:CJ207" si="1791">CI208+CI209</f>
        <v>0</v>
      </c>
      <c r="CJ207" s="22">
        <f t="shared" si="1791"/>
        <v>59.240000000000023</v>
      </c>
      <c r="CK207" s="21">
        <f t="shared" ref="CK207:DB207" si="1792">CK208+CK209</f>
        <v>-30</v>
      </c>
      <c r="CL207" s="22">
        <f t="shared" si="1792"/>
        <v>-939.45999999999992</v>
      </c>
      <c r="CM207" s="21">
        <f t="shared" si="1792"/>
        <v>-30.000000000000227</v>
      </c>
      <c r="CN207" s="21">
        <f t="shared" si="1792"/>
        <v>-29.999999999999773</v>
      </c>
      <c r="CO207" s="21">
        <f t="shared" si="1792"/>
        <v>-30.000000000000227</v>
      </c>
      <c r="CP207" s="21">
        <f t="shared" si="1792"/>
        <v>-29.999999999999773</v>
      </c>
      <c r="CQ207" s="21">
        <f t="shared" si="1792"/>
        <v>-30</v>
      </c>
      <c r="CR207" s="21">
        <f t="shared" si="1792"/>
        <v>-30</v>
      </c>
      <c r="CS207" s="21">
        <f t="shared" si="1792"/>
        <v>-30</v>
      </c>
      <c r="CT207" s="21">
        <f t="shared" si="1792"/>
        <v>-30</v>
      </c>
      <c r="CU207" s="21">
        <f t="shared" si="1792"/>
        <v>0</v>
      </c>
      <c r="CV207" s="21">
        <f t="shared" si="1792"/>
        <v>0</v>
      </c>
      <c r="CW207" s="21">
        <f t="shared" si="1792"/>
        <v>0</v>
      </c>
      <c r="CX207" s="21">
        <f t="shared" si="1792"/>
        <v>0</v>
      </c>
      <c r="CY207" s="21">
        <f t="shared" si="1792"/>
        <v>0</v>
      </c>
      <c r="CZ207" s="21">
        <f t="shared" si="1792"/>
        <v>0</v>
      </c>
      <c r="DA207" s="21">
        <f t="shared" si="1792"/>
        <v>0</v>
      </c>
      <c r="DB207" s="21">
        <f t="shared" si="1792"/>
        <v>0</v>
      </c>
      <c r="DE207" s="126"/>
      <c r="DF207" s="22">
        <v>-30</v>
      </c>
    </row>
    <row r="208" spans="1:110" s="23" customFormat="1" x14ac:dyDescent="0.2">
      <c r="A208" s="23" t="s">
        <v>93</v>
      </c>
      <c r="C208" s="23">
        <f t="shared" ref="C208:AA208" si="1793">B146-C146</f>
        <v>0</v>
      </c>
      <c r="D208" s="23">
        <f t="shared" si="1793"/>
        <v>0</v>
      </c>
      <c r="E208" s="23">
        <f>D146-E146</f>
        <v>0</v>
      </c>
      <c r="F208" s="23">
        <f t="shared" si="1793"/>
        <v>0</v>
      </c>
      <c r="G208" s="23">
        <f t="shared" si="1793"/>
        <v>0</v>
      </c>
      <c r="H208" s="23">
        <f t="shared" si="1793"/>
        <v>0</v>
      </c>
      <c r="I208" s="23">
        <f t="shared" si="1793"/>
        <v>0</v>
      </c>
      <c r="J208" s="23">
        <f>I146-J146</f>
        <v>0</v>
      </c>
      <c r="K208" s="23">
        <f>J146-K146</f>
        <v>0</v>
      </c>
      <c r="L208" s="23">
        <f t="shared" si="1793"/>
        <v>0</v>
      </c>
      <c r="M208" s="23">
        <f t="shared" si="1793"/>
        <v>-43</v>
      </c>
      <c r="N208" s="23">
        <f t="shared" si="1793"/>
        <v>20.5</v>
      </c>
      <c r="O208" s="23">
        <f t="shared" si="1793"/>
        <v>12.5</v>
      </c>
      <c r="P208" s="23">
        <f t="shared" si="1793"/>
        <v>-10</v>
      </c>
      <c r="Q208" s="23">
        <f t="shared" si="1793"/>
        <v>7.6999999999999993</v>
      </c>
      <c r="R208" s="23">
        <f t="shared" si="1793"/>
        <v>-22.790000000000003</v>
      </c>
      <c r="S208" s="23">
        <f t="shared" si="1793"/>
        <v>-1.6999999999999957</v>
      </c>
      <c r="T208" s="23">
        <f t="shared" si="1793"/>
        <v>2.9600000000000009</v>
      </c>
      <c r="U208" s="23">
        <f t="shared" si="1793"/>
        <v>28.83</v>
      </c>
      <c r="V208" s="23">
        <f t="shared" si="1793"/>
        <v>5</v>
      </c>
      <c r="W208" s="23">
        <f t="shared" si="1793"/>
        <v>0</v>
      </c>
      <c r="X208" s="23">
        <f t="shared" si="1793"/>
        <v>0</v>
      </c>
      <c r="Y208" s="23">
        <f t="shared" si="1793"/>
        <v>0</v>
      </c>
      <c r="Z208" s="23">
        <f t="shared" si="1793"/>
        <v>-4.07</v>
      </c>
      <c r="AA208" s="23">
        <f t="shared" si="1793"/>
        <v>-21.59</v>
      </c>
      <c r="AB208" s="24">
        <f t="shared" ref="AB208" si="1794">AA146-AB146</f>
        <v>0</v>
      </c>
      <c r="AC208" s="24">
        <f t="shared" ref="AC208" si="1795">AB146-AC146</f>
        <v>0</v>
      </c>
      <c r="AD208" s="24">
        <f t="shared" ref="AD208" si="1796">AC146-AD146</f>
        <v>0</v>
      </c>
      <c r="AE208" s="24">
        <f t="shared" ref="AE208" si="1797">AD146-AE146</f>
        <v>0</v>
      </c>
      <c r="AI208" s="23">
        <f t="shared" ref="AI208" si="1798">AH146-AI146</f>
        <v>0</v>
      </c>
      <c r="AJ208" s="23">
        <f t="shared" ref="AJ208" si="1799">AI146-AJ146</f>
        <v>0</v>
      </c>
      <c r="AK208" s="23">
        <f t="shared" ref="AK208" si="1800">AJ146-AK146</f>
        <v>0</v>
      </c>
      <c r="AL208" s="23">
        <f t="shared" ref="AL208" si="1801">AK146-AL146</f>
        <v>0</v>
      </c>
      <c r="AM208" s="23">
        <f t="shared" ref="AM208" si="1802">AL146-AM146</f>
        <v>0</v>
      </c>
      <c r="AN208" s="23">
        <f t="shared" ref="AN208" si="1803">AM146-AN146</f>
        <v>0</v>
      </c>
      <c r="AO208" s="23">
        <f t="shared" ref="AO208" si="1804">AN146-AO146</f>
        <v>0</v>
      </c>
      <c r="AP208" s="23">
        <f t="shared" ref="AP208" si="1805">AO146-AP146</f>
        <v>0</v>
      </c>
      <c r="AQ208" s="23">
        <f t="shared" ref="AQ208" si="1806">AP146-AQ146</f>
        <v>0</v>
      </c>
      <c r="AR208" s="23">
        <f t="shared" ref="AR208" si="1807">AQ146-AR146</f>
        <v>0</v>
      </c>
      <c r="AS208" s="23">
        <f t="shared" ref="AS208" si="1808">AR146-AS146</f>
        <v>0</v>
      </c>
      <c r="AT208" s="23">
        <f t="shared" ref="AT208" si="1809">AS146-AT146</f>
        <v>0</v>
      </c>
      <c r="AU208" s="23">
        <f t="shared" ref="AU208" si="1810">AT146-AU146</f>
        <v>0</v>
      </c>
      <c r="AV208" s="23">
        <f t="shared" ref="AV208" si="1811">AU146-AV146</f>
        <v>0</v>
      </c>
      <c r="AW208" s="23">
        <f t="shared" ref="AW208" si="1812">AV146-AW146</f>
        <v>0</v>
      </c>
      <c r="AX208" s="23">
        <f t="shared" ref="AX208" si="1813">AW146-AX146</f>
        <v>0</v>
      </c>
      <c r="AY208" s="23">
        <f t="shared" ref="AY208" si="1814">AX146-AY146</f>
        <v>0</v>
      </c>
      <c r="AZ208" s="23">
        <f t="shared" ref="AZ208" si="1815">AY146-AZ146</f>
        <v>0</v>
      </c>
      <c r="BA208" s="23">
        <f t="shared" ref="BA208" si="1816">AZ146-BA146</f>
        <v>0</v>
      </c>
      <c r="BB208" s="23">
        <f t="shared" ref="BB208" si="1817">BA146-BB146</f>
        <v>0</v>
      </c>
      <c r="BC208" s="23">
        <f t="shared" ref="BC208" si="1818">BB146-BC146</f>
        <v>0</v>
      </c>
      <c r="BD208" s="23">
        <f t="shared" ref="BD208" si="1819">BC146-BD146</f>
        <v>0</v>
      </c>
      <c r="BE208" s="23">
        <f t="shared" ref="BE208" si="1820">BD146-BE146</f>
        <v>0</v>
      </c>
      <c r="BF208" s="23">
        <f t="shared" ref="BF208" si="1821">BE146-BF146</f>
        <v>0</v>
      </c>
      <c r="BG208" s="23">
        <f t="shared" ref="BG208" si="1822">BF146-BG146</f>
        <v>0</v>
      </c>
      <c r="BH208" s="23">
        <f t="shared" ref="BH208" si="1823">BG146-BH146</f>
        <v>0</v>
      </c>
      <c r="BI208" s="23">
        <f t="shared" ref="BI208" si="1824">BH146-BI146</f>
        <v>0</v>
      </c>
      <c r="BJ208" s="23">
        <f t="shared" ref="BJ208" si="1825">BI146-BJ146</f>
        <v>0</v>
      </c>
      <c r="BK208" s="23">
        <f t="shared" ref="BK208" si="1826">BJ146-BK146</f>
        <v>0</v>
      </c>
      <c r="BL208" s="23">
        <f t="shared" ref="BL208" si="1827">BK146-BL146</f>
        <v>0</v>
      </c>
      <c r="BM208" s="23">
        <f t="shared" ref="BM208" si="1828">BL146-BM146</f>
        <v>0</v>
      </c>
      <c r="BN208" s="23">
        <f t="shared" ref="BN208" si="1829">BM146-BN146</f>
        <v>0</v>
      </c>
      <c r="BO208" s="23">
        <f t="shared" ref="BO208" si="1830">BN146-BO146</f>
        <v>0</v>
      </c>
      <c r="BP208" s="23">
        <f t="shared" ref="BP208" si="1831">BO146-BP146</f>
        <v>0</v>
      </c>
      <c r="BQ208" s="23">
        <f t="shared" ref="BQ208" si="1832">BP146-BQ146</f>
        <v>0</v>
      </c>
      <c r="BR208" s="23">
        <f t="shared" ref="BR208" si="1833">BQ146-BR146</f>
        <v>0</v>
      </c>
      <c r="BS208" s="23">
        <f t="shared" ref="BS208" si="1834">BR146-BS146</f>
        <v>0</v>
      </c>
      <c r="BT208" s="23">
        <f t="shared" ref="BT208" si="1835">BS146-BT146</f>
        <v>0</v>
      </c>
      <c r="BU208" s="23">
        <f t="shared" ref="BU208" si="1836">BT146-BU146</f>
        <v>0</v>
      </c>
      <c r="BV208" s="23">
        <f t="shared" ref="BV208" si="1837">BU146-BV146</f>
        <v>0</v>
      </c>
      <c r="BW208" s="23">
        <f t="shared" ref="BW208" si="1838">BV146-BW146</f>
        <v>0</v>
      </c>
      <c r="BX208" s="23">
        <f t="shared" ref="BX208" si="1839">BW146-BX146</f>
        <v>0</v>
      </c>
      <c r="BY208" s="23">
        <f t="shared" ref="BY208" si="1840">BX146-BY146</f>
        <v>0</v>
      </c>
      <c r="BZ208" s="23">
        <f t="shared" ref="BZ208" si="1841">BY146-BZ146</f>
        <v>0</v>
      </c>
      <c r="CA208" s="23">
        <f t="shared" ref="CA208" si="1842">BZ146-CA146</f>
        <v>0</v>
      </c>
      <c r="CB208" s="23">
        <f t="shared" ref="CB208" si="1843">CA146-CB146</f>
        <v>0</v>
      </c>
      <c r="CC208" s="23">
        <f t="shared" ref="CC208" si="1844">CB146-CC146</f>
        <v>0</v>
      </c>
      <c r="CD208" s="23">
        <f t="shared" ref="CD208" si="1845">CC146-CD146</f>
        <v>0</v>
      </c>
      <c r="CE208" s="23">
        <f t="shared" ref="CE208" si="1846">CD146-CE146</f>
        <v>0</v>
      </c>
      <c r="CF208" s="23">
        <f t="shared" ref="CF208" si="1847">CE146-CF146</f>
        <v>0</v>
      </c>
      <c r="CG208" s="23">
        <f t="shared" ref="CG208" si="1848">CF146-CG146</f>
        <v>0</v>
      </c>
      <c r="CH208" s="23">
        <f t="shared" ref="CH208:CL208" si="1849">CG146-CH146</f>
        <v>-4.07</v>
      </c>
      <c r="CI208" s="23">
        <f t="shared" si="1849"/>
        <v>0</v>
      </c>
      <c r="CJ208" s="23">
        <f t="shared" si="1849"/>
        <v>-10.11</v>
      </c>
      <c r="CK208" s="24">
        <f t="shared" ref="CK208" si="1850">CJ146-CK146</f>
        <v>0</v>
      </c>
      <c r="CL208" s="23">
        <f t="shared" si="1849"/>
        <v>-11.48</v>
      </c>
      <c r="CM208" s="24">
        <f t="shared" ref="CM208" si="1851">CL146-CM146</f>
        <v>0</v>
      </c>
      <c r="CN208" s="24">
        <f t="shared" ref="CN208" si="1852">CM146-CN146</f>
        <v>0</v>
      </c>
      <c r="CO208" s="24">
        <f t="shared" ref="CO208" si="1853">CN146-CO146</f>
        <v>0</v>
      </c>
      <c r="CP208" s="24">
        <f t="shared" ref="CP208" si="1854">CO146-CP146</f>
        <v>0</v>
      </c>
      <c r="CQ208" s="24">
        <f t="shared" ref="CQ208" si="1855">CP146-CQ146</f>
        <v>0</v>
      </c>
      <c r="CR208" s="24">
        <f t="shared" ref="CR208" si="1856">CQ146-CR146</f>
        <v>0</v>
      </c>
      <c r="CS208" s="24">
        <f t="shared" ref="CS208" si="1857">CR146-CS146</f>
        <v>0</v>
      </c>
      <c r="CT208" s="24">
        <f t="shared" ref="CT208" si="1858">CS146-CT146</f>
        <v>0</v>
      </c>
      <c r="CU208" s="24">
        <f t="shared" ref="CU208" si="1859">CT146-CU146</f>
        <v>0</v>
      </c>
      <c r="CV208" s="24">
        <f t="shared" ref="CV208" si="1860">CU146-CV146</f>
        <v>0</v>
      </c>
      <c r="CW208" s="24">
        <f t="shared" ref="CW208" si="1861">CV146-CW146</f>
        <v>0</v>
      </c>
      <c r="CX208" s="24">
        <f t="shared" ref="CX208" si="1862">CW146-CX146</f>
        <v>0</v>
      </c>
      <c r="CY208" s="24">
        <f t="shared" ref="CY208" si="1863">CX146-CY146</f>
        <v>0</v>
      </c>
      <c r="CZ208" s="24">
        <f t="shared" ref="CZ208" si="1864">CY146-CZ146</f>
        <v>0</v>
      </c>
      <c r="DA208" s="24">
        <f t="shared" ref="DA208" si="1865">CZ146-DA146</f>
        <v>0</v>
      </c>
      <c r="DB208" s="24">
        <f t="shared" ref="DB208" si="1866">DA146-DB146</f>
        <v>0</v>
      </c>
      <c r="DE208" s="123"/>
      <c r="DF208" s="23">
        <v>0</v>
      </c>
    </row>
    <row r="209" spans="1:110" s="23" customFormat="1" x14ac:dyDescent="0.2">
      <c r="A209" s="23" t="s">
        <v>94</v>
      </c>
      <c r="C209" s="23">
        <f t="shared" ref="C209:AE209" si="1867">B144-C38-C144</f>
        <v>0</v>
      </c>
      <c r="D209" s="23">
        <f t="shared" si="1867"/>
        <v>0</v>
      </c>
      <c r="E209" s="23">
        <f t="shared" si="1867"/>
        <v>-51.593907000000002</v>
      </c>
      <c r="F209" s="23">
        <f t="shared" si="1867"/>
        <v>-13.151273599999996</v>
      </c>
      <c r="G209" s="23">
        <f t="shared" si="1867"/>
        <v>-392.54567550000002</v>
      </c>
      <c r="H209" s="23">
        <f t="shared" si="1867"/>
        <v>-47.612799999999993</v>
      </c>
      <c r="I209" s="23">
        <f t="shared" si="1867"/>
        <v>10.602599999999995</v>
      </c>
      <c r="J209" s="23">
        <f t="shared" si="1867"/>
        <v>1.4529999999999745</v>
      </c>
      <c r="K209" s="23">
        <f t="shared" si="1867"/>
        <v>5.1985000000000241</v>
      </c>
      <c r="L209" s="23">
        <f t="shared" si="1867"/>
        <v>-46.820999999999913</v>
      </c>
      <c r="M209" s="23">
        <f t="shared" si="1867"/>
        <v>-104.41219999999998</v>
      </c>
      <c r="N209" s="23">
        <f t="shared" si="1867"/>
        <v>-53.920000000000073</v>
      </c>
      <c r="O209" s="23">
        <f t="shared" si="1867"/>
        <v>-296.5</v>
      </c>
      <c r="P209" s="23">
        <f t="shared" si="1867"/>
        <v>-39.170000000000073</v>
      </c>
      <c r="Q209" s="23">
        <f t="shared" si="1867"/>
        <v>-107.51999999999998</v>
      </c>
      <c r="R209" s="23">
        <f t="shared" si="1867"/>
        <v>-20.590000000000032</v>
      </c>
      <c r="S209" s="23">
        <f t="shared" si="1867"/>
        <v>-163.08999999999992</v>
      </c>
      <c r="T209" s="23">
        <f t="shared" si="1867"/>
        <v>-47.430000000000064</v>
      </c>
      <c r="U209" s="23">
        <f t="shared" si="1867"/>
        <v>-374.7109999999999</v>
      </c>
      <c r="V209" s="23">
        <f t="shared" si="1867"/>
        <v>-62.503999999999905</v>
      </c>
      <c r="W209" s="23">
        <f t="shared" si="1867"/>
        <v>-63.955000000000382</v>
      </c>
      <c r="X209" s="23">
        <f t="shared" si="1867"/>
        <v>-124.46299999999997</v>
      </c>
      <c r="Y209" s="23">
        <f t="shared" si="1867"/>
        <v>-158.3399999999998</v>
      </c>
      <c r="Z209" s="23">
        <f t="shared" si="1867"/>
        <v>-100.92000000000007</v>
      </c>
      <c r="AA209" s="23">
        <f t="shared" si="1867"/>
        <v>-1084.8800000000003</v>
      </c>
      <c r="AB209" s="24">
        <f t="shared" si="1867"/>
        <v>76.250000000000455</v>
      </c>
      <c r="AC209" s="24">
        <f t="shared" si="1867"/>
        <v>-120</v>
      </c>
      <c r="AD209" s="24">
        <f t="shared" si="1867"/>
        <v>0</v>
      </c>
      <c r="AE209" s="24">
        <f t="shared" si="1867"/>
        <v>0</v>
      </c>
      <c r="AI209" s="23">
        <f t="shared" ref="AI209:BN209" si="1868">AH144-AI38-AI144</f>
        <v>0</v>
      </c>
      <c r="AJ209" s="23">
        <f t="shared" si="1868"/>
        <v>0</v>
      </c>
      <c r="AK209" s="23">
        <f t="shared" si="1868"/>
        <v>0</v>
      </c>
      <c r="AL209" s="23">
        <f t="shared" si="1868"/>
        <v>0</v>
      </c>
      <c r="AM209" s="23">
        <f t="shared" si="1868"/>
        <v>0</v>
      </c>
      <c r="AN209" s="23">
        <f t="shared" si="1868"/>
        <v>0</v>
      </c>
      <c r="AO209" s="23">
        <f t="shared" si="1868"/>
        <v>0</v>
      </c>
      <c r="AP209" s="23">
        <f t="shared" si="1868"/>
        <v>0</v>
      </c>
      <c r="AQ209" s="23">
        <f t="shared" si="1868"/>
        <v>0</v>
      </c>
      <c r="AR209" s="23">
        <f t="shared" si="1868"/>
        <v>0</v>
      </c>
      <c r="AS209" s="23">
        <f t="shared" si="1868"/>
        <v>0</v>
      </c>
      <c r="AT209" s="23">
        <f t="shared" si="1868"/>
        <v>0</v>
      </c>
      <c r="AU209" s="23">
        <f t="shared" si="1868"/>
        <v>0</v>
      </c>
      <c r="AV209" s="23">
        <f t="shared" si="1868"/>
        <v>0</v>
      </c>
      <c r="AW209" s="23">
        <f t="shared" si="1868"/>
        <v>0</v>
      </c>
      <c r="AX209" s="23">
        <f t="shared" si="1868"/>
        <v>0</v>
      </c>
      <c r="AY209" s="23">
        <f t="shared" si="1868"/>
        <v>0</v>
      </c>
      <c r="AZ209" s="23">
        <f t="shared" si="1868"/>
        <v>0</v>
      </c>
      <c r="BA209" s="23">
        <f t="shared" si="1868"/>
        <v>0</v>
      </c>
      <c r="BB209" s="23">
        <f t="shared" si="1868"/>
        <v>0</v>
      </c>
      <c r="BC209" s="23">
        <f t="shared" si="1868"/>
        <v>0</v>
      </c>
      <c r="BD209" s="23">
        <f t="shared" si="1868"/>
        <v>0</v>
      </c>
      <c r="BE209" s="23">
        <f t="shared" si="1868"/>
        <v>0</v>
      </c>
      <c r="BF209" s="23">
        <f t="shared" si="1868"/>
        <v>0</v>
      </c>
      <c r="BG209" s="23">
        <f t="shared" si="1868"/>
        <v>0</v>
      </c>
      <c r="BH209" s="23">
        <f t="shared" si="1868"/>
        <v>0</v>
      </c>
      <c r="BI209" s="23">
        <f t="shared" si="1868"/>
        <v>0</v>
      </c>
      <c r="BJ209" s="23">
        <f t="shared" si="1868"/>
        <v>0</v>
      </c>
      <c r="BK209" s="23">
        <f t="shared" si="1868"/>
        <v>0</v>
      </c>
      <c r="BL209" s="23">
        <f t="shared" si="1868"/>
        <v>0</v>
      </c>
      <c r="BM209" s="23">
        <f t="shared" si="1868"/>
        <v>0</v>
      </c>
      <c r="BN209" s="23">
        <f t="shared" si="1868"/>
        <v>0</v>
      </c>
      <c r="BO209" s="23">
        <f t="shared" ref="BO209:CT209" si="1869">BN144-BO38-BO144</f>
        <v>0</v>
      </c>
      <c r="BP209" s="23">
        <f t="shared" si="1869"/>
        <v>0</v>
      </c>
      <c r="BQ209" s="23">
        <f t="shared" si="1869"/>
        <v>0</v>
      </c>
      <c r="BR209" s="23">
        <f t="shared" si="1869"/>
        <v>0</v>
      </c>
      <c r="BS209" s="23">
        <f t="shared" si="1869"/>
        <v>0</v>
      </c>
      <c r="BT209" s="23">
        <f t="shared" si="1869"/>
        <v>0</v>
      </c>
      <c r="BU209" s="23">
        <f t="shared" si="1869"/>
        <v>0</v>
      </c>
      <c r="BV209" s="23">
        <f t="shared" si="1869"/>
        <v>0</v>
      </c>
      <c r="BW209" s="23">
        <f t="shared" si="1869"/>
        <v>0</v>
      </c>
      <c r="BX209" s="23">
        <f t="shared" si="1869"/>
        <v>0</v>
      </c>
      <c r="BY209" s="23">
        <f t="shared" si="1869"/>
        <v>-23.92</v>
      </c>
      <c r="BZ209" s="23">
        <f t="shared" si="1869"/>
        <v>-942.8</v>
      </c>
      <c r="CA209" s="23">
        <f t="shared" si="1869"/>
        <v>-23.57000000000005</v>
      </c>
      <c r="CB209" s="23">
        <f t="shared" si="1869"/>
        <v>891.61</v>
      </c>
      <c r="CC209" s="23">
        <f t="shared" si="1869"/>
        <v>-27.17</v>
      </c>
      <c r="CD209" s="23">
        <f t="shared" si="1869"/>
        <v>-998.55000000000007</v>
      </c>
      <c r="CE209" s="23">
        <f t="shared" si="1869"/>
        <v>-29.710000000000036</v>
      </c>
      <c r="CF209" s="23">
        <f t="shared" si="1869"/>
        <v>-43.879999999999882</v>
      </c>
      <c r="CG209" s="23">
        <f t="shared" si="1869"/>
        <v>-30.450000000000045</v>
      </c>
      <c r="CH209" s="23">
        <f t="shared" si="1869"/>
        <v>-177.83000000000004</v>
      </c>
      <c r="CI209" s="23">
        <f t="shared" si="1869"/>
        <v>0</v>
      </c>
      <c r="CJ209" s="23">
        <f t="shared" si="1869"/>
        <v>69.350000000000023</v>
      </c>
      <c r="CK209" s="24">
        <f t="shared" si="1869"/>
        <v>-30</v>
      </c>
      <c r="CL209" s="23">
        <f t="shared" si="1869"/>
        <v>-927.9799999999999</v>
      </c>
      <c r="CM209" s="24">
        <f t="shared" si="1869"/>
        <v>-30.000000000000227</v>
      </c>
      <c r="CN209" s="24">
        <f t="shared" si="1869"/>
        <v>-29.999999999999773</v>
      </c>
      <c r="CO209" s="24">
        <f t="shared" si="1869"/>
        <v>-30.000000000000227</v>
      </c>
      <c r="CP209" s="24">
        <f t="shared" si="1869"/>
        <v>-29.999999999999773</v>
      </c>
      <c r="CQ209" s="24">
        <f t="shared" si="1869"/>
        <v>-30</v>
      </c>
      <c r="CR209" s="24">
        <f t="shared" si="1869"/>
        <v>-30</v>
      </c>
      <c r="CS209" s="24">
        <f t="shared" si="1869"/>
        <v>-30</v>
      </c>
      <c r="CT209" s="24">
        <f t="shared" si="1869"/>
        <v>-30</v>
      </c>
      <c r="CU209" s="24">
        <f t="shared" ref="CU209:DB209" si="1870">CT144-CU38-CU144</f>
        <v>0</v>
      </c>
      <c r="CV209" s="24">
        <f t="shared" si="1870"/>
        <v>0</v>
      </c>
      <c r="CW209" s="24">
        <f t="shared" si="1870"/>
        <v>0</v>
      </c>
      <c r="CX209" s="24">
        <f t="shared" si="1870"/>
        <v>0</v>
      </c>
      <c r="CY209" s="24">
        <f t="shared" si="1870"/>
        <v>0</v>
      </c>
      <c r="CZ209" s="24">
        <f t="shared" si="1870"/>
        <v>0</v>
      </c>
      <c r="DA209" s="24">
        <f t="shared" si="1870"/>
        <v>0</v>
      </c>
      <c r="DB209" s="24">
        <f t="shared" si="1870"/>
        <v>0</v>
      </c>
      <c r="DE209" s="123"/>
      <c r="DF209" s="23">
        <v>-30</v>
      </c>
    </row>
    <row r="210" spans="1:110" s="23" customFormat="1" x14ac:dyDescent="0.2">
      <c r="AB210" s="24"/>
      <c r="AC210" s="24"/>
      <c r="AD210" s="24"/>
      <c r="AE210" s="24"/>
      <c r="CK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22" customFormat="1" x14ac:dyDescent="0.2">
      <c r="A211" s="22" t="s">
        <v>95</v>
      </c>
      <c r="C211" s="22">
        <f t="shared" ref="C211:W211" si="1871">C212+C213</f>
        <v>0</v>
      </c>
      <c r="D211" s="22">
        <f t="shared" si="1871"/>
        <v>0</v>
      </c>
      <c r="E211" s="22">
        <f t="shared" si="1871"/>
        <v>39.333665899999993</v>
      </c>
      <c r="F211" s="22">
        <f t="shared" si="1871"/>
        <v>-12.788141499999991</v>
      </c>
      <c r="G211" s="22">
        <f t="shared" si="1871"/>
        <v>505.73319169999991</v>
      </c>
      <c r="H211" s="22">
        <f t="shared" si="1871"/>
        <v>-14.35820000000006</v>
      </c>
      <c r="I211" s="22">
        <f t="shared" si="1871"/>
        <v>-7.4779000000000622</v>
      </c>
      <c r="J211" s="22">
        <f t="shared" si="1871"/>
        <v>21.500099999999861</v>
      </c>
      <c r="K211" s="22">
        <f t="shared" si="1871"/>
        <v>-117.48459999999977</v>
      </c>
      <c r="L211" s="22">
        <f t="shared" si="1871"/>
        <v>-13.455199999999991</v>
      </c>
      <c r="M211" s="22">
        <f t="shared" si="1871"/>
        <v>141.80810000000002</v>
      </c>
      <c r="N211" s="22">
        <f t="shared" si="1871"/>
        <v>-171.64000000000004</v>
      </c>
      <c r="O211" s="22">
        <f t="shared" si="1871"/>
        <v>68.279999999999916</v>
      </c>
      <c r="P211" s="22">
        <f t="shared" si="1871"/>
        <v>-497.74999999999926</v>
      </c>
      <c r="Q211" s="22">
        <f t="shared" si="1871"/>
        <v>-12.910000000000252</v>
      </c>
      <c r="R211" s="22">
        <f t="shared" si="1871"/>
        <v>-510.74999999999983</v>
      </c>
      <c r="S211" s="22">
        <f t="shared" si="1871"/>
        <v>-266.44999999999987</v>
      </c>
      <c r="T211" s="22">
        <f t="shared" si="1871"/>
        <v>-213.45000000000084</v>
      </c>
      <c r="U211" s="22">
        <f t="shared" si="1871"/>
        <v>-155.96799999999939</v>
      </c>
      <c r="V211" s="22">
        <f t="shared" si="1871"/>
        <v>50.381999999999607</v>
      </c>
      <c r="W211" s="22">
        <f t="shared" si="1871"/>
        <v>-298.98400000000083</v>
      </c>
      <c r="X211" s="22">
        <f t="shared" ref="X211:Y211" si="1872">X212+X213</f>
        <v>85.259000000000924</v>
      </c>
      <c r="Y211" s="22">
        <f t="shared" si="1872"/>
        <v>-448.00000000000045</v>
      </c>
      <c r="Z211" s="22">
        <f t="shared" ref="Z211:AA211" si="1873">Z212+Z213</f>
        <v>-318.34999999999991</v>
      </c>
      <c r="AA211" s="22">
        <f t="shared" si="1873"/>
        <v>462.92000000000098</v>
      </c>
      <c r="AB211" s="21">
        <f t="shared" ref="AA211:AD211" si="1874">AB212+AB213</f>
        <v>-4.5474735088646412E-13</v>
      </c>
      <c r="AC211" s="21">
        <f t="shared" si="1874"/>
        <v>-9.0949470177292824E-13</v>
      </c>
      <c r="AD211" s="21">
        <f t="shared" si="1874"/>
        <v>0</v>
      </c>
      <c r="AE211" s="21">
        <f t="shared" ref="AE211" si="1875">AE212+AE213</f>
        <v>9.0949470177292824E-13</v>
      </c>
      <c r="AI211" s="22">
        <f t="shared" ref="AI211" si="1876">AI212+AI213</f>
        <v>0</v>
      </c>
      <c r="AJ211" s="22">
        <f t="shared" ref="AJ211:AL211" si="1877">AJ212+AJ213</f>
        <v>0</v>
      </c>
      <c r="AK211" s="22">
        <f t="shared" si="1877"/>
        <v>0</v>
      </c>
      <c r="AL211" s="22">
        <f t="shared" si="1877"/>
        <v>0</v>
      </c>
      <c r="AM211" s="22">
        <f t="shared" ref="AM211" si="1878">AM212+AM213</f>
        <v>0</v>
      </c>
      <c r="AN211" s="22">
        <f t="shared" ref="AN211:CD211" si="1879">AN212+AN213</f>
        <v>0</v>
      </c>
      <c r="AO211" s="22">
        <f t="shared" si="1879"/>
        <v>0</v>
      </c>
      <c r="AP211" s="22">
        <f t="shared" si="1879"/>
        <v>0</v>
      </c>
      <c r="AQ211" s="22">
        <f t="shared" si="1879"/>
        <v>0</v>
      </c>
      <c r="AR211" s="22">
        <f t="shared" si="1879"/>
        <v>0</v>
      </c>
      <c r="AS211" s="22">
        <f t="shared" si="1879"/>
        <v>0</v>
      </c>
      <c r="AT211" s="22">
        <f t="shared" si="1879"/>
        <v>0</v>
      </c>
      <c r="AU211" s="22">
        <f t="shared" si="1879"/>
        <v>0</v>
      </c>
      <c r="AV211" s="22">
        <f t="shared" si="1879"/>
        <v>0</v>
      </c>
      <c r="AW211" s="22">
        <f t="shared" si="1879"/>
        <v>0</v>
      </c>
      <c r="AX211" s="22">
        <f t="shared" si="1879"/>
        <v>0</v>
      </c>
      <c r="AY211" s="22">
        <f t="shared" si="1879"/>
        <v>0</v>
      </c>
      <c r="AZ211" s="22">
        <f t="shared" si="1879"/>
        <v>0</v>
      </c>
      <c r="BA211" s="22">
        <f t="shared" si="1879"/>
        <v>0</v>
      </c>
      <c r="BB211" s="22">
        <f t="shared" si="1879"/>
        <v>0</v>
      </c>
      <c r="BC211" s="22">
        <f t="shared" si="1879"/>
        <v>0</v>
      </c>
      <c r="BD211" s="22">
        <f t="shared" si="1879"/>
        <v>0</v>
      </c>
      <c r="BE211" s="22">
        <f t="shared" si="1879"/>
        <v>0</v>
      </c>
      <c r="BF211" s="22">
        <f t="shared" si="1879"/>
        <v>0</v>
      </c>
      <c r="BG211" s="22">
        <f t="shared" si="1879"/>
        <v>0</v>
      </c>
      <c r="BH211" s="22">
        <f t="shared" si="1879"/>
        <v>0</v>
      </c>
      <c r="BI211" s="22">
        <f t="shared" si="1879"/>
        <v>0</v>
      </c>
      <c r="BJ211" s="22">
        <f t="shared" si="1879"/>
        <v>0</v>
      </c>
      <c r="BK211" s="22">
        <f t="shared" si="1879"/>
        <v>0</v>
      </c>
      <c r="BL211" s="22">
        <f t="shared" si="1879"/>
        <v>0</v>
      </c>
      <c r="BM211" s="22">
        <f t="shared" si="1879"/>
        <v>0</v>
      </c>
      <c r="BN211" s="22">
        <f t="shared" si="1879"/>
        <v>0</v>
      </c>
      <c r="BO211" s="22">
        <f t="shared" si="1879"/>
        <v>0</v>
      </c>
      <c r="BP211" s="22">
        <f t="shared" si="1879"/>
        <v>0</v>
      </c>
      <c r="BQ211" s="22">
        <f t="shared" si="1879"/>
        <v>0</v>
      </c>
      <c r="BR211" s="22">
        <f t="shared" si="1879"/>
        <v>0</v>
      </c>
      <c r="BS211" s="22">
        <f t="shared" si="1879"/>
        <v>0</v>
      </c>
      <c r="BT211" s="22">
        <f t="shared" si="1879"/>
        <v>0</v>
      </c>
      <c r="BU211" s="22">
        <f t="shared" si="1879"/>
        <v>0</v>
      </c>
      <c r="BV211" s="22">
        <f t="shared" si="1879"/>
        <v>0</v>
      </c>
      <c r="BW211" s="22">
        <f t="shared" si="1879"/>
        <v>0</v>
      </c>
      <c r="BX211" s="22">
        <f t="shared" si="1879"/>
        <v>0</v>
      </c>
      <c r="BY211" s="22">
        <f t="shared" si="1879"/>
        <v>0</v>
      </c>
      <c r="BZ211" s="22">
        <f t="shared" si="1879"/>
        <v>2624.5099999999998</v>
      </c>
      <c r="CA211" s="22">
        <f t="shared" si="1879"/>
        <v>0</v>
      </c>
      <c r="CB211" s="22">
        <f t="shared" si="1879"/>
        <v>-3341.36</v>
      </c>
      <c r="CC211" s="22">
        <f t="shared" si="1879"/>
        <v>0</v>
      </c>
      <c r="CD211" s="22">
        <f t="shared" si="1879"/>
        <v>2893.3600000000006</v>
      </c>
      <c r="CE211" s="22">
        <f t="shared" ref="CE211:CF211" si="1880">CE212+CE213</f>
        <v>0</v>
      </c>
      <c r="CF211" s="22">
        <f t="shared" si="1880"/>
        <v>-325.16999999999962</v>
      </c>
      <c r="CG211" s="22">
        <f t="shared" ref="CG211:CH211" si="1881">CG212+CG213</f>
        <v>0</v>
      </c>
      <c r="CH211" s="22">
        <f t="shared" si="1881"/>
        <v>6.8199999999992542</v>
      </c>
      <c r="CI211" s="22">
        <f t="shared" ref="CI211:CJ211" si="1882">CI212+CI213</f>
        <v>0</v>
      </c>
      <c r="CJ211" s="22">
        <f t="shared" si="1882"/>
        <v>-348.84999999999991</v>
      </c>
      <c r="CK211" s="21">
        <f t="shared" ref="CK211:DB211" si="1883">CK212+CK213</f>
        <v>0</v>
      </c>
      <c r="CL211" s="22">
        <f t="shared" si="1883"/>
        <v>811.76999999999953</v>
      </c>
      <c r="CM211" s="21">
        <f t="shared" si="1883"/>
        <v>0</v>
      </c>
      <c r="CN211" s="21">
        <f t="shared" si="1883"/>
        <v>0</v>
      </c>
      <c r="CO211" s="21">
        <f t="shared" si="1883"/>
        <v>0</v>
      </c>
      <c r="CP211" s="21">
        <f t="shared" si="1883"/>
        <v>0</v>
      </c>
      <c r="CQ211" s="21">
        <f t="shared" si="1883"/>
        <v>0</v>
      </c>
      <c r="CR211" s="21">
        <f t="shared" si="1883"/>
        <v>0</v>
      </c>
      <c r="CS211" s="21">
        <f t="shared" si="1883"/>
        <v>0</v>
      </c>
      <c r="CT211" s="21">
        <f t="shared" si="1883"/>
        <v>0</v>
      </c>
      <c r="CU211" s="21">
        <f t="shared" si="1883"/>
        <v>0</v>
      </c>
      <c r="CV211" s="21">
        <f t="shared" si="1883"/>
        <v>0</v>
      </c>
      <c r="CW211" s="21">
        <f t="shared" si="1883"/>
        <v>0</v>
      </c>
      <c r="CX211" s="21">
        <f t="shared" si="1883"/>
        <v>0</v>
      </c>
      <c r="CY211" s="21">
        <f t="shared" si="1883"/>
        <v>0</v>
      </c>
      <c r="CZ211" s="21">
        <f t="shared" si="1883"/>
        <v>0</v>
      </c>
      <c r="DA211" s="21">
        <f t="shared" si="1883"/>
        <v>0</v>
      </c>
      <c r="DB211" s="21">
        <f t="shared" si="1883"/>
        <v>9.0949470177292824E-13</v>
      </c>
      <c r="DE211" s="126"/>
      <c r="DF211" s="22">
        <v>0</v>
      </c>
    </row>
    <row r="212" spans="1:110" s="23" customFormat="1" x14ac:dyDescent="0.2">
      <c r="A212" s="23" t="s">
        <v>49</v>
      </c>
      <c r="C212" s="23">
        <f t="shared" ref="C212:AA212" si="1884">C134-B134</f>
        <v>0</v>
      </c>
      <c r="D212" s="23">
        <f t="shared" si="1884"/>
        <v>0</v>
      </c>
      <c r="E212" s="23">
        <f>E134-D134</f>
        <v>17.7770431</v>
      </c>
      <c r="F212" s="23">
        <f t="shared" si="1884"/>
        <v>-9.3696911000000007</v>
      </c>
      <c r="G212" s="23">
        <f t="shared" si="1884"/>
        <v>263.224648</v>
      </c>
      <c r="H212" s="23">
        <f t="shared" si="1884"/>
        <v>-53.858800000000002</v>
      </c>
      <c r="I212" s="23">
        <f t="shared" si="1884"/>
        <v>1.1898999999999944</v>
      </c>
      <c r="J212" s="23">
        <f>J134-I134</f>
        <v>110.58969999999999</v>
      </c>
      <c r="K212" s="23">
        <f>K134-J134</f>
        <v>-31.802599999999984</v>
      </c>
      <c r="L212" s="23">
        <f t="shared" si="1884"/>
        <v>5.0056000000000154</v>
      </c>
      <c r="M212" s="23">
        <f t="shared" si="1884"/>
        <v>37.114199999999983</v>
      </c>
      <c r="N212" s="23">
        <f t="shared" si="1884"/>
        <v>-42.949999999999989</v>
      </c>
      <c r="O212" s="23">
        <f t="shared" si="1884"/>
        <v>113.72999999999996</v>
      </c>
      <c r="P212" s="23">
        <f t="shared" si="1884"/>
        <v>-48.199999999999989</v>
      </c>
      <c r="Q212" s="23">
        <f t="shared" si="1884"/>
        <v>33.54000000000002</v>
      </c>
      <c r="R212" s="23">
        <f t="shared" si="1884"/>
        <v>-178.53000000000003</v>
      </c>
      <c r="S212" s="23">
        <f t="shared" si="1884"/>
        <v>-150.08999999999997</v>
      </c>
      <c r="T212" s="23">
        <f t="shared" si="1884"/>
        <v>-67.37</v>
      </c>
      <c r="U212" s="23">
        <f t="shared" si="1884"/>
        <v>0</v>
      </c>
      <c r="V212" s="23">
        <f t="shared" si="1884"/>
        <v>0</v>
      </c>
      <c r="W212" s="23">
        <f t="shared" si="1884"/>
        <v>0</v>
      </c>
      <c r="X212" s="23">
        <f t="shared" si="1884"/>
        <v>0</v>
      </c>
      <c r="Y212" s="23">
        <f t="shared" si="1884"/>
        <v>0</v>
      </c>
      <c r="Z212" s="23">
        <f t="shared" si="1884"/>
        <v>0</v>
      </c>
      <c r="AA212" s="23">
        <f t="shared" si="1884"/>
        <v>665.56</v>
      </c>
      <c r="AB212" s="24">
        <f t="shared" ref="AB212" si="1885">AB134-AA134</f>
        <v>0</v>
      </c>
      <c r="AC212" s="24">
        <f t="shared" ref="AC212" si="1886">AC134-AB134</f>
        <v>0</v>
      </c>
      <c r="AD212" s="24">
        <f t="shared" ref="AD212" si="1887">AD134-AC134</f>
        <v>0</v>
      </c>
      <c r="AE212" s="24">
        <f t="shared" ref="AE212" si="1888">AE134-AD134</f>
        <v>0</v>
      </c>
      <c r="AI212" s="23">
        <f t="shared" ref="AI212" si="1889">AI134-AH134</f>
        <v>0</v>
      </c>
      <c r="AJ212" s="23">
        <f t="shared" ref="AJ212" si="1890">AJ134-AI134</f>
        <v>0</v>
      </c>
      <c r="AK212" s="23">
        <f t="shared" ref="AK212" si="1891">AK134-AJ134</f>
        <v>0</v>
      </c>
      <c r="AL212" s="23">
        <f t="shared" ref="AL212" si="1892">AL134-AK134</f>
        <v>0</v>
      </c>
      <c r="AM212" s="23">
        <f t="shared" ref="AM212" si="1893">AM134-AL134</f>
        <v>0</v>
      </c>
      <c r="AN212" s="23">
        <f t="shared" ref="AN212" si="1894">AN134-AM134</f>
        <v>0</v>
      </c>
      <c r="AO212" s="23">
        <f t="shared" ref="AO212" si="1895">AO134-AN134</f>
        <v>0</v>
      </c>
      <c r="AP212" s="23">
        <f t="shared" ref="AP212" si="1896">AP134-AO134</f>
        <v>0</v>
      </c>
      <c r="AQ212" s="23">
        <f t="shared" ref="AQ212" si="1897">AQ134-AP134</f>
        <v>0</v>
      </c>
      <c r="AR212" s="23">
        <f t="shared" ref="AR212" si="1898">AR134-AQ134</f>
        <v>0</v>
      </c>
      <c r="AS212" s="23">
        <f t="shared" ref="AS212" si="1899">AS134-AR134</f>
        <v>0</v>
      </c>
      <c r="AT212" s="23">
        <f t="shared" ref="AT212" si="1900">AT134-AS134</f>
        <v>0</v>
      </c>
      <c r="AU212" s="23">
        <f t="shared" ref="AU212" si="1901">AU134-AT134</f>
        <v>0</v>
      </c>
      <c r="AV212" s="23">
        <f t="shared" ref="AV212" si="1902">AV134-AU134</f>
        <v>0</v>
      </c>
      <c r="AW212" s="23">
        <f t="shared" ref="AW212" si="1903">AW134-AV134</f>
        <v>0</v>
      </c>
      <c r="AX212" s="23">
        <f t="shared" ref="AX212" si="1904">AX134-AW134</f>
        <v>0</v>
      </c>
      <c r="AY212" s="23">
        <f t="shared" ref="AY212" si="1905">AY134-AX134</f>
        <v>0</v>
      </c>
      <c r="AZ212" s="23">
        <f t="shared" ref="AZ212" si="1906">AZ134-AY134</f>
        <v>0</v>
      </c>
      <c r="BA212" s="23">
        <f t="shared" ref="BA212" si="1907">BA134-AZ134</f>
        <v>0</v>
      </c>
      <c r="BB212" s="23">
        <f t="shared" ref="BB212" si="1908">BB134-BA134</f>
        <v>0</v>
      </c>
      <c r="BC212" s="23">
        <f t="shared" ref="BC212" si="1909">BC134-BB134</f>
        <v>0</v>
      </c>
      <c r="BD212" s="23">
        <f t="shared" ref="BD212" si="1910">BD134-BC134</f>
        <v>0</v>
      </c>
      <c r="BE212" s="23">
        <f t="shared" ref="BE212" si="1911">BE134-BD134</f>
        <v>0</v>
      </c>
      <c r="BF212" s="23">
        <f t="shared" ref="BF212" si="1912">BF134-BE134</f>
        <v>0</v>
      </c>
      <c r="BG212" s="23">
        <f t="shared" ref="BG212" si="1913">BG134-BF134</f>
        <v>0</v>
      </c>
      <c r="BH212" s="23">
        <f t="shared" ref="BH212" si="1914">BH134-BG134</f>
        <v>0</v>
      </c>
      <c r="BI212" s="23">
        <f t="shared" ref="BI212" si="1915">BI134-BH134</f>
        <v>0</v>
      </c>
      <c r="BJ212" s="23">
        <f t="shared" ref="BJ212" si="1916">BJ134-BI134</f>
        <v>0</v>
      </c>
      <c r="BK212" s="23">
        <f t="shared" ref="BK212" si="1917">BK134-BJ134</f>
        <v>0</v>
      </c>
      <c r="BL212" s="23">
        <f t="shared" ref="BL212" si="1918">BL134-BK134</f>
        <v>0</v>
      </c>
      <c r="BM212" s="23">
        <f t="shared" ref="BM212" si="1919">BM134-BL134</f>
        <v>0</v>
      </c>
      <c r="BN212" s="23">
        <f t="shared" ref="BN212" si="1920">BN134-BM134</f>
        <v>0</v>
      </c>
      <c r="BO212" s="23">
        <f t="shared" ref="BO212" si="1921">BO134-BN134</f>
        <v>0</v>
      </c>
      <c r="BP212" s="23">
        <f t="shared" ref="BP212" si="1922">BP134-BO134</f>
        <v>0</v>
      </c>
      <c r="BQ212" s="23">
        <f t="shared" ref="BQ212" si="1923">BQ134-BP134</f>
        <v>0</v>
      </c>
      <c r="BR212" s="23">
        <f t="shared" ref="BR212" si="1924">BR134-BQ134</f>
        <v>0</v>
      </c>
      <c r="BS212" s="23">
        <f t="shared" ref="BS212" si="1925">BS134-BR134</f>
        <v>0</v>
      </c>
      <c r="BT212" s="23">
        <f t="shared" ref="BT212" si="1926">BT134-BS134</f>
        <v>0</v>
      </c>
      <c r="BU212" s="23">
        <f t="shared" ref="BU212" si="1927">BU134-BT134</f>
        <v>0</v>
      </c>
      <c r="BV212" s="23">
        <f t="shared" ref="BV212" si="1928">BV134-BU134</f>
        <v>0</v>
      </c>
      <c r="BW212" s="23">
        <f t="shared" ref="BW212" si="1929">BW134-BV134</f>
        <v>0</v>
      </c>
      <c r="BX212" s="23">
        <f t="shared" ref="BX212" si="1930">BX134-BW134</f>
        <v>0</v>
      </c>
      <c r="BY212" s="23">
        <f t="shared" ref="BY212" si="1931">BY134-BX134</f>
        <v>0</v>
      </c>
      <c r="BZ212" s="23">
        <f t="shared" ref="BZ212" si="1932">BZ134-BY134</f>
        <v>0</v>
      </c>
      <c r="CA212" s="23">
        <f t="shared" ref="CA212" si="1933">CA134-BZ134</f>
        <v>0</v>
      </c>
      <c r="CB212" s="23">
        <f t="shared" ref="CB212" si="1934">CB134-CA134</f>
        <v>0</v>
      </c>
      <c r="CC212" s="23">
        <f t="shared" ref="CC212" si="1935">CC134-CB134</f>
        <v>0</v>
      </c>
      <c r="CD212" s="23">
        <f t="shared" ref="CD212" si="1936">CD134-CC134</f>
        <v>0</v>
      </c>
      <c r="CE212" s="23">
        <f t="shared" ref="CE212" si="1937">CE134-CD134</f>
        <v>0</v>
      </c>
      <c r="CF212" s="23">
        <f t="shared" ref="CF212" si="1938">CF134-CE134</f>
        <v>0</v>
      </c>
      <c r="CG212" s="23">
        <f t="shared" ref="CG212" si="1939">CG134-CF134</f>
        <v>0</v>
      </c>
      <c r="CH212" s="23">
        <f t="shared" ref="CH212:CL212" si="1940">CH134-CG134</f>
        <v>0</v>
      </c>
      <c r="CI212" s="23">
        <f t="shared" si="1940"/>
        <v>0</v>
      </c>
      <c r="CJ212" s="23">
        <f t="shared" si="1940"/>
        <v>0</v>
      </c>
      <c r="CK212" s="24">
        <f t="shared" ref="CK212" si="1941">CK134-CJ134</f>
        <v>0</v>
      </c>
      <c r="CL212" s="23">
        <f t="shared" si="1940"/>
        <v>665.56</v>
      </c>
      <c r="CM212" s="24">
        <f t="shared" ref="CM212" si="1942">CM134-CL134</f>
        <v>0</v>
      </c>
      <c r="CN212" s="24">
        <f t="shared" ref="CN212" si="1943">CN134-CM134</f>
        <v>0</v>
      </c>
      <c r="CO212" s="24">
        <f t="shared" ref="CO212" si="1944">CO134-CN134</f>
        <v>0</v>
      </c>
      <c r="CP212" s="24">
        <f t="shared" ref="CP212" si="1945">CP134-CO134</f>
        <v>0</v>
      </c>
      <c r="CQ212" s="24">
        <f t="shared" ref="CQ212" si="1946">CQ134-CP134</f>
        <v>0</v>
      </c>
      <c r="CR212" s="24">
        <f t="shared" ref="CR212" si="1947">CR134-CQ134</f>
        <v>0</v>
      </c>
      <c r="CS212" s="24">
        <f t="shared" ref="CS212" si="1948">CS134-CR134</f>
        <v>0</v>
      </c>
      <c r="CT212" s="24">
        <f t="shared" ref="CT212" si="1949">CT134-CS134</f>
        <v>0</v>
      </c>
      <c r="CU212" s="24">
        <f t="shared" ref="CU212" si="1950">CU134-CT134</f>
        <v>0</v>
      </c>
      <c r="CV212" s="24">
        <f t="shared" ref="CV212" si="1951">CV134-CU134</f>
        <v>0</v>
      </c>
      <c r="CW212" s="24">
        <f t="shared" ref="CW212" si="1952">CW134-CV134</f>
        <v>0</v>
      </c>
      <c r="CX212" s="24">
        <f t="shared" ref="CX212" si="1953">CX134-CW134</f>
        <v>0</v>
      </c>
      <c r="CY212" s="24">
        <f t="shared" ref="CY212" si="1954">CY134-CX134</f>
        <v>0</v>
      </c>
      <c r="CZ212" s="24">
        <f t="shared" ref="CZ212" si="1955">CZ134-CY134</f>
        <v>0</v>
      </c>
      <c r="DA212" s="24">
        <f t="shared" ref="DA212" si="1956">DA134-CZ134</f>
        <v>0</v>
      </c>
      <c r="DB212" s="24">
        <f t="shared" ref="DB212" si="1957">DB134-DA134</f>
        <v>0</v>
      </c>
      <c r="DE212" s="123"/>
      <c r="DF212" s="23">
        <v>0</v>
      </c>
    </row>
    <row r="213" spans="1:110" s="23" customFormat="1" x14ac:dyDescent="0.2">
      <c r="A213" s="23" t="s">
        <v>27</v>
      </c>
      <c r="C213" s="23">
        <f t="shared" ref="C213:AE213" si="1958">C126-C54-B126+C128-B128</f>
        <v>0</v>
      </c>
      <c r="D213" s="23">
        <f t="shared" si="1958"/>
        <v>0</v>
      </c>
      <c r="E213" s="23">
        <f t="shared" si="1958"/>
        <v>21.556622799999992</v>
      </c>
      <c r="F213" s="23">
        <f t="shared" si="1958"/>
        <v>-3.4184503999999905</v>
      </c>
      <c r="G213" s="23">
        <f t="shared" si="1958"/>
        <v>242.50854369999988</v>
      </c>
      <c r="H213" s="23">
        <f t="shared" si="1958"/>
        <v>39.500599999999942</v>
      </c>
      <c r="I213" s="23">
        <f t="shared" si="1958"/>
        <v>-8.6678000000000566</v>
      </c>
      <c r="J213" s="23">
        <f t="shared" si="1958"/>
        <v>-89.089600000000132</v>
      </c>
      <c r="K213" s="23">
        <f t="shared" si="1958"/>
        <v>-85.681999999999789</v>
      </c>
      <c r="L213" s="23">
        <f t="shared" si="1958"/>
        <v>-18.460800000000006</v>
      </c>
      <c r="M213" s="23">
        <f t="shared" si="1958"/>
        <v>104.69390000000004</v>
      </c>
      <c r="N213" s="23">
        <f t="shared" si="1958"/>
        <v>-128.69000000000005</v>
      </c>
      <c r="O213" s="23">
        <f t="shared" si="1958"/>
        <v>-45.450000000000045</v>
      </c>
      <c r="P213" s="23">
        <f t="shared" si="1958"/>
        <v>-449.54999999999927</v>
      </c>
      <c r="Q213" s="23">
        <f t="shared" si="1958"/>
        <v>-46.450000000000273</v>
      </c>
      <c r="R213" s="23">
        <f t="shared" si="1958"/>
        <v>-332.2199999999998</v>
      </c>
      <c r="S213" s="23">
        <f t="shared" si="1958"/>
        <v>-116.3599999999999</v>
      </c>
      <c r="T213" s="23">
        <f t="shared" si="1958"/>
        <v>-146.08000000000084</v>
      </c>
      <c r="U213" s="23">
        <f t="shared" si="1958"/>
        <v>-155.96799999999939</v>
      </c>
      <c r="V213" s="23">
        <f t="shared" si="1958"/>
        <v>50.381999999999607</v>
      </c>
      <c r="W213" s="23">
        <f t="shared" si="1958"/>
        <v>-298.98400000000083</v>
      </c>
      <c r="X213" s="23">
        <f t="shared" si="1958"/>
        <v>85.259000000000924</v>
      </c>
      <c r="Y213" s="23">
        <f t="shared" si="1958"/>
        <v>-448.00000000000045</v>
      </c>
      <c r="Z213" s="23">
        <f t="shared" si="1958"/>
        <v>-318.34999999999991</v>
      </c>
      <c r="AA213" s="23">
        <f t="shared" si="1958"/>
        <v>-202.63999999999896</v>
      </c>
      <c r="AB213" s="24">
        <f t="shared" si="1958"/>
        <v>-4.5474735088646412E-13</v>
      </c>
      <c r="AC213" s="24">
        <f t="shared" si="1958"/>
        <v>-9.0949470177292824E-13</v>
      </c>
      <c r="AD213" s="24">
        <f t="shared" si="1958"/>
        <v>0</v>
      </c>
      <c r="AE213" s="24">
        <f t="shared" si="1958"/>
        <v>9.0949470177292824E-13</v>
      </c>
      <c r="AI213" s="23">
        <f t="shared" ref="AI213:BN213" si="1959">AI126-AI54-AH126+AI128-AH128</f>
        <v>0</v>
      </c>
      <c r="AJ213" s="23">
        <f t="shared" si="1959"/>
        <v>0</v>
      </c>
      <c r="AK213" s="23">
        <f t="shared" si="1959"/>
        <v>0</v>
      </c>
      <c r="AL213" s="23">
        <f t="shared" si="1959"/>
        <v>0</v>
      </c>
      <c r="AM213" s="23">
        <f t="shared" si="1959"/>
        <v>0</v>
      </c>
      <c r="AN213" s="23">
        <f t="shared" si="1959"/>
        <v>0</v>
      </c>
      <c r="AO213" s="23">
        <f t="shared" si="1959"/>
        <v>0</v>
      </c>
      <c r="AP213" s="23">
        <f t="shared" si="1959"/>
        <v>0</v>
      </c>
      <c r="AQ213" s="23">
        <f t="shared" si="1959"/>
        <v>0</v>
      </c>
      <c r="AR213" s="23">
        <f t="shared" si="1959"/>
        <v>0</v>
      </c>
      <c r="AS213" s="23">
        <f t="shared" si="1959"/>
        <v>0</v>
      </c>
      <c r="AT213" s="23">
        <f t="shared" si="1959"/>
        <v>0</v>
      </c>
      <c r="AU213" s="23">
        <f t="shared" si="1959"/>
        <v>0</v>
      </c>
      <c r="AV213" s="23">
        <f t="shared" si="1959"/>
        <v>0</v>
      </c>
      <c r="AW213" s="23">
        <f t="shared" si="1959"/>
        <v>0</v>
      </c>
      <c r="AX213" s="23">
        <f t="shared" si="1959"/>
        <v>0</v>
      </c>
      <c r="AY213" s="23">
        <f t="shared" si="1959"/>
        <v>0</v>
      </c>
      <c r="AZ213" s="23">
        <f t="shared" si="1959"/>
        <v>0</v>
      </c>
      <c r="BA213" s="23">
        <f t="shared" si="1959"/>
        <v>0</v>
      </c>
      <c r="BB213" s="23">
        <f t="shared" si="1959"/>
        <v>0</v>
      </c>
      <c r="BC213" s="23">
        <f t="shared" si="1959"/>
        <v>0</v>
      </c>
      <c r="BD213" s="23">
        <f t="shared" si="1959"/>
        <v>0</v>
      </c>
      <c r="BE213" s="23">
        <f t="shared" si="1959"/>
        <v>0</v>
      </c>
      <c r="BF213" s="23">
        <f t="shared" si="1959"/>
        <v>0</v>
      </c>
      <c r="BG213" s="23">
        <f t="shared" si="1959"/>
        <v>0</v>
      </c>
      <c r="BH213" s="23">
        <f t="shared" si="1959"/>
        <v>0</v>
      </c>
      <c r="BI213" s="23">
        <f t="shared" si="1959"/>
        <v>0</v>
      </c>
      <c r="BJ213" s="23">
        <f t="shared" si="1959"/>
        <v>0</v>
      </c>
      <c r="BK213" s="23">
        <f t="shared" si="1959"/>
        <v>0</v>
      </c>
      <c r="BL213" s="23">
        <f t="shared" si="1959"/>
        <v>0</v>
      </c>
      <c r="BM213" s="23">
        <f t="shared" si="1959"/>
        <v>0</v>
      </c>
      <c r="BN213" s="23">
        <f t="shared" si="1959"/>
        <v>0</v>
      </c>
      <c r="BO213" s="23">
        <f t="shared" ref="BO213:CT213" si="1960">BO126-BO54-BN126+BO128-BN128</f>
        <v>0</v>
      </c>
      <c r="BP213" s="23">
        <f t="shared" si="1960"/>
        <v>0</v>
      </c>
      <c r="BQ213" s="23">
        <f t="shared" si="1960"/>
        <v>0</v>
      </c>
      <c r="BR213" s="23">
        <f t="shared" si="1960"/>
        <v>0</v>
      </c>
      <c r="BS213" s="23">
        <f t="shared" si="1960"/>
        <v>0</v>
      </c>
      <c r="BT213" s="23">
        <f t="shared" si="1960"/>
        <v>0</v>
      </c>
      <c r="BU213" s="23">
        <f t="shared" si="1960"/>
        <v>0</v>
      </c>
      <c r="BV213" s="23">
        <f t="shared" si="1960"/>
        <v>0</v>
      </c>
      <c r="BW213" s="23">
        <f t="shared" si="1960"/>
        <v>0</v>
      </c>
      <c r="BX213" s="23">
        <f t="shared" si="1960"/>
        <v>0</v>
      </c>
      <c r="BY213" s="23">
        <f t="shared" si="1960"/>
        <v>0</v>
      </c>
      <c r="BZ213" s="23">
        <f t="shared" si="1960"/>
        <v>2624.5099999999998</v>
      </c>
      <c r="CA213" s="23">
        <f t="shared" si="1960"/>
        <v>0</v>
      </c>
      <c r="CB213" s="23">
        <f t="shared" si="1960"/>
        <v>-3341.36</v>
      </c>
      <c r="CC213" s="23">
        <f t="shared" si="1960"/>
        <v>0</v>
      </c>
      <c r="CD213" s="23">
        <f t="shared" si="1960"/>
        <v>2893.3600000000006</v>
      </c>
      <c r="CE213" s="23">
        <f t="shared" si="1960"/>
        <v>0</v>
      </c>
      <c r="CF213" s="23">
        <f t="shared" si="1960"/>
        <v>-325.16999999999962</v>
      </c>
      <c r="CG213" s="23">
        <f t="shared" si="1960"/>
        <v>0</v>
      </c>
      <c r="CH213" s="23">
        <f t="shared" si="1960"/>
        <v>6.8199999999992542</v>
      </c>
      <c r="CI213" s="23">
        <f t="shared" si="1960"/>
        <v>0</v>
      </c>
      <c r="CJ213" s="23">
        <f t="shared" si="1960"/>
        <v>-348.84999999999991</v>
      </c>
      <c r="CK213" s="24">
        <f t="shared" si="1960"/>
        <v>0</v>
      </c>
      <c r="CL213" s="23">
        <f t="shared" si="1960"/>
        <v>146.20999999999958</v>
      </c>
      <c r="CM213" s="24">
        <f t="shared" si="1960"/>
        <v>0</v>
      </c>
      <c r="CN213" s="24">
        <f t="shared" si="1960"/>
        <v>0</v>
      </c>
      <c r="CO213" s="24">
        <f t="shared" si="1960"/>
        <v>0</v>
      </c>
      <c r="CP213" s="24">
        <f t="shared" si="1960"/>
        <v>0</v>
      </c>
      <c r="CQ213" s="24">
        <f t="shared" si="1960"/>
        <v>0</v>
      </c>
      <c r="CR213" s="24">
        <f t="shared" si="1960"/>
        <v>0</v>
      </c>
      <c r="CS213" s="24">
        <f t="shared" si="1960"/>
        <v>0</v>
      </c>
      <c r="CT213" s="24">
        <f t="shared" si="1960"/>
        <v>0</v>
      </c>
      <c r="CU213" s="24">
        <f t="shared" ref="CU213:DB213" si="1961">CU126-CU54-CT126+CU128-CT128</f>
        <v>0</v>
      </c>
      <c r="CV213" s="24">
        <f t="shared" si="1961"/>
        <v>0</v>
      </c>
      <c r="CW213" s="24">
        <f t="shared" si="1961"/>
        <v>0</v>
      </c>
      <c r="CX213" s="24">
        <f t="shared" si="1961"/>
        <v>0</v>
      </c>
      <c r="CY213" s="24">
        <f t="shared" si="1961"/>
        <v>0</v>
      </c>
      <c r="CZ213" s="24">
        <f t="shared" si="1961"/>
        <v>0</v>
      </c>
      <c r="DA213" s="24">
        <f t="shared" si="1961"/>
        <v>0</v>
      </c>
      <c r="DB213" s="24">
        <f t="shared" si="1961"/>
        <v>9.0949470177292824E-13</v>
      </c>
      <c r="DE213" s="123"/>
      <c r="DF213" s="23">
        <v>0</v>
      </c>
    </row>
    <row r="214" spans="1:110" s="23" customFormat="1" x14ac:dyDescent="0.2">
      <c r="AB214" s="24"/>
      <c r="AC214" s="24"/>
      <c r="AD214" s="24"/>
      <c r="AE214" s="24"/>
      <c r="CK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3" customFormat="1" x14ac:dyDescent="0.2">
      <c r="A215" s="23" t="s">
        <v>442</v>
      </c>
      <c r="C215" s="23">
        <f t="shared" ref="C215" si="1962">B167</f>
        <v>0</v>
      </c>
      <c r="D215" s="23">
        <f t="shared" ref="D215" si="1963">C167</f>
        <v>0</v>
      </c>
      <c r="E215" s="23">
        <f>D167</f>
        <v>0</v>
      </c>
      <c r="F215" s="23">
        <f t="shared" ref="F215" si="1964">E167</f>
        <v>2.9079967</v>
      </c>
      <c r="G215" s="23">
        <f t="shared" ref="G215" si="1965">F167</f>
        <v>2.7302260999999999</v>
      </c>
      <c r="H215" s="23">
        <f t="shared" ref="H215" si="1966">G167</f>
        <v>90.332999999999998</v>
      </c>
      <c r="I215" s="23">
        <f t="shared" ref="I215" si="1967">H167</f>
        <v>36.766500000000001</v>
      </c>
      <c r="J215" s="23">
        <f>I167</f>
        <v>39.337400000000002</v>
      </c>
      <c r="K215" s="23">
        <f>J167</f>
        <v>81.022599999999997</v>
      </c>
      <c r="L215" s="23">
        <f t="shared" ref="L215" si="1968">K167</f>
        <v>138.0652</v>
      </c>
      <c r="M215" s="23">
        <f t="shared" ref="M215" si="1969">L167</f>
        <v>269.42070000000001</v>
      </c>
      <c r="N215" s="23">
        <f t="shared" ref="N215" si="1970">M167</f>
        <v>489.9</v>
      </c>
      <c r="O215" s="23">
        <f t="shared" ref="O215" si="1971">N167</f>
        <v>568.6099999999999</v>
      </c>
      <c r="P215" s="23">
        <f t="shared" ref="P215" si="1972">O167</f>
        <v>958.34999999999991</v>
      </c>
      <c r="Q215" s="23">
        <f t="shared" ref="Q215" si="1973">P167</f>
        <v>747.2</v>
      </c>
      <c r="R215" s="23">
        <f t="shared" ref="R215" si="1974">Q167</f>
        <v>642.51</v>
      </c>
      <c r="S215" s="23">
        <f t="shared" ref="S215" si="1975">R167</f>
        <v>490.95000000000005</v>
      </c>
      <c r="T215" s="23">
        <f t="shared" ref="T215" si="1976">S167</f>
        <v>256.81</v>
      </c>
      <c r="U215" s="23">
        <f t="shared" ref="U215" si="1977">T167</f>
        <v>388.93</v>
      </c>
      <c r="V215" s="23">
        <f t="shared" ref="V215" si="1978">U167</f>
        <v>420.06700000000001</v>
      </c>
      <c r="W215" s="23">
        <f t="shared" ref="W215:AA215" si="1979">V167</f>
        <v>1280.47</v>
      </c>
      <c r="X215" s="23">
        <f t="shared" si="1979"/>
        <v>1397.07</v>
      </c>
      <c r="Y215" s="23">
        <f t="shared" si="1979"/>
        <v>1028.98</v>
      </c>
      <c r="Z215" s="23">
        <f t="shared" si="1979"/>
        <v>1063.74</v>
      </c>
      <c r="AA215" s="23">
        <f t="shared" si="1979"/>
        <v>1514.29</v>
      </c>
      <c r="AB215" s="24">
        <f t="shared" ref="AB215" si="1980">AA167</f>
        <v>1512.98</v>
      </c>
      <c r="AC215" s="24">
        <f t="shared" ref="AC215" si="1981">AB167</f>
        <v>2215.2097368719928</v>
      </c>
      <c r="AD215" s="24">
        <f t="shared" ref="AD215" si="1982">AC167</f>
        <v>3020.5590902597369</v>
      </c>
      <c r="AE215" s="24">
        <f t="shared" ref="AE215" si="1983">AD167</f>
        <v>4159.2433919173682</v>
      </c>
      <c r="AI215" s="23">
        <f t="shared" ref="AI215" si="1984">AH167</f>
        <v>0</v>
      </c>
      <c r="AJ215" s="23">
        <f t="shared" ref="AJ215" si="1985">AI167</f>
        <v>0</v>
      </c>
      <c r="AK215" s="23">
        <f t="shared" ref="AK215" si="1986">AJ167</f>
        <v>0</v>
      </c>
      <c r="AL215" s="23" t="e">
        <f t="shared" ref="AL215" si="1987">AK167</f>
        <v>#DIV/0!</v>
      </c>
      <c r="AM215" s="23">
        <f t="shared" ref="AM215" si="1988">AL167</f>
        <v>0</v>
      </c>
      <c r="AN215" s="23" t="e">
        <f t="shared" ref="AN215" si="1989">AM167</f>
        <v>#DIV/0!</v>
      </c>
      <c r="AO215" s="23">
        <f t="shared" ref="AO215" si="1990">AN167</f>
        <v>0</v>
      </c>
      <c r="AP215" s="23" t="e">
        <f t="shared" ref="AP215" si="1991">AO167</f>
        <v>#DIV/0!</v>
      </c>
      <c r="AQ215" s="23">
        <f t="shared" ref="AQ215" si="1992">AP167</f>
        <v>0</v>
      </c>
      <c r="AR215" s="23" t="e">
        <f t="shared" ref="AR215" si="1993">AQ167</f>
        <v>#DIV/0!</v>
      </c>
      <c r="AS215" s="23">
        <f t="shared" ref="AS215" si="1994">AR167</f>
        <v>0</v>
      </c>
      <c r="AT215" s="23" t="e">
        <f t="shared" ref="AT215" si="1995">AS167</f>
        <v>#DIV/0!</v>
      </c>
      <c r="AU215" s="23">
        <f t="shared" ref="AU215" si="1996">AT167</f>
        <v>0</v>
      </c>
      <c r="AV215" s="23" t="e">
        <f t="shared" ref="AV215" si="1997">AU167</f>
        <v>#DIV/0!</v>
      </c>
      <c r="AW215" s="23">
        <f t="shared" ref="AW215" si="1998">AV167</f>
        <v>0</v>
      </c>
      <c r="AX215" s="23" t="e">
        <f t="shared" ref="AX215" si="1999">AW167</f>
        <v>#DIV/0!</v>
      </c>
      <c r="AY215" s="23">
        <f t="shared" ref="AY215" si="2000">AX167</f>
        <v>0</v>
      </c>
      <c r="AZ215" s="23" t="e">
        <f t="shared" ref="AZ215" si="2001">AY167</f>
        <v>#DIV/0!</v>
      </c>
      <c r="BA215" s="23">
        <f t="shared" ref="BA215" si="2002">AZ167</f>
        <v>0</v>
      </c>
      <c r="BB215" s="23" t="e">
        <f t="shared" ref="BB215" si="2003">BA167</f>
        <v>#DIV/0!</v>
      </c>
      <c r="BC215" s="23">
        <f t="shared" ref="BC215" si="2004">BB167</f>
        <v>0</v>
      </c>
      <c r="BD215" s="23" t="e">
        <f t="shared" ref="BD215" si="2005">BC167</f>
        <v>#DIV/0!</v>
      </c>
      <c r="BE215" s="23">
        <f t="shared" ref="BE215" si="2006">BD167</f>
        <v>0</v>
      </c>
      <c r="BF215" s="23" t="e">
        <f t="shared" ref="BF215" si="2007">BE167</f>
        <v>#DIV/0!</v>
      </c>
      <c r="BG215" s="23">
        <f t="shared" ref="BG215" si="2008">BF167</f>
        <v>0</v>
      </c>
      <c r="BH215" s="23" t="e">
        <f t="shared" ref="BH215" si="2009">BG167</f>
        <v>#DIV/0!</v>
      </c>
      <c r="BI215" s="23">
        <f t="shared" ref="BI215" si="2010">BH167</f>
        <v>0</v>
      </c>
      <c r="BJ215" s="23" t="e">
        <f t="shared" ref="BJ215" si="2011">BI167</f>
        <v>#DIV/0!</v>
      </c>
      <c r="BK215" s="23">
        <f t="shared" ref="BK215" si="2012">BJ167</f>
        <v>0</v>
      </c>
      <c r="BL215" s="23" t="e">
        <f t="shared" ref="BL215" si="2013">BK167</f>
        <v>#DIV/0!</v>
      </c>
      <c r="BM215" s="23">
        <f t="shared" ref="BM215" si="2014">BL167</f>
        <v>0</v>
      </c>
      <c r="BN215" s="23" t="e">
        <f t="shared" ref="BN215" si="2015">BM167</f>
        <v>#DIV/0!</v>
      </c>
      <c r="BO215" s="23">
        <f t="shared" ref="BO215" si="2016">BN167</f>
        <v>0</v>
      </c>
      <c r="BP215" s="23" t="e">
        <f t="shared" ref="BP215" si="2017">BO167</f>
        <v>#DIV/0!</v>
      </c>
      <c r="BQ215" s="23">
        <f t="shared" ref="BQ215" si="2018">BP167</f>
        <v>0</v>
      </c>
      <c r="BR215" s="23" t="e">
        <f t="shared" ref="BR215" si="2019">BQ167</f>
        <v>#DIV/0!</v>
      </c>
      <c r="BS215" s="23">
        <f t="shared" ref="BS215" si="2020">BR167</f>
        <v>0</v>
      </c>
      <c r="BT215" s="23" t="e">
        <f t="shared" ref="BT215" si="2021">BS167</f>
        <v>#DIV/0!</v>
      </c>
      <c r="BU215" s="23">
        <f t="shared" ref="BU215" si="2022">BT167</f>
        <v>0</v>
      </c>
      <c r="BV215" s="23" t="e">
        <f t="shared" ref="BV215" si="2023">BU167</f>
        <v>#DIV/0!</v>
      </c>
      <c r="BW215" s="23">
        <f t="shared" ref="BW215" si="2024">BV167</f>
        <v>0</v>
      </c>
      <c r="BX215" s="23" t="e">
        <f t="shared" ref="BX215" si="2025">BW167</f>
        <v>#DIV/0!</v>
      </c>
      <c r="BY215" s="23">
        <f t="shared" ref="BY215" si="2026">BX167</f>
        <v>0</v>
      </c>
      <c r="BZ215" s="23" t="e">
        <f t="shared" ref="BZ215" si="2027">BY167</f>
        <v>#DIV/0!</v>
      </c>
      <c r="CA215" s="23">
        <f t="shared" ref="CA215" si="2028">BZ167</f>
        <v>1028.98</v>
      </c>
      <c r="CB215" s="23">
        <f t="shared" ref="CB215" si="2029">CA167</f>
        <v>1266.8285509023881</v>
      </c>
      <c r="CC215" s="23">
        <f t="shared" ref="CC215" si="2030">CB167</f>
        <v>0</v>
      </c>
      <c r="CD215" s="23">
        <f t="shared" ref="CD215" si="2031">CC167</f>
        <v>170.2199999999998</v>
      </c>
      <c r="CE215" s="23">
        <f t="shared" ref="CE215" si="2032">CD167</f>
        <v>1063.74</v>
      </c>
      <c r="CF215" s="23">
        <f t="shared" ref="CF215" si="2033">CE167</f>
        <v>1242.2034025594708</v>
      </c>
      <c r="CG215" s="23">
        <f t="shared" ref="CG215" si="2034">CF167</f>
        <v>998.1</v>
      </c>
      <c r="CH215" s="23">
        <f t="shared" ref="CH215:CL215" si="2035">CG167</f>
        <v>1156.9408628176941</v>
      </c>
      <c r="CI215" s="23">
        <f t="shared" si="2035"/>
        <v>1514.29</v>
      </c>
      <c r="CJ215" s="23">
        <f t="shared" si="2035"/>
        <v>1734.8577524209552</v>
      </c>
      <c r="CK215" s="24">
        <f t="shared" ref="CK215" si="2036">CJ167</f>
        <v>1023.29</v>
      </c>
      <c r="CL215" s="23">
        <f t="shared" si="2035"/>
        <v>998.56482578041755</v>
      </c>
      <c r="CM215" s="24">
        <f t="shared" ref="CM215" si="2037">CL167</f>
        <v>1512.98</v>
      </c>
      <c r="CN215" s="24">
        <f t="shared" ref="CN215" si="2038">CM167</f>
        <v>1820.1178966560799</v>
      </c>
      <c r="CO215" s="24">
        <f t="shared" ref="CO215" si="2039">CN167</f>
        <v>1959.5817590545325</v>
      </c>
      <c r="CP215" s="24">
        <f t="shared" ref="CP215" si="2040">CO167</f>
        <v>2125.6899268026286</v>
      </c>
      <c r="CQ215" s="24">
        <f t="shared" ref="CQ215" si="2041">CP167</f>
        <v>2215.2097368719928</v>
      </c>
      <c r="CR215" s="24">
        <f t="shared" ref="CR215" si="2042">CQ167</f>
        <v>2560.6089676888278</v>
      </c>
      <c r="CS215" s="24">
        <f t="shared" ref="CS215" si="2043">CR167</f>
        <v>2708.3533138533526</v>
      </c>
      <c r="CT215" s="24">
        <f t="shared" ref="CT215" si="2044">CS167</f>
        <v>2902.9493849393248</v>
      </c>
      <c r="CU215" s="24">
        <f t="shared" ref="CU215" si="2045">CT167</f>
        <v>3020.5590902597369</v>
      </c>
      <c r="CV215" s="24">
        <f t="shared" ref="CV215" si="2046">CU167</f>
        <v>3506.3141990580743</v>
      </c>
      <c r="CW215" s="24">
        <f t="shared" ref="CW215" si="2047">CV167</f>
        <v>3717.0610280227679</v>
      </c>
      <c r="CX215" s="24">
        <f t="shared" ref="CX215" si="2048">CW167</f>
        <v>3985.824219175598</v>
      </c>
      <c r="CY215" s="24">
        <f t="shared" ref="CY215" si="2049">CX167</f>
        <v>4159.2433919173682</v>
      </c>
      <c r="CZ215" s="24">
        <f t="shared" ref="CZ215" si="2050">CY167</f>
        <v>4758.5059947731079</v>
      </c>
      <c r="DA215" s="24">
        <f t="shared" ref="DA215" si="2051">CZ167</f>
        <v>5015.9490651133674</v>
      </c>
      <c r="DB215" s="24">
        <f t="shared" ref="DB215" si="2052">DA167</f>
        <v>5347.5845575524991</v>
      </c>
      <c r="DE215" s="123"/>
      <c r="DF215" s="23">
        <v>998.56482578041755</v>
      </c>
    </row>
    <row r="216" spans="1:110" s="23" customFormat="1" x14ac:dyDescent="0.2">
      <c r="A216" s="23" t="s">
        <v>443</v>
      </c>
      <c r="C216" s="23">
        <f t="shared" ref="C216:W216" si="2053">C215+C211+C207+C205</f>
        <v>0</v>
      </c>
      <c r="D216" s="23">
        <f t="shared" si="2053"/>
        <v>0</v>
      </c>
      <c r="E216" s="23">
        <f t="shared" si="2053"/>
        <v>2.9079967000000018</v>
      </c>
      <c r="F216" s="23">
        <f t="shared" si="2053"/>
        <v>2.730226100000003</v>
      </c>
      <c r="G216" s="23">
        <f t="shared" si="2053"/>
        <v>90.333000000000084</v>
      </c>
      <c r="H216" s="23">
        <f t="shared" si="2053"/>
        <v>36.766500000000008</v>
      </c>
      <c r="I216" s="23">
        <f t="shared" si="2053"/>
        <v>39.337399999999953</v>
      </c>
      <c r="J216" s="23">
        <f>J215+J211+J207+J205</f>
        <v>81.022599999999898</v>
      </c>
      <c r="K216" s="23">
        <f>K215+K211+K207+K205</f>
        <v>138.06520000000006</v>
      </c>
      <c r="L216" s="23">
        <f>L215+L211+L207+L205</f>
        <v>269.42070000000012</v>
      </c>
      <c r="M216" s="23">
        <f>M215+M211+M207+M205</f>
        <v>489.90000000000015</v>
      </c>
      <c r="N216" s="23">
        <f t="shared" si="2053"/>
        <v>568.6099999999999</v>
      </c>
      <c r="O216" s="23">
        <f t="shared" si="2053"/>
        <v>958.34999999999968</v>
      </c>
      <c r="P216" s="23">
        <f t="shared" si="2053"/>
        <v>747.2</v>
      </c>
      <c r="Q216" s="23">
        <f t="shared" si="2053"/>
        <v>642.50999999999976</v>
      </c>
      <c r="R216" s="23">
        <f t="shared" si="2053"/>
        <v>490.94999999999993</v>
      </c>
      <c r="S216" s="23">
        <f t="shared" si="2053"/>
        <v>256.8100000000004</v>
      </c>
      <c r="T216" s="23">
        <f t="shared" si="2053"/>
        <v>388.92999999999995</v>
      </c>
      <c r="U216" s="23">
        <f t="shared" si="2053"/>
        <v>420.06700000000035</v>
      </c>
      <c r="V216" s="23">
        <f t="shared" si="2053"/>
        <v>1280.4699999999998</v>
      </c>
      <c r="W216" s="23">
        <f t="shared" si="2053"/>
        <v>1397.0699999999993</v>
      </c>
      <c r="X216" s="23">
        <f t="shared" ref="X216:Y216" si="2054">X215+X211+X207+X205</f>
        <v>1028.9800000000005</v>
      </c>
      <c r="Y216" s="23">
        <f t="shared" si="2054"/>
        <v>1063.7400000000002</v>
      </c>
      <c r="Z216" s="23">
        <f t="shared" ref="Z216:AA216" si="2055">Z215+Z211+Z207+Z205</f>
        <v>1514.29</v>
      </c>
      <c r="AA216" s="23">
        <f t="shared" si="2055"/>
        <v>1512.9800000000007</v>
      </c>
      <c r="AB216" s="24">
        <f t="shared" ref="AA216:AD216" si="2056">AB215+AB211+AB207+AB205</f>
        <v>2215.2097368719933</v>
      </c>
      <c r="AC216" s="24">
        <f t="shared" si="2056"/>
        <v>3020.5590902597369</v>
      </c>
      <c r="AD216" s="24">
        <f t="shared" si="2056"/>
        <v>4159.2433919173682</v>
      </c>
      <c r="AE216" s="24">
        <f t="shared" ref="AE216" si="2057">AE215+AE211+AE207+AE205</f>
        <v>5563.9598835773822</v>
      </c>
      <c r="AI216" s="23">
        <f t="shared" ref="AI216" si="2058">AI215+AI211+AI207+AI205</f>
        <v>0</v>
      </c>
      <c r="AJ216" s="23">
        <f t="shared" ref="AJ216:AL216" si="2059">AJ215+AJ211+AJ207+AJ205</f>
        <v>0</v>
      </c>
      <c r="AK216" s="23" t="e">
        <f t="shared" si="2059"/>
        <v>#DIV/0!</v>
      </c>
      <c r="AL216" s="23" t="e">
        <f t="shared" si="2059"/>
        <v>#DIV/0!</v>
      </c>
      <c r="AM216" s="23" t="e">
        <f t="shared" ref="AM216" si="2060">AM215+AM211+AM207+AM205</f>
        <v>#DIV/0!</v>
      </c>
      <c r="AN216" s="23" t="e">
        <f t="shared" ref="AN216:CD216" si="2061">AN215+AN211+AN207+AN205</f>
        <v>#DIV/0!</v>
      </c>
      <c r="AO216" s="23" t="e">
        <f t="shared" si="2061"/>
        <v>#DIV/0!</v>
      </c>
      <c r="AP216" s="23" t="e">
        <f t="shared" si="2061"/>
        <v>#DIV/0!</v>
      </c>
      <c r="AQ216" s="23" t="e">
        <f t="shared" si="2061"/>
        <v>#DIV/0!</v>
      </c>
      <c r="AR216" s="23" t="e">
        <f t="shared" si="2061"/>
        <v>#DIV/0!</v>
      </c>
      <c r="AS216" s="23" t="e">
        <f t="shared" si="2061"/>
        <v>#DIV/0!</v>
      </c>
      <c r="AT216" s="23" t="e">
        <f t="shared" si="2061"/>
        <v>#DIV/0!</v>
      </c>
      <c r="AU216" s="23" t="e">
        <f t="shared" si="2061"/>
        <v>#DIV/0!</v>
      </c>
      <c r="AV216" s="23" t="e">
        <f t="shared" si="2061"/>
        <v>#DIV/0!</v>
      </c>
      <c r="AW216" s="23" t="e">
        <f t="shared" si="2061"/>
        <v>#DIV/0!</v>
      </c>
      <c r="AX216" s="23" t="e">
        <f t="shared" si="2061"/>
        <v>#DIV/0!</v>
      </c>
      <c r="AY216" s="23" t="e">
        <f t="shared" si="2061"/>
        <v>#DIV/0!</v>
      </c>
      <c r="AZ216" s="23" t="e">
        <f t="shared" si="2061"/>
        <v>#DIV/0!</v>
      </c>
      <c r="BA216" s="23" t="e">
        <f t="shared" si="2061"/>
        <v>#DIV/0!</v>
      </c>
      <c r="BB216" s="23" t="e">
        <f t="shared" si="2061"/>
        <v>#DIV/0!</v>
      </c>
      <c r="BC216" s="23" t="e">
        <f t="shared" si="2061"/>
        <v>#DIV/0!</v>
      </c>
      <c r="BD216" s="23" t="e">
        <f t="shared" si="2061"/>
        <v>#DIV/0!</v>
      </c>
      <c r="BE216" s="23" t="e">
        <f t="shared" si="2061"/>
        <v>#DIV/0!</v>
      </c>
      <c r="BF216" s="23" t="e">
        <f t="shared" si="2061"/>
        <v>#DIV/0!</v>
      </c>
      <c r="BG216" s="23" t="e">
        <f t="shared" si="2061"/>
        <v>#DIV/0!</v>
      </c>
      <c r="BH216" s="23" t="e">
        <f t="shared" si="2061"/>
        <v>#DIV/0!</v>
      </c>
      <c r="BI216" s="23" t="e">
        <f t="shared" si="2061"/>
        <v>#DIV/0!</v>
      </c>
      <c r="BJ216" s="23" t="e">
        <f t="shared" si="2061"/>
        <v>#DIV/0!</v>
      </c>
      <c r="BK216" s="23" t="e">
        <f t="shared" si="2061"/>
        <v>#DIV/0!</v>
      </c>
      <c r="BL216" s="23" t="e">
        <f t="shared" si="2061"/>
        <v>#DIV/0!</v>
      </c>
      <c r="BM216" s="23" t="e">
        <f t="shared" si="2061"/>
        <v>#DIV/0!</v>
      </c>
      <c r="BN216" s="23" t="e">
        <f t="shared" si="2061"/>
        <v>#DIV/0!</v>
      </c>
      <c r="BO216" s="23" t="e">
        <f t="shared" si="2061"/>
        <v>#DIV/0!</v>
      </c>
      <c r="BP216" s="23" t="e">
        <f t="shared" si="2061"/>
        <v>#DIV/0!</v>
      </c>
      <c r="BQ216" s="23" t="e">
        <f t="shared" si="2061"/>
        <v>#DIV/0!</v>
      </c>
      <c r="BR216" s="23" t="e">
        <f t="shared" si="2061"/>
        <v>#DIV/0!</v>
      </c>
      <c r="BS216" s="23" t="e">
        <f t="shared" si="2061"/>
        <v>#DIV/0!</v>
      </c>
      <c r="BT216" s="23" t="e">
        <f t="shared" si="2061"/>
        <v>#DIV/0!</v>
      </c>
      <c r="BU216" s="23" t="e">
        <f t="shared" si="2061"/>
        <v>#DIV/0!</v>
      </c>
      <c r="BV216" s="23" t="e">
        <f t="shared" si="2061"/>
        <v>#DIV/0!</v>
      </c>
      <c r="BW216" s="23" t="e">
        <f t="shared" si="2061"/>
        <v>#DIV/0!</v>
      </c>
      <c r="BX216" s="23" t="e">
        <f t="shared" si="2061"/>
        <v>#DIV/0!</v>
      </c>
      <c r="BY216" s="23" t="e">
        <f t="shared" si="2061"/>
        <v>#DIV/0!</v>
      </c>
      <c r="BZ216" s="23" t="e">
        <f t="shared" si="2061"/>
        <v>#DIV/0!</v>
      </c>
      <c r="CA216" s="23">
        <f t="shared" si="2061"/>
        <v>1266.8285509023881</v>
      </c>
      <c r="CB216" s="23">
        <f t="shared" si="2061"/>
        <v>0</v>
      </c>
      <c r="CC216" s="23">
        <f t="shared" si="2061"/>
        <v>170.2199999999998</v>
      </c>
      <c r="CD216" s="23">
        <f t="shared" si="2061"/>
        <v>1063.7399999999998</v>
      </c>
      <c r="CE216" s="23">
        <f t="shared" ref="CE216:CF216" si="2062">CE215+CE211+CE207+CE205</f>
        <v>1242.2034025594708</v>
      </c>
      <c r="CF216" s="23">
        <f t="shared" si="2062"/>
        <v>998.10000000000093</v>
      </c>
      <c r="CG216" s="23">
        <f t="shared" ref="CG216:CH216" si="2063">CG215+CG211+CG207+CG205</f>
        <v>1156.9408628176941</v>
      </c>
      <c r="CH216" s="23">
        <f t="shared" si="2063"/>
        <v>1514.2899999999986</v>
      </c>
      <c r="CI216" s="23">
        <f t="shared" ref="CI216:CJ216" si="2064">CI215+CI211+CI207+CI205</f>
        <v>1734.8577524209552</v>
      </c>
      <c r="CJ216" s="23">
        <f t="shared" si="2064"/>
        <v>1023.2899999999997</v>
      </c>
      <c r="CK216" s="24">
        <f t="shared" ref="CK216:DB216" si="2065">CK215+CK211+CK207+CK205</f>
        <v>998.56482578041755</v>
      </c>
      <c r="CL216" s="23">
        <f t="shared" si="2065"/>
        <v>1512.9800000000009</v>
      </c>
      <c r="CM216" s="24">
        <f t="shared" si="2065"/>
        <v>1820.1178966560799</v>
      </c>
      <c r="CN216" s="24">
        <f t="shared" si="2065"/>
        <v>1959.5817590545325</v>
      </c>
      <c r="CO216" s="24">
        <f t="shared" si="2065"/>
        <v>2125.6899268026286</v>
      </c>
      <c r="CP216" s="24">
        <f t="shared" si="2065"/>
        <v>2215.2097368719928</v>
      </c>
      <c r="CQ216" s="24">
        <f t="shared" si="2065"/>
        <v>2560.6089676888278</v>
      </c>
      <c r="CR216" s="24">
        <f t="shared" si="2065"/>
        <v>2708.3533138533526</v>
      </c>
      <c r="CS216" s="24">
        <f t="shared" si="2065"/>
        <v>2902.9493849393248</v>
      </c>
      <c r="CT216" s="24">
        <f t="shared" si="2065"/>
        <v>3020.5590902597369</v>
      </c>
      <c r="CU216" s="24">
        <f t="shared" si="2065"/>
        <v>3506.3141990580743</v>
      </c>
      <c r="CV216" s="24">
        <f t="shared" si="2065"/>
        <v>3717.0610280227679</v>
      </c>
      <c r="CW216" s="24">
        <f t="shared" si="2065"/>
        <v>3985.824219175598</v>
      </c>
      <c r="CX216" s="24">
        <f t="shared" si="2065"/>
        <v>4159.2433919173682</v>
      </c>
      <c r="CY216" s="24">
        <f t="shared" si="2065"/>
        <v>4758.5059947731079</v>
      </c>
      <c r="CZ216" s="24">
        <f t="shared" si="2065"/>
        <v>5015.9490651133674</v>
      </c>
      <c r="DA216" s="24">
        <f t="shared" si="2065"/>
        <v>5347.5845575524991</v>
      </c>
      <c r="DB216" s="24">
        <f t="shared" si="2065"/>
        <v>5563.9598835773813</v>
      </c>
      <c r="DE216" s="123"/>
      <c r="DF216" s="23">
        <v>1175.3285730450398</v>
      </c>
    </row>
    <row r="217" spans="1:110" s="28" customFormat="1" x14ac:dyDescent="0.2">
      <c r="A217" s="28" t="s">
        <v>444</v>
      </c>
      <c r="C217" s="28">
        <f t="shared" ref="C217:W217" si="2066">C216-C167</f>
        <v>0</v>
      </c>
      <c r="D217" s="28">
        <f t="shared" si="2066"/>
        <v>0</v>
      </c>
      <c r="E217" s="28">
        <f t="shared" si="2066"/>
        <v>0</v>
      </c>
      <c r="F217" s="28">
        <f t="shared" si="2066"/>
        <v>0</v>
      </c>
      <c r="G217" s="28">
        <f t="shared" si="2066"/>
        <v>0</v>
      </c>
      <c r="H217" s="28">
        <f t="shared" si="2066"/>
        <v>0</v>
      </c>
      <c r="I217" s="28">
        <f t="shared" si="2066"/>
        <v>0</v>
      </c>
      <c r="J217" s="28">
        <f>J216-J167</f>
        <v>0</v>
      </c>
      <c r="K217" s="28">
        <f t="shared" si="2066"/>
        <v>0</v>
      </c>
      <c r="L217" s="28">
        <f t="shared" si="2066"/>
        <v>0</v>
      </c>
      <c r="M217" s="28">
        <f t="shared" si="2066"/>
        <v>0</v>
      </c>
      <c r="N217" s="28">
        <f t="shared" si="2066"/>
        <v>0</v>
      </c>
      <c r="O217" s="28">
        <f t="shared" si="2066"/>
        <v>0</v>
      </c>
      <c r="P217" s="28">
        <f t="shared" si="2066"/>
        <v>0</v>
      </c>
      <c r="Q217" s="28">
        <f t="shared" si="2066"/>
        <v>0</v>
      </c>
      <c r="R217" s="28">
        <f t="shared" si="2066"/>
        <v>0</v>
      </c>
      <c r="S217" s="28">
        <f t="shared" si="2066"/>
        <v>0</v>
      </c>
      <c r="T217" s="28">
        <f t="shared" si="2066"/>
        <v>0</v>
      </c>
      <c r="U217" s="28">
        <f t="shared" si="2066"/>
        <v>0</v>
      </c>
      <c r="V217" s="28">
        <f t="shared" si="2066"/>
        <v>0</v>
      </c>
      <c r="W217" s="28">
        <f t="shared" si="2066"/>
        <v>0</v>
      </c>
      <c r="X217" s="28">
        <f t="shared" ref="X217:Y217" si="2067">X216-X167</f>
        <v>0</v>
      </c>
      <c r="Y217" s="28">
        <f t="shared" si="2067"/>
        <v>0</v>
      </c>
      <c r="Z217" s="28">
        <f t="shared" ref="Z217:AA217" si="2068">Z216-Z167</f>
        <v>0</v>
      </c>
      <c r="AA217" s="28">
        <f t="shared" si="2068"/>
        <v>0</v>
      </c>
      <c r="AB217" s="30">
        <f t="shared" ref="AA217:AD217" si="2069">AB216-AB167</f>
        <v>0</v>
      </c>
      <c r="AC217" s="30">
        <f t="shared" si="2069"/>
        <v>0</v>
      </c>
      <c r="AD217" s="30">
        <f t="shared" si="2069"/>
        <v>0</v>
      </c>
      <c r="AE217" s="30">
        <f t="shared" ref="AE217" si="2070">AE216-AE167</f>
        <v>0</v>
      </c>
      <c r="AI217" s="28">
        <f t="shared" ref="AI217" si="2071">AI216-AI167</f>
        <v>0</v>
      </c>
      <c r="AJ217" s="28">
        <f t="shared" ref="AJ217:AL217" si="2072">AJ216-AJ167</f>
        <v>0</v>
      </c>
      <c r="AK217" s="28" t="e">
        <f t="shared" si="2072"/>
        <v>#DIV/0!</v>
      </c>
      <c r="AL217" s="28" t="e">
        <f t="shared" si="2072"/>
        <v>#DIV/0!</v>
      </c>
      <c r="AM217" s="28" t="e">
        <f t="shared" ref="AM217" si="2073">AM216-AM167</f>
        <v>#DIV/0!</v>
      </c>
      <c r="AN217" s="28" t="e">
        <f t="shared" ref="AN217:CD217" si="2074">AN216-AN167</f>
        <v>#DIV/0!</v>
      </c>
      <c r="AO217" s="28" t="e">
        <f t="shared" si="2074"/>
        <v>#DIV/0!</v>
      </c>
      <c r="AP217" s="28" t="e">
        <f t="shared" si="2074"/>
        <v>#DIV/0!</v>
      </c>
      <c r="AQ217" s="28" t="e">
        <f t="shared" si="2074"/>
        <v>#DIV/0!</v>
      </c>
      <c r="AR217" s="28" t="e">
        <f t="shared" si="2074"/>
        <v>#DIV/0!</v>
      </c>
      <c r="AS217" s="28" t="e">
        <f t="shared" si="2074"/>
        <v>#DIV/0!</v>
      </c>
      <c r="AT217" s="28" t="e">
        <f t="shared" si="2074"/>
        <v>#DIV/0!</v>
      </c>
      <c r="AU217" s="28" t="e">
        <f t="shared" si="2074"/>
        <v>#DIV/0!</v>
      </c>
      <c r="AV217" s="28" t="e">
        <f t="shared" si="2074"/>
        <v>#DIV/0!</v>
      </c>
      <c r="AW217" s="28" t="e">
        <f t="shared" si="2074"/>
        <v>#DIV/0!</v>
      </c>
      <c r="AX217" s="28" t="e">
        <f t="shared" si="2074"/>
        <v>#DIV/0!</v>
      </c>
      <c r="AY217" s="28" t="e">
        <f t="shared" si="2074"/>
        <v>#DIV/0!</v>
      </c>
      <c r="AZ217" s="28" t="e">
        <f t="shared" si="2074"/>
        <v>#DIV/0!</v>
      </c>
      <c r="BA217" s="28" t="e">
        <f t="shared" si="2074"/>
        <v>#DIV/0!</v>
      </c>
      <c r="BB217" s="28" t="e">
        <f t="shared" si="2074"/>
        <v>#DIV/0!</v>
      </c>
      <c r="BC217" s="28" t="e">
        <f t="shared" si="2074"/>
        <v>#DIV/0!</v>
      </c>
      <c r="BD217" s="28" t="e">
        <f t="shared" si="2074"/>
        <v>#DIV/0!</v>
      </c>
      <c r="BE217" s="28" t="e">
        <f t="shared" si="2074"/>
        <v>#DIV/0!</v>
      </c>
      <c r="BF217" s="28" t="e">
        <f t="shared" si="2074"/>
        <v>#DIV/0!</v>
      </c>
      <c r="BG217" s="28" t="e">
        <f t="shared" si="2074"/>
        <v>#DIV/0!</v>
      </c>
      <c r="BH217" s="28" t="e">
        <f t="shared" si="2074"/>
        <v>#DIV/0!</v>
      </c>
      <c r="BI217" s="28" t="e">
        <f t="shared" si="2074"/>
        <v>#DIV/0!</v>
      </c>
      <c r="BJ217" s="28" t="e">
        <f t="shared" si="2074"/>
        <v>#DIV/0!</v>
      </c>
      <c r="BK217" s="28" t="e">
        <f t="shared" si="2074"/>
        <v>#DIV/0!</v>
      </c>
      <c r="BL217" s="28" t="e">
        <f t="shared" si="2074"/>
        <v>#DIV/0!</v>
      </c>
      <c r="BM217" s="28" t="e">
        <f t="shared" si="2074"/>
        <v>#DIV/0!</v>
      </c>
      <c r="BN217" s="28" t="e">
        <f t="shared" si="2074"/>
        <v>#DIV/0!</v>
      </c>
      <c r="BO217" s="28" t="e">
        <f t="shared" si="2074"/>
        <v>#DIV/0!</v>
      </c>
      <c r="BP217" s="28" t="e">
        <f t="shared" si="2074"/>
        <v>#DIV/0!</v>
      </c>
      <c r="BQ217" s="28" t="e">
        <f t="shared" si="2074"/>
        <v>#DIV/0!</v>
      </c>
      <c r="BR217" s="28" t="e">
        <f t="shared" si="2074"/>
        <v>#DIV/0!</v>
      </c>
      <c r="BS217" s="28" t="e">
        <f t="shared" si="2074"/>
        <v>#DIV/0!</v>
      </c>
      <c r="BT217" s="28" t="e">
        <f t="shared" si="2074"/>
        <v>#DIV/0!</v>
      </c>
      <c r="BU217" s="28" t="e">
        <f t="shared" si="2074"/>
        <v>#DIV/0!</v>
      </c>
      <c r="BV217" s="28" t="e">
        <f t="shared" si="2074"/>
        <v>#DIV/0!</v>
      </c>
      <c r="BW217" s="28" t="e">
        <f t="shared" si="2074"/>
        <v>#DIV/0!</v>
      </c>
      <c r="BX217" s="28" t="e">
        <f t="shared" si="2074"/>
        <v>#DIV/0!</v>
      </c>
      <c r="BY217" s="28" t="e">
        <f t="shared" si="2074"/>
        <v>#DIV/0!</v>
      </c>
      <c r="BZ217" s="28" t="e">
        <f t="shared" si="2074"/>
        <v>#DIV/0!</v>
      </c>
      <c r="CA217" s="28">
        <f t="shared" si="2074"/>
        <v>0</v>
      </c>
      <c r="CB217" s="28">
        <f t="shared" si="2074"/>
        <v>0</v>
      </c>
      <c r="CC217" s="28">
        <f t="shared" si="2074"/>
        <v>0</v>
      </c>
      <c r="CD217" s="28">
        <f t="shared" si="2074"/>
        <v>0</v>
      </c>
      <c r="CE217" s="28">
        <f t="shared" ref="CE217:CF217" si="2075">CE216-CE167</f>
        <v>0</v>
      </c>
      <c r="CF217" s="28">
        <f t="shared" si="2075"/>
        <v>9.0949470177292824E-13</v>
      </c>
      <c r="CG217" s="28">
        <f t="shared" ref="CG217:CH217" si="2076">CG216-CG167</f>
        <v>0</v>
      </c>
      <c r="CH217" s="28">
        <f t="shared" si="2076"/>
        <v>0</v>
      </c>
      <c r="CI217" s="28">
        <f t="shared" ref="CI217:CJ217" si="2077">CI216-CI167</f>
        <v>0</v>
      </c>
      <c r="CJ217" s="28">
        <f t="shared" si="2077"/>
        <v>0</v>
      </c>
      <c r="CK217" s="30">
        <f t="shared" ref="CK217:DB217" si="2078">CK216-CK167</f>
        <v>0</v>
      </c>
      <c r="CL217" s="28">
        <f t="shared" si="2078"/>
        <v>0</v>
      </c>
      <c r="CM217" s="30">
        <f t="shared" si="2078"/>
        <v>0</v>
      </c>
      <c r="CN217" s="30">
        <f t="shared" si="2078"/>
        <v>0</v>
      </c>
      <c r="CO217" s="30">
        <f t="shared" si="2078"/>
        <v>0</v>
      </c>
      <c r="CP217" s="30">
        <f t="shared" si="2078"/>
        <v>0</v>
      </c>
      <c r="CQ217" s="30">
        <f t="shared" si="2078"/>
        <v>0</v>
      </c>
      <c r="CR217" s="30">
        <f t="shared" si="2078"/>
        <v>0</v>
      </c>
      <c r="CS217" s="30">
        <f t="shared" si="2078"/>
        <v>0</v>
      </c>
      <c r="CT217" s="30">
        <f t="shared" si="2078"/>
        <v>0</v>
      </c>
      <c r="CU217" s="30">
        <f t="shared" si="2078"/>
        <v>0</v>
      </c>
      <c r="CV217" s="30">
        <f t="shared" si="2078"/>
        <v>0</v>
      </c>
      <c r="CW217" s="30">
        <f t="shared" si="2078"/>
        <v>0</v>
      </c>
      <c r="CX217" s="30">
        <f t="shared" si="2078"/>
        <v>0</v>
      </c>
      <c r="CY217" s="30">
        <f t="shared" si="2078"/>
        <v>0</v>
      </c>
      <c r="CZ217" s="30">
        <f t="shared" si="2078"/>
        <v>0</v>
      </c>
      <c r="DA217" s="30">
        <f t="shared" si="2078"/>
        <v>0</v>
      </c>
      <c r="DB217" s="30">
        <f t="shared" si="2078"/>
        <v>0</v>
      </c>
      <c r="DE217" s="139"/>
      <c r="DF217" s="28">
        <v>0</v>
      </c>
    </row>
    <row r="218" spans="1:110" s="23" customFormat="1" x14ac:dyDescent="0.2">
      <c r="AB218" s="24"/>
      <c r="AC218" s="24"/>
      <c r="AD218" s="24"/>
      <c r="AE218" s="24"/>
      <c r="CK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96</v>
      </c>
      <c r="C219" s="22">
        <f t="shared" ref="C219:W219" si="2079">C205+C207</f>
        <v>0</v>
      </c>
      <c r="D219" s="22">
        <f t="shared" si="2079"/>
        <v>0</v>
      </c>
      <c r="E219" s="22">
        <f t="shared" si="2079"/>
        <v>-36.425669199999987</v>
      </c>
      <c r="F219" s="22">
        <f t="shared" si="2079"/>
        <v>12.610370899999992</v>
      </c>
      <c r="G219" s="22">
        <f t="shared" si="2079"/>
        <v>-418.1304177999998</v>
      </c>
      <c r="H219" s="22">
        <f t="shared" si="2079"/>
        <v>-39.208299999999923</v>
      </c>
      <c r="I219" s="22">
        <f t="shared" si="2079"/>
        <v>10.048800000000014</v>
      </c>
      <c r="J219" s="22">
        <f>J205+J207</f>
        <v>20.185100000000034</v>
      </c>
      <c r="K219" s="22">
        <f t="shared" si="2079"/>
        <v>174.52719999999982</v>
      </c>
      <c r="L219" s="22">
        <f t="shared" si="2079"/>
        <v>144.81070000000011</v>
      </c>
      <c r="M219" s="22">
        <f t="shared" si="2079"/>
        <v>78.671200000000113</v>
      </c>
      <c r="N219" s="22">
        <f t="shared" si="2079"/>
        <v>250.35000000000002</v>
      </c>
      <c r="O219" s="22">
        <f t="shared" si="2079"/>
        <v>321.45999999999981</v>
      </c>
      <c r="P219" s="22">
        <f t="shared" si="2079"/>
        <v>286.59999999999945</v>
      </c>
      <c r="Q219" s="22">
        <f t="shared" si="2079"/>
        <v>-91.779999999999959</v>
      </c>
      <c r="R219" s="22">
        <f t="shared" si="2079"/>
        <v>359.18999999999977</v>
      </c>
      <c r="S219" s="22">
        <f t="shared" si="2079"/>
        <v>32.310000000000201</v>
      </c>
      <c r="T219" s="22">
        <f t="shared" si="2079"/>
        <v>345.57000000000079</v>
      </c>
      <c r="U219" s="22">
        <f t="shared" si="2079"/>
        <v>187.10499999999973</v>
      </c>
      <c r="V219" s="22">
        <f t="shared" si="2079"/>
        <v>810.02100000000019</v>
      </c>
      <c r="W219" s="22">
        <f t="shared" si="2079"/>
        <v>415.58400000000006</v>
      </c>
      <c r="X219" s="22">
        <f t="shared" ref="X219:Y219" si="2080">X205+X207</f>
        <v>-453.34900000000027</v>
      </c>
      <c r="Y219" s="22">
        <f t="shared" si="2080"/>
        <v>482.76000000000079</v>
      </c>
      <c r="Z219" s="22">
        <f t="shared" ref="Z219:AA219" si="2081">Z205+Z207</f>
        <v>768.89999999999986</v>
      </c>
      <c r="AA219" s="22">
        <f t="shared" si="2081"/>
        <v>-464.23000000000025</v>
      </c>
      <c r="AB219" s="21">
        <f t="shared" ref="AA219:AD219" si="2082">AB205+AB207</f>
        <v>702.22973687199396</v>
      </c>
      <c r="AC219" s="21">
        <f t="shared" si="2082"/>
        <v>805.34935338774471</v>
      </c>
      <c r="AD219" s="21">
        <f t="shared" si="2082"/>
        <v>1138.6843016576311</v>
      </c>
      <c r="AE219" s="21">
        <f t="shared" ref="AE219" si="2083">AE205+AE207</f>
        <v>1404.7164916600129</v>
      </c>
      <c r="AI219" s="22">
        <f t="shared" ref="AI219" si="2084">AI205+AI207</f>
        <v>0</v>
      </c>
      <c r="AJ219" s="22">
        <f t="shared" ref="AJ219:AL219" si="2085">AJ205+AJ207</f>
        <v>0</v>
      </c>
      <c r="AK219" s="22" t="e">
        <f t="shared" si="2085"/>
        <v>#DIV/0!</v>
      </c>
      <c r="AL219" s="22" t="e">
        <f t="shared" si="2085"/>
        <v>#DIV/0!</v>
      </c>
      <c r="AM219" s="22" t="e">
        <f t="shared" ref="AM219" si="2086">AM205+AM207</f>
        <v>#DIV/0!</v>
      </c>
      <c r="AN219" s="22" t="e">
        <f t="shared" ref="AN219:CD219" si="2087">AN205+AN207</f>
        <v>#DIV/0!</v>
      </c>
      <c r="AO219" s="22" t="e">
        <f t="shared" si="2087"/>
        <v>#DIV/0!</v>
      </c>
      <c r="AP219" s="22" t="e">
        <f t="shared" si="2087"/>
        <v>#DIV/0!</v>
      </c>
      <c r="AQ219" s="22" t="e">
        <f t="shared" si="2087"/>
        <v>#DIV/0!</v>
      </c>
      <c r="AR219" s="22" t="e">
        <f t="shared" si="2087"/>
        <v>#DIV/0!</v>
      </c>
      <c r="AS219" s="22" t="e">
        <f t="shared" si="2087"/>
        <v>#DIV/0!</v>
      </c>
      <c r="AT219" s="22" t="e">
        <f t="shared" si="2087"/>
        <v>#DIV/0!</v>
      </c>
      <c r="AU219" s="22" t="e">
        <f t="shared" si="2087"/>
        <v>#DIV/0!</v>
      </c>
      <c r="AV219" s="22" t="e">
        <f t="shared" si="2087"/>
        <v>#DIV/0!</v>
      </c>
      <c r="AW219" s="22" t="e">
        <f t="shared" si="2087"/>
        <v>#DIV/0!</v>
      </c>
      <c r="AX219" s="22" t="e">
        <f t="shared" si="2087"/>
        <v>#DIV/0!</v>
      </c>
      <c r="AY219" s="22" t="e">
        <f t="shared" si="2087"/>
        <v>#DIV/0!</v>
      </c>
      <c r="AZ219" s="22" t="e">
        <f t="shared" si="2087"/>
        <v>#DIV/0!</v>
      </c>
      <c r="BA219" s="22" t="e">
        <f t="shared" si="2087"/>
        <v>#DIV/0!</v>
      </c>
      <c r="BB219" s="22" t="e">
        <f t="shared" si="2087"/>
        <v>#DIV/0!</v>
      </c>
      <c r="BC219" s="22" t="e">
        <f t="shared" si="2087"/>
        <v>#DIV/0!</v>
      </c>
      <c r="BD219" s="22" t="e">
        <f t="shared" si="2087"/>
        <v>#DIV/0!</v>
      </c>
      <c r="BE219" s="22" t="e">
        <f t="shared" si="2087"/>
        <v>#DIV/0!</v>
      </c>
      <c r="BF219" s="22" t="e">
        <f t="shared" si="2087"/>
        <v>#DIV/0!</v>
      </c>
      <c r="BG219" s="22" t="e">
        <f t="shared" si="2087"/>
        <v>#DIV/0!</v>
      </c>
      <c r="BH219" s="22" t="e">
        <f t="shared" si="2087"/>
        <v>#DIV/0!</v>
      </c>
      <c r="BI219" s="22" t="e">
        <f t="shared" si="2087"/>
        <v>#DIV/0!</v>
      </c>
      <c r="BJ219" s="22" t="e">
        <f t="shared" si="2087"/>
        <v>#DIV/0!</v>
      </c>
      <c r="BK219" s="22" t="e">
        <f t="shared" si="2087"/>
        <v>#DIV/0!</v>
      </c>
      <c r="BL219" s="22" t="e">
        <f t="shared" si="2087"/>
        <v>#DIV/0!</v>
      </c>
      <c r="BM219" s="22" t="e">
        <f t="shared" si="2087"/>
        <v>#DIV/0!</v>
      </c>
      <c r="BN219" s="22" t="e">
        <f t="shared" si="2087"/>
        <v>#DIV/0!</v>
      </c>
      <c r="BO219" s="22" t="e">
        <f t="shared" si="2087"/>
        <v>#DIV/0!</v>
      </c>
      <c r="BP219" s="22" t="e">
        <f t="shared" si="2087"/>
        <v>#DIV/0!</v>
      </c>
      <c r="BQ219" s="22" t="e">
        <f t="shared" si="2087"/>
        <v>#DIV/0!</v>
      </c>
      <c r="BR219" s="22" t="e">
        <f t="shared" si="2087"/>
        <v>#DIV/0!</v>
      </c>
      <c r="BS219" s="22" t="e">
        <f t="shared" si="2087"/>
        <v>#DIV/0!</v>
      </c>
      <c r="BT219" s="22" t="e">
        <f t="shared" si="2087"/>
        <v>#DIV/0!</v>
      </c>
      <c r="BU219" s="22" t="e">
        <f t="shared" si="2087"/>
        <v>#DIV/0!</v>
      </c>
      <c r="BV219" s="22" t="e">
        <f t="shared" si="2087"/>
        <v>#DIV/0!</v>
      </c>
      <c r="BW219" s="22" t="e">
        <f t="shared" si="2087"/>
        <v>#DIV/0!</v>
      </c>
      <c r="BX219" s="22" t="e">
        <f t="shared" si="2087"/>
        <v>#DIV/0!</v>
      </c>
      <c r="BY219" s="22" t="e">
        <f t="shared" si="2087"/>
        <v>#DIV/0!</v>
      </c>
      <c r="BZ219" s="22" t="e">
        <f t="shared" si="2087"/>
        <v>#DIV/0!</v>
      </c>
      <c r="CA219" s="22">
        <f t="shared" si="2087"/>
        <v>237.84855090238807</v>
      </c>
      <c r="CB219" s="22">
        <f t="shared" si="2087"/>
        <v>2074.5314490976125</v>
      </c>
      <c r="CC219" s="22">
        <f t="shared" si="2087"/>
        <v>170.2199999999998</v>
      </c>
      <c r="CD219" s="22">
        <f t="shared" si="2087"/>
        <v>-1999.8400000000004</v>
      </c>
      <c r="CE219" s="22">
        <f t="shared" ref="CE219:CF219" si="2088">CE205+CE207</f>
        <v>178.46340255947064</v>
      </c>
      <c r="CF219" s="22">
        <f t="shared" si="2088"/>
        <v>81.066597440529819</v>
      </c>
      <c r="CG219" s="22">
        <f t="shared" ref="CG219:CH219" si="2089">CG205+CG207</f>
        <v>158.84086281769413</v>
      </c>
      <c r="CH219" s="22">
        <f t="shared" si="2089"/>
        <v>350.52913718230531</v>
      </c>
      <c r="CI219" s="22">
        <f t="shared" ref="CI219:CJ219" si="2090">CI205+CI207</f>
        <v>220.56775242095523</v>
      </c>
      <c r="CJ219" s="22">
        <f t="shared" si="2090"/>
        <v>-362.71775242095549</v>
      </c>
      <c r="CK219" s="21">
        <f t="shared" ref="CK219:DB219" si="2091">CK205+CK207</f>
        <v>-24.725174219582385</v>
      </c>
      <c r="CL219" s="22">
        <f t="shared" si="2091"/>
        <v>-297.35482578041604</v>
      </c>
      <c r="CM219" s="21">
        <f t="shared" si="2091"/>
        <v>307.13789665607982</v>
      </c>
      <c r="CN219" s="21">
        <f t="shared" si="2091"/>
        <v>139.4638623984527</v>
      </c>
      <c r="CO219" s="21">
        <f t="shared" si="2091"/>
        <v>166.10816774809595</v>
      </c>
      <c r="CP219" s="21">
        <f t="shared" si="2091"/>
        <v>89.519810069363814</v>
      </c>
      <c r="CQ219" s="21">
        <f t="shared" si="2091"/>
        <v>345.3992308168348</v>
      </c>
      <c r="CR219" s="21">
        <f t="shared" si="2091"/>
        <v>147.74434616452498</v>
      </c>
      <c r="CS219" s="21">
        <f t="shared" si="2091"/>
        <v>194.5960710859722</v>
      </c>
      <c r="CT219" s="21">
        <f t="shared" si="2091"/>
        <v>117.60970532041233</v>
      </c>
      <c r="CU219" s="21">
        <f t="shared" si="2091"/>
        <v>485.75510879833763</v>
      </c>
      <c r="CV219" s="21">
        <f t="shared" si="2091"/>
        <v>210.74682896469346</v>
      </c>
      <c r="CW219" s="21">
        <f t="shared" si="2091"/>
        <v>268.7631911528299</v>
      </c>
      <c r="CX219" s="21">
        <f t="shared" si="2091"/>
        <v>173.41917274177024</v>
      </c>
      <c r="CY219" s="21">
        <f t="shared" si="2091"/>
        <v>599.26260285573937</v>
      </c>
      <c r="CZ219" s="21">
        <f t="shared" si="2091"/>
        <v>257.44307034025991</v>
      </c>
      <c r="DA219" s="21">
        <f t="shared" si="2091"/>
        <v>331.63549243913144</v>
      </c>
      <c r="DB219" s="21">
        <f t="shared" si="2091"/>
        <v>216.37532602488182</v>
      </c>
      <c r="DE219" s="126"/>
      <c r="DF219" s="22">
        <v>176.76374726462228</v>
      </c>
    </row>
    <row r="220" spans="1:110" x14ac:dyDescent="0.2">
      <c r="A220" s="152" t="s">
        <v>496</v>
      </c>
      <c r="AA220" s="2"/>
      <c r="CL220" s="2"/>
    </row>
    <row r="221" spans="1:110" x14ac:dyDescent="0.2">
      <c r="AA221" s="2"/>
      <c r="CL221" s="2"/>
    </row>
    <row r="222" spans="1:110" s="7" customFormat="1" hidden="1" outlineLevel="1" x14ac:dyDescent="0.2">
      <c r="A222" s="61" t="s">
        <v>97</v>
      </c>
      <c r="AB222" s="77"/>
      <c r="AC222" s="77"/>
      <c r="AD222" s="77"/>
      <c r="AE222" s="77"/>
      <c r="CK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E222" s="138"/>
    </row>
    <row r="223" spans="1:110" s="62" customFormat="1" hidden="1" outlineLevel="1" x14ac:dyDescent="0.2">
      <c r="A223" s="62" t="s">
        <v>98</v>
      </c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62" customFormat="1" hidden="1" outlineLevel="1" x14ac:dyDescent="0.2">
      <c r="A224" s="62" t="s">
        <v>99</v>
      </c>
      <c r="AB224" s="63"/>
      <c r="AC224" s="63"/>
      <c r="AD224" s="63"/>
      <c r="AE224" s="63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2" customFormat="1" hidden="1" outlineLevel="1" x14ac:dyDescent="0.2">
      <c r="A225" s="62" t="s">
        <v>100</v>
      </c>
      <c r="AB225" s="63"/>
      <c r="AC225" s="63"/>
      <c r="AD225" s="63"/>
      <c r="AE225" s="63"/>
      <c r="CK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62" customFormat="1" hidden="1" outlineLevel="1" x14ac:dyDescent="0.2">
      <c r="AB226" s="63"/>
      <c r="AC226" s="63"/>
      <c r="AD226" s="63"/>
      <c r="AE226" s="63"/>
      <c r="CK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hidden="1" outlineLevel="1" x14ac:dyDescent="0.2"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collapsed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83" customFormat="1" x14ac:dyDescent="0.2">
      <c r="A230" s="82" t="s">
        <v>101</v>
      </c>
      <c r="AB230" s="72"/>
      <c r="AC230" s="72"/>
      <c r="AD230" s="72"/>
      <c r="AE230" s="72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6" customFormat="1" x14ac:dyDescent="0.2">
      <c r="A231" s="66" t="s">
        <v>471</v>
      </c>
      <c r="AB231" s="50"/>
      <c r="AC231" s="50"/>
      <c r="AD231" s="50"/>
      <c r="AE231" s="50"/>
      <c r="AL231" s="66">
        <f t="shared" ref="AL231:BQ231" si="2092">SUM(AI16:AL16)</f>
        <v>0</v>
      </c>
      <c r="AM231" s="66">
        <f t="shared" si="2092"/>
        <v>0</v>
      </c>
      <c r="AN231" s="66">
        <f t="shared" si="2092"/>
        <v>0</v>
      </c>
      <c r="AO231" s="66">
        <f t="shared" si="2092"/>
        <v>0</v>
      </c>
      <c r="AP231" s="66">
        <f t="shared" si="2092"/>
        <v>0</v>
      </c>
      <c r="AQ231" s="66">
        <f t="shared" si="2092"/>
        <v>0</v>
      </c>
      <c r="AR231" s="66">
        <f t="shared" si="2092"/>
        <v>0</v>
      </c>
      <c r="AS231" s="66">
        <f t="shared" si="2092"/>
        <v>0</v>
      </c>
      <c r="AT231" s="66">
        <f t="shared" si="2092"/>
        <v>0</v>
      </c>
      <c r="AU231" s="66">
        <f t="shared" si="2092"/>
        <v>0</v>
      </c>
      <c r="AV231" s="66">
        <f t="shared" si="2092"/>
        <v>0</v>
      </c>
      <c r="AW231" s="66">
        <f t="shared" si="2092"/>
        <v>0</v>
      </c>
      <c r="AX231" s="66">
        <f t="shared" si="2092"/>
        <v>0</v>
      </c>
      <c r="AY231" s="66">
        <f t="shared" si="2092"/>
        <v>0</v>
      </c>
      <c r="AZ231" s="66">
        <f t="shared" si="2092"/>
        <v>0</v>
      </c>
      <c r="BA231" s="66">
        <f t="shared" si="2092"/>
        <v>0</v>
      </c>
      <c r="BB231" s="66">
        <f t="shared" si="2092"/>
        <v>0</v>
      </c>
      <c r="BC231" s="66">
        <f t="shared" si="2092"/>
        <v>0</v>
      </c>
      <c r="BD231" s="66">
        <f t="shared" si="2092"/>
        <v>0</v>
      </c>
      <c r="BE231" s="66">
        <f t="shared" si="2092"/>
        <v>0</v>
      </c>
      <c r="BF231" s="66">
        <f t="shared" si="2092"/>
        <v>0</v>
      </c>
      <c r="BG231" s="66">
        <f t="shared" si="2092"/>
        <v>0</v>
      </c>
      <c r="BH231" s="66">
        <f t="shared" si="2092"/>
        <v>0</v>
      </c>
      <c r="BI231" s="66">
        <f t="shared" si="2092"/>
        <v>0</v>
      </c>
      <c r="BJ231" s="66">
        <f t="shared" si="2092"/>
        <v>0</v>
      </c>
      <c r="BK231" s="66">
        <f t="shared" si="2092"/>
        <v>0</v>
      </c>
      <c r="BL231" s="66">
        <f t="shared" si="2092"/>
        <v>0</v>
      </c>
      <c r="BM231" s="66">
        <f t="shared" si="2092"/>
        <v>0</v>
      </c>
      <c r="BN231" s="66">
        <f t="shared" si="2092"/>
        <v>0</v>
      </c>
      <c r="BO231" s="66">
        <f t="shared" si="2092"/>
        <v>0</v>
      </c>
      <c r="BP231" s="66">
        <f t="shared" si="2092"/>
        <v>0</v>
      </c>
      <c r="BQ231" s="66">
        <f t="shared" si="2092"/>
        <v>0</v>
      </c>
      <c r="BR231" s="66">
        <f t="shared" ref="BR231:CW231" si="2093">SUM(BO16:BR16)</f>
        <v>0</v>
      </c>
      <c r="BS231" s="66">
        <f t="shared" si="2093"/>
        <v>0</v>
      </c>
      <c r="BT231" s="66">
        <f t="shared" si="2093"/>
        <v>0</v>
      </c>
      <c r="BU231" s="66">
        <f t="shared" si="2093"/>
        <v>0</v>
      </c>
      <c r="BV231" s="66">
        <f t="shared" si="2093"/>
        <v>0</v>
      </c>
      <c r="BW231" s="66">
        <f t="shared" si="2093"/>
        <v>0</v>
      </c>
      <c r="BX231" s="66">
        <f t="shared" si="2093"/>
        <v>0</v>
      </c>
      <c r="BY231" s="66">
        <f t="shared" si="2093"/>
        <v>1123.8900000000001</v>
      </c>
      <c r="BZ231" s="66">
        <f t="shared" si="2093"/>
        <v>2526.2800000000002</v>
      </c>
      <c r="CA231" s="66">
        <f t="shared" si="2093"/>
        <v>3783.8100000000004</v>
      </c>
      <c r="CB231" s="66">
        <f t="shared" si="2093"/>
        <v>5052.9800000000005</v>
      </c>
      <c r="CC231" s="66">
        <f t="shared" si="2093"/>
        <v>5218.54</v>
      </c>
      <c r="CD231" s="66">
        <f t="shared" si="2093"/>
        <v>5117.2</v>
      </c>
      <c r="CE231" s="66">
        <f t="shared" si="2093"/>
        <v>5128.6400000000003</v>
      </c>
      <c r="CF231" s="66">
        <f t="shared" si="2093"/>
        <v>5155.92</v>
      </c>
      <c r="CG231" s="66">
        <f t="shared" si="2093"/>
        <v>5183.8500000000004</v>
      </c>
      <c r="CH231" s="66">
        <f t="shared" si="2093"/>
        <v>5168.4500000000007</v>
      </c>
      <c r="CI231" s="66">
        <f t="shared" si="2093"/>
        <v>5143.7700000000004</v>
      </c>
      <c r="CJ231" s="66">
        <f t="shared" si="2093"/>
        <v>5170.6499999999996</v>
      </c>
      <c r="CK231" s="50">
        <f t="shared" si="2093"/>
        <v>5219</v>
      </c>
      <c r="CL231" s="66">
        <f t="shared" si="2093"/>
        <v>5505.57</v>
      </c>
      <c r="CM231" s="50">
        <f t="shared" si="2093"/>
        <v>5636.4958284995128</v>
      </c>
      <c r="CN231" s="50">
        <f t="shared" si="2093"/>
        <v>5816.9832897180358</v>
      </c>
      <c r="CO231" s="50">
        <f t="shared" si="2093"/>
        <v>6042.7421205249166</v>
      </c>
      <c r="CP231" s="50">
        <f t="shared" si="2093"/>
        <v>6353.1815861670484</v>
      </c>
      <c r="CQ231" s="50">
        <f t="shared" si="2093"/>
        <v>6615.9735698036575</v>
      </c>
      <c r="CR231" s="50">
        <f t="shared" si="2093"/>
        <v>6935.6234773420347</v>
      </c>
      <c r="CS231" s="50">
        <f t="shared" si="2093"/>
        <v>7304.2146988576424</v>
      </c>
      <c r="CT231" s="50">
        <f t="shared" si="2093"/>
        <v>7771.4460109315969</v>
      </c>
      <c r="CU231" s="50">
        <f t="shared" si="2093"/>
        <v>8133.211569241771</v>
      </c>
      <c r="CV231" s="50">
        <f t="shared" si="2093"/>
        <v>8549.5063233697401</v>
      </c>
      <c r="CW231" s="50">
        <f t="shared" si="2093"/>
        <v>9004.7021892911689</v>
      </c>
      <c r="CX231" s="50">
        <f t="shared" ref="CX231:DB231" si="2094">SUM(CU16:CX16)</f>
        <v>9550.7962473609659</v>
      </c>
      <c r="CY231" s="50">
        <f t="shared" si="2094"/>
        <v>10007.634492404561</v>
      </c>
      <c r="CZ231" s="50">
        <f t="shared" si="2094"/>
        <v>10523.545780834351</v>
      </c>
      <c r="DA231" s="50">
        <f t="shared" si="2094"/>
        <v>11081.119209270888</v>
      </c>
      <c r="DB231" s="50">
        <f t="shared" si="2094"/>
        <v>11748.666267617224</v>
      </c>
      <c r="DE231" s="138"/>
      <c r="DF231" s="66">
        <v>5291.6873529217173</v>
      </c>
    </row>
    <row r="232" spans="1:110" s="66" customFormat="1" x14ac:dyDescent="0.2">
      <c r="A232" s="66" t="s">
        <v>472</v>
      </c>
      <c r="AB232" s="50"/>
      <c r="AC232" s="50"/>
      <c r="AD232" s="50"/>
      <c r="AE232" s="50"/>
      <c r="AL232" s="66">
        <f t="shared" ref="AL232:BQ232" si="2095">SUM(AI34:AL34)</f>
        <v>0</v>
      </c>
      <c r="AM232" s="66">
        <f t="shared" si="2095"/>
        <v>0</v>
      </c>
      <c r="AN232" s="66">
        <f t="shared" si="2095"/>
        <v>0</v>
      </c>
      <c r="AO232" s="66">
        <f t="shared" si="2095"/>
        <v>0</v>
      </c>
      <c r="AP232" s="66">
        <f t="shared" si="2095"/>
        <v>0</v>
      </c>
      <c r="AQ232" s="66">
        <f t="shared" si="2095"/>
        <v>0</v>
      </c>
      <c r="AR232" s="66">
        <f t="shared" si="2095"/>
        <v>0</v>
      </c>
      <c r="AS232" s="66">
        <f t="shared" si="2095"/>
        <v>0</v>
      </c>
      <c r="AT232" s="66">
        <f t="shared" si="2095"/>
        <v>0</v>
      </c>
      <c r="AU232" s="66">
        <f t="shared" si="2095"/>
        <v>0</v>
      </c>
      <c r="AV232" s="66">
        <f t="shared" si="2095"/>
        <v>0</v>
      </c>
      <c r="AW232" s="66">
        <f t="shared" si="2095"/>
        <v>0</v>
      </c>
      <c r="AX232" s="66">
        <f t="shared" si="2095"/>
        <v>0</v>
      </c>
      <c r="AY232" s="66">
        <f t="shared" si="2095"/>
        <v>0</v>
      </c>
      <c r="AZ232" s="66">
        <f t="shared" si="2095"/>
        <v>0</v>
      </c>
      <c r="BA232" s="66">
        <f t="shared" si="2095"/>
        <v>0</v>
      </c>
      <c r="BB232" s="66">
        <f t="shared" si="2095"/>
        <v>0</v>
      </c>
      <c r="BC232" s="66">
        <f t="shared" si="2095"/>
        <v>0</v>
      </c>
      <c r="BD232" s="66">
        <f t="shared" si="2095"/>
        <v>0</v>
      </c>
      <c r="BE232" s="66">
        <f t="shared" si="2095"/>
        <v>0</v>
      </c>
      <c r="BF232" s="66">
        <f t="shared" si="2095"/>
        <v>0</v>
      </c>
      <c r="BG232" s="66">
        <f t="shared" si="2095"/>
        <v>0</v>
      </c>
      <c r="BH232" s="66">
        <f t="shared" si="2095"/>
        <v>0</v>
      </c>
      <c r="BI232" s="66">
        <f t="shared" si="2095"/>
        <v>0</v>
      </c>
      <c r="BJ232" s="66">
        <f t="shared" si="2095"/>
        <v>0</v>
      </c>
      <c r="BK232" s="66">
        <f t="shared" si="2095"/>
        <v>0</v>
      </c>
      <c r="BL232" s="66">
        <f t="shared" si="2095"/>
        <v>0</v>
      </c>
      <c r="BM232" s="66">
        <f t="shared" si="2095"/>
        <v>0</v>
      </c>
      <c r="BN232" s="66">
        <f t="shared" si="2095"/>
        <v>0</v>
      </c>
      <c r="BO232" s="66">
        <f t="shared" si="2095"/>
        <v>0</v>
      </c>
      <c r="BP232" s="66">
        <f t="shared" si="2095"/>
        <v>0</v>
      </c>
      <c r="BQ232" s="66">
        <f t="shared" si="2095"/>
        <v>0</v>
      </c>
      <c r="BR232" s="66">
        <f t="shared" ref="BR232:CW232" si="2096">SUM(BO34:BR34)</f>
        <v>0</v>
      </c>
      <c r="BS232" s="66">
        <f t="shared" si="2096"/>
        <v>0</v>
      </c>
      <c r="BT232" s="66">
        <f t="shared" si="2096"/>
        <v>0</v>
      </c>
      <c r="BU232" s="66">
        <f t="shared" si="2096"/>
        <v>0</v>
      </c>
      <c r="BV232" s="66">
        <f t="shared" si="2096"/>
        <v>0</v>
      </c>
      <c r="BW232" s="66">
        <f t="shared" si="2096"/>
        <v>0</v>
      </c>
      <c r="BX232" s="66">
        <f t="shared" si="2096"/>
        <v>0</v>
      </c>
      <c r="BY232" s="66">
        <f t="shared" si="2096"/>
        <v>205.75000000000011</v>
      </c>
      <c r="BZ232" s="66">
        <f t="shared" si="2096"/>
        <v>448.41000000000031</v>
      </c>
      <c r="CA232" s="66">
        <f t="shared" si="2096"/>
        <v>698.87000000000012</v>
      </c>
      <c r="CB232" s="66">
        <f t="shared" si="2096"/>
        <v>913.16000000000031</v>
      </c>
      <c r="CC232" s="66">
        <f t="shared" si="2096"/>
        <v>943.97</v>
      </c>
      <c r="CD232" s="66">
        <f t="shared" si="2096"/>
        <v>941.27999999999975</v>
      </c>
      <c r="CE232" s="66">
        <f t="shared" si="2096"/>
        <v>921.89999999999986</v>
      </c>
      <c r="CF232" s="66">
        <f t="shared" si="2096"/>
        <v>943.14999999999964</v>
      </c>
      <c r="CG232" s="66">
        <f t="shared" si="2096"/>
        <v>940.6099999999999</v>
      </c>
      <c r="CH232" s="66">
        <f t="shared" si="2096"/>
        <v>934.05000000000018</v>
      </c>
      <c r="CI232" s="66">
        <f t="shared" si="2096"/>
        <v>903.11000000000013</v>
      </c>
      <c r="CJ232" s="66">
        <f t="shared" si="2096"/>
        <v>875.3900000000001</v>
      </c>
      <c r="CK232" s="50">
        <f t="shared" si="2096"/>
        <v>834.22000000000014</v>
      </c>
      <c r="CL232" s="66">
        <f t="shared" si="2096"/>
        <v>852.95</v>
      </c>
      <c r="CM232" s="50">
        <f t="shared" si="2096"/>
        <v>874.98944375928579</v>
      </c>
      <c r="CN232" s="50">
        <f t="shared" si="2096"/>
        <v>910.38999391105381</v>
      </c>
      <c r="CO232" s="50">
        <f t="shared" si="2096"/>
        <v>976.81904600978123</v>
      </c>
      <c r="CP232" s="50">
        <f t="shared" si="2096"/>
        <v>1041.5020456949003</v>
      </c>
      <c r="CQ232" s="50">
        <f t="shared" si="2096"/>
        <v>1098.1721749591929</v>
      </c>
      <c r="CR232" s="50">
        <f t="shared" si="2096"/>
        <v>1169.2930895111542</v>
      </c>
      <c r="CS232" s="50">
        <f t="shared" si="2096"/>
        <v>1253.0781080761942</v>
      </c>
      <c r="CT232" s="50">
        <f t="shared" si="2096"/>
        <v>1354.5854365781493</v>
      </c>
      <c r="CU232" s="50">
        <f t="shared" si="2096"/>
        <v>1423.5316543044501</v>
      </c>
      <c r="CV232" s="50">
        <f t="shared" si="2096"/>
        <v>1500.7851548809017</v>
      </c>
      <c r="CW232" s="50">
        <f t="shared" si="2096"/>
        <v>1581.4824944627785</v>
      </c>
      <c r="CX232" s="50">
        <f t="shared" ref="CX232:DB232" si="2097">SUM(CU34:CX34)</f>
        <v>1671.561886818916</v>
      </c>
      <c r="CY232" s="50">
        <f t="shared" si="2097"/>
        <v>1753.5273475186575</v>
      </c>
      <c r="CZ232" s="50">
        <f t="shared" si="2097"/>
        <v>1844.7165021211254</v>
      </c>
      <c r="DA232" s="50">
        <f t="shared" si="2097"/>
        <v>1942.0542289432888</v>
      </c>
      <c r="DB232" s="50">
        <f t="shared" si="2097"/>
        <v>2058.1355932694369</v>
      </c>
      <c r="DE232" s="138"/>
      <c r="DF232" s="66">
        <v>818.36358142545635</v>
      </c>
    </row>
    <row r="233" spans="1:110" s="66" customFormat="1" x14ac:dyDescent="0.2">
      <c r="A233" s="66" t="s">
        <v>473</v>
      </c>
      <c r="AB233" s="50"/>
      <c r="AC233" s="50"/>
      <c r="AD233" s="50"/>
      <c r="AE233" s="50"/>
      <c r="AL233" s="66">
        <f t="shared" ref="AL233:BQ233" si="2098">SUM(AI47:AL47)</f>
        <v>0</v>
      </c>
      <c r="AM233" s="66">
        <f t="shared" si="2098"/>
        <v>0</v>
      </c>
      <c r="AN233" s="66">
        <f t="shared" si="2098"/>
        <v>0</v>
      </c>
      <c r="AO233" s="66">
        <f t="shared" si="2098"/>
        <v>0</v>
      </c>
      <c r="AP233" s="66">
        <f t="shared" si="2098"/>
        <v>0</v>
      </c>
      <c r="AQ233" s="66">
        <f t="shared" si="2098"/>
        <v>0</v>
      </c>
      <c r="AR233" s="66">
        <f t="shared" si="2098"/>
        <v>0</v>
      </c>
      <c r="AS233" s="66">
        <f t="shared" si="2098"/>
        <v>0</v>
      </c>
      <c r="AT233" s="66">
        <f t="shared" si="2098"/>
        <v>0</v>
      </c>
      <c r="AU233" s="66">
        <f t="shared" si="2098"/>
        <v>0</v>
      </c>
      <c r="AV233" s="66">
        <f t="shared" si="2098"/>
        <v>0</v>
      </c>
      <c r="AW233" s="66">
        <f t="shared" si="2098"/>
        <v>0</v>
      </c>
      <c r="AX233" s="66">
        <f t="shared" si="2098"/>
        <v>0</v>
      </c>
      <c r="AY233" s="66">
        <f t="shared" si="2098"/>
        <v>0</v>
      </c>
      <c r="AZ233" s="66">
        <f t="shared" si="2098"/>
        <v>0</v>
      </c>
      <c r="BA233" s="66">
        <f t="shared" si="2098"/>
        <v>0</v>
      </c>
      <c r="BB233" s="66">
        <f t="shared" si="2098"/>
        <v>0</v>
      </c>
      <c r="BC233" s="66">
        <f t="shared" si="2098"/>
        <v>0</v>
      </c>
      <c r="BD233" s="66">
        <f t="shared" si="2098"/>
        <v>0</v>
      </c>
      <c r="BE233" s="66">
        <f t="shared" si="2098"/>
        <v>0</v>
      </c>
      <c r="BF233" s="66">
        <f t="shared" si="2098"/>
        <v>0</v>
      </c>
      <c r="BG233" s="66">
        <f t="shared" si="2098"/>
        <v>0</v>
      </c>
      <c r="BH233" s="66">
        <f t="shared" si="2098"/>
        <v>0</v>
      </c>
      <c r="BI233" s="66">
        <f t="shared" si="2098"/>
        <v>0</v>
      </c>
      <c r="BJ233" s="66">
        <f t="shared" si="2098"/>
        <v>0</v>
      </c>
      <c r="BK233" s="66">
        <f t="shared" si="2098"/>
        <v>0</v>
      </c>
      <c r="BL233" s="66">
        <f t="shared" si="2098"/>
        <v>0</v>
      </c>
      <c r="BM233" s="66">
        <f t="shared" si="2098"/>
        <v>0</v>
      </c>
      <c r="BN233" s="66">
        <f t="shared" si="2098"/>
        <v>0</v>
      </c>
      <c r="BO233" s="66">
        <f t="shared" si="2098"/>
        <v>0</v>
      </c>
      <c r="BP233" s="66">
        <f t="shared" si="2098"/>
        <v>0</v>
      </c>
      <c r="BQ233" s="66">
        <f t="shared" si="2098"/>
        <v>0</v>
      </c>
      <c r="BR233" s="66">
        <f t="shared" ref="BR233:CW233" si="2099">SUM(BO47:BR47)</f>
        <v>0</v>
      </c>
      <c r="BS233" s="66">
        <f t="shared" si="2099"/>
        <v>0</v>
      </c>
      <c r="BT233" s="66">
        <f t="shared" si="2099"/>
        <v>0</v>
      </c>
      <c r="BU233" s="66">
        <f t="shared" si="2099"/>
        <v>0</v>
      </c>
      <c r="BV233" s="66">
        <f t="shared" si="2099"/>
        <v>0</v>
      </c>
      <c r="BW233" s="66">
        <f t="shared" si="2099"/>
        <v>0</v>
      </c>
      <c r="BX233" s="66">
        <f t="shared" si="2099"/>
        <v>0</v>
      </c>
      <c r="BY233" s="66">
        <f t="shared" si="2099"/>
        <v>148.38000000000011</v>
      </c>
      <c r="BZ233" s="66">
        <f t="shared" si="2099"/>
        <v>364.94000000000028</v>
      </c>
      <c r="CA233" s="66">
        <f t="shared" si="2099"/>
        <v>556.47</v>
      </c>
      <c r="CB233" s="66">
        <f t="shared" si="2099"/>
        <v>716.85000000000014</v>
      </c>
      <c r="CC233" s="66">
        <f t="shared" si="2099"/>
        <v>738.69</v>
      </c>
      <c r="CD233" s="66">
        <f t="shared" si="2099"/>
        <v>679.36999999999966</v>
      </c>
      <c r="CE233" s="66">
        <f t="shared" si="2099"/>
        <v>649.86999999999978</v>
      </c>
      <c r="CF233" s="66">
        <f t="shared" si="2099"/>
        <v>646.89999999999964</v>
      </c>
      <c r="CG233" s="66">
        <f t="shared" si="2099"/>
        <v>644.81999999999994</v>
      </c>
      <c r="CH233" s="66">
        <f t="shared" si="2099"/>
        <v>672.89000000000021</v>
      </c>
      <c r="CI233" s="66">
        <f t="shared" si="2099"/>
        <v>676.34000000000015</v>
      </c>
      <c r="CJ233" s="66">
        <f t="shared" si="2099"/>
        <v>679.12000000000012</v>
      </c>
      <c r="CK233" s="50">
        <f t="shared" si="2099"/>
        <v>674.21000000000015</v>
      </c>
      <c r="CL233" s="66">
        <f t="shared" si="2099"/>
        <v>630.30000000000007</v>
      </c>
      <c r="CM233" s="50">
        <f t="shared" si="2099"/>
        <v>488.81516980802229</v>
      </c>
      <c r="CN233" s="50">
        <f t="shared" si="2099"/>
        <v>423.2156277804259</v>
      </c>
      <c r="CO233" s="50">
        <f t="shared" si="2099"/>
        <v>400.86798998936541</v>
      </c>
      <c r="CP233" s="50">
        <f t="shared" si="2099"/>
        <v>455.73404606829888</v>
      </c>
      <c r="CQ233" s="50">
        <f t="shared" si="2099"/>
        <v>617.93332814568168</v>
      </c>
      <c r="CR233" s="50">
        <f t="shared" si="2099"/>
        <v>747.07538200313638</v>
      </c>
      <c r="CS233" s="50">
        <f t="shared" si="2099"/>
        <v>856.86576644610159</v>
      </c>
      <c r="CT233" s="50">
        <f t="shared" si="2099"/>
        <v>970.7188357958612</v>
      </c>
      <c r="CU233" s="50">
        <f t="shared" si="2099"/>
        <v>1046.4649042267656</v>
      </c>
      <c r="CV233" s="50">
        <f t="shared" si="2099"/>
        <v>1132.4496950288017</v>
      </c>
      <c r="CW233" s="50">
        <f t="shared" si="2099"/>
        <v>1223.5904753818174</v>
      </c>
      <c r="CX233" s="50">
        <f t="shared" ref="CX233:DB233" si="2100">SUM(CU47:CX47)</f>
        <v>1325.0140717508398</v>
      </c>
      <c r="CY233" s="50">
        <f t="shared" si="2100"/>
        <v>1420.3742047390756</v>
      </c>
      <c r="CZ233" s="50">
        <f t="shared" si="2100"/>
        <v>1515.6272511071807</v>
      </c>
      <c r="DA233" s="50">
        <f t="shared" si="2100"/>
        <v>1611.0913274338609</v>
      </c>
      <c r="DB233" s="50">
        <f t="shared" si="2100"/>
        <v>1718.3333307760909</v>
      </c>
      <c r="DE233" s="138"/>
      <c r="DF233" s="66">
        <v>647.59146548062904</v>
      </c>
    </row>
    <row r="234" spans="1:110" s="93" customFormat="1" x14ac:dyDescent="0.2">
      <c r="AB234" s="30"/>
      <c r="AC234" s="30"/>
      <c r="AD234" s="30"/>
      <c r="AE234" s="30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x14ac:dyDescent="0.2">
      <c r="AB235" s="63"/>
      <c r="AC235" s="63"/>
      <c r="AD235" s="63"/>
      <c r="AE235" s="63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236" s="61" t="s">
        <v>339</v>
      </c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474</v>
      </c>
      <c r="B237" s="64">
        <f t="shared" ref="B237:Z237" si="2101">B14-B243</f>
        <v>0</v>
      </c>
      <c r="C237" s="64">
        <f t="shared" si="2101"/>
        <v>0</v>
      </c>
      <c r="D237" s="64">
        <f t="shared" si="2101"/>
        <v>0</v>
      </c>
      <c r="E237" s="64">
        <f t="shared" si="2101"/>
        <v>135.0073275</v>
      </c>
      <c r="F237" s="64">
        <f t="shared" si="2101"/>
        <v>178.75420879999999</v>
      </c>
      <c r="G237" s="64">
        <f t="shared" si="2101"/>
        <v>536.55330000000004</v>
      </c>
      <c r="H237" s="64">
        <f t="shared" si="2101"/>
        <v>929.78840000000002</v>
      </c>
      <c r="I237" s="64">
        <f t="shared" si="2101"/>
        <v>1084.0029999999999</v>
      </c>
      <c r="J237" s="64">
        <f t="shared" si="2101"/>
        <v>1202.4367</v>
      </c>
      <c r="K237" s="64">
        <f t="shared" si="2101"/>
        <v>1070.3864000000001</v>
      </c>
      <c r="L237" s="64">
        <f t="shared" si="2101"/>
        <v>1249.3227999999999</v>
      </c>
      <c r="M237" s="64">
        <f t="shared" si="2101"/>
        <v>1642.61</v>
      </c>
      <c r="N237" s="64">
        <f t="shared" si="2101"/>
        <v>1995</v>
      </c>
      <c r="O237" s="64">
        <f t="shared" si="2101"/>
        <v>2344.4499999999998</v>
      </c>
      <c r="P237" s="64">
        <f t="shared" si="2101"/>
        <v>2594.1999999999998</v>
      </c>
      <c r="Q237" s="64">
        <f t="shared" si="2101"/>
        <v>2683.38</v>
      </c>
      <c r="R237" s="64">
        <f t="shared" si="2101"/>
        <v>2801.95</v>
      </c>
      <c r="S237" s="64">
        <f t="shared" si="2101"/>
        <v>2691.48</v>
      </c>
      <c r="T237" s="64">
        <f t="shared" si="2101"/>
        <v>2942.21</v>
      </c>
      <c r="U237" s="64">
        <f t="shared" si="2101"/>
        <v>2852.0549999999998</v>
      </c>
      <c r="V237" s="64">
        <f t="shared" si="2101"/>
        <v>2380.9110000000001</v>
      </c>
      <c r="W237" s="64">
        <f t="shared" si="2101"/>
        <v>3529.58</v>
      </c>
      <c r="X237" s="64">
        <f t="shared" si="2101"/>
        <v>4414.18</v>
      </c>
      <c r="Y237" s="64">
        <f t="shared" si="2101"/>
        <v>5117.2</v>
      </c>
      <c r="Z237" s="64">
        <f t="shared" si="2101"/>
        <v>5168.45</v>
      </c>
      <c r="AA237" s="64">
        <f t="shared" ref="AA237" si="2102">AA14-AA243</f>
        <v>5505.57</v>
      </c>
      <c r="AB237" s="30"/>
      <c r="AC237" s="30"/>
      <c r="AD237" s="30"/>
      <c r="AE237" s="30"/>
      <c r="AI237" s="64">
        <f t="shared" ref="AI237:BN237" si="2103">AI14-AI243</f>
        <v>0</v>
      </c>
      <c r="AJ237" s="64">
        <f t="shared" si="2103"/>
        <v>0</v>
      </c>
      <c r="AK237" s="64">
        <f t="shared" si="2103"/>
        <v>0</v>
      </c>
      <c r="AL237" s="64">
        <f t="shared" si="2103"/>
        <v>0</v>
      </c>
      <c r="AM237" s="64">
        <f t="shared" si="2103"/>
        <v>0</v>
      </c>
      <c r="AN237" s="64">
        <f t="shared" si="2103"/>
        <v>0</v>
      </c>
      <c r="AO237" s="64">
        <f t="shared" si="2103"/>
        <v>0</v>
      </c>
      <c r="AP237" s="64">
        <f t="shared" si="2103"/>
        <v>0</v>
      </c>
      <c r="AQ237" s="64">
        <f t="shared" si="2103"/>
        <v>0</v>
      </c>
      <c r="AR237" s="64">
        <f t="shared" si="2103"/>
        <v>0</v>
      </c>
      <c r="AS237" s="64">
        <f t="shared" si="2103"/>
        <v>0</v>
      </c>
      <c r="AT237" s="64">
        <f t="shared" si="2103"/>
        <v>0</v>
      </c>
      <c r="AU237" s="64">
        <f t="shared" si="2103"/>
        <v>0</v>
      </c>
      <c r="AV237" s="64">
        <f t="shared" si="2103"/>
        <v>0</v>
      </c>
      <c r="AW237" s="64">
        <f t="shared" si="2103"/>
        <v>0</v>
      </c>
      <c r="AX237" s="64">
        <f t="shared" si="2103"/>
        <v>0</v>
      </c>
      <c r="AY237" s="64">
        <f t="shared" si="2103"/>
        <v>0</v>
      </c>
      <c r="AZ237" s="64">
        <f t="shared" si="2103"/>
        <v>0</v>
      </c>
      <c r="BA237" s="64">
        <f t="shared" si="2103"/>
        <v>0</v>
      </c>
      <c r="BB237" s="64">
        <f t="shared" si="2103"/>
        <v>0</v>
      </c>
      <c r="BC237" s="64">
        <f t="shared" si="2103"/>
        <v>0</v>
      </c>
      <c r="BD237" s="64">
        <f t="shared" si="2103"/>
        <v>0</v>
      </c>
      <c r="BE237" s="64">
        <f t="shared" si="2103"/>
        <v>0</v>
      </c>
      <c r="BF237" s="64">
        <f t="shared" si="2103"/>
        <v>0</v>
      </c>
      <c r="BG237" s="64">
        <f t="shared" si="2103"/>
        <v>0</v>
      </c>
      <c r="BH237" s="64">
        <f t="shared" si="2103"/>
        <v>0</v>
      </c>
      <c r="BI237" s="64">
        <f t="shared" si="2103"/>
        <v>0</v>
      </c>
      <c r="BJ237" s="64">
        <f t="shared" si="2103"/>
        <v>0</v>
      </c>
      <c r="BK237" s="64">
        <f t="shared" si="2103"/>
        <v>0</v>
      </c>
      <c r="BL237" s="64">
        <f t="shared" si="2103"/>
        <v>0</v>
      </c>
      <c r="BM237" s="64">
        <f t="shared" si="2103"/>
        <v>0</v>
      </c>
      <c r="BN237" s="64">
        <f t="shared" si="2103"/>
        <v>0</v>
      </c>
      <c r="BO237" s="64">
        <f t="shared" ref="BO237:CT237" si="2104">BO14-BO243</f>
        <v>0</v>
      </c>
      <c r="BP237" s="64">
        <f t="shared" si="2104"/>
        <v>0</v>
      </c>
      <c r="BQ237" s="64">
        <f t="shared" si="2104"/>
        <v>0</v>
      </c>
      <c r="BR237" s="64">
        <f t="shared" si="2104"/>
        <v>0</v>
      </c>
      <c r="BS237" s="64">
        <f t="shared" si="2104"/>
        <v>0</v>
      </c>
      <c r="BT237" s="64">
        <f t="shared" si="2104"/>
        <v>0</v>
      </c>
      <c r="BU237" s="64">
        <f t="shared" si="2104"/>
        <v>0</v>
      </c>
      <c r="BV237" s="64">
        <f t="shared" si="2104"/>
        <v>0</v>
      </c>
      <c r="BW237" s="64">
        <f t="shared" si="2104"/>
        <v>0</v>
      </c>
      <c r="BX237" s="64">
        <f t="shared" si="2104"/>
        <v>0</v>
      </c>
      <c r="BY237" s="64">
        <f t="shared" si="2104"/>
        <v>1123.8900000000001</v>
      </c>
      <c r="BZ237" s="64">
        <f t="shared" si="2104"/>
        <v>1402.39</v>
      </c>
      <c r="CA237" s="64">
        <f t="shared" si="2104"/>
        <v>1257.53</v>
      </c>
      <c r="CB237" s="64">
        <f t="shared" si="2104"/>
        <v>1269.17</v>
      </c>
      <c r="CC237" s="64">
        <f t="shared" si="2104"/>
        <v>1289.45</v>
      </c>
      <c r="CD237" s="64">
        <f t="shared" si="2104"/>
        <v>1301.05</v>
      </c>
      <c r="CE237" s="64">
        <f t="shared" si="2104"/>
        <v>1268.97</v>
      </c>
      <c r="CF237" s="64">
        <f t="shared" si="2104"/>
        <v>1296.45</v>
      </c>
      <c r="CG237" s="64">
        <f t="shared" si="2104"/>
        <v>1317.38</v>
      </c>
      <c r="CH237" s="64">
        <f t="shared" si="2104"/>
        <v>1285.6500000000001</v>
      </c>
      <c r="CI237" s="64">
        <f t="shared" si="2104"/>
        <v>1244.29</v>
      </c>
      <c r="CJ237" s="64">
        <f t="shared" si="2104"/>
        <v>1323.33</v>
      </c>
      <c r="CK237" s="30">
        <f t="shared" si="2104"/>
        <v>1365.73</v>
      </c>
      <c r="CL237" s="64">
        <f t="shared" ref="CL237" si="2105">CL14-CL243</f>
        <v>1572.22</v>
      </c>
      <c r="CM237" s="30">
        <f t="shared" si="2104"/>
        <v>1375.2158284995132</v>
      </c>
      <c r="CN237" s="30">
        <f t="shared" si="2104"/>
        <v>1503.8174612185232</v>
      </c>
      <c r="CO237" s="30">
        <f t="shared" si="2104"/>
        <v>1591.4888308068805</v>
      </c>
      <c r="CP237" s="30">
        <f t="shared" si="2104"/>
        <v>1882.659465642131</v>
      </c>
      <c r="CQ237" s="30">
        <f t="shared" si="2104"/>
        <v>1638.007812136123</v>
      </c>
      <c r="CR237" s="30">
        <f t="shared" si="2104"/>
        <v>1823.4673687569004</v>
      </c>
      <c r="CS237" s="30">
        <f t="shared" si="2104"/>
        <v>1960.0800523224884</v>
      </c>
      <c r="CT237" s="30">
        <f t="shared" si="2104"/>
        <v>2349.8907777160857</v>
      </c>
      <c r="CU237" s="30">
        <f t="shared" ref="CU237:DB237" si="2106">CU14-CU243</f>
        <v>1999.7733704462962</v>
      </c>
      <c r="CV237" s="30">
        <f t="shared" si="2106"/>
        <v>2239.7621228848702</v>
      </c>
      <c r="CW237" s="30">
        <f t="shared" si="2106"/>
        <v>2415.2759182439163</v>
      </c>
      <c r="CX237" s="30">
        <f t="shared" si="2106"/>
        <v>2895.9848357858837</v>
      </c>
      <c r="CY237" s="30">
        <f t="shared" si="2106"/>
        <v>2456.6116154898909</v>
      </c>
      <c r="CZ237" s="30">
        <f t="shared" si="2106"/>
        <v>2755.6734113146604</v>
      </c>
      <c r="DA237" s="30">
        <f t="shared" si="2106"/>
        <v>2972.8493466804539</v>
      </c>
      <c r="DB237" s="30">
        <f t="shared" si="2106"/>
        <v>3563.531894132218</v>
      </c>
      <c r="DE237" s="139"/>
      <c r="DF237" s="64">
        <v>1358.3373529217174</v>
      </c>
    </row>
    <row r="238" spans="1:110" s="64" customFormat="1" hidden="1" outlineLevel="1" x14ac:dyDescent="0.2">
      <c r="A238" s="64" t="s">
        <v>475</v>
      </c>
      <c r="B238" s="64">
        <f t="shared" ref="B238:Z238" si="2107">B34-B244</f>
        <v>0</v>
      </c>
      <c r="C238" s="64">
        <f t="shared" si="2107"/>
        <v>0</v>
      </c>
      <c r="D238" s="64">
        <f t="shared" si="2107"/>
        <v>0</v>
      </c>
      <c r="E238" s="64">
        <f t="shared" si="2107"/>
        <v>14.420459000000008</v>
      </c>
      <c r="F238" s="64">
        <f t="shared" si="2107"/>
        <v>18.693029599999988</v>
      </c>
      <c r="G238" s="64">
        <f t="shared" si="2107"/>
        <v>35.277700000000152</v>
      </c>
      <c r="H238" s="64">
        <f t="shared" si="2107"/>
        <v>25.557700000000068</v>
      </c>
      <c r="I238" s="64">
        <f t="shared" si="2107"/>
        <v>60.22930000000008</v>
      </c>
      <c r="J238" s="64">
        <f t="shared" si="2107"/>
        <v>81.142300000000091</v>
      </c>
      <c r="K238" s="64">
        <f t="shared" si="2107"/>
        <v>126.38949999999977</v>
      </c>
      <c r="L238" s="64">
        <f t="shared" si="2107"/>
        <v>187.42610000000002</v>
      </c>
      <c r="M238" s="64">
        <f t="shared" si="2107"/>
        <v>280.91000000000008</v>
      </c>
      <c r="N238" s="64">
        <f t="shared" si="2107"/>
        <v>382.72</v>
      </c>
      <c r="O238" s="64">
        <f t="shared" si="2107"/>
        <v>343.05999999999995</v>
      </c>
      <c r="P238" s="64">
        <f t="shared" si="2107"/>
        <v>439.9399999999996</v>
      </c>
      <c r="Q238" s="64">
        <f t="shared" si="2107"/>
        <v>499.73</v>
      </c>
      <c r="R238" s="64">
        <f t="shared" si="2107"/>
        <v>489.68999999999983</v>
      </c>
      <c r="S238" s="64">
        <f t="shared" si="2107"/>
        <v>332.71000000000004</v>
      </c>
      <c r="T238" s="64">
        <f t="shared" si="2107"/>
        <v>502.8700000000008</v>
      </c>
      <c r="U238" s="64">
        <f t="shared" si="2107"/>
        <v>470.45899999999961</v>
      </c>
      <c r="V238" s="64">
        <f t="shared" si="2107"/>
        <v>378.69800000000009</v>
      </c>
      <c r="W238" s="64">
        <f t="shared" si="2107"/>
        <v>638.48000000000047</v>
      </c>
      <c r="X238" s="64">
        <f t="shared" si="2107"/>
        <v>806.7199999999998</v>
      </c>
      <c r="Y238" s="64">
        <f t="shared" si="2107"/>
        <v>941.25000000000045</v>
      </c>
      <c r="Z238" s="64">
        <f t="shared" si="2107"/>
        <v>931.76000000000022</v>
      </c>
      <c r="AA238" s="64">
        <f t="shared" ref="AA238" si="2108">AA34-AA244</f>
        <v>838.3199999999988</v>
      </c>
      <c r="AB238" s="30"/>
      <c r="AC238" s="30"/>
      <c r="AD238" s="30"/>
      <c r="AE238" s="30"/>
      <c r="AI238" s="64">
        <f t="shared" ref="AI238:BN238" si="2109">AI34-AI244</f>
        <v>0</v>
      </c>
      <c r="AJ238" s="64">
        <f t="shared" si="2109"/>
        <v>0</v>
      </c>
      <c r="AK238" s="64">
        <f t="shared" si="2109"/>
        <v>0</v>
      </c>
      <c r="AL238" s="64">
        <f t="shared" si="2109"/>
        <v>0</v>
      </c>
      <c r="AM238" s="64">
        <f t="shared" si="2109"/>
        <v>0</v>
      </c>
      <c r="AN238" s="64">
        <f t="shared" si="2109"/>
        <v>0</v>
      </c>
      <c r="AO238" s="64">
        <f t="shared" si="2109"/>
        <v>0</v>
      </c>
      <c r="AP238" s="64">
        <f t="shared" si="2109"/>
        <v>0</v>
      </c>
      <c r="AQ238" s="64">
        <f t="shared" si="2109"/>
        <v>0</v>
      </c>
      <c r="AR238" s="64">
        <f t="shared" si="2109"/>
        <v>0</v>
      </c>
      <c r="AS238" s="64">
        <f t="shared" si="2109"/>
        <v>0</v>
      </c>
      <c r="AT238" s="64">
        <f t="shared" si="2109"/>
        <v>0</v>
      </c>
      <c r="AU238" s="64">
        <f t="shared" si="2109"/>
        <v>0</v>
      </c>
      <c r="AV238" s="64">
        <f t="shared" si="2109"/>
        <v>0</v>
      </c>
      <c r="AW238" s="64">
        <f t="shared" si="2109"/>
        <v>0</v>
      </c>
      <c r="AX238" s="64">
        <f t="shared" si="2109"/>
        <v>0</v>
      </c>
      <c r="AY238" s="64">
        <f t="shared" si="2109"/>
        <v>0</v>
      </c>
      <c r="AZ238" s="64">
        <f t="shared" si="2109"/>
        <v>0</v>
      </c>
      <c r="BA238" s="64">
        <f t="shared" si="2109"/>
        <v>0</v>
      </c>
      <c r="BB238" s="64">
        <f t="shared" si="2109"/>
        <v>0</v>
      </c>
      <c r="BC238" s="64">
        <f t="shared" si="2109"/>
        <v>0</v>
      </c>
      <c r="BD238" s="64">
        <f t="shared" si="2109"/>
        <v>0</v>
      </c>
      <c r="BE238" s="64">
        <f t="shared" si="2109"/>
        <v>0</v>
      </c>
      <c r="BF238" s="64">
        <f t="shared" si="2109"/>
        <v>0</v>
      </c>
      <c r="BG238" s="64">
        <f t="shared" si="2109"/>
        <v>0</v>
      </c>
      <c r="BH238" s="64">
        <f t="shared" si="2109"/>
        <v>0</v>
      </c>
      <c r="BI238" s="64">
        <f t="shared" si="2109"/>
        <v>0</v>
      </c>
      <c r="BJ238" s="64">
        <f t="shared" si="2109"/>
        <v>0</v>
      </c>
      <c r="BK238" s="64">
        <f t="shared" si="2109"/>
        <v>0</v>
      </c>
      <c r="BL238" s="64">
        <f t="shared" si="2109"/>
        <v>0</v>
      </c>
      <c r="BM238" s="64">
        <f t="shared" si="2109"/>
        <v>0</v>
      </c>
      <c r="BN238" s="64">
        <f t="shared" si="2109"/>
        <v>0</v>
      </c>
      <c r="BO238" s="64">
        <f t="shared" ref="BO238:CT238" si="2110">BO34-BO244</f>
        <v>0</v>
      </c>
      <c r="BP238" s="64">
        <f t="shared" si="2110"/>
        <v>0</v>
      </c>
      <c r="BQ238" s="64">
        <f t="shared" si="2110"/>
        <v>0</v>
      </c>
      <c r="BR238" s="64">
        <f t="shared" si="2110"/>
        <v>0</v>
      </c>
      <c r="BS238" s="64">
        <f t="shared" si="2110"/>
        <v>0</v>
      </c>
      <c r="BT238" s="64">
        <f t="shared" si="2110"/>
        <v>0</v>
      </c>
      <c r="BU238" s="64">
        <f t="shared" si="2110"/>
        <v>0</v>
      </c>
      <c r="BV238" s="64">
        <f t="shared" si="2110"/>
        <v>0</v>
      </c>
      <c r="BW238" s="64">
        <f t="shared" si="2110"/>
        <v>0</v>
      </c>
      <c r="BX238" s="64">
        <f t="shared" si="2110"/>
        <v>0</v>
      </c>
      <c r="BY238" s="64">
        <f t="shared" si="2110"/>
        <v>205.75000000000011</v>
      </c>
      <c r="BZ238" s="64">
        <f t="shared" si="2110"/>
        <v>242.6600000000002</v>
      </c>
      <c r="CA238" s="64">
        <f t="shared" si="2110"/>
        <v>250.45999999999981</v>
      </c>
      <c r="CB238" s="64">
        <f t="shared" si="2110"/>
        <v>214.29000000000019</v>
      </c>
      <c r="CC238" s="64">
        <f t="shared" si="2110"/>
        <v>236.55999999999983</v>
      </c>
      <c r="CD238" s="64">
        <f t="shared" si="2110"/>
        <v>239.96999999999991</v>
      </c>
      <c r="CE238" s="64">
        <f t="shared" si="2110"/>
        <v>231.07999999999993</v>
      </c>
      <c r="CF238" s="64">
        <f t="shared" si="2110"/>
        <v>235.53999999999996</v>
      </c>
      <c r="CG238" s="64">
        <f t="shared" si="2110"/>
        <v>234.0200000000001</v>
      </c>
      <c r="CH238" s="64">
        <f t="shared" si="2110"/>
        <v>233.4100000000002</v>
      </c>
      <c r="CI238" s="64">
        <f t="shared" si="2110"/>
        <v>200.13999999999987</v>
      </c>
      <c r="CJ238" s="64">
        <f t="shared" si="2110"/>
        <v>207.81999999999994</v>
      </c>
      <c r="CK238" s="30">
        <f t="shared" si="2110"/>
        <v>192.85000000000014</v>
      </c>
      <c r="CL238" s="64">
        <f t="shared" ref="CL238" si="2111">CL34-CL244</f>
        <v>252.1400000000001</v>
      </c>
      <c r="CM238" s="30">
        <f t="shared" si="2110"/>
        <v>222.17944375928562</v>
      </c>
      <c r="CN238" s="30">
        <f t="shared" si="2110"/>
        <v>243.22055015176795</v>
      </c>
      <c r="CO238" s="30">
        <f t="shared" si="2110"/>
        <v>259.27905209872756</v>
      </c>
      <c r="CP238" s="30">
        <f t="shared" si="2110"/>
        <v>316.82299968511916</v>
      </c>
      <c r="CQ238" s="30">
        <f t="shared" si="2110"/>
        <v>278.84957302357816</v>
      </c>
      <c r="CR238" s="30">
        <f t="shared" si="2110"/>
        <v>314.34146470372934</v>
      </c>
      <c r="CS238" s="30">
        <f t="shared" si="2110"/>
        <v>343.06407066376755</v>
      </c>
      <c r="CT238" s="30">
        <f t="shared" si="2110"/>
        <v>418.3303281870742</v>
      </c>
      <c r="CU238" s="30">
        <f t="shared" ref="CU238:DB238" si="2112">CU34-CU244</f>
        <v>347.79579074987896</v>
      </c>
      <c r="CV238" s="30">
        <f t="shared" si="2112"/>
        <v>391.59496528018099</v>
      </c>
      <c r="CW238" s="30">
        <f t="shared" si="2112"/>
        <v>423.76141024564436</v>
      </c>
      <c r="CX238" s="30">
        <f t="shared" si="2112"/>
        <v>508.40972054321173</v>
      </c>
      <c r="CY238" s="30">
        <f t="shared" si="2112"/>
        <v>429.76125144962043</v>
      </c>
      <c r="CZ238" s="30">
        <f t="shared" si="2112"/>
        <v>482.78411988264884</v>
      </c>
      <c r="DA238" s="30">
        <f t="shared" si="2112"/>
        <v>521.09913706780776</v>
      </c>
      <c r="DB238" s="30">
        <f t="shared" si="2112"/>
        <v>624.49108486935984</v>
      </c>
      <c r="DE238" s="139"/>
      <c r="DF238" s="64">
        <v>217.5535814254564</v>
      </c>
    </row>
    <row r="239" spans="1:110" s="89" customFormat="1" hidden="1" outlineLevel="1" x14ac:dyDescent="0.2">
      <c r="A239" s="86" t="s">
        <v>476</v>
      </c>
      <c r="B239" s="86" t="e">
        <f>+B238/B237</f>
        <v>#DIV/0!</v>
      </c>
      <c r="C239" s="86" t="e">
        <f t="shared" ref="C239" si="2113">+C238/C237</f>
        <v>#DIV/0!</v>
      </c>
      <c r="D239" s="86" t="e">
        <f t="shared" ref="D239" si="2114">+D238/D237</f>
        <v>#DIV/0!</v>
      </c>
      <c r="E239" s="86">
        <f t="shared" ref="E239" si="2115">+E238/E237</f>
        <v>0.10681241727416615</v>
      </c>
      <c r="F239" s="86">
        <f t="shared" ref="F239" si="2116">+F238/F237</f>
        <v>0.10457392710073067</v>
      </c>
      <c r="G239" s="86">
        <f t="shared" ref="G239" si="2117">+G238/G237</f>
        <v>6.5748733630004982E-2</v>
      </c>
      <c r="H239" s="86">
        <f t="shared" ref="H239" si="2118">+H238/H237</f>
        <v>2.7487652029214462E-2</v>
      </c>
      <c r="I239" s="86">
        <f t="shared" ref="I239" si="2119">+I238/I237</f>
        <v>5.5561931101666767E-2</v>
      </c>
      <c r="J239" s="86">
        <f t="shared" ref="J239" si="2120">+J238/J237</f>
        <v>6.7481556409580729E-2</v>
      </c>
      <c r="K239" s="86">
        <f t="shared" ref="K239" si="2121">+K238/K237</f>
        <v>0.11807838739356158</v>
      </c>
      <c r="L239" s="86">
        <f t="shared" ref="L239" si="2122">+L238/L237</f>
        <v>0.15002215600323635</v>
      </c>
      <c r="M239" s="86">
        <f t="shared" ref="M239" si="2123">+M238/M237</f>
        <v>0.171014422169596</v>
      </c>
      <c r="N239" s="86">
        <f t="shared" ref="N239" si="2124">+N238/N237</f>
        <v>0.19183959899749375</v>
      </c>
      <c r="O239" s="86">
        <f t="shared" ref="O239" si="2125">+O238/O237</f>
        <v>0.14632856320245685</v>
      </c>
      <c r="P239" s="86">
        <f t="shared" ref="P239" si="2126">+P238/P237</f>
        <v>0.1695859995374295</v>
      </c>
      <c r="Q239" s="86">
        <f t="shared" ref="Q239" si="2127">+Q238/Q237</f>
        <v>0.18623154379923829</v>
      </c>
      <c r="R239" s="86">
        <f t="shared" ref="R239" si="2128">+R238/R237</f>
        <v>0.17476757258337938</v>
      </c>
      <c r="S239" s="86">
        <f t="shared" ref="S239" si="2129">+S238/S237</f>
        <v>0.12361600309123606</v>
      </c>
      <c r="T239" s="86">
        <f t="shared" ref="T239" si="2130">+T238/T237</f>
        <v>0.17091574020889086</v>
      </c>
      <c r="U239" s="86">
        <f t="shared" ref="U239" si="2131">+U238/U237</f>
        <v>0.16495439253450569</v>
      </c>
      <c r="V239" s="86">
        <f t="shared" ref="V239" si="2132">+V238/V237</f>
        <v>0.15905592439196597</v>
      </c>
      <c r="W239" s="86">
        <f t="shared" ref="W239" si="2133">+W238/W237</f>
        <v>0.18089404405056705</v>
      </c>
      <c r="X239" s="86">
        <f t="shared" ref="X239:Y239" si="2134">+X238/X237</f>
        <v>0.18275648025227784</v>
      </c>
      <c r="Y239" s="86">
        <f t="shared" si="2134"/>
        <v>0.18393848198233417</v>
      </c>
      <c r="Z239" s="86">
        <f t="shared" ref="Z239:AA239" si="2135">+Z238/Z237</f>
        <v>0.18027842002921576</v>
      </c>
      <c r="AA239" s="86">
        <f t="shared" si="2135"/>
        <v>0.15226761261776689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36">+AI238/AI237</f>
        <v>#DIV/0!</v>
      </c>
      <c r="AJ239" s="86" t="e">
        <f t="shared" ref="AJ239" si="2137">+AJ238/AJ237</f>
        <v>#DIV/0!</v>
      </c>
      <c r="AK239" s="86" t="e">
        <f t="shared" ref="AK239" si="2138">+AK238/AK237</f>
        <v>#DIV/0!</v>
      </c>
      <c r="AL239" s="86" t="e">
        <f t="shared" ref="AL239" si="2139">+AL238/AL237</f>
        <v>#DIV/0!</v>
      </c>
      <c r="AM239" s="86" t="e">
        <f t="shared" ref="AM239" si="2140">+AM238/AM237</f>
        <v>#DIV/0!</v>
      </c>
      <c r="AN239" s="86" t="e">
        <f t="shared" ref="AN239" si="2141">+AN238/AN237</f>
        <v>#DIV/0!</v>
      </c>
      <c r="AO239" s="86" t="e">
        <f t="shared" ref="AO239" si="2142">+AO238/AO237</f>
        <v>#DIV/0!</v>
      </c>
      <c r="AP239" s="86" t="e">
        <f t="shared" ref="AP239" si="2143">+AP238/AP237</f>
        <v>#DIV/0!</v>
      </c>
      <c r="AQ239" s="86" t="e">
        <f t="shared" ref="AQ239" si="2144">+AQ238/AQ237</f>
        <v>#DIV/0!</v>
      </c>
      <c r="AR239" s="86" t="e">
        <f t="shared" ref="AR239" si="2145">+AR238/AR237</f>
        <v>#DIV/0!</v>
      </c>
      <c r="AS239" s="86" t="e">
        <f t="shared" ref="AS239" si="2146">+AS238/AS237</f>
        <v>#DIV/0!</v>
      </c>
      <c r="AT239" s="86" t="e">
        <f t="shared" ref="AT239" si="2147">+AT238/AT237</f>
        <v>#DIV/0!</v>
      </c>
      <c r="AU239" s="86" t="e">
        <f t="shared" ref="AU239" si="2148">+AU238/AU237</f>
        <v>#DIV/0!</v>
      </c>
      <c r="AV239" s="86" t="e">
        <f t="shared" ref="AV239" si="2149">+AV238/AV237</f>
        <v>#DIV/0!</v>
      </c>
      <c r="AW239" s="86" t="e">
        <f t="shared" ref="AW239" si="2150">+AW238/AW237</f>
        <v>#DIV/0!</v>
      </c>
      <c r="AX239" s="86" t="e">
        <f t="shared" ref="AX239" si="2151">+AX238/AX237</f>
        <v>#DIV/0!</v>
      </c>
      <c r="AY239" s="86" t="e">
        <f t="shared" ref="AY239" si="2152">+AY238/AY237</f>
        <v>#DIV/0!</v>
      </c>
      <c r="AZ239" s="86" t="e">
        <f t="shared" ref="AZ239" si="2153">+AZ238/AZ237</f>
        <v>#DIV/0!</v>
      </c>
      <c r="BA239" s="86" t="e">
        <f t="shared" ref="BA239" si="2154">+BA238/BA237</f>
        <v>#DIV/0!</v>
      </c>
      <c r="BB239" s="86" t="e">
        <f t="shared" ref="BB239" si="2155">+BB238/BB237</f>
        <v>#DIV/0!</v>
      </c>
      <c r="BC239" s="86" t="e">
        <f t="shared" ref="BC239" si="2156">+BC238/BC237</f>
        <v>#DIV/0!</v>
      </c>
      <c r="BD239" s="86" t="e">
        <f t="shared" ref="BD239" si="2157">+BD238/BD237</f>
        <v>#DIV/0!</v>
      </c>
      <c r="BE239" s="86" t="e">
        <f t="shared" ref="BE239" si="2158">+BE238/BE237</f>
        <v>#DIV/0!</v>
      </c>
      <c r="BF239" s="86" t="e">
        <f t="shared" ref="BF239" si="2159">+BF238/BF237</f>
        <v>#DIV/0!</v>
      </c>
      <c r="BG239" s="86" t="e">
        <f t="shared" ref="BG239" si="2160">+BG238/BG237</f>
        <v>#DIV/0!</v>
      </c>
      <c r="BH239" s="86" t="e">
        <f t="shared" ref="BH239" si="2161">+BH238/BH237</f>
        <v>#DIV/0!</v>
      </c>
      <c r="BI239" s="86" t="e">
        <f t="shared" ref="BI239" si="2162">+BI238/BI237</f>
        <v>#DIV/0!</v>
      </c>
      <c r="BJ239" s="86" t="e">
        <f t="shared" ref="BJ239" si="2163">+BJ238/BJ237</f>
        <v>#DIV/0!</v>
      </c>
      <c r="BK239" s="86" t="e">
        <f t="shared" ref="BK239" si="2164">+BK238/BK237</f>
        <v>#DIV/0!</v>
      </c>
      <c r="BL239" s="86" t="e">
        <f t="shared" ref="BL239" si="2165">+BL238/BL237</f>
        <v>#DIV/0!</v>
      </c>
      <c r="BM239" s="86" t="e">
        <f t="shared" ref="BM239" si="2166">+BM238/BM237</f>
        <v>#DIV/0!</v>
      </c>
      <c r="BN239" s="86" t="e">
        <f t="shared" ref="BN239" si="2167">+BN238/BN237</f>
        <v>#DIV/0!</v>
      </c>
      <c r="BO239" s="86" t="e">
        <f t="shared" ref="BO239" si="2168">+BO238/BO237</f>
        <v>#DIV/0!</v>
      </c>
      <c r="BP239" s="86" t="e">
        <f t="shared" ref="BP239" si="2169">+BP238/BP237</f>
        <v>#DIV/0!</v>
      </c>
      <c r="BQ239" s="86" t="e">
        <f t="shared" ref="BQ239" si="2170">+BQ238/BQ237</f>
        <v>#DIV/0!</v>
      </c>
      <c r="BR239" s="86" t="e">
        <f t="shared" ref="BR239" si="2171">+BR238/BR237</f>
        <v>#DIV/0!</v>
      </c>
      <c r="BS239" s="86" t="e">
        <f t="shared" ref="BS239" si="2172">+BS238/BS237</f>
        <v>#DIV/0!</v>
      </c>
      <c r="BT239" s="86" t="e">
        <f t="shared" ref="BT239" si="2173">+BT238/BT237</f>
        <v>#DIV/0!</v>
      </c>
      <c r="BU239" s="86" t="e">
        <f t="shared" ref="BU239" si="2174">+BU238/BU237</f>
        <v>#DIV/0!</v>
      </c>
      <c r="BV239" s="86" t="e">
        <f t="shared" ref="BV239" si="2175">+BV238/BV237</f>
        <v>#DIV/0!</v>
      </c>
      <c r="BW239" s="86" t="e">
        <f t="shared" ref="BW239" si="2176">+BW238/BW237</f>
        <v>#DIV/0!</v>
      </c>
      <c r="BX239" s="86" t="e">
        <f t="shared" ref="BX239" si="2177">+BX238/BX237</f>
        <v>#DIV/0!</v>
      </c>
      <c r="BY239" s="86">
        <f t="shared" ref="BY239" si="2178">+BY238/BY237</f>
        <v>0.18306951747946873</v>
      </c>
      <c r="BZ239" s="86">
        <f t="shared" ref="BZ239" si="2179">+BZ238/BZ237</f>
        <v>0.17303317907286858</v>
      </c>
      <c r="CA239" s="86">
        <f t="shared" ref="CA239" si="2180">+CA238/CA237</f>
        <v>0.19916821069875057</v>
      </c>
      <c r="CB239" s="86">
        <f t="shared" ref="CB239:CC239" si="2181">+CB238/CB237</f>
        <v>0.16884262943498521</v>
      </c>
      <c r="CC239" s="86">
        <f t="shared" si="2181"/>
        <v>0.18345806351545219</v>
      </c>
      <c r="CD239" s="86">
        <f t="shared" ref="CD239" si="2182">+CD238/CD237</f>
        <v>0.18444333423004491</v>
      </c>
      <c r="CE239" s="86">
        <f t="shared" ref="CE239:CF239" si="2183">+CE238/CE237</f>
        <v>0.18210044366691089</v>
      </c>
      <c r="CF239" s="86">
        <f t="shared" si="2183"/>
        <v>0.18168074356897679</v>
      </c>
      <c r="CG239" s="86">
        <f t="shared" ref="CG239:CH239" si="2184">+CG238/CG237</f>
        <v>0.17764046820203744</v>
      </c>
      <c r="CH239" s="86">
        <f t="shared" si="2184"/>
        <v>0.18155018862054229</v>
      </c>
      <c r="CI239" s="86">
        <f t="shared" ref="CI239:CJ239" si="2185">+CI238/CI237</f>
        <v>0.16084674794461087</v>
      </c>
      <c r="CJ239" s="86">
        <f t="shared" si="2185"/>
        <v>0.15704321673354338</v>
      </c>
      <c r="CK239" s="47">
        <f t="shared" ref="CK239:DB239" si="2186">+CK238/CK237</f>
        <v>0.14120653423443882</v>
      </c>
      <c r="CL239" s="86">
        <f t="shared" si="2186"/>
        <v>0.16037195812290908</v>
      </c>
      <c r="CM239" s="47">
        <f t="shared" si="2186"/>
        <v>0.16155969059904132</v>
      </c>
      <c r="CN239" s="47">
        <f t="shared" si="2186"/>
        <v>0.16173542096970306</v>
      </c>
      <c r="CO239" s="47">
        <f t="shared" si="2186"/>
        <v>0.16291603627986115</v>
      </c>
      <c r="CP239" s="47">
        <f t="shared" si="2186"/>
        <v>0.16828481489458225</v>
      </c>
      <c r="CQ239" s="47">
        <f t="shared" si="2186"/>
        <v>0.17023702265493529</v>
      </c>
      <c r="CR239" s="47">
        <f t="shared" si="2186"/>
        <v>0.17238666843707937</v>
      </c>
      <c r="CS239" s="47">
        <f t="shared" si="2186"/>
        <v>0.17502554054222058</v>
      </c>
      <c r="CT239" s="47">
        <f t="shared" si="2186"/>
        <v>0.17802117960293429</v>
      </c>
      <c r="CU239" s="47">
        <f t="shared" si="2186"/>
        <v>0.17391760280929244</v>
      </c>
      <c r="CV239" s="47">
        <f t="shared" si="2186"/>
        <v>0.17483774784788161</v>
      </c>
      <c r="CW239" s="47">
        <f t="shared" si="2186"/>
        <v>0.17545051770058229</v>
      </c>
      <c r="CX239" s="47">
        <f t="shared" si="2186"/>
        <v>0.1755567619901727</v>
      </c>
      <c r="CY239" s="47">
        <f t="shared" si="2186"/>
        <v>0.1749406575869823</v>
      </c>
      <c r="CZ239" s="47">
        <f t="shared" si="2186"/>
        <v>0.1751964212814047</v>
      </c>
      <c r="DA239" s="47">
        <f t="shared" si="2186"/>
        <v>0.17528608963978548</v>
      </c>
      <c r="DB239" s="47">
        <f t="shared" si="2186"/>
        <v>0.17524498262458635</v>
      </c>
      <c r="DE239" s="130"/>
      <c r="DF239" s="89">
        <v>0.16016167188328381</v>
      </c>
    </row>
    <row r="240" spans="1:110" s="64" customFormat="1" hidden="1" outlineLevel="1" x14ac:dyDescent="0.2">
      <c r="A240" s="64" t="s">
        <v>477</v>
      </c>
      <c r="B240" s="64">
        <f t="shared" ref="B240:Z240" si="2187">B47-B246</f>
        <v>0</v>
      </c>
      <c r="C240" s="64">
        <f t="shared" si="2187"/>
        <v>0</v>
      </c>
      <c r="D240" s="64">
        <f t="shared" si="2187"/>
        <v>0</v>
      </c>
      <c r="E240" s="64">
        <f t="shared" si="2187"/>
        <v>8.0062737000000084</v>
      </c>
      <c r="F240" s="64">
        <f t="shared" si="2187"/>
        <v>7.7165101999999877</v>
      </c>
      <c r="G240" s="64">
        <f t="shared" si="2187"/>
        <v>11.492300000000151</v>
      </c>
      <c r="H240" s="64">
        <f t="shared" si="2187"/>
        <v>19.575200000000066</v>
      </c>
      <c r="I240" s="64">
        <f t="shared" si="2187"/>
        <v>29.354700000000086</v>
      </c>
      <c r="J240" s="64">
        <f t="shared" si="2187"/>
        <v>65.865500000000097</v>
      </c>
      <c r="K240" s="64">
        <f t="shared" si="2187"/>
        <v>92.27589999999978</v>
      </c>
      <c r="L240" s="64">
        <f t="shared" si="2187"/>
        <v>139.01310000000004</v>
      </c>
      <c r="M240" s="64">
        <f t="shared" si="2187"/>
        <v>208.37000000000003</v>
      </c>
      <c r="N240" s="64">
        <f t="shared" si="2187"/>
        <v>300.73</v>
      </c>
      <c r="O240" s="64">
        <f t="shared" si="2187"/>
        <v>273.21999999999991</v>
      </c>
      <c r="P240" s="64">
        <f t="shared" si="2187"/>
        <v>334.06999999999954</v>
      </c>
      <c r="Q240" s="64">
        <f t="shared" si="2187"/>
        <v>383.3900000000001</v>
      </c>
      <c r="R240" s="64">
        <f t="shared" si="2187"/>
        <v>360.68999999999977</v>
      </c>
      <c r="S240" s="64">
        <f t="shared" si="2187"/>
        <v>254.14000000000007</v>
      </c>
      <c r="T240" s="64">
        <f t="shared" si="2187"/>
        <v>358.82000000000085</v>
      </c>
      <c r="U240" s="64">
        <f t="shared" si="2187"/>
        <v>260.14399999999955</v>
      </c>
      <c r="V240" s="64">
        <f t="shared" si="2187"/>
        <v>244.58800000000014</v>
      </c>
      <c r="W240" s="64">
        <f t="shared" si="2187"/>
        <v>436.99100000000044</v>
      </c>
      <c r="X240" s="64">
        <f t="shared" si="2187"/>
        <v>624.02999999999986</v>
      </c>
      <c r="Y240" s="64">
        <f t="shared" si="2187"/>
        <v>679.37000000000057</v>
      </c>
      <c r="Z240" s="64">
        <f t="shared" si="2187"/>
        <v>672.8900000000001</v>
      </c>
      <c r="AA240" s="64">
        <f t="shared" ref="AA240" si="2188">AA47-AA246</f>
        <v>630.29999999999882</v>
      </c>
      <c r="AB240" s="30"/>
      <c r="AC240" s="30"/>
      <c r="AD240" s="30"/>
      <c r="AE240" s="30"/>
      <c r="AI240" s="64">
        <f t="shared" ref="AI240:BN240" si="2189">AI47-AI246</f>
        <v>0</v>
      </c>
      <c r="AJ240" s="64">
        <f t="shared" si="2189"/>
        <v>0</v>
      </c>
      <c r="AK240" s="64">
        <f t="shared" si="2189"/>
        <v>0</v>
      </c>
      <c r="AL240" s="64">
        <f t="shared" si="2189"/>
        <v>0</v>
      </c>
      <c r="AM240" s="64">
        <f t="shared" si="2189"/>
        <v>0</v>
      </c>
      <c r="AN240" s="64">
        <f t="shared" si="2189"/>
        <v>0</v>
      </c>
      <c r="AO240" s="64">
        <f t="shared" si="2189"/>
        <v>0</v>
      </c>
      <c r="AP240" s="64">
        <f t="shared" si="2189"/>
        <v>0</v>
      </c>
      <c r="AQ240" s="64">
        <f t="shared" si="2189"/>
        <v>0</v>
      </c>
      <c r="AR240" s="64">
        <f t="shared" si="2189"/>
        <v>0</v>
      </c>
      <c r="AS240" s="64">
        <f t="shared" si="2189"/>
        <v>0</v>
      </c>
      <c r="AT240" s="64">
        <f t="shared" si="2189"/>
        <v>0</v>
      </c>
      <c r="AU240" s="64">
        <f t="shared" si="2189"/>
        <v>0</v>
      </c>
      <c r="AV240" s="64">
        <f t="shared" si="2189"/>
        <v>0</v>
      </c>
      <c r="AW240" s="64">
        <f t="shared" si="2189"/>
        <v>0</v>
      </c>
      <c r="AX240" s="64">
        <f t="shared" si="2189"/>
        <v>0</v>
      </c>
      <c r="AY240" s="64">
        <f t="shared" si="2189"/>
        <v>0</v>
      </c>
      <c r="AZ240" s="64">
        <f t="shared" si="2189"/>
        <v>0</v>
      </c>
      <c r="BA240" s="64">
        <f t="shared" si="2189"/>
        <v>0</v>
      </c>
      <c r="BB240" s="64">
        <f t="shared" si="2189"/>
        <v>0</v>
      </c>
      <c r="BC240" s="64">
        <f t="shared" si="2189"/>
        <v>0</v>
      </c>
      <c r="BD240" s="64">
        <f t="shared" si="2189"/>
        <v>0</v>
      </c>
      <c r="BE240" s="64">
        <f t="shared" si="2189"/>
        <v>0</v>
      </c>
      <c r="BF240" s="64">
        <f t="shared" si="2189"/>
        <v>0</v>
      </c>
      <c r="BG240" s="64">
        <f t="shared" si="2189"/>
        <v>0</v>
      </c>
      <c r="BH240" s="64">
        <f t="shared" si="2189"/>
        <v>0</v>
      </c>
      <c r="BI240" s="64">
        <f t="shared" si="2189"/>
        <v>0</v>
      </c>
      <c r="BJ240" s="64">
        <f t="shared" si="2189"/>
        <v>0</v>
      </c>
      <c r="BK240" s="64">
        <f t="shared" si="2189"/>
        <v>0</v>
      </c>
      <c r="BL240" s="64">
        <f t="shared" si="2189"/>
        <v>0</v>
      </c>
      <c r="BM240" s="64">
        <f t="shared" si="2189"/>
        <v>0</v>
      </c>
      <c r="BN240" s="64">
        <f t="shared" si="2189"/>
        <v>0</v>
      </c>
      <c r="BO240" s="64">
        <f t="shared" ref="BO240:CT240" si="2190">BO47-BO246</f>
        <v>0</v>
      </c>
      <c r="BP240" s="64">
        <f t="shared" si="2190"/>
        <v>0</v>
      </c>
      <c r="BQ240" s="64">
        <f t="shared" si="2190"/>
        <v>0</v>
      </c>
      <c r="BR240" s="64">
        <f t="shared" si="2190"/>
        <v>0</v>
      </c>
      <c r="BS240" s="64">
        <f t="shared" si="2190"/>
        <v>0</v>
      </c>
      <c r="BT240" s="64">
        <f t="shared" si="2190"/>
        <v>0</v>
      </c>
      <c r="BU240" s="64">
        <f t="shared" si="2190"/>
        <v>0</v>
      </c>
      <c r="BV240" s="64">
        <f t="shared" si="2190"/>
        <v>0</v>
      </c>
      <c r="BW240" s="64">
        <f t="shared" si="2190"/>
        <v>0</v>
      </c>
      <c r="BX240" s="64">
        <f t="shared" si="2190"/>
        <v>0</v>
      </c>
      <c r="BY240" s="64">
        <f t="shared" si="2190"/>
        <v>148.38000000000011</v>
      </c>
      <c r="BZ240" s="64">
        <f t="shared" si="2190"/>
        <v>216.5600000000002</v>
      </c>
      <c r="CA240" s="64">
        <f t="shared" si="2190"/>
        <v>191.5299999999998</v>
      </c>
      <c r="CB240" s="64">
        <f t="shared" si="2190"/>
        <v>160.38000000000017</v>
      </c>
      <c r="CC240" s="64">
        <f t="shared" si="2190"/>
        <v>170.2199999999998</v>
      </c>
      <c r="CD240" s="64">
        <f t="shared" si="2190"/>
        <v>157.2399999999999</v>
      </c>
      <c r="CE240" s="64">
        <f t="shared" si="2190"/>
        <v>162.02999999999992</v>
      </c>
      <c r="CF240" s="64">
        <f t="shared" si="2190"/>
        <v>157.40999999999997</v>
      </c>
      <c r="CG240" s="64">
        <f t="shared" si="2190"/>
        <v>168.1400000000001</v>
      </c>
      <c r="CH240" s="64">
        <f t="shared" si="2190"/>
        <v>185.3100000000002</v>
      </c>
      <c r="CI240" s="64">
        <f t="shared" si="2190"/>
        <v>165.47999999999988</v>
      </c>
      <c r="CJ240" s="64">
        <f t="shared" si="2190"/>
        <v>160.18999999999994</v>
      </c>
      <c r="CK240" s="30">
        <f t="shared" si="2190"/>
        <v>163.23000000000013</v>
      </c>
      <c r="CL240" s="64">
        <f t="shared" ref="CL240" si="2191">CL47-CL246</f>
        <v>141.40000000000012</v>
      </c>
      <c r="CM240" s="30">
        <f t="shared" si="2190"/>
        <v>23.995169808022144</v>
      </c>
      <c r="CN240" s="30">
        <f t="shared" si="2190"/>
        <v>94.590457972403556</v>
      </c>
      <c r="CO240" s="30">
        <f t="shared" si="2190"/>
        <v>140.88236220893958</v>
      </c>
      <c r="CP240" s="30">
        <f t="shared" si="2190"/>
        <v>196.26605607893359</v>
      </c>
      <c r="CQ240" s="30">
        <f t="shared" si="2190"/>
        <v>186.19445188540502</v>
      </c>
      <c r="CR240" s="30">
        <f t="shared" si="2190"/>
        <v>223.73251182985831</v>
      </c>
      <c r="CS240" s="30">
        <f t="shared" si="2190"/>
        <v>250.67274665190462</v>
      </c>
      <c r="CT240" s="30">
        <f t="shared" si="2190"/>
        <v>310.11912542869322</v>
      </c>
      <c r="CU240" s="30">
        <f t="shared" ref="CU240:DB240" si="2192">CU47-CU246</f>
        <v>261.94052031630935</v>
      </c>
      <c r="CV240" s="30">
        <f t="shared" si="2192"/>
        <v>309.71730263189431</v>
      </c>
      <c r="CW240" s="30">
        <f t="shared" si="2192"/>
        <v>341.81352700492045</v>
      </c>
      <c r="CX240" s="30">
        <f t="shared" si="2192"/>
        <v>411.54272179771579</v>
      </c>
      <c r="CY240" s="30">
        <f t="shared" si="2192"/>
        <v>357.30065330454494</v>
      </c>
      <c r="CZ240" s="30">
        <f t="shared" si="2192"/>
        <v>404.97034899999937</v>
      </c>
      <c r="DA240" s="30">
        <f t="shared" si="2192"/>
        <v>437.27760333160097</v>
      </c>
      <c r="DB240" s="30">
        <f t="shared" si="2192"/>
        <v>518.78472513994575</v>
      </c>
      <c r="DE240" s="139"/>
      <c r="DF240" s="64">
        <v>158.69146548062912</v>
      </c>
    </row>
    <row r="241" spans="1:110" s="64" customFormat="1" hidden="1" outlineLevel="1" x14ac:dyDescent="0.2">
      <c r="AB241" s="30"/>
      <c r="AC241" s="30"/>
      <c r="AD241" s="30"/>
      <c r="AE241" s="30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4" customFormat="1" hidden="1" outlineLevel="1" x14ac:dyDescent="0.2">
      <c r="A242" s="65" t="s">
        <v>352</v>
      </c>
      <c r="AB242" s="30"/>
      <c r="AC242" s="30"/>
      <c r="AD242" s="30"/>
      <c r="AE242" s="30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478</v>
      </c>
      <c r="AB243" s="30"/>
      <c r="AC243" s="30"/>
      <c r="AD243" s="30"/>
      <c r="AE243" s="30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4" t="s">
        <v>479</v>
      </c>
      <c r="AB244" s="30"/>
      <c r="AC244" s="30"/>
      <c r="AD244" s="30"/>
      <c r="AE244" s="30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89" customFormat="1" hidden="1" outlineLevel="1" x14ac:dyDescent="0.2">
      <c r="A245" s="86" t="s">
        <v>480</v>
      </c>
      <c r="B245" s="86" t="e">
        <f>+B244/B243</f>
        <v>#DIV/0!</v>
      </c>
      <c r="C245" s="86" t="e">
        <f t="shared" ref="C245:X245" si="2193">+C244/C243</f>
        <v>#DIV/0!</v>
      </c>
      <c r="D245" s="86" t="e">
        <f t="shared" si="2193"/>
        <v>#DIV/0!</v>
      </c>
      <c r="E245" s="86" t="e">
        <f t="shared" si="2193"/>
        <v>#DIV/0!</v>
      </c>
      <c r="F245" s="86" t="e">
        <f t="shared" si="2193"/>
        <v>#DIV/0!</v>
      </c>
      <c r="G245" s="86" t="e">
        <f t="shared" si="2193"/>
        <v>#DIV/0!</v>
      </c>
      <c r="H245" s="86" t="e">
        <f t="shared" si="2193"/>
        <v>#DIV/0!</v>
      </c>
      <c r="I245" s="86" t="e">
        <f t="shared" si="2193"/>
        <v>#DIV/0!</v>
      </c>
      <c r="J245" s="86" t="e">
        <f t="shared" si="2193"/>
        <v>#DIV/0!</v>
      </c>
      <c r="K245" s="86" t="e">
        <f t="shared" si="2193"/>
        <v>#DIV/0!</v>
      </c>
      <c r="L245" s="86" t="e">
        <f t="shared" si="2193"/>
        <v>#DIV/0!</v>
      </c>
      <c r="M245" s="86" t="e">
        <f t="shared" si="2193"/>
        <v>#DIV/0!</v>
      </c>
      <c r="N245" s="86" t="e">
        <f t="shared" si="2193"/>
        <v>#DIV/0!</v>
      </c>
      <c r="O245" s="86" t="e">
        <f t="shared" si="2193"/>
        <v>#DIV/0!</v>
      </c>
      <c r="P245" s="86" t="e">
        <f t="shared" si="2193"/>
        <v>#DIV/0!</v>
      </c>
      <c r="Q245" s="86" t="e">
        <f t="shared" si="2193"/>
        <v>#DIV/0!</v>
      </c>
      <c r="R245" s="86" t="e">
        <f t="shared" si="2193"/>
        <v>#DIV/0!</v>
      </c>
      <c r="S245" s="86" t="e">
        <f t="shared" si="2193"/>
        <v>#DIV/0!</v>
      </c>
      <c r="T245" s="86" t="e">
        <f t="shared" si="2193"/>
        <v>#DIV/0!</v>
      </c>
      <c r="U245" s="86" t="e">
        <f t="shared" si="2193"/>
        <v>#DIV/0!</v>
      </c>
      <c r="V245" s="86" t="e">
        <f t="shared" si="2193"/>
        <v>#DIV/0!</v>
      </c>
      <c r="W245" s="86" t="e">
        <f t="shared" si="2193"/>
        <v>#DIV/0!</v>
      </c>
      <c r="X245" s="86" t="e">
        <f t="shared" si="2193"/>
        <v>#DIV/0!</v>
      </c>
      <c r="Y245" s="86" t="e">
        <f t="shared" ref="Y245:Z245" si="2194">+Y244/Y243</f>
        <v>#DIV/0!</v>
      </c>
      <c r="Z245" s="86" t="e">
        <f t="shared" si="2194"/>
        <v>#DIV/0!</v>
      </c>
      <c r="AA245" s="86" t="e">
        <f t="shared" ref="AA245" si="2195">+AA244/AA243</f>
        <v>#DIV/0!</v>
      </c>
      <c r="AB245" s="87"/>
      <c r="AC245" s="87"/>
      <c r="AD245" s="87"/>
      <c r="AE245" s="87"/>
      <c r="AF245" s="86"/>
      <c r="AG245" s="86"/>
      <c r="AH245" s="86"/>
      <c r="AI245" s="86" t="e">
        <f t="shared" ref="AI245" si="2196">+AI244/AI243</f>
        <v>#DIV/0!</v>
      </c>
      <c r="AJ245" s="86" t="e">
        <f t="shared" ref="AJ245" si="2197">+AJ244/AJ243</f>
        <v>#DIV/0!</v>
      </c>
      <c r="AK245" s="86" t="e">
        <f t="shared" ref="AK245" si="2198">+AK244/AK243</f>
        <v>#DIV/0!</v>
      </c>
      <c r="AL245" s="86" t="e">
        <f t="shared" ref="AL245" si="2199">+AL244/AL243</f>
        <v>#DIV/0!</v>
      </c>
      <c r="AM245" s="86" t="e">
        <f t="shared" ref="AM245" si="2200">+AM244/AM243</f>
        <v>#DIV/0!</v>
      </c>
      <c r="AN245" s="86" t="e">
        <f t="shared" ref="AN245" si="2201">+AN244/AN243</f>
        <v>#DIV/0!</v>
      </c>
      <c r="AO245" s="86" t="e">
        <f t="shared" ref="AO245" si="2202">+AO244/AO243</f>
        <v>#DIV/0!</v>
      </c>
      <c r="AP245" s="86" t="e">
        <f t="shared" ref="AP245" si="2203">+AP244/AP243</f>
        <v>#DIV/0!</v>
      </c>
      <c r="AQ245" s="86" t="e">
        <f t="shared" ref="AQ245" si="2204">+AQ244/AQ243</f>
        <v>#DIV/0!</v>
      </c>
      <c r="AR245" s="86" t="e">
        <f t="shared" ref="AR245" si="2205">+AR244/AR243</f>
        <v>#DIV/0!</v>
      </c>
      <c r="AS245" s="86" t="e">
        <f t="shared" ref="AS245" si="2206">+AS244/AS243</f>
        <v>#DIV/0!</v>
      </c>
      <c r="AT245" s="86" t="e">
        <f t="shared" ref="AT245" si="2207">+AT244/AT243</f>
        <v>#DIV/0!</v>
      </c>
      <c r="AU245" s="86" t="e">
        <f t="shared" ref="AU245" si="2208">+AU244/AU243</f>
        <v>#DIV/0!</v>
      </c>
      <c r="AV245" s="86" t="e">
        <f t="shared" ref="AV245" si="2209">+AV244/AV243</f>
        <v>#DIV/0!</v>
      </c>
      <c r="AW245" s="86" t="e">
        <f t="shared" ref="AW245" si="2210">+AW244/AW243</f>
        <v>#DIV/0!</v>
      </c>
      <c r="AX245" s="86" t="e">
        <f t="shared" ref="AX245" si="2211">+AX244/AX243</f>
        <v>#DIV/0!</v>
      </c>
      <c r="AY245" s="86" t="e">
        <f t="shared" ref="AY245" si="2212">+AY244/AY243</f>
        <v>#DIV/0!</v>
      </c>
      <c r="AZ245" s="86" t="e">
        <f t="shared" ref="AZ245" si="2213">+AZ244/AZ243</f>
        <v>#DIV/0!</v>
      </c>
      <c r="BA245" s="86" t="e">
        <f t="shared" ref="BA245" si="2214">+BA244/BA243</f>
        <v>#DIV/0!</v>
      </c>
      <c r="BB245" s="86" t="e">
        <f t="shared" ref="BB245" si="2215">+BB244/BB243</f>
        <v>#DIV/0!</v>
      </c>
      <c r="BC245" s="86" t="e">
        <f t="shared" ref="BC245" si="2216">+BC244/BC243</f>
        <v>#DIV/0!</v>
      </c>
      <c r="BD245" s="86" t="e">
        <f t="shared" ref="BD245" si="2217">+BD244/BD243</f>
        <v>#DIV/0!</v>
      </c>
      <c r="BE245" s="86" t="e">
        <f t="shared" ref="BE245" si="2218">+BE244/BE243</f>
        <v>#DIV/0!</v>
      </c>
      <c r="BF245" s="86" t="e">
        <f t="shared" ref="BF245" si="2219">+BF244/BF243</f>
        <v>#DIV/0!</v>
      </c>
      <c r="BG245" s="86" t="e">
        <f t="shared" ref="BG245" si="2220">+BG244/BG243</f>
        <v>#DIV/0!</v>
      </c>
      <c r="BH245" s="86" t="e">
        <f t="shared" ref="BH245" si="2221">+BH244/BH243</f>
        <v>#DIV/0!</v>
      </c>
      <c r="BI245" s="86" t="e">
        <f t="shared" ref="BI245" si="2222">+BI244/BI243</f>
        <v>#DIV/0!</v>
      </c>
      <c r="BJ245" s="86" t="e">
        <f t="shared" ref="BJ245" si="2223">+BJ244/BJ243</f>
        <v>#DIV/0!</v>
      </c>
      <c r="BK245" s="86" t="e">
        <f t="shared" ref="BK245" si="2224">+BK244/BK243</f>
        <v>#DIV/0!</v>
      </c>
      <c r="BL245" s="86" t="e">
        <f t="shared" ref="BL245" si="2225">+BL244/BL243</f>
        <v>#DIV/0!</v>
      </c>
      <c r="BM245" s="86" t="e">
        <f t="shared" ref="BM245" si="2226">+BM244/BM243</f>
        <v>#DIV/0!</v>
      </c>
      <c r="BN245" s="86" t="e">
        <f t="shared" ref="BN245" si="2227">+BN244/BN243</f>
        <v>#DIV/0!</v>
      </c>
      <c r="BO245" s="86" t="e">
        <f t="shared" ref="BO245" si="2228">+BO244/BO243</f>
        <v>#DIV/0!</v>
      </c>
      <c r="BP245" s="86" t="e">
        <f t="shared" ref="BP245" si="2229">+BP244/BP243</f>
        <v>#DIV/0!</v>
      </c>
      <c r="BQ245" s="86" t="e">
        <f t="shared" ref="BQ245" si="2230">+BQ244/BQ243</f>
        <v>#DIV/0!</v>
      </c>
      <c r="BR245" s="86" t="e">
        <f t="shared" ref="BR245" si="2231">+BR244/BR243</f>
        <v>#DIV/0!</v>
      </c>
      <c r="BS245" s="86" t="e">
        <f t="shared" ref="BS245" si="2232">+BS244/BS243</f>
        <v>#DIV/0!</v>
      </c>
      <c r="BT245" s="86" t="e">
        <f t="shared" ref="BT245" si="2233">+BT244/BT243</f>
        <v>#DIV/0!</v>
      </c>
      <c r="BU245" s="86" t="e">
        <f t="shared" ref="BU245" si="2234">+BU244/BU243</f>
        <v>#DIV/0!</v>
      </c>
      <c r="BV245" s="86" t="e">
        <f t="shared" ref="BV245" si="2235">+BV244/BV243</f>
        <v>#DIV/0!</v>
      </c>
      <c r="BW245" s="86" t="e">
        <f t="shared" ref="BW245" si="2236">+BW244/BW243</f>
        <v>#DIV/0!</v>
      </c>
      <c r="BX245" s="86" t="e">
        <f t="shared" ref="BX245" si="2237">+BX244/BX243</f>
        <v>#DIV/0!</v>
      </c>
      <c r="BY245" s="86" t="e">
        <f t="shared" ref="BY245" si="2238">+BY244/BY243</f>
        <v>#DIV/0!</v>
      </c>
      <c r="BZ245" s="86" t="e">
        <f t="shared" ref="BZ245" si="2239">+BZ244/BZ243</f>
        <v>#DIV/0!</v>
      </c>
      <c r="CA245" s="86" t="e">
        <f t="shared" ref="CA245" si="2240">+CA244/CA243</f>
        <v>#DIV/0!</v>
      </c>
      <c r="CB245" s="86" t="e">
        <f t="shared" ref="CB245:CC245" si="2241">+CB244/CB243</f>
        <v>#DIV/0!</v>
      </c>
      <c r="CC245" s="86" t="e">
        <f t="shared" si="2241"/>
        <v>#DIV/0!</v>
      </c>
      <c r="CD245" s="86" t="e">
        <f t="shared" ref="CD245" si="2242">+CD244/CD243</f>
        <v>#DIV/0!</v>
      </c>
      <c r="CE245" s="86" t="e">
        <f t="shared" ref="CE245:CF245" si="2243">+CE244/CE243</f>
        <v>#DIV/0!</v>
      </c>
      <c r="CF245" s="86" t="e">
        <f t="shared" si="2243"/>
        <v>#DIV/0!</v>
      </c>
      <c r="CG245" s="86" t="e">
        <f t="shared" ref="CG245:CH245" si="2244">+CG244/CG243</f>
        <v>#DIV/0!</v>
      </c>
      <c r="CH245" s="86" t="e">
        <f t="shared" si="2244"/>
        <v>#DIV/0!</v>
      </c>
      <c r="CI245" s="86" t="e">
        <f t="shared" ref="CI245:CJ245" si="2245">+CI244/CI243</f>
        <v>#DIV/0!</v>
      </c>
      <c r="CJ245" s="86" t="e">
        <f t="shared" si="2245"/>
        <v>#DIV/0!</v>
      </c>
      <c r="CK245" s="47" t="e">
        <f t="shared" ref="CK245:DB245" si="2246">+CK244/CK243</f>
        <v>#DIV/0!</v>
      </c>
      <c r="CL245" s="86" t="e">
        <f t="shared" si="2246"/>
        <v>#DIV/0!</v>
      </c>
      <c r="CM245" s="47" t="e">
        <f t="shared" si="2246"/>
        <v>#DIV/0!</v>
      </c>
      <c r="CN245" s="47" t="e">
        <f t="shared" si="2246"/>
        <v>#DIV/0!</v>
      </c>
      <c r="CO245" s="47" t="e">
        <f t="shared" si="2246"/>
        <v>#DIV/0!</v>
      </c>
      <c r="CP245" s="47" t="e">
        <f t="shared" si="2246"/>
        <v>#DIV/0!</v>
      </c>
      <c r="CQ245" s="47" t="e">
        <f t="shared" si="2246"/>
        <v>#DIV/0!</v>
      </c>
      <c r="CR245" s="47" t="e">
        <f t="shared" si="2246"/>
        <v>#DIV/0!</v>
      </c>
      <c r="CS245" s="47" t="e">
        <f t="shared" si="2246"/>
        <v>#DIV/0!</v>
      </c>
      <c r="CT245" s="47" t="e">
        <f t="shared" si="2246"/>
        <v>#DIV/0!</v>
      </c>
      <c r="CU245" s="47" t="e">
        <f t="shared" si="2246"/>
        <v>#DIV/0!</v>
      </c>
      <c r="CV245" s="47" t="e">
        <f t="shared" si="2246"/>
        <v>#DIV/0!</v>
      </c>
      <c r="CW245" s="47" t="e">
        <f t="shared" si="2246"/>
        <v>#DIV/0!</v>
      </c>
      <c r="CX245" s="47" t="e">
        <f t="shared" si="2246"/>
        <v>#DIV/0!</v>
      </c>
      <c r="CY245" s="47" t="e">
        <f t="shared" si="2246"/>
        <v>#DIV/0!</v>
      </c>
      <c r="CZ245" s="47" t="e">
        <f t="shared" si="2246"/>
        <v>#DIV/0!</v>
      </c>
      <c r="DA245" s="47" t="e">
        <f t="shared" si="2246"/>
        <v>#DIV/0!</v>
      </c>
      <c r="DB245" s="47" t="e">
        <f t="shared" si="2246"/>
        <v>#DIV/0!</v>
      </c>
      <c r="DE245" s="130"/>
    </row>
    <row r="246" spans="1:110" s="64" customFormat="1" hidden="1" outlineLevel="1" x14ac:dyDescent="0.2">
      <c r="A246" s="64" t="s">
        <v>481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2" customFormat="1" hidden="1" outlineLevel="1" x14ac:dyDescent="0.2">
      <c r="AB247" s="63"/>
      <c r="AC247" s="63"/>
      <c r="AD247" s="63"/>
      <c r="AE247" s="63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11" customFormat="1" collapsed="1" x14ac:dyDescent="0.2">
      <c r="AB248" s="63"/>
      <c r="AC248" s="63"/>
      <c r="AD248" s="63"/>
      <c r="AE248" s="63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x14ac:dyDescent="0.2">
      <c r="A249" s="154" t="s">
        <v>497</v>
      </c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63"/>
      <c r="AC249" s="63"/>
      <c r="AD249" s="63"/>
      <c r="AE249" s="63"/>
      <c r="AL249" s="180"/>
      <c r="CF249" s="180"/>
      <c r="CG249" s="180"/>
      <c r="CH249" s="180"/>
      <c r="CI249" s="180"/>
      <c r="CJ249" s="180"/>
      <c r="CK249" s="30"/>
      <c r="CL249" s="18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84" customFormat="1" x14ac:dyDescent="0.2">
      <c r="A250" s="84" t="s">
        <v>512</v>
      </c>
      <c r="B250" s="84" t="e">
        <f>B14/B171</f>
        <v>#DIV/0!</v>
      </c>
      <c r="C250" s="84" t="e">
        <f>C14/C171</f>
        <v>#DIV/0!</v>
      </c>
      <c r="D250" s="84" t="e">
        <f>D14/D171</f>
        <v>#DIV/0!</v>
      </c>
      <c r="E250" s="84">
        <f t="shared" ref="E250:Y250" si="2247">E16/(E167+E154+E144)</f>
        <v>1.7113067240358162</v>
      </c>
      <c r="F250" s="84">
        <f t="shared" si="2247"/>
        <v>1.9674997193806092</v>
      </c>
      <c r="G250" s="84">
        <f t="shared" si="2247"/>
        <v>0.76192857128656721</v>
      </c>
      <c r="H250" s="84">
        <f t="shared" si="2247"/>
        <v>1.2256492113393345</v>
      </c>
      <c r="I250" s="84">
        <f t="shared" si="2247"/>
        <v>1.3564592307545995</v>
      </c>
      <c r="J250" s="84">
        <f t="shared" si="2247"/>
        <v>1.337289062824087</v>
      </c>
      <c r="K250" s="84">
        <f t="shared" si="2247"/>
        <v>1.1896679846096976</v>
      </c>
      <c r="L250" s="84">
        <f t="shared" si="2247"/>
        <v>1.2093245126757022</v>
      </c>
      <c r="M250" s="84">
        <f t="shared" si="2247"/>
        <v>1.1285537615939538</v>
      </c>
      <c r="N250" s="84">
        <f t="shared" si="2247"/>
        <v>1.1524797088472316</v>
      </c>
      <c r="O250" s="84">
        <f t="shared" si="2247"/>
        <v>1.0661921870025921</v>
      </c>
      <c r="P250" s="84">
        <f t="shared" si="2247"/>
        <v>1.1491065654373267</v>
      </c>
      <c r="Q250" s="84">
        <f t="shared" si="2247"/>
        <v>1.1870841591166479</v>
      </c>
      <c r="R250" s="84">
        <f t="shared" si="2247"/>
        <v>1.3580602946878633</v>
      </c>
      <c r="S250" s="84">
        <f t="shared" si="2247"/>
        <v>1.2497643469741222</v>
      </c>
      <c r="T250" s="84">
        <f t="shared" si="2247"/>
        <v>1.3346382399637107</v>
      </c>
      <c r="U250" s="84">
        <f t="shared" si="2247"/>
        <v>1.1246522005217783</v>
      </c>
      <c r="V250" s="84">
        <f t="shared" si="2247"/>
        <v>0.67452413249157739</v>
      </c>
      <c r="W250" s="84">
        <f t="shared" si="2247"/>
        <v>0.84834355031960873</v>
      </c>
      <c r="X250" s="84">
        <f t="shared" si="2247"/>
        <v>0.8741971834333121</v>
      </c>
      <c r="Y250" s="84">
        <f t="shared" si="2247"/>
        <v>0.96096930727280916</v>
      </c>
      <c r="Z250" s="84">
        <f>Z16/(Z167+Z154+Z144)</f>
        <v>0.81796874010863085</v>
      </c>
      <c r="AA250" s="84">
        <f>AA16/(AA167+AA154+AA144)</f>
        <v>0.64897006559753878</v>
      </c>
      <c r="AB250" s="50">
        <f t="shared" ref="AA250:AE250" si="2248">AB16/(AB167+AB154+AB144)</f>
        <v>0.64767521860944677</v>
      </c>
      <c r="AC250" s="50">
        <f t="shared" si="2248"/>
        <v>0.64355504526975615</v>
      </c>
      <c r="AD250" s="50">
        <f t="shared" si="2248"/>
        <v>0.64052259388856503</v>
      </c>
      <c r="AE250" s="50">
        <f t="shared" si="2248"/>
        <v>0.6361169594992685</v>
      </c>
      <c r="AL250" s="84" t="e">
        <f>SUM(AI16:AL16)/(AL167+AL154+AL144)</f>
        <v>#DIV/0!</v>
      </c>
      <c r="AM250" s="84" t="e">
        <f t="shared" ref="AM250:CL250" si="2249">SUM(AJ16:AM16)/(AM167+AM154+AM144)</f>
        <v>#DIV/0!</v>
      </c>
      <c r="AN250" s="84" t="e">
        <f t="shared" si="2249"/>
        <v>#DIV/0!</v>
      </c>
      <c r="AO250" s="84" t="e">
        <f t="shared" si="2249"/>
        <v>#DIV/0!</v>
      </c>
      <c r="AP250" s="84" t="e">
        <f t="shared" si="2249"/>
        <v>#DIV/0!</v>
      </c>
      <c r="AQ250" s="84" t="e">
        <f t="shared" si="2249"/>
        <v>#DIV/0!</v>
      </c>
      <c r="AR250" s="84" t="e">
        <f t="shared" si="2249"/>
        <v>#DIV/0!</v>
      </c>
      <c r="AS250" s="84" t="e">
        <f t="shared" si="2249"/>
        <v>#DIV/0!</v>
      </c>
      <c r="AT250" s="84" t="e">
        <f t="shared" si="2249"/>
        <v>#DIV/0!</v>
      </c>
      <c r="AU250" s="84" t="e">
        <f t="shared" si="2249"/>
        <v>#DIV/0!</v>
      </c>
      <c r="AV250" s="84" t="e">
        <f t="shared" si="2249"/>
        <v>#DIV/0!</v>
      </c>
      <c r="AW250" s="84" t="e">
        <f t="shared" si="2249"/>
        <v>#DIV/0!</v>
      </c>
      <c r="AX250" s="84" t="e">
        <f t="shared" si="2249"/>
        <v>#DIV/0!</v>
      </c>
      <c r="AY250" s="84" t="e">
        <f t="shared" si="2249"/>
        <v>#DIV/0!</v>
      </c>
      <c r="AZ250" s="84" t="e">
        <f t="shared" si="2249"/>
        <v>#DIV/0!</v>
      </c>
      <c r="BA250" s="84" t="e">
        <f t="shared" si="2249"/>
        <v>#DIV/0!</v>
      </c>
      <c r="BB250" s="84" t="e">
        <f t="shared" si="2249"/>
        <v>#DIV/0!</v>
      </c>
      <c r="BC250" s="84" t="e">
        <f t="shared" si="2249"/>
        <v>#DIV/0!</v>
      </c>
      <c r="BD250" s="84" t="e">
        <f t="shared" si="2249"/>
        <v>#DIV/0!</v>
      </c>
      <c r="BE250" s="84" t="e">
        <f t="shared" si="2249"/>
        <v>#DIV/0!</v>
      </c>
      <c r="BF250" s="84" t="e">
        <f t="shared" si="2249"/>
        <v>#DIV/0!</v>
      </c>
      <c r="BG250" s="84" t="e">
        <f t="shared" si="2249"/>
        <v>#DIV/0!</v>
      </c>
      <c r="BH250" s="84" t="e">
        <f t="shared" si="2249"/>
        <v>#DIV/0!</v>
      </c>
      <c r="BI250" s="84" t="e">
        <f t="shared" si="2249"/>
        <v>#DIV/0!</v>
      </c>
      <c r="BJ250" s="84" t="e">
        <f t="shared" si="2249"/>
        <v>#DIV/0!</v>
      </c>
      <c r="BK250" s="84" t="e">
        <f t="shared" si="2249"/>
        <v>#DIV/0!</v>
      </c>
      <c r="BL250" s="84" t="e">
        <f t="shared" si="2249"/>
        <v>#DIV/0!</v>
      </c>
      <c r="BM250" s="84" t="e">
        <f t="shared" si="2249"/>
        <v>#DIV/0!</v>
      </c>
      <c r="BN250" s="84" t="e">
        <f t="shared" si="2249"/>
        <v>#DIV/0!</v>
      </c>
      <c r="BO250" s="84" t="e">
        <f t="shared" si="2249"/>
        <v>#DIV/0!</v>
      </c>
      <c r="BP250" s="84" t="e">
        <f t="shared" si="2249"/>
        <v>#DIV/0!</v>
      </c>
      <c r="BQ250" s="84" t="e">
        <f t="shared" si="2249"/>
        <v>#DIV/0!</v>
      </c>
      <c r="BR250" s="84" t="e">
        <f t="shared" si="2249"/>
        <v>#DIV/0!</v>
      </c>
      <c r="BS250" s="84" t="e">
        <f t="shared" si="2249"/>
        <v>#DIV/0!</v>
      </c>
      <c r="BT250" s="84" t="e">
        <f t="shared" si="2249"/>
        <v>#DIV/0!</v>
      </c>
      <c r="BU250" s="84" t="e">
        <f t="shared" si="2249"/>
        <v>#DIV/0!</v>
      </c>
      <c r="BV250" s="84" t="e">
        <f t="shared" si="2249"/>
        <v>#DIV/0!</v>
      </c>
      <c r="BW250" s="84" t="e">
        <f t="shared" si="2249"/>
        <v>#DIV/0!</v>
      </c>
      <c r="BX250" s="84" t="e">
        <f t="shared" si="2249"/>
        <v>#DIV/0!</v>
      </c>
      <c r="BY250" s="84" t="e">
        <f t="shared" si="2249"/>
        <v>#DIV/0!</v>
      </c>
      <c r="BZ250" s="84">
        <f t="shared" si="2249"/>
        <v>0.50031191762998051</v>
      </c>
      <c r="CA250" s="84">
        <f t="shared" si="2249"/>
        <v>0.731454909819656</v>
      </c>
      <c r="CB250" s="84" t="e">
        <f t="shared" si="2249"/>
        <v>#DIV/0!</v>
      </c>
      <c r="CC250" s="84">
        <f t="shared" si="2249"/>
        <v>30.657619551169113</v>
      </c>
      <c r="CD250" s="84">
        <f t="shared" si="2249"/>
        <v>0.96096930727280916</v>
      </c>
      <c r="CE250" s="84">
        <f t="shared" si="2249"/>
        <v>0.93670357776884061</v>
      </c>
      <c r="CF250" s="84">
        <f t="shared" si="2249"/>
        <v>0.92490999208899094</v>
      </c>
      <c r="CG250" s="84">
        <f t="shared" si="2249"/>
        <v>0.90142454137888528</v>
      </c>
      <c r="CH250" s="84">
        <f t="shared" si="2249"/>
        <v>0.81796874010863108</v>
      </c>
      <c r="CI250" s="84">
        <f t="shared" si="2249"/>
        <v>0.80501212847288683</v>
      </c>
      <c r="CJ250" s="84">
        <f t="shared" si="2249"/>
        <v>0.76257200753922239</v>
      </c>
      <c r="CK250" s="50">
        <f t="shared" ref="CK250" si="2250">SUM(CH16:CK16)/(CK167+CK154+CK144)</f>
        <v>0.75612682609498072</v>
      </c>
      <c r="CL250" s="84">
        <f t="shared" si="2249"/>
        <v>0.64897006559753878</v>
      </c>
      <c r="CM250" s="50">
        <f t="shared" ref="CM250:DB250" si="2251">SUM(CJ16:CM16)/(CM167+CM154+CM144)</f>
        <v>0.7064174098980065</v>
      </c>
      <c r="CN250" s="50">
        <f t="shared" si="2251"/>
        <v>0.69006735037989453</v>
      </c>
      <c r="CO250" s="50">
        <f t="shared" si="2251"/>
        <v>0.6854845811984418</v>
      </c>
      <c r="CP250" s="50">
        <f t="shared" si="2251"/>
        <v>0.64767521860944677</v>
      </c>
      <c r="CQ250" s="50">
        <f t="shared" si="2251"/>
        <v>0.70854536082037334</v>
      </c>
      <c r="CR250" s="50">
        <f t="shared" si="2251"/>
        <v>0.68863106545812014</v>
      </c>
      <c r="CS250" s="50">
        <f t="shared" si="2251"/>
        <v>0.68263333157807038</v>
      </c>
      <c r="CT250" s="50">
        <f t="shared" si="2251"/>
        <v>0.64355504526975615</v>
      </c>
      <c r="CU250" s="50">
        <f t="shared" si="2251"/>
        <v>0.71386357959620417</v>
      </c>
      <c r="CV250" s="50">
        <f t="shared" si="2251"/>
        <v>0.69162036065431554</v>
      </c>
      <c r="CW250" s="50">
        <f t="shared" si="2251"/>
        <v>0.68285580947027202</v>
      </c>
      <c r="CX250" s="50">
        <f t="shared" si="2251"/>
        <v>0.64052259388856503</v>
      </c>
      <c r="CY250" s="50">
        <f t="shared" si="2251"/>
        <v>0.71070653145863405</v>
      </c>
      <c r="CZ250" s="50">
        <f t="shared" si="2251"/>
        <v>0.68757467702197594</v>
      </c>
      <c r="DA250" s="50">
        <f t="shared" si="2251"/>
        <v>0.67819109084797458</v>
      </c>
      <c r="DB250" s="50">
        <f t="shared" si="2251"/>
        <v>0.6361169594992685</v>
      </c>
      <c r="DE250" s="138"/>
      <c r="DF250" s="84">
        <v>0.75078838529141068</v>
      </c>
    </row>
    <row r="251" spans="1:110" s="84" customFormat="1" x14ac:dyDescent="0.2">
      <c r="A251" s="84" t="s">
        <v>513</v>
      </c>
      <c r="E251" s="181">
        <f>+E48</f>
        <v>5.9302512302526748E-2</v>
      </c>
      <c r="F251" s="181">
        <f t="shared" ref="F251:AE251" si="2252">+F48</f>
        <v>4.3168271403520586E-2</v>
      </c>
      <c r="G251" s="181">
        <f t="shared" si="2252"/>
        <v>2.1418748146736121E-2</v>
      </c>
      <c r="H251" s="181">
        <f t="shared" si="2252"/>
        <v>2.1053392363251752E-2</v>
      </c>
      <c r="I251" s="181">
        <f t="shared" si="2252"/>
        <v>2.7079906605424604E-2</v>
      </c>
      <c r="J251" s="181">
        <f t="shared" si="2252"/>
        <v>5.4776688036883854E-2</v>
      </c>
      <c r="K251" s="181">
        <f t="shared" si="2252"/>
        <v>8.6208027306774238E-2</v>
      </c>
      <c r="L251" s="181">
        <f t="shared" si="2252"/>
        <v>0.11127076204804719</v>
      </c>
      <c r="M251" s="181">
        <f t="shared" si="2252"/>
        <v>0.12685299614637682</v>
      </c>
      <c r="N251" s="181">
        <f t="shared" si="2252"/>
        <v>0.15074185463659148</v>
      </c>
      <c r="O251" s="181">
        <f t="shared" si="2252"/>
        <v>0.11653906033398022</v>
      </c>
      <c r="P251" s="181">
        <f t="shared" si="2252"/>
        <v>0.12877573047567634</v>
      </c>
      <c r="Q251" s="181">
        <f t="shared" si="2252"/>
        <v>0.14287577607345964</v>
      </c>
      <c r="R251" s="181">
        <f t="shared" si="2252"/>
        <v>0.128728207141455</v>
      </c>
      <c r="S251" s="181">
        <f t="shared" si="2252"/>
        <v>9.4423885743159922E-2</v>
      </c>
      <c r="T251" s="181">
        <f t="shared" si="2252"/>
        <v>0.12195594468103937</v>
      </c>
      <c r="U251" s="181">
        <f t="shared" si="2252"/>
        <v>9.1212827242111244E-2</v>
      </c>
      <c r="V251" s="181">
        <f t="shared" si="2252"/>
        <v>0.10272874542559556</v>
      </c>
      <c r="W251" s="181">
        <f t="shared" si="2252"/>
        <v>0.12380821514174503</v>
      </c>
      <c r="X251" s="181">
        <f t="shared" si="2252"/>
        <v>0.14136940496309616</v>
      </c>
      <c r="Y251" s="181">
        <f t="shared" si="2252"/>
        <v>0.13276205737512714</v>
      </c>
      <c r="Z251" s="181">
        <f t="shared" si="2252"/>
        <v>0.13019183701109618</v>
      </c>
      <c r="AA251" s="181">
        <f t="shared" ref="AA251" si="2253">+AA48</f>
        <v>0.11448405887128832</v>
      </c>
      <c r="AB251" s="182">
        <f t="shared" si="2252"/>
        <v>7.173320011198514E-2</v>
      </c>
      <c r="AC251" s="182">
        <f t="shared" si="2252"/>
        <v>0.12490839342259</v>
      </c>
      <c r="AD251" s="182">
        <f t="shared" si="2252"/>
        <v>0.13873336185105634</v>
      </c>
      <c r="AE251" s="182">
        <f t="shared" si="2252"/>
        <v>0.14625773612382903</v>
      </c>
      <c r="AL251" s="181" t="e">
        <f t="shared" ref="AL251:CW251" si="2254">+AL48</f>
        <v>#DIV/0!</v>
      </c>
      <c r="AM251" s="181" t="e">
        <f t="shared" si="2254"/>
        <v>#DIV/0!</v>
      </c>
      <c r="AN251" s="181" t="e">
        <f t="shared" si="2254"/>
        <v>#DIV/0!</v>
      </c>
      <c r="AO251" s="181" t="e">
        <f t="shared" si="2254"/>
        <v>#DIV/0!</v>
      </c>
      <c r="AP251" s="181" t="e">
        <f t="shared" si="2254"/>
        <v>#DIV/0!</v>
      </c>
      <c r="AQ251" s="181" t="e">
        <f t="shared" si="2254"/>
        <v>#DIV/0!</v>
      </c>
      <c r="AR251" s="181" t="e">
        <f t="shared" si="2254"/>
        <v>#DIV/0!</v>
      </c>
      <c r="AS251" s="181" t="e">
        <f t="shared" si="2254"/>
        <v>#DIV/0!</v>
      </c>
      <c r="AT251" s="181" t="e">
        <f t="shared" si="2254"/>
        <v>#DIV/0!</v>
      </c>
      <c r="AU251" s="181" t="e">
        <f t="shared" si="2254"/>
        <v>#DIV/0!</v>
      </c>
      <c r="AV251" s="181" t="e">
        <f t="shared" si="2254"/>
        <v>#DIV/0!</v>
      </c>
      <c r="AW251" s="181" t="e">
        <f t="shared" si="2254"/>
        <v>#DIV/0!</v>
      </c>
      <c r="AX251" s="181" t="e">
        <f t="shared" si="2254"/>
        <v>#DIV/0!</v>
      </c>
      <c r="AY251" s="181" t="e">
        <f t="shared" si="2254"/>
        <v>#DIV/0!</v>
      </c>
      <c r="AZ251" s="181" t="e">
        <f t="shared" si="2254"/>
        <v>#DIV/0!</v>
      </c>
      <c r="BA251" s="181" t="e">
        <f t="shared" si="2254"/>
        <v>#DIV/0!</v>
      </c>
      <c r="BB251" s="181" t="e">
        <f t="shared" si="2254"/>
        <v>#DIV/0!</v>
      </c>
      <c r="BC251" s="181" t="e">
        <f t="shared" si="2254"/>
        <v>#DIV/0!</v>
      </c>
      <c r="BD251" s="181" t="e">
        <f t="shared" si="2254"/>
        <v>#DIV/0!</v>
      </c>
      <c r="BE251" s="181" t="e">
        <f t="shared" si="2254"/>
        <v>#DIV/0!</v>
      </c>
      <c r="BF251" s="181" t="e">
        <f t="shared" si="2254"/>
        <v>#DIV/0!</v>
      </c>
      <c r="BG251" s="181" t="e">
        <f t="shared" si="2254"/>
        <v>#DIV/0!</v>
      </c>
      <c r="BH251" s="181" t="e">
        <f t="shared" si="2254"/>
        <v>#DIV/0!</v>
      </c>
      <c r="BI251" s="181" t="e">
        <f t="shared" si="2254"/>
        <v>#DIV/0!</v>
      </c>
      <c r="BJ251" s="181" t="e">
        <f t="shared" si="2254"/>
        <v>#DIV/0!</v>
      </c>
      <c r="BK251" s="181" t="e">
        <f t="shared" si="2254"/>
        <v>#DIV/0!</v>
      </c>
      <c r="BL251" s="181" t="e">
        <f t="shared" si="2254"/>
        <v>#DIV/0!</v>
      </c>
      <c r="BM251" s="181" t="e">
        <f t="shared" si="2254"/>
        <v>#DIV/0!</v>
      </c>
      <c r="BN251" s="181" t="e">
        <f t="shared" si="2254"/>
        <v>#DIV/0!</v>
      </c>
      <c r="BO251" s="181" t="e">
        <f t="shared" si="2254"/>
        <v>#DIV/0!</v>
      </c>
      <c r="BP251" s="181" t="e">
        <f t="shared" si="2254"/>
        <v>#DIV/0!</v>
      </c>
      <c r="BQ251" s="181" t="e">
        <f t="shared" si="2254"/>
        <v>#DIV/0!</v>
      </c>
      <c r="BR251" s="181" t="e">
        <f t="shared" si="2254"/>
        <v>#DIV/0!</v>
      </c>
      <c r="BS251" s="181" t="e">
        <f t="shared" si="2254"/>
        <v>#DIV/0!</v>
      </c>
      <c r="BT251" s="181" t="e">
        <f t="shared" si="2254"/>
        <v>#DIV/0!</v>
      </c>
      <c r="BU251" s="181" t="e">
        <f t="shared" si="2254"/>
        <v>#DIV/0!</v>
      </c>
      <c r="BV251" s="181" t="e">
        <f t="shared" si="2254"/>
        <v>#DIV/0!</v>
      </c>
      <c r="BW251" s="181" t="e">
        <f t="shared" si="2254"/>
        <v>#DIV/0!</v>
      </c>
      <c r="BX251" s="181" t="e">
        <f t="shared" si="2254"/>
        <v>#DIV/0!</v>
      </c>
      <c r="BY251" s="181">
        <f t="shared" si="2254"/>
        <v>0.1320235966153272</v>
      </c>
      <c r="BZ251" s="181">
        <f t="shared" si="2254"/>
        <v>0.15442209371144988</v>
      </c>
      <c r="CA251" s="181">
        <f t="shared" si="2254"/>
        <v>0.15230650561020398</v>
      </c>
      <c r="CB251" s="181">
        <f t="shared" si="2254"/>
        <v>0.12636605025331529</v>
      </c>
      <c r="CC251" s="181">
        <f t="shared" si="2254"/>
        <v>0.13200977160804978</v>
      </c>
      <c r="CD251" s="181">
        <f t="shared" si="2254"/>
        <v>0.12085623150532254</v>
      </c>
      <c r="CE251" s="181">
        <f t="shared" si="2254"/>
        <v>0.12768623371710908</v>
      </c>
      <c r="CF251" s="181">
        <f t="shared" si="2254"/>
        <v>0.12141617493925717</v>
      </c>
      <c r="CG251" s="181">
        <f t="shared" si="2254"/>
        <v>0.12763211829540458</v>
      </c>
      <c r="CH251" s="181">
        <f t="shared" si="2254"/>
        <v>0.14413720686034318</v>
      </c>
      <c r="CI251" s="181">
        <f t="shared" si="2254"/>
        <v>0.13299150519573402</v>
      </c>
      <c r="CJ251" s="181">
        <f t="shared" si="2254"/>
        <v>0.12105068274731166</v>
      </c>
      <c r="CK251" s="182">
        <f t="shared" si="2254"/>
        <v>0.1195184992641299</v>
      </c>
      <c r="CL251" s="181">
        <f t="shared" ref="CL251" si="2255">+CL48</f>
        <v>8.9936522878477643E-2</v>
      </c>
      <c r="CM251" s="182">
        <f t="shared" si="2254"/>
        <v>1.7448293795602306E-2</v>
      </c>
      <c r="CN251" s="182">
        <f t="shared" si="2254"/>
        <v>6.2900225866348275E-2</v>
      </c>
      <c r="CO251" s="182">
        <f t="shared" si="2254"/>
        <v>8.8522369420282146E-2</v>
      </c>
      <c r="CP251" s="182">
        <f t="shared" si="2254"/>
        <v>0.10424936620813252</v>
      </c>
      <c r="CQ251" s="182">
        <f t="shared" si="2254"/>
        <v>0.11367128441383266</v>
      </c>
      <c r="CR251" s="182">
        <f t="shared" si="2254"/>
        <v>0.12269619718085874</v>
      </c>
      <c r="CS251" s="182">
        <f t="shared" si="2254"/>
        <v>0.12788903512123589</v>
      </c>
      <c r="CT251" s="182">
        <f t="shared" si="2254"/>
        <v>0.1319717190133004</v>
      </c>
      <c r="CU251" s="182">
        <f t="shared" si="2254"/>
        <v>0.13098510270583871</v>
      </c>
      <c r="CV251" s="182">
        <f t="shared" si="2254"/>
        <v>0.13828133776678508</v>
      </c>
      <c r="CW251" s="182">
        <f t="shared" si="2254"/>
        <v>0.14152152324420311</v>
      </c>
      <c r="CX251" s="182">
        <f t="shared" ref="CX251:DB251" si="2256">+CX48</f>
        <v>0.14210803755332352</v>
      </c>
      <c r="CY251" s="182">
        <f t="shared" si="2256"/>
        <v>0.14544450211487459</v>
      </c>
      <c r="CZ251" s="182">
        <f t="shared" si="2256"/>
        <v>0.14695876054731699</v>
      </c>
      <c r="DA251" s="182">
        <f t="shared" si="2256"/>
        <v>0.14709040127441181</v>
      </c>
      <c r="DB251" s="182">
        <f t="shared" si="2256"/>
        <v>0.14558161412675635</v>
      </c>
      <c r="DE251" s="138"/>
      <c r="DF251" s="84">
        <v>0.1168277270291445</v>
      </c>
    </row>
    <row r="252" spans="1:110" s="84" customFormat="1" x14ac:dyDescent="0.2">
      <c r="A252" s="84" t="s">
        <v>514</v>
      </c>
      <c r="E252" s="84">
        <f>(E167+E154+E144+E146)/E126</f>
        <v>2.6685939721772529</v>
      </c>
      <c r="F252" s="84">
        <f t="shared" ref="F252:AE252" si="2257">(F167+F154+F144+F146)/F126</f>
        <v>2.6831340938826349</v>
      </c>
      <c r="G252" s="84">
        <f t="shared" si="2257"/>
        <v>2.5053399141102592</v>
      </c>
      <c r="H252" s="84">
        <f t="shared" si="2257"/>
        <v>2.206639504317673</v>
      </c>
      <c r="I252" s="84">
        <f t="shared" si="2257"/>
        <v>2.1887412366579597</v>
      </c>
      <c r="J252" s="84">
        <f t="shared" si="2257"/>
        <v>2.6299637954363182</v>
      </c>
      <c r="K252" s="84">
        <f t="shared" si="2257"/>
        <v>2.5913426007795901</v>
      </c>
      <c r="L252" s="84">
        <f t="shared" si="2257"/>
        <v>2.2085287924883827</v>
      </c>
      <c r="M252" s="84">
        <f t="shared" si="2257"/>
        <v>1.9191117144576924</v>
      </c>
      <c r="N252" s="84">
        <f t="shared" si="2257"/>
        <v>1.840282514928584</v>
      </c>
      <c r="O252" s="84">
        <f t="shared" si="2257"/>
        <v>1.8709344084564308</v>
      </c>
      <c r="P252" s="84">
        <f t="shared" si="2257"/>
        <v>2.1382515302865297</v>
      </c>
      <c r="Q252" s="84">
        <f t="shared" si="2257"/>
        <v>1.6207862965049529</v>
      </c>
      <c r="R252" s="84">
        <f t="shared" si="2257"/>
        <v>1.4765979606341881</v>
      </c>
      <c r="S252" s="84">
        <f t="shared" si="2257"/>
        <v>1.4127109024302151</v>
      </c>
      <c r="T252" s="84">
        <f t="shared" si="2257"/>
        <v>1.2739499146272055</v>
      </c>
      <c r="U252" s="84">
        <f t="shared" si="2257"/>
        <v>1.3715563918581406</v>
      </c>
      <c r="V252" s="84">
        <f t="shared" si="2257"/>
        <v>1.6477638862565436</v>
      </c>
      <c r="W252" s="84">
        <f t="shared" si="2257"/>
        <v>1.8246759768279526</v>
      </c>
      <c r="X252" s="84">
        <f t="shared" si="2257"/>
        <v>1.6890765859940791</v>
      </c>
      <c r="Y252" s="84">
        <f t="shared" si="2257"/>
        <v>1.653318099117616</v>
      </c>
      <c r="Z252" s="84">
        <f t="shared" si="2257"/>
        <v>1.7664062892870911</v>
      </c>
      <c r="AA252" s="84">
        <f t="shared" ref="AA252" si="2258">(AA167+AA154+AA144+AA146)/AA126</f>
        <v>2.1688522877016441</v>
      </c>
      <c r="AB252" s="50">
        <f t="shared" si="2257"/>
        <v>2.2323238679434274</v>
      </c>
      <c r="AC252" s="50">
        <f t="shared" si="2257"/>
        <v>2.2397916233270734</v>
      </c>
      <c r="AD252" s="50">
        <f t="shared" si="2257"/>
        <v>2.211350369554089</v>
      </c>
      <c r="AE252" s="50">
        <f t="shared" si="2257"/>
        <v>2.1760344068343618</v>
      </c>
      <c r="AL252" s="84" t="e">
        <f t="shared" ref="AL252:CW252" si="2259">(AL167+AL154+AL144+AL146)/AL126</f>
        <v>#DIV/0!</v>
      </c>
      <c r="AM252" s="84" t="e">
        <f t="shared" si="2259"/>
        <v>#DIV/0!</v>
      </c>
      <c r="AN252" s="84" t="e">
        <f t="shared" si="2259"/>
        <v>#DIV/0!</v>
      </c>
      <c r="AO252" s="84" t="e">
        <f t="shared" si="2259"/>
        <v>#DIV/0!</v>
      </c>
      <c r="AP252" s="84" t="e">
        <f t="shared" si="2259"/>
        <v>#DIV/0!</v>
      </c>
      <c r="AQ252" s="84" t="e">
        <f t="shared" si="2259"/>
        <v>#DIV/0!</v>
      </c>
      <c r="AR252" s="84" t="e">
        <f t="shared" si="2259"/>
        <v>#DIV/0!</v>
      </c>
      <c r="AS252" s="84" t="e">
        <f t="shared" si="2259"/>
        <v>#DIV/0!</v>
      </c>
      <c r="AT252" s="84" t="e">
        <f t="shared" si="2259"/>
        <v>#DIV/0!</v>
      </c>
      <c r="AU252" s="84" t="e">
        <f t="shared" si="2259"/>
        <v>#DIV/0!</v>
      </c>
      <c r="AV252" s="84" t="e">
        <f t="shared" si="2259"/>
        <v>#DIV/0!</v>
      </c>
      <c r="AW252" s="84" t="e">
        <f t="shared" si="2259"/>
        <v>#DIV/0!</v>
      </c>
      <c r="AX252" s="84" t="e">
        <f t="shared" si="2259"/>
        <v>#DIV/0!</v>
      </c>
      <c r="AY252" s="84" t="e">
        <f t="shared" si="2259"/>
        <v>#DIV/0!</v>
      </c>
      <c r="AZ252" s="84" t="e">
        <f t="shared" si="2259"/>
        <v>#DIV/0!</v>
      </c>
      <c r="BA252" s="84" t="e">
        <f t="shared" si="2259"/>
        <v>#DIV/0!</v>
      </c>
      <c r="BB252" s="84" t="e">
        <f t="shared" si="2259"/>
        <v>#DIV/0!</v>
      </c>
      <c r="BC252" s="84" t="e">
        <f t="shared" si="2259"/>
        <v>#DIV/0!</v>
      </c>
      <c r="BD252" s="84" t="e">
        <f t="shared" si="2259"/>
        <v>#DIV/0!</v>
      </c>
      <c r="BE252" s="84" t="e">
        <f t="shared" si="2259"/>
        <v>#DIV/0!</v>
      </c>
      <c r="BF252" s="84" t="e">
        <f t="shared" si="2259"/>
        <v>#DIV/0!</v>
      </c>
      <c r="BG252" s="84" t="e">
        <f t="shared" si="2259"/>
        <v>#DIV/0!</v>
      </c>
      <c r="BH252" s="84" t="e">
        <f t="shared" si="2259"/>
        <v>#DIV/0!</v>
      </c>
      <c r="BI252" s="84" t="e">
        <f t="shared" si="2259"/>
        <v>#DIV/0!</v>
      </c>
      <c r="BJ252" s="84" t="e">
        <f t="shared" si="2259"/>
        <v>#DIV/0!</v>
      </c>
      <c r="BK252" s="84" t="e">
        <f t="shared" si="2259"/>
        <v>#DIV/0!</v>
      </c>
      <c r="BL252" s="84" t="e">
        <f t="shared" si="2259"/>
        <v>#DIV/0!</v>
      </c>
      <c r="BM252" s="84" t="e">
        <f t="shared" si="2259"/>
        <v>#DIV/0!</v>
      </c>
      <c r="BN252" s="84" t="e">
        <f t="shared" si="2259"/>
        <v>#DIV/0!</v>
      </c>
      <c r="BO252" s="84" t="e">
        <f t="shared" si="2259"/>
        <v>#DIV/0!</v>
      </c>
      <c r="BP252" s="84" t="e">
        <f t="shared" si="2259"/>
        <v>#DIV/0!</v>
      </c>
      <c r="BQ252" s="84" t="e">
        <f t="shared" si="2259"/>
        <v>#DIV/0!</v>
      </c>
      <c r="BR252" s="84" t="e">
        <f t="shared" si="2259"/>
        <v>#DIV/0!</v>
      </c>
      <c r="BS252" s="84" t="e">
        <f t="shared" si="2259"/>
        <v>#DIV/0!</v>
      </c>
      <c r="BT252" s="84" t="e">
        <f t="shared" si="2259"/>
        <v>#DIV/0!</v>
      </c>
      <c r="BU252" s="84" t="e">
        <f t="shared" si="2259"/>
        <v>#DIV/0!</v>
      </c>
      <c r="BV252" s="84" t="e">
        <f t="shared" si="2259"/>
        <v>#DIV/0!</v>
      </c>
      <c r="BW252" s="84" t="e">
        <f t="shared" si="2259"/>
        <v>#DIV/0!</v>
      </c>
      <c r="BX252" s="84" t="e">
        <f t="shared" si="2259"/>
        <v>#DIV/0!</v>
      </c>
      <c r="BY252" s="84" t="e">
        <f t="shared" si="2259"/>
        <v>#DIV/0!</v>
      </c>
      <c r="BZ252" s="84">
        <f t="shared" si="2259"/>
        <v>1.6890765859940793</v>
      </c>
      <c r="CA252" s="84">
        <f t="shared" si="2259"/>
        <v>1.6262257095110664</v>
      </c>
      <c r="CB252" s="84" t="e">
        <f t="shared" si="2259"/>
        <v>#DIV/0!</v>
      </c>
      <c r="CC252" s="84">
        <f t="shared" si="2259"/>
        <v>1</v>
      </c>
      <c r="CD252" s="84">
        <f t="shared" si="2259"/>
        <v>1.653318099117616</v>
      </c>
      <c r="CE252" s="84">
        <f t="shared" si="2259"/>
        <v>1.6185171111886623</v>
      </c>
      <c r="CF252" s="84">
        <f t="shared" si="2259"/>
        <v>1.7338581501606485</v>
      </c>
      <c r="CG252" s="84">
        <f t="shared" si="2259"/>
        <v>1.6995241759233559</v>
      </c>
      <c r="CH252" s="84">
        <f t="shared" si="2259"/>
        <v>1.7664062892870911</v>
      </c>
      <c r="CI252" s="84">
        <f t="shared" si="2259"/>
        <v>1.7051364450150841</v>
      </c>
      <c r="CJ252" s="84">
        <f t="shared" si="2259"/>
        <v>1.9052308382519947</v>
      </c>
      <c r="CK252" s="50">
        <f t="shared" si="2259"/>
        <v>1.9357628291670197</v>
      </c>
      <c r="CL252" s="84">
        <f t="shared" ref="CL252" si="2260">(CL167+CL154+CL144+CL146)/CL126</f>
        <v>2.1688522877016441</v>
      </c>
      <c r="CM252" s="50">
        <f t="shared" si="2259"/>
        <v>2.0244403741761534</v>
      </c>
      <c r="CN252" s="50">
        <f t="shared" si="2259"/>
        <v>2.0850200913551995</v>
      </c>
      <c r="CO252" s="50">
        <f t="shared" si="2259"/>
        <v>2.1036056025875367</v>
      </c>
      <c r="CP252" s="50">
        <f t="shared" si="2259"/>
        <v>2.2323238679434274</v>
      </c>
      <c r="CQ252" s="50">
        <f t="shared" si="2259"/>
        <v>2.0361130905962095</v>
      </c>
      <c r="CR252" s="50">
        <f t="shared" si="2259"/>
        <v>2.0910208431900772</v>
      </c>
      <c r="CS252" s="50">
        <f t="shared" si="2259"/>
        <v>2.1087943839779202</v>
      </c>
      <c r="CT252" s="50">
        <f t="shared" si="2259"/>
        <v>2.2397916233270734</v>
      </c>
      <c r="CU252" s="50">
        <f t="shared" si="2259"/>
        <v>2.0133725377707794</v>
      </c>
      <c r="CV252" s="50">
        <f t="shared" si="2259"/>
        <v>2.068715165134813</v>
      </c>
      <c r="CW252" s="50">
        <f t="shared" si="2259"/>
        <v>2.0851943150793608</v>
      </c>
      <c r="CX252" s="50">
        <f t="shared" ref="CX252:DB252" si="2261">(CX167+CX154+CX144+CX146)/CX126</f>
        <v>2.211350369554089</v>
      </c>
      <c r="CY252" s="50">
        <f t="shared" si="2261"/>
        <v>1.9817365180402957</v>
      </c>
      <c r="CZ252" s="50">
        <f t="shared" si="2261"/>
        <v>2.0359674428775612</v>
      </c>
      <c r="DA252" s="50">
        <f t="shared" si="2261"/>
        <v>2.0522846940249111</v>
      </c>
      <c r="DB252" s="50">
        <f t="shared" si="2261"/>
        <v>2.1760344068343618</v>
      </c>
      <c r="DE252" s="138"/>
      <c r="DF252" s="84">
        <v>1.8888595639447634</v>
      </c>
    </row>
    <row r="253" spans="1:110" s="84" customFormat="1" x14ac:dyDescent="0.2">
      <c r="A253" s="154" t="s">
        <v>498</v>
      </c>
      <c r="AB253" s="50"/>
      <c r="AC253" s="50"/>
      <c r="AD253" s="50"/>
      <c r="AE253" s="50"/>
      <c r="CK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50"/>
      <c r="DB253" s="50"/>
      <c r="DE253" s="138"/>
    </row>
    <row r="254" spans="1:110" s="88" customFormat="1" x14ac:dyDescent="0.2">
      <c r="A254" s="88" t="s">
        <v>102</v>
      </c>
      <c r="B254" s="88" t="e">
        <f t="shared" ref="B254:AE254" si="2262">B167/B126</f>
        <v>#DIV/0!</v>
      </c>
      <c r="C254" s="88" t="e">
        <f t="shared" si="2262"/>
        <v>#DIV/0!</v>
      </c>
      <c r="D254" s="88" t="e">
        <f t="shared" si="2262"/>
        <v>#DIV/0!</v>
      </c>
      <c r="F254" s="88">
        <f t="shared" si="2262"/>
        <v>8.0630507768618451E-2</v>
      </c>
      <c r="G254" s="88">
        <f t="shared" si="2262"/>
        <v>0.32137676892770883</v>
      </c>
      <c r="H254" s="88">
        <f t="shared" si="2262"/>
        <v>0.10694629516671336</v>
      </c>
      <c r="I254" s="88">
        <f t="shared" si="2262"/>
        <v>0.1077398417538379</v>
      </c>
      <c r="J254" s="88">
        <f t="shared" si="2262"/>
        <v>0.23698399429525116</v>
      </c>
      <c r="K254" s="88">
        <f t="shared" si="2262"/>
        <v>0.3976438344486104</v>
      </c>
      <c r="L254" s="88">
        <f t="shared" si="2262"/>
        <v>0.57597311989902644</v>
      </c>
      <c r="M254" s="88">
        <f t="shared" si="2262"/>
        <v>0.62740929523711941</v>
      </c>
      <c r="N254" s="88">
        <f t="shared" si="2262"/>
        <v>0.596734077051434</v>
      </c>
      <c r="O254" s="88">
        <f t="shared" si="2262"/>
        <v>0.81172076162081586</v>
      </c>
      <c r="P254" s="88">
        <f t="shared" si="2262"/>
        <v>0.70149085583386528</v>
      </c>
      <c r="Q254" s="88">
        <f t="shared" si="2262"/>
        <v>0.45819278740898683</v>
      </c>
      <c r="R254" s="88">
        <f t="shared" si="2262"/>
        <v>0.3454888355629368</v>
      </c>
      <c r="S254" s="88">
        <f t="shared" si="2262"/>
        <v>0.16563257829833342</v>
      </c>
      <c r="T254" s="88">
        <f t="shared" si="2262"/>
        <v>0.22136027319294252</v>
      </c>
      <c r="U254" s="88">
        <f t="shared" si="2262"/>
        <v>0.22674469758431262</v>
      </c>
      <c r="V254" s="88">
        <f t="shared" si="2262"/>
        <v>0.59774880797552377</v>
      </c>
      <c r="W254" s="88">
        <f t="shared" si="2262"/>
        <v>0.61270673430516542</v>
      </c>
      <c r="X254" s="88">
        <f t="shared" si="2262"/>
        <v>0.3442037833046212</v>
      </c>
      <c r="Y254" s="88">
        <f t="shared" si="2262"/>
        <v>0.3302699312597413</v>
      </c>
      <c r="Z254" s="88">
        <f t="shared" si="2262"/>
        <v>0.42305457308725991</v>
      </c>
      <c r="AA254" s="88">
        <f t="shared" ref="AA254" si="2263">AA167/AA126</f>
        <v>0.38563275959188148</v>
      </c>
      <c r="AB254" s="42">
        <f t="shared" si="2262"/>
        <v>0.5028095001589804</v>
      </c>
      <c r="AC254" s="42">
        <f t="shared" si="2262"/>
        <v>0.55905812004763655</v>
      </c>
      <c r="AD254" s="42">
        <f t="shared" si="2262"/>
        <v>0.61577214484469567</v>
      </c>
      <c r="AE254" s="42">
        <f t="shared" si="2262"/>
        <v>0.65462893276200873</v>
      </c>
      <c r="AL254" s="88" t="e">
        <f t="shared" ref="AL254:CW254" si="2264">AL167/AL126</f>
        <v>#DIV/0!</v>
      </c>
      <c r="AM254" s="88" t="e">
        <f t="shared" si="2264"/>
        <v>#DIV/0!</v>
      </c>
      <c r="AN254" s="88" t="e">
        <f t="shared" si="2264"/>
        <v>#DIV/0!</v>
      </c>
      <c r="AO254" s="88" t="e">
        <f t="shared" si="2264"/>
        <v>#DIV/0!</v>
      </c>
      <c r="AP254" s="88" t="e">
        <f t="shared" si="2264"/>
        <v>#DIV/0!</v>
      </c>
      <c r="AQ254" s="88" t="e">
        <f t="shared" si="2264"/>
        <v>#DIV/0!</v>
      </c>
      <c r="AR254" s="88" t="e">
        <f t="shared" si="2264"/>
        <v>#DIV/0!</v>
      </c>
      <c r="AS254" s="88" t="e">
        <f t="shared" si="2264"/>
        <v>#DIV/0!</v>
      </c>
      <c r="AT254" s="88" t="e">
        <f t="shared" si="2264"/>
        <v>#DIV/0!</v>
      </c>
      <c r="AU254" s="88" t="e">
        <f t="shared" si="2264"/>
        <v>#DIV/0!</v>
      </c>
      <c r="AV254" s="88" t="e">
        <f t="shared" si="2264"/>
        <v>#DIV/0!</v>
      </c>
      <c r="AW254" s="88" t="e">
        <f t="shared" si="2264"/>
        <v>#DIV/0!</v>
      </c>
      <c r="AX254" s="88" t="e">
        <f t="shared" si="2264"/>
        <v>#DIV/0!</v>
      </c>
      <c r="AY254" s="88" t="e">
        <f t="shared" si="2264"/>
        <v>#DIV/0!</v>
      </c>
      <c r="AZ254" s="88" t="e">
        <f t="shared" si="2264"/>
        <v>#DIV/0!</v>
      </c>
      <c r="BA254" s="88" t="e">
        <f t="shared" si="2264"/>
        <v>#DIV/0!</v>
      </c>
      <c r="BB254" s="88" t="e">
        <f t="shared" si="2264"/>
        <v>#DIV/0!</v>
      </c>
      <c r="BC254" s="88" t="e">
        <f t="shared" si="2264"/>
        <v>#DIV/0!</v>
      </c>
      <c r="BD254" s="88" t="e">
        <f t="shared" si="2264"/>
        <v>#DIV/0!</v>
      </c>
      <c r="BE254" s="88" t="e">
        <f t="shared" si="2264"/>
        <v>#DIV/0!</v>
      </c>
      <c r="BF254" s="88" t="e">
        <f t="shared" si="2264"/>
        <v>#DIV/0!</v>
      </c>
      <c r="BG254" s="88" t="e">
        <f t="shared" si="2264"/>
        <v>#DIV/0!</v>
      </c>
      <c r="BH254" s="88" t="e">
        <f t="shared" si="2264"/>
        <v>#DIV/0!</v>
      </c>
      <c r="BI254" s="88" t="e">
        <f t="shared" si="2264"/>
        <v>#DIV/0!</v>
      </c>
      <c r="BJ254" s="88" t="e">
        <f t="shared" si="2264"/>
        <v>#DIV/0!</v>
      </c>
      <c r="BK254" s="88" t="e">
        <f t="shared" si="2264"/>
        <v>#DIV/0!</v>
      </c>
      <c r="BL254" s="88" t="e">
        <f t="shared" si="2264"/>
        <v>#DIV/0!</v>
      </c>
      <c r="BM254" s="88" t="e">
        <f t="shared" si="2264"/>
        <v>#DIV/0!</v>
      </c>
      <c r="BN254" s="88" t="e">
        <f t="shared" si="2264"/>
        <v>#DIV/0!</v>
      </c>
      <c r="BO254" s="88" t="e">
        <f t="shared" si="2264"/>
        <v>#DIV/0!</v>
      </c>
      <c r="BP254" s="88" t="e">
        <f t="shared" si="2264"/>
        <v>#DIV/0!</v>
      </c>
      <c r="BQ254" s="88" t="e">
        <f t="shared" si="2264"/>
        <v>#DIV/0!</v>
      </c>
      <c r="BR254" s="88" t="e">
        <f t="shared" si="2264"/>
        <v>#DIV/0!</v>
      </c>
      <c r="BS254" s="88" t="e">
        <f t="shared" si="2264"/>
        <v>#DIV/0!</v>
      </c>
      <c r="BT254" s="88" t="e">
        <f t="shared" si="2264"/>
        <v>#DIV/0!</v>
      </c>
      <c r="BU254" s="88" t="e">
        <f t="shared" si="2264"/>
        <v>#DIV/0!</v>
      </c>
      <c r="BV254" s="88" t="e">
        <f t="shared" si="2264"/>
        <v>#DIV/0!</v>
      </c>
      <c r="BW254" s="88" t="e">
        <f t="shared" si="2264"/>
        <v>#DIV/0!</v>
      </c>
      <c r="BX254" s="88" t="e">
        <f t="shared" si="2264"/>
        <v>#DIV/0!</v>
      </c>
      <c r="BY254" s="88" t="e">
        <f t="shared" si="2264"/>
        <v>#DIV/0!</v>
      </c>
      <c r="BZ254" s="88">
        <f t="shared" si="2264"/>
        <v>0.3442037833046212</v>
      </c>
      <c r="CA254" s="88">
        <f t="shared" si="2264"/>
        <v>0.39825102669692614</v>
      </c>
      <c r="CB254" s="88" t="e">
        <f t="shared" si="2264"/>
        <v>#DIV/0!</v>
      </c>
      <c r="CC254" s="88">
        <f t="shared" si="2264"/>
        <v>1</v>
      </c>
      <c r="CD254" s="88">
        <f t="shared" si="2264"/>
        <v>0.3302699312597413</v>
      </c>
      <c r="CE254" s="88">
        <f t="shared" si="2264"/>
        <v>0.36720617306693198</v>
      </c>
      <c r="CF254" s="88">
        <f t="shared" si="2264"/>
        <v>0.31044232043270947</v>
      </c>
      <c r="CG254" s="88">
        <f t="shared" si="2264"/>
        <v>0.34191287804218834</v>
      </c>
      <c r="CH254" s="88">
        <f t="shared" si="2264"/>
        <v>0.42305457308725991</v>
      </c>
      <c r="CI254" s="88">
        <f t="shared" si="2264"/>
        <v>0.46266574723870052</v>
      </c>
      <c r="CJ254" s="88">
        <f t="shared" si="2264"/>
        <v>0.28692921334137145</v>
      </c>
      <c r="CK254" s="42">
        <f t="shared" si="2264"/>
        <v>0.27947596432691318</v>
      </c>
      <c r="CL254" s="88">
        <f t="shared" ref="CL254" si="2265">CL167/CL126</f>
        <v>0.38563275959188148</v>
      </c>
      <c r="CM254" s="42">
        <f t="shared" si="2264"/>
        <v>0.46032258899258133</v>
      </c>
      <c r="CN254" s="42">
        <f t="shared" si="2264"/>
        <v>0.48322266297681971</v>
      </c>
      <c r="CO254" s="42">
        <f t="shared" si="2264"/>
        <v>0.50578451861036311</v>
      </c>
      <c r="CP254" s="42">
        <f t="shared" si="2264"/>
        <v>0.5028095001589804</v>
      </c>
      <c r="CQ254" s="42">
        <f t="shared" si="2264"/>
        <v>0.55683588215333302</v>
      </c>
      <c r="CR254" s="42">
        <f t="shared" si="2264"/>
        <v>0.56086677576727106</v>
      </c>
      <c r="CS254" s="42">
        <f t="shared" si="2264"/>
        <v>0.57075196728121935</v>
      </c>
      <c r="CT254" s="42">
        <f t="shared" si="2264"/>
        <v>0.55905812004763655</v>
      </c>
      <c r="CU254" s="42">
        <f t="shared" si="2264"/>
        <v>0.61823146100570436</v>
      </c>
      <c r="CV254" s="42">
        <f t="shared" si="2264"/>
        <v>0.62076404178116407</v>
      </c>
      <c r="CW254" s="42">
        <f t="shared" si="2264"/>
        <v>0.62904260939411483</v>
      </c>
      <c r="CX254" s="42">
        <f t="shared" ref="CX254:DB254" si="2266">CX167/CX126</f>
        <v>0.61577214484469567</v>
      </c>
      <c r="CY254" s="42">
        <f t="shared" si="2266"/>
        <v>0.66847430406097663</v>
      </c>
      <c r="CZ254" s="42">
        <f t="shared" si="2266"/>
        <v>0.66612268235510741</v>
      </c>
      <c r="DA254" s="42">
        <f t="shared" si="2266"/>
        <v>0.67062882391960377</v>
      </c>
      <c r="DB254" s="42">
        <f t="shared" si="2266"/>
        <v>0.65462893276200873</v>
      </c>
      <c r="DE254" s="125"/>
      <c r="DF254" s="88">
        <v>0.31434710610611133</v>
      </c>
    </row>
    <row r="255" spans="1:110" s="89" customFormat="1" x14ac:dyDescent="0.2">
      <c r="A255" s="89" t="s">
        <v>103</v>
      </c>
      <c r="C255" s="89" t="e">
        <f t="shared" ref="C255:AE255" si="2267">C134/B134-1</f>
        <v>#DIV/0!</v>
      </c>
      <c r="D255" s="89" t="e">
        <f t="shared" si="2267"/>
        <v>#DIV/0!</v>
      </c>
      <c r="F255" s="89">
        <f t="shared" si="2267"/>
        <v>-0.52706690574429671</v>
      </c>
      <c r="G255" s="89">
        <f t="shared" si="2267"/>
        <v>31.308864907761688</v>
      </c>
      <c r="H255" s="89">
        <f t="shared" si="2267"/>
        <v>-0.1982785533368675</v>
      </c>
      <c r="I255" s="89">
        <f t="shared" si="2267"/>
        <v>5.4639413848902585E-3</v>
      </c>
      <c r="J255" s="89">
        <f t="shared" si="2267"/>
        <v>0.50506089838881518</v>
      </c>
      <c r="K255" s="89">
        <f>K134/J134-1</f>
        <v>-9.6502290376534461E-2</v>
      </c>
      <c r="L255" s="89">
        <f t="shared" si="2267"/>
        <v>1.681140768335343E-2</v>
      </c>
      <c r="M255" s="89">
        <f t="shared" si="2267"/>
        <v>0.12258790748187143</v>
      </c>
      <c r="N255" s="89">
        <f t="shared" si="2267"/>
        <v>-0.12637184805955215</v>
      </c>
      <c r="O255" s="89">
        <f t="shared" si="2267"/>
        <v>0.38303246665768542</v>
      </c>
      <c r="P255" s="89">
        <f t="shared" si="2267"/>
        <v>-0.11737489346158525</v>
      </c>
      <c r="Q255" s="89">
        <f t="shared" si="2267"/>
        <v>9.2536901641605773E-2</v>
      </c>
      <c r="R255" s="89">
        <f t="shared" si="2267"/>
        <v>-0.45084471830096728</v>
      </c>
      <c r="S255" s="89">
        <f t="shared" si="2267"/>
        <v>-0.69019589809620152</v>
      </c>
      <c r="T255" s="89">
        <f t="shared" si="2267"/>
        <v>-1</v>
      </c>
      <c r="U255" s="89" t="e">
        <f t="shared" si="2267"/>
        <v>#DIV/0!</v>
      </c>
      <c r="V255" s="89" t="e">
        <f t="shared" si="2267"/>
        <v>#DIV/0!</v>
      </c>
      <c r="W255" s="89" t="e">
        <f t="shared" si="2267"/>
        <v>#DIV/0!</v>
      </c>
      <c r="X255" s="89" t="e">
        <f t="shared" si="2267"/>
        <v>#DIV/0!</v>
      </c>
      <c r="Y255" s="89" t="e">
        <f t="shared" si="2267"/>
        <v>#DIV/0!</v>
      </c>
      <c r="Z255" s="89" t="e">
        <f t="shared" si="2267"/>
        <v>#DIV/0!</v>
      </c>
      <c r="AA255" s="89" t="e">
        <f t="shared" si="2267"/>
        <v>#DIV/0!</v>
      </c>
      <c r="AB255" s="47">
        <f t="shared" si="2267"/>
        <v>0</v>
      </c>
      <c r="AC255" s="47">
        <f t="shared" si="2267"/>
        <v>0</v>
      </c>
      <c r="AD255" s="47">
        <f t="shared" si="2267"/>
        <v>0</v>
      </c>
      <c r="AE255" s="47">
        <f t="shared" si="2267"/>
        <v>0</v>
      </c>
      <c r="AL255" s="89" t="e">
        <f t="shared" ref="AL255:CW255" si="2268">AL134/AK134-1</f>
        <v>#DIV/0!</v>
      </c>
      <c r="AM255" s="89" t="e">
        <f t="shared" si="2268"/>
        <v>#DIV/0!</v>
      </c>
      <c r="AN255" s="89" t="e">
        <f t="shared" si="2268"/>
        <v>#DIV/0!</v>
      </c>
      <c r="AO255" s="89" t="e">
        <f t="shared" si="2268"/>
        <v>#DIV/0!</v>
      </c>
      <c r="AP255" s="89" t="e">
        <f t="shared" si="2268"/>
        <v>#DIV/0!</v>
      </c>
      <c r="AQ255" s="89" t="e">
        <f t="shared" si="2268"/>
        <v>#DIV/0!</v>
      </c>
      <c r="AR255" s="89" t="e">
        <f t="shared" si="2268"/>
        <v>#DIV/0!</v>
      </c>
      <c r="AS255" s="89" t="e">
        <f t="shared" si="2268"/>
        <v>#DIV/0!</v>
      </c>
      <c r="AT255" s="89" t="e">
        <f t="shared" si="2268"/>
        <v>#DIV/0!</v>
      </c>
      <c r="AU255" s="89" t="e">
        <f t="shared" si="2268"/>
        <v>#DIV/0!</v>
      </c>
      <c r="AV255" s="89" t="e">
        <f t="shared" si="2268"/>
        <v>#DIV/0!</v>
      </c>
      <c r="AW255" s="89" t="e">
        <f t="shared" si="2268"/>
        <v>#DIV/0!</v>
      </c>
      <c r="AX255" s="89" t="e">
        <f t="shared" si="2268"/>
        <v>#DIV/0!</v>
      </c>
      <c r="AY255" s="89" t="e">
        <f t="shared" si="2268"/>
        <v>#DIV/0!</v>
      </c>
      <c r="AZ255" s="89" t="e">
        <f t="shared" si="2268"/>
        <v>#DIV/0!</v>
      </c>
      <c r="BA255" s="89" t="e">
        <f t="shared" si="2268"/>
        <v>#DIV/0!</v>
      </c>
      <c r="BB255" s="89" t="e">
        <f t="shared" si="2268"/>
        <v>#DIV/0!</v>
      </c>
      <c r="BC255" s="89" t="e">
        <f t="shared" si="2268"/>
        <v>#DIV/0!</v>
      </c>
      <c r="BD255" s="89" t="e">
        <f t="shared" si="2268"/>
        <v>#DIV/0!</v>
      </c>
      <c r="BE255" s="89" t="e">
        <f t="shared" si="2268"/>
        <v>#DIV/0!</v>
      </c>
      <c r="BF255" s="89" t="e">
        <f t="shared" si="2268"/>
        <v>#DIV/0!</v>
      </c>
      <c r="BG255" s="89" t="e">
        <f t="shared" si="2268"/>
        <v>#DIV/0!</v>
      </c>
      <c r="BH255" s="89" t="e">
        <f t="shared" si="2268"/>
        <v>#DIV/0!</v>
      </c>
      <c r="BI255" s="89" t="e">
        <f t="shared" si="2268"/>
        <v>#DIV/0!</v>
      </c>
      <c r="BJ255" s="89" t="e">
        <f t="shared" si="2268"/>
        <v>#DIV/0!</v>
      </c>
      <c r="BK255" s="89" t="e">
        <f t="shared" si="2268"/>
        <v>#DIV/0!</v>
      </c>
      <c r="BL255" s="89" t="e">
        <f t="shared" si="2268"/>
        <v>#DIV/0!</v>
      </c>
      <c r="BM255" s="89" t="e">
        <f t="shared" si="2268"/>
        <v>#DIV/0!</v>
      </c>
      <c r="BN255" s="89" t="e">
        <f t="shared" si="2268"/>
        <v>#DIV/0!</v>
      </c>
      <c r="BO255" s="89" t="e">
        <f t="shared" si="2268"/>
        <v>#DIV/0!</v>
      </c>
      <c r="BP255" s="89" t="e">
        <f t="shared" si="2268"/>
        <v>#DIV/0!</v>
      </c>
      <c r="BQ255" s="89" t="e">
        <f t="shared" si="2268"/>
        <v>#DIV/0!</v>
      </c>
      <c r="BR255" s="89" t="e">
        <f t="shared" si="2268"/>
        <v>#DIV/0!</v>
      </c>
      <c r="BS255" s="89" t="e">
        <f t="shared" si="2268"/>
        <v>#DIV/0!</v>
      </c>
      <c r="BT255" s="89" t="e">
        <f t="shared" si="2268"/>
        <v>#DIV/0!</v>
      </c>
      <c r="BU255" s="89" t="e">
        <f t="shared" si="2268"/>
        <v>#DIV/0!</v>
      </c>
      <c r="BV255" s="89" t="e">
        <f t="shared" si="2268"/>
        <v>#DIV/0!</v>
      </c>
      <c r="BW255" s="89" t="e">
        <f t="shared" si="2268"/>
        <v>#DIV/0!</v>
      </c>
      <c r="BX255" s="89" t="e">
        <f t="shared" si="2268"/>
        <v>#DIV/0!</v>
      </c>
      <c r="BY255" s="89" t="e">
        <f t="shared" si="2268"/>
        <v>#DIV/0!</v>
      </c>
      <c r="BZ255" s="89" t="e">
        <f t="shared" si="2268"/>
        <v>#DIV/0!</v>
      </c>
      <c r="CA255" s="89" t="e">
        <f t="shared" si="2268"/>
        <v>#DIV/0!</v>
      </c>
      <c r="CB255" s="89" t="e">
        <f t="shared" si="2268"/>
        <v>#DIV/0!</v>
      </c>
      <c r="CC255" s="89" t="e">
        <f t="shared" si="2268"/>
        <v>#DIV/0!</v>
      </c>
      <c r="CD255" s="89" t="e">
        <f t="shared" si="2268"/>
        <v>#DIV/0!</v>
      </c>
      <c r="CE255" s="89" t="e">
        <f t="shared" si="2268"/>
        <v>#DIV/0!</v>
      </c>
      <c r="CF255" s="89" t="e">
        <f t="shared" si="2268"/>
        <v>#DIV/0!</v>
      </c>
      <c r="CG255" s="89" t="e">
        <f t="shared" si="2268"/>
        <v>#DIV/0!</v>
      </c>
      <c r="CH255" s="89" t="e">
        <f t="shared" si="2268"/>
        <v>#DIV/0!</v>
      </c>
      <c r="CI255" s="89" t="e">
        <f t="shared" si="2268"/>
        <v>#DIV/0!</v>
      </c>
      <c r="CJ255" s="89" t="e">
        <f t="shared" si="2268"/>
        <v>#DIV/0!</v>
      </c>
      <c r="CK255" s="47" t="e">
        <f t="shared" si="2268"/>
        <v>#DIV/0!</v>
      </c>
      <c r="CL255" s="89" t="e">
        <f t="shared" si="2268"/>
        <v>#DIV/0!</v>
      </c>
      <c r="CM255" s="47">
        <f t="shared" si="2268"/>
        <v>0</v>
      </c>
      <c r="CN255" s="47">
        <f t="shared" si="2268"/>
        <v>0</v>
      </c>
      <c r="CO255" s="47">
        <f t="shared" si="2268"/>
        <v>0</v>
      </c>
      <c r="CP255" s="47">
        <f t="shared" si="2268"/>
        <v>0</v>
      </c>
      <c r="CQ255" s="47">
        <f t="shared" si="2268"/>
        <v>0</v>
      </c>
      <c r="CR255" s="47">
        <f t="shared" si="2268"/>
        <v>0</v>
      </c>
      <c r="CS255" s="47">
        <f t="shared" si="2268"/>
        <v>0</v>
      </c>
      <c r="CT255" s="47">
        <f t="shared" si="2268"/>
        <v>0</v>
      </c>
      <c r="CU255" s="47">
        <f t="shared" si="2268"/>
        <v>0</v>
      </c>
      <c r="CV255" s="47">
        <f t="shared" si="2268"/>
        <v>0</v>
      </c>
      <c r="CW255" s="47">
        <f t="shared" si="2268"/>
        <v>0</v>
      </c>
      <c r="CX255" s="47">
        <f t="shared" ref="CX255:DB255" si="2269">CX134/CW134-1</f>
        <v>0</v>
      </c>
      <c r="CY255" s="47">
        <f t="shared" si="2269"/>
        <v>0</v>
      </c>
      <c r="CZ255" s="47">
        <f t="shared" si="2269"/>
        <v>0</v>
      </c>
      <c r="DA255" s="47">
        <f t="shared" si="2269"/>
        <v>0</v>
      </c>
      <c r="DB255" s="47">
        <f t="shared" si="2269"/>
        <v>0</v>
      </c>
      <c r="DE255" s="130"/>
    </row>
    <row r="256" spans="1:110" s="89" customFormat="1" x14ac:dyDescent="0.2">
      <c r="A256" s="89" t="s">
        <v>104</v>
      </c>
      <c r="C256" s="89" t="e">
        <f>C34/B34-1</f>
        <v>#DIV/0!</v>
      </c>
      <c r="D256" s="89" t="e">
        <f>D34/C34-1</f>
        <v>#DIV/0!</v>
      </c>
      <c r="F256" s="89">
        <f t="shared" ref="F256:AE256" si="2270">F34/E34-1</f>
        <v>0.29628534015456642</v>
      </c>
      <c r="G256" s="89">
        <f t="shared" si="2270"/>
        <v>0.88721147694540514</v>
      </c>
      <c r="H256" s="89">
        <f t="shared" si="2270"/>
        <v>-0.27552816651879353</v>
      </c>
      <c r="I256" s="89">
        <f t="shared" si="2270"/>
        <v>1.3566009460945203</v>
      </c>
      <c r="J256" s="89">
        <f t="shared" si="2270"/>
        <v>0.34722302932293725</v>
      </c>
      <c r="K256" s="89">
        <f t="shared" si="2270"/>
        <v>0.55762777244420758</v>
      </c>
      <c r="L256" s="89">
        <f t="shared" si="2270"/>
        <v>0.48292461003485543</v>
      </c>
      <c r="M256" s="89">
        <f t="shared" si="2270"/>
        <v>0.49877738479326017</v>
      </c>
      <c r="N256" s="89">
        <f t="shared" si="2270"/>
        <v>0.36242924780178676</v>
      </c>
      <c r="O256" s="89">
        <f t="shared" si="2270"/>
        <v>-0.10362667224080291</v>
      </c>
      <c r="P256" s="89">
        <f t="shared" si="2270"/>
        <v>0.2823995802483521</v>
      </c>
      <c r="Q256" s="89">
        <f t="shared" si="2270"/>
        <v>0.13590489612219958</v>
      </c>
      <c r="R256" s="89">
        <f t="shared" si="2270"/>
        <v>-2.0090849058492011E-2</v>
      </c>
      <c r="S256" s="89">
        <f t="shared" si="2270"/>
        <v>-0.32057015662970423</v>
      </c>
      <c r="T256" s="89">
        <f t="shared" si="2270"/>
        <v>0.51143638604190067</v>
      </c>
      <c r="U256" s="89">
        <f t="shared" si="2270"/>
        <v>-6.4452045260208646E-2</v>
      </c>
      <c r="V256" s="89">
        <f t="shared" si="2270"/>
        <v>-0.19504568942245681</v>
      </c>
      <c r="W256" s="89">
        <f t="shared" si="2270"/>
        <v>0.68598725105493119</v>
      </c>
      <c r="X256" s="89">
        <f t="shared" si="2270"/>
        <v>0.26350081443428008</v>
      </c>
      <c r="Y256" s="89">
        <f t="shared" si="2270"/>
        <v>0.16676170170567328</v>
      </c>
      <c r="Z256" s="89">
        <f t="shared" si="2270"/>
        <v>-1.0082337317397272E-2</v>
      </c>
      <c r="AA256" s="89">
        <f t="shared" si="2270"/>
        <v>-0.1002833347643185</v>
      </c>
      <c r="AB256" s="47">
        <f t="shared" si="2270"/>
        <v>0.2423681239799873</v>
      </c>
      <c r="AC256" s="47">
        <f t="shared" si="2270"/>
        <v>0.30060756210455231</v>
      </c>
      <c r="AD256" s="47">
        <f t="shared" si="2270"/>
        <v>0.23400255287070548</v>
      </c>
      <c r="AE256" s="47">
        <f t="shared" si="2270"/>
        <v>0.23126496811086938</v>
      </c>
      <c r="AL256" s="89" t="e">
        <f t="shared" ref="AL256:CW256" si="2271">AL34/AK34-1</f>
        <v>#DIV/0!</v>
      </c>
      <c r="AM256" s="89" t="e">
        <f t="shared" si="2271"/>
        <v>#DIV/0!</v>
      </c>
      <c r="AN256" s="89" t="e">
        <f t="shared" si="2271"/>
        <v>#DIV/0!</v>
      </c>
      <c r="AO256" s="89" t="e">
        <f t="shared" si="2271"/>
        <v>#DIV/0!</v>
      </c>
      <c r="AP256" s="89" t="e">
        <f t="shared" si="2271"/>
        <v>#DIV/0!</v>
      </c>
      <c r="AQ256" s="89" t="e">
        <f t="shared" si="2271"/>
        <v>#DIV/0!</v>
      </c>
      <c r="AR256" s="89" t="e">
        <f t="shared" si="2271"/>
        <v>#DIV/0!</v>
      </c>
      <c r="AS256" s="89" t="e">
        <f t="shared" si="2271"/>
        <v>#DIV/0!</v>
      </c>
      <c r="AT256" s="89" t="e">
        <f t="shared" si="2271"/>
        <v>#DIV/0!</v>
      </c>
      <c r="AU256" s="89" t="e">
        <f t="shared" si="2271"/>
        <v>#DIV/0!</v>
      </c>
      <c r="AV256" s="89" t="e">
        <f t="shared" si="2271"/>
        <v>#DIV/0!</v>
      </c>
      <c r="AW256" s="89" t="e">
        <f t="shared" si="2271"/>
        <v>#DIV/0!</v>
      </c>
      <c r="AX256" s="89" t="e">
        <f t="shared" si="2271"/>
        <v>#DIV/0!</v>
      </c>
      <c r="AY256" s="89" t="e">
        <f t="shared" si="2271"/>
        <v>#DIV/0!</v>
      </c>
      <c r="AZ256" s="89" t="e">
        <f t="shared" si="2271"/>
        <v>#DIV/0!</v>
      </c>
      <c r="BA256" s="89" t="e">
        <f t="shared" si="2271"/>
        <v>#DIV/0!</v>
      </c>
      <c r="BB256" s="89" t="e">
        <f t="shared" si="2271"/>
        <v>#DIV/0!</v>
      </c>
      <c r="BC256" s="89" t="e">
        <f t="shared" si="2271"/>
        <v>#DIV/0!</v>
      </c>
      <c r="BD256" s="89" t="e">
        <f t="shared" si="2271"/>
        <v>#DIV/0!</v>
      </c>
      <c r="BE256" s="89" t="e">
        <f t="shared" si="2271"/>
        <v>#DIV/0!</v>
      </c>
      <c r="BF256" s="89" t="e">
        <f t="shared" si="2271"/>
        <v>#DIV/0!</v>
      </c>
      <c r="BG256" s="89" t="e">
        <f t="shared" si="2271"/>
        <v>#DIV/0!</v>
      </c>
      <c r="BH256" s="89" t="e">
        <f t="shared" si="2271"/>
        <v>#DIV/0!</v>
      </c>
      <c r="BI256" s="89" t="e">
        <f t="shared" si="2271"/>
        <v>#DIV/0!</v>
      </c>
      <c r="BJ256" s="89" t="e">
        <f t="shared" si="2271"/>
        <v>#DIV/0!</v>
      </c>
      <c r="BK256" s="89" t="e">
        <f t="shared" si="2271"/>
        <v>#DIV/0!</v>
      </c>
      <c r="BL256" s="89" t="e">
        <f t="shared" si="2271"/>
        <v>#DIV/0!</v>
      </c>
      <c r="BM256" s="89" t="e">
        <f t="shared" si="2271"/>
        <v>#DIV/0!</v>
      </c>
      <c r="BN256" s="89" t="e">
        <f t="shared" si="2271"/>
        <v>#DIV/0!</v>
      </c>
      <c r="BO256" s="89" t="e">
        <f t="shared" si="2271"/>
        <v>#DIV/0!</v>
      </c>
      <c r="BP256" s="89" t="e">
        <f t="shared" si="2271"/>
        <v>#DIV/0!</v>
      </c>
      <c r="BQ256" s="89" t="e">
        <f t="shared" si="2271"/>
        <v>#DIV/0!</v>
      </c>
      <c r="BR256" s="89" t="e">
        <f t="shared" si="2271"/>
        <v>#DIV/0!</v>
      </c>
      <c r="BS256" s="89" t="e">
        <f t="shared" si="2271"/>
        <v>#DIV/0!</v>
      </c>
      <c r="BT256" s="89" t="e">
        <f t="shared" si="2271"/>
        <v>#DIV/0!</v>
      </c>
      <c r="BU256" s="89" t="e">
        <f t="shared" si="2271"/>
        <v>#DIV/0!</v>
      </c>
      <c r="BV256" s="89" t="e">
        <f t="shared" si="2271"/>
        <v>#DIV/0!</v>
      </c>
      <c r="BW256" s="89" t="e">
        <f t="shared" si="2271"/>
        <v>#DIV/0!</v>
      </c>
      <c r="BX256" s="89" t="e">
        <f t="shared" si="2271"/>
        <v>#DIV/0!</v>
      </c>
      <c r="BY256" s="89" t="e">
        <f t="shared" si="2271"/>
        <v>#DIV/0!</v>
      </c>
      <c r="BZ256" s="89">
        <f t="shared" si="2271"/>
        <v>0.17939246658566255</v>
      </c>
      <c r="CA256" s="89">
        <f t="shared" si="2271"/>
        <v>3.2143740212641658E-2</v>
      </c>
      <c r="CB256" s="89">
        <f t="shared" si="2271"/>
        <v>-0.1444142777289773</v>
      </c>
      <c r="CC256" s="89">
        <f t="shared" si="2271"/>
        <v>0.10392458817490136</v>
      </c>
      <c r="CD256" s="89">
        <f t="shared" si="2271"/>
        <v>1.441494758200923E-2</v>
      </c>
      <c r="CE256" s="89">
        <f t="shared" si="2271"/>
        <v>-3.7046297453848354E-2</v>
      </c>
      <c r="CF256" s="89">
        <f t="shared" si="2271"/>
        <v>1.9300675090877739E-2</v>
      </c>
      <c r="CG256" s="89">
        <f t="shared" si="2271"/>
        <v>-6.4532563471166871E-3</v>
      </c>
      <c r="CH256" s="89">
        <f t="shared" si="2271"/>
        <v>-2.6066148192458449E-3</v>
      </c>
      <c r="CI256" s="89">
        <f t="shared" si="2271"/>
        <v>-0.1425388800822599</v>
      </c>
      <c r="CJ256" s="89">
        <f t="shared" si="2271"/>
        <v>3.8373138802838325E-2</v>
      </c>
      <c r="CK256" s="47">
        <f t="shared" si="2271"/>
        <v>-7.2033490520641896E-2</v>
      </c>
      <c r="CL256" s="89">
        <f t="shared" si="2271"/>
        <v>0.30744101633393783</v>
      </c>
      <c r="CM256" s="47">
        <f t="shared" si="2271"/>
        <v>-0.11882508225872324</v>
      </c>
      <c r="CN256" s="47">
        <f t="shared" si="2271"/>
        <v>9.4703209425975432E-2</v>
      </c>
      <c r="CO256" s="47">
        <f t="shared" si="2271"/>
        <v>6.6024445454708536E-2</v>
      </c>
      <c r="CP256" s="47">
        <f t="shared" si="2271"/>
        <v>0.22193828279069838</v>
      </c>
      <c r="CQ256" s="47">
        <f t="shared" si="2271"/>
        <v>-0.11985691284812539</v>
      </c>
      <c r="CR256" s="47">
        <f t="shared" si="2271"/>
        <v>0.12727970602684113</v>
      </c>
      <c r="CS256" s="47">
        <f t="shared" si="2271"/>
        <v>9.1373901267240099E-2</v>
      </c>
      <c r="CT256" s="47">
        <f t="shared" si="2271"/>
        <v>0.21939417140850659</v>
      </c>
      <c r="CU256" s="47">
        <f t="shared" si="2271"/>
        <v>-0.16860966725236504</v>
      </c>
      <c r="CV256" s="47">
        <f t="shared" si="2271"/>
        <v>0.12593359579156216</v>
      </c>
      <c r="CW256" s="47">
        <f t="shared" si="2271"/>
        <v>8.2142131072723945E-2</v>
      </c>
      <c r="CX256" s="47">
        <f t="shared" ref="CX256:DB256" si="2272">CX34/CW34-1</f>
        <v>0.19975464554098687</v>
      </c>
      <c r="CY256" s="47">
        <f t="shared" si="2272"/>
        <v>-0.15469505384271398</v>
      </c>
      <c r="CZ256" s="47">
        <f t="shared" si="2272"/>
        <v>0.12337749914441543</v>
      </c>
      <c r="DA256" s="47">
        <f t="shared" si="2272"/>
        <v>7.9362629397321971E-2</v>
      </c>
      <c r="DB256" s="47">
        <f t="shared" si="2272"/>
        <v>0.19841128193635504</v>
      </c>
      <c r="DE256" s="130"/>
      <c r="DF256" s="89">
        <v>0.12809738877602417</v>
      </c>
    </row>
    <row r="257" spans="1:110" s="103" customFormat="1" x14ac:dyDescent="0.2">
      <c r="A257" s="147" t="s">
        <v>105</v>
      </c>
      <c r="C257" s="103" t="e">
        <f>IF(C255&gt;C256,"RF",0)</f>
        <v>#DIV/0!</v>
      </c>
      <c r="D257" s="103" t="e">
        <f t="shared" ref="D257:U257" si="2273">IF(D255&gt;D256,"RF",0)</f>
        <v>#DIV/0!</v>
      </c>
      <c r="F257" s="103">
        <f t="shared" si="2273"/>
        <v>0</v>
      </c>
      <c r="G257" s="103" t="str">
        <f t="shared" si="2273"/>
        <v>RF</v>
      </c>
      <c r="H257" s="103" t="str">
        <f t="shared" si="2273"/>
        <v>RF</v>
      </c>
      <c r="I257" s="103">
        <f t="shared" si="2273"/>
        <v>0</v>
      </c>
      <c r="J257" s="103" t="str">
        <f t="shared" si="2273"/>
        <v>RF</v>
      </c>
      <c r="K257" s="103">
        <f t="shared" si="2273"/>
        <v>0</v>
      </c>
      <c r="L257" s="103">
        <f t="shared" si="2273"/>
        <v>0</v>
      </c>
      <c r="M257" s="103">
        <f t="shared" si="2273"/>
        <v>0</v>
      </c>
      <c r="N257" s="103">
        <f t="shared" si="2273"/>
        <v>0</v>
      </c>
      <c r="O257" s="103" t="str">
        <f t="shared" si="2273"/>
        <v>RF</v>
      </c>
      <c r="P257" s="103">
        <f t="shared" si="2273"/>
        <v>0</v>
      </c>
      <c r="Q257" s="103">
        <f t="shared" si="2273"/>
        <v>0</v>
      </c>
      <c r="R257" s="103">
        <f t="shared" si="2273"/>
        <v>0</v>
      </c>
      <c r="S257" s="103">
        <f t="shared" si="2273"/>
        <v>0</v>
      </c>
      <c r="T257" s="103">
        <f t="shared" si="2273"/>
        <v>0</v>
      </c>
      <c r="U257" s="103" t="e">
        <f t="shared" si="2273"/>
        <v>#DIV/0!</v>
      </c>
      <c r="V257" s="103" t="e">
        <f>IF(V255&gt;V256,"RF",0)</f>
        <v>#DIV/0!</v>
      </c>
      <c r="W257" s="103" t="e">
        <f t="shared" ref="W257:AE257" si="2274">IF(W255&gt;W256,"RF",0)</f>
        <v>#DIV/0!</v>
      </c>
      <c r="X257" s="103" t="e">
        <f t="shared" si="2274"/>
        <v>#DIV/0!</v>
      </c>
      <c r="Y257" s="103" t="e">
        <f t="shared" si="2274"/>
        <v>#DIV/0!</v>
      </c>
      <c r="Z257" s="103" t="e">
        <f t="shared" si="2274"/>
        <v>#DIV/0!</v>
      </c>
      <c r="AA257" s="103" t="e">
        <f t="shared" ref="AA257" si="2275">IF(AA255&gt;AA256,"RF",0)</f>
        <v>#DIV/0!</v>
      </c>
      <c r="AB257" s="73">
        <f t="shared" si="2274"/>
        <v>0</v>
      </c>
      <c r="AC257" s="73">
        <f t="shared" si="2274"/>
        <v>0</v>
      </c>
      <c r="AD257" s="73">
        <f t="shared" si="2274"/>
        <v>0</v>
      </c>
      <c r="AE257" s="73">
        <f t="shared" si="2274"/>
        <v>0</v>
      </c>
      <c r="AL257" s="103" t="e">
        <f t="shared" ref="AL257:CW257" si="2276">IF(AL255&gt;AL256,"RF",0)</f>
        <v>#DIV/0!</v>
      </c>
      <c r="AM257" s="103" t="e">
        <f t="shared" si="2276"/>
        <v>#DIV/0!</v>
      </c>
      <c r="AN257" s="103" t="e">
        <f t="shared" si="2276"/>
        <v>#DIV/0!</v>
      </c>
      <c r="AO257" s="103" t="e">
        <f t="shared" si="2276"/>
        <v>#DIV/0!</v>
      </c>
      <c r="AP257" s="103" t="e">
        <f t="shared" si="2276"/>
        <v>#DIV/0!</v>
      </c>
      <c r="AQ257" s="103" t="e">
        <f t="shared" si="2276"/>
        <v>#DIV/0!</v>
      </c>
      <c r="AR257" s="103" t="e">
        <f t="shared" si="2276"/>
        <v>#DIV/0!</v>
      </c>
      <c r="AS257" s="103" t="e">
        <f t="shared" si="2276"/>
        <v>#DIV/0!</v>
      </c>
      <c r="AT257" s="103" t="e">
        <f t="shared" si="2276"/>
        <v>#DIV/0!</v>
      </c>
      <c r="AU257" s="103" t="e">
        <f t="shared" si="2276"/>
        <v>#DIV/0!</v>
      </c>
      <c r="AV257" s="103" t="e">
        <f t="shared" si="2276"/>
        <v>#DIV/0!</v>
      </c>
      <c r="AW257" s="103" t="e">
        <f t="shared" si="2276"/>
        <v>#DIV/0!</v>
      </c>
      <c r="AX257" s="103" t="e">
        <f t="shared" si="2276"/>
        <v>#DIV/0!</v>
      </c>
      <c r="AY257" s="103" t="e">
        <f t="shared" si="2276"/>
        <v>#DIV/0!</v>
      </c>
      <c r="AZ257" s="103" t="e">
        <f t="shared" si="2276"/>
        <v>#DIV/0!</v>
      </c>
      <c r="BA257" s="103" t="e">
        <f t="shared" si="2276"/>
        <v>#DIV/0!</v>
      </c>
      <c r="BB257" s="103" t="e">
        <f t="shared" si="2276"/>
        <v>#DIV/0!</v>
      </c>
      <c r="BC257" s="103" t="e">
        <f t="shared" si="2276"/>
        <v>#DIV/0!</v>
      </c>
      <c r="BD257" s="103" t="e">
        <f t="shared" si="2276"/>
        <v>#DIV/0!</v>
      </c>
      <c r="BE257" s="103" t="e">
        <f t="shared" si="2276"/>
        <v>#DIV/0!</v>
      </c>
      <c r="BF257" s="103" t="e">
        <f t="shared" si="2276"/>
        <v>#DIV/0!</v>
      </c>
      <c r="BG257" s="103" t="e">
        <f t="shared" si="2276"/>
        <v>#DIV/0!</v>
      </c>
      <c r="BH257" s="103" t="e">
        <f t="shared" si="2276"/>
        <v>#DIV/0!</v>
      </c>
      <c r="BI257" s="103" t="e">
        <f t="shared" si="2276"/>
        <v>#DIV/0!</v>
      </c>
      <c r="BJ257" s="103" t="e">
        <f t="shared" si="2276"/>
        <v>#DIV/0!</v>
      </c>
      <c r="BK257" s="103" t="e">
        <f t="shared" si="2276"/>
        <v>#DIV/0!</v>
      </c>
      <c r="BL257" s="103" t="e">
        <f t="shared" si="2276"/>
        <v>#DIV/0!</v>
      </c>
      <c r="BM257" s="103" t="e">
        <f t="shared" si="2276"/>
        <v>#DIV/0!</v>
      </c>
      <c r="BN257" s="103" t="e">
        <f t="shared" si="2276"/>
        <v>#DIV/0!</v>
      </c>
      <c r="BO257" s="103" t="e">
        <f t="shared" si="2276"/>
        <v>#DIV/0!</v>
      </c>
      <c r="BP257" s="103" t="e">
        <f t="shared" si="2276"/>
        <v>#DIV/0!</v>
      </c>
      <c r="BQ257" s="103" t="e">
        <f t="shared" si="2276"/>
        <v>#DIV/0!</v>
      </c>
      <c r="BR257" s="103" t="e">
        <f t="shared" si="2276"/>
        <v>#DIV/0!</v>
      </c>
      <c r="BS257" s="103" t="e">
        <f t="shared" si="2276"/>
        <v>#DIV/0!</v>
      </c>
      <c r="BT257" s="103" t="e">
        <f t="shared" si="2276"/>
        <v>#DIV/0!</v>
      </c>
      <c r="BU257" s="103" t="e">
        <f t="shared" si="2276"/>
        <v>#DIV/0!</v>
      </c>
      <c r="BV257" s="103" t="e">
        <f t="shared" si="2276"/>
        <v>#DIV/0!</v>
      </c>
      <c r="BW257" s="103" t="e">
        <f t="shared" si="2276"/>
        <v>#DIV/0!</v>
      </c>
      <c r="BX257" s="103" t="e">
        <f t="shared" si="2276"/>
        <v>#DIV/0!</v>
      </c>
      <c r="BY257" s="103" t="e">
        <f t="shared" si="2276"/>
        <v>#DIV/0!</v>
      </c>
      <c r="BZ257" s="103" t="e">
        <f t="shared" si="2276"/>
        <v>#DIV/0!</v>
      </c>
      <c r="CA257" s="103" t="e">
        <f t="shared" si="2276"/>
        <v>#DIV/0!</v>
      </c>
      <c r="CB257" s="103" t="e">
        <f t="shared" si="2276"/>
        <v>#DIV/0!</v>
      </c>
      <c r="CC257" s="103" t="e">
        <f t="shared" si="2276"/>
        <v>#DIV/0!</v>
      </c>
      <c r="CD257" s="103" t="e">
        <f t="shared" si="2276"/>
        <v>#DIV/0!</v>
      </c>
      <c r="CE257" s="103" t="e">
        <f t="shared" si="2276"/>
        <v>#DIV/0!</v>
      </c>
      <c r="CF257" s="103" t="e">
        <f t="shared" si="2276"/>
        <v>#DIV/0!</v>
      </c>
      <c r="CG257" s="103" t="e">
        <f t="shared" si="2276"/>
        <v>#DIV/0!</v>
      </c>
      <c r="CH257" s="103" t="e">
        <f t="shared" si="2276"/>
        <v>#DIV/0!</v>
      </c>
      <c r="CI257" s="103" t="e">
        <f t="shared" si="2276"/>
        <v>#DIV/0!</v>
      </c>
      <c r="CJ257" s="103" t="e">
        <f t="shared" si="2276"/>
        <v>#DIV/0!</v>
      </c>
      <c r="CK257" s="73" t="e">
        <f t="shared" si="2276"/>
        <v>#DIV/0!</v>
      </c>
      <c r="CL257" s="103" t="e">
        <f t="shared" ref="CL257" si="2277">IF(CL255&gt;CL256,"RF",0)</f>
        <v>#DIV/0!</v>
      </c>
      <c r="CM257" s="73" t="str">
        <f t="shared" si="2276"/>
        <v>RF</v>
      </c>
      <c r="CN257" s="73">
        <f t="shared" si="2276"/>
        <v>0</v>
      </c>
      <c r="CO257" s="73">
        <f t="shared" si="2276"/>
        <v>0</v>
      </c>
      <c r="CP257" s="73">
        <f t="shared" si="2276"/>
        <v>0</v>
      </c>
      <c r="CQ257" s="73" t="str">
        <f t="shared" si="2276"/>
        <v>RF</v>
      </c>
      <c r="CR257" s="73">
        <f t="shared" si="2276"/>
        <v>0</v>
      </c>
      <c r="CS257" s="73">
        <f t="shared" si="2276"/>
        <v>0</v>
      </c>
      <c r="CT257" s="73">
        <f t="shared" si="2276"/>
        <v>0</v>
      </c>
      <c r="CU257" s="73" t="str">
        <f t="shared" si="2276"/>
        <v>RF</v>
      </c>
      <c r="CV257" s="73">
        <f t="shared" si="2276"/>
        <v>0</v>
      </c>
      <c r="CW257" s="73">
        <f t="shared" si="2276"/>
        <v>0</v>
      </c>
      <c r="CX257" s="73">
        <f t="shared" ref="CX257:DB257" si="2278">IF(CX255&gt;CX256,"RF",0)</f>
        <v>0</v>
      </c>
      <c r="CY257" s="73" t="str">
        <f t="shared" si="2278"/>
        <v>RF</v>
      </c>
      <c r="CZ257" s="73">
        <f t="shared" si="2278"/>
        <v>0</v>
      </c>
      <c r="DA257" s="73">
        <f t="shared" si="2278"/>
        <v>0</v>
      </c>
      <c r="DB257" s="73">
        <f t="shared" si="2278"/>
        <v>0</v>
      </c>
      <c r="DE257" s="142"/>
    </row>
    <row r="258" spans="1:110" s="86" customFormat="1" x14ac:dyDescent="0.2">
      <c r="A258" s="86" t="s">
        <v>432</v>
      </c>
      <c r="B258" s="86" t="e">
        <f>B42/B14</f>
        <v>#DIV/0!</v>
      </c>
      <c r="C258" s="86" t="e">
        <f>C42/C14</f>
        <v>#DIV/0!</v>
      </c>
      <c r="D258" s="86" t="e">
        <f>D42/D14</f>
        <v>#DIV/0!</v>
      </c>
      <c r="F258" s="86">
        <f t="shared" ref="F258:AE258" si="2279">F42/F14</f>
        <v>1.3342577028038068E-2</v>
      </c>
      <c r="G258" s="86">
        <f t="shared" si="2279"/>
        <v>2.4455725088262433E-2</v>
      </c>
      <c r="H258" s="86">
        <f t="shared" si="2279"/>
        <v>1.5705293806633852E-2</v>
      </c>
      <c r="I258" s="86">
        <f t="shared" si="2279"/>
        <v>1.0404676001819184E-2</v>
      </c>
      <c r="J258" s="86">
        <f t="shared" si="2279"/>
        <v>1.0157540933339777E-2</v>
      </c>
      <c r="K258" s="86">
        <f t="shared" si="2279"/>
        <v>1.1259672208092328E-2</v>
      </c>
      <c r="L258" s="86">
        <f t="shared" si="2279"/>
        <v>5.9055994175404476E-3</v>
      </c>
      <c r="M258" s="86">
        <f t="shared" si="2279"/>
        <v>4.4015317086831332E-3</v>
      </c>
      <c r="N258" s="86">
        <f t="shared" si="2279"/>
        <v>3.819548872180451E-3</v>
      </c>
      <c r="O258" s="86">
        <f t="shared" si="2279"/>
        <v>3.267290835803707E-3</v>
      </c>
      <c r="P258" s="86">
        <f t="shared" si="2279"/>
        <v>3.4654228663942646E-3</v>
      </c>
      <c r="Q258" s="86">
        <f t="shared" si="2279"/>
        <v>2.3105188232751231E-3</v>
      </c>
      <c r="R258" s="86">
        <f t="shared" si="2279"/>
        <v>1.5382144577883259E-3</v>
      </c>
      <c r="S258" s="86">
        <f t="shared" si="2279"/>
        <v>1.7462511332055227E-3</v>
      </c>
      <c r="T258" s="86">
        <f t="shared" si="2279"/>
        <v>4.3844593010016283E-4</v>
      </c>
      <c r="U258" s="86">
        <f t="shared" si="2279"/>
        <v>5.4848170880295094E-3</v>
      </c>
      <c r="V258" s="86">
        <f t="shared" si="2279"/>
        <v>7.4156488839776024E-3</v>
      </c>
      <c r="W258" s="86">
        <f t="shared" si="2279"/>
        <v>6.2041376027742682E-3</v>
      </c>
      <c r="X258" s="86">
        <f t="shared" si="2279"/>
        <v>4.0732367053450472E-3</v>
      </c>
      <c r="Y258" s="86">
        <f t="shared" si="2279"/>
        <v>3.6953802860939578E-3</v>
      </c>
      <c r="Z258" s="86">
        <f t="shared" si="2279"/>
        <v>3.7980439009761145E-3</v>
      </c>
      <c r="AA258" s="86">
        <f t="shared" ref="AA258" si="2280">AA42/AA14</f>
        <v>6.1973601280158096E-3</v>
      </c>
      <c r="AB258" s="87">
        <f t="shared" si="2279"/>
        <v>-1.1357919307602183E-2</v>
      </c>
      <c r="AC258" s="87">
        <f t="shared" si="2279"/>
        <v>-1.5080868571721487E-2</v>
      </c>
      <c r="AD258" s="87">
        <f t="shared" si="2279"/>
        <v>-1.8375408085423501E-2</v>
      </c>
      <c r="AE258" s="87">
        <f t="shared" si="2279"/>
        <v>-2.146119067498569E-2</v>
      </c>
      <c r="AL258" s="86" t="e">
        <f t="shared" ref="AL258:CW258" si="2281">AL42/AL14</f>
        <v>#DIV/0!</v>
      </c>
      <c r="AM258" s="86" t="e">
        <f t="shared" si="2281"/>
        <v>#DIV/0!</v>
      </c>
      <c r="AN258" s="86" t="e">
        <f t="shared" si="2281"/>
        <v>#DIV/0!</v>
      </c>
      <c r="AO258" s="86" t="e">
        <f t="shared" si="2281"/>
        <v>#DIV/0!</v>
      </c>
      <c r="AP258" s="86" t="e">
        <f t="shared" si="2281"/>
        <v>#DIV/0!</v>
      </c>
      <c r="AQ258" s="86" t="e">
        <f t="shared" si="2281"/>
        <v>#DIV/0!</v>
      </c>
      <c r="AR258" s="86" t="e">
        <f t="shared" si="2281"/>
        <v>#DIV/0!</v>
      </c>
      <c r="AS258" s="86" t="e">
        <f t="shared" si="2281"/>
        <v>#DIV/0!</v>
      </c>
      <c r="AT258" s="86" t="e">
        <f t="shared" si="2281"/>
        <v>#DIV/0!</v>
      </c>
      <c r="AU258" s="86" t="e">
        <f t="shared" si="2281"/>
        <v>#DIV/0!</v>
      </c>
      <c r="AV258" s="86" t="e">
        <f t="shared" si="2281"/>
        <v>#DIV/0!</v>
      </c>
      <c r="AW258" s="86" t="e">
        <f t="shared" si="2281"/>
        <v>#DIV/0!</v>
      </c>
      <c r="AX258" s="86" t="e">
        <f t="shared" si="2281"/>
        <v>#DIV/0!</v>
      </c>
      <c r="AY258" s="86" t="e">
        <f t="shared" si="2281"/>
        <v>#DIV/0!</v>
      </c>
      <c r="AZ258" s="86" t="e">
        <f t="shared" si="2281"/>
        <v>#DIV/0!</v>
      </c>
      <c r="BA258" s="86" t="e">
        <f t="shared" si="2281"/>
        <v>#DIV/0!</v>
      </c>
      <c r="BB258" s="86" t="e">
        <f t="shared" si="2281"/>
        <v>#DIV/0!</v>
      </c>
      <c r="BC258" s="86" t="e">
        <f t="shared" si="2281"/>
        <v>#DIV/0!</v>
      </c>
      <c r="BD258" s="86" t="e">
        <f t="shared" si="2281"/>
        <v>#DIV/0!</v>
      </c>
      <c r="BE258" s="86" t="e">
        <f t="shared" si="2281"/>
        <v>#DIV/0!</v>
      </c>
      <c r="BF258" s="86" t="e">
        <f t="shared" si="2281"/>
        <v>#DIV/0!</v>
      </c>
      <c r="BG258" s="86" t="e">
        <f t="shared" si="2281"/>
        <v>#DIV/0!</v>
      </c>
      <c r="BH258" s="86" t="e">
        <f t="shared" si="2281"/>
        <v>#DIV/0!</v>
      </c>
      <c r="BI258" s="86" t="e">
        <f t="shared" si="2281"/>
        <v>#DIV/0!</v>
      </c>
      <c r="BJ258" s="86" t="e">
        <f t="shared" si="2281"/>
        <v>#DIV/0!</v>
      </c>
      <c r="BK258" s="86" t="e">
        <f t="shared" si="2281"/>
        <v>#DIV/0!</v>
      </c>
      <c r="BL258" s="86" t="e">
        <f t="shared" si="2281"/>
        <v>#DIV/0!</v>
      </c>
      <c r="BM258" s="86" t="e">
        <f t="shared" si="2281"/>
        <v>#DIV/0!</v>
      </c>
      <c r="BN258" s="86" t="e">
        <f t="shared" si="2281"/>
        <v>#DIV/0!</v>
      </c>
      <c r="BO258" s="86" t="e">
        <f t="shared" si="2281"/>
        <v>#DIV/0!</v>
      </c>
      <c r="BP258" s="86" t="e">
        <f t="shared" si="2281"/>
        <v>#DIV/0!</v>
      </c>
      <c r="BQ258" s="86" t="e">
        <f t="shared" si="2281"/>
        <v>#DIV/0!</v>
      </c>
      <c r="BR258" s="86" t="e">
        <f t="shared" si="2281"/>
        <v>#DIV/0!</v>
      </c>
      <c r="BS258" s="86" t="e">
        <f t="shared" si="2281"/>
        <v>#DIV/0!</v>
      </c>
      <c r="BT258" s="86" t="e">
        <f t="shared" si="2281"/>
        <v>#DIV/0!</v>
      </c>
      <c r="BU258" s="86" t="e">
        <f t="shared" si="2281"/>
        <v>#DIV/0!</v>
      </c>
      <c r="BV258" s="86" t="e">
        <f t="shared" si="2281"/>
        <v>#DIV/0!</v>
      </c>
      <c r="BW258" s="86" t="e">
        <f t="shared" si="2281"/>
        <v>#DIV/0!</v>
      </c>
      <c r="BX258" s="86" t="e">
        <f t="shared" si="2281"/>
        <v>#DIV/0!</v>
      </c>
      <c r="BY258" s="86">
        <f t="shared" si="2281"/>
        <v>4.7691500057834837E-3</v>
      </c>
      <c r="BZ258" s="86">
        <f t="shared" si="2281"/>
        <v>3.2301998730738237E-3</v>
      </c>
      <c r="CA258" s="86">
        <f t="shared" si="2281"/>
        <v>3.8011021605846382E-3</v>
      </c>
      <c r="CB258" s="86">
        <f t="shared" si="2281"/>
        <v>3.6953284429981801E-3</v>
      </c>
      <c r="CC258" s="86">
        <f t="shared" si="2281"/>
        <v>3.9396641979138388E-3</v>
      </c>
      <c r="CD258" s="86">
        <f t="shared" si="2281"/>
        <v>3.3511394642788518E-3</v>
      </c>
      <c r="CE258" s="86">
        <f t="shared" si="2281"/>
        <v>3.7274324846135057E-3</v>
      </c>
      <c r="CF258" s="86">
        <f t="shared" si="2281"/>
        <v>3.5404373481430058E-3</v>
      </c>
      <c r="CG258" s="86">
        <f t="shared" si="2281"/>
        <v>4.1749533164310978E-3</v>
      </c>
      <c r="CH258" s="86">
        <f t="shared" si="2281"/>
        <v>3.7412981760199114E-3</v>
      </c>
      <c r="CI258" s="86">
        <f t="shared" si="2281"/>
        <v>3.7209975166560849E-3</v>
      </c>
      <c r="CJ258" s="86">
        <f t="shared" si="2281"/>
        <v>3.4534092025420723E-3</v>
      </c>
      <c r="CK258" s="87">
        <f t="shared" si="2281"/>
        <v>6.6704253402942015E-3</v>
      </c>
      <c r="CL258" s="86">
        <f t="shared" ref="CL258" si="2282">CL42/CL14</f>
        <v>1.0055844601900498E-2</v>
      </c>
      <c r="CM258" s="87">
        <f t="shared" si="2281"/>
        <v>-9.3489796834235316E-3</v>
      </c>
      <c r="CN258" s="87">
        <f t="shared" si="2281"/>
        <v>-1.1648150184662807E-2</v>
      </c>
      <c r="CO258" s="87">
        <f t="shared" si="2281"/>
        <v>-1.2335999775452539E-2</v>
      </c>
      <c r="CP258" s="87">
        <f t="shared" si="2281"/>
        <v>-1.1766738418436489E-2</v>
      </c>
      <c r="CQ258" s="87">
        <f t="shared" si="2281"/>
        <v>-1.4353372205161957E-2</v>
      </c>
      <c r="CR258" s="87">
        <f t="shared" si="2281"/>
        <v>-1.5767353676270298E-2</v>
      </c>
      <c r="CS258" s="87">
        <f t="shared" si="2281"/>
        <v>-1.5812006623884295E-2</v>
      </c>
      <c r="CT258" s="87">
        <f t="shared" si="2281"/>
        <v>-1.4445423051761276E-2</v>
      </c>
      <c r="CU258" s="87">
        <f t="shared" si="2281"/>
        <v>-1.7866781717998305E-2</v>
      </c>
      <c r="CV258" s="87">
        <f t="shared" si="2281"/>
        <v>-1.9242793979087316E-2</v>
      </c>
      <c r="CW258" s="87">
        <f t="shared" si="2281"/>
        <v>-1.9168279711944396E-2</v>
      </c>
      <c r="CX258" s="87">
        <f t="shared" ref="CX258:DB258" si="2283">CX42/CX14</f>
        <v>-1.7394531281041663E-2</v>
      </c>
      <c r="CY258" s="87">
        <f t="shared" si="2283"/>
        <v>-2.1576620008433474E-2</v>
      </c>
      <c r="CZ258" s="87">
        <f t="shared" si="2283"/>
        <v>-2.2534329337178818E-2</v>
      </c>
      <c r="DA258" s="87">
        <f t="shared" si="2283"/>
        <v>-2.2201972793156652E-2</v>
      </c>
      <c r="DB258" s="87">
        <f t="shared" si="2283"/>
        <v>-1.9933768298220904E-2</v>
      </c>
      <c r="DE258" s="141"/>
      <c r="DF258" s="86">
        <v>-1.6314997993575175E-2</v>
      </c>
    </row>
    <row r="259" spans="1:110" s="86" customFormat="1" x14ac:dyDescent="0.2">
      <c r="A259" s="86" t="s">
        <v>433</v>
      </c>
      <c r="B259" s="86" t="e">
        <f>B38/B14</f>
        <v>#DIV/0!</v>
      </c>
      <c r="C259" s="86" t="e">
        <f>C38/C14</f>
        <v>#DIV/0!</v>
      </c>
      <c r="D259" s="86" t="e">
        <f>D38/D14</f>
        <v>#DIV/0!</v>
      </c>
      <c r="F259" s="86">
        <f t="shared" ref="F259:AE259" si="2284">F38/F14</f>
        <v>4.0941248036225265E-2</v>
      </c>
      <c r="G259" s="86">
        <f t="shared" si="2284"/>
        <v>2.1665694722220512E-2</v>
      </c>
      <c r="H259" s="86">
        <f t="shared" si="2284"/>
        <v>1.5755950493682218E-2</v>
      </c>
      <c r="I259" s="86">
        <f t="shared" si="2284"/>
        <v>1.3353745330963108E-2</v>
      </c>
      <c r="J259" s="86">
        <f t="shared" si="2284"/>
        <v>1.2300439599024215E-2</v>
      </c>
      <c r="K259" s="86">
        <f t="shared" si="2284"/>
        <v>1.3711123384975743E-2</v>
      </c>
      <c r="L259" s="86">
        <f t="shared" si="2284"/>
        <v>1.5106263969568153E-2</v>
      </c>
      <c r="M259" s="86">
        <f t="shared" si="2284"/>
        <v>1.5944137683321057E-2</v>
      </c>
      <c r="N259" s="86">
        <f t="shared" si="2284"/>
        <v>1.6586466165413535E-2</v>
      </c>
      <c r="O259" s="86">
        <f t="shared" si="2284"/>
        <v>2.0520804453070019E-2</v>
      </c>
      <c r="P259" s="86">
        <f t="shared" si="2284"/>
        <v>1.9744044406753529E-2</v>
      </c>
      <c r="Q259" s="86">
        <f t="shared" si="2284"/>
        <v>2.1812043020369831E-2</v>
      </c>
      <c r="R259" s="86">
        <f t="shared" si="2284"/>
        <v>2.2427238173414944E-2</v>
      </c>
      <c r="S259" s="86">
        <f t="shared" si="2284"/>
        <v>2.6539301796780955E-2</v>
      </c>
      <c r="T259" s="86">
        <f t="shared" si="2284"/>
        <v>2.3329402048120292E-2</v>
      </c>
      <c r="U259" s="86">
        <f t="shared" si="2284"/>
        <v>3.476545859038483E-2</v>
      </c>
      <c r="V259" s="86">
        <f t="shared" si="2284"/>
        <v>3.8724673034817345E-2</v>
      </c>
      <c r="W259" s="86">
        <f t="shared" si="2284"/>
        <v>2.4283342494007785E-2</v>
      </c>
      <c r="X259" s="86">
        <f t="shared" si="2284"/>
        <v>2.1419606812590333E-2</v>
      </c>
      <c r="Y259" s="86">
        <f t="shared" si="2284"/>
        <v>2.0689048698506997E-2</v>
      </c>
      <c r="Z259" s="86">
        <f t="shared" si="2284"/>
        <v>2.345190531010264E-2</v>
      </c>
      <c r="AA259" s="86">
        <f t="shared" ref="AA259" si="2285">AA38/AA14</f>
        <v>2.6327882489914758E-2</v>
      </c>
      <c r="AB259" s="87">
        <f t="shared" si="2284"/>
        <v>7.9159912554533127E-2</v>
      </c>
      <c r="AC259" s="87">
        <f t="shared" si="2284"/>
        <v>2.2308370088900086E-2</v>
      </c>
      <c r="AD259" s="87">
        <f t="shared" si="2284"/>
        <v>7.728274324921831E-3</v>
      </c>
      <c r="AE259" s="87">
        <f t="shared" si="2284"/>
        <v>8.7561234025846442E-4</v>
      </c>
      <c r="AL259" s="86" t="e">
        <f t="shared" ref="AL259:CW259" si="2286">AL38/AL14</f>
        <v>#DIV/0!</v>
      </c>
      <c r="AM259" s="86" t="e">
        <f t="shared" si="2286"/>
        <v>#DIV/0!</v>
      </c>
      <c r="AN259" s="86" t="e">
        <f t="shared" si="2286"/>
        <v>#DIV/0!</v>
      </c>
      <c r="AO259" s="86" t="e">
        <f t="shared" si="2286"/>
        <v>#DIV/0!</v>
      </c>
      <c r="AP259" s="86" t="e">
        <f t="shared" si="2286"/>
        <v>#DIV/0!</v>
      </c>
      <c r="AQ259" s="86" t="e">
        <f t="shared" si="2286"/>
        <v>#DIV/0!</v>
      </c>
      <c r="AR259" s="86" t="e">
        <f t="shared" si="2286"/>
        <v>#DIV/0!</v>
      </c>
      <c r="AS259" s="86" t="e">
        <f t="shared" si="2286"/>
        <v>#DIV/0!</v>
      </c>
      <c r="AT259" s="86" t="e">
        <f t="shared" si="2286"/>
        <v>#DIV/0!</v>
      </c>
      <c r="AU259" s="86" t="e">
        <f t="shared" si="2286"/>
        <v>#DIV/0!</v>
      </c>
      <c r="AV259" s="86" t="e">
        <f t="shared" si="2286"/>
        <v>#DIV/0!</v>
      </c>
      <c r="AW259" s="86" t="e">
        <f t="shared" si="2286"/>
        <v>#DIV/0!</v>
      </c>
      <c r="AX259" s="86" t="e">
        <f t="shared" si="2286"/>
        <v>#DIV/0!</v>
      </c>
      <c r="AY259" s="86" t="e">
        <f t="shared" si="2286"/>
        <v>#DIV/0!</v>
      </c>
      <c r="AZ259" s="86" t="e">
        <f t="shared" si="2286"/>
        <v>#DIV/0!</v>
      </c>
      <c r="BA259" s="86" t="e">
        <f t="shared" si="2286"/>
        <v>#DIV/0!</v>
      </c>
      <c r="BB259" s="86" t="e">
        <f t="shared" si="2286"/>
        <v>#DIV/0!</v>
      </c>
      <c r="BC259" s="86" t="e">
        <f t="shared" si="2286"/>
        <v>#DIV/0!</v>
      </c>
      <c r="BD259" s="86" t="e">
        <f t="shared" si="2286"/>
        <v>#DIV/0!</v>
      </c>
      <c r="BE259" s="86" t="e">
        <f t="shared" si="2286"/>
        <v>#DIV/0!</v>
      </c>
      <c r="BF259" s="86" t="e">
        <f t="shared" si="2286"/>
        <v>#DIV/0!</v>
      </c>
      <c r="BG259" s="86" t="e">
        <f t="shared" si="2286"/>
        <v>#DIV/0!</v>
      </c>
      <c r="BH259" s="86" t="e">
        <f t="shared" si="2286"/>
        <v>#DIV/0!</v>
      </c>
      <c r="BI259" s="86" t="e">
        <f t="shared" si="2286"/>
        <v>#DIV/0!</v>
      </c>
      <c r="BJ259" s="86" t="e">
        <f t="shared" si="2286"/>
        <v>#DIV/0!</v>
      </c>
      <c r="BK259" s="86" t="e">
        <f t="shared" si="2286"/>
        <v>#DIV/0!</v>
      </c>
      <c r="BL259" s="86" t="e">
        <f t="shared" si="2286"/>
        <v>#DIV/0!</v>
      </c>
      <c r="BM259" s="86" t="e">
        <f t="shared" si="2286"/>
        <v>#DIV/0!</v>
      </c>
      <c r="BN259" s="86" t="e">
        <f t="shared" si="2286"/>
        <v>#DIV/0!</v>
      </c>
      <c r="BO259" s="86" t="e">
        <f t="shared" si="2286"/>
        <v>#DIV/0!</v>
      </c>
      <c r="BP259" s="86" t="e">
        <f t="shared" si="2286"/>
        <v>#DIV/0!</v>
      </c>
      <c r="BQ259" s="86" t="e">
        <f t="shared" si="2286"/>
        <v>#DIV/0!</v>
      </c>
      <c r="BR259" s="86" t="e">
        <f t="shared" si="2286"/>
        <v>#DIV/0!</v>
      </c>
      <c r="BS259" s="86" t="e">
        <f t="shared" si="2286"/>
        <v>#DIV/0!</v>
      </c>
      <c r="BT259" s="86" t="e">
        <f t="shared" si="2286"/>
        <v>#DIV/0!</v>
      </c>
      <c r="BU259" s="86" t="e">
        <f t="shared" si="2286"/>
        <v>#DIV/0!</v>
      </c>
      <c r="BV259" s="86" t="e">
        <f t="shared" si="2286"/>
        <v>#DIV/0!</v>
      </c>
      <c r="BW259" s="86" t="e">
        <f t="shared" si="2286"/>
        <v>#DIV/0!</v>
      </c>
      <c r="BX259" s="86" t="e">
        <f t="shared" si="2286"/>
        <v>#DIV/0!</v>
      </c>
      <c r="BY259" s="86">
        <f t="shared" si="2286"/>
        <v>2.128322166760092E-2</v>
      </c>
      <c r="BZ259" s="86">
        <f t="shared" si="2286"/>
        <v>1.7840971484394497E-2</v>
      </c>
      <c r="CA259" s="86">
        <f t="shared" si="2286"/>
        <v>1.8743091616104587E-2</v>
      </c>
      <c r="CB259" s="86">
        <f t="shared" si="2286"/>
        <v>2.0619775128627369E-2</v>
      </c>
      <c r="CC259" s="86">
        <f t="shared" si="2286"/>
        <v>2.1070999263251775E-2</v>
      </c>
      <c r="CD259" s="86">
        <f t="shared" si="2286"/>
        <v>2.225894469851274E-2</v>
      </c>
      <c r="CE259" s="86">
        <f t="shared" si="2286"/>
        <v>2.3412689031261574E-2</v>
      </c>
      <c r="CF259" s="86">
        <f t="shared" si="2286"/>
        <v>2.3062979675267072E-2</v>
      </c>
      <c r="CG259" s="86">
        <f t="shared" si="2286"/>
        <v>2.3114059724604896E-2</v>
      </c>
      <c r="CH259" s="86">
        <f t="shared" si="2286"/>
        <v>2.4228989227239137E-2</v>
      </c>
      <c r="CI259" s="86">
        <f t="shared" si="2286"/>
        <v>2.5179017753096142E-2</v>
      </c>
      <c r="CJ259" s="86">
        <f t="shared" si="2286"/>
        <v>2.3342628067073219E-2</v>
      </c>
      <c r="CK259" s="87">
        <f t="shared" si="2286"/>
        <v>2.6359529335959524E-2</v>
      </c>
      <c r="CL259" s="86">
        <f t="shared" ref="CL259" si="2287">CL38/CL14</f>
        <v>2.9722303494421898E-2</v>
      </c>
      <c r="CM259" s="87">
        <f t="shared" si="2286"/>
        <v>0.14766771057859959</v>
      </c>
      <c r="CN259" s="87">
        <f t="shared" si="2286"/>
        <v>9.0270018261701168E-2</v>
      </c>
      <c r="CO259" s="87">
        <f t="shared" si="2286"/>
        <v>5.9449694948609133E-2</v>
      </c>
      <c r="CP259" s="87">
        <f t="shared" si="2286"/>
        <v>3.6904799797307944E-2</v>
      </c>
      <c r="CQ259" s="87">
        <f t="shared" si="2286"/>
        <v>3.3041332403348556E-2</v>
      </c>
      <c r="CR259" s="87">
        <f t="shared" si="2286"/>
        <v>2.4534923491645769E-2</v>
      </c>
      <c r="CS259" s="87">
        <f t="shared" si="2286"/>
        <v>1.9899888411141958E-2</v>
      </c>
      <c r="CT259" s="87">
        <f t="shared" si="2286"/>
        <v>1.5108075138758812E-2</v>
      </c>
      <c r="CU259" s="87">
        <f t="shared" si="2286"/>
        <v>1.6682864195607335E-2</v>
      </c>
      <c r="CV259" s="87">
        <f t="shared" si="2286"/>
        <v>9.1011041080413212E-3</v>
      </c>
      <c r="CW259" s="87">
        <f t="shared" si="2286"/>
        <v>5.1567230774803756E-3</v>
      </c>
      <c r="CX259" s="87">
        <f t="shared" ref="CX259:DB259" si="2288">CX38/CX14</f>
        <v>2.6277791382540248E-3</v>
      </c>
      <c r="CY259" s="87">
        <f t="shared" si="2288"/>
        <v>1.8927498733252945E-3</v>
      </c>
      <c r="CZ259" s="87">
        <f t="shared" si="2288"/>
        <v>1.0309712717529737E-3</v>
      </c>
      <c r="DA259" s="87">
        <f t="shared" si="2288"/>
        <v>5.8391010508320222E-4</v>
      </c>
      <c r="DB259" s="87">
        <f t="shared" si="2288"/>
        <v>2.9763419471756848E-4</v>
      </c>
      <c r="DE259" s="141"/>
      <c r="DF259" s="86">
        <v>2.5242242728929231E-2</v>
      </c>
    </row>
    <row r="260" spans="1:110" s="85" customFormat="1" x14ac:dyDescent="0.2">
      <c r="AB260" s="58"/>
      <c r="AC260" s="58"/>
      <c r="AD260" s="58"/>
      <c r="AE260" s="58"/>
      <c r="CK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E260" s="143"/>
    </row>
  </sheetData>
  <sortState xmlns:xlrd2="http://schemas.microsoft.com/office/spreadsheetml/2017/richdata2" ref="A26:DE31">
    <sortCondition ref="A26:A3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209420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Technologies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1123.8900000000001</v>
      </c>
      <c r="AT6">
        <f>_xll.EQNXTDZ($A$1,$B6,AT$1,$B$1)</f>
        <v>1402.39</v>
      </c>
      <c r="AU6">
        <f>_xll.EQNXTDZ($A$1,$B6,AU$1,$B$1)</f>
        <v>1257.53</v>
      </c>
      <c r="AV6">
        <f>_xll.EQNXTDZ($A$1,$B6,AV$1,$B$1)</f>
        <v>1269.17</v>
      </c>
      <c r="AW6">
        <f>_xll.EQNXTDZ($A$1,$B6,AW$1,$B$1)</f>
        <v>1289.45</v>
      </c>
      <c r="AX6">
        <f>_xll.EQNXTDZ($A$1,$B6,AX$1,$B$1)</f>
        <v>1301.05</v>
      </c>
      <c r="AY6">
        <f>_xll.EQNXTDZ($A$1,$B6,AY$1,$B$1)</f>
        <v>1268.97</v>
      </c>
      <c r="AZ6">
        <f>_xll.EQNXTDZ($A$1,$B6,AZ$1,$B$1)</f>
        <v>1296.45</v>
      </c>
      <c r="BA6">
        <f>_xll.EQNXTDZ($A$1,$B6,BA$1,$B$1)</f>
        <v>1317.38</v>
      </c>
      <c r="BB6">
        <f>_xll.EQNXTDZ($A$1,$B6,BB$1,$B$1)</f>
        <v>1285.6500000000001</v>
      </c>
      <c r="BC6">
        <f>_xll.EQNXTDZ($A$1,$B6,BC$1,$B$1)</f>
        <v>1244.29</v>
      </c>
      <c r="BD6">
        <f>_xll.EQNXTDZ($A$1,$B6,BD$1,$B$1)</f>
        <v>1323.33</v>
      </c>
      <c r="BE6">
        <f>_xll.EQNXTDZ($A$1,$B6,BE$1,$B$1)</f>
        <v>1365.73</v>
      </c>
      <c r="BF6">
        <f>_xll.EQNXTDZ($A$1,$B6,BF$1,$B$1)</f>
        <v>1572.22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1123.8900000000001</v>
      </c>
      <c r="AT9">
        <f>_xll.EQNXTDZ($A$1,$B9,AT$1,$B$1)</f>
        <v>1402.39</v>
      </c>
      <c r="AU9">
        <f>_xll.EQNXTDZ($A$1,$B9,AU$1,$B$1)</f>
        <v>1257.53</v>
      </c>
      <c r="AV9">
        <f>_xll.EQNXTDZ($A$1,$B9,AV$1,$B$1)</f>
        <v>1269.17</v>
      </c>
      <c r="AW9">
        <f>_xll.EQNXTDZ($A$1,$B9,AW$1,$B$1)</f>
        <v>1289.45</v>
      </c>
      <c r="AX9">
        <f>_xll.EQNXTDZ($A$1,$B9,AX$1,$B$1)</f>
        <v>1301.05</v>
      </c>
      <c r="AY9">
        <f>_xll.EQNXTDZ($A$1,$B9,AY$1,$B$1)</f>
        <v>1268.97</v>
      </c>
      <c r="AZ9">
        <f>_xll.EQNXTDZ($A$1,$B9,AZ$1,$B$1)</f>
        <v>1296.45</v>
      </c>
      <c r="BA9">
        <f>_xll.EQNXTDZ($A$1,$B9,BA$1,$B$1)</f>
        <v>1317.38</v>
      </c>
      <c r="BB9">
        <f>_xll.EQNXTDZ($A$1,$B9,BB$1,$B$1)</f>
        <v>1285.6500000000001</v>
      </c>
      <c r="BC9">
        <f>_xll.EQNXTDZ($A$1,$B9,BC$1,$B$1)</f>
        <v>1244.29</v>
      </c>
      <c r="BD9">
        <f>_xll.EQNXTDZ($A$1,$B9,BD$1,$B$1)</f>
        <v>1323.33</v>
      </c>
      <c r="BE9">
        <f>_xll.EQNXTDZ($A$1,$B9,BE$1,$B$1)</f>
        <v>1365.73</v>
      </c>
      <c r="BF9">
        <f>_xll.EQNXTDZ($A$1,$B9,BF$1,$B$1)</f>
        <v>1572.22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163.05000000000001</v>
      </c>
      <c r="AT12">
        <f>_xll.EQNXTDZ($A$1,$B12,AT$1,$B$1)</f>
        <v>342.09</v>
      </c>
      <c r="AU12">
        <f>_xll.EQNXTDZ($A$1,$B12,AU$1,$B$1)</f>
        <v>208.95</v>
      </c>
      <c r="AV12">
        <f>_xll.EQNXTDZ($A$1,$B12,AV$1,$B$1)</f>
        <v>214.57</v>
      </c>
      <c r="AW12">
        <f>_xll.EQNXTDZ($A$1,$B12,AW$1,$B$1)</f>
        <v>230.65</v>
      </c>
      <c r="AX12">
        <f>_xll.EQNXTDZ($A$1,$B12,AX$1,$B$1)</f>
        <v>241.16</v>
      </c>
      <c r="AY12">
        <f>_xll.EQNXTDZ($A$1,$B12,AY$1,$B$1)</f>
        <v>224.96</v>
      </c>
      <c r="AZ12">
        <f>_xll.EQNXTDZ($A$1,$B12,AZ$1,$B$1)</f>
        <v>230.95</v>
      </c>
      <c r="BA12">
        <f>_xll.EQNXTDZ($A$1,$B12,BA$1,$B$1)</f>
        <v>240.49</v>
      </c>
      <c r="BB12">
        <f>_xll.EQNXTDZ($A$1,$B12,BB$1,$B$1)</f>
        <v>203.31</v>
      </c>
      <c r="BC12">
        <f>_xll.EQNXTDZ($A$1,$B12,BC$1,$B$1)</f>
        <v>218.48</v>
      </c>
      <c r="BD12">
        <f>_xll.EQNXTDZ($A$1,$B12,BD$1,$B$1)</f>
        <v>243.05</v>
      </c>
      <c r="BE12">
        <f>_xll.EQNXTDZ($A$1,$B12,BE$1,$B$1)</f>
        <v>235.3</v>
      </c>
      <c r="BF12">
        <f>_xll.EQNXTDZ($A$1,$B12,BF$1,$B$1)</f>
        <v>270.36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106.13</v>
      </c>
      <c r="AT14">
        <f>_xll.EQNXTDZ($A$1,$B14,AT$1,$B$1)</f>
        <v>106.45</v>
      </c>
      <c r="AU14">
        <f>_xll.EQNXTDZ($A$1,$B14,AU$1,$B$1)</f>
        <v>109.96</v>
      </c>
      <c r="AV14">
        <f>_xll.EQNXTDZ($A$1,$B14,AV$1,$B$1)</f>
        <v>106.07</v>
      </c>
      <c r="AW14">
        <f>_xll.EQNXTDZ($A$1,$B14,AW$1,$B$1)</f>
        <v>95.58</v>
      </c>
      <c r="AX14">
        <f>_xll.EQNXTDZ($A$1,$B14,AX$1,$B$1)</f>
        <v>96.9</v>
      </c>
      <c r="AY14">
        <f>_xll.EQNXTDZ($A$1,$B14,AY$1,$B$1)</f>
        <v>108.21</v>
      </c>
      <c r="AZ14">
        <f>_xll.EQNXTDZ($A$1,$B14,AZ$1,$B$1)</f>
        <v>119.26</v>
      </c>
      <c r="BA14">
        <f>_xll.EQNXTDZ($A$1,$B14,BA$1,$B$1)</f>
        <v>106.22</v>
      </c>
      <c r="BB14">
        <f>_xll.EQNXTDZ($A$1,$B14,BB$1,$B$1)</f>
        <v>121.65</v>
      </c>
      <c r="BC14">
        <f>_xll.EQNXTDZ($A$1,$B14,BC$1,$B$1)</f>
        <v>110.7</v>
      </c>
      <c r="BD14">
        <f>_xll.EQNXTDZ($A$1,$B14,BD$1,$B$1)</f>
        <v>129.11000000000001</v>
      </c>
      <c r="BE14">
        <f>_xll.EQNXTDZ($A$1,$B14,BE$1,$B$1)</f>
        <v>133.29</v>
      </c>
      <c r="BF14">
        <f>_xll.EQNXTDZ($A$1,$B14,BF$1,$B$1)</f>
        <v>149.72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503.54</v>
      </c>
      <c r="AT16">
        <f>_xll.EQNXTDZ($A$1,$B16,AT$1,$B$1)</f>
        <v>534.78</v>
      </c>
      <c r="AU16">
        <f>_xll.EQNXTDZ($A$1,$B16,AU$1,$B$1)</f>
        <v>537.20000000000005</v>
      </c>
      <c r="AV16">
        <f>_xll.EQNXTDZ($A$1,$B16,AV$1,$B$1)</f>
        <v>594.74</v>
      </c>
      <c r="AW16">
        <f>_xll.EQNXTDZ($A$1,$B16,AW$1,$B$1)</f>
        <v>612.22</v>
      </c>
      <c r="AX16">
        <f>_xll.EQNXTDZ($A$1,$B16,AX$1,$B$1)</f>
        <v>619.55999999999995</v>
      </c>
      <c r="AY16">
        <f>_xll.EQNXTDZ($A$1,$B16,AY$1,$B$1)</f>
        <v>614.13</v>
      </c>
      <c r="AZ16">
        <f>_xll.EQNXTDZ($A$1,$B16,AZ$1,$B$1)</f>
        <v>609.22</v>
      </c>
      <c r="BA16">
        <f>_xll.EQNXTDZ($A$1,$B16,BA$1,$B$1)</f>
        <v>639.30999999999995</v>
      </c>
      <c r="BB16">
        <f>_xll.EQNXTDZ($A$1,$B16,BB$1,$B$1)</f>
        <v>626.27</v>
      </c>
      <c r="BC16">
        <f>_xll.EQNXTDZ($A$1,$B16,BC$1,$B$1)</f>
        <v>626.86</v>
      </c>
      <c r="BD16">
        <f>_xll.EQNXTDZ($A$1,$B16,BD$1,$B$1)</f>
        <v>650.15</v>
      </c>
      <c r="BE16">
        <f>_xll.EQNXTDZ($A$1,$B16,BE$1,$B$1)</f>
        <v>697.74</v>
      </c>
      <c r="BF16">
        <f>_xll.EQNXTDZ($A$1,$B16,BF$1,$B$1)</f>
        <v>762.67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145.41999999999999</v>
      </c>
      <c r="AT17">
        <f>_xll.EQNXTDZ($A$1,$B17,AT$1,$B$1)</f>
        <v>176.41</v>
      </c>
      <c r="AU17">
        <f>_xll.EQNXTDZ($A$1,$B17,AU$1,$B$1)</f>
        <v>150.96</v>
      </c>
      <c r="AV17">
        <f>_xll.EQNXTDZ($A$1,$B17,AV$1,$B$1)</f>
        <v>139.5</v>
      </c>
      <c r="AW17">
        <f>_xll.EQNXTDZ($A$1,$B17,AW$1,$B$1)</f>
        <v>114.44</v>
      </c>
      <c r="AX17">
        <f>_xll.EQNXTDZ($A$1,$B17,AX$1,$B$1)</f>
        <v>103.46</v>
      </c>
      <c r="AY17">
        <f>_xll.EQNXTDZ($A$1,$B17,AY$1,$B$1)</f>
        <v>90.59</v>
      </c>
      <c r="AZ17">
        <f>_xll.EQNXTDZ($A$1,$B17,AZ$1,$B$1)</f>
        <v>101.48</v>
      </c>
      <c r="BA17">
        <f>_xll.EQNXTDZ($A$1,$B17,BA$1,$B$1)</f>
        <v>97.34</v>
      </c>
      <c r="BB17">
        <f>_xll.EQNXTDZ($A$1,$B17,BB$1,$B$1)</f>
        <v>101.01</v>
      </c>
      <c r="BC17">
        <f>_xll.EQNXTDZ($A$1,$B17,BC$1,$B$1)</f>
        <v>88.11</v>
      </c>
      <c r="BD17">
        <f>_xll.EQNXTDZ($A$1,$B17,BD$1,$B$1)</f>
        <v>93.2</v>
      </c>
      <c r="BE17">
        <f>_xll.EQNXTDZ($A$1,$B17,BE$1,$B$1)</f>
        <v>106.55</v>
      </c>
      <c r="BF17">
        <f>_xll.EQNXTDZ($A$1,$B17,BF$1,$B$1)</f>
        <v>137.33000000000001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205.75</v>
      </c>
      <c r="AT22">
        <f>_xll.EQNXTDZ($A$1,$B22,AT$1,$B$1)</f>
        <v>242.66</v>
      </c>
      <c r="AU22">
        <f>_xll.EQNXTDZ($A$1,$B22,AU$1,$B$1)</f>
        <v>250.46</v>
      </c>
      <c r="AV22">
        <f>_xll.EQNXTDZ($A$1,$B22,AV$1,$B$1)</f>
        <v>214.29</v>
      </c>
      <c r="AW22">
        <f>_xll.EQNXTDZ($A$1,$B22,AW$1,$B$1)</f>
        <v>236.56</v>
      </c>
      <c r="AX22">
        <f>_xll.EQNXTDZ($A$1,$B22,AX$1,$B$1)</f>
        <v>239.97</v>
      </c>
      <c r="AY22">
        <f>_xll.EQNXTDZ($A$1,$B22,AY$1,$B$1)</f>
        <v>231.08</v>
      </c>
      <c r="AZ22">
        <f>_xll.EQNXTDZ($A$1,$B22,AZ$1,$B$1)</f>
        <v>235.54</v>
      </c>
      <c r="BA22">
        <f>_xll.EQNXTDZ($A$1,$B22,BA$1,$B$1)</f>
        <v>234.02</v>
      </c>
      <c r="BB22">
        <f>_xll.EQNXTDZ($A$1,$B22,BB$1,$B$1)</f>
        <v>233.41</v>
      </c>
      <c r="BC22">
        <f>_xll.EQNXTDZ($A$1,$B22,BC$1,$B$1)</f>
        <v>200.14</v>
      </c>
      <c r="BD22">
        <f>_xll.EQNXTDZ($A$1,$B22,BD$1,$B$1)</f>
        <v>207.82</v>
      </c>
      <c r="BE22">
        <f>_xll.EQNXTDZ($A$1,$B22,BE$1,$B$1)</f>
        <v>192.85</v>
      </c>
      <c r="BF22">
        <f>_xll.EQNXTDZ($A$1,$B22,BF$1,$B$1)</f>
        <v>252.14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18.02</v>
      </c>
      <c r="AT23">
        <f>_xll.EQNXTDZ($A$1,$B23,AT$1,$B$1)</f>
        <v>47.23</v>
      </c>
      <c r="AU23">
        <f>_xll.EQNXTDZ($A$1,$B23,AU$1,$B$1)</f>
        <v>30.87</v>
      </c>
      <c r="AV23">
        <f>_xll.EQNXTDZ($A$1,$B23,AV$1,$B$1)</f>
        <v>29.85</v>
      </c>
      <c r="AW23">
        <f>_xll.EQNXTDZ($A$1,$B23,AW$1,$B$1)</f>
        <v>30.69</v>
      </c>
      <c r="AX23">
        <f>_xll.EQNXTDZ($A$1,$B23,AX$1,$B$1)</f>
        <v>24.14</v>
      </c>
      <c r="AY23">
        <f>_xll.EQNXTDZ($A$1,$B23,AY$1,$B$1)</f>
        <v>23</v>
      </c>
      <c r="AZ23">
        <f>_xll.EQNXTDZ($A$1,$B23,AZ$1,$B$1)</f>
        <v>16.43</v>
      </c>
      <c r="BA23">
        <f>_xll.EQNXTDZ($A$1,$B23,BA$1,$B$1)</f>
        <v>27.62</v>
      </c>
      <c r="BB23">
        <f>_xll.EQNXTDZ($A$1,$B23,BB$1,$B$1)</f>
        <v>57.08</v>
      </c>
      <c r="BC23">
        <f>_xll.EQNXTDZ($A$1,$B23,BC$1,$B$1)</f>
        <v>63.57</v>
      </c>
      <c r="BD23">
        <f>_xll.EQNXTDZ($A$1,$B23,BD$1,$B$1)</f>
        <v>48.2</v>
      </c>
      <c r="BE23">
        <f>_xll.EQNXTDZ($A$1,$B23,BE$1,$B$1)</f>
        <v>31.82</v>
      </c>
      <c r="BF23">
        <f>_xll.EQNXTDZ($A$1,$B23,BF$1,$B$1)</f>
        <v>30.96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223.77</v>
      </c>
      <c r="AT24">
        <f>_xll.EQNXTDZ($A$1,$B24,AT$1,$B$1)</f>
        <v>289.89</v>
      </c>
      <c r="AU24">
        <f>_xll.EQNXTDZ($A$1,$B24,AU$1,$B$1)</f>
        <v>281.33</v>
      </c>
      <c r="AV24">
        <f>_xll.EQNXTDZ($A$1,$B24,AV$1,$B$1)</f>
        <v>244.14</v>
      </c>
      <c r="AW24">
        <f>_xll.EQNXTDZ($A$1,$B24,AW$1,$B$1)</f>
        <v>267.25</v>
      </c>
      <c r="AX24">
        <f>_xll.EQNXTDZ($A$1,$B24,AX$1,$B$1)</f>
        <v>264.11</v>
      </c>
      <c r="AY24">
        <f>_xll.EQNXTDZ($A$1,$B24,AY$1,$B$1)</f>
        <v>254.08</v>
      </c>
      <c r="AZ24">
        <f>_xll.EQNXTDZ($A$1,$B24,AZ$1,$B$1)</f>
        <v>251.97</v>
      </c>
      <c r="BA24">
        <f>_xll.EQNXTDZ($A$1,$B24,BA$1,$B$1)</f>
        <v>261.64</v>
      </c>
      <c r="BB24">
        <f>_xll.EQNXTDZ($A$1,$B24,BB$1,$B$1)</f>
        <v>290.49</v>
      </c>
      <c r="BC24">
        <f>_xll.EQNXTDZ($A$1,$B24,BC$1,$B$1)</f>
        <v>263.70999999999998</v>
      </c>
      <c r="BD24">
        <f>_xll.EQNXTDZ($A$1,$B24,BD$1,$B$1)</f>
        <v>256.02</v>
      </c>
      <c r="BE24">
        <f>_xll.EQNXTDZ($A$1,$B24,BE$1,$B$1)</f>
        <v>224.67</v>
      </c>
      <c r="BF24">
        <f>_xll.EQNXTDZ($A$1,$B24,BF$1,$B$1)</f>
        <v>283.10000000000002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5.36</v>
      </c>
      <c r="AT25">
        <f>_xll.EQNXTDZ($A$1,$B25,AT$1,$B$1)</f>
        <v>4.53</v>
      </c>
      <c r="AU25">
        <f>_xll.EQNXTDZ($A$1,$B25,AU$1,$B$1)</f>
        <v>4.78</v>
      </c>
      <c r="AV25">
        <f>_xll.EQNXTDZ($A$1,$B25,AV$1,$B$1)</f>
        <v>4.6900000000000004</v>
      </c>
      <c r="AW25">
        <f>_xll.EQNXTDZ($A$1,$B25,AW$1,$B$1)</f>
        <v>5.08</v>
      </c>
      <c r="AX25">
        <f>_xll.EQNXTDZ($A$1,$B25,AX$1,$B$1)</f>
        <v>4.3600000000000003</v>
      </c>
      <c r="AY25">
        <f>_xll.EQNXTDZ($A$1,$B25,AY$1,$B$1)</f>
        <v>4.7300000000000004</v>
      </c>
      <c r="AZ25">
        <f>_xll.EQNXTDZ($A$1,$B25,AZ$1,$B$1)</f>
        <v>4.59</v>
      </c>
      <c r="BA25">
        <f>_xll.EQNXTDZ($A$1,$B25,BA$1,$B$1)</f>
        <v>5.5</v>
      </c>
      <c r="BB25">
        <f>_xll.EQNXTDZ($A$1,$B25,BB$1,$B$1)</f>
        <v>4.8099999999999996</v>
      </c>
      <c r="BC25">
        <f>_xll.EQNXTDZ($A$1,$B25,BC$1,$B$1)</f>
        <v>4.63</v>
      </c>
      <c r="BD25">
        <f>_xll.EQNXTDZ($A$1,$B25,BD$1,$B$1)</f>
        <v>4.57</v>
      </c>
      <c r="BE25">
        <f>_xll.EQNXTDZ($A$1,$B25,BE$1,$B$1)</f>
        <v>9.11</v>
      </c>
      <c r="BF25">
        <f>_xll.EQNXTDZ($A$1,$B25,BF$1,$B$1)</f>
        <v>15.81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-163.86</v>
      </c>
      <c r="BF26">
        <f>_xll.EQNXTDZ($A$1,$B26,BF$1,$B$1)</f>
        <v>56.13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218.41</v>
      </c>
      <c r="AT27">
        <f>_xll.EQNXTDZ($A$1,$B27,AT$1,$B$1)</f>
        <v>285.36</v>
      </c>
      <c r="AU27">
        <f>_xll.EQNXTDZ($A$1,$B27,AU$1,$B$1)</f>
        <v>276.55</v>
      </c>
      <c r="AV27">
        <f>_xll.EQNXTDZ($A$1,$B27,AV$1,$B$1)</f>
        <v>239.45</v>
      </c>
      <c r="AW27">
        <f>_xll.EQNXTDZ($A$1,$B27,AW$1,$B$1)</f>
        <v>262.17</v>
      </c>
      <c r="AX27">
        <f>_xll.EQNXTDZ($A$1,$B27,AX$1,$B$1)</f>
        <v>259.75</v>
      </c>
      <c r="AY27">
        <f>_xll.EQNXTDZ($A$1,$B27,AY$1,$B$1)</f>
        <v>249.35</v>
      </c>
      <c r="AZ27">
        <f>_xll.EQNXTDZ($A$1,$B27,AZ$1,$B$1)</f>
        <v>247.38</v>
      </c>
      <c r="BA27">
        <f>_xll.EQNXTDZ($A$1,$B27,BA$1,$B$1)</f>
        <v>256.14</v>
      </c>
      <c r="BB27">
        <f>_xll.EQNXTDZ($A$1,$B27,BB$1,$B$1)</f>
        <v>285.68</v>
      </c>
      <c r="BC27">
        <f>_xll.EQNXTDZ($A$1,$B27,BC$1,$B$1)</f>
        <v>259.08</v>
      </c>
      <c r="BD27">
        <f>_xll.EQNXTDZ($A$1,$B27,BD$1,$B$1)</f>
        <v>251.45</v>
      </c>
      <c r="BE27">
        <f>_xll.EQNXTDZ($A$1,$B27,BE$1,$B$1)</f>
        <v>51.700000000000102</v>
      </c>
      <c r="BF27">
        <f>_xll.EQNXTDZ($A$1,$B27,BF$1,$B$1)</f>
        <v>323.42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23.92</v>
      </c>
      <c r="AT28">
        <f>_xll.EQNXTDZ($A$1,$B28,AT$1,$B$1)</f>
        <v>25.02</v>
      </c>
      <c r="AU28">
        <f>_xll.EQNXTDZ($A$1,$B28,AU$1,$B$1)</f>
        <v>23.57</v>
      </c>
      <c r="AV28">
        <f>_xll.EQNXTDZ($A$1,$B28,AV$1,$B$1)</f>
        <v>26.17</v>
      </c>
      <c r="AW28">
        <f>_xll.EQNXTDZ($A$1,$B28,AW$1,$B$1)</f>
        <v>27.17</v>
      </c>
      <c r="AX28">
        <f>_xll.EQNXTDZ($A$1,$B28,AX$1,$B$1)</f>
        <v>28.96</v>
      </c>
      <c r="AY28">
        <f>_xll.EQNXTDZ($A$1,$B28,AY$1,$B$1)</f>
        <v>29.71</v>
      </c>
      <c r="AZ28">
        <f>_xll.EQNXTDZ($A$1,$B28,AZ$1,$B$1)</f>
        <v>29.9</v>
      </c>
      <c r="BA28">
        <f>_xll.EQNXTDZ($A$1,$B28,BA$1,$B$1)</f>
        <v>30.45</v>
      </c>
      <c r="BB28">
        <f>_xll.EQNXTDZ($A$1,$B28,BB$1,$B$1)</f>
        <v>31.15</v>
      </c>
      <c r="BC28">
        <f>_xll.EQNXTDZ($A$1,$B28,BC$1,$B$1)</f>
        <v>31.33</v>
      </c>
      <c r="BD28">
        <f>_xll.EQNXTDZ($A$1,$B28,BD$1,$B$1)</f>
        <v>30.89</v>
      </c>
      <c r="BE28">
        <f>_xll.EQNXTDZ($A$1,$B28,BE$1,$B$1)</f>
        <v>36</v>
      </c>
      <c r="BF28">
        <f>_xll.EQNXTDZ($A$1,$B28,BF$1,$B$1)</f>
        <v>46.73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46.11</v>
      </c>
      <c r="AT29">
        <f>_xll.EQNXTDZ($A$1,$B29,AT$1,$B$1)</f>
        <v>43.78</v>
      </c>
      <c r="AU29">
        <f>_xll.EQNXTDZ($A$1,$B29,AU$1,$B$1)</f>
        <v>61.45</v>
      </c>
      <c r="AV29">
        <f>_xll.EQNXTDZ($A$1,$B29,AV$1,$B$1)</f>
        <v>52.9</v>
      </c>
      <c r="AW29">
        <f>_xll.EQNXTDZ($A$1,$B29,AW$1,$B$1)</f>
        <v>64.78</v>
      </c>
      <c r="AX29">
        <f>_xll.EQNXTDZ($A$1,$B29,AX$1,$B$1)</f>
        <v>73.55</v>
      </c>
      <c r="AY29">
        <f>_xll.EQNXTDZ($A$1,$B29,AY$1,$B$1)</f>
        <v>57.61</v>
      </c>
      <c r="AZ29">
        <f>_xll.EQNXTDZ($A$1,$B29,AZ$1,$B$1)</f>
        <v>60.07</v>
      </c>
      <c r="BA29">
        <f>_xll.EQNXTDZ($A$1,$B29,BA$1,$B$1)</f>
        <v>57.55</v>
      </c>
      <c r="BB29">
        <f>_xll.EQNXTDZ($A$1,$B29,BB$1,$B$1)</f>
        <v>69.22</v>
      </c>
      <c r="BC29">
        <f>_xll.EQNXTDZ($A$1,$B29,BC$1,$B$1)</f>
        <v>62.27</v>
      </c>
      <c r="BD29">
        <f>_xll.EQNXTDZ($A$1,$B29,BD$1,$B$1)</f>
        <v>60.37</v>
      </c>
      <c r="BE29">
        <f>_xll.EQNXTDZ($A$1,$B29,BE$1,$B$1)</f>
        <v>16.329999999999998</v>
      </c>
      <c r="BF29">
        <f>_xll.EQNXTDZ($A$1,$B29,BF$1,$B$1)</f>
        <v>79.16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148.38</v>
      </c>
      <c r="AT30">
        <f>_xll.EQNXTDZ($A$1,$B30,AT$1,$B$1)</f>
        <v>216.56</v>
      </c>
      <c r="AU30">
        <f>_xll.EQNXTDZ($A$1,$B30,AU$1,$B$1)</f>
        <v>191.53</v>
      </c>
      <c r="AV30">
        <f>_xll.EQNXTDZ($A$1,$B30,AV$1,$B$1)</f>
        <v>160.38</v>
      </c>
      <c r="AW30">
        <f>_xll.EQNXTDZ($A$1,$B30,AW$1,$B$1)</f>
        <v>170.22</v>
      </c>
      <c r="AX30">
        <f>_xll.EQNXTDZ($A$1,$B30,AX$1,$B$1)</f>
        <v>157.24</v>
      </c>
      <c r="AY30">
        <f>_xll.EQNXTDZ($A$1,$B30,AY$1,$B$1)</f>
        <v>162.03</v>
      </c>
      <c r="AZ30">
        <f>_xll.EQNXTDZ($A$1,$B30,AZ$1,$B$1)</f>
        <v>157.41</v>
      </c>
      <c r="BA30">
        <f>_xll.EQNXTDZ($A$1,$B30,BA$1,$B$1)</f>
        <v>168.14</v>
      </c>
      <c r="BB30">
        <f>_xll.EQNXTDZ($A$1,$B30,BB$1,$B$1)</f>
        <v>185.31</v>
      </c>
      <c r="BC30">
        <f>_xll.EQNXTDZ($A$1,$B30,BC$1,$B$1)</f>
        <v>165.48</v>
      </c>
      <c r="BD30">
        <f>_xll.EQNXTDZ($A$1,$B30,BD$1,$B$1)</f>
        <v>160.19</v>
      </c>
      <c r="BE30">
        <f>_xll.EQNXTDZ($A$1,$B30,BE$1,$B$1)</f>
        <v>-0.62999999999990997</v>
      </c>
      <c r="BF30">
        <f>_xll.EQNXTDZ($A$1,$B30,BF$1,$B$1)</f>
        <v>197.53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0.5</v>
      </c>
      <c r="BB35">
        <f>_xll.EQNXTDZ($A$1,$B35,BB$1,$B$1)</f>
        <v>3.56</v>
      </c>
      <c r="BC35">
        <f>_xll.EQNXTDZ($A$1,$B35,BC$1,$B$1)</f>
        <v>4.8</v>
      </c>
      <c r="BD35">
        <f>_xll.EQNXTDZ($A$1,$B35,BD$1,$B$1)</f>
        <v>5.31</v>
      </c>
      <c r="BE35">
        <f>_xll.EQNXTDZ($A$1,$B35,BE$1,$B$1)</f>
        <v>7.27</v>
      </c>
      <c r="BF35">
        <f>_xll.EQNXTDZ($A$1,$B35,BF$1,$B$1)</f>
        <v>6.64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148.38</v>
      </c>
      <c r="AT38">
        <f>_xll.EQNXTDZ($A$1,$B38,AT$1,$B$1)</f>
        <v>216.56</v>
      </c>
      <c r="AU38">
        <f>_xll.EQNXTDZ($A$1,$B38,AU$1,$B$1)</f>
        <v>191.53</v>
      </c>
      <c r="AV38">
        <f>_xll.EQNXTDZ($A$1,$B38,AV$1,$B$1)</f>
        <v>160.38</v>
      </c>
      <c r="AW38">
        <f>_xll.EQNXTDZ($A$1,$B38,AW$1,$B$1)</f>
        <v>170.22</v>
      </c>
      <c r="AX38">
        <f>_xll.EQNXTDZ($A$1,$B38,AX$1,$B$1)</f>
        <v>157.24</v>
      </c>
      <c r="AY38">
        <f>_xll.EQNXTDZ($A$1,$B38,AY$1,$B$1)</f>
        <v>162.03</v>
      </c>
      <c r="AZ38">
        <f>_xll.EQNXTDZ($A$1,$B38,AZ$1,$B$1)</f>
        <v>157.41</v>
      </c>
      <c r="BA38">
        <f>_xll.EQNXTDZ($A$1,$B38,BA$1,$B$1)</f>
        <v>168.64</v>
      </c>
      <c r="BB38">
        <f>_xll.EQNXTDZ($A$1,$B38,BB$1,$B$1)</f>
        <v>188.87</v>
      </c>
      <c r="BC38">
        <f>_xll.EQNXTDZ($A$1,$B38,BC$1,$B$1)</f>
        <v>170.28</v>
      </c>
      <c r="BD38">
        <f>_xll.EQNXTDZ($A$1,$B38,BD$1,$B$1)</f>
        <v>165.5</v>
      </c>
      <c r="BE38">
        <f>_xll.EQNXTDZ($A$1,$B38,BE$1,$B$1)</f>
        <v>6.64</v>
      </c>
      <c r="BF38">
        <f>_xll.EQNXTDZ($A$1,$B38,BF$1,$B$1)</f>
        <v>204.17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121.84</v>
      </c>
      <c r="AT40">
        <f>_xll.EQNXTDZ($A$1,$B40,AT$1,$B$1)</f>
        <v>19.03</v>
      </c>
      <c r="AU40">
        <f>_xll.EQNXTDZ($A$1,$B40,AU$1,$B$1)</f>
        <v>15.66</v>
      </c>
      <c r="AV40">
        <f>_xll.EQNXTDZ($A$1,$B40,AV$1,$B$1)</f>
        <v>-6.69</v>
      </c>
      <c r="AW40">
        <f>_xll.EQNXTDZ($A$1,$B40,AW$1,$B$1)</f>
        <v>50.33</v>
      </c>
      <c r="AX40">
        <f>_xll.EQNXTDZ($A$1,$B40,AX$1,$B$1)</f>
        <v>-11.87</v>
      </c>
      <c r="AY40">
        <f>_xll.EQNXTDZ($A$1,$B40,AY$1,$B$1)</f>
        <v>4.6900000000000004</v>
      </c>
      <c r="AZ40">
        <f>_xll.EQNXTDZ($A$1,$B40,AZ$1,$B$1)</f>
        <v>73.040000000000006</v>
      </c>
      <c r="BA40">
        <f>_xll.EQNXTDZ($A$1,$B40,BA$1,$B$1)</f>
        <v>-31.15</v>
      </c>
      <c r="BB40">
        <f>_xll.EQNXTDZ($A$1,$B40,BB$1,$B$1)</f>
        <v>33.75</v>
      </c>
      <c r="BC40">
        <f>_xll.EQNXTDZ($A$1,$B40,BC$1,$B$1)</f>
        <v>77.47</v>
      </c>
      <c r="BD40">
        <f>_xll.EQNXTDZ($A$1,$B40,BD$1,$B$1)</f>
        <v>52.72</v>
      </c>
      <c r="BE40">
        <f>_xll.EQNXTDZ($A$1,$B40,BE$1,$B$1)</f>
        <v>4.82</v>
      </c>
      <c r="BF40">
        <f>_xll.EQNXTDZ($A$1,$B40,BF$1,$B$1)</f>
        <v>131.05000000000001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270.22000000000003</v>
      </c>
      <c r="AT41">
        <f>_xll.EQNXTDZ($A$1,$B41,AT$1,$B$1)</f>
        <v>235.59</v>
      </c>
      <c r="AU41">
        <f>_xll.EQNXTDZ($A$1,$B41,AU$1,$B$1)</f>
        <v>207.19</v>
      </c>
      <c r="AV41">
        <f>_xll.EQNXTDZ($A$1,$B41,AV$1,$B$1)</f>
        <v>153.69</v>
      </c>
      <c r="AW41">
        <f>_xll.EQNXTDZ($A$1,$B41,AW$1,$B$1)</f>
        <v>220.55</v>
      </c>
      <c r="AX41">
        <f>_xll.EQNXTDZ($A$1,$B41,AX$1,$B$1)</f>
        <v>145.37</v>
      </c>
      <c r="AY41">
        <f>_xll.EQNXTDZ($A$1,$B41,AY$1,$B$1)</f>
        <v>166.72</v>
      </c>
      <c r="AZ41">
        <f>_xll.EQNXTDZ($A$1,$B41,AZ$1,$B$1)</f>
        <v>230.45</v>
      </c>
      <c r="BA41">
        <f>_xll.EQNXTDZ($A$1,$B41,BA$1,$B$1)</f>
        <v>137.49</v>
      </c>
      <c r="BB41">
        <f>_xll.EQNXTDZ($A$1,$B41,BB$1,$B$1)</f>
        <v>222.62</v>
      </c>
      <c r="BC41">
        <f>_xll.EQNXTDZ($A$1,$B41,BC$1,$B$1)</f>
        <v>247.75</v>
      </c>
      <c r="BD41">
        <f>_xll.EQNXTDZ($A$1,$B41,BD$1,$B$1)</f>
        <v>218.22</v>
      </c>
      <c r="BE41">
        <f>_xll.EQNXTDZ($A$1,$B41,BE$1,$B$1)</f>
        <v>11.46</v>
      </c>
      <c r="BF41">
        <f>_xll.EQNXTDZ($A$1,$B41,BF$1,$B$1)</f>
        <v>335.22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148.38</v>
      </c>
      <c r="AT42">
        <f>_xll.EQNXTDZ($A$1,$B42,AT$1,$B$1)</f>
        <v>216.56</v>
      </c>
      <c r="AU42">
        <f>_xll.EQNXTDZ($A$1,$B42,AU$1,$B$1)</f>
        <v>191.53</v>
      </c>
      <c r="AV42">
        <f>_xll.EQNXTDZ($A$1,$B42,AV$1,$B$1)</f>
        <v>160.38</v>
      </c>
      <c r="AW42">
        <f>_xll.EQNXTDZ($A$1,$B42,AW$1,$B$1)</f>
        <v>170.22</v>
      </c>
      <c r="AX42">
        <f>_xll.EQNXTDZ($A$1,$B42,AX$1,$B$1)</f>
        <v>157.24</v>
      </c>
      <c r="AY42">
        <f>_xll.EQNXTDZ($A$1,$B42,AY$1,$B$1)</f>
        <v>162.03</v>
      </c>
      <c r="AZ42">
        <f>_xll.EQNXTDZ($A$1,$B42,AZ$1,$B$1)</f>
        <v>157.41</v>
      </c>
      <c r="BA42">
        <f>_xll.EQNXTDZ($A$1,$B42,BA$1,$B$1)</f>
        <v>168.64</v>
      </c>
      <c r="BB42">
        <f>_xll.EQNXTDZ($A$1,$B42,BB$1,$B$1)</f>
        <v>188.87</v>
      </c>
      <c r="BC42">
        <f>_xll.EQNXTDZ($A$1,$B42,BC$1,$B$1)</f>
        <v>170.28</v>
      </c>
      <c r="BD42">
        <f>_xll.EQNXTDZ($A$1,$B42,BD$1,$B$1)</f>
        <v>165.5</v>
      </c>
      <c r="BE42">
        <f>_xll.EQNXTDZ($A$1,$B42,BE$1,$B$1)</f>
        <v>6.64</v>
      </c>
      <c r="BF42">
        <f>_xll.EQNXTDZ($A$1,$B42,BF$1,$B$1)</f>
        <v>204.17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40.57</v>
      </c>
      <c r="AT45">
        <f>_xll.EQNXTDZ($A$1,$B45,AT$1,$B$1)</f>
        <v>81.13</v>
      </c>
      <c r="AU45">
        <f>_xll.EQNXTDZ($A$1,$B45,AU$1,$B$1)</f>
        <v>81.13</v>
      </c>
      <c r="AV45">
        <f>_xll.EQNXTDZ($A$1,$B45,AV$1,$B$1)</f>
        <v>81.13</v>
      </c>
      <c r="AW45">
        <f>_xll.EQNXTDZ($A$1,$B45,AW$1,$B$1)</f>
        <v>81.13</v>
      </c>
      <c r="AX45">
        <f>_xll.EQNXTDZ($A$1,$B45,AX$1,$B$1)</f>
        <v>81.13</v>
      </c>
      <c r="AY45">
        <f>_xll.EQNXTDZ($A$1,$B45,AY$1,$B$1)</f>
        <v>81.13</v>
      </c>
      <c r="AZ45">
        <f>_xll.EQNXTDZ($A$1,$B45,AZ$1,$B$1)</f>
        <v>81.13</v>
      </c>
      <c r="BA45">
        <f>_xll.EQNXTDZ($A$1,$B45,BA$1,$B$1)</f>
        <v>81.13</v>
      </c>
      <c r="BB45">
        <f>_xll.EQNXTDZ($A$1,$B45,BB$1,$B$1)</f>
        <v>81.13</v>
      </c>
      <c r="BC45">
        <f>_xll.EQNXTDZ($A$1,$B45,BC$1,$B$1)</f>
        <v>81.13</v>
      </c>
      <c r="BD45">
        <f>_xll.EQNXTDZ($A$1,$B45,BD$1,$B$1)</f>
        <v>81.14</v>
      </c>
      <c r="BE45">
        <f>_xll.EQNXTDZ($A$1,$B45,BE$1,$B$1)</f>
        <v>81.150000000000006</v>
      </c>
      <c r="BF45">
        <f>_xll.EQNXTDZ($A$1,$B45,BF$1,$B$1)</f>
        <v>81.2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10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1180.45</v>
      </c>
      <c r="AX48" s="55">
        <f>_xll.EQNXTDZ($A$1,$B48,AX$5)</f>
        <v>1020.95</v>
      </c>
      <c r="AY48" s="55">
        <f>_xll.EQNXTDZ($A$1,$B48,AY$5)</f>
        <v>1021.5</v>
      </c>
      <c r="AZ48" s="55">
        <f>_xll.EQNXTDZ($A$1,$B48,AZ$5)</f>
        <v>1103.3499999999999</v>
      </c>
      <c r="BA48" s="55">
        <f>_xll.EQNXTDZ($A$1,$B48,BA$5)</f>
        <v>891.45</v>
      </c>
      <c r="BB48" s="55">
        <f>_xll.EQNXTDZ($A$1,$B48,BB$5)</f>
        <v>678.25</v>
      </c>
      <c r="BC48" s="55">
        <f>_xll.EQNXTDZ($A$1,$B48,BC$5)</f>
        <v>711</v>
      </c>
      <c r="BD48" s="55">
        <f>_xll.EQNXTDZ($A$1,$B48,BD$5)</f>
        <v>669.4</v>
      </c>
      <c r="BE48" s="55">
        <f>_xll.EQNXTDZ($A$1,$B48,BE$5)</f>
        <v>642.1</v>
      </c>
      <c r="BF48" s="55">
        <f>_xll.EQNXTDZ($A$1,$B48,BF$5)</f>
        <v>509.45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55.39</v>
      </c>
      <c r="AX49" s="55">
        <f>_xll.EQNXTDZ($A$1,$B49,AX$5)</f>
        <v>55.39</v>
      </c>
      <c r="AY49" s="55">
        <f>_xll.EQNXTDZ($A$1,$B49,AY$5)</f>
        <v>55.39</v>
      </c>
      <c r="AZ49" s="55">
        <f>_xll.EQNXTDZ($A$1,$B49,AZ$5)</f>
        <v>55.22</v>
      </c>
      <c r="BA49" s="55">
        <f>_xll.EQNXTDZ($A$1,$B49,BA$5)</f>
        <v>55.22</v>
      </c>
      <c r="BB49" s="55">
        <f>_xll.EQNXTDZ($A$1,$B49,BB$5)</f>
        <v>55.22</v>
      </c>
      <c r="BC49" s="55">
        <f>_xll.EQNXTDZ($A$1,$B49,BC$5)</f>
        <v>55.22</v>
      </c>
      <c r="BD49" s="55">
        <f>_xll.EQNXTDZ($A$1,$B49,BD$5)</f>
        <v>55.22</v>
      </c>
      <c r="BE49" s="55">
        <f>_xll.EQNXTDZ($A$1,$B49,BE$5)</f>
        <v>55.21</v>
      </c>
      <c r="BF49" s="55">
        <f>_xll.EQNXTDZ($A$1,$B49,BF$5)</f>
        <v>55.18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81.13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81.13</v>
      </c>
      <c r="AY56" s="55">
        <f>_xll.EQNXTDZ($A$1,$B56,AY$5,$B$1)</f>
        <v>0</v>
      </c>
      <c r="AZ56" s="55">
        <f>_xll.EQNXTDZ($A$1,$B56,AZ$5,$B$1)</f>
        <v>81.13</v>
      </c>
      <c r="BA56" s="55">
        <f>_xll.EQNXTDZ($A$1,$B56,BA$5,$B$1)</f>
        <v>0</v>
      </c>
      <c r="BB56" s="55">
        <f>_xll.EQNXTDZ($A$1,$B56,BB$5,$B$1)</f>
        <v>81.13</v>
      </c>
      <c r="BC56" s="55">
        <f>_xll.EQNXTDZ($A$1,$B56,BC$5,$B$1)</f>
        <v>0</v>
      </c>
      <c r="BD56" s="55">
        <f>_xll.EQNXTDZ($A$1,$B56,BD$5,$B$1)</f>
        <v>81.14</v>
      </c>
      <c r="BE56" s="55">
        <f>_xll.EQNXTDZ($A$1,$B56,BE$5,$B$1)</f>
        <v>0</v>
      </c>
      <c r="BF56" s="55">
        <f>_xll.EQNXTDZ($A$1,$B56,BF$5,$B$1)</f>
        <v>81.2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2908.32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3139.69</v>
      </c>
      <c r="AY58" s="55">
        <f>_xll.EQNXTDZ($A$1,$B58,AY$5,$B$1)</f>
        <v>0</v>
      </c>
      <c r="AZ58" s="55">
        <f>_xll.EQNXTDZ($A$1,$B58,AZ$5,$B$1)</f>
        <v>3133.96</v>
      </c>
      <c r="BA58" s="55">
        <f>_xll.EQNXTDZ($A$1,$B58,BA$5,$B$1)</f>
        <v>0</v>
      </c>
      <c r="BB58" s="55">
        <f>_xll.EQNXTDZ($A$1,$B58,BB$5,$B$1)</f>
        <v>3498.29</v>
      </c>
      <c r="BC58" s="55">
        <f>_xll.EQNXTDZ($A$1,$B58,BC$5,$B$1)</f>
        <v>0</v>
      </c>
      <c r="BD58" s="55">
        <f>_xll.EQNXTDZ($A$1,$B58,BD$5,$B$1)</f>
        <v>3485.21</v>
      </c>
      <c r="BE58" s="55">
        <f>_xll.EQNXTDZ($A$1,$B58,BE$5,$B$1)</f>
        <v>0</v>
      </c>
      <c r="BF58" s="55">
        <f>_xll.EQNXTDZ($A$1,$B58,BF$5,$B$1)</f>
        <v>3842.17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2989.45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3220.82</v>
      </c>
      <c r="AY59" s="55">
        <f>_xll.EQNXTDZ($A$1,$B59,AY$5,$B$1)</f>
        <v>0</v>
      </c>
      <c r="AZ59" s="55">
        <f>_xll.EQNXTDZ($A$1,$B59,AZ$5,$B$1)</f>
        <v>3215.09</v>
      </c>
      <c r="BA59" s="55">
        <f>_xll.EQNXTDZ($A$1,$B59,BA$5,$B$1)</f>
        <v>0</v>
      </c>
      <c r="BB59" s="55">
        <f>_xll.EQNXTDZ($A$1,$B59,BB$5,$B$1)</f>
        <v>3579.42</v>
      </c>
      <c r="BC59" s="55">
        <f>_xll.EQNXTDZ($A$1,$B59,BC$5,$B$1)</f>
        <v>0</v>
      </c>
      <c r="BD59" s="55">
        <f>_xll.EQNXTDZ($A$1,$B59,BD$5,$B$1)</f>
        <v>3566.35</v>
      </c>
      <c r="BE59" s="55">
        <f>_xll.EQNXTDZ($A$1,$B59,BE$5,$B$1)</f>
        <v>0</v>
      </c>
      <c r="BF59" s="55">
        <f>_xll.EQNXTDZ($A$1,$B59,BF$5,$B$1)</f>
        <v>3923.37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588.99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588.99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215.3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205.79</v>
      </c>
      <c r="AY64" s="55">
        <f>_xll.EQNXTDZ($A$1,$B64,AY$5,$B$1)</f>
        <v>0</v>
      </c>
      <c r="AZ64" s="55">
        <f>_xll.EQNXTDZ($A$1,$B64,AZ$5,$B$1)</f>
        <v>201.43</v>
      </c>
      <c r="BA64" s="55">
        <f>_xll.EQNXTDZ($A$1,$B64,BA$5,$B$1)</f>
        <v>0</v>
      </c>
      <c r="BB64" s="55">
        <f>_xll.EQNXTDZ($A$1,$B64,BB$5,$B$1)</f>
        <v>369.01</v>
      </c>
      <c r="BC64" s="55">
        <f>_xll.EQNXTDZ($A$1,$B64,BC$5,$B$1)</f>
        <v>0</v>
      </c>
      <c r="BD64" s="55">
        <f>_xll.EQNXTDZ($A$1,$B64,BD$5,$B$1)</f>
        <v>354.52</v>
      </c>
      <c r="BE64" s="55">
        <f>_xll.EQNXTDZ($A$1,$B64,BE$5,$B$1)</f>
        <v>0</v>
      </c>
      <c r="BF64" s="55">
        <f>_xll.EQNXTDZ($A$1,$B64,BF$5,$B$1)</f>
        <v>495.85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23.33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28.87</v>
      </c>
      <c r="AY66" s="55">
        <f>_xll.EQNXTDZ($A$1,$B66,AY$5,$B$1)</f>
        <v>0</v>
      </c>
      <c r="AZ66" s="55">
        <f>_xll.EQNXTDZ($A$1,$B66,AZ$5,$B$1)</f>
        <v>33.99</v>
      </c>
      <c r="BA66" s="55">
        <f>_xll.EQNXTDZ($A$1,$B66,BA$5,$B$1)</f>
        <v>0</v>
      </c>
      <c r="BB66" s="55">
        <f>_xll.EQNXTDZ($A$1,$B66,BB$5,$B$1)</f>
        <v>32.799999999999997</v>
      </c>
      <c r="BC66" s="55">
        <f>_xll.EQNXTDZ($A$1,$B66,BC$5,$B$1)</f>
        <v>0</v>
      </c>
      <c r="BD66" s="55">
        <f>_xll.EQNXTDZ($A$1,$B66,BD$5,$B$1)</f>
        <v>35.78</v>
      </c>
      <c r="BE66" s="55">
        <f>_xll.EQNXTDZ($A$1,$B66,BE$5,$B$1)</f>
        <v>0</v>
      </c>
      <c r="BF66" s="55">
        <f>_xll.EQNXTDZ($A$1,$B66,BF$5,$B$1)</f>
        <v>61.27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3228.08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3455.48</v>
      </c>
      <c r="AY67" s="55">
        <f>_xll.EQNXTDZ($A$1,$B67,AY$5,$B$1)</f>
        <v>0</v>
      </c>
      <c r="AZ67" s="55">
        <f>_xll.EQNXTDZ($A$1,$B67,AZ$5,$B$1)</f>
        <v>3450.51</v>
      </c>
      <c r="BA67" s="55">
        <f>_xll.EQNXTDZ($A$1,$B67,BA$5,$B$1)</f>
        <v>0</v>
      </c>
      <c r="BB67" s="55">
        <f>_xll.EQNXTDZ($A$1,$B67,BB$5,$B$1)</f>
        <v>3981.23</v>
      </c>
      <c r="BC67" s="55">
        <f>_xll.EQNXTDZ($A$1,$B67,BC$5,$B$1)</f>
        <v>0</v>
      </c>
      <c r="BD67" s="55">
        <f>_xll.EQNXTDZ($A$1,$B67,BD$5,$B$1)</f>
        <v>3956.65</v>
      </c>
      <c r="BE67" s="55">
        <f>_xll.EQNXTDZ($A$1,$B67,BE$5,$B$1)</f>
        <v>0</v>
      </c>
      <c r="BF67" s="55">
        <f>_xll.EQNXTDZ($A$1,$B67,BF$5,$B$1)</f>
        <v>5069.4799999999996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152.21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187.01</v>
      </c>
      <c r="AY68" s="55">
        <f>_xll.EQNXTDZ($A$1,$B68,AY$5,$B$1)</f>
        <v>0</v>
      </c>
      <c r="AZ68" s="55">
        <f>_xll.EQNXTDZ($A$1,$B68,AZ$5,$B$1)</f>
        <v>165.51</v>
      </c>
      <c r="BA68" s="55">
        <f>_xll.EQNXTDZ($A$1,$B68,BA$5,$B$1)</f>
        <v>0</v>
      </c>
      <c r="BB68" s="55">
        <f>_xll.EQNXTDZ($A$1,$B68,BB$5,$B$1)</f>
        <v>151.41999999999999</v>
      </c>
      <c r="BC68" s="55">
        <f>_xll.EQNXTDZ($A$1,$B68,BC$5,$B$1)</f>
        <v>0</v>
      </c>
      <c r="BD68" s="55">
        <f>_xll.EQNXTDZ($A$1,$B68,BD$5,$B$1)</f>
        <v>126.13</v>
      </c>
      <c r="BE68" s="55">
        <f>_xll.EQNXTDZ($A$1,$B68,BE$5,$B$1)</f>
        <v>0</v>
      </c>
      <c r="BF68" s="55">
        <f>_xll.EQNXTDZ($A$1,$B68,BF$5,$B$1)</f>
        <v>522.04999999999995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152.21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187.01</v>
      </c>
      <c r="AY71" s="55">
        <f>_xll.EQNXTDZ($A$1,$B71,AY$5,$B$1)</f>
        <v>0</v>
      </c>
      <c r="AZ71" s="55">
        <f>_xll.EQNXTDZ($A$1,$B71,AZ$5,$B$1)</f>
        <v>165.51</v>
      </c>
      <c r="BA71" s="55">
        <f>_xll.EQNXTDZ($A$1,$B71,BA$5,$B$1)</f>
        <v>0</v>
      </c>
      <c r="BB71" s="55">
        <f>_xll.EQNXTDZ($A$1,$B71,BB$5,$B$1)</f>
        <v>151.41999999999999</v>
      </c>
      <c r="BC71" s="55">
        <f>_xll.EQNXTDZ($A$1,$B71,BC$5,$B$1)</f>
        <v>0</v>
      </c>
      <c r="BD71" s="55">
        <f>_xll.EQNXTDZ($A$1,$B71,BD$5,$B$1)</f>
        <v>126.13</v>
      </c>
      <c r="BE71" s="55">
        <f>_xll.EQNXTDZ($A$1,$B71,BE$5,$B$1)</f>
        <v>0</v>
      </c>
      <c r="BF71" s="55">
        <f>_xll.EQNXTDZ($A$1,$B71,BF$5,$B$1)</f>
        <v>522.04999999999995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762.92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782.58</v>
      </c>
      <c r="AY72" s="55">
        <f>_xll.EQNXTDZ($A$1,$B72,AY$5,$B$1)</f>
        <v>0</v>
      </c>
      <c r="AZ72" s="55">
        <f>_xll.EQNXTDZ($A$1,$B72,AZ$5,$B$1)</f>
        <v>818.06</v>
      </c>
      <c r="BA72" s="55">
        <f>_xll.EQNXTDZ($A$1,$B72,BA$5,$B$1)</f>
        <v>0</v>
      </c>
      <c r="BB72" s="55">
        <f>_xll.EQNXTDZ($A$1,$B72,BB$5,$B$1)</f>
        <v>818.09</v>
      </c>
      <c r="BC72" s="55">
        <f>_xll.EQNXTDZ($A$1,$B72,BC$5,$B$1)</f>
        <v>0</v>
      </c>
      <c r="BD72" s="55">
        <f>_xll.EQNXTDZ($A$1,$B72,BD$5,$B$1)</f>
        <v>872.55</v>
      </c>
      <c r="BE72" s="55">
        <f>_xll.EQNXTDZ($A$1,$B72,BE$5,$B$1)</f>
        <v>0</v>
      </c>
      <c r="BF72" s="55">
        <f>_xll.EQNXTDZ($A$1,$B72,BF$5,$B$1)</f>
        <v>1351.25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2.65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0.63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4.07</v>
      </c>
      <c r="BC77" s="55">
        <f>_xll.EQNXTDZ($A$1,$B77,BC$5,$B$1)</f>
        <v>0</v>
      </c>
      <c r="BD77" s="55">
        <f>_xll.EQNXTDZ($A$1,$B77,BD$5,$B$1)</f>
        <v>14.18</v>
      </c>
      <c r="BE77" s="55">
        <f>_xll.EQNXTDZ($A$1,$B77,BE$5,$B$1)</f>
        <v>0</v>
      </c>
      <c r="BF77" s="55">
        <f>_xll.EQNXTDZ($A$1,$B77,BF$5,$B$1)</f>
        <v>25.66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15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334.16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382.45</v>
      </c>
      <c r="AY79" s="55">
        <f>_xll.EQNXTDZ($A$1,$B79,AY$5,$B$1)</f>
        <v>0</v>
      </c>
      <c r="AZ79" s="55">
        <f>_xll.EQNXTDZ($A$1,$B79,AZ$5,$B$1)</f>
        <v>430.83</v>
      </c>
      <c r="BA79" s="55">
        <f>_xll.EQNXTDZ($A$1,$B79,BA$5,$B$1)</f>
        <v>0</v>
      </c>
      <c r="BB79" s="55">
        <f>_xll.EQNXTDZ($A$1,$B79,BB$5,$B$1)</f>
        <v>676.32</v>
      </c>
      <c r="BC79" s="55">
        <f>_xll.EQNXTDZ($A$1,$B79,BC$5,$B$1)</f>
        <v>0</v>
      </c>
      <c r="BD79" s="55">
        <f>_xll.EQNXTDZ($A$1,$B79,BD$5,$B$1)</f>
        <v>725.16</v>
      </c>
      <c r="BE79" s="55">
        <f>_xll.EQNXTDZ($A$1,$B79,BE$5,$B$1)</f>
        <v>0</v>
      </c>
      <c r="BF79" s="55">
        <f>_xll.EQNXTDZ($A$1,$B79,BF$5,$B$1)</f>
        <v>786.94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29.78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150.35</v>
      </c>
      <c r="AY80" s="55">
        <f>_xll.EQNXTDZ($A$1,$B80,AY$5,$B$1)</f>
        <v>0</v>
      </c>
      <c r="AZ80" s="55">
        <f>_xll.EQNXTDZ($A$1,$B80,AZ$5,$B$1)</f>
        <v>185.03</v>
      </c>
      <c r="BA80" s="55">
        <f>_xll.EQNXTDZ($A$1,$B80,BA$5,$B$1)</f>
        <v>0</v>
      </c>
      <c r="BB80" s="55">
        <f>_xll.EQNXTDZ($A$1,$B80,BB$5,$B$1)</f>
        <v>611.72</v>
      </c>
      <c r="BC80" s="55">
        <f>_xll.EQNXTDZ($A$1,$B80,BC$5,$B$1)</f>
        <v>0</v>
      </c>
      <c r="BD80" s="55">
        <f>_xll.EQNXTDZ($A$1,$B80,BD$5,$B$1)</f>
        <v>550.85</v>
      </c>
      <c r="BE80" s="55">
        <f>_xll.EQNXTDZ($A$1,$B80,BE$5,$B$1)</f>
        <v>0</v>
      </c>
      <c r="BF80" s="55">
        <f>_xll.EQNXTDZ($A$1,$B80,BF$5,$B$1)</f>
        <v>797.81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1106.22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1147.8599999999999</v>
      </c>
      <c r="AY82" s="55">
        <f>_xll.EQNXTDZ($A$1,$B82,AY$5,$B$1)</f>
        <v>0</v>
      </c>
      <c r="AZ82" s="55">
        <f>_xll.EQNXTDZ($A$1,$B82,AZ$5,$B$1)</f>
        <v>1076.56</v>
      </c>
      <c r="BA82" s="55">
        <f>_xll.EQNXTDZ($A$1,$B82,BA$5,$B$1)</f>
        <v>0</v>
      </c>
      <c r="BB82" s="55">
        <f>_xll.EQNXTDZ($A$1,$B82,BB$5,$B$1)</f>
        <v>1005.55</v>
      </c>
      <c r="BC82" s="55">
        <f>_xll.EQNXTDZ($A$1,$B82,BC$5,$B$1)</f>
        <v>0</v>
      </c>
      <c r="BD82" s="55">
        <f>_xll.EQNXTDZ($A$1,$B82,BD$5,$B$1)</f>
        <v>1260.49</v>
      </c>
      <c r="BE82" s="55">
        <f>_xll.EQNXTDZ($A$1,$B82,BE$5,$B$1)</f>
        <v>0</v>
      </c>
      <c r="BF82" s="55">
        <f>_xll.EQNXTDZ($A$1,$B82,BF$5,$B$1)</f>
        <v>1186.8599999999999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999.2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913.39</v>
      </c>
      <c r="AY83" s="55">
        <f>_xll.EQNXTDZ($A$1,$B83,AY$5,$B$1)</f>
        <v>0</v>
      </c>
      <c r="AZ83" s="55">
        <f>_xll.EQNXTDZ($A$1,$B83,AZ$5,$B$1)</f>
        <v>813.07</v>
      </c>
      <c r="BA83" s="55">
        <f>_xll.EQNXTDZ($A$1,$B83,BA$5,$B$1)</f>
        <v>0</v>
      </c>
      <c r="BB83" s="55">
        <f>_xll.EQNXTDZ($A$1,$B83,BB$5,$B$1)</f>
        <v>902.57</v>
      </c>
      <c r="BC83" s="55">
        <f>_xll.EQNXTDZ($A$1,$B83,BC$5,$B$1)</f>
        <v>0</v>
      </c>
      <c r="BD83" s="55">
        <f>_xll.EQNXTDZ($A$1,$B83,BD$5,$B$1)</f>
        <v>472.44</v>
      </c>
      <c r="BE83" s="55">
        <f>_xll.EQNXTDZ($A$1,$B83,BE$5,$B$1)</f>
        <v>0</v>
      </c>
      <c r="BF83" s="55">
        <f>_xll.EQNXTDZ($A$1,$B83,BF$5,$B$1)</f>
        <v>715.17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1172.05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1510.46</v>
      </c>
      <c r="AY84" s="55">
        <f>_xll.EQNXTDZ($A$1,$B84,AY$5,$B$1)</f>
        <v>0</v>
      </c>
      <c r="AZ84" s="55">
        <f>_xll.EQNXTDZ($A$1,$B84,AZ$5,$B$1)</f>
        <v>1749.3</v>
      </c>
      <c r="BA84" s="55">
        <f>_xll.EQNXTDZ($A$1,$B84,BA$5,$B$1)</f>
        <v>0</v>
      </c>
      <c r="BB84" s="55">
        <f>_xll.EQNXTDZ($A$1,$B84,BB$5,$B$1)</f>
        <v>2102.52</v>
      </c>
      <c r="BC84" s="55">
        <f>_xll.EQNXTDZ($A$1,$B84,BC$5,$B$1)</f>
        <v>0</v>
      </c>
      <c r="BD84" s="55">
        <f>_xll.EQNXTDZ($A$1,$B84,BD$5,$B$1)</f>
        <v>2674.88</v>
      </c>
      <c r="BE84" s="55">
        <f>_xll.EQNXTDZ($A$1,$B84,BE$5,$B$1)</f>
        <v>0</v>
      </c>
      <c r="BF84" s="55">
        <f>_xll.EQNXTDZ($A$1,$B84,BF$5,$B$1)</f>
        <v>2806.06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490.22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250.94</v>
      </c>
      <c r="AY85" s="55">
        <f>_xll.EQNXTDZ($A$1,$B85,AY$5,$B$1)</f>
        <v>0</v>
      </c>
      <c r="AZ85" s="55">
        <f>_xll.EQNXTDZ($A$1,$B85,AZ$5,$B$1)</f>
        <v>336.15</v>
      </c>
      <c r="BA85" s="55">
        <f>_xll.EQNXTDZ($A$1,$B85,BA$5,$B$1)</f>
        <v>0</v>
      </c>
      <c r="BB85" s="55">
        <f>_xll.EQNXTDZ($A$1,$B85,BB$5,$B$1)</f>
        <v>50.45</v>
      </c>
      <c r="BC85" s="55">
        <f>_xll.EQNXTDZ($A$1,$B85,BC$5,$B$1)</f>
        <v>0</v>
      </c>
      <c r="BD85" s="55">
        <f>_xll.EQNXTDZ($A$1,$B85,BD$5,$B$1)</f>
        <v>98.04</v>
      </c>
      <c r="BE85" s="55">
        <f>_xll.EQNXTDZ($A$1,$B85,BE$5,$B$1)</f>
        <v>0</v>
      </c>
      <c r="BF85" s="55">
        <f>_xll.EQNXTDZ($A$1,$B85,BF$5,$B$1)</f>
        <v>301.77999999999997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3797.47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3973</v>
      </c>
      <c r="AY86" s="55">
        <f>_xll.EQNXTDZ($A$1,$B86,AY$5,$B$1)</f>
        <v>0</v>
      </c>
      <c r="AZ86" s="55">
        <f>_xll.EQNXTDZ($A$1,$B86,AZ$5,$B$1)</f>
        <v>4160.1099999999997</v>
      </c>
      <c r="BA86" s="55">
        <f>_xll.EQNXTDZ($A$1,$B86,BA$5,$B$1)</f>
        <v>0</v>
      </c>
      <c r="BB86" s="55">
        <f>_xll.EQNXTDZ($A$1,$B86,BB$5,$B$1)</f>
        <v>4672.8100000000004</v>
      </c>
      <c r="BC86" s="55">
        <f>_xll.EQNXTDZ($A$1,$B86,BC$5,$B$1)</f>
        <v>0</v>
      </c>
      <c r="BD86" s="55">
        <f>_xll.EQNXTDZ($A$1,$B86,BD$5,$B$1)</f>
        <v>5056.7</v>
      </c>
      <c r="BE86" s="55">
        <f>_xll.EQNXTDZ($A$1,$B86,BE$5,$B$1)</f>
        <v>0</v>
      </c>
      <c r="BF86" s="55">
        <f>_xll.EQNXTDZ($A$1,$B86,BF$5,$B$1)</f>
        <v>5807.68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76.569999999999993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657.81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481.38</v>
      </c>
      <c r="AY89" s="55">
        <f>_xll.EQNXTDZ($A$1,$B89,AY$5,$B$1)</f>
        <v>0</v>
      </c>
      <c r="AZ89" s="55">
        <f>_xll.EQNXTDZ($A$1,$B89,AZ$5,$B$1)</f>
        <v>469.58</v>
      </c>
      <c r="BA89" s="55">
        <f>_xll.EQNXTDZ($A$1,$B89,BA$5,$B$1)</f>
        <v>0</v>
      </c>
      <c r="BB89" s="55">
        <f>_xll.EQNXTDZ($A$1,$B89,BB$5,$B$1)</f>
        <v>476.72</v>
      </c>
      <c r="BC89" s="55">
        <f>_xll.EQNXTDZ($A$1,$B89,BC$5,$B$1)</f>
        <v>0</v>
      </c>
      <c r="BD89" s="55">
        <f>_xll.EQNXTDZ($A$1,$B89,BD$5,$B$1)</f>
        <v>478.53</v>
      </c>
      <c r="BE89" s="55">
        <f>_xll.EQNXTDZ($A$1,$B89,BE$5,$B$1)</f>
        <v>0</v>
      </c>
      <c r="BF89" s="55">
        <f>_xll.EQNXTDZ($A$1,$B89,BF$5,$B$1)</f>
        <v>581.36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1281.69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1612.19</v>
      </c>
      <c r="AY91" s="55">
        <f>_xll.EQNXTDZ($A$1,$B91,AY$5,$B$1)</f>
        <v>0</v>
      </c>
      <c r="AZ91" s="55">
        <f>_xll.EQNXTDZ($A$1,$B91,AZ$5,$B$1)</f>
        <v>1921.31</v>
      </c>
      <c r="BA91" s="55">
        <f>_xll.EQNXTDZ($A$1,$B91,BA$5,$B$1)</f>
        <v>0</v>
      </c>
      <c r="BB91" s="55">
        <f>_xll.EQNXTDZ($A$1,$B91,BB$5,$B$1)</f>
        <v>2179.54</v>
      </c>
      <c r="BC91" s="55">
        <f>_xll.EQNXTDZ($A$1,$B91,BC$5,$B$1)</f>
        <v>0</v>
      </c>
      <c r="BD91" s="55">
        <f>_xll.EQNXTDZ($A$1,$B91,BD$5,$B$1)</f>
        <v>2694.92</v>
      </c>
      <c r="BE91" s="55">
        <f>_xll.EQNXTDZ($A$1,$B91,BE$5,$B$1)</f>
        <v>0</v>
      </c>
      <c r="BF91" s="55">
        <f>_xll.EQNXTDZ($A$1,$B91,BF$5,$B$1)</f>
        <v>3044.65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33.909999999999997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29.27</v>
      </c>
      <c r="AY92" s="55">
        <f>_xll.EQNXTDZ($A$1,$B92,AY$5,$B$1)</f>
        <v>0</v>
      </c>
      <c r="AZ92" s="55">
        <f>_xll.EQNXTDZ($A$1,$B92,AZ$5,$B$1)</f>
        <v>25.53</v>
      </c>
      <c r="BA92" s="55">
        <f>_xll.EQNXTDZ($A$1,$B92,BA$5,$B$1)</f>
        <v>0</v>
      </c>
      <c r="BB92" s="55">
        <f>_xll.EQNXTDZ($A$1,$B92,BB$5,$B$1)</f>
        <v>26.74</v>
      </c>
      <c r="BC92" s="55">
        <f>_xll.EQNXTDZ($A$1,$B92,BC$5,$B$1)</f>
        <v>0</v>
      </c>
      <c r="BD92" s="55">
        <f>_xll.EQNXTDZ($A$1,$B92,BD$5,$B$1)</f>
        <v>28.63</v>
      </c>
      <c r="BE92" s="55">
        <f>_xll.EQNXTDZ($A$1,$B92,BE$5,$B$1)</f>
        <v>0</v>
      </c>
      <c r="BF92" s="55">
        <f>_xll.EQNXTDZ($A$1,$B92,BF$5,$B$1)</f>
        <v>88.09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1973.41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2122.84</v>
      </c>
      <c r="AY93" s="55">
        <f>_xll.EQNXTDZ($A$1,$B93,AY$5,$B$1)</f>
        <v>0</v>
      </c>
      <c r="AZ93" s="55">
        <f>_xll.EQNXTDZ($A$1,$B93,AZ$5,$B$1)</f>
        <v>2416.42</v>
      </c>
      <c r="BA93" s="55">
        <f>_xll.EQNXTDZ($A$1,$B93,BA$5,$B$1)</f>
        <v>0</v>
      </c>
      <c r="BB93" s="55">
        <f>_xll.EQNXTDZ($A$1,$B93,BB$5,$B$1)</f>
        <v>2683</v>
      </c>
      <c r="BC93" s="55">
        <f>_xll.EQNXTDZ($A$1,$B93,BC$5,$B$1)</f>
        <v>0</v>
      </c>
      <c r="BD93" s="55">
        <f>_xll.EQNXTDZ($A$1,$B93,BD$5,$B$1)</f>
        <v>3202.08</v>
      </c>
      <c r="BE93" s="55">
        <f>_xll.EQNXTDZ($A$1,$B93,BE$5,$B$1)</f>
        <v>0</v>
      </c>
      <c r="BF93" s="55">
        <f>_xll.EQNXTDZ($A$1,$B93,BF$5,$B$1)</f>
        <v>3790.67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1824.06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1850.16</v>
      </c>
      <c r="AY94" s="55">
        <f>_xll.EQNXTDZ($A$1,$B94,AY$5,$B$1)</f>
        <v>0</v>
      </c>
      <c r="AZ94" s="55">
        <f>_xll.EQNXTDZ($A$1,$B94,AZ$5,$B$1)</f>
        <v>1743.69</v>
      </c>
      <c r="BA94" s="55">
        <f>_xll.EQNXTDZ($A$1,$B94,BA$5,$B$1)</f>
        <v>0</v>
      </c>
      <c r="BB94" s="55">
        <f>_xll.EQNXTDZ($A$1,$B94,BB$5,$B$1)</f>
        <v>1989.81</v>
      </c>
      <c r="BC94" s="55">
        <f>_xll.EQNXTDZ($A$1,$B94,BC$5,$B$1)</f>
        <v>0</v>
      </c>
      <c r="BD94" s="55">
        <f>_xll.EQNXTDZ($A$1,$B94,BD$5,$B$1)</f>
        <v>1854.62</v>
      </c>
      <c r="BE94" s="55">
        <f>_xll.EQNXTDZ($A$1,$B94,BE$5,$B$1)</f>
        <v>0</v>
      </c>
      <c r="BF94" s="55">
        <f>_xll.EQNXTDZ($A$1,$B94,BF$5,$B$1)</f>
        <v>2017.01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152.08000000000001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253.28</v>
      </c>
      <c r="AY96" s="55">
        <f>_xll.EQNXTDZ($A$1,$B96,AY$5,$B$1)</f>
        <v>0</v>
      </c>
      <c r="AZ96" s="55">
        <f>_xll.EQNXTDZ($A$1,$B96,AZ$5,$B$1)</f>
        <v>292.42</v>
      </c>
      <c r="BA96" s="55">
        <f>_xll.EQNXTDZ($A$1,$B96,BA$5,$B$1)</f>
        <v>0</v>
      </c>
      <c r="BB96" s="55">
        <f>_xll.EQNXTDZ($A$1,$B96,BB$5,$B$1)</f>
        <v>341.52</v>
      </c>
      <c r="BC96" s="55">
        <f>_xll.EQNXTDZ($A$1,$B96,BC$5,$B$1)</f>
        <v>0</v>
      </c>
      <c r="BD96" s="55">
        <f>_xll.EQNXTDZ($A$1,$B96,BD$5,$B$1)</f>
        <v>364.01</v>
      </c>
      <c r="BE96" s="55">
        <f>_xll.EQNXTDZ($A$1,$B96,BE$5,$B$1)</f>
        <v>0</v>
      </c>
      <c r="BF96" s="55">
        <f>_xll.EQNXTDZ($A$1,$B96,BF$5,$B$1)</f>
        <v>350.94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3228.08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3455.48</v>
      </c>
      <c r="AY97" s="55">
        <f>_xll.EQNXTDZ($A$1,$B97,AY$5,$B$1)</f>
        <v>0</v>
      </c>
      <c r="AZ97" s="55">
        <f>_xll.EQNXTDZ($A$1,$B97,AZ$5,$B$1)</f>
        <v>3450.51</v>
      </c>
      <c r="BA97" s="55">
        <f>_xll.EQNXTDZ($A$1,$B97,BA$5,$B$1)</f>
        <v>0</v>
      </c>
      <c r="BB97" s="55">
        <f>_xll.EQNXTDZ($A$1,$B97,BB$5,$B$1)</f>
        <v>3981.23</v>
      </c>
      <c r="BC97" s="55">
        <f>_xll.EQNXTDZ($A$1,$B97,BC$5,$B$1)</f>
        <v>0</v>
      </c>
      <c r="BD97" s="55">
        <f>_xll.EQNXTDZ($A$1,$B97,BD$5,$B$1)</f>
        <v>3956.65</v>
      </c>
      <c r="BE97" s="55">
        <f>_xll.EQNXTDZ($A$1,$B97,BE$5,$B$1)</f>
        <v>0</v>
      </c>
      <c r="BF97" s="55">
        <f>_xll.EQNXTDZ($A$1,$B97,BF$5,$B$1)</f>
        <v>5069.4799999999996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209420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Technologies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135.0073275</v>
      </c>
      <c r="G6" s="100">
        <f>_xll.EQNXTDZ($A$1,$B6,G$1,$B$1)</f>
        <v>178.75420879999999</v>
      </c>
      <c r="H6" s="100">
        <f>_xll.EQNXTDZ($A$1,$B6,H$1,$B$1)</f>
        <v>536.55330000000004</v>
      </c>
      <c r="I6" s="100">
        <f>_xll.EQNXTDZ($A$1,$B6,I$1,$B$1)</f>
        <v>929.78840000000002</v>
      </c>
      <c r="J6" s="100">
        <f>_xll.EQNXTDZ($A$1,$B6,J$1,$B$1)</f>
        <v>1084.0029999999999</v>
      </c>
      <c r="K6" s="100">
        <f>_xll.EQNXTDZ($A$1,$B6,K$1,$B$1)</f>
        <v>1202.4367</v>
      </c>
      <c r="L6" s="100">
        <f>_xll.EQNXTDZ($A$1,$B6,L$1,$B$1)</f>
        <v>1070.3864000000001</v>
      </c>
      <c r="M6" s="100">
        <f>_xll.EQNXTDZ($A$1,$B6,M$1,$B$1)</f>
        <v>1249.3227999999999</v>
      </c>
      <c r="N6" s="100">
        <f>_xll.EQNXTDZ($A$1,$B6,N$1,$B$1)</f>
        <v>1642.61</v>
      </c>
      <c r="O6" s="100">
        <f>_xll.EQNXTDZ($A$1,$B6,O$1,$B$1)</f>
        <v>1995</v>
      </c>
      <c r="P6" s="100">
        <f>_xll.EQNXTDZ($A$1,$B6,P$1,$B$1)</f>
        <v>2344.4499999999998</v>
      </c>
      <c r="Q6" s="100">
        <f>_xll.EQNXTDZ($A$1,$B6,Q$1,$B$1)</f>
        <v>2594.1999999999998</v>
      </c>
      <c r="R6" s="100">
        <f>_xll.EQNXTDZ($A$1,$B6,R$1,$B$1)</f>
        <v>2683.38</v>
      </c>
      <c r="S6" s="100">
        <f>_xll.EQNXTDZ($A$1,$B6,S$1,$B$1)</f>
        <v>2801.95</v>
      </c>
      <c r="T6" s="100">
        <f>_xll.EQNXTDZ($A$1,$B6,T$1,$B$1)</f>
        <v>2691.48</v>
      </c>
      <c r="U6" s="100">
        <f>_xll.EQNXTDZ($A$1,$B6,U$1,$B$1)</f>
        <v>2942.21</v>
      </c>
      <c r="V6" s="100">
        <f>_xll.EQNXTDZ($A$1,$B6,V$1,$B$1)</f>
        <v>2852.0549999999998</v>
      </c>
      <c r="W6" s="100">
        <f>_xll.EQNXTDZ($A$1,$B6,W$1,$B$1)</f>
        <v>2380.9110000000001</v>
      </c>
      <c r="X6" s="100">
        <f>_xll.EQNXTDZ($A$1,$B6,X$1,$B$1)</f>
        <v>3529.58</v>
      </c>
      <c r="Y6" s="100">
        <f>_xll.EQNXTDZ($A$1,$B6,Y$1,$B$1)</f>
        <v>4414.18</v>
      </c>
      <c r="Z6" s="100">
        <f>_xll.EQNXTDZ($A$1,$B6,Z$1,$B$1)</f>
        <v>5117.2</v>
      </c>
      <c r="AA6" s="100">
        <f>_xll.EQNXTDZ($A$1,$B6,AA$1,$B$1)</f>
        <v>5168.45</v>
      </c>
      <c r="AB6" s="100">
        <f>_xll.EQNXTDZ($A$1,$B6,AB$1,$B$1)</f>
        <v>5505.57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135.0073275</v>
      </c>
      <c r="G10" s="100">
        <f>_xll.EQNXTDZ($A$1,$B10,G$1,$B$1)</f>
        <v>178.75420879999999</v>
      </c>
      <c r="H10" s="100">
        <f>_xll.EQNXTDZ($A$1,$B10,H$1,$B$1)</f>
        <v>536.55330000000004</v>
      </c>
      <c r="I10" s="100">
        <f>_xll.EQNXTDZ($A$1,$B10,I$1,$B$1)</f>
        <v>929.78840000000002</v>
      </c>
      <c r="J10" s="100">
        <f>_xll.EQNXTDZ($A$1,$B10,J$1,$B$1)</f>
        <v>1084.0029999999999</v>
      </c>
      <c r="K10" s="100">
        <f>_xll.EQNXTDZ($A$1,$B10,K$1,$B$1)</f>
        <v>1202.4367</v>
      </c>
      <c r="L10" s="100">
        <f>_xll.EQNXTDZ($A$1,$B10,L$1,$B$1)</f>
        <v>1070.3864000000001</v>
      </c>
      <c r="M10" s="100">
        <f>_xll.EQNXTDZ($A$1,$B10,M$1,$B$1)</f>
        <v>1249.3227999999999</v>
      </c>
      <c r="N10" s="100">
        <f>_xll.EQNXTDZ($A$1,$B10,N$1,$B$1)</f>
        <v>1642.61</v>
      </c>
      <c r="O10" s="100">
        <f>_xll.EQNXTDZ($A$1,$B10,O$1,$B$1)</f>
        <v>1995</v>
      </c>
      <c r="P10" s="100">
        <f>_xll.EQNXTDZ($A$1,$B10,P$1,$B$1)</f>
        <v>2344.4499999999998</v>
      </c>
      <c r="Q10" s="100">
        <f>_xll.EQNXTDZ($A$1,$B10,Q$1,$B$1)</f>
        <v>2594.1999999999998</v>
      </c>
      <c r="R10" s="100">
        <f>_xll.EQNXTDZ($A$1,$B10,R$1,$B$1)</f>
        <v>2683.38</v>
      </c>
      <c r="S10" s="100">
        <f>_xll.EQNXTDZ($A$1,$B10,S$1,$B$1)</f>
        <v>2801.95</v>
      </c>
      <c r="T10" s="100">
        <f>_xll.EQNXTDZ($A$1,$B10,T$1,$B$1)</f>
        <v>2691.48</v>
      </c>
      <c r="U10" s="100">
        <f>_xll.EQNXTDZ($A$1,$B10,U$1,$B$1)</f>
        <v>2942.21</v>
      </c>
      <c r="V10" s="100">
        <f>_xll.EQNXTDZ($A$1,$B10,V$1,$B$1)</f>
        <v>2852.0549999999998</v>
      </c>
      <c r="W10" s="100">
        <f>_xll.EQNXTDZ($A$1,$B10,W$1,$B$1)</f>
        <v>2380.9110000000001</v>
      </c>
      <c r="X10" s="100">
        <f>_xll.EQNXTDZ($A$1,$B10,X$1,$B$1)</f>
        <v>3529.58</v>
      </c>
      <c r="Y10" s="100">
        <f>_xll.EQNXTDZ($A$1,$B10,Y$1,$B$1)</f>
        <v>4414.18</v>
      </c>
      <c r="Z10" s="100">
        <f>_xll.EQNXTDZ($A$1,$B10,Z$1,$B$1)</f>
        <v>5117.2</v>
      </c>
      <c r="AA10" s="100">
        <f>_xll.EQNXTDZ($A$1,$B10,AA$1,$B$1)</f>
        <v>5168.45</v>
      </c>
      <c r="AB10" s="100">
        <f>_xll.EQNXTDZ($A$1,$B10,AB$1,$B$1)</f>
        <v>5505.57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-6.0921900000000001E-2</v>
      </c>
      <c r="G11" s="100">
        <f>_xll.EQNXTDZ($A$1,$B11,G$1,$B$1)</f>
        <v>4.22113E-2</v>
      </c>
      <c r="H11" s="100">
        <f>_xll.EQNXTDZ($A$1,$B11,H$1,$B$1)</f>
        <v>0.85960000000000003</v>
      </c>
      <c r="I11" s="100">
        <f>_xll.EQNXTDZ($A$1,$B11,I$1,$B$1)</f>
        <v>-4.4999999999999997E-3</v>
      </c>
      <c r="J11" s="100">
        <f>_xll.EQNXTDZ($A$1,$B11,J$1,$B$1)</f>
        <v>2.7972999999999999</v>
      </c>
      <c r="K11" s="100">
        <f>_xll.EQNXTDZ($A$1,$B11,K$1,$B$1)</f>
        <v>0.2974</v>
      </c>
      <c r="L11" s="100">
        <f>_xll.EQNXTDZ($A$1,$B11,L$1,$B$1)</f>
        <v>-3.4687000000000001</v>
      </c>
      <c r="M11" s="100">
        <f>_xll.EQNXTDZ($A$1,$B11,M$1,$B$1)</f>
        <v>4.5732999999999997</v>
      </c>
      <c r="N11" s="100">
        <f>_xll.EQNXTDZ($A$1,$B11,N$1,$B$1)</f>
        <v>0.72</v>
      </c>
      <c r="O11" s="100">
        <f>_xll.EQNXTDZ($A$1,$B11,O$1,$B$1)</f>
        <v>-0.01</v>
      </c>
      <c r="P11" s="100">
        <f>_xll.EQNXTDZ($A$1,$B11,P$1,$B$1)</f>
        <v>0.06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6.2431425000000003</v>
      </c>
      <c r="G12" s="100">
        <f>_xll.EQNXTDZ($A$1,$B12,G$1,$B$1)</f>
        <v>3.8731935000000002</v>
      </c>
      <c r="H12" s="100">
        <f>_xll.EQNXTDZ($A$1,$B12,H$1,$B$1)</f>
        <v>79.792400000000001</v>
      </c>
      <c r="I12" s="100">
        <f>_xll.EQNXTDZ($A$1,$B12,I$1,$B$1)</f>
        <v>142.29929999999999</v>
      </c>
      <c r="J12" s="100">
        <f>_xll.EQNXTDZ($A$1,$B12,J$1,$B$1)</f>
        <v>224.58029999999999</v>
      </c>
      <c r="K12" s="100">
        <f>_xll.EQNXTDZ($A$1,$B12,K$1,$B$1)</f>
        <v>235.36160000000001</v>
      </c>
      <c r="L12" s="100">
        <f>_xll.EQNXTDZ($A$1,$B12,L$1,$B$1)</f>
        <v>191.5333</v>
      </c>
      <c r="M12" s="100">
        <f>_xll.EQNXTDZ($A$1,$B12,M$1,$B$1)</f>
        <v>261.70400000000001</v>
      </c>
      <c r="N12" s="100">
        <f>_xll.EQNXTDZ($A$1,$B12,N$1,$B$1)</f>
        <v>314.8</v>
      </c>
      <c r="O12" s="100">
        <f>_xll.EQNXTDZ($A$1,$B12,O$1,$B$1)</f>
        <v>349.41</v>
      </c>
      <c r="P12" s="100">
        <f>_xll.EQNXTDZ($A$1,$B12,P$1,$B$1)</f>
        <v>402.17</v>
      </c>
      <c r="Q12" s="100">
        <f>_xll.EQNXTDZ($A$1,$B12,Q$1,$B$1)</f>
        <v>437.97</v>
      </c>
      <c r="R12" s="100">
        <f>_xll.EQNXTDZ($A$1,$B12,R$1,$B$1)</f>
        <v>371.66</v>
      </c>
      <c r="S12" s="100">
        <f>_xll.EQNXTDZ($A$1,$B12,S$1,$B$1)</f>
        <v>320.48</v>
      </c>
      <c r="T12" s="100">
        <f>_xll.EQNXTDZ($A$1,$B12,T$1,$B$1)</f>
        <v>336.41</v>
      </c>
      <c r="U12" s="100">
        <f>_xll.EQNXTDZ($A$1,$B12,U$1,$B$1)</f>
        <v>344.66</v>
      </c>
      <c r="V12" s="100">
        <f>_xll.EQNXTDZ($A$1,$B12,V$1,$B$1)</f>
        <v>367.92399999999998</v>
      </c>
      <c r="W12" s="100">
        <f>_xll.EQNXTDZ($A$1,$B12,W$1,$B$1)</f>
        <v>338.298</v>
      </c>
      <c r="X12" s="100">
        <f>_xll.EQNXTDZ($A$1,$B12,X$1,$B$1)</f>
        <v>688.54</v>
      </c>
      <c r="Y12" s="100">
        <f>_xll.EQNXTDZ($A$1,$B12,Y$1,$B$1)</f>
        <v>682.48</v>
      </c>
      <c r="Z12" s="100">
        <f>_xll.EQNXTDZ($A$1,$B12,Z$1,$B$1)</f>
        <v>895.33</v>
      </c>
      <c r="AA12" s="100">
        <f>_xll.EQNXTDZ($A$1,$B12,AA$1,$B$1)</f>
        <v>899.71</v>
      </c>
      <c r="AB12" s="100">
        <f>_xll.EQNXTDZ($A$1,$B12,AB$1,$B$1)</f>
        <v>967.19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0.61907049999999997</v>
      </c>
      <c r="G13" s="100">
        <f>_xll.EQNXTDZ($A$1,$B13,G$1,$B$1)</f>
        <v>0.70971059999999997</v>
      </c>
      <c r="H13" s="100">
        <f>_xll.EQNXTDZ($A$1,$B13,H$1,$B$1)</f>
        <v>1.4177999999999999</v>
      </c>
      <c r="I13" s="100">
        <f>_xll.EQNXTDZ($A$1,$B13,I$1,$B$1)</f>
        <v>2.3767999999999998</v>
      </c>
      <c r="J13" s="100">
        <f>_xll.EQNXTDZ($A$1,$B13,J$1,$B$1)</f>
        <v>3.1572</v>
      </c>
      <c r="K13" s="100">
        <f>_xll.EQNXTDZ($A$1,$B13,K$1,$B$1)</f>
        <v>2.8605999999999998</v>
      </c>
      <c r="L13" s="100">
        <f>_xll.EQNXTDZ($A$1,$B13,L$1,$B$1)</f>
        <v>3.3340999999999998</v>
      </c>
      <c r="M13" s="100">
        <f>_xll.EQNXTDZ($A$1,$B13,M$1,$B$1)</f>
        <v>3.9096000000000002</v>
      </c>
      <c r="N13" s="100">
        <f>_xll.EQNXTDZ($A$1,$B13,N$1,$B$1)</f>
        <v>4.26</v>
      </c>
      <c r="O13" s="100">
        <f>_xll.EQNXTDZ($A$1,$B13,O$1,$B$1)</f>
        <v>4.9800000000000004</v>
      </c>
      <c r="P13" s="100">
        <f>_xll.EQNXTDZ($A$1,$B13,P$1,$B$1)</f>
        <v>6.82</v>
      </c>
      <c r="Q13" s="100">
        <f>_xll.EQNXTDZ($A$1,$B13,Q$1,$B$1)</f>
        <v>7.8</v>
      </c>
      <c r="R13" s="100">
        <f>_xll.EQNXTDZ($A$1,$B13,R$1,$B$1)</f>
        <v>11.23</v>
      </c>
      <c r="S13" s="100">
        <f>_xll.EQNXTDZ($A$1,$B13,S$1,$B$1)</f>
        <v>10.09</v>
      </c>
      <c r="T13" s="100">
        <f>_xll.EQNXTDZ($A$1,$B13,T$1,$B$1)</f>
        <v>10.71</v>
      </c>
      <c r="U13" s="100">
        <f>_xll.EQNXTDZ($A$1,$B13,U$1,$B$1)</f>
        <v>12.16</v>
      </c>
      <c r="V13" s="100">
        <f>_xll.EQNXTDZ($A$1,$B13,V$1,$B$1)</f>
        <v>12.419</v>
      </c>
      <c r="W13" s="100">
        <f>_xll.EQNXTDZ($A$1,$B13,W$1,$B$1)</f>
        <v>7.24</v>
      </c>
      <c r="X13" s="100">
        <f>_xll.EQNXTDZ($A$1,$B13,X$1,$B$1)</f>
        <v>7.3940000000000001</v>
      </c>
      <c r="Y13" s="100">
        <f>_xll.EQNXTDZ($A$1,$B13,Y$1,$B$1)</f>
        <v>11.17</v>
      </c>
      <c r="Z13" s="100">
        <f>_xll.EQNXTDZ($A$1,$B13,Z$1,$B$1)</f>
        <v>11.89</v>
      </c>
      <c r="AA13" s="100">
        <f>_xll.EQNXTDZ($A$1,$B13,AA$1,$B$1)</f>
        <v>13.49</v>
      </c>
      <c r="AB13" s="100">
        <f>_xll.EQNXTDZ($A$1,$B13,AB$1,$B$1)</f>
        <v>15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86.435705799999994</v>
      </c>
      <c r="G14" s="100">
        <f>_xll.EQNXTDZ($A$1,$B14,G$1,$B$1)</f>
        <v>102.7099892</v>
      </c>
      <c r="H14" s="100">
        <f>_xll.EQNXTDZ($A$1,$B14,H$1,$B$1)</f>
        <v>291.91669999999999</v>
      </c>
      <c r="I14" s="100">
        <f>_xll.EQNXTDZ($A$1,$B14,I$1,$B$1)</f>
        <v>527.0788</v>
      </c>
      <c r="J14" s="100">
        <f>_xll.EQNXTDZ($A$1,$B14,J$1,$B$1)</f>
        <v>529.33709999999996</v>
      </c>
      <c r="K14" s="100">
        <f>_xll.EQNXTDZ($A$1,$B14,K$1,$B$1)</f>
        <v>568.04939999999999</v>
      </c>
      <c r="L14" s="100">
        <f>_xll.EQNXTDZ($A$1,$B14,L$1,$B$1)</f>
        <v>486.22050000000002</v>
      </c>
      <c r="M14" s="100">
        <f>_xll.EQNXTDZ($A$1,$B14,M$1,$B$1)</f>
        <v>546.86710000000005</v>
      </c>
      <c r="N14" s="100">
        <f>_xll.EQNXTDZ($A$1,$B14,N$1,$B$1)</f>
        <v>699.66</v>
      </c>
      <c r="O14" s="100">
        <f>_xll.EQNXTDZ($A$1,$B14,O$1,$B$1)</f>
        <v>847.9</v>
      </c>
      <c r="P14" s="100">
        <f>_xll.EQNXTDZ($A$1,$B14,P$1,$B$1)</f>
        <v>1055.21</v>
      </c>
      <c r="Q14" s="100">
        <f>_xll.EQNXTDZ($A$1,$B14,Q$1,$B$1)</f>
        <v>1153.92</v>
      </c>
      <c r="R14" s="100">
        <f>_xll.EQNXTDZ($A$1,$B14,R$1,$B$1)</f>
        <v>1196.25</v>
      </c>
      <c r="S14" s="100">
        <f>_xll.EQNXTDZ($A$1,$B14,S$1,$B$1)</f>
        <v>1283.25</v>
      </c>
      <c r="T14" s="100">
        <f>_xll.EQNXTDZ($A$1,$B14,T$1,$B$1)</f>
        <v>1323.25</v>
      </c>
      <c r="U14" s="100">
        <f>_xll.EQNXTDZ($A$1,$B14,U$1,$B$1)</f>
        <v>1390.09</v>
      </c>
      <c r="V14" s="100">
        <f>_xll.EQNXTDZ($A$1,$B14,V$1,$B$1)</f>
        <v>1418.5350000000001</v>
      </c>
      <c r="W14" s="100">
        <f>_xll.EQNXTDZ($A$1,$B14,W$1,$B$1)</f>
        <v>1216.0039999999999</v>
      </c>
      <c r="X14" s="100">
        <f>_xll.EQNXTDZ($A$1,$B14,X$1,$B$1)</f>
        <v>1512.694</v>
      </c>
      <c r="Y14" s="100">
        <f>_xll.EQNXTDZ($A$1,$B14,Y$1,$B$1)</f>
        <v>1929.46</v>
      </c>
      <c r="Z14" s="100">
        <f>_xll.EQNXTDZ($A$1,$B14,Z$1,$B$1)</f>
        <v>2363.7199999999998</v>
      </c>
      <c r="AA14" s="100">
        <f>_xll.EQNXTDZ($A$1,$B14,AA$1,$B$1)</f>
        <v>2488.9299999999998</v>
      </c>
      <c r="AB14" s="100">
        <f>_xll.EQNXTDZ($A$1,$B14,AB$1,$B$1)</f>
        <v>2737.42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2.4680770999999999</v>
      </c>
      <c r="G15" s="100">
        <f>_xll.EQNXTDZ($A$1,$B15,G$1,$B$1)</f>
        <v>3.6713928</v>
      </c>
      <c r="H15" s="100">
        <f>_xll.EQNXTDZ($A$1,$B15,H$1,$B$1)</f>
        <v>16.912099999999999</v>
      </c>
      <c r="I15" s="100">
        <f>_xll.EQNXTDZ($A$1,$B15,I$1,$B$1)</f>
        <v>18.655200000000001</v>
      </c>
      <c r="J15" s="100">
        <f>_xll.EQNXTDZ($A$1,$B15,J$1,$B$1)</f>
        <v>21.392099999999999</v>
      </c>
      <c r="K15" s="100">
        <f>_xll.EQNXTDZ($A$1,$B15,K$1,$B$1)</f>
        <v>21.1372</v>
      </c>
      <c r="L15" s="100">
        <f>_xll.EQNXTDZ($A$1,$B15,L$1,$B$1)</f>
        <v>18.997199999999999</v>
      </c>
      <c r="M15" s="100">
        <f>_xll.EQNXTDZ($A$1,$B15,M$1,$B$1)</f>
        <v>27.911100000000001</v>
      </c>
      <c r="N15" s="100">
        <f>_xll.EQNXTDZ($A$1,$B15,N$1,$B$1)</f>
        <v>37.770000000000003</v>
      </c>
      <c r="O15" s="100">
        <f>_xll.EQNXTDZ($A$1,$B15,O$1,$B$1)</f>
        <v>51.5</v>
      </c>
      <c r="P15" s="100">
        <f>_xll.EQNXTDZ($A$1,$B15,P$1,$B$1)</f>
        <v>70.48</v>
      </c>
      <c r="Q15" s="100">
        <f>_xll.EQNXTDZ($A$1,$B15,Q$1,$B$1)</f>
        <v>69.12</v>
      </c>
      <c r="R15" s="100">
        <f>_xll.EQNXTDZ($A$1,$B15,R$1,$B$1)</f>
        <v>43.56</v>
      </c>
      <c r="S15" s="100">
        <f>_xll.EQNXTDZ($A$1,$B15,S$1,$B$1)</f>
        <v>50.24</v>
      </c>
      <c r="T15" s="100">
        <f>_xll.EQNXTDZ($A$1,$B15,T$1,$B$1)</f>
        <v>50.56</v>
      </c>
      <c r="U15" s="100">
        <f>_xll.EQNXTDZ($A$1,$B15,U$1,$B$1)</f>
        <v>42.45</v>
      </c>
      <c r="V15" s="100">
        <f>_xll.EQNXTDZ($A$1,$B15,V$1,$B$1)</f>
        <v>42.848999999999997</v>
      </c>
      <c r="W15" s="100">
        <f>_xll.EQNXTDZ($A$1,$B15,W$1,$B$1)</f>
        <v>44.53</v>
      </c>
      <c r="X15" s="100">
        <f>_xll.EQNXTDZ($A$1,$B15,X$1,$B$1)</f>
        <v>50.177999999999997</v>
      </c>
      <c r="Y15" s="100">
        <f>_xll.EQNXTDZ($A$1,$B15,Y$1,$B$1)</f>
        <v>79.349999999999994</v>
      </c>
      <c r="Z15" s="100">
        <f>_xll.EQNXTDZ($A$1,$B15,Z$1,$B$1)</f>
        <v>54.82</v>
      </c>
      <c r="AA15" s="100">
        <f>_xll.EQNXTDZ($A$1,$B15,AA$1,$B$1)</f>
        <v>73.05</v>
      </c>
      <c r="AB15" s="100">
        <f>_xll.EQNXTDZ($A$1,$B15,AB$1,$B$1)</f>
        <v>79.06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6.5468283999999999</v>
      </c>
      <c r="G16" s="100">
        <f>_xll.EQNXTDZ($A$1,$B16,G$1,$B$1)</f>
        <v>20.1591378</v>
      </c>
      <c r="H16" s="100">
        <f>_xll.EQNXTDZ($A$1,$B16,H$1,$B$1)</f>
        <v>53.823099999999997</v>
      </c>
      <c r="I16" s="100">
        <f>_xll.EQNXTDZ($A$1,$B16,I$1,$B$1)</f>
        <v>128.33949999999999</v>
      </c>
      <c r="J16" s="100">
        <f>_xll.EQNXTDZ($A$1,$B16,J$1,$B$1)</f>
        <v>152.7021</v>
      </c>
      <c r="K16" s="100">
        <f>_xll.EQNXTDZ($A$1,$B16,K$1,$B$1)</f>
        <v>197.26920000000001</v>
      </c>
      <c r="L16" s="100">
        <f>_xll.EQNXTDZ($A$1,$B16,L$1,$B$1)</f>
        <v>165.53360000000001</v>
      </c>
      <c r="M16" s="100">
        <f>_xll.EQNXTDZ($A$1,$B16,M$1,$B$1)</f>
        <v>131.42920000000001</v>
      </c>
      <c r="N16" s="100">
        <f>_xll.EQNXTDZ($A$1,$B16,N$1,$B$1)</f>
        <v>200.97</v>
      </c>
      <c r="O16" s="100">
        <f>_xll.EQNXTDZ($A$1,$B16,O$1,$B$1)</f>
        <v>247.5</v>
      </c>
      <c r="P16" s="100">
        <f>_xll.EQNXTDZ($A$1,$B16,P$1,$B$1)</f>
        <v>314.61</v>
      </c>
      <c r="Q16" s="100">
        <f>_xll.EQNXTDZ($A$1,$B16,Q$1,$B$1)</f>
        <v>320.42</v>
      </c>
      <c r="R16" s="100">
        <f>_xll.EQNXTDZ($A$1,$B16,R$1,$B$1)</f>
        <v>371.91</v>
      </c>
      <c r="S16" s="100">
        <f>_xll.EQNXTDZ($A$1,$B16,S$1,$B$1)</f>
        <v>432.27</v>
      </c>
      <c r="T16" s="100">
        <f>_xll.EQNXTDZ($A$1,$B16,T$1,$B$1)</f>
        <v>417.11</v>
      </c>
      <c r="U16" s="100">
        <f>_xll.EQNXTDZ($A$1,$B16,U$1,$B$1)</f>
        <v>398.5</v>
      </c>
      <c r="V16" s="100">
        <f>_xll.EQNXTDZ($A$1,$B16,V$1,$B$1)</f>
        <v>387.22399999999999</v>
      </c>
      <c r="W16" s="100">
        <f>_xll.EQNXTDZ($A$1,$B16,W$1,$B$1)</f>
        <v>312.99799999999999</v>
      </c>
      <c r="X16" s="100">
        <f>_xll.EQNXTDZ($A$1,$B16,X$1,$B$1)</f>
        <v>509.78699999999998</v>
      </c>
      <c r="Y16" s="100">
        <f>_xll.EQNXTDZ($A$1,$B16,Y$1,$B$1)</f>
        <v>729.95</v>
      </c>
      <c r="Z16" s="100">
        <f>_xll.EQNXTDZ($A$1,$B16,Z$1,$B$1)</f>
        <v>666.1</v>
      </c>
      <c r="AA16" s="100">
        <f>_xll.EQNXTDZ($A$1,$B16,AA$1,$B$1)</f>
        <v>562.22</v>
      </c>
      <c r="AB16" s="100">
        <f>_xll.EQNXTDZ($A$1,$B16,AB$1,$B$1)</f>
        <v>607.32000000000005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16.826561300000002</v>
      </c>
      <c r="G17" s="100">
        <f>_xll.EQNXTDZ($A$1,$B17,G$1,$B$1)</f>
        <v>20.4134472</v>
      </c>
      <c r="H17" s="100">
        <f>_xll.EQNXTDZ($A$1,$B17,H$1,$B$1)</f>
        <v>50.501899999999999</v>
      </c>
      <c r="I17" s="100">
        <f>_xll.EQNXTDZ($A$1,$B17,I$1,$B$1)</f>
        <v>76.3018</v>
      </c>
      <c r="J17" s="100">
        <f>_xll.EQNXTDZ($A$1,$B17,J$1,$B$1)</f>
        <v>77.052899999999994</v>
      </c>
      <c r="K17" s="100">
        <f>_xll.EQNXTDZ($A$1,$B17,K$1,$B$1)</f>
        <v>87.238200000000006</v>
      </c>
      <c r="L17" s="100">
        <f>_xll.EQNXTDZ($A$1,$B17,L$1,$B$1)</f>
        <v>72.059299999999993</v>
      </c>
      <c r="M17" s="100">
        <f>_xll.EQNXTDZ($A$1,$B17,M$1,$B$1)</f>
        <v>74.555300000000003</v>
      </c>
      <c r="N17" s="100">
        <f>_xll.EQNXTDZ($A$1,$B17,N$1,$B$1)</f>
        <v>89.99</v>
      </c>
      <c r="O17" s="100">
        <f>_xll.EQNXTDZ($A$1,$B17,O$1,$B$1)</f>
        <v>100.3</v>
      </c>
      <c r="P17" s="100">
        <f>_xll.EQNXTDZ($A$1,$B17,P$1,$B$1)</f>
        <v>129.27000000000001</v>
      </c>
      <c r="Q17" s="100">
        <f>_xll.EQNXTDZ($A$1,$B17,Q$1,$B$1)</f>
        <v>147.21</v>
      </c>
      <c r="R17" s="100">
        <f>_xll.EQNXTDZ($A$1,$B17,R$1,$B$1)</f>
        <v>168.11</v>
      </c>
      <c r="S17" s="100">
        <f>_xll.EQNXTDZ($A$1,$B17,S$1,$B$1)</f>
        <v>192.67</v>
      </c>
      <c r="T17" s="100">
        <f>_xll.EQNXTDZ($A$1,$B17,T$1,$B$1)</f>
        <v>194.85</v>
      </c>
      <c r="U17" s="100">
        <f>_xll.EQNXTDZ($A$1,$B17,U$1,$B$1)</f>
        <v>207.08</v>
      </c>
      <c r="V17" s="100">
        <f>_xll.EQNXTDZ($A$1,$B17,V$1,$B$1)</f>
        <v>125.236</v>
      </c>
      <c r="W17" s="100">
        <f>_xll.EQNXTDZ($A$1,$B17,W$1,$B$1)</f>
        <v>59.231999999999999</v>
      </c>
      <c r="X17" s="100">
        <f>_xll.EQNXTDZ($A$1,$B17,X$1,$B$1)</f>
        <v>88.897000000000006</v>
      </c>
      <c r="Y17" s="100">
        <f>_xll.EQNXTDZ($A$1,$B17,Y$1,$B$1)</f>
        <v>144.07</v>
      </c>
      <c r="Z17" s="100">
        <f>_xll.EQNXTDZ($A$1,$B17,Z$1,$B$1)</f>
        <v>157.6</v>
      </c>
      <c r="AA17" s="100">
        <f>_xll.EQNXTDZ($A$1,$B17,AA$1,$B$1)</f>
        <v>167.32</v>
      </c>
      <c r="AB17" s="100">
        <f>_xll.EQNXTDZ($A$1,$B17,AB$1,$B$1)</f>
        <v>215.13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4.8446999999999997E-2</v>
      </c>
      <c r="G18" s="100">
        <f>_xll.EQNXTDZ($A$1,$B18,G$1,$B$1)</f>
        <v>6.7853890999999997</v>
      </c>
      <c r="H18" s="100">
        <f>_xll.EQNXTDZ($A$1,$B18,H$1,$B$1)</f>
        <v>4.9825999999999997</v>
      </c>
      <c r="I18" s="100">
        <f>_xll.EQNXTDZ($A$1,$B18,I$1,$B$1)</f>
        <v>2.6046</v>
      </c>
      <c r="J18" s="100">
        <f>_xll.EQNXTDZ($A$1,$B18,J$1,$B$1)</f>
        <v>6.3266999999999998</v>
      </c>
      <c r="K18" s="100">
        <f>_xll.EQNXTDZ($A$1,$B18,K$1,$B$1)</f>
        <v>5.2396000000000003</v>
      </c>
      <c r="L18" s="100">
        <f>_xll.EQNXTDZ($A$1,$B18,L$1,$B$1)</f>
        <v>3.2303000000000002</v>
      </c>
      <c r="M18" s="100">
        <f>_xll.EQNXTDZ($A$1,$B18,M$1,$B$1)</f>
        <v>2.7803</v>
      </c>
      <c r="N18" s="100">
        <f>_xll.EQNXTDZ($A$1,$B18,N$1,$B$1)</f>
        <v>4.03</v>
      </c>
      <c r="O18" s="100">
        <f>_xll.EQNXTDZ($A$1,$B18,O$1,$B$1)</f>
        <v>3.61</v>
      </c>
      <c r="P18" s="100">
        <f>_xll.EQNXTDZ($A$1,$B18,P$1,$B$1)</f>
        <v>4.93</v>
      </c>
      <c r="Q18" s="100">
        <f>_xll.EQNXTDZ($A$1,$B18,Q$1,$B$1)</f>
        <v>5.56</v>
      </c>
      <c r="R18" s="100">
        <f>_xll.EQNXTDZ($A$1,$B18,R$1,$B$1)</f>
        <v>5.38</v>
      </c>
      <c r="S18" s="100">
        <f>_xll.EQNXTDZ($A$1,$B18,S$1,$B$1)</f>
        <v>4.8</v>
      </c>
      <c r="T18" s="100">
        <f>_xll.EQNXTDZ($A$1,$B18,T$1,$B$1)</f>
        <v>4.1500000000000004</v>
      </c>
      <c r="U18" s="100">
        <f>_xll.EQNXTDZ($A$1,$B18,U$1,$B$1)</f>
        <v>1.99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1.4599578</v>
      </c>
      <c r="G19" s="100">
        <f>_xll.EQNXTDZ($A$1,$B19,G$1,$B$1)</f>
        <v>1.6967076999999999</v>
      </c>
      <c r="H19" s="100">
        <f>_xll.EQNXTDZ($A$1,$B19,H$1,$B$1)</f>
        <v>1.0693999999999999</v>
      </c>
      <c r="I19" s="100">
        <f>_xll.EQNXTDZ($A$1,$B19,I$1,$B$1)</f>
        <v>6.5792000000000002</v>
      </c>
      <c r="J19" s="100">
        <f>_xll.EQNXTDZ($A$1,$B19,J$1,$B$1)</f>
        <v>6.4279999999999999</v>
      </c>
      <c r="K19" s="100">
        <f>_xll.EQNXTDZ($A$1,$B19,K$1,$B$1)</f>
        <v>3.8412000000000002</v>
      </c>
      <c r="L19" s="100">
        <f>_xll.EQNXTDZ($A$1,$B19,L$1,$B$1)</f>
        <v>6.5572999999999997</v>
      </c>
      <c r="M19" s="100">
        <f>_xll.EQNXTDZ($A$1,$B19,M$1,$B$1)</f>
        <v>8.1668000000000003</v>
      </c>
      <c r="N19" s="100">
        <f>_xll.EQNXTDZ($A$1,$B19,N$1,$B$1)</f>
        <v>9.5</v>
      </c>
      <c r="O19" s="100">
        <f>_xll.EQNXTDZ($A$1,$B19,O$1,$B$1)</f>
        <v>7.09</v>
      </c>
      <c r="P19" s="100">
        <f>_xll.EQNXTDZ($A$1,$B19,P$1,$B$1)</f>
        <v>17.84</v>
      </c>
      <c r="Q19" s="100">
        <f>_xll.EQNXTDZ($A$1,$B19,Q$1,$B$1)</f>
        <v>12.26</v>
      </c>
      <c r="R19" s="100">
        <f>_xll.EQNXTDZ($A$1,$B19,R$1,$B$1)</f>
        <v>15.55</v>
      </c>
      <c r="S19" s="100">
        <f>_xll.EQNXTDZ($A$1,$B19,S$1,$B$1)</f>
        <v>18.46</v>
      </c>
      <c r="T19" s="100">
        <f>_xll.EQNXTDZ($A$1,$B19,T$1,$B$1)</f>
        <v>21.73</v>
      </c>
      <c r="U19" s="100">
        <f>_xll.EQNXTDZ($A$1,$B19,U$1,$B$1)</f>
        <v>42.41</v>
      </c>
      <c r="V19" s="100">
        <f>_xll.EQNXTDZ($A$1,$B19,V$1,$B$1)</f>
        <v>27.408999999999999</v>
      </c>
      <c r="W19" s="100">
        <f>_xll.EQNXTDZ($A$1,$B19,W$1,$B$1)</f>
        <v>23.911000000000001</v>
      </c>
      <c r="X19" s="100">
        <f>_xll.EQNXTDZ($A$1,$B19,X$1,$B$1)</f>
        <v>33.61</v>
      </c>
      <c r="Y19" s="100">
        <f>_xll.EQNXTDZ($A$1,$B19,Y$1,$B$1)</f>
        <v>30.98</v>
      </c>
      <c r="Z19" s="100">
        <f>_xll.EQNXTDZ($A$1,$B19,Z$1,$B$1)</f>
        <v>26.49</v>
      </c>
      <c r="AA19" s="100">
        <f>_xll.EQNXTDZ($A$1,$B19,AA$1,$B$1)</f>
        <v>31.97</v>
      </c>
      <c r="AB19" s="100">
        <f>_xll.EQNXTDZ($A$1,$B19,AB$1,$B$1)</f>
        <v>46.13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120.58686849999999</v>
      </c>
      <c r="G21" s="100">
        <f>_xll.EQNXTDZ($A$1,$B21,G$1,$B$1)</f>
        <v>160.0611792</v>
      </c>
      <c r="H21" s="100">
        <f>_xll.EQNXTDZ($A$1,$B21,H$1,$B$1)</f>
        <v>501.2756</v>
      </c>
      <c r="I21" s="100">
        <f>_xll.EQNXTDZ($A$1,$B21,I$1,$B$1)</f>
        <v>904.23069999999996</v>
      </c>
      <c r="J21" s="100">
        <f>_xll.EQNXTDZ($A$1,$B21,J$1,$B$1)</f>
        <v>1023.7737</v>
      </c>
      <c r="K21" s="100">
        <f>_xll.EQNXTDZ($A$1,$B21,K$1,$B$1)</f>
        <v>1121.2944</v>
      </c>
      <c r="L21" s="100">
        <f>_xll.EQNXTDZ($A$1,$B21,L$1,$B$1)</f>
        <v>943.99689999999998</v>
      </c>
      <c r="M21" s="100">
        <f>_xll.EQNXTDZ($A$1,$B21,M$1,$B$1)</f>
        <v>1061.8967</v>
      </c>
      <c r="N21" s="100">
        <f>_xll.EQNXTDZ($A$1,$B21,N$1,$B$1)</f>
        <v>1361.7</v>
      </c>
      <c r="O21" s="100">
        <f>_xll.EQNXTDZ($A$1,$B21,O$1,$B$1)</f>
        <v>1612.28</v>
      </c>
      <c r="P21" s="100">
        <f>_xll.EQNXTDZ($A$1,$B21,P$1,$B$1)</f>
        <v>2001.39</v>
      </c>
      <c r="Q21" s="100">
        <f>_xll.EQNXTDZ($A$1,$B21,Q$1,$B$1)</f>
        <v>2154.2600000000002</v>
      </c>
      <c r="R21" s="100">
        <f>_xll.EQNXTDZ($A$1,$B21,R$1,$B$1)</f>
        <v>2183.65</v>
      </c>
      <c r="S21" s="100">
        <f>_xll.EQNXTDZ($A$1,$B21,S$1,$B$1)</f>
        <v>2312.2600000000002</v>
      </c>
      <c r="T21" s="100">
        <f>_xll.EQNXTDZ($A$1,$B21,T$1,$B$1)</f>
        <v>2358.77</v>
      </c>
      <c r="U21" s="100">
        <f>_xll.EQNXTDZ($A$1,$B21,U$1,$B$1)</f>
        <v>2439.34</v>
      </c>
      <c r="V21" s="100">
        <f>_xll.EQNXTDZ($A$1,$B21,V$1,$B$1)</f>
        <v>2381.596</v>
      </c>
      <c r="W21" s="100">
        <f>_xll.EQNXTDZ($A$1,$B21,W$1,$B$1)</f>
        <v>2002.213</v>
      </c>
      <c r="X21" s="100">
        <f>_xll.EQNXTDZ($A$1,$B21,X$1,$B$1)</f>
        <v>2891.1</v>
      </c>
      <c r="Y21" s="100">
        <f>_xll.EQNXTDZ($A$1,$B21,Y$1,$B$1)</f>
        <v>3607.46</v>
      </c>
      <c r="Z21" s="100">
        <f>_xll.EQNXTDZ($A$1,$B21,Z$1,$B$1)</f>
        <v>4175.95</v>
      </c>
      <c r="AA21" s="100">
        <f>_xll.EQNXTDZ($A$1,$B21,AA$1,$B$1)</f>
        <v>4236.6899999999996</v>
      </c>
      <c r="AB21" s="100">
        <f>_xll.EQNXTDZ($A$1,$B21,AB$1,$B$1)</f>
        <v>4667.25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14.420458999999999</v>
      </c>
      <c r="G22" s="100">
        <f>_xll.EQNXTDZ($A$1,$B22,G$1,$B$1)</f>
        <v>18.693029599999999</v>
      </c>
      <c r="H22" s="100">
        <f>_xll.EQNXTDZ($A$1,$B22,H$1,$B$1)</f>
        <v>35.277700000000003</v>
      </c>
      <c r="I22" s="100">
        <f>_xll.EQNXTDZ($A$1,$B22,I$1,$B$1)</f>
        <v>25.557699999999901</v>
      </c>
      <c r="J22" s="100">
        <f>_xll.EQNXTDZ($A$1,$B22,J$1,$B$1)</f>
        <v>60.229300000000102</v>
      </c>
      <c r="K22" s="100">
        <f>_xll.EQNXTDZ($A$1,$B22,K$1,$B$1)</f>
        <v>81.142300000000006</v>
      </c>
      <c r="L22" s="100">
        <f>_xll.EQNXTDZ($A$1,$B22,L$1,$B$1)</f>
        <v>126.3895</v>
      </c>
      <c r="M22" s="100">
        <f>_xll.EQNXTDZ($A$1,$B22,M$1,$B$1)</f>
        <v>187.42609999999999</v>
      </c>
      <c r="N22" s="100">
        <f>_xll.EQNXTDZ($A$1,$B22,N$1,$B$1)</f>
        <v>280.91000000000003</v>
      </c>
      <c r="O22" s="100">
        <f>_xll.EQNXTDZ($A$1,$B22,O$1,$B$1)</f>
        <v>382.72</v>
      </c>
      <c r="P22" s="100">
        <f>_xll.EQNXTDZ($A$1,$B22,P$1,$B$1)</f>
        <v>343.06</v>
      </c>
      <c r="Q22" s="100">
        <f>_xll.EQNXTDZ($A$1,$B22,Q$1,$B$1)</f>
        <v>439.94</v>
      </c>
      <c r="R22" s="100">
        <f>_xll.EQNXTDZ($A$1,$B22,R$1,$B$1)</f>
        <v>499.73</v>
      </c>
      <c r="S22" s="100">
        <f>_xll.EQNXTDZ($A$1,$B22,S$1,$B$1)</f>
        <v>489.69</v>
      </c>
      <c r="T22" s="100">
        <f>_xll.EQNXTDZ($A$1,$B22,T$1,$B$1)</f>
        <v>332.71</v>
      </c>
      <c r="U22" s="100">
        <f>_xll.EQNXTDZ($A$1,$B22,U$1,$B$1)</f>
        <v>502.87</v>
      </c>
      <c r="V22" s="100">
        <f>_xll.EQNXTDZ($A$1,$B22,V$1,$B$1)</f>
        <v>470.459</v>
      </c>
      <c r="W22" s="100">
        <f>_xll.EQNXTDZ($A$1,$B22,W$1,$B$1)</f>
        <v>378.69799999999998</v>
      </c>
      <c r="X22" s="100">
        <f>_xll.EQNXTDZ($A$1,$B22,X$1,$B$1)</f>
        <v>638.48</v>
      </c>
      <c r="Y22" s="100">
        <f>_xll.EQNXTDZ($A$1,$B22,Y$1,$B$1)</f>
        <v>806.72</v>
      </c>
      <c r="Z22" s="100">
        <f>_xll.EQNXTDZ($A$1,$B22,Z$1,$B$1)</f>
        <v>941.25</v>
      </c>
      <c r="AA22" s="100">
        <f>_xll.EQNXTDZ($A$1,$B22,AA$1,$B$1)</f>
        <v>931.76</v>
      </c>
      <c r="AB22" s="100">
        <f>_xll.EQNXTDZ($A$1,$B22,AB$1,$B$1)</f>
        <v>838.32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1.6361485</v>
      </c>
      <c r="G23" s="100">
        <f>_xll.EQNXTDZ($A$1,$B23,G$1,$B$1)</f>
        <v>1.6743325</v>
      </c>
      <c r="H23" s="100">
        <f>_xll.EQNXTDZ($A$1,$B23,H$1,$B$1)</f>
        <v>8.8795000000000002</v>
      </c>
      <c r="I23" s="100">
        <f>_xll.EQNXTDZ($A$1,$B23,I$1,$B$1)</f>
        <v>31.4115</v>
      </c>
      <c r="J23" s="100">
        <f>_xll.EQNXTDZ($A$1,$B23,J$1,$B$1)</f>
        <v>16.251000000000001</v>
      </c>
      <c r="K23" s="100">
        <f>_xll.EQNXTDZ($A$1,$B23,K$1,$B$1)</f>
        <v>38.752600000000001</v>
      </c>
      <c r="L23" s="100">
        <f>_xll.EQNXTDZ($A$1,$B23,L$1,$B$1)</f>
        <v>27.5825</v>
      </c>
      <c r="M23" s="100">
        <f>_xll.EQNXTDZ($A$1,$B23,M$1,$B$1)</f>
        <v>18.736699999999999</v>
      </c>
      <c r="N23" s="100">
        <f>_xll.EQNXTDZ($A$1,$B23,N$1,$B$1)</f>
        <v>24.34</v>
      </c>
      <c r="O23" s="100">
        <f>_xll.EQNXTDZ($A$1,$B23,O$1,$B$1)</f>
        <v>50.42</v>
      </c>
      <c r="P23" s="100">
        <f>_xll.EQNXTDZ($A$1,$B23,P$1,$B$1)</f>
        <v>50.28</v>
      </c>
      <c r="Q23" s="100">
        <f>_xll.EQNXTDZ($A$1,$B23,Q$1,$B$1)</f>
        <v>50.03</v>
      </c>
      <c r="R23" s="100">
        <f>_xll.EQNXTDZ($A$1,$B23,R$1,$B$1)</f>
        <v>28.36</v>
      </c>
      <c r="S23" s="100">
        <f>_xll.EQNXTDZ($A$1,$B23,S$1,$B$1)</f>
        <v>37.33</v>
      </c>
      <c r="T23" s="100">
        <f>_xll.EQNXTDZ($A$1,$B23,T$1,$B$1)</f>
        <v>88.28</v>
      </c>
      <c r="U23" s="100">
        <f>_xll.EQNXTDZ($A$1,$B23,U$1,$B$1)</f>
        <v>44.22</v>
      </c>
      <c r="V23" s="100">
        <f>_xll.EQNXTDZ($A$1,$B23,V$1,$B$1)</f>
        <v>44.905000000000001</v>
      </c>
      <c r="W23" s="100">
        <f>_xll.EQNXTDZ($A$1,$B23,W$1,$B$1)</f>
        <v>51.838000000000001</v>
      </c>
      <c r="X23" s="100">
        <f>_xll.EQNXTDZ($A$1,$B23,X$1,$B$1)</f>
        <v>55.984000000000002</v>
      </c>
      <c r="Y23" s="100">
        <f>_xll.EQNXTDZ($A$1,$B23,Y$1,$B$1)</f>
        <v>101.96</v>
      </c>
      <c r="Z23" s="100">
        <f>_xll.EQNXTDZ($A$1,$B23,Z$1,$B$1)</f>
        <v>115.58</v>
      </c>
      <c r="AA23" s="100">
        <f>_xll.EQNXTDZ($A$1,$B23,AA$1,$B$1)</f>
        <v>126.42</v>
      </c>
      <c r="AB23" s="100">
        <f>_xll.EQNXTDZ($A$1,$B23,AB$1,$B$1)</f>
        <v>189.18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16.056607499999998</v>
      </c>
      <c r="G24" s="100">
        <f>_xll.EQNXTDZ($A$1,$B24,G$1,$B$1)</f>
        <v>20.367362100000001</v>
      </c>
      <c r="H24" s="100">
        <f>_xll.EQNXTDZ($A$1,$B24,H$1,$B$1)</f>
        <v>44.157200000000003</v>
      </c>
      <c r="I24" s="100">
        <f>_xll.EQNXTDZ($A$1,$B24,I$1,$B$1)</f>
        <v>56.969200000000001</v>
      </c>
      <c r="J24" s="100">
        <f>_xll.EQNXTDZ($A$1,$B24,J$1,$B$1)</f>
        <v>76.4803</v>
      </c>
      <c r="K24" s="100">
        <f>_xll.EQNXTDZ($A$1,$B24,K$1,$B$1)</f>
        <v>119.89490000000001</v>
      </c>
      <c r="L24" s="100">
        <f>_xll.EQNXTDZ($A$1,$B24,L$1,$B$1)</f>
        <v>153.97200000000001</v>
      </c>
      <c r="M24" s="100">
        <f>_xll.EQNXTDZ($A$1,$B24,M$1,$B$1)</f>
        <v>206.1628</v>
      </c>
      <c r="N24" s="100">
        <f>_xll.EQNXTDZ($A$1,$B24,N$1,$B$1)</f>
        <v>305.25</v>
      </c>
      <c r="O24" s="100">
        <f>_xll.EQNXTDZ($A$1,$B24,O$1,$B$1)</f>
        <v>433.14</v>
      </c>
      <c r="P24" s="100">
        <f>_xll.EQNXTDZ($A$1,$B24,P$1,$B$1)</f>
        <v>393.34</v>
      </c>
      <c r="Q24" s="100">
        <f>_xll.EQNXTDZ($A$1,$B24,Q$1,$B$1)</f>
        <v>489.97</v>
      </c>
      <c r="R24" s="100">
        <f>_xll.EQNXTDZ($A$1,$B24,R$1,$B$1)</f>
        <v>528.09</v>
      </c>
      <c r="S24" s="100">
        <f>_xll.EQNXTDZ($A$1,$B24,S$1,$B$1)</f>
        <v>527.02</v>
      </c>
      <c r="T24" s="100">
        <f>_xll.EQNXTDZ($A$1,$B24,T$1,$B$1)</f>
        <v>420.99</v>
      </c>
      <c r="U24" s="100">
        <f>_xll.EQNXTDZ($A$1,$B24,U$1,$B$1)</f>
        <v>547.09</v>
      </c>
      <c r="V24" s="100">
        <f>_xll.EQNXTDZ($A$1,$B24,V$1,$B$1)</f>
        <v>515.36400000000003</v>
      </c>
      <c r="W24" s="100">
        <f>_xll.EQNXTDZ($A$1,$B24,W$1,$B$1)</f>
        <v>430.536</v>
      </c>
      <c r="X24" s="100">
        <f>_xll.EQNXTDZ($A$1,$B24,X$1,$B$1)</f>
        <v>694.46400000000006</v>
      </c>
      <c r="Y24" s="100">
        <f>_xll.EQNXTDZ($A$1,$B24,Y$1,$B$1)</f>
        <v>908.68</v>
      </c>
      <c r="Z24" s="100">
        <f>_xll.EQNXTDZ($A$1,$B24,Z$1,$B$1)</f>
        <v>1056.83</v>
      </c>
      <c r="AA24" s="100">
        <f>_xll.EQNXTDZ($A$1,$B24,AA$1,$B$1)</f>
        <v>1058.18</v>
      </c>
      <c r="AB24" s="100">
        <f>_xll.EQNXTDZ($A$1,$B24,AB$1,$B$1)</f>
        <v>1027.5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1.5206294</v>
      </c>
      <c r="G25" s="100">
        <f>_xll.EQNXTDZ($A$1,$B25,G$1,$B$1)</f>
        <v>2.3850418000000002</v>
      </c>
      <c r="H25" s="100">
        <f>_xll.EQNXTDZ($A$1,$B25,H$1,$B$1)</f>
        <v>13.1218</v>
      </c>
      <c r="I25" s="100">
        <f>_xll.EQNXTDZ($A$1,$B25,I$1,$B$1)</f>
        <v>14.602600000000001</v>
      </c>
      <c r="J25" s="100">
        <f>_xll.EQNXTDZ($A$1,$B25,J$1,$B$1)</f>
        <v>11.278700000000001</v>
      </c>
      <c r="K25" s="100">
        <f>_xll.EQNXTDZ($A$1,$B25,K$1,$B$1)</f>
        <v>12.213800000000001</v>
      </c>
      <c r="L25" s="100">
        <f>_xll.EQNXTDZ($A$1,$B25,L$1,$B$1)</f>
        <v>12.052199999999999</v>
      </c>
      <c r="M25" s="100">
        <f>_xll.EQNXTDZ($A$1,$B25,M$1,$B$1)</f>
        <v>7.3780000000000001</v>
      </c>
      <c r="N25" s="100">
        <f>_xll.EQNXTDZ($A$1,$B25,N$1,$B$1)</f>
        <v>7.23</v>
      </c>
      <c r="O25" s="100">
        <f>_xll.EQNXTDZ($A$1,$B25,O$1,$B$1)</f>
        <v>7.62</v>
      </c>
      <c r="P25" s="100">
        <f>_xll.EQNXTDZ($A$1,$B25,P$1,$B$1)</f>
        <v>7.66</v>
      </c>
      <c r="Q25" s="100">
        <f>_xll.EQNXTDZ($A$1,$B25,Q$1,$B$1)</f>
        <v>8.99</v>
      </c>
      <c r="R25" s="100">
        <f>_xll.EQNXTDZ($A$1,$B25,R$1,$B$1)</f>
        <v>6.2</v>
      </c>
      <c r="S25" s="100">
        <f>_xll.EQNXTDZ($A$1,$B25,S$1,$B$1)</f>
        <v>4.3099999999999996</v>
      </c>
      <c r="T25" s="100">
        <f>_xll.EQNXTDZ($A$1,$B25,T$1,$B$1)</f>
        <v>4.7</v>
      </c>
      <c r="U25" s="100">
        <f>_xll.EQNXTDZ($A$1,$B25,U$1,$B$1)</f>
        <v>1.29</v>
      </c>
      <c r="V25" s="100">
        <f>_xll.EQNXTDZ($A$1,$B25,V$1,$B$1)</f>
        <v>15.643000000000001</v>
      </c>
      <c r="W25" s="100">
        <f>_xll.EQNXTDZ($A$1,$B25,W$1,$B$1)</f>
        <v>17.655999999999999</v>
      </c>
      <c r="X25" s="100">
        <f>_xll.EQNXTDZ($A$1,$B25,X$1,$B$1)</f>
        <v>21.898</v>
      </c>
      <c r="Y25" s="100">
        <f>_xll.EQNXTDZ($A$1,$B25,Y$1,$B$1)</f>
        <v>17.98</v>
      </c>
      <c r="Z25" s="100">
        <f>_xll.EQNXTDZ($A$1,$B25,Z$1,$B$1)</f>
        <v>18.91</v>
      </c>
      <c r="AA25" s="100">
        <f>_xll.EQNXTDZ($A$1,$B25,AA$1,$B$1)</f>
        <v>19.63</v>
      </c>
      <c r="AB25" s="100">
        <f>_xll.EQNXTDZ($A$1,$B25,AB$1,$B$1)</f>
        <v>34.119999999999997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14.535978099999999</v>
      </c>
      <c r="G26" s="100">
        <f>_xll.EQNXTDZ($A$1,$B26,G$1,$B$1)</f>
        <v>17.982320300000001</v>
      </c>
      <c r="H26" s="100">
        <f>_xll.EQNXTDZ($A$1,$B26,H$1,$B$1)</f>
        <v>31.035399999999999</v>
      </c>
      <c r="I26" s="100">
        <f>_xll.EQNXTDZ($A$1,$B26,I$1,$B$1)</f>
        <v>42.366599999999998</v>
      </c>
      <c r="J26" s="100">
        <f>_xll.EQNXTDZ($A$1,$B26,J$1,$B$1)</f>
        <v>65.201599999999999</v>
      </c>
      <c r="K26" s="100">
        <f>_xll.EQNXTDZ($A$1,$B26,K$1,$B$1)</f>
        <v>107.6811</v>
      </c>
      <c r="L26" s="100">
        <f>_xll.EQNXTDZ($A$1,$B26,L$1,$B$1)</f>
        <v>141.91980000000001</v>
      </c>
      <c r="M26" s="100">
        <f>_xll.EQNXTDZ($A$1,$B26,M$1,$B$1)</f>
        <v>198.78479999999999</v>
      </c>
      <c r="N26" s="100">
        <f>_xll.EQNXTDZ($A$1,$B26,N$1,$B$1)</f>
        <v>298.02</v>
      </c>
      <c r="O26" s="100">
        <f>_xll.EQNXTDZ($A$1,$B26,O$1,$B$1)</f>
        <v>425.52</v>
      </c>
      <c r="P26" s="100">
        <f>_xll.EQNXTDZ($A$1,$B26,P$1,$B$1)</f>
        <v>385.68</v>
      </c>
      <c r="Q26" s="100">
        <f>_xll.EQNXTDZ($A$1,$B26,Q$1,$B$1)</f>
        <v>480.98</v>
      </c>
      <c r="R26" s="100">
        <f>_xll.EQNXTDZ($A$1,$B26,R$1,$B$1)</f>
        <v>521.89</v>
      </c>
      <c r="S26" s="100">
        <f>_xll.EQNXTDZ($A$1,$B26,S$1,$B$1)</f>
        <v>522.71</v>
      </c>
      <c r="T26" s="100">
        <f>_xll.EQNXTDZ($A$1,$B26,T$1,$B$1)</f>
        <v>416.29</v>
      </c>
      <c r="U26" s="100">
        <f>_xll.EQNXTDZ($A$1,$B26,U$1,$B$1)</f>
        <v>545.79999999999995</v>
      </c>
      <c r="V26" s="100">
        <f>_xll.EQNXTDZ($A$1,$B26,V$1,$B$1)</f>
        <v>499.721</v>
      </c>
      <c r="W26" s="100">
        <f>_xll.EQNXTDZ($A$1,$B26,W$1,$B$1)</f>
        <v>412.88</v>
      </c>
      <c r="X26" s="100">
        <f>_xll.EQNXTDZ($A$1,$B26,X$1,$B$1)</f>
        <v>672.56600000000003</v>
      </c>
      <c r="Y26" s="100">
        <f>_xll.EQNXTDZ($A$1,$B26,Y$1,$B$1)</f>
        <v>890.7</v>
      </c>
      <c r="Z26" s="100">
        <f>_xll.EQNXTDZ($A$1,$B26,Z$1,$B$1)</f>
        <v>1037.92</v>
      </c>
      <c r="AA26" s="100">
        <f>_xll.EQNXTDZ($A$1,$B26,AA$1,$B$1)</f>
        <v>1038.55</v>
      </c>
      <c r="AB26" s="100">
        <f>_xll.EQNXTDZ($A$1,$B26,AB$1,$B$1)</f>
        <v>993.38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6.5950357000000004</v>
      </c>
      <c r="G27" s="100">
        <f>_xll.EQNXTDZ($A$1,$B27,G$1,$B$1)</f>
        <v>7.3184203999999999</v>
      </c>
      <c r="H27" s="100">
        <f>_xll.EQNXTDZ($A$1,$B27,H$1,$B$1)</f>
        <v>11.6248</v>
      </c>
      <c r="I27" s="100">
        <f>_xll.EQNXTDZ($A$1,$B27,I$1,$B$1)</f>
        <v>14.649699999999999</v>
      </c>
      <c r="J27" s="100">
        <f>_xll.EQNXTDZ($A$1,$B27,J$1,$B$1)</f>
        <v>14.4755</v>
      </c>
      <c r="K27" s="100">
        <f>_xll.EQNXTDZ($A$1,$B27,K$1,$B$1)</f>
        <v>14.7905</v>
      </c>
      <c r="L27" s="100">
        <f>_xll.EQNXTDZ($A$1,$B27,L$1,$B$1)</f>
        <v>14.6762</v>
      </c>
      <c r="M27" s="100">
        <f>_xll.EQNXTDZ($A$1,$B27,M$1,$B$1)</f>
        <v>18.872599999999998</v>
      </c>
      <c r="N27" s="100">
        <f>_xll.EQNXTDZ($A$1,$B27,N$1,$B$1)</f>
        <v>26.19</v>
      </c>
      <c r="O27" s="100">
        <f>_xll.EQNXTDZ($A$1,$B27,O$1,$B$1)</f>
        <v>33.090000000000003</v>
      </c>
      <c r="P27" s="100">
        <f>_xll.EQNXTDZ($A$1,$B27,P$1,$B$1)</f>
        <v>48.11</v>
      </c>
      <c r="Q27" s="100">
        <f>_xll.EQNXTDZ($A$1,$B27,Q$1,$B$1)</f>
        <v>51.22</v>
      </c>
      <c r="R27" s="100">
        <f>_xll.EQNXTDZ($A$1,$B27,R$1,$B$1)</f>
        <v>58.53</v>
      </c>
      <c r="S27" s="100">
        <f>_xll.EQNXTDZ($A$1,$B27,S$1,$B$1)</f>
        <v>62.84</v>
      </c>
      <c r="T27" s="100">
        <f>_xll.EQNXTDZ($A$1,$B27,T$1,$B$1)</f>
        <v>71.430000000000007</v>
      </c>
      <c r="U27" s="100">
        <f>_xll.EQNXTDZ($A$1,$B27,U$1,$B$1)</f>
        <v>68.64</v>
      </c>
      <c r="V27" s="100">
        <f>_xll.EQNXTDZ($A$1,$B27,V$1,$B$1)</f>
        <v>99.153000000000006</v>
      </c>
      <c r="W27" s="100">
        <f>_xll.EQNXTDZ($A$1,$B27,W$1,$B$1)</f>
        <v>92.2</v>
      </c>
      <c r="X27" s="100">
        <f>_xll.EQNXTDZ($A$1,$B27,X$1,$B$1)</f>
        <v>85.71</v>
      </c>
      <c r="Y27" s="100">
        <f>_xll.EQNXTDZ($A$1,$B27,Y$1,$B$1)</f>
        <v>94.55</v>
      </c>
      <c r="Z27" s="100">
        <f>_xll.EQNXTDZ($A$1,$B27,Z$1,$B$1)</f>
        <v>105.87</v>
      </c>
      <c r="AA27" s="100">
        <f>_xll.EQNXTDZ($A$1,$B27,AA$1,$B$1)</f>
        <v>121.21</v>
      </c>
      <c r="AB27" s="100">
        <f>_xll.EQNXTDZ($A$1,$B27,AB$1,$B$1)</f>
        <v>144.94999999999999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0.17</v>
      </c>
      <c r="S28" s="100">
        <f>_xll.EQNXTDZ($A$1,$B28,S$1,$B$1)</f>
        <v>-1.46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4.0599999999999996</v>
      </c>
      <c r="AB28" s="100">
        <f>_xll.EQNXTDZ($A$1,$B28,AB$1,$B$1)</f>
        <v>24.02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-3.0613000000000001</v>
      </c>
      <c r="J29" s="100">
        <f>_xll.EQNXTDZ($A$1,$B29,J$1,$B$1)</f>
        <v>0.6431</v>
      </c>
      <c r="K29" s="100">
        <f>_xll.EQNXTDZ($A$1,$B29,K$1,$B$1)</f>
        <v>0</v>
      </c>
      <c r="L29" s="100">
        <f>_xll.EQNXTDZ($A$1,$B29,L$1,$B$1)</f>
        <v>-1.2763</v>
      </c>
      <c r="M29" s="100">
        <f>_xll.EQNXTDZ($A$1,$B29,M$1,$B$1)</f>
        <v>5.5999999999999999E-3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-8.25</v>
      </c>
      <c r="T29" s="100">
        <f>_xll.EQNXTDZ($A$1,$B29,T$1,$B$1)</f>
        <v>-8.33</v>
      </c>
      <c r="U29" s="100">
        <f>_xll.EQNXTDZ($A$1,$B29,U$1,$B$1)</f>
        <v>-6.22</v>
      </c>
      <c r="V29" s="100">
        <f>_xll.EQNXTDZ($A$1,$B29,V$1,$B$1)</f>
        <v>-8.577</v>
      </c>
      <c r="W29" s="100">
        <f>_xll.EQNXTDZ($A$1,$B29,W$1,$B$1)</f>
        <v>-5.415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-107.73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-6.5331299999999995E-2</v>
      </c>
      <c r="G30" s="100">
        <f>_xll.EQNXTDZ($A$1,$B30,G$1,$B$1)</f>
        <v>2.9473897</v>
      </c>
      <c r="H30" s="100">
        <f>_xll.EQNXTDZ($A$1,$B30,H$1,$B$1)</f>
        <v>7.9183000000000003</v>
      </c>
      <c r="I30" s="100">
        <f>_xll.EQNXTDZ($A$1,$B30,I$1,$B$1)</f>
        <v>8.1417000000000002</v>
      </c>
      <c r="J30" s="100">
        <f>_xll.EQNXTDZ($A$1,$B30,J$1,$B$1)</f>
        <v>21.371400000000001</v>
      </c>
      <c r="K30" s="100">
        <f>_xll.EQNXTDZ($A$1,$B30,K$1,$B$1)</f>
        <v>27.025099999999998</v>
      </c>
      <c r="L30" s="100">
        <f>_xll.EQNXTDZ($A$1,$B30,L$1,$B$1)</f>
        <v>34.967700000000001</v>
      </c>
      <c r="M30" s="100">
        <f>_xll.EQNXTDZ($A$1,$B30,M$1,$B$1)</f>
        <v>40.899099999999997</v>
      </c>
      <c r="N30" s="100">
        <f>_xll.EQNXTDZ($A$1,$B30,N$1,$B$1)</f>
        <v>63.46</v>
      </c>
      <c r="O30" s="100">
        <f>_xll.EQNXTDZ($A$1,$B30,O$1,$B$1)</f>
        <v>91.7</v>
      </c>
      <c r="P30" s="100">
        <f>_xll.EQNXTDZ($A$1,$B30,P$1,$B$1)</f>
        <v>64.349999999999994</v>
      </c>
      <c r="Q30" s="100">
        <f>_xll.EQNXTDZ($A$1,$B30,Q$1,$B$1)</f>
        <v>95.69</v>
      </c>
      <c r="R30" s="100">
        <f>_xll.EQNXTDZ($A$1,$B30,R$1,$B$1)</f>
        <v>79.97</v>
      </c>
      <c r="S30" s="100">
        <f>_xll.EQNXTDZ($A$1,$B30,S$1,$B$1)</f>
        <v>99.18</v>
      </c>
      <c r="T30" s="100">
        <f>_xll.EQNXTDZ($A$1,$B30,T$1,$B$1)</f>
        <v>90.72</v>
      </c>
      <c r="U30" s="100">
        <f>_xll.EQNXTDZ($A$1,$B30,U$1,$B$1)</f>
        <v>118.34</v>
      </c>
      <c r="V30" s="100">
        <f>_xll.EQNXTDZ($A$1,$B30,V$1,$B$1)</f>
        <v>140.42400000000001</v>
      </c>
      <c r="W30" s="100">
        <f>_xll.EQNXTDZ($A$1,$B30,W$1,$B$1)</f>
        <v>76.091999999999999</v>
      </c>
      <c r="X30" s="100">
        <f>_xll.EQNXTDZ($A$1,$B30,X$1,$B$1)</f>
        <v>149.86500000000001</v>
      </c>
      <c r="Y30" s="100">
        <f>_xll.EQNXTDZ($A$1,$B30,Y$1,$B$1)</f>
        <v>172.12</v>
      </c>
      <c r="Z30" s="100">
        <f>_xll.EQNXTDZ($A$1,$B30,Z$1,$B$1)</f>
        <v>252.68</v>
      </c>
      <c r="AA30" s="100">
        <f>_xll.EQNXTDZ($A$1,$B30,AA$1,$B$1)</f>
        <v>244.45</v>
      </c>
      <c r="AB30" s="100">
        <f>_xll.EQNXTDZ($A$1,$B30,AB$1,$B$1)</f>
        <v>218.13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0.1376</v>
      </c>
      <c r="I32" s="100">
        <f>_xll.EQNXTDZ($A$1,$B32,I$1,$B$1)</f>
        <v>-0.22919999999999999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8.0062736999999995</v>
      </c>
      <c r="G35" s="100">
        <f>_xll.EQNXTDZ($A$1,$B35,G$1,$B$1)</f>
        <v>7.7165102000000001</v>
      </c>
      <c r="H35" s="100">
        <f>_xll.EQNXTDZ($A$1,$B35,H$1,$B$1)</f>
        <v>11.629899999999999</v>
      </c>
      <c r="I35" s="100">
        <f>_xll.EQNXTDZ($A$1,$B35,I$1,$B$1)</f>
        <v>16.284700000000001</v>
      </c>
      <c r="J35" s="100">
        <f>_xll.EQNXTDZ($A$1,$B35,J$1,$B$1)</f>
        <v>29.997800000000002</v>
      </c>
      <c r="K35" s="100">
        <f>_xll.EQNXTDZ($A$1,$B35,K$1,$B$1)</f>
        <v>65.865499999999997</v>
      </c>
      <c r="L35" s="100">
        <f>_xll.EQNXTDZ($A$1,$B35,L$1,$B$1)</f>
        <v>90.999600000000001</v>
      </c>
      <c r="M35" s="100">
        <f>_xll.EQNXTDZ($A$1,$B35,M$1,$B$1)</f>
        <v>139.0187</v>
      </c>
      <c r="N35" s="100">
        <f>_xll.EQNXTDZ($A$1,$B35,N$1,$B$1)</f>
        <v>208.37</v>
      </c>
      <c r="O35" s="100">
        <f>_xll.EQNXTDZ($A$1,$B35,O$1,$B$1)</f>
        <v>300.73</v>
      </c>
      <c r="P35" s="100">
        <f>_xll.EQNXTDZ($A$1,$B35,P$1,$B$1)</f>
        <v>273.22000000000003</v>
      </c>
      <c r="Q35" s="100">
        <f>_xll.EQNXTDZ($A$1,$B35,Q$1,$B$1)</f>
        <v>334.07</v>
      </c>
      <c r="R35" s="100">
        <f>_xll.EQNXTDZ($A$1,$B35,R$1,$B$1)</f>
        <v>383.56</v>
      </c>
      <c r="S35" s="100">
        <f>_xll.EQNXTDZ($A$1,$B35,S$1,$B$1)</f>
        <v>350.98</v>
      </c>
      <c r="T35" s="100">
        <f>_xll.EQNXTDZ($A$1,$B35,T$1,$B$1)</f>
        <v>245.81</v>
      </c>
      <c r="U35" s="100">
        <f>_xll.EQNXTDZ($A$1,$B35,U$1,$B$1)</f>
        <v>352.6</v>
      </c>
      <c r="V35" s="100">
        <f>_xll.EQNXTDZ($A$1,$B35,V$1,$B$1)</f>
        <v>251.56700000000001</v>
      </c>
      <c r="W35" s="100">
        <f>_xll.EQNXTDZ($A$1,$B35,W$1,$B$1)</f>
        <v>239.173</v>
      </c>
      <c r="X35" s="100">
        <f>_xll.EQNXTDZ($A$1,$B35,X$1,$B$1)</f>
        <v>436.99099999999999</v>
      </c>
      <c r="Y35" s="100">
        <f>_xll.EQNXTDZ($A$1,$B35,Y$1,$B$1)</f>
        <v>624.03</v>
      </c>
      <c r="Z35" s="100">
        <f>_xll.EQNXTDZ($A$1,$B35,Z$1,$B$1)</f>
        <v>679.37</v>
      </c>
      <c r="AA35" s="100">
        <f>_xll.EQNXTDZ($A$1,$B35,AA$1,$B$1)</f>
        <v>676.95</v>
      </c>
      <c r="AB35" s="100">
        <f>_xll.EQNXTDZ($A$1,$B35,AB$1,$B$1)</f>
        <v>546.59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10.589497</v>
      </c>
      <c r="G41" s="55">
        <f>_xll.EQNXTDZ($A$1,$B41,G$1,$B$1)</f>
        <v>10.676645000000001</v>
      </c>
      <c r="H41" s="55">
        <f>_xll.EQNXTDZ($A$1,$B41,H$1,$B$1)</f>
        <v>34.8626</v>
      </c>
      <c r="I41" s="55">
        <f>_xll.EQNXTDZ($A$1,$B41,I$1,$B$1)</f>
        <v>35.750500000000002</v>
      </c>
      <c r="J41" s="55">
        <f>_xll.EQNXTDZ($A$1,$B41,J$1,$B$1)</f>
        <v>37.083500000000001</v>
      </c>
      <c r="K41" s="55">
        <f>_xll.EQNXTDZ($A$1,$B41,K$1,$B$1)</f>
        <v>37.158099999999997</v>
      </c>
      <c r="L41" s="55">
        <f>_xll.EQNXTDZ($A$1,$B41,L$1,$B$1)</f>
        <v>37.244599999999998</v>
      </c>
      <c r="M41" s="55">
        <f>_xll.EQNXTDZ($A$1,$B41,M$1,$B$1)</f>
        <v>37.315300000000001</v>
      </c>
      <c r="N41" s="55">
        <f>_xll.EQNXTDZ($A$1,$B41,N$1,$B$1)</f>
        <v>42.97</v>
      </c>
      <c r="O41" s="55">
        <f>_xll.EQNXTDZ($A$1,$B41,O$1,$B$1)</f>
        <v>43.02</v>
      </c>
      <c r="P41" s="55">
        <f>_xll.EQNXTDZ($A$1,$B41,P$1,$B$1)</f>
        <v>43.02</v>
      </c>
      <c r="Q41" s="55">
        <f>_xll.EQNXTDZ($A$1,$B41,Q$1,$B$1)</f>
        <v>43.02</v>
      </c>
      <c r="R41" s="55">
        <f>_xll.EQNXTDZ($A$1,$B41,R$1,$B$1)</f>
        <v>43.02</v>
      </c>
      <c r="S41" s="55">
        <f>_xll.EQNXTDZ($A$1,$B41,S$1,$B$1)</f>
        <v>42.1</v>
      </c>
      <c r="T41" s="55">
        <f>_xll.EQNXTDZ($A$1,$B41,T$1,$B$1)</f>
        <v>42.1</v>
      </c>
      <c r="U41" s="55">
        <f>_xll.EQNXTDZ($A$1,$B41,U$1,$B$1)</f>
        <v>42.1</v>
      </c>
      <c r="V41" s="55">
        <f>_xll.EQNXTDZ($A$1,$B41,V$1,$B$1)</f>
        <v>41.802999999999997</v>
      </c>
      <c r="W41" s="55">
        <f>_xll.EQNXTDZ($A$1,$B41,W$1,$B$1)</f>
        <v>41.807000000000002</v>
      </c>
      <c r="X41" s="55">
        <f>_xll.EQNXTDZ($A$1,$B41,X$1,$B$1)</f>
        <v>41.807000000000002</v>
      </c>
      <c r="Y41" s="55">
        <f>_xll.EQNXTDZ($A$1,$B41,Y$1,$B$1)</f>
        <v>81.13</v>
      </c>
      <c r="Z41" s="55">
        <f>_xll.EQNXTDZ($A$1,$B41,Z$1,$B$1)</f>
        <v>81.13</v>
      </c>
      <c r="AA41" s="55">
        <f>_xll.EQNXTDZ($A$1,$B41,AA$1,$B$1)</f>
        <v>81.13</v>
      </c>
      <c r="AB41" s="55">
        <f>_xll.EQNXTDZ($A$1,$B41,AB$1,$B$1)</f>
        <v>81.2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8.4309999999999993E-3</v>
      </c>
      <c r="G42" s="55">
        <f>_xll.EQNXTDZ($A$1,$B42,G$1,$B$1)</f>
        <v>7.6575000000000002E-3</v>
      </c>
      <c r="H42" s="55">
        <f>_xll.EQNXTDZ($A$1,$B42,H$1,$B$1)</f>
        <v>4.6600000000000003E-2</v>
      </c>
      <c r="I42" s="55">
        <f>_xll.EQNXTDZ($A$1,$B42,I$1,$B$1)</f>
        <v>0</v>
      </c>
      <c r="J42" s="55">
        <f>_xll.EQNXTDZ($A$1,$B42,J$1,$B$1)</f>
        <v>1.47E-2</v>
      </c>
      <c r="K42" s="55">
        <f>_xll.EQNXTDZ($A$1,$B42,K$1,$B$1)</f>
        <v>2.0400000000000001E-2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0.19</v>
      </c>
      <c r="S42" s="55">
        <f>_xll.EQNXTDZ($A$1,$B42,S$1,$B$1)</f>
        <v>0.4</v>
      </c>
      <c r="T42" s="55">
        <f>_xll.EQNXTDZ($A$1,$B42,T$1,$B$1)</f>
        <v>0.4</v>
      </c>
      <c r="U42" s="55">
        <f>_xll.EQNXTDZ($A$1,$B42,U$1,$B$1)</f>
        <v>0.34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1.73</v>
      </c>
      <c r="Z42" s="55">
        <f>_xll.EQNXTDZ($A$1,$B42,Z$1,$B$1)</f>
        <v>5.27</v>
      </c>
      <c r="AA42" s="55">
        <f>_xll.EQNXTDZ($A$1,$B42,AA$1,$B$1)</f>
        <v>14.29</v>
      </c>
      <c r="AB42" s="55">
        <f>_xll.EQNXTDZ($A$1,$B42,AB$1,$B$1)</f>
        <v>13.11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18.964968500000001</v>
      </c>
      <c r="G43" s="55">
        <f>_xll.EQNXTDZ($A$1,$B43,G$1,$B$1)</f>
        <v>23.1766538</v>
      </c>
      <c r="H43" s="55">
        <f>_xll.EQNXTDZ($A$1,$B43,H$1,$B$1)</f>
        <v>246.1721</v>
      </c>
      <c r="I43" s="55">
        <f>_xll.EQNXTDZ($A$1,$B43,I$1,$B$1)</f>
        <v>308.0342</v>
      </c>
      <c r="J43" s="55">
        <f>_xll.EQNXTDZ($A$1,$B43,J$1,$B$1)</f>
        <v>328.01650000000001</v>
      </c>
      <c r="K43" s="55">
        <f>_xll.EQNXTDZ($A$1,$B43,K$1,$B$1)</f>
        <v>304.71210000000002</v>
      </c>
      <c r="L43" s="55">
        <f>_xll.EQNXTDZ($A$1,$B43,L$1,$B$1)</f>
        <v>309.96359999999999</v>
      </c>
      <c r="M43" s="55">
        <f>_xll.EQNXTDZ($A$1,$B43,M$1,$B$1)</f>
        <v>430.45080000000002</v>
      </c>
      <c r="N43" s="55">
        <f>_xll.EQNXTDZ($A$1,$B43,N$1,$B$1)</f>
        <v>737.86</v>
      </c>
      <c r="O43" s="55">
        <f>_xll.EQNXTDZ($A$1,$B43,O$1,$B$1)</f>
        <v>909.85</v>
      </c>
      <c r="P43" s="55">
        <f>_xll.EQNXTDZ($A$1,$B43,P$1,$B$1)</f>
        <v>1137.6199999999999</v>
      </c>
      <c r="Q43" s="55">
        <f>_xll.EQNXTDZ($A$1,$B43,Q$1,$B$1)</f>
        <v>1022.14</v>
      </c>
      <c r="R43" s="55">
        <f>_xll.EQNXTDZ($A$1,$B43,R$1,$B$1)</f>
        <v>1359.06</v>
      </c>
      <c r="S43" s="55">
        <f>_xll.EQNXTDZ($A$1,$B43,S$1,$B$1)</f>
        <v>1378.53</v>
      </c>
      <c r="T43" s="55">
        <f>_xll.EQNXTDZ($A$1,$B43,T$1,$B$1)</f>
        <v>1507.98</v>
      </c>
      <c r="U43" s="55">
        <f>_xll.EQNXTDZ($A$1,$B43,U$1,$B$1)</f>
        <v>1714.56</v>
      </c>
      <c r="V43" s="55">
        <f>_xll.EQNXTDZ($A$1,$B43,V$1,$B$1)</f>
        <v>1810.796</v>
      </c>
      <c r="W43" s="55">
        <f>_xll.EQNXTDZ($A$1,$B43,W$1,$B$1)</f>
        <v>2100.3470000000002</v>
      </c>
      <c r="X43" s="55">
        <f>_xll.EQNXTDZ($A$1,$B43,X$1,$B$1)</f>
        <v>2238.3539999999998</v>
      </c>
      <c r="Y43" s="55">
        <f>_xll.EQNXTDZ($A$1,$B43,Y$1,$B$1)</f>
        <v>2906.59</v>
      </c>
      <c r="Z43" s="55">
        <f>_xll.EQNXTDZ($A$1,$B43,Z$1,$B$1)</f>
        <v>3134.42</v>
      </c>
      <c r="AA43" s="55">
        <f>_xll.EQNXTDZ($A$1,$B43,AA$1,$B$1)</f>
        <v>3484</v>
      </c>
      <c r="AB43" s="55">
        <f>_xll.EQNXTDZ($A$1,$B43,AB$1,$B$1)</f>
        <v>3829.06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29.562896500000001</v>
      </c>
      <c r="G44" s="55">
        <f>_xll.EQNXTDZ($A$1,$B44,G$1,$B$1)</f>
        <v>33.860956299999998</v>
      </c>
      <c r="H44" s="55">
        <f>_xll.EQNXTDZ($A$1,$B44,H$1,$B$1)</f>
        <v>281.0813</v>
      </c>
      <c r="I44" s="55">
        <f>_xll.EQNXTDZ($A$1,$B44,I$1,$B$1)</f>
        <v>343.78469999999999</v>
      </c>
      <c r="J44" s="55">
        <f>_xll.EQNXTDZ($A$1,$B44,J$1,$B$1)</f>
        <v>365.11470000000003</v>
      </c>
      <c r="K44" s="55">
        <f>_xll.EQNXTDZ($A$1,$B44,K$1,$B$1)</f>
        <v>341.89060000000001</v>
      </c>
      <c r="L44" s="55">
        <f>_xll.EQNXTDZ($A$1,$B44,L$1,$B$1)</f>
        <v>347.20819999999998</v>
      </c>
      <c r="M44" s="55">
        <f>_xll.EQNXTDZ($A$1,$B44,M$1,$B$1)</f>
        <v>467.76609999999999</v>
      </c>
      <c r="N44" s="55">
        <f>_xll.EQNXTDZ($A$1,$B44,N$1,$B$1)</f>
        <v>780.83</v>
      </c>
      <c r="O44" s="55">
        <f>_xll.EQNXTDZ($A$1,$B44,O$1,$B$1)</f>
        <v>952.87</v>
      </c>
      <c r="P44" s="55">
        <f>_xll.EQNXTDZ($A$1,$B44,P$1,$B$1)</f>
        <v>1180.6400000000001</v>
      </c>
      <c r="Q44" s="55">
        <f>_xll.EQNXTDZ($A$1,$B44,Q$1,$B$1)</f>
        <v>1065.1600000000001</v>
      </c>
      <c r="R44" s="55">
        <f>_xll.EQNXTDZ($A$1,$B44,R$1,$B$1)</f>
        <v>1402.27</v>
      </c>
      <c r="S44" s="55">
        <f>_xll.EQNXTDZ($A$1,$B44,S$1,$B$1)</f>
        <v>1421.03</v>
      </c>
      <c r="T44" s="55">
        <f>_xll.EQNXTDZ($A$1,$B44,T$1,$B$1)</f>
        <v>1550.48</v>
      </c>
      <c r="U44" s="55">
        <f>_xll.EQNXTDZ($A$1,$B44,U$1,$B$1)</f>
        <v>1757</v>
      </c>
      <c r="V44" s="55">
        <f>_xll.EQNXTDZ($A$1,$B44,V$1,$B$1)</f>
        <v>1852.5989999999999</v>
      </c>
      <c r="W44" s="55">
        <f>_xll.EQNXTDZ($A$1,$B44,W$1,$B$1)</f>
        <v>2142.154</v>
      </c>
      <c r="X44" s="55">
        <f>_xll.EQNXTDZ($A$1,$B44,X$1,$B$1)</f>
        <v>2280.1610000000001</v>
      </c>
      <c r="Y44" s="55">
        <f>_xll.EQNXTDZ($A$1,$B44,Y$1,$B$1)</f>
        <v>2989.45</v>
      </c>
      <c r="Z44" s="55">
        <f>_xll.EQNXTDZ($A$1,$B44,Z$1,$B$1)</f>
        <v>3220.82</v>
      </c>
      <c r="AA44" s="55">
        <f>_xll.EQNXTDZ($A$1,$B44,AA$1,$B$1)</f>
        <v>3579.42</v>
      </c>
      <c r="AB44" s="55">
        <f>_xll.EQNXTDZ($A$1,$B44,AB$1,$B$1)</f>
        <v>3923.37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6.9180999999999999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4.4505930999999999</v>
      </c>
      <c r="G47" s="55">
        <f>_xll.EQNXTDZ($A$1,$B47,G$1,$B$1)</f>
        <v>4.4073520000000004</v>
      </c>
      <c r="H47" s="55">
        <f>_xll.EQNXTDZ($A$1,$B47,H$1,$B$1)</f>
        <v>0.34229999999999999</v>
      </c>
      <c r="I47" s="55">
        <f>_xll.EQNXTDZ($A$1,$B47,I$1,$B$1)</f>
        <v>0.48920000000000002</v>
      </c>
      <c r="J47" s="55">
        <f>_xll.EQNXTDZ($A$1,$B47,J$1,$B$1)</f>
        <v>18.488499999999998</v>
      </c>
      <c r="K47" s="55">
        <f>_xll.EQNXTDZ($A$1,$B47,K$1,$B$1)</f>
        <v>68.593800000000002</v>
      </c>
      <c r="L47" s="55">
        <f>_xll.EQNXTDZ($A$1,$B47,L$1,$B$1)</f>
        <v>25.1767</v>
      </c>
      <c r="M47" s="55">
        <f>_xll.EQNXTDZ($A$1,$B47,M$1,$B$1)</f>
        <v>25.744800000000001</v>
      </c>
      <c r="N47" s="55">
        <f>_xll.EQNXTDZ($A$1,$B47,N$1,$B$1)</f>
        <v>0.62</v>
      </c>
      <c r="O47" s="55">
        <f>_xll.EQNXTDZ($A$1,$B47,O$1,$B$1)</f>
        <v>144.91999999999999</v>
      </c>
      <c r="P47" s="55">
        <f>_xll.EQNXTDZ($A$1,$B47,P$1,$B$1)</f>
        <v>79.900000000000006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13.326449999999999</v>
      </c>
      <c r="G48" s="55">
        <f>_xll.EQNXTDZ($A$1,$B48,G$1,$B$1)</f>
        <v>4</v>
      </c>
      <c r="H48" s="55">
        <f>_xll.EQNXTDZ($A$1,$B48,H$1,$B$1)</f>
        <v>271.28969999999998</v>
      </c>
      <c r="I48" s="55">
        <f>_xll.EQNXTDZ($A$1,$B48,I$1,$B$1)</f>
        <v>217.28399999999999</v>
      </c>
      <c r="J48" s="55">
        <f>_xll.EQNXTDZ($A$1,$B48,J$1,$B$1)</f>
        <v>200.47460000000001</v>
      </c>
      <c r="K48" s="55">
        <f>_xll.EQNXTDZ($A$1,$B48,K$1,$B$1)</f>
        <v>260.959</v>
      </c>
      <c r="L48" s="55">
        <f>_xll.EQNXTDZ($A$1,$B48,L$1,$B$1)</f>
        <v>272.57350000000002</v>
      </c>
      <c r="M48" s="55">
        <f>_xll.EQNXTDZ($A$1,$B48,M$1,$B$1)</f>
        <v>277.01100000000002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119.78</v>
      </c>
      <c r="Q48" s="55">
        <f>_xll.EQNXTDZ($A$1,$B48,Q$1,$B$1)</f>
        <v>154.13999999999999</v>
      </c>
      <c r="R48" s="55">
        <f>_xll.EQNXTDZ($A$1,$B48,R$1,$B$1)</f>
        <v>79.56</v>
      </c>
      <c r="S48" s="55">
        <f>_xll.EQNXTDZ($A$1,$B48,S$1,$B$1)</f>
        <v>0.05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588.99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1.6691533999999999</v>
      </c>
      <c r="G49" s="55">
        <f>_xll.EQNXTDZ($A$1,$B49,G$1,$B$1)</f>
        <v>1.1165430999999999</v>
      </c>
      <c r="H49" s="55">
        <f>_xll.EQNXTDZ($A$1,$B49,H$1,$B$1)</f>
        <v>-5.7439</v>
      </c>
      <c r="I49" s="55">
        <f>_xll.EQNXTDZ($A$1,$B49,I$1,$B$1)</f>
        <v>-3.6269</v>
      </c>
      <c r="J49" s="55">
        <f>_xll.EQNXTDZ($A$1,$B49,J$1,$B$1)</f>
        <v>-3.5543</v>
      </c>
      <c r="K49" s="55">
        <f>_xll.EQNXTDZ($A$1,$B49,K$1,$B$1)</f>
        <v>-8.0195000000000007</v>
      </c>
      <c r="L49" s="55">
        <f>_xll.EQNXTDZ($A$1,$B49,L$1,$B$1)</f>
        <v>-7.2706</v>
      </c>
      <c r="M49" s="55">
        <f>_xll.EQNXTDZ($A$1,$B49,M$1,$B$1)</f>
        <v>-8.5928000000000004</v>
      </c>
      <c r="N49" s="55">
        <f>_xll.EQNXTDZ($A$1,$B49,N$1,$B$1)</f>
        <v>-1.82</v>
      </c>
      <c r="O49" s="55">
        <f>_xll.EQNXTDZ($A$1,$B49,O$1,$B$1)</f>
        <v>-2.27</v>
      </c>
      <c r="P49" s="55">
        <f>_xll.EQNXTDZ($A$1,$B49,P$1,$B$1)</f>
        <v>-10.9</v>
      </c>
      <c r="Q49" s="55">
        <f>_xll.EQNXTDZ($A$1,$B49,Q$1,$B$1)</f>
        <v>-6.04</v>
      </c>
      <c r="R49" s="55">
        <f>_xll.EQNXTDZ($A$1,$B49,R$1,$B$1)</f>
        <v>-17.09</v>
      </c>
      <c r="S49" s="55">
        <f>_xll.EQNXTDZ($A$1,$B49,S$1,$B$1)</f>
        <v>-26.83</v>
      </c>
      <c r="T49" s="55">
        <f>_xll.EQNXTDZ($A$1,$B49,T$1,$B$1)</f>
        <v>-12.78</v>
      </c>
      <c r="U49" s="55">
        <f>_xll.EQNXTDZ($A$1,$B49,U$1,$B$1)</f>
        <v>-30.66</v>
      </c>
      <c r="V49" s="55">
        <f>_xll.EQNXTDZ($A$1,$B49,V$1,$B$1)</f>
        <v>-32.029000000000003</v>
      </c>
      <c r="W49" s="55">
        <f>_xll.EQNXTDZ($A$1,$B49,W$1,$B$1)</f>
        <v>-42.970999999999997</v>
      </c>
      <c r="X49" s="55">
        <f>_xll.EQNXTDZ($A$1,$B49,X$1,$B$1)</f>
        <v>-57.444000000000003</v>
      </c>
      <c r="Y49" s="55">
        <f>_xll.EQNXTDZ($A$1,$B49,Y$1,$B$1)</f>
        <v>-152.08000000000001</v>
      </c>
      <c r="Z49" s="55">
        <f>_xll.EQNXTDZ($A$1,$B49,Z$1,$B$1)</f>
        <v>-253.28</v>
      </c>
      <c r="AA49" s="55">
        <f>_xll.EQNXTDZ($A$1,$B49,AA$1,$B$1)</f>
        <v>-341.52</v>
      </c>
      <c r="AB49" s="55">
        <f>_xll.EQNXTDZ($A$1,$B49,AB$1,$B$1)</f>
        <v>-350.94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0.2</v>
      </c>
      <c r="Q50" s="55">
        <f>_xll.EQNXTDZ($A$1,$B50,Q$1,$B$1)</f>
        <v>0</v>
      </c>
      <c r="R50" s="55">
        <f>_xll.EQNXTDZ($A$1,$B50,R$1,$B$1)</f>
        <v>1.94</v>
      </c>
      <c r="S50" s="55">
        <f>_xll.EQNXTDZ($A$1,$B50,S$1,$B$1)</f>
        <v>2.96</v>
      </c>
      <c r="T50" s="55">
        <f>_xll.EQNXTDZ($A$1,$B50,T$1,$B$1)</f>
        <v>17.18</v>
      </c>
      <c r="U50" s="55">
        <f>_xll.EQNXTDZ($A$1,$B50,U$1,$B$1)</f>
        <v>16.350000000000001</v>
      </c>
      <c r="V50" s="55">
        <f>_xll.EQNXTDZ($A$1,$B50,V$1,$B$1)</f>
        <v>245.21799999999999</v>
      </c>
      <c r="W50" s="55">
        <f>_xll.EQNXTDZ($A$1,$B50,W$1,$B$1)</f>
        <v>233.21199999999999</v>
      </c>
      <c r="X50" s="55">
        <f>_xll.EQNXTDZ($A$1,$B50,X$1,$B$1)</f>
        <v>223.50899999999999</v>
      </c>
      <c r="Y50" s="55">
        <f>_xll.EQNXTDZ($A$1,$B50,Y$1,$B$1)</f>
        <v>215.3</v>
      </c>
      <c r="Z50" s="55">
        <f>_xll.EQNXTDZ($A$1,$B50,Z$1,$B$1)</f>
        <v>205.79</v>
      </c>
      <c r="AA50" s="55">
        <f>_xll.EQNXTDZ($A$1,$B50,AA$1,$B$1)</f>
        <v>369.01</v>
      </c>
      <c r="AB50" s="55">
        <f>_xll.EQNXTDZ($A$1,$B50,AB$1,$B$1)</f>
        <v>495.85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0.35</v>
      </c>
      <c r="O51" s="55">
        <f>_xll.EQNXTDZ($A$1,$B51,O$1,$B$1)</f>
        <v>0.37</v>
      </c>
      <c r="P51" s="55">
        <f>_xll.EQNXTDZ($A$1,$B51,P$1,$B$1)</f>
        <v>0.45</v>
      </c>
      <c r="Q51" s="55">
        <f>_xll.EQNXTDZ($A$1,$B51,Q$1,$B$1)</f>
        <v>1.59</v>
      </c>
      <c r="R51" s="55">
        <f>_xll.EQNXTDZ($A$1,$B51,R$1,$B$1)</f>
        <v>0.41</v>
      </c>
      <c r="S51" s="55">
        <f>_xll.EQNXTDZ($A$1,$B51,S$1,$B$1)</f>
        <v>0.1</v>
      </c>
      <c r="T51" s="55">
        <f>_xll.EQNXTDZ($A$1,$B51,T$1,$B$1)</f>
        <v>0.14000000000000001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7.76</v>
      </c>
      <c r="O52" s="55">
        <f>_xll.EQNXTDZ($A$1,$B52,O$1,$B$1)</f>
        <v>9.48</v>
      </c>
      <c r="P52" s="55">
        <f>_xll.EQNXTDZ($A$1,$B52,P$1,$B$1)</f>
        <v>11.61</v>
      </c>
      <c r="Q52" s="55">
        <f>_xll.EQNXTDZ($A$1,$B52,Q$1,$B$1)</f>
        <v>14.96</v>
      </c>
      <c r="R52" s="55">
        <f>_xll.EQNXTDZ($A$1,$B52,R$1,$B$1)</f>
        <v>15.31</v>
      </c>
      <c r="S52" s="55">
        <f>_xll.EQNXTDZ($A$1,$B52,S$1,$B$1)</f>
        <v>21.93</v>
      </c>
      <c r="T52" s="55">
        <f>_xll.EQNXTDZ($A$1,$B52,T$1,$B$1)</f>
        <v>24.46</v>
      </c>
      <c r="U52" s="55">
        <f>_xll.EQNXTDZ($A$1,$B52,U$1,$B$1)</f>
        <v>24.68</v>
      </c>
      <c r="V52" s="55">
        <f>_xll.EQNXTDZ($A$1,$B52,V$1,$B$1)</f>
        <v>22.494</v>
      </c>
      <c r="W52" s="55">
        <f>_xll.EQNXTDZ($A$1,$B52,W$1,$B$1)</f>
        <v>15.202</v>
      </c>
      <c r="X52" s="55">
        <f>_xll.EQNXTDZ($A$1,$B52,X$1,$B$1)</f>
        <v>18.646000000000001</v>
      </c>
      <c r="Y52" s="55">
        <f>_xll.EQNXTDZ($A$1,$B52,Y$1,$B$1)</f>
        <v>23.33</v>
      </c>
      <c r="Z52" s="55">
        <f>_xll.EQNXTDZ($A$1,$B52,Z$1,$B$1)</f>
        <v>28.87</v>
      </c>
      <c r="AA52" s="55">
        <f>_xll.EQNXTDZ($A$1,$B52,AA$1,$B$1)</f>
        <v>32.799999999999997</v>
      </c>
      <c r="AB52" s="55">
        <f>_xll.EQNXTDZ($A$1,$B52,AB$1,$B$1)</f>
        <v>61.27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19.446196499999999</v>
      </c>
      <c r="G53" s="55">
        <f>_xll.EQNXTDZ($A$1,$B53,G$1,$B$1)</f>
        <v>9.5238951000000007</v>
      </c>
      <c r="H53" s="55">
        <f>_xll.EQNXTDZ($A$1,$B53,H$1,$B$1)</f>
        <v>265.88810000000001</v>
      </c>
      <c r="I53" s="55">
        <f>_xll.EQNXTDZ($A$1,$B53,I$1,$B$1)</f>
        <v>214.1463</v>
      </c>
      <c r="J53" s="55">
        <f>_xll.EQNXTDZ($A$1,$B53,J$1,$B$1)</f>
        <v>215.40880000000001</v>
      </c>
      <c r="K53" s="55">
        <f>_xll.EQNXTDZ($A$1,$B53,K$1,$B$1)</f>
        <v>321.5333</v>
      </c>
      <c r="L53" s="55">
        <f>_xll.EQNXTDZ($A$1,$B53,L$1,$B$1)</f>
        <v>290.4796</v>
      </c>
      <c r="M53" s="55">
        <f>_xll.EQNXTDZ($A$1,$B53,M$1,$B$1)</f>
        <v>294.16300000000001</v>
      </c>
      <c r="N53" s="55">
        <f>_xll.EQNXTDZ($A$1,$B53,N$1,$B$1)</f>
        <v>6.91</v>
      </c>
      <c r="O53" s="55">
        <f>_xll.EQNXTDZ($A$1,$B53,O$1,$B$1)</f>
        <v>152.5</v>
      </c>
      <c r="P53" s="55">
        <f>_xll.EQNXTDZ($A$1,$B53,P$1,$B$1)</f>
        <v>201.04</v>
      </c>
      <c r="Q53" s="55">
        <f>_xll.EQNXTDZ($A$1,$B53,Q$1,$B$1)</f>
        <v>164.65</v>
      </c>
      <c r="R53" s="55">
        <f>_xll.EQNXTDZ($A$1,$B53,R$1,$B$1)</f>
        <v>80.13</v>
      </c>
      <c r="S53" s="55">
        <f>_xll.EQNXTDZ($A$1,$B53,S$1,$B$1)</f>
        <v>-1.79</v>
      </c>
      <c r="T53" s="55">
        <f>_xll.EQNXTDZ($A$1,$B53,T$1,$B$1)</f>
        <v>29</v>
      </c>
      <c r="U53" s="55">
        <f>_xll.EQNXTDZ($A$1,$B53,U$1,$B$1)</f>
        <v>10.37</v>
      </c>
      <c r="V53" s="55">
        <f>_xll.EQNXTDZ($A$1,$B53,V$1,$B$1)</f>
        <v>235.68299999999999</v>
      </c>
      <c r="W53" s="55">
        <f>_xll.EQNXTDZ($A$1,$B53,W$1,$B$1)</f>
        <v>205.44300000000001</v>
      </c>
      <c r="X53" s="55">
        <f>_xll.EQNXTDZ($A$1,$B53,X$1,$B$1)</f>
        <v>184.71100000000001</v>
      </c>
      <c r="Y53" s="55">
        <f>_xll.EQNXTDZ($A$1,$B53,Y$1,$B$1)</f>
        <v>86.55</v>
      </c>
      <c r="Z53" s="55">
        <f>_xll.EQNXTDZ($A$1,$B53,Z$1,$B$1)</f>
        <v>-18.62</v>
      </c>
      <c r="AA53" s="55">
        <f>_xll.EQNXTDZ($A$1,$B53,AA$1,$B$1)</f>
        <v>60.29</v>
      </c>
      <c r="AB53" s="55">
        <f>_xll.EQNXTDZ($A$1,$B53,AB$1,$B$1)</f>
        <v>795.17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12.3917047</v>
      </c>
      <c r="G54" s="55">
        <f>_xll.EQNXTDZ($A$1,$B54,G$1,$B$1)</f>
        <v>23.844367800000001</v>
      </c>
      <c r="H54" s="55">
        <f>_xll.EQNXTDZ($A$1,$B54,H$1,$B$1)</f>
        <v>81.525400000000005</v>
      </c>
      <c r="I54" s="55">
        <f>_xll.EQNXTDZ($A$1,$B54,I$1,$B$1)</f>
        <v>126.8087</v>
      </c>
      <c r="J54" s="55">
        <f>_xll.EQNXTDZ($A$1,$B54,J$1,$B$1)</f>
        <v>139.98779999999999</v>
      </c>
      <c r="K54" s="55">
        <f>_xll.EQNXTDZ($A$1,$B54,K$1,$B$1)</f>
        <v>148.17670000000001</v>
      </c>
      <c r="L54" s="55">
        <f>_xll.EQNXTDZ($A$1,$B54,L$1,$B$1)</f>
        <v>168.40690000000001</v>
      </c>
      <c r="M54" s="55">
        <f>_xll.EQNXTDZ($A$1,$B54,M$1,$B$1)</f>
        <v>180.54740000000001</v>
      </c>
      <c r="N54" s="55">
        <f>_xll.EQNXTDZ($A$1,$B54,N$1,$B$1)</f>
        <v>241.1</v>
      </c>
      <c r="O54" s="55">
        <f>_xll.EQNXTDZ($A$1,$B54,O$1,$B$1)</f>
        <v>294.52999999999997</v>
      </c>
      <c r="P54" s="55">
        <f>_xll.EQNXTDZ($A$1,$B54,P$1,$B$1)</f>
        <v>385.15</v>
      </c>
      <c r="Q54" s="55">
        <f>_xll.EQNXTDZ($A$1,$B54,Q$1,$B$1)</f>
        <v>354.56</v>
      </c>
      <c r="R54" s="55">
        <f>_xll.EQNXTDZ($A$1,$B54,R$1,$B$1)</f>
        <v>305.70999999999998</v>
      </c>
      <c r="S54" s="55">
        <f>_xll.EQNXTDZ($A$1,$B54,S$1,$B$1)</f>
        <v>284.20999999999998</v>
      </c>
      <c r="T54" s="55">
        <f>_xll.EQNXTDZ($A$1,$B54,T$1,$B$1)</f>
        <v>316.57</v>
      </c>
      <c r="U54" s="55">
        <f>_xll.EQNXTDZ($A$1,$B54,U$1,$B$1)</f>
        <v>294.82</v>
      </c>
      <c r="V54" s="55">
        <f>_xll.EQNXTDZ($A$1,$B54,V$1,$B$1)</f>
        <v>243.09200000000001</v>
      </c>
      <c r="W54" s="55">
        <f>_xll.EQNXTDZ($A$1,$B54,W$1,$B$1)</f>
        <v>223.66300000000001</v>
      </c>
      <c r="X54" s="55">
        <f>_xll.EQNXTDZ($A$1,$B54,X$1,$B$1)</f>
        <v>336.59699999999998</v>
      </c>
      <c r="Y54" s="55">
        <f>_xll.EQNXTDZ($A$1,$B54,Y$1,$B$1)</f>
        <v>657.81</v>
      </c>
      <c r="Z54" s="55">
        <f>_xll.EQNXTDZ($A$1,$B54,Z$1,$B$1)</f>
        <v>481.38</v>
      </c>
      <c r="AA54" s="55">
        <f>_xll.EQNXTDZ($A$1,$B54,AA$1,$B$1)</f>
        <v>476.72</v>
      </c>
      <c r="AB54" s="55">
        <f>_xll.EQNXTDZ($A$1,$B54,AB$1,$B$1)</f>
        <v>581.36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1.2588313</v>
      </c>
      <c r="G55" s="55">
        <f>_xll.EQNXTDZ($A$1,$B55,G$1,$B$1)</f>
        <v>1.5484875</v>
      </c>
      <c r="H55" s="55">
        <f>_xll.EQNXTDZ($A$1,$B55,H$1,$B$1)</f>
        <v>36.268700000000003</v>
      </c>
      <c r="I55" s="55">
        <f>_xll.EQNXTDZ($A$1,$B55,I$1,$B$1)</f>
        <v>50.371299999999998</v>
      </c>
      <c r="J55" s="55">
        <f>_xll.EQNXTDZ($A$1,$B55,J$1,$B$1)</f>
        <v>49.618600000000001</v>
      </c>
      <c r="K55" s="55">
        <f>_xll.EQNXTDZ($A$1,$B55,K$1,$B$1)</f>
        <v>68.175799999999995</v>
      </c>
      <c r="L55" s="55">
        <f>_xll.EQNXTDZ($A$1,$B55,L$1,$B$1)</f>
        <v>53.109299999999998</v>
      </c>
      <c r="M55" s="55">
        <f>_xll.EQNXTDZ($A$1,$B55,M$1,$B$1)</f>
        <v>56.330399999999997</v>
      </c>
      <c r="N55" s="55">
        <f>_xll.EQNXTDZ($A$1,$B55,N$1,$B$1)</f>
        <v>336.49</v>
      </c>
      <c r="O55" s="55">
        <f>_xll.EQNXTDZ($A$1,$B55,O$1,$B$1)</f>
        <v>157</v>
      </c>
      <c r="P55" s="55">
        <f>_xll.EQNXTDZ($A$1,$B55,P$1,$B$1)</f>
        <v>192.1</v>
      </c>
      <c r="Q55" s="55">
        <f>_xll.EQNXTDZ($A$1,$B55,Q$1,$B$1)</f>
        <v>201.89</v>
      </c>
      <c r="R55" s="55">
        <f>_xll.EQNXTDZ($A$1,$B55,R$1,$B$1)</f>
        <v>205.68</v>
      </c>
      <c r="S55" s="55">
        <f>_xll.EQNXTDZ($A$1,$B55,S$1,$B$1)</f>
        <v>189.64</v>
      </c>
      <c r="T55" s="55">
        <f>_xll.EQNXTDZ($A$1,$B55,T$1,$B$1)</f>
        <v>165.67</v>
      </c>
      <c r="U55" s="55">
        <f>_xll.EQNXTDZ($A$1,$B55,U$1,$B$1)</f>
        <v>139.44</v>
      </c>
      <c r="V55" s="55">
        <f>_xll.EQNXTDZ($A$1,$B55,V$1,$B$1)</f>
        <v>177.101</v>
      </c>
      <c r="W55" s="55">
        <f>_xll.EQNXTDZ($A$1,$B55,W$1,$B$1)</f>
        <v>943.75599999999997</v>
      </c>
      <c r="X55" s="55">
        <f>_xll.EQNXTDZ($A$1,$B55,X$1,$B$1)</f>
        <v>1306.796</v>
      </c>
      <c r="Y55" s="55">
        <f>_xll.EQNXTDZ($A$1,$B55,Y$1,$B$1)</f>
        <v>1220.05</v>
      </c>
      <c r="Z55" s="55">
        <f>_xll.EQNXTDZ($A$1,$B55,Z$1,$B$1)</f>
        <v>1494.83</v>
      </c>
      <c r="AA55" s="55">
        <f>_xll.EQNXTDZ($A$1,$B55,AA$1,$B$1)</f>
        <v>2010.68</v>
      </c>
      <c r="AB55" s="55">
        <f>_xll.EQNXTDZ($A$1,$B55,AB$1,$B$1)</f>
        <v>2828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81.400000000000006</v>
      </c>
      <c r="O56" s="55">
        <f>_xll.EQNXTDZ($A$1,$B56,O$1,$B$1)</f>
        <v>79.17</v>
      </c>
      <c r="P56" s="55">
        <f>_xll.EQNXTDZ($A$1,$B56,P$1,$B$1)</f>
        <v>131.01</v>
      </c>
      <c r="Q56" s="55">
        <f>_xll.EQNXTDZ($A$1,$B56,Q$1,$B$1)</f>
        <v>131.25</v>
      </c>
      <c r="R56" s="55">
        <f>_xll.EQNXTDZ($A$1,$B56,R$1,$B$1)</f>
        <v>236.87</v>
      </c>
      <c r="S56" s="55">
        <f>_xll.EQNXTDZ($A$1,$B56,S$1,$B$1)</f>
        <v>149.97999999999999</v>
      </c>
      <c r="T56" s="55">
        <f>_xll.EQNXTDZ($A$1,$B56,T$1,$B$1)</f>
        <v>67.37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76.569999999999993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16.5369606</v>
      </c>
      <c r="G57" s="55">
        <f>_xll.EQNXTDZ($A$1,$B57,G$1,$B$1)</f>
        <v>22.154497599999999</v>
      </c>
      <c r="H57" s="55">
        <f>_xll.EQNXTDZ($A$1,$B57,H$1,$B$1)</f>
        <v>32.585000000000001</v>
      </c>
      <c r="I57" s="55">
        <f>_xll.EQNXTDZ($A$1,$B57,I$1,$B$1)</f>
        <v>23.497900000000001</v>
      </c>
      <c r="J57" s="55">
        <f>_xll.EQNXTDZ($A$1,$B57,J$1,$B$1)</f>
        <v>29.011700000000001</v>
      </c>
      <c r="K57" s="55">
        <f>_xll.EQNXTDZ($A$1,$B57,K$1,$B$1)</f>
        <v>19.383500000000002</v>
      </c>
      <c r="L57" s="55">
        <f>_xll.EQNXTDZ($A$1,$B57,L$1,$B$1)</f>
        <v>40.531399999999998</v>
      </c>
      <c r="M57" s="55">
        <f>_xll.EQNXTDZ($A$1,$B57,M$1,$B$1)</f>
        <v>34.268000000000001</v>
      </c>
      <c r="N57" s="55">
        <f>_xll.EQNXTDZ($A$1,$B57,N$1,$B$1)</f>
        <v>51.77</v>
      </c>
      <c r="O57" s="55">
        <f>_xll.EQNXTDZ($A$1,$B57,O$1,$B$1)</f>
        <v>117.48</v>
      </c>
      <c r="P57" s="55">
        <f>_xll.EQNXTDZ($A$1,$B57,P$1,$B$1)</f>
        <v>118.96</v>
      </c>
      <c r="Q57" s="55">
        <f>_xll.EQNXTDZ($A$1,$B57,Q$1,$B$1)</f>
        <v>360.07</v>
      </c>
      <c r="R57" s="55">
        <f>_xll.EQNXTDZ($A$1,$B57,R$1,$B$1)</f>
        <v>42.12</v>
      </c>
      <c r="S57" s="55">
        <f>_xll.EQNXTDZ($A$1,$B57,S$1,$B$1)</f>
        <v>55.22</v>
      </c>
      <c r="T57" s="55">
        <f>_xll.EQNXTDZ($A$1,$B57,T$1,$B$1)</f>
        <v>61.29</v>
      </c>
      <c r="U57" s="55">
        <f>_xll.EQNXTDZ($A$1,$B57,U$1,$B$1)</f>
        <v>36.700000000000003</v>
      </c>
      <c r="V57" s="55">
        <f>_xll.EQNXTDZ($A$1,$B57,V$1,$B$1)</f>
        <v>32.469000000000001</v>
      </c>
      <c r="W57" s="55">
        <f>_xll.EQNXTDZ($A$1,$B57,W$1,$B$1)</f>
        <v>14.747999999999999</v>
      </c>
      <c r="X57" s="55">
        <f>_xll.EQNXTDZ($A$1,$B57,X$1,$B$1)</f>
        <v>52.29</v>
      </c>
      <c r="Y57" s="55">
        <f>_xll.EQNXTDZ($A$1,$B57,Y$1,$B$1)</f>
        <v>95.55</v>
      </c>
      <c r="Z57" s="55">
        <f>_xll.EQNXTDZ($A$1,$B57,Z$1,$B$1)</f>
        <v>146.63</v>
      </c>
      <c r="AA57" s="55">
        <f>_xll.EQNXTDZ($A$1,$B57,AA$1,$B$1)</f>
        <v>195.6</v>
      </c>
      <c r="AB57" s="55">
        <f>_xll.EQNXTDZ($A$1,$B57,AB$1,$B$1)</f>
        <v>304.74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30.187496599999999</v>
      </c>
      <c r="G59" s="55">
        <f>_xll.EQNXTDZ($A$1,$B59,G$1,$B$1)</f>
        <v>47.5473529</v>
      </c>
      <c r="H59" s="55">
        <f>_xll.EQNXTDZ($A$1,$B59,H$1,$B$1)</f>
        <v>150.37909999999999</v>
      </c>
      <c r="I59" s="55">
        <f>_xll.EQNXTDZ($A$1,$B59,I$1,$B$1)</f>
        <v>200.67789999999999</v>
      </c>
      <c r="J59" s="55">
        <f>_xll.EQNXTDZ($A$1,$B59,J$1,$B$1)</f>
        <v>218.6181</v>
      </c>
      <c r="K59" s="55">
        <f>_xll.EQNXTDZ($A$1,$B59,K$1,$B$1)</f>
        <v>235.73599999999999</v>
      </c>
      <c r="L59" s="55">
        <f>_xll.EQNXTDZ($A$1,$B59,L$1,$B$1)</f>
        <v>262.04759999999999</v>
      </c>
      <c r="M59" s="55">
        <f>_xll.EQNXTDZ($A$1,$B59,M$1,$B$1)</f>
        <v>271.14580000000001</v>
      </c>
      <c r="N59" s="55">
        <f>_xll.EQNXTDZ($A$1,$B59,N$1,$B$1)</f>
        <v>710.76</v>
      </c>
      <c r="O59" s="55">
        <f>_xll.EQNXTDZ($A$1,$B59,O$1,$B$1)</f>
        <v>648.17999999999995</v>
      </c>
      <c r="P59" s="55">
        <f>_xll.EQNXTDZ($A$1,$B59,P$1,$B$1)</f>
        <v>827.22</v>
      </c>
      <c r="Q59" s="55">
        <f>_xll.EQNXTDZ($A$1,$B59,Q$1,$B$1)</f>
        <v>1047.77</v>
      </c>
      <c r="R59" s="55">
        <f>_xll.EQNXTDZ($A$1,$B59,R$1,$B$1)</f>
        <v>790.38</v>
      </c>
      <c r="S59" s="55">
        <f>_xll.EQNXTDZ($A$1,$B59,S$1,$B$1)</f>
        <v>679.05</v>
      </c>
      <c r="T59" s="55">
        <f>_xll.EQNXTDZ($A$1,$B59,T$1,$B$1)</f>
        <v>610.9</v>
      </c>
      <c r="U59" s="55">
        <f>_xll.EQNXTDZ($A$1,$B59,U$1,$B$1)</f>
        <v>470.96</v>
      </c>
      <c r="V59" s="55">
        <f>_xll.EQNXTDZ($A$1,$B59,V$1,$B$1)</f>
        <v>452.66199999999998</v>
      </c>
      <c r="W59" s="55">
        <f>_xll.EQNXTDZ($A$1,$B59,W$1,$B$1)</f>
        <v>1182.1669999999999</v>
      </c>
      <c r="X59" s="55">
        <f>_xll.EQNXTDZ($A$1,$B59,X$1,$B$1)</f>
        <v>1695.683</v>
      </c>
      <c r="Y59" s="55">
        <f>_xll.EQNXTDZ($A$1,$B59,Y$1,$B$1)</f>
        <v>1973.41</v>
      </c>
      <c r="Z59" s="55">
        <f>_xll.EQNXTDZ($A$1,$B59,Z$1,$B$1)</f>
        <v>2122.84</v>
      </c>
      <c r="AA59" s="55">
        <f>_xll.EQNXTDZ($A$1,$B59,AA$1,$B$1)</f>
        <v>2683</v>
      </c>
      <c r="AB59" s="55">
        <f>_xll.EQNXTDZ($A$1,$B59,AB$1,$B$1)</f>
        <v>3790.67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79.196589599999996</v>
      </c>
      <c r="G60" s="55">
        <f>_xll.EQNXTDZ($A$1,$B60,G$1,$B$1)</f>
        <v>90.932204299999995</v>
      </c>
      <c r="H60" s="55">
        <f>_xll.EQNXTDZ($A$1,$B60,H$1,$B$1)</f>
        <v>704.26660000000004</v>
      </c>
      <c r="I60" s="55">
        <f>_xll.EQNXTDZ($A$1,$B60,I$1,$B$1)</f>
        <v>758.60889999999995</v>
      </c>
      <c r="J60" s="55">
        <f>_xll.EQNXTDZ($A$1,$B60,J$1,$B$1)</f>
        <v>799.14160000000004</v>
      </c>
      <c r="K60" s="55">
        <f>_xll.EQNXTDZ($A$1,$B60,K$1,$B$1)</f>
        <v>899.15989999999999</v>
      </c>
      <c r="L60" s="55">
        <f>_xll.EQNXTDZ($A$1,$B60,L$1,$B$1)</f>
        <v>899.73540000000003</v>
      </c>
      <c r="M60" s="55">
        <f>_xll.EQNXTDZ($A$1,$B60,M$1,$B$1)</f>
        <v>1033.0749000000001</v>
      </c>
      <c r="N60" s="55">
        <f>_xll.EQNXTDZ($A$1,$B60,N$1,$B$1)</f>
        <v>1498.5</v>
      </c>
      <c r="O60" s="55">
        <f>_xll.EQNXTDZ($A$1,$B60,O$1,$B$1)</f>
        <v>1753.55</v>
      </c>
      <c r="P60" s="55">
        <f>_xll.EQNXTDZ($A$1,$B60,P$1,$B$1)</f>
        <v>2208.9</v>
      </c>
      <c r="Q60" s="55">
        <f>_xll.EQNXTDZ($A$1,$B60,Q$1,$B$1)</f>
        <v>2277.58</v>
      </c>
      <c r="R60" s="55">
        <f>_xll.EQNXTDZ($A$1,$B60,R$1,$B$1)</f>
        <v>2272.7800000000002</v>
      </c>
      <c r="S60" s="55">
        <f>_xll.EQNXTDZ($A$1,$B60,S$1,$B$1)</f>
        <v>2098.29</v>
      </c>
      <c r="T60" s="55">
        <f>_xll.EQNXTDZ($A$1,$B60,T$1,$B$1)</f>
        <v>2190.38</v>
      </c>
      <c r="U60" s="55">
        <f>_xll.EQNXTDZ($A$1,$B60,U$1,$B$1)</f>
        <v>2238.33</v>
      </c>
      <c r="V60" s="55">
        <f>_xll.EQNXTDZ($A$1,$B60,V$1,$B$1)</f>
        <v>2540.944</v>
      </c>
      <c r="W60" s="55">
        <f>_xll.EQNXTDZ($A$1,$B60,W$1,$B$1)</f>
        <v>3529.7640000000001</v>
      </c>
      <c r="X60" s="55">
        <f>_xll.EQNXTDZ($A$1,$B60,X$1,$B$1)</f>
        <v>4160.5550000000003</v>
      </c>
      <c r="Y60" s="55">
        <f>_xll.EQNXTDZ($A$1,$B60,Y$1,$B$1)</f>
        <v>5049.41</v>
      </c>
      <c r="Z60" s="55">
        <f>_xll.EQNXTDZ($A$1,$B60,Z$1,$B$1)</f>
        <v>5325.04</v>
      </c>
      <c r="AA60" s="55">
        <f>_xll.EQNXTDZ($A$1,$B60,AA$1,$B$1)</f>
        <v>6322.71</v>
      </c>
      <c r="AB60" s="55">
        <f>_xll.EQNXTDZ($A$1,$B60,AB$1,$B$1)</f>
        <v>8509.2099999999991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64.030238999999995</v>
      </c>
      <c r="G62" s="55">
        <f>_xll.EQNXTDZ($A$1,$B62,G$1,$B$1)</f>
        <v>76.140275399999993</v>
      </c>
      <c r="H62" s="55">
        <f>_xll.EQNXTDZ($A$1,$B62,H$1,$B$1)</f>
        <v>506.47340000000003</v>
      </c>
      <c r="I62" s="55">
        <f>_xll.EQNXTDZ($A$1,$B62,I$1,$B$1)</f>
        <v>548.07380000000001</v>
      </c>
      <c r="J62" s="55">
        <f>_xll.EQNXTDZ($A$1,$B62,J$1,$B$1)</f>
        <v>524.12720000000002</v>
      </c>
      <c r="K62" s="55">
        <f>_xll.EQNXTDZ($A$1,$B62,K$1,$B$1)</f>
        <v>525.82600000000002</v>
      </c>
      <c r="L62" s="55">
        <f>_xll.EQNXTDZ($A$1,$B62,L$1,$B$1)</f>
        <v>509.16980000000001</v>
      </c>
      <c r="M62" s="55">
        <f>_xll.EQNXTDZ($A$1,$B62,M$1,$B$1)</f>
        <v>540.65369999999996</v>
      </c>
      <c r="N62" s="55">
        <f>_xll.EQNXTDZ($A$1,$B62,N$1,$B$1)</f>
        <v>647.41</v>
      </c>
      <c r="O62" s="55">
        <f>_xll.EQNXTDZ($A$1,$B62,O$1,$B$1)</f>
        <v>660.89</v>
      </c>
      <c r="P62" s="55">
        <f>_xll.EQNXTDZ($A$1,$B62,P$1,$B$1)</f>
        <v>983.54</v>
      </c>
      <c r="Q62" s="55">
        <f>_xll.EQNXTDZ($A$1,$B62,Q$1,$B$1)</f>
        <v>1008.45</v>
      </c>
      <c r="R62" s="55">
        <f>_xll.EQNXTDZ($A$1,$B62,R$1,$B$1)</f>
        <v>1106.95</v>
      </c>
      <c r="S62" s="55">
        <f>_xll.EQNXTDZ($A$1,$B62,S$1,$B$1)</f>
        <v>881.32</v>
      </c>
      <c r="T62" s="55">
        <f>_xll.EQNXTDZ($A$1,$B62,T$1,$B$1)</f>
        <v>1046.82</v>
      </c>
      <c r="U62" s="55">
        <f>_xll.EQNXTDZ($A$1,$B62,U$1,$B$1)</f>
        <v>1018.2</v>
      </c>
      <c r="V62" s="55">
        <f>_xll.EQNXTDZ($A$1,$B62,V$1,$B$1)</f>
        <v>1403.096</v>
      </c>
      <c r="W62" s="55">
        <f>_xll.EQNXTDZ($A$1,$B62,W$1,$B$1)</f>
        <v>1453.3589999999999</v>
      </c>
      <c r="X62" s="55">
        <f>_xll.EQNXTDZ($A$1,$B62,X$1,$B$1)</f>
        <v>1499.5160000000001</v>
      </c>
      <c r="Y62" s="55">
        <f>_xll.EQNXTDZ($A$1,$B62,Y$1,$B$1)</f>
        <v>1625.9</v>
      </c>
      <c r="Z62" s="55">
        <f>_xll.EQNXTDZ($A$1,$B62,Z$1,$B$1)</f>
        <v>1763.06</v>
      </c>
      <c r="AA62" s="55">
        <f>_xll.EQNXTDZ($A$1,$B62,AA$1,$B$1)</f>
        <v>1857.3</v>
      </c>
      <c r="AB62" s="55">
        <f>_xll.EQNXTDZ($A$1,$B62,AB$1,$B$1)</f>
        <v>2858.21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21.352891199999998</v>
      </c>
      <c r="G63" s="55">
        <f>_xll.EQNXTDZ($A$1,$B63,G$1,$B$1)</f>
        <v>28.197194100000001</v>
      </c>
      <c r="H63" s="55">
        <f>_xll.EQNXTDZ($A$1,$B63,H$1,$B$1)</f>
        <v>76.002300000000005</v>
      </c>
      <c r="I63" s="55">
        <f>_xll.EQNXTDZ($A$1,$B63,I$1,$B$1)</f>
        <v>84.521900000000002</v>
      </c>
      <c r="J63" s="55">
        <f>_xll.EQNXTDZ($A$1,$B63,J$1,$B$1)</f>
        <v>84.9495</v>
      </c>
      <c r="K63" s="55">
        <f>_xll.EQNXTDZ($A$1,$B63,K$1,$B$1)</f>
        <v>103.321</v>
      </c>
      <c r="L63" s="55">
        <f>_xll.EQNXTDZ($A$1,$B63,L$1,$B$1)</f>
        <v>106.27209999999999</v>
      </c>
      <c r="M63" s="55">
        <f>_xll.EQNXTDZ($A$1,$B63,M$1,$B$1)</f>
        <v>117.3288</v>
      </c>
      <c r="N63" s="55">
        <f>_xll.EQNXTDZ($A$1,$B63,N$1,$B$1)</f>
        <v>142.75</v>
      </c>
      <c r="O63" s="55">
        <f>_xll.EQNXTDZ($A$1,$B63,O$1,$B$1)</f>
        <v>147.33000000000001</v>
      </c>
      <c r="P63" s="55">
        <f>_xll.EQNXTDZ($A$1,$B63,P$1,$B$1)</f>
        <v>207.08</v>
      </c>
      <c r="Q63" s="55">
        <f>_xll.EQNXTDZ($A$1,$B63,Q$1,$B$1)</f>
        <v>248.46</v>
      </c>
      <c r="R63" s="55">
        <f>_xll.EQNXTDZ($A$1,$B63,R$1,$B$1)</f>
        <v>296.35000000000002</v>
      </c>
      <c r="S63" s="55">
        <f>_xll.EQNXTDZ($A$1,$B63,S$1,$B$1)</f>
        <v>118.15</v>
      </c>
      <c r="T63" s="55">
        <f>_xll.EQNXTDZ($A$1,$B63,T$1,$B$1)</f>
        <v>194.21</v>
      </c>
      <c r="U63" s="55">
        <f>_xll.EQNXTDZ($A$1,$B63,U$1,$B$1)</f>
        <v>199.15</v>
      </c>
      <c r="V63" s="55">
        <f>_xll.EQNXTDZ($A$1,$B63,V$1,$B$1)</f>
        <v>283.83800000000002</v>
      </c>
      <c r="W63" s="55">
        <f>_xll.EQNXTDZ($A$1,$B63,W$1,$B$1)</f>
        <v>363.55500000000001</v>
      </c>
      <c r="X63" s="55">
        <f>_xll.EQNXTDZ($A$1,$B63,X$1,$B$1)</f>
        <v>431.62099999999998</v>
      </c>
      <c r="Y63" s="55">
        <f>_xll.EQNXTDZ($A$1,$B63,Y$1,$B$1)</f>
        <v>530.58000000000004</v>
      </c>
      <c r="Z63" s="55">
        <f>_xll.EQNXTDZ($A$1,$B63,Z$1,$B$1)</f>
        <v>612.52</v>
      </c>
      <c r="AA63" s="55">
        <f>_xll.EQNXTDZ($A$1,$B63,AA$1,$B$1)</f>
        <v>727.05</v>
      </c>
      <c r="AB63" s="55">
        <f>_xll.EQNXTDZ($A$1,$B63,AB$1,$B$1)</f>
        <v>803.43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42.6773478</v>
      </c>
      <c r="G65" s="55">
        <f>_xll.EQNXTDZ($A$1,$B65,G$1,$B$1)</f>
        <v>47.943081300000003</v>
      </c>
      <c r="H65" s="55">
        <f>_xll.EQNXTDZ($A$1,$B65,H$1,$B$1)</f>
        <v>430.47109999999998</v>
      </c>
      <c r="I65" s="55">
        <f>_xll.EQNXTDZ($A$1,$B65,I$1,$B$1)</f>
        <v>463.55189999999999</v>
      </c>
      <c r="J65" s="55">
        <f>_xll.EQNXTDZ($A$1,$B65,J$1,$B$1)</f>
        <v>439.17770000000002</v>
      </c>
      <c r="K65" s="55">
        <f>_xll.EQNXTDZ($A$1,$B65,K$1,$B$1)</f>
        <v>422.505</v>
      </c>
      <c r="L65" s="55">
        <f>_xll.EQNXTDZ($A$1,$B65,L$1,$B$1)</f>
        <v>402.89769999999999</v>
      </c>
      <c r="M65" s="55">
        <f>_xll.EQNXTDZ($A$1,$B65,M$1,$B$1)</f>
        <v>423.32490000000001</v>
      </c>
      <c r="N65" s="55">
        <f>_xll.EQNXTDZ($A$1,$B65,N$1,$B$1)</f>
        <v>504.66</v>
      </c>
      <c r="O65" s="55">
        <f>_xll.EQNXTDZ($A$1,$B65,O$1,$B$1)</f>
        <v>513.55999999999995</v>
      </c>
      <c r="P65" s="55">
        <f>_xll.EQNXTDZ($A$1,$B65,P$1,$B$1)</f>
        <v>776.46</v>
      </c>
      <c r="Q65" s="55">
        <f>_xll.EQNXTDZ($A$1,$B65,Q$1,$B$1)</f>
        <v>759.99</v>
      </c>
      <c r="R65" s="55">
        <f>_xll.EQNXTDZ($A$1,$B65,R$1,$B$1)</f>
        <v>810.6</v>
      </c>
      <c r="S65" s="55">
        <f>_xll.EQNXTDZ($A$1,$B65,S$1,$B$1)</f>
        <v>763.17</v>
      </c>
      <c r="T65" s="55">
        <f>_xll.EQNXTDZ($A$1,$B65,T$1,$B$1)</f>
        <v>852.61</v>
      </c>
      <c r="U65" s="55">
        <f>_xll.EQNXTDZ($A$1,$B65,U$1,$B$1)</f>
        <v>819.05</v>
      </c>
      <c r="V65" s="55">
        <f>_xll.EQNXTDZ($A$1,$B65,V$1,$B$1)</f>
        <v>1119.258</v>
      </c>
      <c r="W65" s="55">
        <f>_xll.EQNXTDZ($A$1,$B65,W$1,$B$1)</f>
        <v>1089.8040000000001</v>
      </c>
      <c r="X65" s="55">
        <f>_xll.EQNXTDZ($A$1,$B65,X$1,$B$1)</f>
        <v>1067.895</v>
      </c>
      <c r="Y65" s="55">
        <f>_xll.EQNXTDZ($A$1,$B65,Y$1,$B$1)</f>
        <v>1095.32</v>
      </c>
      <c r="Z65" s="55">
        <f>_xll.EQNXTDZ($A$1,$B65,Z$1,$B$1)</f>
        <v>1150.54</v>
      </c>
      <c r="AA65" s="55">
        <f>_xll.EQNXTDZ($A$1,$B65,AA$1,$B$1)</f>
        <v>1130.25</v>
      </c>
      <c r="AB65" s="55">
        <f>_xll.EQNXTDZ($A$1,$B65,AB$1,$B$1)</f>
        <v>2054.7800000000002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2.3215235000000001</v>
      </c>
      <c r="G67" s="55">
        <f>_xll.EQNXTDZ($A$1,$B67,G$1,$B$1)</f>
        <v>2.8886432000000002</v>
      </c>
      <c r="H67" s="55">
        <f>_xll.EQNXTDZ($A$1,$B67,H$1,$B$1)</f>
        <v>1.2815000000000001</v>
      </c>
      <c r="I67" s="55">
        <f>_xll.EQNXTDZ($A$1,$B67,I$1,$B$1)</f>
        <v>1.1637999999999999</v>
      </c>
      <c r="J67" s="55">
        <f>_xll.EQNXTDZ($A$1,$B67,J$1,$B$1)</f>
        <v>0.45989999999999998</v>
      </c>
      <c r="K67" s="55">
        <f>_xll.EQNXTDZ($A$1,$B67,K$1,$B$1)</f>
        <v>0.8891</v>
      </c>
      <c r="L67" s="55">
        <f>_xll.EQNXTDZ($A$1,$B67,L$1,$B$1)</f>
        <v>0.62170000000000003</v>
      </c>
      <c r="M67" s="55">
        <f>_xll.EQNXTDZ($A$1,$B67,M$1,$B$1)</f>
        <v>8.1428999999999991</v>
      </c>
      <c r="N67" s="55">
        <f>_xll.EQNXTDZ($A$1,$B67,N$1,$B$1)</f>
        <v>1.54</v>
      </c>
      <c r="O67" s="55">
        <f>_xll.EQNXTDZ($A$1,$B67,O$1,$B$1)</f>
        <v>13.67</v>
      </c>
      <c r="P67" s="55">
        <f>_xll.EQNXTDZ($A$1,$B67,P$1,$B$1)</f>
        <v>0.56999999999999995</v>
      </c>
      <c r="Q67" s="55">
        <f>_xll.EQNXTDZ($A$1,$B67,Q$1,$B$1)</f>
        <v>3.16</v>
      </c>
      <c r="R67" s="55">
        <f>_xll.EQNXTDZ($A$1,$B67,R$1,$B$1)</f>
        <v>5.25</v>
      </c>
      <c r="S67" s="55">
        <f>_xll.EQNXTDZ($A$1,$B67,S$1,$B$1)</f>
        <v>3</v>
      </c>
      <c r="T67" s="55">
        <f>_xll.EQNXTDZ($A$1,$B67,T$1,$B$1)</f>
        <v>0.11</v>
      </c>
      <c r="U67" s="55">
        <f>_xll.EQNXTDZ($A$1,$B67,U$1,$B$1)</f>
        <v>4.24</v>
      </c>
      <c r="V67" s="55">
        <f>_xll.EQNXTDZ($A$1,$B67,V$1,$B$1)</f>
        <v>8.8999999999999996E-2</v>
      </c>
      <c r="W67" s="55">
        <f>_xll.EQNXTDZ($A$1,$B67,W$1,$B$1)</f>
        <v>3.7999999999999999E-2</v>
      </c>
      <c r="X67" s="55">
        <f>_xll.EQNXTDZ($A$1,$B67,X$1,$B$1)</f>
        <v>0.26200000000000001</v>
      </c>
      <c r="Y67" s="55">
        <f>_xll.EQNXTDZ($A$1,$B67,Y$1,$B$1)</f>
        <v>2.65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0.63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3.49</v>
      </c>
      <c r="O68" s="55">
        <f>_xll.EQNXTDZ($A$1,$B68,O$1,$B$1)</f>
        <v>3.29</v>
      </c>
      <c r="P68" s="55">
        <f>_xll.EQNXTDZ($A$1,$B68,P$1,$B$1)</f>
        <v>1.88</v>
      </c>
      <c r="Q68" s="55">
        <f>_xll.EQNXTDZ($A$1,$B68,Q$1,$B$1)</f>
        <v>3.71</v>
      </c>
      <c r="R68" s="55">
        <f>_xll.EQNXTDZ($A$1,$B68,R$1,$B$1)</f>
        <v>0</v>
      </c>
      <c r="S68" s="55">
        <f>_xll.EQNXTDZ($A$1,$B68,S$1,$B$1)</f>
        <v>7.43</v>
      </c>
      <c r="T68" s="55">
        <f>_xll.EQNXTDZ($A$1,$B68,T$1,$B$1)</f>
        <v>12.54</v>
      </c>
      <c r="U68" s="55">
        <f>_xll.EQNXTDZ($A$1,$B68,U$1,$B$1)</f>
        <v>20.76</v>
      </c>
      <c r="V68" s="55">
        <f>_xll.EQNXTDZ($A$1,$B68,V$1,$B$1)</f>
        <v>0.26100000000000001</v>
      </c>
      <c r="W68" s="55">
        <f>_xll.EQNXTDZ($A$1,$B68,W$1,$B$1)</f>
        <v>7.0000000000000007E-2</v>
      </c>
      <c r="X68" s="55">
        <f>_xll.EQNXTDZ($A$1,$B68,X$1,$B$1)</f>
        <v>0</v>
      </c>
      <c r="Y68" s="55">
        <f>_xll.EQNXTDZ($A$1,$B68,Y$1,$B$1)</f>
        <v>0.1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14.77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43</v>
      </c>
      <c r="O71" s="55">
        <f>_xll.EQNXTDZ($A$1,$B71,O$1,$B$1)</f>
        <v>22.5</v>
      </c>
      <c r="P71" s="55">
        <f>_xll.EQNXTDZ($A$1,$B71,P$1,$B$1)</f>
        <v>10</v>
      </c>
      <c r="Q71" s="55">
        <f>_xll.EQNXTDZ($A$1,$B71,Q$1,$B$1)</f>
        <v>20</v>
      </c>
      <c r="R71" s="55">
        <f>_xll.EQNXTDZ($A$1,$B71,R$1,$B$1)</f>
        <v>12.3</v>
      </c>
      <c r="S71" s="55">
        <f>_xll.EQNXTDZ($A$1,$B71,S$1,$B$1)</f>
        <v>35.090000000000003</v>
      </c>
      <c r="T71" s="55">
        <f>_xll.EQNXTDZ($A$1,$B71,T$1,$B$1)</f>
        <v>36.79</v>
      </c>
      <c r="U71" s="55">
        <f>_xll.EQNXTDZ($A$1,$B71,U$1,$B$1)</f>
        <v>33.83</v>
      </c>
      <c r="V71" s="55">
        <f>_xll.EQNXTDZ($A$1,$B71,V$1,$B$1)</f>
        <v>5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4.07</v>
      </c>
      <c r="AB71" s="55">
        <f>_xll.EQNXTDZ($A$1,$B71,AB$1,$B$1)</f>
        <v>25.66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36.880000000000003</v>
      </c>
      <c r="O72" s="55">
        <f>_xll.EQNXTDZ($A$1,$B72,O$1,$B$1)</f>
        <v>36.04</v>
      </c>
      <c r="P72" s="55">
        <f>_xll.EQNXTDZ($A$1,$B72,P$1,$B$1)</f>
        <v>66.239999999999995</v>
      </c>
      <c r="Q72" s="55">
        <f>_xll.EQNXTDZ($A$1,$B72,Q$1,$B$1)</f>
        <v>91.72</v>
      </c>
      <c r="R72" s="55">
        <f>_xll.EQNXTDZ($A$1,$B72,R$1,$B$1)</f>
        <v>80.849999999999994</v>
      </c>
      <c r="S72" s="55">
        <f>_xll.EQNXTDZ($A$1,$B72,S$1,$B$1)</f>
        <v>22.05</v>
      </c>
      <c r="T72" s="55">
        <f>_xll.EQNXTDZ($A$1,$B72,T$1,$B$1)</f>
        <v>21.66</v>
      </c>
      <c r="U72" s="55">
        <f>_xll.EQNXTDZ($A$1,$B72,U$1,$B$1)</f>
        <v>24.24</v>
      </c>
      <c r="V72" s="55">
        <f>_xll.EQNXTDZ($A$1,$B72,V$1,$B$1)</f>
        <v>41.396999999999998</v>
      </c>
      <c r="W72" s="55">
        <f>_xll.EQNXTDZ($A$1,$B72,W$1,$B$1)</f>
        <v>31.719000000000001</v>
      </c>
      <c r="X72" s="55">
        <f>_xll.EQNXTDZ($A$1,$B72,X$1,$B$1)</f>
        <v>42.167000000000002</v>
      </c>
      <c r="Y72" s="55">
        <f>_xll.EQNXTDZ($A$1,$B72,Y$1,$B$1)</f>
        <v>44.47</v>
      </c>
      <c r="Z72" s="55">
        <f>_xll.EQNXTDZ($A$1,$B72,Z$1,$B$1)</f>
        <v>58.66</v>
      </c>
      <c r="AA72" s="55">
        <f>_xll.EQNXTDZ($A$1,$B72,AA$1,$B$1)</f>
        <v>74.84</v>
      </c>
      <c r="AB72" s="55">
        <f>_xll.EQNXTDZ($A$1,$B72,AB$1,$B$1)</f>
        <v>65.599999999999994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1.66</v>
      </c>
      <c r="P73" s="55">
        <f>_xll.EQNXTDZ($A$1,$B73,P$1,$B$1)</f>
        <v>0.54</v>
      </c>
      <c r="Q73" s="55">
        <f>_xll.EQNXTDZ($A$1,$B73,Q$1,$B$1)</f>
        <v>1.38</v>
      </c>
      <c r="R73" s="55">
        <f>_xll.EQNXTDZ($A$1,$B73,R$1,$B$1)</f>
        <v>6.51</v>
      </c>
      <c r="S73" s="55">
        <f>_xll.EQNXTDZ($A$1,$B73,S$1,$B$1)</f>
        <v>7.05</v>
      </c>
      <c r="T73" s="55">
        <f>_xll.EQNXTDZ($A$1,$B73,T$1,$B$1)</f>
        <v>28.68</v>
      </c>
      <c r="U73" s="55">
        <f>_xll.EQNXTDZ($A$1,$B73,U$1,$B$1)</f>
        <v>36.21</v>
      </c>
      <c r="V73" s="55">
        <f>_xll.EQNXTDZ($A$1,$B73,V$1,$B$1)</f>
        <v>25.588000000000001</v>
      </c>
      <c r="W73" s="55">
        <f>_xll.EQNXTDZ($A$1,$B73,W$1,$B$1)</f>
        <v>20.629000000000001</v>
      </c>
      <c r="X73" s="55">
        <f>_xll.EQNXTDZ($A$1,$B73,X$1,$B$1)</f>
        <v>70.063000000000002</v>
      </c>
      <c r="Y73" s="55">
        <f>_xll.EQNXTDZ($A$1,$B73,Y$1,$B$1)</f>
        <v>109.4</v>
      </c>
      <c r="Z73" s="55">
        <f>_xll.EQNXTDZ($A$1,$B73,Z$1,$B$1)</f>
        <v>142.84</v>
      </c>
      <c r="AA73" s="55">
        <f>_xll.EQNXTDZ($A$1,$B73,AA$1,$B$1)</f>
        <v>440.74</v>
      </c>
      <c r="AB73" s="55">
        <f>_xll.EQNXTDZ($A$1,$B73,AB$1,$B$1)</f>
        <v>540.09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44.998871299999998</v>
      </c>
      <c r="G74" s="55">
        <f>_xll.EQNXTDZ($A$1,$B74,G$1,$B$1)</f>
        <v>50.8317245</v>
      </c>
      <c r="H74" s="55">
        <f>_xll.EQNXTDZ($A$1,$B74,H$1,$B$1)</f>
        <v>431.75259999999997</v>
      </c>
      <c r="I74" s="55">
        <f>_xll.EQNXTDZ($A$1,$B74,I$1,$B$1)</f>
        <v>464.71570000000003</v>
      </c>
      <c r="J74" s="55">
        <f>_xll.EQNXTDZ($A$1,$B74,J$1,$B$1)</f>
        <v>439.63760000000002</v>
      </c>
      <c r="K74" s="55">
        <f>_xll.EQNXTDZ($A$1,$B74,K$1,$B$1)</f>
        <v>423.39409999999998</v>
      </c>
      <c r="L74" s="55">
        <f>_xll.EQNXTDZ($A$1,$B74,L$1,$B$1)</f>
        <v>403.51940000000002</v>
      </c>
      <c r="M74" s="55">
        <f>_xll.EQNXTDZ($A$1,$B74,M$1,$B$1)</f>
        <v>431.46780000000001</v>
      </c>
      <c r="N74" s="55">
        <f>_xll.EQNXTDZ($A$1,$B74,N$1,$B$1)</f>
        <v>589.57000000000005</v>
      </c>
      <c r="O74" s="55">
        <f>_xll.EQNXTDZ($A$1,$B74,O$1,$B$1)</f>
        <v>590.72</v>
      </c>
      <c r="P74" s="55">
        <f>_xll.EQNXTDZ($A$1,$B74,P$1,$B$1)</f>
        <v>855.69</v>
      </c>
      <c r="Q74" s="55">
        <f>_xll.EQNXTDZ($A$1,$B74,Q$1,$B$1)</f>
        <v>879.96</v>
      </c>
      <c r="R74" s="55">
        <f>_xll.EQNXTDZ($A$1,$B74,R$1,$B$1)</f>
        <v>915.51</v>
      </c>
      <c r="S74" s="55">
        <f>_xll.EQNXTDZ($A$1,$B74,S$1,$B$1)</f>
        <v>837.79</v>
      </c>
      <c r="T74" s="55">
        <f>_xll.EQNXTDZ($A$1,$B74,T$1,$B$1)</f>
        <v>952.39</v>
      </c>
      <c r="U74" s="55">
        <f>_xll.EQNXTDZ($A$1,$B74,U$1,$B$1)</f>
        <v>938.33</v>
      </c>
      <c r="V74" s="55">
        <f>_xll.EQNXTDZ($A$1,$B74,V$1,$B$1)</f>
        <v>1191.5930000000001</v>
      </c>
      <c r="W74" s="55">
        <f>_xll.EQNXTDZ($A$1,$B74,W$1,$B$1)</f>
        <v>1142.26</v>
      </c>
      <c r="X74" s="55">
        <f>_xll.EQNXTDZ($A$1,$B74,X$1,$B$1)</f>
        <v>1180.3869999999999</v>
      </c>
      <c r="Y74" s="55">
        <f>_xll.EQNXTDZ($A$1,$B74,Y$1,$B$1)</f>
        <v>1251.94</v>
      </c>
      <c r="Z74" s="55">
        <f>_xll.EQNXTDZ($A$1,$B74,Z$1,$B$1)</f>
        <v>1352.04</v>
      </c>
      <c r="AA74" s="55">
        <f>_xll.EQNXTDZ($A$1,$B74,AA$1,$B$1)</f>
        <v>1649.9</v>
      </c>
      <c r="AB74" s="55">
        <f>_xll.EQNXTDZ($A$1,$B74,AB$1,$B$1)</f>
        <v>2701.53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27.0044</v>
      </c>
      <c r="L75" s="55">
        <f>_xll.EQNXTDZ($A$1,$B75,L$1,$B$1)</f>
        <v>44.097000000000001</v>
      </c>
      <c r="M75" s="55">
        <f>_xll.EQNXTDZ($A$1,$B75,M$1,$B$1)</f>
        <v>96.085800000000006</v>
      </c>
      <c r="N75" s="55">
        <f>_xll.EQNXTDZ($A$1,$B75,N$1,$B$1)</f>
        <v>147.07</v>
      </c>
      <c r="O75" s="55">
        <f>_xll.EQNXTDZ($A$1,$B75,O$1,$B$1)</f>
        <v>262.45999999999998</v>
      </c>
      <c r="P75" s="55">
        <f>_xll.EQNXTDZ($A$1,$B75,P$1,$B$1)</f>
        <v>492.9</v>
      </c>
      <c r="Q75" s="55">
        <f>_xll.EQNXTDZ($A$1,$B75,Q$1,$B$1)</f>
        <v>261.87</v>
      </c>
      <c r="R75" s="55">
        <f>_xll.EQNXTDZ($A$1,$B75,R$1,$B$1)</f>
        <v>61.99</v>
      </c>
      <c r="S75" s="55">
        <f>_xll.EQNXTDZ($A$1,$B75,S$1,$B$1)</f>
        <v>185.35</v>
      </c>
      <c r="T75" s="55">
        <f>_xll.EQNXTDZ($A$1,$B75,T$1,$B$1)</f>
        <v>0</v>
      </c>
      <c r="U75" s="55">
        <f>_xll.EQNXTDZ($A$1,$B75,U$1,$B$1)</f>
        <v>5</v>
      </c>
      <c r="V75" s="55">
        <f>_xll.EQNXTDZ($A$1,$B75,V$1,$B$1)</f>
        <v>31.053000000000001</v>
      </c>
      <c r="W75" s="55">
        <f>_xll.EQNXTDZ($A$1,$B75,W$1,$B$1)</f>
        <v>497.06700000000001</v>
      </c>
      <c r="X75" s="55">
        <f>_xll.EQNXTDZ($A$1,$B75,X$1,$B$1)</f>
        <v>527.67399999999998</v>
      </c>
      <c r="Y75" s="55">
        <f>_xll.EQNXTDZ($A$1,$B75,Y$1,$B$1)</f>
        <v>29.78</v>
      </c>
      <c r="Z75" s="55">
        <f>_xll.EQNXTDZ($A$1,$B75,Z$1,$B$1)</f>
        <v>150.35</v>
      </c>
      <c r="AA75" s="55">
        <f>_xll.EQNXTDZ($A$1,$B75,AA$1,$B$1)</f>
        <v>611.72</v>
      </c>
      <c r="AB75" s="55">
        <f>_xll.EQNXTDZ($A$1,$B75,AB$1,$B$1)</f>
        <v>797.81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6.2411000000000001E-2</v>
      </c>
      <c r="G76" s="55">
        <f>_xll.EQNXTDZ($A$1,$B76,G$1,$B$1)</f>
        <v>1.8710600000000001E-2</v>
      </c>
      <c r="H76" s="55">
        <f>_xll.EQNXTDZ($A$1,$B76,H$1,$B$1)</f>
        <v>4.9626000000000001</v>
      </c>
      <c r="I76" s="55">
        <f>_xll.EQNXTDZ($A$1,$B76,I$1,$B$1)</f>
        <v>4.9671000000000003</v>
      </c>
      <c r="J76" s="55">
        <f>_xll.EQNXTDZ($A$1,$B76,J$1,$B$1)</f>
        <v>2.1698</v>
      </c>
      <c r="K76" s="55">
        <f>_xll.EQNXTDZ($A$1,$B76,K$1,$B$1)</f>
        <v>1.8724000000000001</v>
      </c>
      <c r="L76" s="55">
        <f>_xll.EQNXTDZ($A$1,$B76,L$1,$B$1)</f>
        <v>5.3411</v>
      </c>
      <c r="M76" s="55">
        <f>_xll.EQNXTDZ($A$1,$B76,M$1,$B$1)</f>
        <v>0.76780000000000004</v>
      </c>
      <c r="N76" s="55">
        <f>_xll.EQNXTDZ($A$1,$B76,N$1,$B$1)</f>
        <v>0.05</v>
      </c>
      <c r="O76" s="55">
        <f>_xll.EQNXTDZ($A$1,$B76,O$1,$B$1)</f>
        <v>0.06</v>
      </c>
      <c r="P76" s="55">
        <f>_xll.EQNXTDZ($A$1,$B76,P$1,$B$1)</f>
        <v>0</v>
      </c>
      <c r="Q76" s="55">
        <f>_xll.EQNXTDZ($A$1,$B76,Q$1,$B$1)</f>
        <v>0.75</v>
      </c>
      <c r="R76" s="55">
        <f>_xll.EQNXTDZ($A$1,$B76,R$1,$B$1)</f>
        <v>0</v>
      </c>
      <c r="S76" s="55">
        <f>_xll.EQNXTDZ($A$1,$B76,S$1,$B$1)</f>
        <v>0.02</v>
      </c>
      <c r="T76" s="55">
        <f>_xll.EQNXTDZ($A$1,$B76,T$1,$B$1)</f>
        <v>1.25</v>
      </c>
      <c r="U76" s="55">
        <f>_xll.EQNXTDZ($A$1,$B76,U$1,$B$1)</f>
        <v>0.04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19.746519899999999</v>
      </c>
      <c r="G77" s="55">
        <f>_xll.EQNXTDZ($A$1,$B77,G$1,$B$1)</f>
        <v>22.801863099999998</v>
      </c>
      <c r="H77" s="55">
        <f>_xll.EQNXTDZ($A$1,$B77,H$1,$B$1)</f>
        <v>140.48079999999999</v>
      </c>
      <c r="I77" s="55">
        <f>_xll.EQNXTDZ($A$1,$B77,I$1,$B$1)</f>
        <v>202.9282</v>
      </c>
      <c r="J77" s="55">
        <f>_xll.EQNXTDZ($A$1,$B77,J$1,$B$1)</f>
        <v>232.71940000000001</v>
      </c>
      <c r="K77" s="55">
        <f>_xll.EQNXTDZ($A$1,$B77,K$1,$B$1)</f>
        <v>282.99160000000001</v>
      </c>
      <c r="L77" s="55">
        <f>_xll.EQNXTDZ($A$1,$B77,L$1,$B$1)</f>
        <v>223.036</v>
      </c>
      <c r="M77" s="55">
        <f>_xll.EQNXTDZ($A$1,$B77,M$1,$B$1)</f>
        <v>236.31890000000001</v>
      </c>
      <c r="N77" s="55">
        <f>_xll.EQNXTDZ($A$1,$B77,N$1,$B$1)</f>
        <v>290.02</v>
      </c>
      <c r="O77" s="55">
        <f>_xll.EQNXTDZ($A$1,$B77,O$1,$B$1)</f>
        <v>315.70999999999998</v>
      </c>
      <c r="P77" s="55">
        <f>_xll.EQNXTDZ($A$1,$B77,P$1,$B$1)</f>
        <v>307.16000000000003</v>
      </c>
      <c r="Q77" s="55">
        <f>_xll.EQNXTDZ($A$1,$B77,Q$1,$B$1)</f>
        <v>363.42</v>
      </c>
      <c r="R77" s="55">
        <f>_xll.EQNXTDZ($A$1,$B77,R$1,$B$1)</f>
        <v>445.72</v>
      </c>
      <c r="S77" s="55">
        <f>_xll.EQNXTDZ($A$1,$B77,S$1,$B$1)</f>
        <v>525.96</v>
      </c>
      <c r="T77" s="55">
        <f>_xll.EQNXTDZ($A$1,$B77,T$1,$B$1)</f>
        <v>605.04999999999995</v>
      </c>
      <c r="U77" s="55">
        <f>_xll.EQNXTDZ($A$1,$B77,U$1,$B$1)</f>
        <v>575.67999999999995</v>
      </c>
      <c r="V77" s="55">
        <f>_xll.EQNXTDZ($A$1,$B77,V$1,$B$1)</f>
        <v>723.41099999999994</v>
      </c>
      <c r="W77" s="55">
        <f>_xll.EQNXTDZ($A$1,$B77,W$1,$B$1)</f>
        <v>595.75</v>
      </c>
      <c r="X77" s="55">
        <f>_xll.EQNXTDZ($A$1,$B77,X$1,$B$1)</f>
        <v>768.178</v>
      </c>
      <c r="Y77" s="55">
        <f>_xll.EQNXTDZ($A$1,$B77,Y$1,$B$1)</f>
        <v>1106.22</v>
      </c>
      <c r="Z77" s="55">
        <f>_xll.EQNXTDZ($A$1,$B77,Z$1,$B$1)</f>
        <v>1147.8599999999999</v>
      </c>
      <c r="AA77" s="55">
        <f>_xll.EQNXTDZ($A$1,$B77,AA$1,$B$1)</f>
        <v>1005.55</v>
      </c>
      <c r="AB77" s="55">
        <f>_xll.EQNXTDZ($A$1,$B77,AB$1,$B$1)</f>
        <v>1186.8599999999999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2.9079967</v>
      </c>
      <c r="G78" s="55">
        <f>_xll.EQNXTDZ($A$1,$B78,G$1,$B$1)</f>
        <v>2.7302260999999999</v>
      </c>
      <c r="H78" s="55">
        <f>_xll.EQNXTDZ($A$1,$B78,H$1,$B$1)</f>
        <v>90.332999999999998</v>
      </c>
      <c r="I78" s="55">
        <f>_xll.EQNXTDZ($A$1,$B78,I$1,$B$1)</f>
        <v>36.766500000000001</v>
      </c>
      <c r="J78" s="55">
        <f>_xll.EQNXTDZ($A$1,$B78,J$1,$B$1)</f>
        <v>39.337400000000002</v>
      </c>
      <c r="K78" s="55">
        <f>_xll.EQNXTDZ($A$1,$B78,K$1,$B$1)</f>
        <v>54.0182</v>
      </c>
      <c r="L78" s="55">
        <f>_xll.EQNXTDZ($A$1,$B78,L$1,$B$1)</f>
        <v>93.968199999999996</v>
      </c>
      <c r="M78" s="55">
        <f>_xll.EQNXTDZ($A$1,$B78,M$1,$B$1)</f>
        <v>173.3349</v>
      </c>
      <c r="N78" s="55">
        <f>_xll.EQNXTDZ($A$1,$B78,N$1,$B$1)</f>
        <v>342.83</v>
      </c>
      <c r="O78" s="55">
        <f>_xll.EQNXTDZ($A$1,$B78,O$1,$B$1)</f>
        <v>306.14999999999998</v>
      </c>
      <c r="P78" s="55">
        <f>_xll.EQNXTDZ($A$1,$B78,P$1,$B$1)</f>
        <v>465.45</v>
      </c>
      <c r="Q78" s="55">
        <f>_xll.EQNXTDZ($A$1,$B78,Q$1,$B$1)</f>
        <v>485.33</v>
      </c>
      <c r="R78" s="55">
        <f>_xll.EQNXTDZ($A$1,$B78,R$1,$B$1)</f>
        <v>580.52</v>
      </c>
      <c r="S78" s="55">
        <f>_xll.EQNXTDZ($A$1,$B78,S$1,$B$1)</f>
        <v>305.60000000000002</v>
      </c>
      <c r="T78" s="55">
        <f>_xll.EQNXTDZ($A$1,$B78,T$1,$B$1)</f>
        <v>256.81</v>
      </c>
      <c r="U78" s="55">
        <f>_xll.EQNXTDZ($A$1,$B78,U$1,$B$1)</f>
        <v>383.93</v>
      </c>
      <c r="V78" s="55">
        <f>_xll.EQNXTDZ($A$1,$B78,V$1,$B$1)</f>
        <v>389.01400000000001</v>
      </c>
      <c r="W78" s="55">
        <f>_xll.EQNXTDZ($A$1,$B78,W$1,$B$1)</f>
        <v>783.40300000000002</v>
      </c>
      <c r="X78" s="55">
        <f>_xll.EQNXTDZ($A$1,$B78,X$1,$B$1)</f>
        <v>869.39599999999996</v>
      </c>
      <c r="Y78" s="55">
        <f>_xll.EQNXTDZ($A$1,$B78,Y$1,$B$1)</f>
        <v>999.2</v>
      </c>
      <c r="Z78" s="55">
        <f>_xll.EQNXTDZ($A$1,$B78,Z$1,$B$1)</f>
        <v>913.39</v>
      </c>
      <c r="AA78" s="55">
        <f>_xll.EQNXTDZ($A$1,$B78,AA$1,$B$1)</f>
        <v>902.57</v>
      </c>
      <c r="AB78" s="55">
        <f>_xll.EQNXTDZ($A$1,$B78,AB$1,$B$1)</f>
        <v>715.17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0.52686160000000004</v>
      </c>
      <c r="G79" s="55">
        <f>_xll.EQNXTDZ($A$1,$B79,G$1,$B$1)</f>
        <v>1.2284398999999999</v>
      </c>
      <c r="H79" s="55">
        <f>_xll.EQNXTDZ($A$1,$B79,H$1,$B$1)</f>
        <v>8.2829999999999995</v>
      </c>
      <c r="I79" s="55">
        <f>_xll.EQNXTDZ($A$1,$B79,I$1,$B$1)</f>
        <v>9.6854999999999993</v>
      </c>
      <c r="J79" s="55">
        <f>_xll.EQNXTDZ($A$1,$B79,J$1,$B$1)</f>
        <v>12.4742</v>
      </c>
      <c r="K79" s="55">
        <f>_xll.EQNXTDZ($A$1,$B79,K$1,$B$1)</f>
        <v>16.7454</v>
      </c>
      <c r="L79" s="55">
        <f>_xll.EQNXTDZ($A$1,$B79,L$1,$B$1)</f>
        <v>19.239899999999999</v>
      </c>
      <c r="M79" s="55">
        <f>_xll.EQNXTDZ($A$1,$B79,M$1,$B$1)</f>
        <v>21.0962</v>
      </c>
      <c r="N79" s="55">
        <f>_xll.EQNXTDZ($A$1,$B79,N$1,$B$1)</f>
        <v>57.57</v>
      </c>
      <c r="O79" s="55">
        <f>_xll.EQNXTDZ($A$1,$B79,O$1,$B$1)</f>
        <v>27.04</v>
      </c>
      <c r="P79" s="55">
        <f>_xll.EQNXTDZ($A$1,$B79,P$1,$B$1)</f>
        <v>25.21</v>
      </c>
      <c r="Q79" s="55">
        <f>_xll.EQNXTDZ($A$1,$B79,Q$1,$B$1)</f>
        <v>41.75</v>
      </c>
      <c r="R79" s="55">
        <f>_xll.EQNXTDZ($A$1,$B79,R$1,$B$1)</f>
        <v>55.61</v>
      </c>
      <c r="S79" s="55">
        <f>_xll.EQNXTDZ($A$1,$B79,S$1,$B$1)</f>
        <v>35.81</v>
      </c>
      <c r="T79" s="55">
        <f>_xll.EQNXTDZ($A$1,$B79,T$1,$B$1)</f>
        <v>89.81</v>
      </c>
      <c r="U79" s="55">
        <f>_xll.EQNXTDZ($A$1,$B79,U$1,$B$1)</f>
        <v>71.13</v>
      </c>
      <c r="V79" s="55">
        <f>_xll.EQNXTDZ($A$1,$B79,V$1,$B$1)</f>
        <v>87.79</v>
      </c>
      <c r="W79" s="55">
        <f>_xll.EQNXTDZ($A$1,$B79,W$1,$B$1)</f>
        <v>76.558999999999997</v>
      </c>
      <c r="X79" s="55">
        <f>_xll.EQNXTDZ($A$1,$B79,X$1,$B$1)</f>
        <v>100.82299999999999</v>
      </c>
      <c r="Y79" s="55">
        <f>_xll.EQNXTDZ($A$1,$B79,Y$1,$B$1)</f>
        <v>163.44999999999999</v>
      </c>
      <c r="Z79" s="55">
        <f>_xll.EQNXTDZ($A$1,$B79,Z$1,$B$1)</f>
        <v>155.51</v>
      </c>
      <c r="AA79" s="55">
        <f>_xll.EQNXTDZ($A$1,$B79,AA$1,$B$1)</f>
        <v>140.53</v>
      </c>
      <c r="AB79" s="55">
        <f>_xll.EQNXTDZ($A$1,$B79,AB$1,$B$1)</f>
        <v>159.91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10.648706900000001</v>
      </c>
      <c r="G80" s="55">
        <f>_xll.EQNXTDZ($A$1,$B80,G$1,$B$1)</f>
        <v>13.2425221</v>
      </c>
      <c r="H80" s="55">
        <f>_xll.EQNXTDZ($A$1,$B80,H$1,$B$1)</f>
        <v>28.392199999999999</v>
      </c>
      <c r="I80" s="55">
        <f>_xll.EQNXTDZ($A$1,$B80,I$1,$B$1)</f>
        <v>39.545900000000003</v>
      </c>
      <c r="J80" s="55">
        <f>_xll.EQNXTDZ($A$1,$B80,J$1,$B$1)</f>
        <v>72.803200000000004</v>
      </c>
      <c r="K80" s="55">
        <f>_xll.EQNXTDZ($A$1,$B80,K$1,$B$1)</f>
        <v>93.133799999999994</v>
      </c>
      <c r="L80" s="55">
        <f>_xll.EQNXTDZ($A$1,$B80,L$1,$B$1)</f>
        <v>110.5338</v>
      </c>
      <c r="M80" s="55">
        <f>_xll.EQNXTDZ($A$1,$B80,M$1,$B$1)</f>
        <v>74.003500000000003</v>
      </c>
      <c r="N80" s="55">
        <f>_xll.EQNXTDZ($A$1,$B80,N$1,$B$1)</f>
        <v>71.39</v>
      </c>
      <c r="O80" s="55">
        <f>_xll.EQNXTDZ($A$1,$B80,O$1,$B$1)</f>
        <v>251.41</v>
      </c>
      <c r="P80" s="55">
        <f>_xll.EQNXTDZ($A$1,$B80,P$1,$B$1)</f>
        <v>62.49</v>
      </c>
      <c r="Q80" s="55">
        <f>_xll.EQNXTDZ($A$1,$B80,Q$1,$B$1)</f>
        <v>244.5</v>
      </c>
      <c r="R80" s="55">
        <f>_xll.EQNXTDZ($A$1,$B80,R$1,$B$1)</f>
        <v>213.43</v>
      </c>
      <c r="S80" s="55">
        <f>_xll.EQNXTDZ($A$1,$B80,S$1,$B$1)</f>
        <v>207.76</v>
      </c>
      <c r="T80" s="55">
        <f>_xll.EQNXTDZ($A$1,$B80,T$1,$B$1)</f>
        <v>285.07</v>
      </c>
      <c r="U80" s="55">
        <f>_xll.EQNXTDZ($A$1,$B80,U$1,$B$1)</f>
        <v>264.22000000000003</v>
      </c>
      <c r="V80" s="55">
        <f>_xll.EQNXTDZ($A$1,$B80,V$1,$B$1)</f>
        <v>118.083</v>
      </c>
      <c r="W80" s="55">
        <f>_xll.EQNXTDZ($A$1,$B80,W$1,$B$1)</f>
        <v>434.72500000000002</v>
      </c>
      <c r="X80" s="55">
        <f>_xll.EQNXTDZ($A$1,$B80,X$1,$B$1)</f>
        <v>714.09699999999998</v>
      </c>
      <c r="Y80" s="55">
        <f>_xll.EQNXTDZ($A$1,$B80,Y$1,$B$1)</f>
        <v>1498.82</v>
      </c>
      <c r="Z80" s="55">
        <f>_xll.EQNXTDZ($A$1,$B80,Z$1,$B$1)</f>
        <v>1605.89</v>
      </c>
      <c r="AA80" s="55">
        <f>_xll.EQNXTDZ($A$1,$B80,AA$1,$B$1)</f>
        <v>2012.44</v>
      </c>
      <c r="AB80" s="55">
        <f>_xll.EQNXTDZ($A$1,$B80,AB$1,$B$1)</f>
        <v>2947.93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33.892496100000002</v>
      </c>
      <c r="G82" s="55">
        <f>_xll.EQNXTDZ($A$1,$B82,G$1,$B$1)</f>
        <v>40.0217618</v>
      </c>
      <c r="H82" s="55">
        <f>_xll.EQNXTDZ($A$1,$B82,H$1,$B$1)</f>
        <v>272.45159999999998</v>
      </c>
      <c r="I82" s="55">
        <f>_xll.EQNXTDZ($A$1,$B82,I$1,$B$1)</f>
        <v>293.89319999999998</v>
      </c>
      <c r="J82" s="55">
        <f>_xll.EQNXTDZ($A$1,$B82,J$1,$B$1)</f>
        <v>359.50400000000002</v>
      </c>
      <c r="K82" s="55">
        <f>_xll.EQNXTDZ($A$1,$B82,K$1,$B$1)</f>
        <v>475.76580000000001</v>
      </c>
      <c r="L82" s="55">
        <f>_xll.EQNXTDZ($A$1,$B82,L$1,$B$1)</f>
        <v>496.21600000000001</v>
      </c>
      <c r="M82" s="55">
        <f>_xll.EQNXTDZ($A$1,$B82,M$1,$B$1)</f>
        <v>601.60709999999995</v>
      </c>
      <c r="N82" s="55">
        <f>_xll.EQNXTDZ($A$1,$B82,N$1,$B$1)</f>
        <v>908.93</v>
      </c>
      <c r="O82" s="55">
        <f>_xll.EQNXTDZ($A$1,$B82,O$1,$B$1)</f>
        <v>1162.83</v>
      </c>
      <c r="P82" s="55">
        <f>_xll.EQNXTDZ($A$1,$B82,P$1,$B$1)</f>
        <v>1353.21</v>
      </c>
      <c r="Q82" s="55">
        <f>_xll.EQNXTDZ($A$1,$B82,Q$1,$B$1)</f>
        <v>1397.62</v>
      </c>
      <c r="R82" s="55">
        <f>_xll.EQNXTDZ($A$1,$B82,R$1,$B$1)</f>
        <v>1357.27</v>
      </c>
      <c r="S82" s="55">
        <f>_xll.EQNXTDZ($A$1,$B82,S$1,$B$1)</f>
        <v>1260.5</v>
      </c>
      <c r="T82" s="55">
        <f>_xll.EQNXTDZ($A$1,$B82,T$1,$B$1)</f>
        <v>1237.99</v>
      </c>
      <c r="U82" s="55">
        <f>_xll.EQNXTDZ($A$1,$B82,U$1,$B$1)</f>
        <v>1300</v>
      </c>
      <c r="V82" s="55">
        <f>_xll.EQNXTDZ($A$1,$B82,V$1,$B$1)</f>
        <v>1349.3510000000001</v>
      </c>
      <c r="W82" s="55">
        <f>_xll.EQNXTDZ($A$1,$B82,W$1,$B$1)</f>
        <v>2387.5039999999999</v>
      </c>
      <c r="X82" s="55">
        <f>_xll.EQNXTDZ($A$1,$B82,X$1,$B$1)</f>
        <v>2980.1680000000001</v>
      </c>
      <c r="Y82" s="55">
        <f>_xll.EQNXTDZ($A$1,$B82,Y$1,$B$1)</f>
        <v>3797.47</v>
      </c>
      <c r="Z82" s="55">
        <f>_xll.EQNXTDZ($A$1,$B82,Z$1,$B$1)</f>
        <v>3973</v>
      </c>
      <c r="AA82" s="55">
        <f>_xll.EQNXTDZ($A$1,$B82,AA$1,$B$1)</f>
        <v>4672.8100000000004</v>
      </c>
      <c r="AB82" s="55">
        <f>_xll.EQNXTDZ($A$1,$B82,AB$1,$B$1)</f>
        <v>5807.68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0.3052222</v>
      </c>
      <c r="G83" s="55">
        <f>_xll.EQNXTDZ($A$1,$B83,G$1,$B$1)</f>
        <v>7.8717999999999996E-2</v>
      </c>
      <c r="H83" s="55">
        <f>_xll.EQNXTDZ($A$1,$B83,H$1,$B$1)</f>
        <v>6.2399999999999997E-2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79.196589599999996</v>
      </c>
      <c r="G84" s="55">
        <f>_xll.EQNXTDZ($A$1,$B84,G$1,$B$1)</f>
        <v>90.932204299999995</v>
      </c>
      <c r="H84" s="55">
        <f>_xll.EQNXTDZ($A$1,$B84,H$1,$B$1)</f>
        <v>704.26660000000004</v>
      </c>
      <c r="I84" s="55">
        <f>_xll.EQNXTDZ($A$1,$B84,I$1,$B$1)</f>
        <v>758.60889999999995</v>
      </c>
      <c r="J84" s="55">
        <f>_xll.EQNXTDZ($A$1,$B84,J$1,$B$1)</f>
        <v>799.14160000000004</v>
      </c>
      <c r="K84" s="55">
        <f>_xll.EQNXTDZ($A$1,$B84,K$1,$B$1)</f>
        <v>899.15989999999999</v>
      </c>
      <c r="L84" s="55">
        <f>_xll.EQNXTDZ($A$1,$B84,L$1,$B$1)</f>
        <v>899.73540000000003</v>
      </c>
      <c r="M84" s="55">
        <f>_xll.EQNXTDZ($A$1,$B84,M$1,$B$1)</f>
        <v>1033.0749000000001</v>
      </c>
      <c r="N84" s="55">
        <f>_xll.EQNXTDZ($A$1,$B84,N$1,$B$1)</f>
        <v>1498.5</v>
      </c>
      <c r="O84" s="55">
        <f>_xll.EQNXTDZ($A$1,$B84,O$1,$B$1)</f>
        <v>1753.55</v>
      </c>
      <c r="P84" s="55">
        <f>_xll.EQNXTDZ($A$1,$B84,P$1,$B$1)</f>
        <v>2208.9</v>
      </c>
      <c r="Q84" s="55">
        <f>_xll.EQNXTDZ($A$1,$B84,Q$1,$B$1)</f>
        <v>2277.58</v>
      </c>
      <c r="R84" s="55">
        <f>_xll.EQNXTDZ($A$1,$B84,R$1,$B$1)</f>
        <v>2272.7800000000002</v>
      </c>
      <c r="S84" s="55">
        <f>_xll.EQNXTDZ($A$1,$B84,S$1,$B$1)</f>
        <v>2098.29</v>
      </c>
      <c r="T84" s="55">
        <f>_xll.EQNXTDZ($A$1,$B84,T$1,$B$1)</f>
        <v>2190.38</v>
      </c>
      <c r="U84" s="55">
        <f>_xll.EQNXTDZ($A$1,$B84,U$1,$B$1)</f>
        <v>2238.33</v>
      </c>
      <c r="V84" s="55">
        <f>_xll.EQNXTDZ($A$1,$B84,V$1,$B$1)</f>
        <v>2540.944</v>
      </c>
      <c r="W84" s="55">
        <f>_xll.EQNXTDZ($A$1,$B84,W$1,$B$1)</f>
        <v>3529.7640000000001</v>
      </c>
      <c r="X84" s="55">
        <f>_xll.EQNXTDZ($A$1,$B84,X$1,$B$1)</f>
        <v>4160.5550000000003</v>
      </c>
      <c r="Y84" s="55">
        <f>_xll.EQNXTDZ($A$1,$B84,Y$1,$B$1)</f>
        <v>5049.41</v>
      </c>
      <c r="Z84" s="55">
        <f>_xll.EQNXTDZ($A$1,$B84,Z$1,$B$1)</f>
        <v>5325.04</v>
      </c>
      <c r="AA84" s="55">
        <f>_xll.EQNXTDZ($A$1,$B84,AA$1,$B$1)</f>
        <v>6322.71</v>
      </c>
      <c r="AB84" s="55">
        <f>_xll.EQNXTDZ($A$1,$B84,AB$1,$B$1)</f>
        <v>8509.2099999999991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14.520202100000001</v>
      </c>
      <c r="G85" s="55">
        <f>_xll.EQNXTDZ($A$1,$B85,G$1,$B$1)</f>
        <v>23.2067491</v>
      </c>
      <c r="H85" s="55">
        <f>_xll.EQNXTDZ($A$1,$B85,H$1,$B$1)</f>
        <v>34.741900000000001</v>
      </c>
      <c r="I85" s="55">
        <f>_xll.EQNXTDZ($A$1,$B85,I$1,$B$1)</f>
        <v>43.925199999999997</v>
      </c>
      <c r="J85" s="55">
        <f>_xll.EQNXTDZ($A$1,$B85,J$1,$B$1)</f>
        <v>55.494700000000002</v>
      </c>
      <c r="K85" s="55">
        <f>_xll.EQNXTDZ($A$1,$B85,K$1,$B$1)</f>
        <v>67.831400000000002</v>
      </c>
      <c r="L85" s="55">
        <f>_xll.EQNXTDZ($A$1,$B85,L$1,$B$1)</f>
        <v>55.070700000000002</v>
      </c>
      <c r="M85" s="55">
        <f>_xll.EQNXTDZ($A$1,$B85,M$1,$B$1)</f>
        <v>10.1577</v>
      </c>
      <c r="N85" s="55">
        <f>_xll.EQNXTDZ($A$1,$B85,N$1,$B$1)</f>
        <v>27.18</v>
      </c>
      <c r="O85" s="55">
        <f>_xll.EQNXTDZ($A$1,$B85,O$1,$B$1)</f>
        <v>98.22</v>
      </c>
      <c r="P85" s="55">
        <f>_xll.EQNXTDZ($A$1,$B85,P$1,$B$1)</f>
        <v>146.22</v>
      </c>
      <c r="Q85" s="55">
        <f>_xll.EQNXTDZ($A$1,$B85,Q$1,$B$1)</f>
        <v>160.43</v>
      </c>
      <c r="R85" s="55">
        <f>_xll.EQNXTDZ($A$1,$B85,R$1,$B$1)</f>
        <v>43.45</v>
      </c>
      <c r="S85" s="55">
        <f>_xll.EQNXTDZ($A$1,$B85,S$1,$B$1)</f>
        <v>37.79</v>
      </c>
      <c r="T85" s="55">
        <f>_xll.EQNXTDZ($A$1,$B85,T$1,$B$1)</f>
        <v>16.04</v>
      </c>
      <c r="U85" s="55">
        <f>_xll.EQNXTDZ($A$1,$B85,U$1,$B$1)</f>
        <v>40.26</v>
      </c>
      <c r="V85" s="55">
        <f>_xll.EQNXTDZ($A$1,$B85,V$1,$B$1)</f>
        <v>32.529000000000003</v>
      </c>
      <c r="W85" s="55">
        <f>_xll.EQNXTDZ($A$1,$B85,W$1,$B$1)</f>
        <v>38.874000000000002</v>
      </c>
      <c r="X85" s="55">
        <f>_xll.EQNXTDZ($A$1,$B85,X$1,$B$1)</f>
        <v>35.978999999999999</v>
      </c>
      <c r="Y85" s="55">
        <f>_xll.EQNXTDZ($A$1,$B85,Y$1,$B$1)</f>
        <v>28.93</v>
      </c>
      <c r="Z85" s="55">
        <f>_xll.EQNXTDZ($A$1,$B85,Z$1,$B$1)</f>
        <v>29.71</v>
      </c>
      <c r="AA85" s="55">
        <f>_xll.EQNXTDZ($A$1,$B85,AA$1,$B$1)</f>
        <v>29.71</v>
      </c>
      <c r="AB85" s="55">
        <f>_xll.EQNXTDZ($A$1,$B85,AB$1,$B$1)</f>
        <v>40.68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12.0079694</v>
      </c>
      <c r="G86" s="55">
        <f>_xll.EQNXTDZ($A$1,$B86,G$1,$B$1)</f>
        <v>12.0079694</v>
      </c>
      <c r="H86" s="55">
        <f>_xll.EQNXTDZ($A$1,$B86,H$1,$B$1)</f>
        <v>376.69580000000002</v>
      </c>
      <c r="I86" s="55">
        <f>_xll.EQNXTDZ($A$1,$B86,I$1,$B$1)</f>
        <v>407.495</v>
      </c>
      <c r="J86" s="55">
        <f>_xll.EQNXTDZ($A$1,$B86,J$1,$B$1)</f>
        <v>380.34190000000001</v>
      </c>
      <c r="K86" s="55">
        <f>_xll.EQNXTDZ($A$1,$B86,K$1,$B$1)</f>
        <v>363.03140000000002</v>
      </c>
      <c r="L86" s="55">
        <f>_xll.EQNXTDZ($A$1,$B86,L$1,$B$1)</f>
        <v>328.8766</v>
      </c>
      <c r="M86" s="55">
        <f>_xll.EQNXTDZ($A$1,$B86,M$1,$B$1)</f>
        <v>344.56529999999998</v>
      </c>
      <c r="N86" s="55">
        <f>_xll.EQNXTDZ($A$1,$B86,N$1,$B$1)</f>
        <v>397.9</v>
      </c>
      <c r="O86" s="55">
        <f>_xll.EQNXTDZ($A$1,$B86,O$1,$B$1)</f>
        <v>404.6</v>
      </c>
      <c r="P86" s="55">
        <f>_xll.EQNXTDZ($A$1,$B86,P$1,$B$1)</f>
        <v>645.35</v>
      </c>
      <c r="Q86" s="55">
        <f>_xll.EQNXTDZ($A$1,$B86,Q$1,$B$1)</f>
        <v>623.35</v>
      </c>
      <c r="R86" s="55">
        <f>_xll.EQNXTDZ($A$1,$B86,R$1,$B$1)</f>
        <v>650.92999999999995</v>
      </c>
      <c r="S86" s="55">
        <f>_xll.EQNXTDZ($A$1,$B86,S$1,$B$1)</f>
        <v>580</v>
      </c>
      <c r="T86" s="55">
        <f>_xll.EQNXTDZ($A$1,$B86,T$1,$B$1)</f>
        <v>678.61</v>
      </c>
      <c r="U86" s="55">
        <f>_xll.EQNXTDZ($A$1,$B86,U$1,$B$1)</f>
        <v>681.04</v>
      </c>
      <c r="V86" s="55">
        <f>_xll.EQNXTDZ($A$1,$B86,V$1,$B$1)</f>
        <v>716.50400000000002</v>
      </c>
      <c r="W86" s="55">
        <f>_xll.EQNXTDZ($A$1,$B86,W$1,$B$1)</f>
        <v>741.90599999999995</v>
      </c>
      <c r="X86" s="55">
        <f>_xll.EQNXTDZ($A$1,$B86,X$1,$B$1)</f>
        <v>742.30899999999997</v>
      </c>
      <c r="Y86" s="55">
        <f>_xll.EQNXTDZ($A$1,$B86,Y$1,$B$1)</f>
        <v>773.16</v>
      </c>
      <c r="Z86" s="55">
        <f>_xll.EQNXTDZ($A$1,$B86,Z$1,$B$1)</f>
        <v>790.24</v>
      </c>
      <c r="AA86" s="55">
        <f>_xll.EQNXTDZ($A$1,$B86,AA$1,$B$1)</f>
        <v>823.76</v>
      </c>
      <c r="AB86" s="55">
        <f>_xll.EQNXTDZ($A$1,$B86,AB$1,$B$1)</f>
        <v>1695.15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257.77999999999997</v>
      </c>
      <c r="O88" s="55">
        <f>_xll.EQNXTDZ($A$1,$B88,O$1,$B$1)</f>
        <v>72.75</v>
      </c>
      <c r="P88" s="55">
        <f>_xll.EQNXTDZ($A$1,$B88,P$1,$B$1)</f>
        <v>79.88</v>
      </c>
      <c r="Q88" s="55">
        <f>_xll.EQNXTDZ($A$1,$B88,Q$1,$B$1)</f>
        <v>77.010000000000005</v>
      </c>
      <c r="R88" s="55">
        <f>_xll.EQNXTDZ($A$1,$B88,R$1,$B$1)</f>
        <v>79.56</v>
      </c>
      <c r="S88" s="55">
        <f>_xll.EQNXTDZ($A$1,$B88,S$1,$B$1)</f>
        <v>67.430000000000007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7.0000000000000007E-2</v>
      </c>
      <c r="O90" s="55">
        <f>_xll.EQNXTDZ($A$1,$B90,O$1,$B$1)</f>
        <v>0.08</v>
      </c>
      <c r="P90" s="55">
        <f>_xll.EQNXTDZ($A$1,$B90,P$1,$B$1)</f>
        <v>0.08</v>
      </c>
      <c r="Q90" s="55">
        <f>_xll.EQNXTDZ($A$1,$B90,Q$1,$B$1)</f>
        <v>0.05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12.0079694</v>
      </c>
      <c r="G91" s="55">
        <f>_xll.EQNXTDZ($A$1,$B91,G$1,$B$1)</f>
        <v>12.0079694</v>
      </c>
      <c r="H91" s="55">
        <f>_xll.EQNXTDZ($A$1,$B91,H$1,$B$1)</f>
        <v>376.69580000000002</v>
      </c>
      <c r="I91" s="55">
        <f>_xll.EQNXTDZ($A$1,$B91,I$1,$B$1)</f>
        <v>407.495</v>
      </c>
      <c r="J91" s="55">
        <f>_xll.EQNXTDZ($A$1,$B91,J$1,$B$1)</f>
        <v>380.34190000000001</v>
      </c>
      <c r="K91" s="55">
        <f>_xll.EQNXTDZ($A$1,$B91,K$1,$B$1)</f>
        <v>363.03140000000002</v>
      </c>
      <c r="L91" s="55">
        <f>_xll.EQNXTDZ($A$1,$B91,L$1,$B$1)</f>
        <v>328.8766</v>
      </c>
      <c r="M91" s="55">
        <f>_xll.EQNXTDZ($A$1,$B91,M$1,$B$1)</f>
        <v>344.56529999999998</v>
      </c>
      <c r="N91" s="55">
        <f>_xll.EQNXTDZ($A$1,$B91,N$1,$B$1)</f>
        <v>397.9</v>
      </c>
      <c r="O91" s="55">
        <f>_xll.EQNXTDZ($A$1,$B91,O$1,$B$1)</f>
        <v>404.6</v>
      </c>
      <c r="P91" s="55">
        <f>_xll.EQNXTDZ($A$1,$B91,P$1,$B$1)</f>
        <v>645.35</v>
      </c>
      <c r="Q91" s="55">
        <f>_xll.EQNXTDZ($A$1,$B91,Q$1,$B$1)</f>
        <v>623.35</v>
      </c>
      <c r="R91" s="55">
        <f>_xll.EQNXTDZ($A$1,$B91,R$1,$B$1)</f>
        <v>650.92999999999995</v>
      </c>
      <c r="S91" s="55">
        <f>_xll.EQNXTDZ($A$1,$B91,S$1,$B$1)</f>
        <v>580</v>
      </c>
      <c r="T91" s="55">
        <f>_xll.EQNXTDZ($A$1,$B91,T$1,$B$1)</f>
        <v>680.43</v>
      </c>
      <c r="U91" s="55">
        <f>_xll.EQNXTDZ($A$1,$B91,U$1,$B$1)</f>
        <v>685.08</v>
      </c>
      <c r="V91" s="55">
        <f>_xll.EQNXTDZ($A$1,$B91,V$1,$B$1)</f>
        <v>722.726</v>
      </c>
      <c r="W91" s="55">
        <f>_xll.EQNXTDZ($A$1,$B91,W$1,$B$1)</f>
        <v>751.52599999999995</v>
      </c>
      <c r="X91" s="55">
        <f>_xll.EQNXTDZ($A$1,$B91,X$1,$B$1)</f>
        <v>754.149</v>
      </c>
      <c r="Y91" s="55">
        <f>_xll.EQNXTDZ($A$1,$B91,Y$1,$B$1)</f>
        <v>787.18</v>
      </c>
      <c r="Z91" s="55">
        <f>_xll.EQNXTDZ($A$1,$B91,Z$1,$B$1)</f>
        <v>806.46</v>
      </c>
      <c r="AA91" s="55">
        <f>_xll.EQNXTDZ($A$1,$B91,AA$1,$B$1)</f>
        <v>844.08</v>
      </c>
      <c r="AB91" s="55">
        <f>_xll.EQNXTDZ($A$1,$B91,AB$1,$B$1)</f>
        <v>1733.42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1.82</v>
      </c>
      <c r="U92" s="55">
        <f>_xll.EQNXTDZ($A$1,$B92,U$1,$B$1)</f>
        <v>4.04</v>
      </c>
      <c r="V92" s="55">
        <f>_xll.EQNXTDZ($A$1,$B92,V$1,$B$1)</f>
        <v>6.2220000000000004</v>
      </c>
      <c r="W92" s="55">
        <f>_xll.EQNXTDZ($A$1,$B92,W$1,$B$1)</f>
        <v>9.6199999999999992</v>
      </c>
      <c r="X92" s="55">
        <f>_xll.EQNXTDZ($A$1,$B92,X$1,$B$1)</f>
        <v>11.84</v>
      </c>
      <c r="Y92" s="55">
        <f>_xll.EQNXTDZ($A$1,$B92,Y$1,$B$1)</f>
        <v>14.02</v>
      </c>
      <c r="Z92" s="55">
        <f>_xll.EQNXTDZ($A$1,$B92,Z$1,$B$1)</f>
        <v>16.22</v>
      </c>
      <c r="AA92" s="55">
        <f>_xll.EQNXTDZ($A$1,$B92,AA$1,$B$1)</f>
        <v>20.32</v>
      </c>
      <c r="AB92" s="55">
        <f>_xll.EQNXTDZ($A$1,$B92,AB$1,$B$1)</f>
        <v>38.270000000000003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1.4557297</v>
      </c>
      <c r="G93" s="55">
        <f>_xll.EQNXTDZ($A$1,$B93,G$1,$B$1)</f>
        <v>1.4557297</v>
      </c>
      <c r="H93" s="55">
        <f>_xll.EQNXTDZ($A$1,$B93,H$1,$B$1)</f>
        <v>1.8269</v>
      </c>
      <c r="I93" s="55">
        <f>_xll.EQNXTDZ($A$1,$B93,I$1,$B$1)</f>
        <v>7.2058999999999997</v>
      </c>
      <c r="J93" s="55">
        <f>_xll.EQNXTDZ($A$1,$B93,J$1,$B$1)</f>
        <v>6.6833999999999998</v>
      </c>
      <c r="K93" s="55">
        <f>_xll.EQNXTDZ($A$1,$B93,K$1,$B$1)</f>
        <v>2.4998</v>
      </c>
      <c r="L93" s="55">
        <f>_xll.EQNXTDZ($A$1,$B93,L$1,$B$1)</f>
        <v>3.5089000000000001</v>
      </c>
      <c r="M93" s="55">
        <f>_xll.EQNXTDZ($A$1,$B93,M$1,$B$1)</f>
        <v>10.1577</v>
      </c>
      <c r="N93" s="55">
        <f>_xll.EQNXTDZ($A$1,$B93,N$1,$B$1)</f>
        <v>27.18</v>
      </c>
      <c r="O93" s="55">
        <f>_xll.EQNXTDZ($A$1,$B93,O$1,$B$1)</f>
        <v>31.53</v>
      </c>
      <c r="P93" s="55">
        <f>_xll.EQNXTDZ($A$1,$B93,P$1,$B$1)</f>
        <v>32.61</v>
      </c>
      <c r="Q93" s="55">
        <f>_xll.EQNXTDZ($A$1,$B93,Q$1,$B$1)</f>
        <v>33.36</v>
      </c>
      <c r="R93" s="55">
        <f>_xll.EQNXTDZ($A$1,$B93,R$1,$B$1)</f>
        <v>43.45</v>
      </c>
      <c r="S93" s="55">
        <f>_xll.EQNXTDZ($A$1,$B93,S$1,$B$1)</f>
        <v>37.79</v>
      </c>
      <c r="T93" s="55">
        <f>_xll.EQNXTDZ($A$1,$B93,T$1,$B$1)</f>
        <v>16.04</v>
      </c>
      <c r="U93" s="55">
        <f>_xll.EQNXTDZ($A$1,$B93,U$1,$B$1)</f>
        <v>40.26</v>
      </c>
      <c r="V93" s="55">
        <f>_xll.EQNXTDZ($A$1,$B93,V$1,$B$1)</f>
        <v>32.529000000000003</v>
      </c>
      <c r="W93" s="55">
        <f>_xll.EQNXTDZ($A$1,$B93,W$1,$B$1)</f>
        <v>38.874000000000002</v>
      </c>
      <c r="X93" s="55">
        <f>_xll.EQNXTDZ($A$1,$B93,X$1,$B$1)</f>
        <v>35.978999999999999</v>
      </c>
      <c r="Y93" s="55">
        <f>_xll.EQNXTDZ($A$1,$B93,Y$1,$B$1)</f>
        <v>28.93</v>
      </c>
      <c r="Z93" s="55">
        <f>_xll.EQNXTDZ($A$1,$B93,Z$1,$B$1)</f>
        <v>29.71</v>
      </c>
      <c r="AA93" s="55">
        <f>_xll.EQNXTDZ($A$1,$B93,AA$1,$B$1)</f>
        <v>29.71</v>
      </c>
      <c r="AB93" s="55">
        <f>_xll.EQNXTDZ($A$1,$B93,AB$1,$B$1)</f>
        <v>40.68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13.0644724</v>
      </c>
      <c r="G97" s="55">
        <f>_xll.EQNXTDZ($A$1,$B97,G$1,$B$1)</f>
        <v>21.751019400000001</v>
      </c>
      <c r="H97" s="55">
        <f>_xll.EQNXTDZ($A$1,$B97,H$1,$B$1)</f>
        <v>32.914999999999999</v>
      </c>
      <c r="I97" s="55">
        <f>_xll.EQNXTDZ($A$1,$B97,I$1,$B$1)</f>
        <v>36.719299999999997</v>
      </c>
      <c r="J97" s="55">
        <f>_xll.EQNXTDZ($A$1,$B97,J$1,$B$1)</f>
        <v>48.811300000000003</v>
      </c>
      <c r="K97" s="55">
        <f>_xll.EQNXTDZ($A$1,$B97,K$1,$B$1)</f>
        <v>65.331599999999995</v>
      </c>
      <c r="L97" s="55">
        <f>_xll.EQNXTDZ($A$1,$B97,L$1,$B$1)</f>
        <v>51.561799999999998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66.69</v>
      </c>
      <c r="P97" s="55">
        <f>_xll.EQNXTDZ($A$1,$B97,P$1,$B$1)</f>
        <v>113.61</v>
      </c>
      <c r="Q97" s="55">
        <f>_xll.EQNXTDZ($A$1,$B97,Q$1,$B$1)</f>
        <v>127.07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10.589497</v>
      </c>
      <c r="G104" s="55">
        <f>_xll.EQNXTDZ($A$1,$B104,G$1,$B$1)</f>
        <v>10.676645000000001</v>
      </c>
      <c r="H104" s="55">
        <f>_xll.EQNXTDZ($A$1,$B104,H$1,$B$1)</f>
        <v>34.8626</v>
      </c>
      <c r="I104" s="55">
        <f>_xll.EQNXTDZ($A$1,$B104,I$1,$B$1)</f>
        <v>35.750500000000002</v>
      </c>
      <c r="J104" s="55">
        <f>_xll.EQNXTDZ($A$1,$B104,J$1,$B$1)</f>
        <v>37.083500000000001</v>
      </c>
      <c r="K104" s="55">
        <f>_xll.EQNXTDZ($A$1,$B104,K$1,$B$1)</f>
        <v>37.158099999999997</v>
      </c>
      <c r="L104" s="55">
        <f>_xll.EQNXTDZ($A$1,$B104,L$1,$B$1)</f>
        <v>37.244599999999998</v>
      </c>
      <c r="M104" s="55">
        <f>_xll.EQNXTDZ($A$1,$B104,M$1,$B$1)</f>
        <v>37.315300000000001</v>
      </c>
      <c r="N104" s="55">
        <f>_xll.EQNXTDZ($A$1,$B104,N$1,$B$1)</f>
        <v>42.97</v>
      </c>
      <c r="O104" s="55">
        <f>_xll.EQNXTDZ($A$1,$B104,O$1,$B$1)</f>
        <v>43.02</v>
      </c>
      <c r="P104" s="55">
        <f>_xll.EQNXTDZ($A$1,$B104,P$1,$B$1)</f>
        <v>43.02</v>
      </c>
      <c r="Q104" s="55">
        <f>_xll.EQNXTDZ($A$1,$B104,Q$1,$B$1)</f>
        <v>43.02</v>
      </c>
      <c r="R104" s="55">
        <f>_xll.EQNXTDZ($A$1,$B104,R$1,$B$1)</f>
        <v>43.02</v>
      </c>
      <c r="S104" s="55">
        <f>_xll.EQNXTDZ($A$1,$B104,S$1,$B$1)</f>
        <v>42.1</v>
      </c>
      <c r="T104" s="55">
        <f>_xll.EQNXTDZ($A$1,$B104,T$1,$B$1)</f>
        <v>42.1</v>
      </c>
      <c r="U104" s="55">
        <f>_xll.EQNXTDZ($A$1,$B104,U$1,$B$1)</f>
        <v>42.1</v>
      </c>
      <c r="V104" s="55">
        <f>_xll.EQNXTDZ($A$1,$B104,V$1,$B$1)</f>
        <v>41.802999999999997</v>
      </c>
      <c r="W104" s="55">
        <f>_xll.EQNXTDZ($A$1,$B104,W$1,$B$1)</f>
        <v>41.807000000000002</v>
      </c>
      <c r="X104" s="55">
        <f>_xll.EQNXTDZ($A$1,$B104,X$1,$B$1)</f>
        <v>41.807000000000002</v>
      </c>
      <c r="Y104" s="55">
        <f>_xll.EQNXTDZ($A$1,$B104,Y$1,$B$1)</f>
        <v>81.13</v>
      </c>
      <c r="Z104" s="55">
        <f>_xll.EQNXTDZ($A$1,$B104,Z$1,$B$1)</f>
        <v>81.13</v>
      </c>
      <c r="AA104" s="55">
        <f>_xll.EQNXTDZ($A$1,$B104,AA$1,$B$1)</f>
        <v>81.13</v>
      </c>
      <c r="AB104" s="55">
        <f>_xll.EQNXTDZ($A$1,$B104,AB$1,$B$1)</f>
        <v>81.2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1020.95</v>
      </c>
      <c r="AA106" s="55">
        <f>_xll.EQNXTDZ($A$1,$B106,AA$1,$B$1)</f>
        <v>678.25</v>
      </c>
      <c r="AB106" s="55">
        <f>_xll.EQNXTDZ($A$1,$B106,AB$1,$B$1)</f>
        <v>509.45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1400</v>
      </c>
      <c r="AA107" s="55">
        <f>_xll.EQNXTDZ($A$1,$B107,AA$1,$B$1)</f>
        <v>1147</v>
      </c>
      <c r="AB107" s="55">
        <f>_xll.EQNXTDZ($A$1,$B107,AB$1,$B$1)</f>
        <v>797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1020</v>
      </c>
      <c r="AA108" s="55">
        <f>_xll.EQNXTDZ($A$1,$B108,AA$1,$B$1)</f>
        <v>626.9</v>
      </c>
      <c r="AB108" s="55">
        <f>_xll.EQNXTDZ($A$1,$B108,AB$1,$B$1)</f>
        <v>507.5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41414.836750000002</v>
      </c>
      <c r="AA109" s="55">
        <f>_xll.EQNXTDZ($A$1,$B109,AA$1,$B$1)</f>
        <v>27513.21125</v>
      </c>
      <c r="AB109" s="55">
        <f>_xll.EQNXTDZ($A$1,$B109,AB$1,$B$1)</f>
        <v>20683.669999999998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0.3</v>
      </c>
      <c r="G110" s="55">
        <f>_xll.EQNXTDZ($A$1,$B110,G$1,$B$1)</f>
        <v>0.3</v>
      </c>
      <c r="H110" s="55">
        <f>_xll.EQNXTDZ($A$1,$B110,H$1,$B$1)</f>
        <v>0.3</v>
      </c>
      <c r="I110" s="55">
        <f>_xll.EQNXTDZ($A$1,$B110,I$1,$B$1)</f>
        <v>0.2</v>
      </c>
      <c r="J110" s="55">
        <f>_xll.EQNXTDZ($A$1,$B110,J$1,$B$1)</f>
        <v>0.4</v>
      </c>
      <c r="K110" s="55">
        <f>_xll.EQNXTDZ($A$1,$B110,K$1,$B$1)</f>
        <v>0.5</v>
      </c>
      <c r="L110" s="55">
        <f>_xll.EQNXTDZ($A$1,$B110,L$1,$B$1)</f>
        <v>0.7</v>
      </c>
      <c r="M110" s="55">
        <f>_xll.EQNXTDZ($A$1,$B110,M$1,$B$1)</f>
        <v>1.2</v>
      </c>
      <c r="N110" s="55">
        <f>_xll.EQNXTDZ($A$1,$B110,N$1,$B$1)</f>
        <v>1.6</v>
      </c>
      <c r="O110" s="55">
        <f>_xll.EQNXTDZ($A$1,$B110,O$1,$B$1)</f>
        <v>2.5</v>
      </c>
      <c r="P110" s="55">
        <f>_xll.EQNXTDZ($A$1,$B110,P$1,$B$1)</f>
        <v>3</v>
      </c>
      <c r="Q110" s="55">
        <f>_xll.EQNXTDZ($A$1,$B110,Q$1,$B$1)</f>
        <v>7.5</v>
      </c>
      <c r="R110" s="55">
        <f>_xll.EQNXTDZ($A$1,$B110,R$1,$B$1)</f>
        <v>3.5</v>
      </c>
      <c r="S110" s="55">
        <f>_xll.EQNXTDZ($A$1,$B110,S$1,$B$1)</f>
        <v>4</v>
      </c>
      <c r="T110" s="55">
        <f>_xll.EQNXTDZ($A$1,$B110,T$1,$B$1)</f>
        <v>3</v>
      </c>
      <c r="U110" s="55">
        <f>_xll.EQNXTDZ($A$1,$B110,U$1,$B$1)</f>
        <v>1.5</v>
      </c>
      <c r="V110" s="55">
        <f>_xll.EQNXTDZ($A$1,$B110,V$1,$B$1)</f>
        <v>4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12.3</v>
      </c>
      <c r="Z110" s="55">
        <f>_xll.EQNXTDZ($A$1,$B110,Z$1,$B$1)</f>
        <v>10.050000000000001</v>
      </c>
      <c r="AA110" s="55">
        <f>_xll.EQNXTDZ($A$1,$B110,AA$1,$B$1)</f>
        <v>11.7</v>
      </c>
      <c r="AB110" s="55">
        <f>_xll.EQNXTDZ($A$1,$B110,AB$1,$B$1)</f>
        <v>11.7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79.13</v>
      </c>
      <c r="Q112" s="56">
        <f>_xll.EQNXTDZ($A$1,$B112,Q$5)</f>
        <v>87.42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72.48</v>
      </c>
      <c r="W112" s="56">
        <f>_xll.EQNXTDZ($A$1,$B112,W$5)</f>
        <v>72.48</v>
      </c>
      <c r="X112" s="56">
        <f>_xll.EQNXTDZ($A$1,$B112,X$5)</f>
        <v>72.48</v>
      </c>
      <c r="Y112" s="56">
        <f>_xll.EQNXTDZ($A$1,$B112,Y$5)</f>
        <v>0</v>
      </c>
      <c r="Z112" s="56">
        <f>_xll.EQNXTDZ($A$1,$B112,Z$5)</f>
        <v>55.39</v>
      </c>
      <c r="AA112" s="56">
        <f>_xll.EQNXTDZ($A$1,$B112,AA$5)</f>
        <v>55.22</v>
      </c>
      <c r="AB112" s="56">
        <f>_xll.EQNXTDZ($A$1,$B112,AB$5)</f>
        <v>55.18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209420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1200</v>
      </c>
      <c r="EK6" cm="1">
        <f t="array" ref="EK6">_xll.EQNXTDZ($A$1,$B6,EK$1)</f>
        <v>1339.3</v>
      </c>
      <c r="EL6" cm="1">
        <f t="array" ref="EL6">_xll.EQNXTDZ($A$1,$B6,EL$1)</f>
        <v>1184</v>
      </c>
      <c r="EM6" cm="1">
        <f t="array" ref="EM6">_xll.EQNXTDZ($A$1,$B6,EM$1)</f>
        <v>1119</v>
      </c>
      <c r="EN6" cm="1">
        <f t="array" ref="EN6">_xll.EQNXTDZ($A$1,$B6,EN$1)</f>
        <v>1097.6500000000001</v>
      </c>
      <c r="EO6" cm="1">
        <f t="array" ref="EO6">_xll.EQNXTDZ($A$1,$B6,EO$1)</f>
        <v>1040</v>
      </c>
      <c r="EP6" cm="1">
        <f t="array" ref="EP6">_xll.EQNXTDZ($A$1,$B6,EP$1)</f>
        <v>1069.4000000000001</v>
      </c>
      <c r="EQ6" cm="1">
        <f t="array" ref="EQ6">_xll.EQNXTDZ($A$1,$B6,EQ$1)</f>
        <v>1070</v>
      </c>
      <c r="ER6" cm="1">
        <f t="array" ref="ER6">_xll.EQNXTDZ($A$1,$B6,ER$1)</f>
        <v>1023.3</v>
      </c>
      <c r="ES6" cm="1">
        <f t="array" ref="ES6">_xll.EQNXTDZ($A$1,$B6,ES$1)</f>
        <v>1001</v>
      </c>
      <c r="ET6" cm="1">
        <f t="array" ref="ET6">_xll.EQNXTDZ($A$1,$B6,ET$1)</f>
        <v>1075</v>
      </c>
      <c r="EU6" cm="1">
        <f t="array" ref="EU6">_xll.EQNXTDZ($A$1,$B6,EU$1)</f>
        <v>1105</v>
      </c>
      <c r="EV6" cm="1">
        <f t="array" ref="EV6">_xll.EQNXTDZ($A$1,$B6,EV$1)</f>
        <v>1015</v>
      </c>
      <c r="EW6" cm="1">
        <f t="array" ref="EW6">_xll.EQNXTDZ($A$1,$B6,EW$1)</f>
        <v>939.1</v>
      </c>
      <c r="EX6" cm="1">
        <f t="array" ref="EX6">_xll.EQNXTDZ($A$1,$B6,EX$1)</f>
        <v>894</v>
      </c>
      <c r="EY6" cm="1">
        <f t="array" ref="EY6">_xll.EQNXTDZ($A$1,$B6,EY$1)</f>
        <v>790</v>
      </c>
      <c r="EZ6" cm="1">
        <f t="array" ref="EZ6">_xll.EQNXTDZ($A$1,$B6,EZ$1)</f>
        <v>675.1</v>
      </c>
      <c r="FA6" cm="1">
        <f t="array" ref="FA6">_xll.EQNXTDZ($A$1,$B6,FA$1)</f>
        <v>677.9</v>
      </c>
      <c r="FB6" cm="1">
        <f t="array" ref="FB6">_xll.EQNXTDZ($A$1,$B6,FB$1)</f>
        <v>657.85</v>
      </c>
      <c r="FC6" cm="1">
        <f t="array" ref="FC6">_xll.EQNXTDZ($A$1,$B6,FC$1)</f>
        <v>773</v>
      </c>
      <c r="FD6" cm="1">
        <f t="array" ref="FD6">_xll.EQNXTDZ($A$1,$B6,FD$1)</f>
        <v>712.05</v>
      </c>
      <c r="FE6" cm="1">
        <f t="array" ref="FE6">_xll.EQNXTDZ($A$1,$B6,FE$1)</f>
        <v>703</v>
      </c>
      <c r="FF6" cm="1">
        <f t="array" ref="FF6">_xll.EQNXTDZ($A$1,$B6,FF$1)</f>
        <v>657.25</v>
      </c>
      <c r="FG6" cm="1">
        <f t="array" ref="FG6">_xll.EQNXTDZ($A$1,$B6,FG$1)</f>
        <v>670</v>
      </c>
      <c r="FH6" cm="1">
        <f t="array" ref="FH6">_xll.EQNXTDZ($A$1,$B6,FH$1)</f>
        <v>692.25</v>
      </c>
      <c r="FI6" cm="1">
        <f t="array" ref="FI6">_xll.EQNXTDZ($A$1,$B6,FI$1)</f>
        <v>680.9</v>
      </c>
      <c r="FJ6" cm="1">
        <f t="array" ref="FJ6">_xll.EQNXTDZ($A$1,$B6,FJ$1)</f>
        <v>645</v>
      </c>
      <c r="FK6" cm="1">
        <f t="array" ref="FK6">_xll.EQNXTDZ($A$1,$B6,FK$1)</f>
        <v>645.95000000000005</v>
      </c>
      <c r="FL6" cm="1">
        <f t="array" ref="FL6">_xll.EQNXTDZ($A$1,$B6,FL$1)</f>
        <v>568</v>
      </c>
      <c r="FM6" cm="1">
        <f t="array" ref="FM6">_xll.EQNXTDZ($A$1,$B6,FM$1)</f>
        <v>519</v>
      </c>
      <c r="FN6" cm="1">
        <f t="array" ref="FN6">_xll.EQNXTDZ($A$1,$B6,FN$1)</f>
        <v>584.29999999999995</v>
      </c>
      <c r="FO6" cm="1">
        <f t="array" ref="FO6">_xll.EQNXTDZ($A$1,$B6,FO$1)</f>
        <v>706.05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1400</v>
      </c>
      <c r="EK7" s="116" cm="1">
        <f t="array" ref="EK7">_xll.EQNXTDZ($A$1,$B7,EK$1)</f>
        <v>1348</v>
      </c>
      <c r="EL7" s="116" cm="1">
        <f t="array" ref="EL7">_xll.EQNXTDZ($A$1,$B7,EL$1)</f>
        <v>1202</v>
      </c>
      <c r="EM7" s="116" cm="1">
        <f t="array" ref="EM7">_xll.EQNXTDZ($A$1,$B7,EM$1)</f>
        <v>1179</v>
      </c>
      <c r="EN7" s="116" cm="1">
        <f t="array" ref="EN7">_xll.EQNXTDZ($A$1,$B7,EN$1)</f>
        <v>1146.45</v>
      </c>
      <c r="EO7" s="116" cm="1">
        <f t="array" ref="EO7">_xll.EQNXTDZ($A$1,$B7,EO$1)</f>
        <v>1147.75</v>
      </c>
      <c r="EP7" s="116" cm="1">
        <f t="array" ref="EP7">_xll.EQNXTDZ($A$1,$B7,EP$1)</f>
        <v>1115.9000000000001</v>
      </c>
      <c r="EQ7" s="116" cm="1">
        <f t="array" ref="EQ7">_xll.EQNXTDZ($A$1,$B7,EQ$1)</f>
        <v>1073.7</v>
      </c>
      <c r="ER7" s="116" cm="1">
        <f t="array" ref="ER7">_xll.EQNXTDZ($A$1,$B7,ER$1)</f>
        <v>1043.9000000000001</v>
      </c>
      <c r="ES7" s="116" cm="1">
        <f t="array" ref="ES7">_xll.EQNXTDZ($A$1,$B7,ES$1)</f>
        <v>1115</v>
      </c>
      <c r="ET7" s="116" cm="1">
        <f t="array" ref="ET7">_xll.EQNXTDZ($A$1,$B7,ET$1)</f>
        <v>1136</v>
      </c>
      <c r="EU7" s="116" cm="1">
        <f t="array" ref="EU7">_xll.EQNXTDZ($A$1,$B7,EU$1)</f>
        <v>1112</v>
      </c>
      <c r="EV7" s="116" cm="1">
        <f t="array" ref="EV7">_xll.EQNXTDZ($A$1,$B7,EV$1)</f>
        <v>1038</v>
      </c>
      <c r="EW7" s="116" cm="1">
        <f t="array" ref="EW7">_xll.EQNXTDZ($A$1,$B7,EW$1)</f>
        <v>973.85</v>
      </c>
      <c r="EX7" s="116" cm="1">
        <f t="array" ref="EX7">_xll.EQNXTDZ($A$1,$B7,EX$1)</f>
        <v>912.5</v>
      </c>
      <c r="EY7" s="116" cm="1">
        <f t="array" ref="EY7">_xll.EQNXTDZ($A$1,$B7,EY$1)</f>
        <v>803</v>
      </c>
      <c r="EZ7" s="116" cm="1">
        <f t="array" ref="EZ7">_xll.EQNXTDZ($A$1,$B7,EZ$1)</f>
        <v>728.75</v>
      </c>
      <c r="FA7" s="116" cm="1">
        <f t="array" ref="FA7">_xll.EQNXTDZ($A$1,$B7,FA$1)</f>
        <v>731.75</v>
      </c>
      <c r="FB7" s="116" cm="1">
        <f t="array" ref="FB7">_xll.EQNXTDZ($A$1,$B7,FB$1)</f>
        <v>790.6</v>
      </c>
      <c r="FC7" s="116" cm="1">
        <f t="array" ref="FC7">_xll.EQNXTDZ($A$1,$B7,FC$1)</f>
        <v>797</v>
      </c>
      <c r="FD7" s="116" cm="1">
        <f t="array" ref="FD7">_xll.EQNXTDZ($A$1,$B7,FD$1)</f>
        <v>745.4</v>
      </c>
      <c r="FE7" s="116" cm="1">
        <f t="array" ref="FE7">_xll.EQNXTDZ($A$1,$B7,FE$1)</f>
        <v>706.25</v>
      </c>
      <c r="FF7" s="116" cm="1">
        <f t="array" ref="FF7">_xll.EQNXTDZ($A$1,$B7,FF$1)</f>
        <v>725.75</v>
      </c>
      <c r="FG7" s="116" cm="1">
        <f t="array" ref="FG7">_xll.EQNXTDZ($A$1,$B7,FG$1)</f>
        <v>722.65</v>
      </c>
      <c r="FH7" s="116" cm="1">
        <f t="array" ref="FH7">_xll.EQNXTDZ($A$1,$B7,FH$1)</f>
        <v>702.45</v>
      </c>
      <c r="FI7" s="116" cm="1">
        <f t="array" ref="FI7">_xll.EQNXTDZ($A$1,$B7,FI$1)</f>
        <v>684</v>
      </c>
      <c r="FJ7" s="116" cm="1">
        <f t="array" ref="FJ7">_xll.EQNXTDZ($A$1,$B7,FJ$1)</f>
        <v>690</v>
      </c>
      <c r="FK7" s="116" cm="1">
        <f t="array" ref="FK7">_xll.EQNXTDZ($A$1,$B7,FK$1)</f>
        <v>671.4</v>
      </c>
      <c r="FL7" s="116" cm="1">
        <f t="array" ref="FL7">_xll.EQNXTDZ($A$1,$B7,FL$1)</f>
        <v>585.70000000000005</v>
      </c>
      <c r="FM7" s="116" cm="1">
        <f t="array" ref="FM7">_xll.EQNXTDZ($A$1,$B7,FM$1)</f>
        <v>605</v>
      </c>
      <c r="FN7" s="116" cm="1">
        <f t="array" ref="FN7">_xll.EQNXTDZ($A$1,$B7,FN$1)</f>
        <v>729</v>
      </c>
      <c r="FO7" s="116" cm="1">
        <f t="array" ref="FO7">_xll.EQNXTDZ($A$1,$B7,FO$1)</f>
        <v>784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1400</v>
      </c>
      <c r="JJ7" s="116">
        <f>+MAX(EL7:EN7)</f>
        <v>1202</v>
      </c>
      <c r="JK7" s="116">
        <f>MAX(EO7:EQ7)</f>
        <v>1147.75</v>
      </c>
      <c r="JL7" s="116">
        <f>MAX(ER7:ET7)</f>
        <v>1136</v>
      </c>
      <c r="JM7" s="116">
        <f>MAX(EU7:EW7)</f>
        <v>1112</v>
      </c>
      <c r="JN7" s="116">
        <f>MAX(EX7:EZ7)</f>
        <v>912.5</v>
      </c>
      <c r="JO7" s="116">
        <f>MAX(FA7:FC7)</f>
        <v>797</v>
      </c>
      <c r="JP7" s="116">
        <f>MAX(FD7:FF7)</f>
        <v>745.4</v>
      </c>
      <c r="JQ7" s="116">
        <f>MAX(FG7:FI7)</f>
        <v>722.65</v>
      </c>
      <c r="JR7" s="116">
        <f>MAX(FJ7:FL7)</f>
        <v>690</v>
      </c>
      <c r="JS7" s="116">
        <f>MAX(FM7:FO7)</f>
        <v>784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1200</v>
      </c>
      <c r="EK8" s="116" cm="1">
        <f t="array" ref="EK8">_xll.EQNXTDZ($A$1,$B8,EK$1)</f>
        <v>1151.1500000000001</v>
      </c>
      <c r="EL8" s="116" cm="1">
        <f t="array" ref="EL8">_xll.EQNXTDZ($A$1,$B8,EL$1)</f>
        <v>1108.8</v>
      </c>
      <c r="EM8" s="116" cm="1">
        <f t="array" ref="EM8">_xll.EQNXTDZ($A$1,$B8,EM$1)</f>
        <v>1033.0999999999999</v>
      </c>
      <c r="EN8" s="116" cm="1">
        <f t="array" ref="EN8">_xll.EQNXTDZ($A$1,$B8,EN$1)</f>
        <v>1020</v>
      </c>
      <c r="EO8" s="116" cm="1">
        <f t="array" ref="EO8">_xll.EQNXTDZ($A$1,$B8,EO$1)</f>
        <v>1033.05</v>
      </c>
      <c r="EP8" s="116" cm="1">
        <f t="array" ref="EP8">_xll.EQNXTDZ($A$1,$B8,EP$1)</f>
        <v>1005</v>
      </c>
      <c r="EQ8" s="116" cm="1">
        <f t="array" ref="EQ8">_xll.EQNXTDZ($A$1,$B8,EQ$1)</f>
        <v>982.25</v>
      </c>
      <c r="ER8" s="116" cm="1">
        <f t="array" ref="ER8">_xll.EQNXTDZ($A$1,$B8,ER$1)</f>
        <v>983</v>
      </c>
      <c r="ES8" s="116" cm="1">
        <f t="array" ref="ES8">_xll.EQNXTDZ($A$1,$B8,ES$1)</f>
        <v>970.1</v>
      </c>
      <c r="ET8" s="116" cm="1">
        <f t="array" ref="ET8">_xll.EQNXTDZ($A$1,$B8,ET$1)</f>
        <v>1045.55</v>
      </c>
      <c r="EU8" s="116" cm="1">
        <f t="array" ref="EU8">_xll.EQNXTDZ($A$1,$B8,EU$1)</f>
        <v>986.75</v>
      </c>
      <c r="EV8" s="116" cm="1">
        <f t="array" ref="EV8">_xll.EQNXTDZ($A$1,$B8,EV$1)</f>
        <v>931</v>
      </c>
      <c r="EW8" s="116" cm="1">
        <f t="array" ref="EW8">_xll.EQNXTDZ($A$1,$B8,EW$1)</f>
        <v>883.3</v>
      </c>
      <c r="EX8" s="116" cm="1">
        <f t="array" ref="EX8">_xll.EQNXTDZ($A$1,$B8,EX$1)</f>
        <v>737.1</v>
      </c>
      <c r="EY8" s="116" cm="1">
        <f t="array" ref="EY8">_xll.EQNXTDZ($A$1,$B8,EY$1)</f>
        <v>664.45</v>
      </c>
      <c r="EZ8" s="116" cm="1">
        <f t="array" ref="EZ8">_xll.EQNXTDZ($A$1,$B8,EZ$1)</f>
        <v>626.65</v>
      </c>
      <c r="FA8" s="116" cm="1">
        <f t="array" ref="FA8">_xll.EQNXTDZ($A$1,$B8,FA$1)</f>
        <v>597</v>
      </c>
      <c r="FB8" s="116" cm="1">
        <f t="array" ref="FB8">_xll.EQNXTDZ($A$1,$B8,FB$1)</f>
        <v>639.1</v>
      </c>
      <c r="FC8" s="116" cm="1">
        <f t="array" ref="FC8">_xll.EQNXTDZ($A$1,$B8,FC$1)</f>
        <v>696</v>
      </c>
      <c r="FD8" s="116" cm="1">
        <f t="array" ref="FD8">_xll.EQNXTDZ($A$1,$B8,FD$1)</f>
        <v>696.2</v>
      </c>
      <c r="FE8" s="116" cm="1">
        <f t="array" ref="FE8">_xll.EQNXTDZ($A$1,$B8,FE$1)</f>
        <v>652.5</v>
      </c>
      <c r="FF8" s="116" cm="1">
        <f t="array" ref="FF8">_xll.EQNXTDZ($A$1,$B8,FF$1)</f>
        <v>652</v>
      </c>
      <c r="FG8" s="116" cm="1">
        <f t="array" ref="FG8">_xll.EQNXTDZ($A$1,$B8,FG$1)</f>
        <v>667.5</v>
      </c>
      <c r="FH8" s="116" cm="1">
        <f t="array" ref="FH8">_xll.EQNXTDZ($A$1,$B8,FH$1)</f>
        <v>667</v>
      </c>
      <c r="FI8" s="116" cm="1">
        <f t="array" ref="FI8">_xll.EQNXTDZ($A$1,$B8,FI$1)</f>
        <v>636.5</v>
      </c>
      <c r="FJ8" s="116" cm="1">
        <f t="array" ref="FJ8">_xll.EQNXTDZ($A$1,$B8,FJ$1)</f>
        <v>632.35</v>
      </c>
      <c r="FK8" s="116" cm="1">
        <f t="array" ref="FK8">_xll.EQNXTDZ($A$1,$B8,FK$1)</f>
        <v>568.79999999999995</v>
      </c>
      <c r="FL8" s="116" cm="1">
        <f t="array" ref="FL8">_xll.EQNXTDZ($A$1,$B8,FL$1)</f>
        <v>507.4</v>
      </c>
      <c r="FM8" s="116" cm="1">
        <f t="array" ref="FM8">_xll.EQNXTDZ($A$1,$B8,FM$1)</f>
        <v>517</v>
      </c>
      <c r="FN8" s="116" cm="1">
        <f t="array" ref="FN8">_xll.EQNXTDZ($A$1,$B8,FN$1)</f>
        <v>578.25</v>
      </c>
      <c r="FO8" s="116" cm="1">
        <f t="array" ref="FO8">_xll.EQNXTDZ($A$1,$B8,FO$1)</f>
        <v>705.8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1020</v>
      </c>
      <c r="JK8" s="116">
        <f>MIN(EO8:EQ8)</f>
        <v>982.25</v>
      </c>
      <c r="JL8" s="116">
        <f>MIN(ER8:ET8)</f>
        <v>970.1</v>
      </c>
      <c r="JM8" s="116">
        <f>MIN(EU8:EW8)</f>
        <v>883.3</v>
      </c>
      <c r="JN8" s="116">
        <f>MIN(EX8:EZ8)</f>
        <v>626.65</v>
      </c>
      <c r="JO8" s="116">
        <f>MIN(FA8:FC8)</f>
        <v>597</v>
      </c>
      <c r="JP8" s="116">
        <f>MIN(FD8:FF8)</f>
        <v>652</v>
      </c>
      <c r="JQ8" s="116">
        <f>MIN(FG8:FI8)</f>
        <v>636.5</v>
      </c>
      <c r="JR8" s="116">
        <f>MIN(FJ8:FL8)</f>
        <v>507.4</v>
      </c>
      <c r="JS8" s="116">
        <f>MIN(FM8:FO8)</f>
        <v>517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1313</v>
      </c>
      <c r="EK9" s="116" cm="1">
        <f t="array" ref="EK9">_xll.EQNXTDZ($A$1,$B9,EK$1)</f>
        <v>1180.1500000000001</v>
      </c>
      <c r="EL9" s="116" cm="1">
        <f t="array" ref="EL9">_xll.EQNXTDZ($A$1,$B9,EL$1)</f>
        <v>1111.4000000000001</v>
      </c>
      <c r="EM9" s="116" cm="1">
        <f t="array" ref="EM9">_xll.EQNXTDZ($A$1,$B9,EM$1)</f>
        <v>1083.4000000000001</v>
      </c>
      <c r="EN9" s="116" cm="1">
        <f t="array" ref="EN9">_xll.EQNXTDZ($A$1,$B9,EN$1)</f>
        <v>1020.6</v>
      </c>
      <c r="EO9" s="116" cm="1">
        <f t="array" ref="EO9">_xll.EQNXTDZ($A$1,$B9,EO$1)</f>
        <v>1067.1500000000001</v>
      </c>
      <c r="EP9" s="116" cm="1">
        <f t="array" ref="EP9">_xll.EQNXTDZ($A$1,$B9,EP$1)</f>
        <v>1030.2</v>
      </c>
      <c r="EQ9" s="116" cm="1">
        <f t="array" ref="EQ9">_xll.EQNXTDZ($A$1,$B9,EQ$1)</f>
        <v>1021.95</v>
      </c>
      <c r="ER9" s="116" cm="1">
        <f t="array" ref="ER9">_xll.EQNXTDZ($A$1,$B9,ER$1)</f>
        <v>999.35</v>
      </c>
      <c r="ES9" s="116" cm="1">
        <f t="array" ref="ES9">_xll.EQNXTDZ($A$1,$B9,ES$1)</f>
        <v>1065.5999999999999</v>
      </c>
      <c r="ET9" s="116" cm="1">
        <f t="array" ref="ET9">_xll.EQNXTDZ($A$1,$B9,ET$1)</f>
        <v>1103.1500000000001</v>
      </c>
      <c r="EU9" s="116" cm="1">
        <f t="array" ref="EU9">_xll.EQNXTDZ($A$1,$B9,EU$1)</f>
        <v>1006.3</v>
      </c>
      <c r="EV9" s="116" cm="1">
        <f t="array" ref="EV9">_xll.EQNXTDZ($A$1,$B9,EV$1)</f>
        <v>938.5</v>
      </c>
      <c r="EW9" s="116" cm="1">
        <f t="array" ref="EW9">_xll.EQNXTDZ($A$1,$B9,EW$1)</f>
        <v>891.35</v>
      </c>
      <c r="EX9" s="116" cm="1">
        <f t="array" ref="EX9">_xll.EQNXTDZ($A$1,$B9,EX$1)</f>
        <v>787.6</v>
      </c>
      <c r="EY9" s="116" cm="1">
        <f t="array" ref="EY9">_xll.EQNXTDZ($A$1,$B9,EY$1)</f>
        <v>671.75</v>
      </c>
      <c r="EZ9" s="116" cm="1">
        <f t="array" ref="EZ9">_xll.EQNXTDZ($A$1,$B9,EZ$1)</f>
        <v>679.9</v>
      </c>
      <c r="FA9" s="116" cm="1">
        <f t="array" ref="FA9">_xll.EQNXTDZ($A$1,$B9,FA$1)</f>
        <v>657.85</v>
      </c>
      <c r="FB9" s="116" cm="1">
        <f t="array" ref="FB9">_xll.EQNXTDZ($A$1,$B9,FB$1)</f>
        <v>773.6</v>
      </c>
      <c r="FC9" s="116" cm="1">
        <f t="array" ref="FC9">_xll.EQNXTDZ($A$1,$B9,FC$1)</f>
        <v>711</v>
      </c>
      <c r="FD9" s="116" cm="1">
        <f t="array" ref="FD9">_xll.EQNXTDZ($A$1,$B9,FD$1)</f>
        <v>702.25</v>
      </c>
      <c r="FE9" s="116" cm="1">
        <f t="array" ref="FE9">_xll.EQNXTDZ($A$1,$B9,FE$1)</f>
        <v>657.25</v>
      </c>
      <c r="FF9" s="116" cm="1">
        <f t="array" ref="FF9">_xll.EQNXTDZ($A$1,$B9,FF$1)</f>
        <v>669.5</v>
      </c>
      <c r="FG9" s="116" cm="1">
        <f t="array" ref="FG9">_xll.EQNXTDZ($A$1,$B9,FG$1)</f>
        <v>692.25</v>
      </c>
      <c r="FH9" s="116" cm="1">
        <f t="array" ref="FH9">_xll.EQNXTDZ($A$1,$B9,FH$1)</f>
        <v>679.05</v>
      </c>
      <c r="FI9" s="116" cm="1">
        <f t="array" ref="FI9">_xll.EQNXTDZ($A$1,$B9,FI$1)</f>
        <v>643</v>
      </c>
      <c r="FJ9" s="116" cm="1">
        <f t="array" ref="FJ9">_xll.EQNXTDZ($A$1,$B9,FJ$1)</f>
        <v>645.95000000000005</v>
      </c>
      <c r="FK9" s="116" cm="1">
        <f t="array" ref="FK9">_xll.EQNXTDZ($A$1,$B9,FK$1)</f>
        <v>585.45000000000005</v>
      </c>
      <c r="FL9" s="116" cm="1">
        <f t="array" ref="FL9">_xll.EQNXTDZ($A$1,$B9,FL$1)</f>
        <v>509.2</v>
      </c>
      <c r="FM9" s="116" cm="1">
        <f t="array" ref="FM9">_xll.EQNXTDZ($A$1,$B9,FM$1)</f>
        <v>581.35</v>
      </c>
      <c r="FN9" s="116" cm="1">
        <f t="array" ref="FN9">_xll.EQNXTDZ($A$1,$B9,FN$1)</f>
        <v>705.3</v>
      </c>
      <c r="FO9" s="116" cm="1">
        <f t="array" ref="FO9">_xll.EQNXTDZ($A$1,$B9,FO$1)</f>
        <v>769.95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1180.1500000000001</v>
      </c>
      <c r="JJ9" s="116">
        <f>+EN9</f>
        <v>1020.6</v>
      </c>
      <c r="JK9" s="116">
        <f>EQ9</f>
        <v>1021.95</v>
      </c>
      <c r="JL9" s="116">
        <f>ET9</f>
        <v>1103.1500000000001</v>
      </c>
      <c r="JM9" s="116">
        <f>EW9</f>
        <v>891.35</v>
      </c>
      <c r="JN9" s="116">
        <f>EZ9</f>
        <v>679.9</v>
      </c>
      <c r="JO9" s="116">
        <f>FC9</f>
        <v>711</v>
      </c>
      <c r="JP9" s="116">
        <f>FF9</f>
        <v>669.5</v>
      </c>
      <c r="JQ9" s="116">
        <f>FI9</f>
        <v>643</v>
      </c>
      <c r="JR9" s="116">
        <f>FL9</f>
        <v>509.2</v>
      </c>
      <c r="JS9" s="116">
        <f>FO9</f>
        <v>769.95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1199.95</v>
      </c>
      <c r="EK13" cm="1">
        <f t="array" ref="EK13">_xll.EQNXTDZ($A$1,$B13,EK$1)</f>
        <v>1339.6</v>
      </c>
      <c r="EL13" cm="1">
        <f t="array" ref="EL13">_xll.EQNXTDZ($A$1,$B13,EL$1)</f>
        <v>1186.95</v>
      </c>
      <c r="EM13" cm="1">
        <f t="array" ref="EM13">_xll.EQNXTDZ($A$1,$B13,EM$1)</f>
        <v>1115.1500000000001</v>
      </c>
      <c r="EN13" cm="1">
        <f t="array" ref="EN13">_xll.EQNXTDZ($A$1,$B13,EN$1)</f>
        <v>1096.3</v>
      </c>
      <c r="EO13" cm="1">
        <f t="array" ref="EO13">_xll.EQNXTDZ($A$1,$B13,EO$1)</f>
        <v>1038</v>
      </c>
      <c r="EP13" cm="1">
        <f t="array" ref="EP13">_xll.EQNXTDZ($A$1,$B13,EP$1)</f>
        <v>1070</v>
      </c>
      <c r="EQ13" cm="1">
        <f t="array" ref="EQ13">_xll.EQNXTDZ($A$1,$B13,EQ$1)</f>
        <v>1061.0999999999999</v>
      </c>
      <c r="ER13" cm="1">
        <f t="array" ref="ER13">_xll.EQNXTDZ($A$1,$B13,ER$1)</f>
        <v>1025.0999999999999</v>
      </c>
      <c r="ES13" cm="1">
        <f t="array" ref="ES13">_xll.EQNXTDZ($A$1,$B13,ES$1)</f>
        <v>1000</v>
      </c>
      <c r="ET13" cm="1">
        <f t="array" ref="ET13">_xll.EQNXTDZ($A$1,$B13,ET$1)</f>
        <v>1070.3499999999999</v>
      </c>
      <c r="EU13" cm="1">
        <f t="array" ref="EU13">_xll.EQNXTDZ($A$1,$B13,EU$1)</f>
        <v>1103.4000000000001</v>
      </c>
      <c r="EV13" cm="1">
        <f t="array" ref="EV13">_xll.EQNXTDZ($A$1,$B13,EV$1)</f>
        <v>1016</v>
      </c>
      <c r="EW13" cm="1">
        <f t="array" ref="EW13">_xll.EQNXTDZ($A$1,$B13,EW$1)</f>
        <v>943.95</v>
      </c>
      <c r="EX13" cm="1">
        <f t="array" ref="EX13">_xll.EQNXTDZ($A$1,$B13,EX$1)</f>
        <v>891.05</v>
      </c>
      <c r="EY13" cm="1">
        <f t="array" ref="EY13">_xll.EQNXTDZ($A$1,$B13,EY$1)</f>
        <v>791.95</v>
      </c>
      <c r="EZ13" cm="1">
        <f t="array" ref="EZ13">_xll.EQNXTDZ($A$1,$B13,EZ$1)</f>
        <v>675.8</v>
      </c>
      <c r="FA13" cm="1">
        <f t="array" ref="FA13">_xll.EQNXTDZ($A$1,$B13,FA$1)</f>
        <v>683.9</v>
      </c>
      <c r="FB13" cm="1">
        <f t="array" ref="FB13">_xll.EQNXTDZ($A$1,$B13,FB$1)</f>
        <v>658</v>
      </c>
      <c r="FC13" cm="1">
        <f t="array" ref="FC13">_xll.EQNXTDZ($A$1,$B13,FC$1)</f>
        <v>773.1</v>
      </c>
      <c r="FD13" cm="1">
        <f t="array" ref="FD13">_xll.EQNXTDZ($A$1,$B13,FD$1)</f>
        <v>713.35</v>
      </c>
      <c r="FE13" cm="1">
        <f t="array" ref="FE13">_xll.EQNXTDZ($A$1,$B13,FE$1)</f>
        <v>705.15</v>
      </c>
      <c r="FF13" cm="1">
        <f t="array" ref="FF13">_xll.EQNXTDZ($A$1,$B13,FF$1)</f>
        <v>657.35</v>
      </c>
      <c r="FG13" cm="1">
        <f t="array" ref="FG13">_xll.EQNXTDZ($A$1,$B13,FG$1)</f>
        <v>673.65</v>
      </c>
      <c r="FH13" cm="1">
        <f t="array" ref="FH13">_xll.EQNXTDZ($A$1,$B13,FH$1)</f>
        <v>701.25</v>
      </c>
      <c r="FI13" cm="1">
        <f t="array" ref="FI13">_xll.EQNXTDZ($A$1,$B13,FI$1)</f>
        <v>679.45</v>
      </c>
      <c r="FJ13" cm="1">
        <f t="array" ref="FJ13">_xll.EQNXTDZ($A$1,$B13,FJ$1)</f>
        <v>646.95000000000005</v>
      </c>
      <c r="FK13" cm="1">
        <f t="array" ref="FK13">_xll.EQNXTDZ($A$1,$B13,FK$1)</f>
        <v>645.25</v>
      </c>
      <c r="FL13" cm="1">
        <f t="array" ref="FL13">_xll.EQNXTDZ($A$1,$B13,FL$1)</f>
        <v>561.85</v>
      </c>
      <c r="FM13" cm="1">
        <f t="array" ref="FM13">_xll.EQNXTDZ($A$1,$B13,FM$1)</f>
        <v>515.45000000000005</v>
      </c>
      <c r="FN13" cm="1">
        <f t="array" ref="FN13">_xll.EQNXTDZ($A$1,$B13,FN$1)</f>
        <v>583.85</v>
      </c>
      <c r="FO13" cm="1">
        <f t="array" ref="FO13">_xll.EQNXTDZ($A$1,$B13,FO$1)</f>
        <v>706.95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1400</v>
      </c>
      <c r="EK14" s="116" cm="1">
        <f t="array" ref="EK14">_xll.EQNXTDZ($A$1,$B14,EK$1)</f>
        <v>1348</v>
      </c>
      <c r="EL14" s="116" cm="1">
        <f t="array" ref="EL14">_xll.EQNXTDZ($A$1,$B14,EL$1)</f>
        <v>1200</v>
      </c>
      <c r="EM14" s="116" cm="1">
        <f t="array" ref="EM14">_xll.EQNXTDZ($A$1,$B14,EM$1)</f>
        <v>1179</v>
      </c>
      <c r="EN14" s="116" cm="1">
        <f t="array" ref="EN14">_xll.EQNXTDZ($A$1,$B14,EN$1)</f>
        <v>1146.75</v>
      </c>
      <c r="EO14" s="116" cm="1">
        <f t="array" ref="EO14">_xll.EQNXTDZ($A$1,$B14,EO$1)</f>
        <v>1147</v>
      </c>
      <c r="EP14" s="116" cm="1">
        <f t="array" ref="EP14">_xll.EQNXTDZ($A$1,$B14,EP$1)</f>
        <v>1115</v>
      </c>
      <c r="EQ14" s="116" cm="1">
        <f t="array" ref="EQ14">_xll.EQNXTDZ($A$1,$B14,EQ$1)</f>
        <v>1074</v>
      </c>
      <c r="ER14" s="116" cm="1">
        <f t="array" ref="ER14">_xll.EQNXTDZ($A$1,$B14,ER$1)</f>
        <v>1043.5</v>
      </c>
      <c r="ES14" s="116" cm="1">
        <f t="array" ref="ES14">_xll.EQNXTDZ($A$1,$B14,ES$1)</f>
        <v>1115</v>
      </c>
      <c r="ET14" s="116" cm="1">
        <f t="array" ref="ET14">_xll.EQNXTDZ($A$1,$B14,ET$1)</f>
        <v>1135</v>
      </c>
      <c r="EU14" s="116" cm="1">
        <f t="array" ref="EU14">_xll.EQNXTDZ($A$1,$B14,EU$1)</f>
        <v>1111.8499999999999</v>
      </c>
      <c r="EV14" s="116" cm="1">
        <f t="array" ref="EV14">_xll.EQNXTDZ($A$1,$B14,EV$1)</f>
        <v>1038</v>
      </c>
      <c r="EW14" s="116" cm="1">
        <f t="array" ref="EW14">_xll.EQNXTDZ($A$1,$B14,EW$1)</f>
        <v>973.1</v>
      </c>
      <c r="EX14" s="116" cm="1">
        <f t="array" ref="EX14">_xll.EQNXTDZ($A$1,$B14,EX$1)</f>
        <v>912.65</v>
      </c>
      <c r="EY14" s="116" cm="1">
        <f t="array" ref="EY14">_xll.EQNXTDZ($A$1,$B14,EY$1)</f>
        <v>803</v>
      </c>
      <c r="EZ14" s="116" cm="1">
        <f t="array" ref="EZ14">_xll.EQNXTDZ($A$1,$B14,EZ$1)</f>
        <v>728.5</v>
      </c>
      <c r="FA14" s="116" cm="1">
        <f t="array" ref="FA14">_xll.EQNXTDZ($A$1,$B14,FA$1)</f>
        <v>731.5</v>
      </c>
      <c r="FB14" s="116" cm="1">
        <f t="array" ref="FB14">_xll.EQNXTDZ($A$1,$B14,FB$1)</f>
        <v>790.5</v>
      </c>
      <c r="FC14" s="116" cm="1">
        <f t="array" ref="FC14">_xll.EQNXTDZ($A$1,$B14,FC$1)</f>
        <v>797</v>
      </c>
      <c r="FD14" s="116" cm="1">
        <f t="array" ref="FD14">_xll.EQNXTDZ($A$1,$B14,FD$1)</f>
        <v>745</v>
      </c>
      <c r="FE14" s="116" cm="1">
        <f t="array" ref="FE14">_xll.EQNXTDZ($A$1,$B14,FE$1)</f>
        <v>706.15</v>
      </c>
      <c r="FF14" s="116" cm="1">
        <f t="array" ref="FF14">_xll.EQNXTDZ($A$1,$B14,FF$1)</f>
        <v>725.3</v>
      </c>
      <c r="FG14" s="116" cm="1">
        <f t="array" ref="FG14">_xll.EQNXTDZ($A$1,$B14,FG$1)</f>
        <v>722.7</v>
      </c>
      <c r="FH14" s="116" cm="1">
        <f t="array" ref="FH14">_xll.EQNXTDZ($A$1,$B14,FH$1)</f>
        <v>702.1</v>
      </c>
      <c r="FI14" s="116" cm="1">
        <f t="array" ref="FI14">_xll.EQNXTDZ($A$1,$B14,FI$1)</f>
        <v>684</v>
      </c>
      <c r="FJ14" s="116" cm="1">
        <f t="array" ref="FJ14">_xll.EQNXTDZ($A$1,$B14,FJ$1)</f>
        <v>690.2</v>
      </c>
      <c r="FK14" s="116" cm="1">
        <f t="array" ref="FK14">_xll.EQNXTDZ($A$1,$B14,FK$1)</f>
        <v>670</v>
      </c>
      <c r="FL14" s="116" cm="1">
        <f t="array" ref="FL14">_xll.EQNXTDZ($A$1,$B14,FL$1)</f>
        <v>585.65</v>
      </c>
      <c r="FM14" s="116" cm="1">
        <f t="array" ref="FM14">_xll.EQNXTDZ($A$1,$B14,FM$1)</f>
        <v>604.79999999999995</v>
      </c>
      <c r="FN14" s="116" cm="1">
        <f t="array" ref="FN14">_xll.EQNXTDZ($A$1,$B14,FN$1)</f>
        <v>729.15</v>
      </c>
      <c r="FO14" s="116" cm="1">
        <f t="array" ref="FO14">_xll.EQNXTDZ($A$1,$B14,FO$1)</f>
        <v>784.3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1400</v>
      </c>
      <c r="JJ14" s="116">
        <f>+MAX(EL14:EN14)</f>
        <v>1200</v>
      </c>
      <c r="JK14" s="116">
        <f>MAX(EO14:EQ14)</f>
        <v>1147</v>
      </c>
      <c r="JL14" s="116">
        <f>MAX(ER14:ET14)</f>
        <v>1135</v>
      </c>
      <c r="JM14" s="116">
        <f>MAX(EU14:EW14)</f>
        <v>1111.8499999999999</v>
      </c>
      <c r="JN14" s="116">
        <f>MAX(EX14:EZ14)</f>
        <v>912.65</v>
      </c>
      <c r="JO14" s="116">
        <f>MAX(FA14:FC14)</f>
        <v>797</v>
      </c>
      <c r="JP14" s="116">
        <f>MAX(FD14:FF14)</f>
        <v>745</v>
      </c>
      <c r="JQ14" s="116">
        <f>MAX(FG14:FI14)</f>
        <v>722.7</v>
      </c>
      <c r="JR14" s="116">
        <f>MAX(FJ14:FL14)</f>
        <v>690.2</v>
      </c>
      <c r="JS14" s="116">
        <f>MAX(FM14:FO14)</f>
        <v>784.3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1199.95</v>
      </c>
      <c r="EK15" s="116" cm="1">
        <f t="array" ref="EK15">_xll.EQNXTDZ($A$1,$B15,EK$1)</f>
        <v>1151</v>
      </c>
      <c r="EL15" s="116" cm="1">
        <f t="array" ref="EL15">_xll.EQNXTDZ($A$1,$B15,EL$1)</f>
        <v>1108.7</v>
      </c>
      <c r="EM15" s="116" cm="1">
        <f t="array" ref="EM15">_xll.EQNXTDZ($A$1,$B15,EM$1)</f>
        <v>1034</v>
      </c>
      <c r="EN15" s="116" cm="1">
        <f t="array" ref="EN15">_xll.EQNXTDZ($A$1,$B15,EN$1)</f>
        <v>1020</v>
      </c>
      <c r="EO15" s="116" cm="1">
        <f t="array" ref="EO15">_xll.EQNXTDZ($A$1,$B15,EO$1)</f>
        <v>1032.2</v>
      </c>
      <c r="EP15" s="116" cm="1">
        <f t="array" ref="EP15">_xll.EQNXTDZ($A$1,$B15,EP$1)</f>
        <v>1004.15</v>
      </c>
      <c r="EQ15" s="116" cm="1">
        <f t="array" ref="EQ15">_xll.EQNXTDZ($A$1,$B15,EQ$1)</f>
        <v>982.25</v>
      </c>
      <c r="ER15" s="116" cm="1">
        <f t="array" ref="ER15">_xll.EQNXTDZ($A$1,$B15,ER$1)</f>
        <v>982.95</v>
      </c>
      <c r="ES15" s="116" cm="1">
        <f t="array" ref="ES15">_xll.EQNXTDZ($A$1,$B15,ES$1)</f>
        <v>970.55</v>
      </c>
      <c r="ET15" s="116" cm="1">
        <f t="array" ref="ET15">_xll.EQNXTDZ($A$1,$B15,ET$1)</f>
        <v>1046.8499999999999</v>
      </c>
      <c r="EU15" s="116" cm="1">
        <f t="array" ref="EU15">_xll.EQNXTDZ($A$1,$B15,EU$1)</f>
        <v>987</v>
      </c>
      <c r="EV15" s="116" cm="1">
        <f t="array" ref="EV15">_xll.EQNXTDZ($A$1,$B15,EV$1)</f>
        <v>930.65</v>
      </c>
      <c r="EW15" s="116" cm="1">
        <f t="array" ref="EW15">_xll.EQNXTDZ($A$1,$B15,EW$1)</f>
        <v>883.55</v>
      </c>
      <c r="EX15" s="116" cm="1">
        <f t="array" ref="EX15">_xll.EQNXTDZ($A$1,$B15,EX$1)</f>
        <v>737.25</v>
      </c>
      <c r="EY15" s="116" cm="1">
        <f t="array" ref="EY15">_xll.EQNXTDZ($A$1,$B15,EY$1)</f>
        <v>664.6</v>
      </c>
      <c r="EZ15" s="116" cm="1">
        <f t="array" ref="EZ15">_xll.EQNXTDZ($A$1,$B15,EZ$1)</f>
        <v>626.9</v>
      </c>
      <c r="FA15" s="116" cm="1">
        <f t="array" ref="FA15">_xll.EQNXTDZ($A$1,$B15,FA$1)</f>
        <v>595.04999999999995</v>
      </c>
      <c r="FB15" s="116" cm="1">
        <f t="array" ref="FB15">_xll.EQNXTDZ($A$1,$B15,FB$1)</f>
        <v>638.5</v>
      </c>
      <c r="FC15" s="116" cm="1">
        <f t="array" ref="FC15">_xll.EQNXTDZ($A$1,$B15,FC$1)</f>
        <v>696.2</v>
      </c>
      <c r="FD15" s="116" cm="1">
        <f t="array" ref="FD15">_xll.EQNXTDZ($A$1,$B15,FD$1)</f>
        <v>696.05</v>
      </c>
      <c r="FE15" s="116" cm="1">
        <f t="array" ref="FE15">_xll.EQNXTDZ($A$1,$B15,FE$1)</f>
        <v>652.5</v>
      </c>
      <c r="FF15" s="116" cm="1">
        <f t="array" ref="FF15">_xll.EQNXTDZ($A$1,$B15,FF$1)</f>
        <v>653</v>
      </c>
      <c r="FG15" s="116" cm="1">
        <f t="array" ref="FG15">_xll.EQNXTDZ($A$1,$B15,FG$1)</f>
        <v>668</v>
      </c>
      <c r="FH15" s="116" cm="1">
        <f t="array" ref="FH15">_xll.EQNXTDZ($A$1,$B15,FH$1)</f>
        <v>666</v>
      </c>
      <c r="FI15" s="116" cm="1">
        <f t="array" ref="FI15">_xll.EQNXTDZ($A$1,$B15,FI$1)</f>
        <v>637</v>
      </c>
      <c r="FJ15" s="116" cm="1">
        <f t="array" ref="FJ15">_xll.EQNXTDZ($A$1,$B15,FJ$1)</f>
        <v>632.1</v>
      </c>
      <c r="FK15" s="116" cm="1">
        <f t="array" ref="FK15">_xll.EQNXTDZ($A$1,$B15,FK$1)</f>
        <v>569</v>
      </c>
      <c r="FL15" s="116" cm="1">
        <f t="array" ref="FL15">_xll.EQNXTDZ($A$1,$B15,FL$1)</f>
        <v>507.5</v>
      </c>
      <c r="FM15" s="116" cm="1">
        <f t="array" ref="FM15">_xll.EQNXTDZ($A$1,$B15,FM$1)</f>
        <v>515.45000000000005</v>
      </c>
      <c r="FN15" s="116" cm="1">
        <f t="array" ref="FN15">_xll.EQNXTDZ($A$1,$B15,FN$1)</f>
        <v>578.65</v>
      </c>
      <c r="FO15" s="116" cm="1">
        <f t="array" ref="FO15">_xll.EQNXTDZ($A$1,$B15,FO$1)</f>
        <v>706.35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1020</v>
      </c>
      <c r="JK15" s="116">
        <f>MIN(EO15:EQ15)</f>
        <v>982.25</v>
      </c>
      <c r="JL15" s="116">
        <f>MIN(ER15:ET15)</f>
        <v>970.55</v>
      </c>
      <c r="JM15" s="116">
        <f>MIN(EU15:EW15)</f>
        <v>883.55</v>
      </c>
      <c r="JN15" s="116">
        <f>MIN(EX15:EZ15)</f>
        <v>626.9</v>
      </c>
      <c r="JO15" s="116">
        <f>MIN(FA15:FC15)</f>
        <v>595.04999999999995</v>
      </c>
      <c r="JP15" s="116">
        <f>MIN(FD15:FF15)</f>
        <v>652.5</v>
      </c>
      <c r="JQ15" s="116">
        <f>MIN(FG15:FI15)</f>
        <v>637</v>
      </c>
      <c r="JR15" s="116">
        <f>MIN(FJ15:FL15)</f>
        <v>507.5</v>
      </c>
      <c r="JS15" s="116">
        <f>MIN(FM15:FO15)</f>
        <v>515.45000000000005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1314.25</v>
      </c>
      <c r="EK16" s="116" cm="1">
        <f t="array" ref="EK16">_xll.EQNXTDZ($A$1,$B16,EK$1)</f>
        <v>1180.45</v>
      </c>
      <c r="EL16" s="116" cm="1">
        <f t="array" ref="EL16">_xll.EQNXTDZ($A$1,$B16,EL$1)</f>
        <v>1111.4000000000001</v>
      </c>
      <c r="EM16" s="116" cm="1">
        <f t="array" ref="EM16">_xll.EQNXTDZ($A$1,$B16,EM$1)</f>
        <v>1084.8</v>
      </c>
      <c r="EN16" s="116" cm="1">
        <f t="array" ref="EN16">_xll.EQNXTDZ($A$1,$B16,EN$1)</f>
        <v>1020.95</v>
      </c>
      <c r="EO16" s="116" cm="1">
        <f t="array" ref="EO16">_xll.EQNXTDZ($A$1,$B16,EO$1)</f>
        <v>1067.55</v>
      </c>
      <c r="EP16" s="116" cm="1">
        <f t="array" ref="EP16">_xll.EQNXTDZ($A$1,$B16,EP$1)</f>
        <v>1031.5999999999999</v>
      </c>
      <c r="EQ16" s="116" cm="1">
        <f t="array" ref="EQ16">_xll.EQNXTDZ($A$1,$B16,EQ$1)</f>
        <v>1021.5</v>
      </c>
      <c r="ER16" s="116" cm="1">
        <f t="array" ref="ER16">_xll.EQNXTDZ($A$1,$B16,ER$1)</f>
        <v>999.1</v>
      </c>
      <c r="ES16" s="116" cm="1">
        <f t="array" ref="ES16">_xll.EQNXTDZ($A$1,$B16,ES$1)</f>
        <v>1066.0999999999999</v>
      </c>
      <c r="ET16" s="116" cm="1">
        <f t="array" ref="ET16">_xll.EQNXTDZ($A$1,$B16,ET$1)</f>
        <v>1103.3499999999999</v>
      </c>
      <c r="EU16" s="116" cm="1">
        <f t="array" ref="EU16">_xll.EQNXTDZ($A$1,$B16,EU$1)</f>
        <v>1006.4</v>
      </c>
      <c r="EV16" s="116" cm="1">
        <f t="array" ref="EV16">_xll.EQNXTDZ($A$1,$B16,EV$1)</f>
        <v>938.1</v>
      </c>
      <c r="EW16" s="116" cm="1">
        <f t="array" ref="EW16">_xll.EQNXTDZ($A$1,$B16,EW$1)</f>
        <v>891.45</v>
      </c>
      <c r="EX16" s="116" cm="1">
        <f t="array" ref="EX16">_xll.EQNXTDZ($A$1,$B16,EX$1)</f>
        <v>787.5</v>
      </c>
      <c r="EY16" s="116" cm="1">
        <f t="array" ref="EY16">_xll.EQNXTDZ($A$1,$B16,EY$1)</f>
        <v>672.05</v>
      </c>
      <c r="EZ16" s="116" cm="1">
        <f t="array" ref="EZ16">_xll.EQNXTDZ($A$1,$B16,EZ$1)</f>
        <v>678.25</v>
      </c>
      <c r="FA16" s="116" cm="1">
        <f t="array" ref="FA16">_xll.EQNXTDZ($A$1,$B16,FA$1)</f>
        <v>658.05</v>
      </c>
      <c r="FB16" s="116" cm="1">
        <f t="array" ref="FB16">_xll.EQNXTDZ($A$1,$B16,FB$1)</f>
        <v>773.1</v>
      </c>
      <c r="FC16" s="116" cm="1">
        <f t="array" ref="FC16">_xll.EQNXTDZ($A$1,$B16,FC$1)</f>
        <v>711</v>
      </c>
      <c r="FD16" s="116" cm="1">
        <f t="array" ref="FD16">_xll.EQNXTDZ($A$1,$B16,FD$1)</f>
        <v>702.25</v>
      </c>
      <c r="FE16" s="116" cm="1">
        <f t="array" ref="FE16">_xll.EQNXTDZ($A$1,$B16,FE$1)</f>
        <v>657.35</v>
      </c>
      <c r="FF16" s="116" cm="1">
        <f t="array" ref="FF16">_xll.EQNXTDZ($A$1,$B16,FF$1)</f>
        <v>669.4</v>
      </c>
      <c r="FG16" s="116" cm="1">
        <f t="array" ref="FG16">_xll.EQNXTDZ($A$1,$B16,FG$1)</f>
        <v>692.05</v>
      </c>
      <c r="FH16" s="116" cm="1">
        <f t="array" ref="FH16">_xll.EQNXTDZ($A$1,$B16,FH$1)</f>
        <v>679</v>
      </c>
      <c r="FI16" s="116" cm="1">
        <f t="array" ref="FI16">_xll.EQNXTDZ($A$1,$B16,FI$1)</f>
        <v>642.1</v>
      </c>
      <c r="FJ16" s="116" cm="1">
        <f t="array" ref="FJ16">_xll.EQNXTDZ($A$1,$B16,FJ$1)</f>
        <v>645.9</v>
      </c>
      <c r="FK16" s="116" cm="1">
        <f t="array" ref="FK16">_xll.EQNXTDZ($A$1,$B16,FK$1)</f>
        <v>585.45000000000005</v>
      </c>
      <c r="FL16" s="116" cm="1">
        <f t="array" ref="FL16">_xll.EQNXTDZ($A$1,$B16,FL$1)</f>
        <v>509.45</v>
      </c>
      <c r="FM16" s="116" cm="1">
        <f t="array" ref="FM16">_xll.EQNXTDZ($A$1,$B16,FM$1)</f>
        <v>581.35</v>
      </c>
      <c r="FN16" s="116" cm="1">
        <f t="array" ref="FN16">_xll.EQNXTDZ($A$1,$B16,FN$1)</f>
        <v>705.25</v>
      </c>
      <c r="FO16" s="116" cm="1">
        <f t="array" ref="FO16">_xll.EQNXTDZ($A$1,$B16,FO$1)</f>
        <v>768.9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1180.45</v>
      </c>
      <c r="JJ16" s="116">
        <f>+EN16</f>
        <v>1020.95</v>
      </c>
      <c r="JK16" s="116">
        <f>EQ16</f>
        <v>1021.5</v>
      </c>
      <c r="JL16" s="116">
        <f>ET16</f>
        <v>1103.3499999999999</v>
      </c>
      <c r="JM16" s="116">
        <f>EW16</f>
        <v>891.45</v>
      </c>
      <c r="JN16" s="116">
        <f>EZ16</f>
        <v>678.25</v>
      </c>
      <c r="JO16" s="116">
        <f>FC16</f>
        <v>711</v>
      </c>
      <c r="JP16" s="116">
        <f>FF16</f>
        <v>669.4</v>
      </c>
      <c r="JQ16" s="116">
        <f>FI16</f>
        <v>642.1</v>
      </c>
      <c r="JR16" s="116">
        <f>FL16</f>
        <v>509.45</v>
      </c>
      <c r="JS16" s="116">
        <f>FO16</f>
        <v>768.9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1400</v>
      </c>
      <c r="JJ19" s="116">
        <f t="shared" ref="JJ19:JJ21" si="2">+IF(JJ14=0,JJ7,JJ14)</f>
        <v>1200</v>
      </c>
      <c r="JK19" s="116">
        <f t="shared" ref="JK19" si="3">+IF(JK14=0,JK7,JK14)</f>
        <v>1147</v>
      </c>
      <c r="JL19" s="116">
        <f t="shared" ref="JL19:JM19" si="4">+IF(JL14=0,JL7,JL14)</f>
        <v>1135</v>
      </c>
      <c r="JM19" s="116">
        <f t="shared" si="4"/>
        <v>1111.8499999999999</v>
      </c>
      <c r="JN19" s="116">
        <f t="shared" ref="JN19:JO19" si="5">+IF(JN14=0,JN7,JN14)</f>
        <v>912.65</v>
      </c>
      <c r="JO19" s="116">
        <f t="shared" si="5"/>
        <v>797</v>
      </c>
      <c r="JP19" s="116">
        <f t="shared" ref="JP19" si="6">+IF(JP14=0,JP7,JP14)</f>
        <v>745</v>
      </c>
      <c r="JQ19" s="116">
        <f t="shared" ref="JQ19:KH19" si="7">+IF(JQ14=0,JQ7,JQ14)</f>
        <v>722.7</v>
      </c>
      <c r="JR19" s="116">
        <f t="shared" si="7"/>
        <v>690.2</v>
      </c>
      <c r="JS19" s="116">
        <f t="shared" si="7"/>
        <v>784.3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1020</v>
      </c>
      <c r="JK20" s="116">
        <f t="shared" ref="JK20" si="9">+IF(JK15=0,JK8,JK15)</f>
        <v>982.25</v>
      </c>
      <c r="JL20" s="116">
        <f t="shared" ref="JL20:JM20" si="10">+IF(JL15=0,JL8,JL15)</f>
        <v>970.55</v>
      </c>
      <c r="JM20" s="116">
        <f t="shared" si="10"/>
        <v>883.55</v>
      </c>
      <c r="JN20" s="116">
        <f t="shared" ref="JN20:JO20" si="11">+IF(JN15=0,JN8,JN15)</f>
        <v>626.9</v>
      </c>
      <c r="JO20" s="116">
        <f t="shared" si="11"/>
        <v>595.04999999999995</v>
      </c>
      <c r="JP20" s="116">
        <f t="shared" ref="JP20" si="12">+IF(JP15=0,JP8,JP15)</f>
        <v>652.5</v>
      </c>
      <c r="JQ20" s="116">
        <f t="shared" ref="JQ20:KH20" si="13">+IF(JQ15=0,JQ8,JQ15)</f>
        <v>637</v>
      </c>
      <c r="JR20" s="116">
        <f t="shared" si="13"/>
        <v>507.5</v>
      </c>
      <c r="JS20" s="116">
        <f t="shared" si="13"/>
        <v>515.45000000000005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1180.45</v>
      </c>
      <c r="JJ21" s="116">
        <f t="shared" si="2"/>
        <v>1020.95</v>
      </c>
      <c r="JK21" s="116">
        <f t="shared" ref="JK21" si="14">+IF(JK16=0,JK9,JK16)</f>
        <v>1021.5</v>
      </c>
      <c r="JL21" s="116">
        <f t="shared" ref="JL21:JM21" si="15">+IF(JL16=0,JL9,JL16)</f>
        <v>1103.3499999999999</v>
      </c>
      <c r="JM21" s="116">
        <f t="shared" si="15"/>
        <v>891.45</v>
      </c>
      <c r="JN21" s="116">
        <f t="shared" ref="JN21:JO21" si="16">+IF(JN16=0,JN9,JN16)</f>
        <v>678.25</v>
      </c>
      <c r="JO21" s="116">
        <f t="shared" si="16"/>
        <v>711</v>
      </c>
      <c r="JP21" s="116">
        <f t="shared" ref="JP21" si="17">+IF(JP16=0,JP9,JP16)</f>
        <v>669.4</v>
      </c>
      <c r="JQ21" s="116">
        <f t="shared" ref="JQ21:KH21" si="18">+IF(JQ16=0,JQ9,JQ16)</f>
        <v>642.1</v>
      </c>
      <c r="JR21" s="116">
        <f t="shared" si="18"/>
        <v>509.45</v>
      </c>
      <c r="JS21" s="116">
        <f t="shared" si="18"/>
        <v>768.9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209420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201306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201806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43024138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43024138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43024638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43024638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43031326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43037514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41803225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41806975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41806975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405668530</v>
      </c>
      <c r="AX6" cm="1">
        <f t="array" ref="AX6">_xll.EQNXTDZ($A$1,$B6,AX$1)</f>
        <v>405668530</v>
      </c>
      <c r="AY6" cm="1">
        <f t="array" ref="AY6">_xll.EQNXTDZ($A$1,$B6,AY$1)</f>
        <v>405668530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4.3024138000000001</v>
      </c>
      <c r="H7" s="100">
        <f t="shared" si="0"/>
        <v>0</v>
      </c>
      <c r="I7" s="100">
        <f t="shared" si="0"/>
        <v>0</v>
      </c>
      <c r="J7" s="100">
        <f t="shared" si="0"/>
        <v>4.3024138000000001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4.3024637999999999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4.3024637999999999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4.3031325999999996</v>
      </c>
      <c r="Y7" s="100">
        <f t="shared" ref="Y7:AS7" si="1">+Y6/10^7</f>
        <v>0</v>
      </c>
      <c r="Z7" s="100">
        <f t="shared" si="1"/>
        <v>0</v>
      </c>
      <c r="AA7" s="100">
        <f t="shared" si="1"/>
        <v>4.3037514000000003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4.1803224999999999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4.1806975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4.1806975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40.566853000000002</v>
      </c>
      <c r="AX7" s="100">
        <f t="shared" si="2"/>
        <v>40.566853000000002</v>
      </c>
      <c r="AY7" s="100">
        <f t="shared" ref="AY7" si="3">+AY6/10^7</f>
        <v>40.566853000000002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209420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45260</v>
      </c>
      <c r="B4" s="116">
        <v>1400</v>
      </c>
      <c r="C4" s="116">
        <v>1314.25</v>
      </c>
      <c r="D4" s="116">
        <v>1199.95</v>
      </c>
      <c r="E4" s="116">
        <v>1199.95</v>
      </c>
      <c r="F4" s="116">
        <v>1314.25</v>
      </c>
      <c r="G4">
        <v>2847897</v>
      </c>
      <c r="H4" s="116"/>
      <c r="I4" s="116"/>
      <c r="L4" s="170">
        <v>45260</v>
      </c>
      <c r="M4" s="116">
        <v>1313</v>
      </c>
      <c r="N4" s="116">
        <v>1400</v>
      </c>
      <c r="O4" s="116">
        <v>1200</v>
      </c>
      <c r="P4" s="116">
        <v>1200</v>
      </c>
      <c r="Q4" s="116">
        <v>1313</v>
      </c>
      <c r="R4">
        <v>46579444</v>
      </c>
    </row>
    <row r="5" spans="1:18" x14ac:dyDescent="0.25">
      <c r="A5" s="170">
        <v>45261</v>
      </c>
      <c r="B5" s="116">
        <v>1348</v>
      </c>
      <c r="C5" s="116">
        <v>1220.2</v>
      </c>
      <c r="D5" s="116">
        <v>1212.8</v>
      </c>
      <c r="E5" s="116">
        <v>1339.6</v>
      </c>
      <c r="F5" s="116">
        <v>1220.2</v>
      </c>
      <c r="G5">
        <v>2291071</v>
      </c>
      <c r="H5" s="116"/>
      <c r="I5" s="116"/>
      <c r="L5" s="170">
        <v>45261</v>
      </c>
      <c r="M5" s="116">
        <v>1220.5999999999999</v>
      </c>
      <c r="N5" s="116">
        <v>1348</v>
      </c>
      <c r="O5" s="116">
        <v>1211.5999999999999</v>
      </c>
      <c r="P5" s="116">
        <v>1339.3</v>
      </c>
      <c r="Q5" s="116">
        <v>1220.5999999999999</v>
      </c>
      <c r="R5">
        <v>18681419</v>
      </c>
    </row>
    <row r="6" spans="1:18" x14ac:dyDescent="0.25">
      <c r="A6" s="170">
        <v>45264</v>
      </c>
      <c r="B6" s="116">
        <v>1244.5999999999999</v>
      </c>
      <c r="C6" s="116">
        <v>1192.7</v>
      </c>
      <c r="D6" s="116">
        <v>1151</v>
      </c>
      <c r="E6" s="116">
        <v>1244.5999999999999</v>
      </c>
      <c r="F6" s="116">
        <v>1192.7</v>
      </c>
      <c r="G6">
        <v>796700</v>
      </c>
      <c r="H6" s="116"/>
      <c r="I6" s="116"/>
      <c r="L6" s="170">
        <v>45264</v>
      </c>
      <c r="M6" s="116">
        <v>1192.6500000000001</v>
      </c>
      <c r="N6" s="116">
        <v>1234</v>
      </c>
      <c r="O6" s="116">
        <v>1151.1500000000001</v>
      </c>
      <c r="P6" s="116">
        <v>1220.5999999999999</v>
      </c>
      <c r="Q6" s="116">
        <v>1192.6500000000001</v>
      </c>
      <c r="R6">
        <v>14740755</v>
      </c>
    </row>
    <row r="7" spans="1:18" x14ac:dyDescent="0.25">
      <c r="A7" s="170">
        <v>45265</v>
      </c>
      <c r="B7" s="116">
        <v>1221</v>
      </c>
      <c r="C7" s="116">
        <v>1192.55</v>
      </c>
      <c r="D7" s="116">
        <v>1176</v>
      </c>
      <c r="E7" s="116">
        <v>1192</v>
      </c>
      <c r="F7" s="116">
        <v>1192.55</v>
      </c>
      <c r="G7">
        <v>600410</v>
      </c>
      <c r="H7" s="116"/>
      <c r="I7" s="116"/>
      <c r="L7" s="170">
        <v>45265</v>
      </c>
      <c r="M7" s="116">
        <v>1191.8499999999999</v>
      </c>
      <c r="N7" s="116">
        <v>1221.95</v>
      </c>
      <c r="O7" s="116">
        <v>1175</v>
      </c>
      <c r="P7" s="116">
        <v>1192.6500000000001</v>
      </c>
      <c r="Q7" s="116">
        <v>1191.8499999999999</v>
      </c>
      <c r="R7">
        <v>4422358</v>
      </c>
    </row>
    <row r="8" spans="1:18" x14ac:dyDescent="0.25">
      <c r="A8" s="170">
        <v>45266</v>
      </c>
      <c r="B8" s="116">
        <v>1207</v>
      </c>
      <c r="C8" s="116">
        <v>1188.25</v>
      </c>
      <c r="D8" s="116">
        <v>1180.25</v>
      </c>
      <c r="E8" s="116">
        <v>1200</v>
      </c>
      <c r="F8" s="116">
        <v>1188.25</v>
      </c>
      <c r="G8">
        <v>435013</v>
      </c>
      <c r="H8" s="116"/>
      <c r="I8" s="116"/>
      <c r="L8" s="170">
        <v>45266</v>
      </c>
      <c r="M8" s="116">
        <v>1188.5</v>
      </c>
      <c r="N8" s="116">
        <v>1207.45</v>
      </c>
      <c r="O8" s="116">
        <v>1181</v>
      </c>
      <c r="P8" s="116">
        <v>1202</v>
      </c>
      <c r="Q8" s="116">
        <v>1188.5</v>
      </c>
      <c r="R8">
        <v>2735968</v>
      </c>
    </row>
    <row r="9" spans="1:18" x14ac:dyDescent="0.25">
      <c r="A9" s="170">
        <v>45267</v>
      </c>
      <c r="B9" s="116">
        <v>1199</v>
      </c>
      <c r="C9" s="116">
        <v>1185.8</v>
      </c>
      <c r="D9" s="116">
        <v>1181</v>
      </c>
      <c r="E9" s="116">
        <v>1190.05</v>
      </c>
      <c r="F9" s="116">
        <v>1185.8</v>
      </c>
      <c r="G9">
        <v>94051</v>
      </c>
      <c r="H9" s="116"/>
      <c r="I9" s="116"/>
      <c r="L9" s="170">
        <v>45267</v>
      </c>
      <c r="M9" s="116">
        <v>1185.7</v>
      </c>
      <c r="N9" s="116">
        <v>1199</v>
      </c>
      <c r="O9" s="116">
        <v>1180</v>
      </c>
      <c r="P9" s="116">
        <v>1192.95</v>
      </c>
      <c r="Q9" s="116">
        <v>1185.7</v>
      </c>
      <c r="R9">
        <v>1624651</v>
      </c>
    </row>
    <row r="10" spans="1:18" x14ac:dyDescent="0.25">
      <c r="A10" s="170">
        <v>45268</v>
      </c>
      <c r="B10" s="116">
        <v>1219</v>
      </c>
      <c r="C10" s="116">
        <v>1192.5</v>
      </c>
      <c r="D10" s="116">
        <v>1187.0999999999999</v>
      </c>
      <c r="E10" s="116">
        <v>1187.0999999999999</v>
      </c>
      <c r="F10" s="116">
        <v>1192.5</v>
      </c>
      <c r="G10">
        <v>391935</v>
      </c>
      <c r="H10" s="116"/>
      <c r="I10" s="116"/>
      <c r="L10" s="170">
        <v>45268</v>
      </c>
      <c r="M10" s="116">
        <v>1192.55</v>
      </c>
      <c r="N10" s="116">
        <v>1219.7</v>
      </c>
      <c r="O10" s="116">
        <v>1188.25</v>
      </c>
      <c r="P10" s="116">
        <v>1189</v>
      </c>
      <c r="Q10" s="116">
        <v>1192.55</v>
      </c>
      <c r="R10">
        <v>2528210</v>
      </c>
    </row>
    <row r="11" spans="1:18" x14ac:dyDescent="0.25">
      <c r="A11" s="170">
        <v>45271</v>
      </c>
      <c r="B11" s="116">
        <v>1269.8</v>
      </c>
      <c r="C11" s="116">
        <v>1237.25</v>
      </c>
      <c r="D11" s="116">
        <v>1193.3499999999999</v>
      </c>
      <c r="E11" s="116">
        <v>1200.5999999999999</v>
      </c>
      <c r="F11" s="116">
        <v>1237.25</v>
      </c>
      <c r="G11">
        <v>368084</v>
      </c>
      <c r="H11" s="116"/>
      <c r="I11" s="116"/>
      <c r="L11" s="170">
        <v>45271</v>
      </c>
      <c r="M11" s="116">
        <v>1237.3499999999999</v>
      </c>
      <c r="N11" s="116">
        <v>1269.7</v>
      </c>
      <c r="O11" s="116">
        <v>1193</v>
      </c>
      <c r="P11" s="116">
        <v>1199</v>
      </c>
      <c r="Q11" s="116">
        <v>1237.3499999999999</v>
      </c>
      <c r="R11">
        <v>8017469</v>
      </c>
    </row>
    <row r="12" spans="1:18" x14ac:dyDescent="0.25">
      <c r="A12" s="170">
        <v>45272</v>
      </c>
      <c r="B12" s="116">
        <v>1263.1500000000001</v>
      </c>
      <c r="C12" s="116">
        <v>1233.25</v>
      </c>
      <c r="D12" s="116">
        <v>1230</v>
      </c>
      <c r="E12" s="116">
        <v>1255.95</v>
      </c>
      <c r="F12" s="116">
        <v>1233.25</v>
      </c>
      <c r="G12">
        <v>136591</v>
      </c>
      <c r="H12" s="116"/>
      <c r="I12" s="116"/>
      <c r="L12" s="170">
        <v>45272</v>
      </c>
      <c r="M12" s="116">
        <v>1233.25</v>
      </c>
      <c r="N12" s="116">
        <v>1263.05</v>
      </c>
      <c r="O12" s="116">
        <v>1230</v>
      </c>
      <c r="P12" s="116">
        <v>1254</v>
      </c>
      <c r="Q12" s="116">
        <v>1233.25</v>
      </c>
      <c r="R12">
        <v>2426780</v>
      </c>
    </row>
    <row r="13" spans="1:18" x14ac:dyDescent="0.25">
      <c r="A13" s="170">
        <v>45273</v>
      </c>
      <c r="B13" s="116">
        <v>1284.45</v>
      </c>
      <c r="C13" s="116">
        <v>1250.95</v>
      </c>
      <c r="D13" s="116">
        <v>1236</v>
      </c>
      <c r="E13" s="116">
        <v>1243.25</v>
      </c>
      <c r="F13" s="116">
        <v>1250.95</v>
      </c>
      <c r="G13">
        <v>517656</v>
      </c>
      <c r="H13" s="116"/>
      <c r="I13" s="116"/>
      <c r="L13" s="170">
        <v>45273</v>
      </c>
      <c r="M13" s="116">
        <v>1250.3499999999999</v>
      </c>
      <c r="N13" s="116">
        <v>1284.8</v>
      </c>
      <c r="O13" s="116">
        <v>1236.1500000000001</v>
      </c>
      <c r="P13" s="116">
        <v>1244</v>
      </c>
      <c r="Q13" s="116">
        <v>1250.3499999999999</v>
      </c>
      <c r="R13">
        <v>4281933</v>
      </c>
    </row>
    <row r="14" spans="1:18" x14ac:dyDescent="0.25">
      <c r="A14" s="170">
        <v>45274</v>
      </c>
      <c r="B14" s="116">
        <v>1276.25</v>
      </c>
      <c r="C14" s="116">
        <v>1243.05</v>
      </c>
      <c r="D14" s="116">
        <v>1240.0999999999999</v>
      </c>
      <c r="E14" s="116">
        <v>1271.3</v>
      </c>
      <c r="F14" s="116">
        <v>1243.05</v>
      </c>
      <c r="G14">
        <v>281144</v>
      </c>
      <c r="H14" s="116"/>
      <c r="I14" s="116"/>
      <c r="L14" s="170">
        <v>45274</v>
      </c>
      <c r="M14" s="116">
        <v>1243.3</v>
      </c>
      <c r="N14" s="116">
        <v>1275</v>
      </c>
      <c r="O14" s="116">
        <v>1240.1500000000001</v>
      </c>
      <c r="P14" s="116">
        <v>1270</v>
      </c>
      <c r="Q14" s="116">
        <v>1243.3</v>
      </c>
      <c r="R14">
        <v>1992554</v>
      </c>
    </row>
    <row r="15" spans="1:18" x14ac:dyDescent="0.25">
      <c r="A15" s="170">
        <v>45275</v>
      </c>
      <c r="B15" s="116">
        <v>1258.7</v>
      </c>
      <c r="C15" s="116">
        <v>1242.25</v>
      </c>
      <c r="D15" s="116">
        <v>1239.45</v>
      </c>
      <c r="E15" s="116">
        <v>1257.95</v>
      </c>
      <c r="F15" s="116">
        <v>1242.25</v>
      </c>
      <c r="G15">
        <v>77098</v>
      </c>
      <c r="H15" s="116"/>
      <c r="I15" s="116"/>
      <c r="L15" s="170">
        <v>45275</v>
      </c>
      <c r="M15" s="116">
        <v>1242.2</v>
      </c>
      <c r="N15" s="116">
        <v>1256.7</v>
      </c>
      <c r="O15" s="116">
        <v>1240</v>
      </c>
      <c r="P15" s="116">
        <v>1255.95</v>
      </c>
      <c r="Q15" s="116">
        <v>1242.2</v>
      </c>
      <c r="R15">
        <v>1239743</v>
      </c>
    </row>
    <row r="16" spans="1:18" x14ac:dyDescent="0.25">
      <c r="A16" s="170">
        <v>45278</v>
      </c>
      <c r="B16" s="116">
        <v>1250</v>
      </c>
      <c r="C16" s="116">
        <v>1229.7</v>
      </c>
      <c r="D16" s="116">
        <v>1226</v>
      </c>
      <c r="E16" s="116">
        <v>1246.95</v>
      </c>
      <c r="F16" s="116">
        <v>1229.7</v>
      </c>
      <c r="G16">
        <v>229896</v>
      </c>
      <c r="H16" s="116"/>
      <c r="I16" s="116"/>
      <c r="L16" s="170">
        <v>45278</v>
      </c>
      <c r="M16" s="116">
        <v>1229.25</v>
      </c>
      <c r="N16" s="116">
        <v>1249.1500000000001</v>
      </c>
      <c r="O16" s="116">
        <v>1225.5999999999999</v>
      </c>
      <c r="P16" s="116">
        <v>1245.6500000000001</v>
      </c>
      <c r="Q16" s="116">
        <v>1229.25</v>
      </c>
      <c r="R16">
        <v>1000620</v>
      </c>
    </row>
    <row r="17" spans="1:18" x14ac:dyDescent="0.25">
      <c r="A17" s="170">
        <v>45279</v>
      </c>
      <c r="B17" s="116">
        <v>1259.6500000000001</v>
      </c>
      <c r="C17" s="116">
        <v>1241.9000000000001</v>
      </c>
      <c r="D17" s="116">
        <v>1225</v>
      </c>
      <c r="E17" s="116">
        <v>1230.05</v>
      </c>
      <c r="F17" s="116">
        <v>1241.9000000000001</v>
      </c>
      <c r="G17">
        <v>358193</v>
      </c>
      <c r="H17" s="116"/>
      <c r="I17" s="116"/>
      <c r="L17" s="170">
        <v>45279</v>
      </c>
      <c r="M17" s="116">
        <v>1241.55</v>
      </c>
      <c r="N17" s="116">
        <v>1259.8</v>
      </c>
      <c r="O17" s="116">
        <v>1224.5999999999999</v>
      </c>
      <c r="P17" s="116">
        <v>1233</v>
      </c>
      <c r="Q17" s="116">
        <v>1241.55</v>
      </c>
      <c r="R17">
        <v>2086748</v>
      </c>
    </row>
    <row r="18" spans="1:18" x14ac:dyDescent="0.25">
      <c r="A18" s="170">
        <v>45280</v>
      </c>
      <c r="B18" s="116">
        <v>1250.5999999999999</v>
      </c>
      <c r="C18" s="116">
        <v>1199.8</v>
      </c>
      <c r="D18" s="116">
        <v>1185.5999999999999</v>
      </c>
      <c r="E18" s="116">
        <v>1246.4000000000001</v>
      </c>
      <c r="F18" s="116">
        <v>1199.8</v>
      </c>
      <c r="G18">
        <v>369056</v>
      </c>
      <c r="H18" s="116"/>
      <c r="I18" s="116"/>
      <c r="L18" s="170">
        <v>45280</v>
      </c>
      <c r="M18" s="116">
        <v>1201.1500000000001</v>
      </c>
      <c r="N18" s="116">
        <v>1248.75</v>
      </c>
      <c r="O18" s="116">
        <v>1198</v>
      </c>
      <c r="P18" s="116">
        <v>1247.9000000000001</v>
      </c>
      <c r="Q18" s="116">
        <v>1201.1500000000001</v>
      </c>
      <c r="R18">
        <v>1604663</v>
      </c>
    </row>
    <row r="19" spans="1:18" x14ac:dyDescent="0.25">
      <c r="A19" s="170">
        <v>45281</v>
      </c>
      <c r="B19" s="116">
        <v>1219.05</v>
      </c>
      <c r="C19" s="116">
        <v>1209.2</v>
      </c>
      <c r="D19" s="116">
        <v>1165</v>
      </c>
      <c r="E19" s="116">
        <v>1167.95</v>
      </c>
      <c r="F19" s="116">
        <v>1209.2</v>
      </c>
      <c r="G19">
        <v>136098</v>
      </c>
      <c r="H19" s="116"/>
      <c r="I19" s="116"/>
      <c r="L19" s="170">
        <v>45281</v>
      </c>
      <c r="M19" s="116">
        <v>1208.9000000000001</v>
      </c>
      <c r="N19" s="116">
        <v>1218.5999999999999</v>
      </c>
      <c r="O19" s="116">
        <v>1165.25</v>
      </c>
      <c r="P19" s="116">
        <v>1165.25</v>
      </c>
      <c r="Q19" s="116">
        <v>1208.9000000000001</v>
      </c>
      <c r="R19">
        <v>1504596</v>
      </c>
    </row>
    <row r="20" spans="1:18" x14ac:dyDescent="0.25">
      <c r="A20" s="170">
        <v>45282</v>
      </c>
      <c r="B20" s="116">
        <v>1221.4000000000001</v>
      </c>
      <c r="C20" s="116">
        <v>1208.9000000000001</v>
      </c>
      <c r="D20" s="116">
        <v>1205.2</v>
      </c>
      <c r="E20" s="116">
        <v>1215</v>
      </c>
      <c r="F20" s="116">
        <v>1208.9000000000001</v>
      </c>
      <c r="G20">
        <v>129367</v>
      </c>
      <c r="H20" s="116"/>
      <c r="I20" s="116"/>
      <c r="L20" s="170">
        <v>45282</v>
      </c>
      <c r="M20" s="116">
        <v>1208.75</v>
      </c>
      <c r="N20" s="116">
        <v>1222.5</v>
      </c>
      <c r="O20" s="116">
        <v>1205</v>
      </c>
      <c r="P20" s="116">
        <v>1214.7</v>
      </c>
      <c r="Q20" s="116">
        <v>1208.75</v>
      </c>
      <c r="R20">
        <v>701235</v>
      </c>
    </row>
    <row r="21" spans="1:18" x14ac:dyDescent="0.25">
      <c r="A21" s="170">
        <v>45286</v>
      </c>
      <c r="B21" s="116">
        <v>1217.5</v>
      </c>
      <c r="C21" s="116">
        <v>1202.95</v>
      </c>
      <c r="D21" s="116">
        <v>1201</v>
      </c>
      <c r="E21" s="116">
        <v>1210</v>
      </c>
      <c r="F21" s="116">
        <v>1202.95</v>
      </c>
      <c r="G21">
        <v>143677</v>
      </c>
      <c r="H21" s="116"/>
      <c r="I21" s="116"/>
      <c r="L21" s="170">
        <v>45286</v>
      </c>
      <c r="M21" s="116">
        <v>1202.75</v>
      </c>
      <c r="N21" s="116">
        <v>1217.95</v>
      </c>
      <c r="O21" s="116">
        <v>1200.5</v>
      </c>
      <c r="P21" s="116">
        <v>1210</v>
      </c>
      <c r="Q21" s="116">
        <v>1202.75</v>
      </c>
      <c r="R21">
        <v>575200</v>
      </c>
    </row>
    <row r="22" spans="1:18" x14ac:dyDescent="0.25">
      <c r="A22" s="170">
        <v>45287</v>
      </c>
      <c r="B22" s="116">
        <v>1213.7</v>
      </c>
      <c r="C22" s="116">
        <v>1199.25</v>
      </c>
      <c r="D22" s="116">
        <v>1196.5</v>
      </c>
      <c r="E22" s="116">
        <v>1205.25</v>
      </c>
      <c r="F22" s="116">
        <v>1199.25</v>
      </c>
      <c r="G22">
        <v>120455</v>
      </c>
      <c r="H22" s="116"/>
      <c r="I22" s="116"/>
      <c r="L22" s="170">
        <v>45287</v>
      </c>
      <c r="M22" s="116">
        <v>1199.5999999999999</v>
      </c>
      <c r="N22" s="116">
        <v>1212.9000000000001</v>
      </c>
      <c r="O22" s="116">
        <v>1196.2</v>
      </c>
      <c r="P22" s="116">
        <v>1208</v>
      </c>
      <c r="Q22" s="116">
        <v>1199.5999999999999</v>
      </c>
      <c r="R22">
        <v>656321</v>
      </c>
    </row>
    <row r="23" spans="1:18" x14ac:dyDescent="0.25">
      <c r="A23" s="170">
        <v>45288</v>
      </c>
      <c r="B23" s="116">
        <v>1201.5</v>
      </c>
      <c r="C23" s="116">
        <v>1176.6500000000001</v>
      </c>
      <c r="D23" s="116">
        <v>1168.5999999999999</v>
      </c>
      <c r="E23" s="116">
        <v>1200.05</v>
      </c>
      <c r="F23" s="116">
        <v>1176.6500000000001</v>
      </c>
      <c r="G23">
        <v>123468</v>
      </c>
      <c r="H23" s="116"/>
      <c r="I23" s="116"/>
      <c r="L23" s="170">
        <v>45288</v>
      </c>
      <c r="M23" s="116">
        <v>1175.95</v>
      </c>
      <c r="N23" s="116">
        <v>1201.8499999999999</v>
      </c>
      <c r="O23" s="116">
        <v>1169</v>
      </c>
      <c r="P23" s="116">
        <v>1200</v>
      </c>
      <c r="Q23" s="116">
        <v>1175.95</v>
      </c>
      <c r="R23">
        <v>1913710</v>
      </c>
    </row>
    <row r="24" spans="1:18" x14ac:dyDescent="0.25">
      <c r="A24" s="170">
        <v>45289</v>
      </c>
      <c r="B24" s="116">
        <v>1187.5999999999999</v>
      </c>
      <c r="C24" s="116">
        <v>1180.45</v>
      </c>
      <c r="D24" s="116">
        <v>1170.6500000000001</v>
      </c>
      <c r="E24" s="116">
        <v>1179</v>
      </c>
      <c r="F24" s="116">
        <v>1180.45</v>
      </c>
      <c r="G24">
        <v>160121</v>
      </c>
      <c r="H24" s="116"/>
      <c r="I24" s="116"/>
      <c r="L24" s="170">
        <v>45289</v>
      </c>
      <c r="M24" s="116">
        <v>1180.1500000000001</v>
      </c>
      <c r="N24" s="116">
        <v>1188</v>
      </c>
      <c r="O24" s="116">
        <v>1170.45</v>
      </c>
      <c r="P24" s="116">
        <v>1180</v>
      </c>
      <c r="Q24" s="116">
        <v>1180.1500000000001</v>
      </c>
      <c r="R24">
        <v>974333</v>
      </c>
    </row>
    <row r="25" spans="1:18" x14ac:dyDescent="0.25">
      <c r="A25" s="170">
        <v>45292</v>
      </c>
      <c r="B25" s="116">
        <v>1197</v>
      </c>
      <c r="C25" s="116">
        <v>1180.4000000000001</v>
      </c>
      <c r="D25" s="116">
        <v>1179.45</v>
      </c>
      <c r="E25" s="116">
        <v>1186.95</v>
      </c>
      <c r="F25" s="116">
        <v>1180.4000000000001</v>
      </c>
      <c r="G25">
        <v>166837</v>
      </c>
      <c r="H25" s="116"/>
      <c r="I25" s="116"/>
      <c r="L25" s="170">
        <v>45292</v>
      </c>
      <c r="M25" s="116">
        <v>1180.45</v>
      </c>
      <c r="N25" s="116">
        <v>1197.9000000000001</v>
      </c>
      <c r="O25" s="116">
        <v>1180</v>
      </c>
      <c r="P25" s="116">
        <v>1184</v>
      </c>
      <c r="Q25" s="116">
        <v>1180.45</v>
      </c>
      <c r="R25">
        <v>794228</v>
      </c>
    </row>
    <row r="26" spans="1:18" x14ac:dyDescent="0.25">
      <c r="A26" s="170">
        <v>45293</v>
      </c>
      <c r="B26" s="116">
        <v>1188.75</v>
      </c>
      <c r="C26" s="116">
        <v>1182.1500000000001</v>
      </c>
      <c r="D26" s="116">
        <v>1177.45</v>
      </c>
      <c r="E26" s="116">
        <v>1183.4000000000001</v>
      </c>
      <c r="F26" s="116">
        <v>1182.1500000000001</v>
      </c>
      <c r="G26">
        <v>45055</v>
      </c>
      <c r="H26" s="116"/>
      <c r="I26" s="116"/>
      <c r="L26" s="170">
        <v>45293</v>
      </c>
      <c r="M26" s="116">
        <v>1181.95</v>
      </c>
      <c r="N26" s="116">
        <v>1188.9000000000001</v>
      </c>
      <c r="O26" s="116">
        <v>1177</v>
      </c>
      <c r="P26" s="116">
        <v>1184</v>
      </c>
      <c r="Q26" s="116">
        <v>1181.95</v>
      </c>
      <c r="R26">
        <v>720393</v>
      </c>
    </row>
    <row r="27" spans="1:18" x14ac:dyDescent="0.25">
      <c r="A27" s="170">
        <v>45294</v>
      </c>
      <c r="B27" s="116">
        <v>1184.95</v>
      </c>
      <c r="C27" s="116">
        <v>1172.3</v>
      </c>
      <c r="D27" s="116">
        <v>1170</v>
      </c>
      <c r="E27" s="116">
        <v>1181.2</v>
      </c>
      <c r="F27" s="116">
        <v>1172.3</v>
      </c>
      <c r="G27">
        <v>167690</v>
      </c>
      <c r="H27" s="116"/>
      <c r="I27" s="116"/>
      <c r="L27" s="170">
        <v>45294</v>
      </c>
      <c r="M27" s="116">
        <v>1172.05</v>
      </c>
      <c r="N27" s="116">
        <v>1185</v>
      </c>
      <c r="O27" s="116">
        <v>1168</v>
      </c>
      <c r="P27" s="116">
        <v>1180</v>
      </c>
      <c r="Q27" s="116">
        <v>1172.05</v>
      </c>
      <c r="R27">
        <v>937005</v>
      </c>
    </row>
    <row r="28" spans="1:18" x14ac:dyDescent="0.25">
      <c r="A28" s="170">
        <v>45295</v>
      </c>
      <c r="B28" s="116">
        <v>1182</v>
      </c>
      <c r="C28" s="116">
        <v>1171.4000000000001</v>
      </c>
      <c r="D28" s="116">
        <v>1170.0999999999999</v>
      </c>
      <c r="E28" s="116">
        <v>1173.75</v>
      </c>
      <c r="F28" s="116">
        <v>1171.4000000000001</v>
      </c>
      <c r="G28">
        <v>126592</v>
      </c>
      <c r="H28" s="116"/>
      <c r="I28" s="116"/>
      <c r="L28" s="170">
        <v>45295</v>
      </c>
      <c r="M28" s="116">
        <v>1171.3499999999999</v>
      </c>
      <c r="N28" s="116">
        <v>1181.55</v>
      </c>
      <c r="O28" s="116">
        <v>1169.45</v>
      </c>
      <c r="P28" s="116">
        <v>1175</v>
      </c>
      <c r="Q28" s="116">
        <v>1171.3499999999999</v>
      </c>
      <c r="R28">
        <v>706442</v>
      </c>
    </row>
    <row r="29" spans="1:18" x14ac:dyDescent="0.25">
      <c r="A29" s="170">
        <v>45296</v>
      </c>
      <c r="B29" s="116">
        <v>1179.4000000000001</v>
      </c>
      <c r="C29" s="116">
        <v>1171.55</v>
      </c>
      <c r="D29" s="116">
        <v>1170.05</v>
      </c>
      <c r="E29" s="116">
        <v>1172.25</v>
      </c>
      <c r="F29" s="116">
        <v>1171.55</v>
      </c>
      <c r="G29">
        <v>128441</v>
      </c>
      <c r="H29" s="116"/>
      <c r="I29" s="116"/>
      <c r="L29" s="170">
        <v>45296</v>
      </c>
      <c r="M29" s="116">
        <v>1171.3499999999999</v>
      </c>
      <c r="N29" s="116">
        <v>1179.3499999999999</v>
      </c>
      <c r="O29" s="116">
        <v>1170</v>
      </c>
      <c r="P29" s="116">
        <v>1173.5</v>
      </c>
      <c r="Q29" s="116">
        <v>1171.3499999999999</v>
      </c>
      <c r="R29">
        <v>824122</v>
      </c>
    </row>
    <row r="30" spans="1:18" x14ac:dyDescent="0.25">
      <c r="A30" s="170">
        <v>45299</v>
      </c>
      <c r="B30" s="116">
        <v>1178.1500000000001</v>
      </c>
      <c r="C30" s="116">
        <v>1170.9000000000001</v>
      </c>
      <c r="D30" s="116">
        <v>1168.5999999999999</v>
      </c>
      <c r="E30" s="116">
        <v>1175</v>
      </c>
      <c r="F30" s="116">
        <v>1170.9000000000001</v>
      </c>
      <c r="G30">
        <v>110552</v>
      </c>
      <c r="H30" s="116"/>
      <c r="I30" s="116"/>
      <c r="L30" s="170">
        <v>45299</v>
      </c>
      <c r="M30" s="116">
        <v>1171.5</v>
      </c>
      <c r="N30" s="116">
        <v>1179</v>
      </c>
      <c r="O30" s="116">
        <v>1168.5999999999999</v>
      </c>
      <c r="P30" s="116">
        <v>1174.7</v>
      </c>
      <c r="Q30" s="116">
        <v>1171.5</v>
      </c>
      <c r="R30">
        <v>475513</v>
      </c>
    </row>
    <row r="31" spans="1:18" x14ac:dyDescent="0.25">
      <c r="A31" s="170">
        <v>45300</v>
      </c>
      <c r="B31" s="116">
        <v>1178.6500000000001</v>
      </c>
      <c r="C31" s="116">
        <v>1166.6500000000001</v>
      </c>
      <c r="D31" s="116">
        <v>1165</v>
      </c>
      <c r="E31" s="116">
        <v>1178.6500000000001</v>
      </c>
      <c r="F31" s="116">
        <v>1166.6500000000001</v>
      </c>
      <c r="G31">
        <v>49411</v>
      </c>
      <c r="H31" s="116"/>
      <c r="I31" s="116"/>
      <c r="L31" s="170">
        <v>45300</v>
      </c>
      <c r="M31" s="116">
        <v>1166.8499999999999</v>
      </c>
      <c r="N31" s="116">
        <v>1179</v>
      </c>
      <c r="O31" s="116">
        <v>1165</v>
      </c>
      <c r="P31" s="116">
        <v>1178.0999999999999</v>
      </c>
      <c r="Q31" s="116">
        <v>1166.8499999999999</v>
      </c>
      <c r="R31">
        <v>733601</v>
      </c>
    </row>
    <row r="32" spans="1:18" x14ac:dyDescent="0.25">
      <c r="A32" s="170">
        <v>45301</v>
      </c>
      <c r="B32" s="116">
        <v>1170</v>
      </c>
      <c r="C32" s="116">
        <v>1163.3</v>
      </c>
      <c r="D32" s="116">
        <v>1155.7</v>
      </c>
      <c r="E32" s="116">
        <v>1167.7</v>
      </c>
      <c r="F32" s="116">
        <v>1163.3</v>
      </c>
      <c r="G32">
        <v>59128</v>
      </c>
      <c r="H32" s="116"/>
      <c r="I32" s="116"/>
      <c r="L32" s="170">
        <v>45301</v>
      </c>
      <c r="M32" s="116">
        <v>1163.25</v>
      </c>
      <c r="N32" s="116">
        <v>1170.0999999999999</v>
      </c>
      <c r="O32" s="116">
        <v>1156</v>
      </c>
      <c r="P32" s="116">
        <v>1170.0999999999999</v>
      </c>
      <c r="Q32" s="116">
        <v>1163.25</v>
      </c>
      <c r="R32">
        <v>626896</v>
      </c>
    </row>
    <row r="33" spans="1:18" x14ac:dyDescent="0.25">
      <c r="A33" s="170">
        <v>45302</v>
      </c>
      <c r="B33" s="116">
        <v>1169.55</v>
      </c>
      <c r="C33" s="116">
        <v>1159.9000000000001</v>
      </c>
      <c r="D33" s="116">
        <v>1158</v>
      </c>
      <c r="E33" s="116">
        <v>1166.75</v>
      </c>
      <c r="F33" s="116">
        <v>1159.9000000000001</v>
      </c>
      <c r="G33">
        <v>120614</v>
      </c>
      <c r="H33" s="116"/>
      <c r="I33" s="116"/>
      <c r="L33" s="170">
        <v>45302</v>
      </c>
      <c r="M33" s="116">
        <v>1159.5999999999999</v>
      </c>
      <c r="N33" s="116">
        <v>1169</v>
      </c>
      <c r="O33" s="116">
        <v>1158</v>
      </c>
      <c r="P33" s="116">
        <v>1167.95</v>
      </c>
      <c r="Q33" s="116">
        <v>1159.5999999999999</v>
      </c>
      <c r="R33">
        <v>636047</v>
      </c>
    </row>
    <row r="34" spans="1:18" x14ac:dyDescent="0.25">
      <c r="A34" s="170">
        <v>45303</v>
      </c>
      <c r="B34" s="116">
        <v>1200</v>
      </c>
      <c r="C34" s="116">
        <v>1167.9000000000001</v>
      </c>
      <c r="D34" s="116">
        <v>1160.8</v>
      </c>
      <c r="E34" s="116">
        <v>1165</v>
      </c>
      <c r="F34" s="116">
        <v>1167.9000000000001</v>
      </c>
      <c r="G34">
        <v>345968</v>
      </c>
      <c r="H34" s="116"/>
      <c r="I34" s="116"/>
      <c r="L34" s="170">
        <v>45303</v>
      </c>
      <c r="M34" s="116">
        <v>1167.45</v>
      </c>
      <c r="N34" s="116">
        <v>1202</v>
      </c>
      <c r="O34" s="116">
        <v>1160.0999999999999</v>
      </c>
      <c r="P34" s="116">
        <v>1163.7</v>
      </c>
      <c r="Q34" s="116">
        <v>1167.45</v>
      </c>
      <c r="R34">
        <v>2470848</v>
      </c>
    </row>
    <row r="35" spans="1:18" x14ac:dyDescent="0.25">
      <c r="A35" s="170">
        <v>45306</v>
      </c>
      <c r="B35" s="116">
        <v>1185</v>
      </c>
      <c r="C35" s="116">
        <v>1171.95</v>
      </c>
      <c r="D35" s="116">
        <v>1169</v>
      </c>
      <c r="E35" s="116">
        <v>1181</v>
      </c>
      <c r="F35" s="116">
        <v>1171.95</v>
      </c>
      <c r="G35">
        <v>126844</v>
      </c>
      <c r="H35" s="116"/>
      <c r="I35" s="116"/>
      <c r="L35" s="170">
        <v>45306</v>
      </c>
      <c r="M35" s="116">
        <v>1171.75</v>
      </c>
      <c r="N35" s="116">
        <v>1184.9000000000001</v>
      </c>
      <c r="O35" s="116">
        <v>1169.1500000000001</v>
      </c>
      <c r="P35" s="116">
        <v>1180</v>
      </c>
      <c r="Q35" s="116">
        <v>1171.75</v>
      </c>
      <c r="R35">
        <v>757174</v>
      </c>
    </row>
    <row r="36" spans="1:18" x14ac:dyDescent="0.25">
      <c r="A36" s="170">
        <v>45307</v>
      </c>
      <c r="B36" s="116">
        <v>1172.75</v>
      </c>
      <c r="C36" s="116">
        <v>1162.9000000000001</v>
      </c>
      <c r="D36" s="116">
        <v>1160</v>
      </c>
      <c r="E36" s="116">
        <v>1172</v>
      </c>
      <c r="F36" s="116">
        <v>1162.9000000000001</v>
      </c>
      <c r="G36">
        <v>135359</v>
      </c>
      <c r="H36" s="116"/>
      <c r="I36" s="116"/>
      <c r="L36" s="170">
        <v>45307</v>
      </c>
      <c r="M36" s="116">
        <v>1163.3</v>
      </c>
      <c r="N36" s="116">
        <v>1171.9000000000001</v>
      </c>
      <c r="O36" s="116">
        <v>1160</v>
      </c>
      <c r="P36" s="116">
        <v>1171.9000000000001</v>
      </c>
      <c r="Q36" s="116">
        <v>1163.3</v>
      </c>
      <c r="R36">
        <v>729567</v>
      </c>
    </row>
    <row r="37" spans="1:18" x14ac:dyDescent="0.25">
      <c r="A37" s="170">
        <v>45308</v>
      </c>
      <c r="B37" s="116">
        <v>1166.4000000000001</v>
      </c>
      <c r="C37" s="116">
        <v>1156.8</v>
      </c>
      <c r="D37" s="116">
        <v>1154.75</v>
      </c>
      <c r="E37" s="116">
        <v>1160</v>
      </c>
      <c r="F37" s="116">
        <v>1156.8</v>
      </c>
      <c r="G37">
        <v>44626</v>
      </c>
      <c r="H37" s="116"/>
      <c r="I37" s="116"/>
      <c r="L37" s="170">
        <v>45308</v>
      </c>
      <c r="M37" s="116">
        <v>1156.5</v>
      </c>
      <c r="N37" s="116">
        <v>1166.4000000000001</v>
      </c>
      <c r="O37" s="116">
        <v>1153.25</v>
      </c>
      <c r="P37" s="116">
        <v>1157.9000000000001</v>
      </c>
      <c r="Q37" s="116">
        <v>1156.5</v>
      </c>
      <c r="R37">
        <v>718624</v>
      </c>
    </row>
    <row r="38" spans="1:18" x14ac:dyDescent="0.25">
      <c r="A38" s="170">
        <v>45309</v>
      </c>
      <c r="B38" s="116">
        <v>1161.0999999999999</v>
      </c>
      <c r="C38" s="116">
        <v>1150.1500000000001</v>
      </c>
      <c r="D38" s="116">
        <v>1130</v>
      </c>
      <c r="E38" s="116">
        <v>1155.25</v>
      </c>
      <c r="F38" s="116">
        <v>1150.1500000000001</v>
      </c>
      <c r="G38">
        <v>163475</v>
      </c>
      <c r="H38" s="116"/>
      <c r="I38" s="116"/>
      <c r="L38" s="170">
        <v>45309</v>
      </c>
      <c r="M38" s="116">
        <v>1150.4000000000001</v>
      </c>
      <c r="N38" s="116">
        <v>1160.9000000000001</v>
      </c>
      <c r="O38" s="116">
        <v>1130.0999999999999</v>
      </c>
      <c r="P38" s="116">
        <v>1155.0999999999999</v>
      </c>
      <c r="Q38" s="116">
        <v>1150.4000000000001</v>
      </c>
      <c r="R38">
        <v>763685</v>
      </c>
    </row>
    <row r="39" spans="1:18" x14ac:dyDescent="0.25">
      <c r="A39" s="170">
        <v>45310</v>
      </c>
      <c r="B39" s="116">
        <v>1158.45</v>
      </c>
      <c r="C39" s="116">
        <v>1141.2</v>
      </c>
      <c r="D39" s="116">
        <v>1140</v>
      </c>
      <c r="E39" s="116">
        <v>1158.45</v>
      </c>
      <c r="F39" s="116">
        <v>1141.2</v>
      </c>
      <c r="G39">
        <v>51853</v>
      </c>
      <c r="H39" s="116"/>
      <c r="I39" s="116"/>
      <c r="L39" s="170">
        <v>45310</v>
      </c>
      <c r="M39" s="116">
        <v>1140.6500000000001</v>
      </c>
      <c r="N39" s="116">
        <v>1157</v>
      </c>
      <c r="O39" s="116">
        <v>1140</v>
      </c>
      <c r="P39" s="116">
        <v>1157</v>
      </c>
      <c r="Q39" s="116">
        <v>1140.6500000000001</v>
      </c>
      <c r="R39">
        <v>835628</v>
      </c>
    </row>
    <row r="40" spans="1:18" x14ac:dyDescent="0.25">
      <c r="A40" s="170">
        <v>45311</v>
      </c>
      <c r="B40" s="116">
        <v>1169</v>
      </c>
      <c r="C40" s="116">
        <v>1154.1500000000001</v>
      </c>
      <c r="D40" s="116">
        <v>1140.7</v>
      </c>
      <c r="E40" s="116">
        <v>1145</v>
      </c>
      <c r="F40" s="116">
        <v>1154.1500000000001</v>
      </c>
      <c r="G40">
        <v>119669</v>
      </c>
      <c r="H40" s="116"/>
      <c r="I40" s="116"/>
      <c r="L40" s="170">
        <v>45311</v>
      </c>
      <c r="M40" s="116">
        <v>1153.4000000000001</v>
      </c>
      <c r="N40" s="116">
        <v>1169.05</v>
      </c>
      <c r="O40" s="116">
        <v>1142.1500000000001</v>
      </c>
      <c r="P40" s="116">
        <v>1145</v>
      </c>
      <c r="Q40" s="116">
        <v>1153.4000000000001</v>
      </c>
      <c r="R40">
        <v>596224</v>
      </c>
    </row>
    <row r="41" spans="1:18" x14ac:dyDescent="0.25">
      <c r="A41" s="170">
        <v>45314</v>
      </c>
      <c r="B41" s="116">
        <v>1163.45</v>
      </c>
      <c r="C41" s="116">
        <v>1142.75</v>
      </c>
      <c r="D41" s="116">
        <v>1140.55</v>
      </c>
      <c r="E41" s="116">
        <v>1160.75</v>
      </c>
      <c r="F41" s="116">
        <v>1142.75</v>
      </c>
      <c r="G41">
        <v>143169</v>
      </c>
      <c r="H41" s="116"/>
      <c r="I41" s="116"/>
      <c r="L41" s="170">
        <v>45314</v>
      </c>
      <c r="M41" s="116">
        <v>1142.4000000000001</v>
      </c>
      <c r="N41" s="116">
        <v>1163.5</v>
      </c>
      <c r="O41" s="116">
        <v>1140</v>
      </c>
      <c r="P41" s="116">
        <v>1162.2</v>
      </c>
      <c r="Q41" s="116">
        <v>1142.4000000000001</v>
      </c>
      <c r="R41">
        <v>571921</v>
      </c>
    </row>
    <row r="42" spans="1:18" x14ac:dyDescent="0.25">
      <c r="A42" s="170">
        <v>45315</v>
      </c>
      <c r="B42" s="116">
        <v>1153.95</v>
      </c>
      <c r="C42" s="116">
        <v>1142.95</v>
      </c>
      <c r="D42" s="116">
        <v>1139.55</v>
      </c>
      <c r="E42" s="116">
        <v>1145.3</v>
      </c>
      <c r="F42" s="116">
        <v>1142.95</v>
      </c>
      <c r="G42">
        <v>90160</v>
      </c>
      <c r="H42" s="116"/>
      <c r="I42" s="116"/>
      <c r="L42" s="170">
        <v>45315</v>
      </c>
      <c r="M42" s="116">
        <v>1142.55</v>
      </c>
      <c r="N42" s="116">
        <v>1153.9000000000001</v>
      </c>
      <c r="O42" s="116">
        <v>1139.5</v>
      </c>
      <c r="P42" s="116">
        <v>1149</v>
      </c>
      <c r="Q42" s="116">
        <v>1142.55</v>
      </c>
      <c r="R42">
        <v>469822</v>
      </c>
    </row>
    <row r="43" spans="1:18" x14ac:dyDescent="0.25">
      <c r="A43" s="170">
        <v>45316</v>
      </c>
      <c r="B43" s="116">
        <v>1150</v>
      </c>
      <c r="C43" s="116">
        <v>1144.2</v>
      </c>
      <c r="D43" s="116">
        <v>1138</v>
      </c>
      <c r="E43" s="116">
        <v>1145</v>
      </c>
      <c r="F43" s="116">
        <v>1144.2</v>
      </c>
      <c r="G43">
        <v>92307</v>
      </c>
      <c r="H43" s="116"/>
      <c r="I43" s="116"/>
      <c r="L43" s="170">
        <v>45316</v>
      </c>
      <c r="M43" s="116">
        <v>1144.55</v>
      </c>
      <c r="N43" s="116">
        <v>1151.55</v>
      </c>
      <c r="O43" s="116">
        <v>1138.5</v>
      </c>
      <c r="P43" s="116">
        <v>1146</v>
      </c>
      <c r="Q43" s="116">
        <v>1144.55</v>
      </c>
      <c r="R43">
        <v>556575</v>
      </c>
    </row>
    <row r="44" spans="1:18" x14ac:dyDescent="0.25">
      <c r="A44" s="170">
        <v>45320</v>
      </c>
      <c r="B44" s="116">
        <v>1163.45</v>
      </c>
      <c r="C44" s="116">
        <v>1138.55</v>
      </c>
      <c r="D44" s="116">
        <v>1137.5</v>
      </c>
      <c r="E44" s="116">
        <v>1162.5</v>
      </c>
      <c r="F44" s="116">
        <v>1138.55</v>
      </c>
      <c r="G44">
        <v>63627</v>
      </c>
      <c r="H44" s="116"/>
      <c r="I44" s="116"/>
      <c r="L44" s="170">
        <v>45320</v>
      </c>
      <c r="M44" s="116">
        <v>1138.5999999999999</v>
      </c>
      <c r="N44" s="116">
        <v>1163</v>
      </c>
      <c r="O44" s="116">
        <v>1137</v>
      </c>
      <c r="P44" s="116">
        <v>1161</v>
      </c>
      <c r="Q44" s="116">
        <v>1138.5999999999999</v>
      </c>
      <c r="R44">
        <v>1043648</v>
      </c>
    </row>
    <row r="45" spans="1:18" x14ac:dyDescent="0.25">
      <c r="A45" s="170">
        <v>45321</v>
      </c>
      <c r="B45" s="116">
        <v>1144</v>
      </c>
      <c r="C45" s="116">
        <v>1121.7</v>
      </c>
      <c r="D45" s="116">
        <v>1118.45</v>
      </c>
      <c r="E45" s="116">
        <v>1140</v>
      </c>
      <c r="F45" s="116">
        <v>1121.7</v>
      </c>
      <c r="G45">
        <v>69819</v>
      </c>
      <c r="H45" s="116"/>
      <c r="I45" s="116"/>
      <c r="L45" s="170">
        <v>45321</v>
      </c>
      <c r="M45" s="116">
        <v>1120.8499999999999</v>
      </c>
      <c r="N45" s="116">
        <v>1144</v>
      </c>
      <c r="O45" s="116">
        <v>1118.0999999999999</v>
      </c>
      <c r="P45" s="116">
        <v>1141.5</v>
      </c>
      <c r="Q45" s="116">
        <v>1120.8499999999999</v>
      </c>
      <c r="R45">
        <v>1123701</v>
      </c>
    </row>
    <row r="46" spans="1:18" x14ac:dyDescent="0.25">
      <c r="A46" s="170">
        <v>45322</v>
      </c>
      <c r="B46" s="116">
        <v>1125</v>
      </c>
      <c r="C46" s="116">
        <v>1111.4000000000001</v>
      </c>
      <c r="D46" s="116">
        <v>1108.7</v>
      </c>
      <c r="E46" s="116">
        <v>1122.1500000000001</v>
      </c>
      <c r="F46" s="116">
        <v>1111.4000000000001</v>
      </c>
      <c r="G46">
        <v>165828</v>
      </c>
      <c r="H46" s="116"/>
      <c r="I46" s="116"/>
      <c r="L46" s="170">
        <v>45322</v>
      </c>
      <c r="M46" s="116">
        <v>1111.4000000000001</v>
      </c>
      <c r="N46" s="116">
        <v>1124.7</v>
      </c>
      <c r="O46" s="116">
        <v>1108.8</v>
      </c>
      <c r="P46" s="116">
        <v>1124.7</v>
      </c>
      <c r="Q46" s="116">
        <v>1111.4000000000001</v>
      </c>
      <c r="R46">
        <v>780688</v>
      </c>
    </row>
    <row r="47" spans="1:18" x14ac:dyDescent="0.25">
      <c r="A47" s="170">
        <v>45323</v>
      </c>
      <c r="B47" s="116">
        <v>1118.4000000000001</v>
      </c>
      <c r="C47" s="116">
        <v>1098.45</v>
      </c>
      <c r="D47" s="116">
        <v>1094.05</v>
      </c>
      <c r="E47" s="116">
        <v>1115.1500000000001</v>
      </c>
      <c r="F47" s="116">
        <v>1098.45</v>
      </c>
      <c r="G47">
        <v>207795</v>
      </c>
      <c r="H47" s="116"/>
      <c r="I47" s="116"/>
      <c r="L47" s="170">
        <v>45323</v>
      </c>
      <c r="M47" s="116">
        <v>1098.5</v>
      </c>
      <c r="N47" s="116">
        <v>1119</v>
      </c>
      <c r="O47" s="116">
        <v>1094.0999999999999</v>
      </c>
      <c r="P47" s="116">
        <v>1119</v>
      </c>
      <c r="Q47" s="116">
        <v>1098.5</v>
      </c>
      <c r="R47">
        <v>1090740</v>
      </c>
    </row>
    <row r="48" spans="1:18" x14ac:dyDescent="0.25">
      <c r="A48" s="170">
        <v>45324</v>
      </c>
      <c r="B48" s="116">
        <v>1103.8499999999999</v>
      </c>
      <c r="C48" s="116">
        <v>1098.5</v>
      </c>
      <c r="D48" s="116">
        <v>1088.7</v>
      </c>
      <c r="E48" s="116">
        <v>1103.8499999999999</v>
      </c>
      <c r="F48" s="116">
        <v>1098.5</v>
      </c>
      <c r="G48">
        <v>60968</v>
      </c>
      <c r="H48" s="116"/>
      <c r="I48" s="116"/>
      <c r="L48" s="170">
        <v>45324</v>
      </c>
      <c r="M48" s="116">
        <v>1098.3</v>
      </c>
      <c r="N48" s="116">
        <v>1106</v>
      </c>
      <c r="O48" s="116">
        <v>1088.05</v>
      </c>
      <c r="P48" s="116">
        <v>1101.05</v>
      </c>
      <c r="Q48" s="116">
        <v>1098.3</v>
      </c>
      <c r="R48">
        <v>873712</v>
      </c>
    </row>
    <row r="49" spans="1:18" x14ac:dyDescent="0.25">
      <c r="A49" s="170">
        <v>45327</v>
      </c>
      <c r="B49" s="116">
        <v>1101.6500000000001</v>
      </c>
      <c r="C49" s="116">
        <v>1081.9000000000001</v>
      </c>
      <c r="D49" s="116">
        <v>1080</v>
      </c>
      <c r="E49" s="116">
        <v>1099.6500000000001</v>
      </c>
      <c r="F49" s="116">
        <v>1081.9000000000001</v>
      </c>
      <c r="G49">
        <v>186316</v>
      </c>
      <c r="H49" s="116"/>
      <c r="I49" s="116"/>
      <c r="L49" s="170">
        <v>45327</v>
      </c>
      <c r="M49" s="116">
        <v>1081.75</v>
      </c>
      <c r="N49" s="116">
        <v>1102.4000000000001</v>
      </c>
      <c r="O49" s="116">
        <v>1080</v>
      </c>
      <c r="P49" s="116">
        <v>1101.05</v>
      </c>
      <c r="Q49" s="116">
        <v>1081.75</v>
      </c>
      <c r="R49">
        <v>845963</v>
      </c>
    </row>
    <row r="50" spans="1:18" x14ac:dyDescent="0.25">
      <c r="A50" s="170">
        <v>45328</v>
      </c>
      <c r="B50" s="116">
        <v>1161.95</v>
      </c>
      <c r="C50" s="116">
        <v>1131.2</v>
      </c>
      <c r="D50" s="116">
        <v>1071</v>
      </c>
      <c r="E50" s="116">
        <v>1081.9000000000001</v>
      </c>
      <c r="F50" s="116">
        <v>1131.2</v>
      </c>
      <c r="G50">
        <v>450663</v>
      </c>
      <c r="H50" s="116"/>
      <c r="I50" s="116"/>
      <c r="L50" s="170">
        <v>45328</v>
      </c>
      <c r="M50" s="116">
        <v>1130.25</v>
      </c>
      <c r="N50" s="116">
        <v>1163.55</v>
      </c>
      <c r="O50" s="116">
        <v>1071.05</v>
      </c>
      <c r="P50" s="116">
        <v>1082.5</v>
      </c>
      <c r="Q50" s="116">
        <v>1130.25</v>
      </c>
      <c r="R50">
        <v>3429953</v>
      </c>
    </row>
    <row r="51" spans="1:18" x14ac:dyDescent="0.25">
      <c r="A51" s="170">
        <v>45329</v>
      </c>
      <c r="B51" s="116">
        <v>1151.8499999999999</v>
      </c>
      <c r="C51" s="116">
        <v>1113.45</v>
      </c>
      <c r="D51" s="116">
        <v>1109.3499999999999</v>
      </c>
      <c r="E51" s="116">
        <v>1151.8499999999999</v>
      </c>
      <c r="F51" s="116">
        <v>1113.45</v>
      </c>
      <c r="G51">
        <v>152122</v>
      </c>
      <c r="H51" s="116"/>
      <c r="I51" s="116"/>
      <c r="L51" s="170">
        <v>45329</v>
      </c>
      <c r="M51" s="116">
        <v>1113.9000000000001</v>
      </c>
      <c r="N51" s="116">
        <v>1148.75</v>
      </c>
      <c r="O51" s="116">
        <v>1109.3499999999999</v>
      </c>
      <c r="P51" s="116">
        <v>1148.3</v>
      </c>
      <c r="Q51" s="116">
        <v>1113.9000000000001</v>
      </c>
      <c r="R51">
        <v>999988</v>
      </c>
    </row>
    <row r="52" spans="1:18" x14ac:dyDescent="0.25">
      <c r="A52" s="170">
        <v>45330</v>
      </c>
      <c r="B52" s="116">
        <v>1135.05</v>
      </c>
      <c r="C52" s="116">
        <v>1113</v>
      </c>
      <c r="D52" s="116">
        <v>1105.95</v>
      </c>
      <c r="E52" s="116">
        <v>1120.05</v>
      </c>
      <c r="F52" s="116">
        <v>1113</v>
      </c>
      <c r="G52">
        <v>48672</v>
      </c>
      <c r="H52" s="116"/>
      <c r="I52" s="116"/>
      <c r="L52" s="170">
        <v>45330</v>
      </c>
      <c r="M52" s="116">
        <v>1113.8499999999999</v>
      </c>
      <c r="N52" s="116">
        <v>1135.9000000000001</v>
      </c>
      <c r="O52" s="116">
        <v>1106.3499999999999</v>
      </c>
      <c r="P52" s="116">
        <v>1122.8</v>
      </c>
      <c r="Q52" s="116">
        <v>1113.8499999999999</v>
      </c>
      <c r="R52">
        <v>736687</v>
      </c>
    </row>
    <row r="53" spans="1:18" x14ac:dyDescent="0.25">
      <c r="A53" s="170">
        <v>45331</v>
      </c>
      <c r="B53" s="116">
        <v>1154</v>
      </c>
      <c r="C53" s="116">
        <v>1130.7</v>
      </c>
      <c r="D53" s="116">
        <v>1098.95</v>
      </c>
      <c r="E53" s="116">
        <v>1113.6500000000001</v>
      </c>
      <c r="F53" s="116">
        <v>1130.7</v>
      </c>
      <c r="G53">
        <v>119646</v>
      </c>
      <c r="H53" s="116"/>
      <c r="I53" s="116"/>
      <c r="L53" s="170">
        <v>45331</v>
      </c>
      <c r="M53" s="116">
        <v>1130.3</v>
      </c>
      <c r="N53" s="116">
        <v>1154.4000000000001</v>
      </c>
      <c r="O53" s="116">
        <v>1098.7</v>
      </c>
      <c r="P53" s="116">
        <v>1116.4000000000001</v>
      </c>
      <c r="Q53" s="116">
        <v>1130.3</v>
      </c>
      <c r="R53">
        <v>1238596</v>
      </c>
    </row>
    <row r="54" spans="1:18" x14ac:dyDescent="0.25">
      <c r="A54" s="170">
        <v>45334</v>
      </c>
      <c r="B54" s="116">
        <v>1137.3499999999999</v>
      </c>
      <c r="C54" s="116">
        <v>1110.45</v>
      </c>
      <c r="D54" s="116">
        <v>1106.6500000000001</v>
      </c>
      <c r="E54" s="116">
        <v>1135</v>
      </c>
      <c r="F54" s="116">
        <v>1110.45</v>
      </c>
      <c r="G54">
        <v>113232</v>
      </c>
      <c r="H54" s="116"/>
      <c r="I54" s="116"/>
      <c r="L54" s="170">
        <v>45334</v>
      </c>
      <c r="M54" s="116">
        <v>1110.4000000000001</v>
      </c>
      <c r="N54" s="116">
        <v>1137</v>
      </c>
      <c r="O54" s="116">
        <v>1106</v>
      </c>
      <c r="P54" s="116">
        <v>1134</v>
      </c>
      <c r="Q54" s="116">
        <v>1110.4000000000001</v>
      </c>
      <c r="R54">
        <v>618737</v>
      </c>
    </row>
    <row r="55" spans="1:18" x14ac:dyDescent="0.25">
      <c r="A55" s="170">
        <v>45335</v>
      </c>
      <c r="B55" s="116">
        <v>1119</v>
      </c>
      <c r="C55" s="116">
        <v>1104.2</v>
      </c>
      <c r="D55" s="116">
        <v>1085</v>
      </c>
      <c r="E55" s="116">
        <v>1119</v>
      </c>
      <c r="F55" s="116">
        <v>1104.2</v>
      </c>
      <c r="G55">
        <v>95676</v>
      </c>
      <c r="H55" s="116"/>
      <c r="I55" s="116"/>
      <c r="L55" s="170">
        <v>45335</v>
      </c>
      <c r="M55" s="116">
        <v>1104.45</v>
      </c>
      <c r="N55" s="116">
        <v>1120</v>
      </c>
      <c r="O55" s="116">
        <v>1084.5999999999999</v>
      </c>
      <c r="P55" s="116">
        <v>1120</v>
      </c>
      <c r="Q55" s="116">
        <v>1104.45</v>
      </c>
      <c r="R55">
        <v>585320</v>
      </c>
    </row>
    <row r="56" spans="1:18" x14ac:dyDescent="0.25">
      <c r="A56" s="170">
        <v>45336</v>
      </c>
      <c r="B56" s="116">
        <v>1119.3499999999999</v>
      </c>
      <c r="C56" s="116">
        <v>1107.3</v>
      </c>
      <c r="D56" s="116">
        <v>1089.5</v>
      </c>
      <c r="E56" s="116">
        <v>1098.9000000000001</v>
      </c>
      <c r="F56" s="116">
        <v>1107.3</v>
      </c>
      <c r="G56">
        <v>28131</v>
      </c>
      <c r="H56" s="116"/>
      <c r="I56" s="116"/>
      <c r="L56" s="170">
        <v>45336</v>
      </c>
      <c r="M56" s="116">
        <v>1106.8</v>
      </c>
      <c r="N56" s="116">
        <v>1120</v>
      </c>
      <c r="O56" s="116">
        <v>1089.25</v>
      </c>
      <c r="P56" s="116">
        <v>1093</v>
      </c>
      <c r="Q56" s="116">
        <v>1106.8</v>
      </c>
      <c r="R56">
        <v>443941</v>
      </c>
    </row>
    <row r="57" spans="1:18" x14ac:dyDescent="0.25">
      <c r="A57" s="170">
        <v>45337</v>
      </c>
      <c r="B57" s="116">
        <v>1120</v>
      </c>
      <c r="C57" s="116">
        <v>1107.7</v>
      </c>
      <c r="D57" s="116">
        <v>1105</v>
      </c>
      <c r="E57" s="116">
        <v>1114.3499999999999</v>
      </c>
      <c r="F57" s="116">
        <v>1107.7</v>
      </c>
      <c r="G57">
        <v>90127</v>
      </c>
      <c r="H57" s="116"/>
      <c r="I57" s="116"/>
      <c r="L57" s="170">
        <v>45337</v>
      </c>
      <c r="M57" s="116">
        <v>1107.0999999999999</v>
      </c>
      <c r="N57" s="116">
        <v>1119.8</v>
      </c>
      <c r="O57" s="116">
        <v>1100.8499999999999</v>
      </c>
      <c r="P57" s="116">
        <v>1112.95</v>
      </c>
      <c r="Q57" s="116">
        <v>1107.0999999999999</v>
      </c>
      <c r="R57">
        <v>372945</v>
      </c>
    </row>
    <row r="58" spans="1:18" x14ac:dyDescent="0.25">
      <c r="A58" s="170">
        <v>45338</v>
      </c>
      <c r="B58" s="116">
        <v>1113.8499999999999</v>
      </c>
      <c r="C58" s="116">
        <v>1105.55</v>
      </c>
      <c r="D58" s="116">
        <v>1101.3499999999999</v>
      </c>
      <c r="E58" s="116">
        <v>1113.8499999999999</v>
      </c>
      <c r="F58" s="116">
        <v>1105.55</v>
      </c>
      <c r="G58">
        <v>82281</v>
      </c>
      <c r="H58" s="116"/>
      <c r="I58" s="116"/>
      <c r="L58" s="170">
        <v>45338</v>
      </c>
      <c r="M58" s="116">
        <v>1105.8499999999999</v>
      </c>
      <c r="N58" s="116">
        <v>1113.95</v>
      </c>
      <c r="O58" s="116">
        <v>1101.05</v>
      </c>
      <c r="P58" s="116">
        <v>1111.7</v>
      </c>
      <c r="Q58" s="116">
        <v>1105.8499999999999</v>
      </c>
      <c r="R58">
        <v>377791</v>
      </c>
    </row>
    <row r="59" spans="1:18" x14ac:dyDescent="0.25">
      <c r="A59" s="170">
        <v>45341</v>
      </c>
      <c r="B59" s="116">
        <v>1133</v>
      </c>
      <c r="C59" s="116">
        <v>1123.3499999999999</v>
      </c>
      <c r="D59" s="116">
        <v>1107.45</v>
      </c>
      <c r="E59" s="116">
        <v>1107.45</v>
      </c>
      <c r="F59" s="116">
        <v>1123.3499999999999</v>
      </c>
      <c r="G59">
        <v>42894</v>
      </c>
      <c r="H59" s="116"/>
      <c r="I59" s="116"/>
      <c r="L59" s="170">
        <v>45341</v>
      </c>
      <c r="M59" s="116">
        <v>1123.25</v>
      </c>
      <c r="N59" s="116">
        <v>1133.05</v>
      </c>
      <c r="O59" s="116">
        <v>1107.25</v>
      </c>
      <c r="P59" s="116">
        <v>1108.7</v>
      </c>
      <c r="Q59" s="116">
        <v>1123.25</v>
      </c>
      <c r="R59">
        <v>697681</v>
      </c>
    </row>
    <row r="60" spans="1:18" x14ac:dyDescent="0.25">
      <c r="A60" s="170">
        <v>45342</v>
      </c>
      <c r="B60" s="116">
        <v>1167.3</v>
      </c>
      <c r="C60" s="116">
        <v>1152.0999999999999</v>
      </c>
      <c r="D60" s="116">
        <v>1120</v>
      </c>
      <c r="E60" s="116">
        <v>1125</v>
      </c>
      <c r="F60" s="116">
        <v>1152.0999999999999</v>
      </c>
      <c r="G60">
        <v>258858</v>
      </c>
      <c r="H60" s="116"/>
      <c r="I60" s="116"/>
      <c r="L60" s="170">
        <v>45342</v>
      </c>
      <c r="M60" s="116">
        <v>1152.6500000000001</v>
      </c>
      <c r="N60" s="116">
        <v>1167.7</v>
      </c>
      <c r="O60" s="116">
        <v>1121</v>
      </c>
      <c r="P60" s="116">
        <v>1123.75</v>
      </c>
      <c r="Q60" s="116">
        <v>1152.6500000000001</v>
      </c>
      <c r="R60">
        <v>1872013</v>
      </c>
    </row>
    <row r="61" spans="1:18" x14ac:dyDescent="0.25">
      <c r="A61" s="170">
        <v>45343</v>
      </c>
      <c r="B61" s="116">
        <v>1170</v>
      </c>
      <c r="C61" s="116">
        <v>1156.05</v>
      </c>
      <c r="D61" s="116">
        <v>1138.9000000000001</v>
      </c>
      <c r="E61" s="116">
        <v>1167.95</v>
      </c>
      <c r="F61" s="116">
        <v>1156.05</v>
      </c>
      <c r="G61">
        <v>78743</v>
      </c>
      <c r="H61" s="116"/>
      <c r="I61" s="116"/>
      <c r="L61" s="170">
        <v>45343</v>
      </c>
      <c r="M61" s="116">
        <v>1154.4000000000001</v>
      </c>
      <c r="N61" s="116">
        <v>1170</v>
      </c>
      <c r="O61" s="116">
        <v>1138.25</v>
      </c>
      <c r="P61" s="116">
        <v>1165</v>
      </c>
      <c r="Q61" s="116">
        <v>1154.4000000000001</v>
      </c>
      <c r="R61">
        <v>1186147</v>
      </c>
    </row>
    <row r="62" spans="1:18" x14ac:dyDescent="0.25">
      <c r="A62" s="170">
        <v>45344</v>
      </c>
      <c r="B62" s="116">
        <v>1165</v>
      </c>
      <c r="C62" s="116">
        <v>1156.75</v>
      </c>
      <c r="D62" s="116">
        <v>1142</v>
      </c>
      <c r="E62" s="116">
        <v>1163.8499999999999</v>
      </c>
      <c r="F62" s="116">
        <v>1156.75</v>
      </c>
      <c r="G62">
        <v>94501</v>
      </c>
      <c r="H62" s="116"/>
      <c r="I62" s="116"/>
      <c r="L62" s="170">
        <v>45344</v>
      </c>
      <c r="M62" s="116">
        <v>1156.75</v>
      </c>
      <c r="N62" s="116">
        <v>1165.05</v>
      </c>
      <c r="O62" s="116">
        <v>1142.2</v>
      </c>
      <c r="P62" s="116">
        <v>1159.95</v>
      </c>
      <c r="Q62" s="116">
        <v>1156.75</v>
      </c>
      <c r="R62">
        <v>552410</v>
      </c>
    </row>
    <row r="63" spans="1:18" x14ac:dyDescent="0.25">
      <c r="A63" s="170">
        <v>45345</v>
      </c>
      <c r="B63" s="116">
        <v>1179</v>
      </c>
      <c r="C63" s="116">
        <v>1160.5999999999999</v>
      </c>
      <c r="D63" s="116">
        <v>1156.75</v>
      </c>
      <c r="E63" s="116">
        <v>1160.1500000000001</v>
      </c>
      <c r="F63" s="116">
        <v>1160.5999999999999</v>
      </c>
      <c r="G63">
        <v>146936</v>
      </c>
      <c r="H63" s="116"/>
      <c r="I63" s="116"/>
      <c r="L63" s="170">
        <v>45345</v>
      </c>
      <c r="M63" s="116">
        <v>1160.5</v>
      </c>
      <c r="N63" s="116">
        <v>1179</v>
      </c>
      <c r="O63" s="116">
        <v>1156.25</v>
      </c>
      <c r="P63" s="116">
        <v>1161.7</v>
      </c>
      <c r="Q63" s="116">
        <v>1160.5</v>
      </c>
      <c r="R63">
        <v>942660</v>
      </c>
    </row>
    <row r="64" spans="1:18" x14ac:dyDescent="0.25">
      <c r="A64" s="170">
        <v>45348</v>
      </c>
      <c r="B64" s="116">
        <v>1160.5999999999999</v>
      </c>
      <c r="C64" s="116">
        <v>1098.8</v>
      </c>
      <c r="D64" s="116">
        <v>1097</v>
      </c>
      <c r="E64" s="116">
        <v>1160.5999999999999</v>
      </c>
      <c r="F64" s="116">
        <v>1098.8</v>
      </c>
      <c r="G64">
        <v>338302</v>
      </c>
      <c r="H64" s="116"/>
      <c r="I64" s="116"/>
      <c r="L64" s="170">
        <v>45348</v>
      </c>
      <c r="M64" s="116">
        <v>1098.7</v>
      </c>
      <c r="N64" s="116">
        <v>1161</v>
      </c>
      <c r="O64" s="116">
        <v>1096.25</v>
      </c>
      <c r="P64" s="116">
        <v>1160.5</v>
      </c>
      <c r="Q64" s="116">
        <v>1098.7</v>
      </c>
      <c r="R64">
        <v>2759041</v>
      </c>
    </row>
    <row r="65" spans="1:18" x14ac:dyDescent="0.25">
      <c r="A65" s="170">
        <v>45349</v>
      </c>
      <c r="B65" s="116">
        <v>1110.3499999999999</v>
      </c>
      <c r="C65" s="116">
        <v>1076.2</v>
      </c>
      <c r="D65" s="116">
        <v>1074</v>
      </c>
      <c r="E65" s="116">
        <v>1108.7</v>
      </c>
      <c r="F65" s="116">
        <v>1076.2</v>
      </c>
      <c r="G65">
        <v>246568</v>
      </c>
      <c r="H65" s="116"/>
      <c r="I65" s="116"/>
      <c r="L65" s="170">
        <v>45349</v>
      </c>
      <c r="M65" s="116">
        <v>1075.75</v>
      </c>
      <c r="N65" s="116">
        <v>1110.0999999999999</v>
      </c>
      <c r="O65" s="116">
        <v>1073.55</v>
      </c>
      <c r="P65" s="116">
        <v>1103.95</v>
      </c>
      <c r="Q65" s="116">
        <v>1075.75</v>
      </c>
      <c r="R65">
        <v>1589007</v>
      </c>
    </row>
    <row r="66" spans="1:18" x14ac:dyDescent="0.25">
      <c r="A66" s="170">
        <v>45350</v>
      </c>
      <c r="B66" s="116">
        <v>1086.0999999999999</v>
      </c>
      <c r="C66" s="116">
        <v>1046.0999999999999</v>
      </c>
      <c r="D66" s="116">
        <v>1043.2</v>
      </c>
      <c r="E66" s="116">
        <v>1084.95</v>
      </c>
      <c r="F66" s="116">
        <v>1046.0999999999999</v>
      </c>
      <c r="G66">
        <v>305971</v>
      </c>
      <c r="H66" s="116"/>
      <c r="I66" s="116"/>
      <c r="L66" s="170">
        <v>45350</v>
      </c>
      <c r="M66" s="116">
        <v>1045.95</v>
      </c>
      <c r="N66" s="116">
        <v>1086.5</v>
      </c>
      <c r="O66" s="116">
        <v>1043</v>
      </c>
      <c r="P66" s="116">
        <v>1080</v>
      </c>
      <c r="Q66" s="116">
        <v>1045.95</v>
      </c>
      <c r="R66">
        <v>1801058</v>
      </c>
    </row>
    <row r="67" spans="1:18" x14ac:dyDescent="0.25">
      <c r="A67" s="170">
        <v>45351</v>
      </c>
      <c r="B67" s="116">
        <v>1094.9000000000001</v>
      </c>
      <c r="C67" s="116">
        <v>1084.8</v>
      </c>
      <c r="D67" s="116">
        <v>1034</v>
      </c>
      <c r="E67" s="116">
        <v>1046</v>
      </c>
      <c r="F67" s="116">
        <v>1084.8</v>
      </c>
      <c r="G67">
        <v>279823</v>
      </c>
      <c r="H67" s="116"/>
      <c r="I67" s="116"/>
      <c r="L67" s="170">
        <v>45351</v>
      </c>
      <c r="M67" s="116">
        <v>1083.4000000000001</v>
      </c>
      <c r="N67" s="116">
        <v>1095</v>
      </c>
      <c r="O67" s="116">
        <v>1033.0999999999999</v>
      </c>
      <c r="P67" s="116">
        <v>1044.95</v>
      </c>
      <c r="Q67" s="116">
        <v>1083.4000000000001</v>
      </c>
      <c r="R67">
        <v>2111686</v>
      </c>
    </row>
    <row r="68" spans="1:18" x14ac:dyDescent="0.25">
      <c r="A68" s="170">
        <v>45352</v>
      </c>
      <c r="B68" s="116">
        <v>1104.8</v>
      </c>
      <c r="C68" s="116">
        <v>1088.1500000000001</v>
      </c>
      <c r="D68" s="116">
        <v>1085.55</v>
      </c>
      <c r="E68" s="116">
        <v>1096.3</v>
      </c>
      <c r="F68" s="116">
        <v>1088.1500000000001</v>
      </c>
      <c r="G68">
        <v>137728</v>
      </c>
      <c r="H68" s="116"/>
      <c r="I68" s="116"/>
      <c r="L68" s="170">
        <v>45352</v>
      </c>
      <c r="M68" s="116">
        <v>1088.4000000000001</v>
      </c>
      <c r="N68" s="116">
        <v>1105</v>
      </c>
      <c r="O68" s="116">
        <v>1086.0999999999999</v>
      </c>
      <c r="P68" s="116">
        <v>1097.6500000000001</v>
      </c>
      <c r="Q68" s="116">
        <v>1088.4000000000001</v>
      </c>
      <c r="R68">
        <v>718126</v>
      </c>
    </row>
    <row r="69" spans="1:18" x14ac:dyDescent="0.25">
      <c r="A69" s="170">
        <v>45353</v>
      </c>
      <c r="B69" s="116">
        <v>1108.5</v>
      </c>
      <c r="C69" s="116">
        <v>1095.25</v>
      </c>
      <c r="D69" s="116">
        <v>1090</v>
      </c>
      <c r="E69" s="116">
        <v>1094.95</v>
      </c>
      <c r="F69" s="116">
        <v>1095.25</v>
      </c>
      <c r="G69">
        <v>14641</v>
      </c>
      <c r="H69" s="116"/>
      <c r="I69" s="116"/>
      <c r="L69" s="170">
        <v>45353</v>
      </c>
      <c r="M69" s="116">
        <v>1094.45</v>
      </c>
      <c r="N69" s="116">
        <v>1098</v>
      </c>
      <c r="O69" s="116">
        <v>1089.0999999999999</v>
      </c>
      <c r="P69" s="116">
        <v>1092.5</v>
      </c>
      <c r="Q69" s="116">
        <v>1094.45</v>
      </c>
      <c r="R69">
        <v>156122</v>
      </c>
    </row>
    <row r="70" spans="1:18" x14ac:dyDescent="0.25">
      <c r="A70" s="170">
        <v>45355</v>
      </c>
      <c r="B70" s="116">
        <v>1097.95</v>
      </c>
      <c r="C70" s="116">
        <v>1073.4000000000001</v>
      </c>
      <c r="D70" s="116">
        <v>1071</v>
      </c>
      <c r="E70" s="116">
        <v>1097.5</v>
      </c>
      <c r="F70" s="116">
        <v>1073.4000000000001</v>
      </c>
      <c r="G70">
        <v>104307</v>
      </c>
      <c r="H70" s="116"/>
      <c r="I70" s="116"/>
      <c r="L70" s="170">
        <v>45355</v>
      </c>
      <c r="M70" s="116">
        <v>1072.9000000000001</v>
      </c>
      <c r="N70" s="116">
        <v>1096.7</v>
      </c>
      <c r="O70" s="116">
        <v>1070</v>
      </c>
      <c r="P70" s="116">
        <v>1096.7</v>
      </c>
      <c r="Q70" s="116">
        <v>1072.9000000000001</v>
      </c>
      <c r="R70">
        <v>573201</v>
      </c>
    </row>
    <row r="71" spans="1:18" x14ac:dyDescent="0.25">
      <c r="A71" s="170">
        <v>45356</v>
      </c>
      <c r="B71" s="116">
        <v>1100.0999999999999</v>
      </c>
      <c r="C71" s="116">
        <v>1075.45</v>
      </c>
      <c r="D71" s="116">
        <v>1072.2</v>
      </c>
      <c r="E71" s="116">
        <v>1087.1500000000001</v>
      </c>
      <c r="F71" s="116">
        <v>1075.45</v>
      </c>
      <c r="G71">
        <v>152229</v>
      </c>
      <c r="H71" s="116"/>
      <c r="I71" s="116"/>
      <c r="L71" s="170">
        <v>45356</v>
      </c>
      <c r="M71" s="116">
        <v>1075.45</v>
      </c>
      <c r="N71" s="116">
        <v>1100.25</v>
      </c>
      <c r="O71" s="116">
        <v>1072.0999999999999</v>
      </c>
      <c r="P71" s="116">
        <v>1087</v>
      </c>
      <c r="Q71" s="116">
        <v>1075.45</v>
      </c>
      <c r="R71">
        <v>1042769</v>
      </c>
    </row>
    <row r="72" spans="1:18" x14ac:dyDescent="0.25">
      <c r="A72" s="170">
        <v>45357</v>
      </c>
      <c r="B72" s="116">
        <v>1077</v>
      </c>
      <c r="C72" s="116">
        <v>1069.3</v>
      </c>
      <c r="D72" s="116">
        <v>1058</v>
      </c>
      <c r="E72" s="116">
        <v>1076</v>
      </c>
      <c r="F72" s="116">
        <v>1069.3</v>
      </c>
      <c r="G72">
        <v>102987</v>
      </c>
      <c r="H72" s="116"/>
      <c r="I72" s="116"/>
      <c r="L72" s="170">
        <v>45357</v>
      </c>
      <c r="M72" s="116">
        <v>1069.1500000000001</v>
      </c>
      <c r="N72" s="116">
        <v>1076.2</v>
      </c>
      <c r="O72" s="116">
        <v>1058</v>
      </c>
      <c r="P72" s="116">
        <v>1075.45</v>
      </c>
      <c r="Q72" s="116">
        <v>1069.1500000000001</v>
      </c>
      <c r="R72">
        <v>539700</v>
      </c>
    </row>
    <row r="73" spans="1:18" x14ac:dyDescent="0.25">
      <c r="A73" s="170">
        <v>45358</v>
      </c>
      <c r="B73" s="116">
        <v>1146.75</v>
      </c>
      <c r="C73" s="116">
        <v>1127.5999999999999</v>
      </c>
      <c r="D73" s="116">
        <v>1069.3</v>
      </c>
      <c r="E73" s="116">
        <v>1070</v>
      </c>
      <c r="F73" s="116">
        <v>1127.5999999999999</v>
      </c>
      <c r="G73">
        <v>582564</v>
      </c>
      <c r="H73" s="116"/>
      <c r="I73" s="116"/>
      <c r="L73" s="170">
        <v>45358</v>
      </c>
      <c r="M73" s="116">
        <v>1127.4000000000001</v>
      </c>
      <c r="N73" s="116">
        <v>1146.45</v>
      </c>
      <c r="O73" s="116">
        <v>1070.25</v>
      </c>
      <c r="P73" s="116">
        <v>1070.25</v>
      </c>
      <c r="Q73" s="116">
        <v>1127.4000000000001</v>
      </c>
      <c r="R73">
        <v>4509646</v>
      </c>
    </row>
    <row r="74" spans="1:18" x14ac:dyDescent="0.25">
      <c r="A74" s="170">
        <v>45362</v>
      </c>
      <c r="B74" s="116">
        <v>1136.6500000000001</v>
      </c>
      <c r="C74" s="116">
        <v>1084.75</v>
      </c>
      <c r="D74" s="116">
        <v>1080.2</v>
      </c>
      <c r="E74" s="116">
        <v>1136.6500000000001</v>
      </c>
      <c r="F74" s="116">
        <v>1084.75</v>
      </c>
      <c r="G74">
        <v>193385</v>
      </c>
      <c r="H74" s="116"/>
      <c r="I74" s="116"/>
      <c r="L74" s="170">
        <v>45362</v>
      </c>
      <c r="M74" s="116">
        <v>1084.6500000000001</v>
      </c>
      <c r="N74" s="116">
        <v>1130</v>
      </c>
      <c r="O74" s="116">
        <v>1080</v>
      </c>
      <c r="P74" s="116">
        <v>1130</v>
      </c>
      <c r="Q74" s="116">
        <v>1084.6500000000001</v>
      </c>
      <c r="R74">
        <v>1504557</v>
      </c>
    </row>
    <row r="75" spans="1:18" x14ac:dyDescent="0.25">
      <c r="A75" s="170">
        <v>45363</v>
      </c>
      <c r="B75" s="116">
        <v>1092.55</v>
      </c>
      <c r="C75" s="116">
        <v>1067.2</v>
      </c>
      <c r="D75" s="116">
        <v>1063.5999999999999</v>
      </c>
      <c r="E75" s="116">
        <v>1085.55</v>
      </c>
      <c r="F75" s="116">
        <v>1067.2</v>
      </c>
      <c r="G75">
        <v>154695</v>
      </c>
      <c r="H75" s="116"/>
      <c r="I75" s="116"/>
      <c r="L75" s="170">
        <v>45363</v>
      </c>
      <c r="M75" s="116">
        <v>1066.8499999999999</v>
      </c>
      <c r="N75" s="116">
        <v>1092.25</v>
      </c>
      <c r="O75" s="116">
        <v>1063.7</v>
      </c>
      <c r="P75" s="116">
        <v>1086.95</v>
      </c>
      <c r="Q75" s="116">
        <v>1066.8499999999999</v>
      </c>
      <c r="R75">
        <v>904060</v>
      </c>
    </row>
    <row r="76" spans="1:18" x14ac:dyDescent="0.25">
      <c r="A76" s="170">
        <v>45364</v>
      </c>
      <c r="B76" s="116">
        <v>1097</v>
      </c>
      <c r="C76" s="116">
        <v>1037.55</v>
      </c>
      <c r="D76" s="116">
        <v>1022.1</v>
      </c>
      <c r="E76" s="116">
        <v>1083.3499999999999</v>
      </c>
      <c r="F76" s="116">
        <v>1037.55</v>
      </c>
      <c r="G76">
        <v>324302</v>
      </c>
      <c r="H76" s="116"/>
      <c r="I76" s="116"/>
      <c r="L76" s="170">
        <v>45364</v>
      </c>
      <c r="M76" s="116">
        <v>1037.45</v>
      </c>
      <c r="N76" s="116">
        <v>1097</v>
      </c>
      <c r="O76" s="116">
        <v>1020</v>
      </c>
      <c r="P76" s="116">
        <v>1082.05</v>
      </c>
      <c r="Q76" s="116">
        <v>1037.45</v>
      </c>
      <c r="R76">
        <v>1631514</v>
      </c>
    </row>
    <row r="77" spans="1:18" x14ac:dyDescent="0.25">
      <c r="A77" s="170">
        <v>45365</v>
      </c>
      <c r="B77" s="116">
        <v>1065</v>
      </c>
      <c r="C77" s="116">
        <v>1051.2</v>
      </c>
      <c r="D77" s="116">
        <v>1030.8499999999999</v>
      </c>
      <c r="E77" s="116">
        <v>1035.05</v>
      </c>
      <c r="F77" s="116">
        <v>1051.2</v>
      </c>
      <c r="G77">
        <v>159998</v>
      </c>
      <c r="H77" s="116"/>
      <c r="I77" s="116"/>
      <c r="L77" s="170">
        <v>45365</v>
      </c>
      <c r="M77" s="116">
        <v>1052.1500000000001</v>
      </c>
      <c r="N77" s="116">
        <v>1065</v>
      </c>
      <c r="O77" s="116">
        <v>1031.0999999999999</v>
      </c>
      <c r="P77" s="116">
        <v>1037.95</v>
      </c>
      <c r="Q77" s="116">
        <v>1052.1500000000001</v>
      </c>
      <c r="R77">
        <v>962813</v>
      </c>
    </row>
    <row r="78" spans="1:18" x14ac:dyDescent="0.25">
      <c r="A78" s="170">
        <v>45366</v>
      </c>
      <c r="B78" s="116">
        <v>1060.0999999999999</v>
      </c>
      <c r="C78" s="116">
        <v>1049.8499999999999</v>
      </c>
      <c r="D78" s="116">
        <v>1043</v>
      </c>
      <c r="E78" s="116">
        <v>1052</v>
      </c>
      <c r="F78" s="116">
        <v>1049.8499999999999</v>
      </c>
      <c r="G78">
        <v>41717</v>
      </c>
      <c r="H78" s="116"/>
      <c r="I78" s="116"/>
      <c r="L78" s="170">
        <v>45366</v>
      </c>
      <c r="M78" s="116">
        <v>1049.6500000000001</v>
      </c>
      <c r="N78" s="116">
        <v>1060</v>
      </c>
      <c r="O78" s="116">
        <v>1042.25</v>
      </c>
      <c r="P78" s="116">
        <v>1052.7</v>
      </c>
      <c r="Q78" s="116">
        <v>1049.6500000000001</v>
      </c>
      <c r="R78">
        <v>706494</v>
      </c>
    </row>
    <row r="79" spans="1:18" x14ac:dyDescent="0.25">
      <c r="A79" s="170">
        <v>45369</v>
      </c>
      <c r="B79" s="116">
        <v>1055</v>
      </c>
      <c r="C79" s="116">
        <v>1047.45</v>
      </c>
      <c r="D79" s="116">
        <v>1042</v>
      </c>
      <c r="E79" s="116">
        <v>1049.95</v>
      </c>
      <c r="F79" s="116">
        <v>1047.45</v>
      </c>
      <c r="G79">
        <v>97934</v>
      </c>
      <c r="H79" s="116"/>
      <c r="I79" s="116"/>
      <c r="L79" s="170">
        <v>45369</v>
      </c>
      <c r="M79" s="116">
        <v>1047.45</v>
      </c>
      <c r="N79" s="116">
        <v>1054.75</v>
      </c>
      <c r="O79" s="116">
        <v>1041.55</v>
      </c>
      <c r="P79" s="116">
        <v>1051</v>
      </c>
      <c r="Q79" s="116">
        <v>1047.45</v>
      </c>
      <c r="R79">
        <v>521728</v>
      </c>
    </row>
    <row r="80" spans="1:18" x14ac:dyDescent="0.25">
      <c r="A80" s="170">
        <v>45370</v>
      </c>
      <c r="B80" s="116">
        <v>1055.5999999999999</v>
      </c>
      <c r="C80" s="116">
        <v>1041.8499999999999</v>
      </c>
      <c r="D80" s="116">
        <v>1040.05</v>
      </c>
      <c r="E80" s="116">
        <v>1048.95</v>
      </c>
      <c r="F80" s="116">
        <v>1041.8499999999999</v>
      </c>
      <c r="G80">
        <v>81532</v>
      </c>
      <c r="H80" s="116"/>
      <c r="I80" s="116"/>
      <c r="L80" s="170">
        <v>45370</v>
      </c>
      <c r="M80" s="116">
        <v>1042.05</v>
      </c>
      <c r="N80" s="116">
        <v>1055</v>
      </c>
      <c r="O80" s="116">
        <v>1040.5</v>
      </c>
      <c r="P80" s="116">
        <v>1048</v>
      </c>
      <c r="Q80" s="116">
        <v>1042.05</v>
      </c>
      <c r="R80">
        <v>391912</v>
      </c>
    </row>
    <row r="81" spans="1:18" x14ac:dyDescent="0.25">
      <c r="A81" s="170">
        <v>45371</v>
      </c>
      <c r="B81" s="116">
        <v>1046.8</v>
      </c>
      <c r="C81" s="116">
        <v>1033.05</v>
      </c>
      <c r="D81" s="116">
        <v>1027</v>
      </c>
      <c r="E81" s="116">
        <v>1040.3</v>
      </c>
      <c r="F81" s="116">
        <v>1033.05</v>
      </c>
      <c r="G81">
        <v>49777</v>
      </c>
      <c r="H81" s="116"/>
      <c r="I81" s="116"/>
      <c r="L81" s="170">
        <v>45371</v>
      </c>
      <c r="M81" s="116">
        <v>1033.05</v>
      </c>
      <c r="N81" s="116">
        <v>1047.05</v>
      </c>
      <c r="O81" s="116">
        <v>1026.5999999999999</v>
      </c>
      <c r="P81" s="116">
        <v>1041.8499999999999</v>
      </c>
      <c r="Q81" s="116">
        <v>1033.05</v>
      </c>
      <c r="R81">
        <v>689327</v>
      </c>
    </row>
    <row r="82" spans="1:18" x14ac:dyDescent="0.25">
      <c r="A82" s="170">
        <v>45372</v>
      </c>
      <c r="B82" s="116">
        <v>1047.8499999999999</v>
      </c>
      <c r="C82" s="116">
        <v>1031.5</v>
      </c>
      <c r="D82" s="116">
        <v>1029.25</v>
      </c>
      <c r="E82" s="116">
        <v>1041.95</v>
      </c>
      <c r="F82" s="116">
        <v>1031.5</v>
      </c>
      <c r="G82">
        <v>95288</v>
      </c>
      <c r="H82" s="116"/>
      <c r="I82" s="116"/>
      <c r="L82" s="170">
        <v>45372</v>
      </c>
      <c r="M82" s="116">
        <v>1031.3</v>
      </c>
      <c r="N82" s="116">
        <v>1048</v>
      </c>
      <c r="O82" s="116">
        <v>1029.05</v>
      </c>
      <c r="P82" s="116">
        <v>1043</v>
      </c>
      <c r="Q82" s="116">
        <v>1031.3</v>
      </c>
      <c r="R82">
        <v>783615</v>
      </c>
    </row>
    <row r="83" spans="1:18" x14ac:dyDescent="0.25">
      <c r="A83" s="170">
        <v>45373</v>
      </c>
      <c r="B83" s="116">
        <v>1037.5999999999999</v>
      </c>
      <c r="C83" s="116">
        <v>1031.8499999999999</v>
      </c>
      <c r="D83" s="116">
        <v>1026.45</v>
      </c>
      <c r="E83" s="116">
        <v>1032</v>
      </c>
      <c r="F83" s="116">
        <v>1031.8499999999999</v>
      </c>
      <c r="G83">
        <v>116853</v>
      </c>
      <c r="H83" s="116"/>
      <c r="I83" s="116"/>
      <c r="L83" s="170">
        <v>45373</v>
      </c>
      <c r="M83" s="116">
        <v>1032</v>
      </c>
      <c r="N83" s="116">
        <v>1037.95</v>
      </c>
      <c r="O83" s="116">
        <v>1027</v>
      </c>
      <c r="P83" s="116">
        <v>1031</v>
      </c>
      <c r="Q83" s="116">
        <v>1032</v>
      </c>
      <c r="R83">
        <v>593736</v>
      </c>
    </row>
    <row r="84" spans="1:18" x14ac:dyDescent="0.25">
      <c r="A84" s="170">
        <v>45377</v>
      </c>
      <c r="B84" s="116">
        <v>1035</v>
      </c>
      <c r="C84" s="116">
        <v>1021.95</v>
      </c>
      <c r="D84" s="116">
        <v>1020</v>
      </c>
      <c r="E84" s="116">
        <v>1030.5999999999999</v>
      </c>
      <c r="F84" s="116">
        <v>1021.95</v>
      </c>
      <c r="G84">
        <v>75205</v>
      </c>
      <c r="H84" s="116"/>
      <c r="I84" s="116"/>
      <c r="L84" s="170">
        <v>45377</v>
      </c>
      <c r="M84" s="116">
        <v>1021.95</v>
      </c>
      <c r="N84" s="116">
        <v>1036</v>
      </c>
      <c r="O84" s="116">
        <v>1020</v>
      </c>
      <c r="P84" s="116">
        <v>1032</v>
      </c>
      <c r="Q84" s="116">
        <v>1021.95</v>
      </c>
      <c r="R84">
        <v>870115</v>
      </c>
    </row>
    <row r="85" spans="1:18" x14ac:dyDescent="0.25">
      <c r="A85" s="170">
        <v>45378</v>
      </c>
      <c r="B85" s="116">
        <v>1032.5</v>
      </c>
      <c r="C85" s="116">
        <v>1028.6500000000001</v>
      </c>
      <c r="D85" s="116">
        <v>1020.95</v>
      </c>
      <c r="E85" s="116">
        <v>1023.95</v>
      </c>
      <c r="F85" s="116">
        <v>1028.6500000000001</v>
      </c>
      <c r="G85">
        <v>165180</v>
      </c>
      <c r="H85" s="116"/>
      <c r="I85" s="116"/>
      <c r="L85" s="170">
        <v>45378</v>
      </c>
      <c r="M85" s="116">
        <v>1029.2</v>
      </c>
      <c r="N85" s="116">
        <v>1033</v>
      </c>
      <c r="O85" s="116">
        <v>1021</v>
      </c>
      <c r="P85" s="116">
        <v>1025.45</v>
      </c>
      <c r="Q85" s="116">
        <v>1029.2</v>
      </c>
      <c r="R85">
        <v>988891</v>
      </c>
    </row>
    <row r="86" spans="1:18" x14ac:dyDescent="0.25">
      <c r="A86" s="170">
        <v>45379</v>
      </c>
      <c r="B86" s="116">
        <v>1038.5999999999999</v>
      </c>
      <c r="C86" s="116">
        <v>1020.95</v>
      </c>
      <c r="D86" s="116">
        <v>1020.05</v>
      </c>
      <c r="E86" s="116">
        <v>1028.6500000000001</v>
      </c>
      <c r="F86" s="116">
        <v>1020.95</v>
      </c>
      <c r="G86">
        <v>70740</v>
      </c>
      <c r="H86" s="116"/>
      <c r="I86" s="116"/>
      <c r="L86" s="170">
        <v>45379</v>
      </c>
      <c r="M86" s="116">
        <v>1020.6</v>
      </c>
      <c r="N86" s="116">
        <v>1038.25</v>
      </c>
      <c r="O86" s="116">
        <v>1020</v>
      </c>
      <c r="P86" s="116">
        <v>1029.5</v>
      </c>
      <c r="Q86" s="116">
        <v>1020.6</v>
      </c>
      <c r="R86">
        <v>886283</v>
      </c>
    </row>
    <row r="87" spans="1:18" x14ac:dyDescent="0.25">
      <c r="A87" s="170">
        <v>45383</v>
      </c>
      <c r="B87" s="116">
        <v>1056</v>
      </c>
      <c r="C87" s="116">
        <v>1049.95</v>
      </c>
      <c r="D87" s="116">
        <v>1032.2</v>
      </c>
      <c r="E87" s="116">
        <v>1038</v>
      </c>
      <c r="F87" s="116">
        <v>1049.95</v>
      </c>
      <c r="G87">
        <v>146453</v>
      </c>
      <c r="H87" s="116"/>
      <c r="I87" s="116"/>
      <c r="L87" s="170">
        <v>45383</v>
      </c>
      <c r="M87" s="116">
        <v>1049.8</v>
      </c>
      <c r="N87" s="116">
        <v>1057.45</v>
      </c>
      <c r="O87" s="116">
        <v>1033.5</v>
      </c>
      <c r="P87" s="116">
        <v>1040</v>
      </c>
      <c r="Q87" s="116">
        <v>1049.8</v>
      </c>
      <c r="R87">
        <v>957844</v>
      </c>
    </row>
    <row r="88" spans="1:18" x14ac:dyDescent="0.25">
      <c r="A88" s="170">
        <v>45384</v>
      </c>
      <c r="B88" s="116">
        <v>1126.8</v>
      </c>
      <c r="C88" s="116">
        <v>1092.0999999999999</v>
      </c>
      <c r="D88" s="116">
        <v>1047.0999999999999</v>
      </c>
      <c r="E88" s="116">
        <v>1060</v>
      </c>
      <c r="F88" s="116">
        <v>1092.0999999999999</v>
      </c>
      <c r="G88">
        <v>531321</v>
      </c>
      <c r="H88" s="116"/>
      <c r="I88" s="116"/>
      <c r="L88" s="170">
        <v>45384</v>
      </c>
      <c r="M88" s="116">
        <v>1092</v>
      </c>
      <c r="N88" s="116">
        <v>1127</v>
      </c>
      <c r="O88" s="116">
        <v>1048.05</v>
      </c>
      <c r="P88" s="116">
        <v>1059.5</v>
      </c>
      <c r="Q88" s="116">
        <v>1092</v>
      </c>
      <c r="R88">
        <v>5508984</v>
      </c>
    </row>
    <row r="89" spans="1:18" x14ac:dyDescent="0.25">
      <c r="A89" s="170">
        <v>45385</v>
      </c>
      <c r="B89" s="116">
        <v>1145</v>
      </c>
      <c r="C89" s="116">
        <v>1134.0999999999999</v>
      </c>
      <c r="D89" s="116">
        <v>1055</v>
      </c>
      <c r="E89" s="116">
        <v>1107.95</v>
      </c>
      <c r="F89" s="116">
        <v>1134.0999999999999</v>
      </c>
      <c r="G89">
        <v>1697564</v>
      </c>
      <c r="H89" s="116"/>
      <c r="I89" s="116"/>
      <c r="L89" s="170">
        <v>45385</v>
      </c>
      <c r="M89" s="116">
        <v>1134.1500000000001</v>
      </c>
      <c r="N89" s="116">
        <v>1146</v>
      </c>
      <c r="O89" s="116">
        <v>1058.4000000000001</v>
      </c>
      <c r="P89" s="116">
        <v>1104.7</v>
      </c>
      <c r="Q89" s="116">
        <v>1134.1500000000001</v>
      </c>
      <c r="R89">
        <v>4906449</v>
      </c>
    </row>
    <row r="90" spans="1:18" x14ac:dyDescent="0.25">
      <c r="A90" s="170">
        <v>45386</v>
      </c>
      <c r="B90" s="116">
        <v>1147</v>
      </c>
      <c r="C90" s="116">
        <v>1137.45</v>
      </c>
      <c r="D90" s="116">
        <v>1116.1500000000001</v>
      </c>
      <c r="E90" s="116">
        <v>1144.75</v>
      </c>
      <c r="F90" s="116">
        <v>1137.45</v>
      </c>
      <c r="G90">
        <v>117507</v>
      </c>
      <c r="H90" s="116"/>
      <c r="I90" s="116"/>
      <c r="L90" s="170">
        <v>45386</v>
      </c>
      <c r="M90" s="116">
        <v>1137.3499999999999</v>
      </c>
      <c r="N90" s="116">
        <v>1147.75</v>
      </c>
      <c r="O90" s="116">
        <v>1116.1500000000001</v>
      </c>
      <c r="P90" s="116">
        <v>1142.95</v>
      </c>
      <c r="Q90" s="116">
        <v>1137.3499999999999</v>
      </c>
      <c r="R90">
        <v>2509059</v>
      </c>
    </row>
    <row r="91" spans="1:18" x14ac:dyDescent="0.25">
      <c r="A91" s="170">
        <v>45387</v>
      </c>
      <c r="B91" s="116">
        <v>1137.45</v>
      </c>
      <c r="C91" s="116">
        <v>1121.8499999999999</v>
      </c>
      <c r="D91" s="116">
        <v>1116</v>
      </c>
      <c r="E91" s="116">
        <v>1134</v>
      </c>
      <c r="F91" s="116">
        <v>1121.8499999999999</v>
      </c>
      <c r="G91">
        <v>140463</v>
      </c>
      <c r="H91" s="116"/>
      <c r="I91" s="116"/>
      <c r="L91" s="170">
        <v>45387</v>
      </c>
      <c r="M91" s="116">
        <v>1121.6500000000001</v>
      </c>
      <c r="N91" s="116">
        <v>1137.95</v>
      </c>
      <c r="O91" s="116">
        <v>1116</v>
      </c>
      <c r="P91" s="116">
        <v>1133</v>
      </c>
      <c r="Q91" s="116">
        <v>1121.6500000000001</v>
      </c>
      <c r="R91">
        <v>1309639</v>
      </c>
    </row>
    <row r="92" spans="1:18" x14ac:dyDescent="0.25">
      <c r="A92" s="170">
        <v>45390</v>
      </c>
      <c r="B92" s="116">
        <v>1134.6500000000001</v>
      </c>
      <c r="C92" s="116">
        <v>1101.9000000000001</v>
      </c>
      <c r="D92" s="116">
        <v>1100</v>
      </c>
      <c r="E92" s="116">
        <v>1134.6500000000001</v>
      </c>
      <c r="F92" s="116">
        <v>1101.9000000000001</v>
      </c>
      <c r="G92">
        <v>136595</v>
      </c>
      <c r="H92" s="116"/>
      <c r="I92" s="116"/>
      <c r="L92" s="170">
        <v>45390</v>
      </c>
      <c r="M92" s="116">
        <v>1101.9000000000001</v>
      </c>
      <c r="N92" s="116">
        <v>1130.6500000000001</v>
      </c>
      <c r="O92" s="116">
        <v>1100</v>
      </c>
      <c r="P92" s="116">
        <v>1130.05</v>
      </c>
      <c r="Q92" s="116">
        <v>1101.9000000000001</v>
      </c>
      <c r="R92">
        <v>999892</v>
      </c>
    </row>
    <row r="93" spans="1:18" x14ac:dyDescent="0.25">
      <c r="A93" s="170">
        <v>45391</v>
      </c>
      <c r="B93" s="116">
        <v>1129</v>
      </c>
      <c r="C93" s="116">
        <v>1107.45</v>
      </c>
      <c r="D93" s="116">
        <v>1093.3499999999999</v>
      </c>
      <c r="E93" s="116">
        <v>1110.45</v>
      </c>
      <c r="F93" s="116">
        <v>1107.45</v>
      </c>
      <c r="G93">
        <v>2081090</v>
      </c>
      <c r="H93" s="116"/>
      <c r="I93" s="116"/>
      <c r="L93" s="170">
        <v>45391</v>
      </c>
      <c r="M93" s="116">
        <v>1107.45</v>
      </c>
      <c r="N93" s="116">
        <v>1129.7</v>
      </c>
      <c r="O93" s="116">
        <v>1091.0999999999999</v>
      </c>
      <c r="P93" s="116">
        <v>1110.9000000000001</v>
      </c>
      <c r="Q93" s="116">
        <v>1107.45</v>
      </c>
      <c r="R93">
        <v>4438421</v>
      </c>
    </row>
    <row r="94" spans="1:18" x14ac:dyDescent="0.25">
      <c r="A94" s="170">
        <v>45392</v>
      </c>
      <c r="B94" s="116">
        <v>1116.2</v>
      </c>
      <c r="C94" s="116">
        <v>1102.4000000000001</v>
      </c>
      <c r="D94" s="116">
        <v>1100</v>
      </c>
      <c r="E94" s="116">
        <v>1111.05</v>
      </c>
      <c r="F94" s="116">
        <v>1102.4000000000001</v>
      </c>
      <c r="G94">
        <v>102892</v>
      </c>
      <c r="H94" s="116"/>
      <c r="I94" s="116"/>
      <c r="L94" s="170">
        <v>45392</v>
      </c>
      <c r="M94" s="116">
        <v>1101.9000000000001</v>
      </c>
      <c r="N94" s="116">
        <v>1118</v>
      </c>
      <c r="O94" s="116">
        <v>1098.0999999999999</v>
      </c>
      <c r="P94" s="116">
        <v>1110</v>
      </c>
      <c r="Q94" s="116">
        <v>1101.9000000000001</v>
      </c>
      <c r="R94">
        <v>856601</v>
      </c>
    </row>
    <row r="95" spans="1:18" x14ac:dyDescent="0.25">
      <c r="A95" s="170">
        <v>45394</v>
      </c>
      <c r="B95" s="116">
        <v>1107.5999999999999</v>
      </c>
      <c r="C95" s="116">
        <v>1090.3</v>
      </c>
      <c r="D95" s="116">
        <v>1088.2</v>
      </c>
      <c r="E95" s="116">
        <v>1101.1500000000001</v>
      </c>
      <c r="F95" s="116">
        <v>1090.3</v>
      </c>
      <c r="G95">
        <v>107509</v>
      </c>
      <c r="H95" s="116"/>
      <c r="I95" s="116"/>
      <c r="L95" s="170">
        <v>45394</v>
      </c>
      <c r="M95" s="116">
        <v>1090.3499999999999</v>
      </c>
      <c r="N95" s="116">
        <v>1107.4000000000001</v>
      </c>
      <c r="O95" s="116">
        <v>1088.9000000000001</v>
      </c>
      <c r="P95" s="116">
        <v>1099.95</v>
      </c>
      <c r="Q95" s="116">
        <v>1090.3499999999999</v>
      </c>
      <c r="R95">
        <v>677949</v>
      </c>
    </row>
    <row r="96" spans="1:18" x14ac:dyDescent="0.25">
      <c r="A96" s="170">
        <v>45397</v>
      </c>
      <c r="B96" s="116">
        <v>1073.5</v>
      </c>
      <c r="C96" s="116">
        <v>1064.8499999999999</v>
      </c>
      <c r="D96" s="116">
        <v>1050.4000000000001</v>
      </c>
      <c r="E96" s="116">
        <v>1066</v>
      </c>
      <c r="F96" s="116">
        <v>1064.8499999999999</v>
      </c>
      <c r="G96">
        <v>72222</v>
      </c>
      <c r="H96" s="116"/>
      <c r="I96" s="116"/>
      <c r="L96" s="170">
        <v>45397</v>
      </c>
      <c r="M96" s="116">
        <v>1065.45</v>
      </c>
      <c r="N96" s="116">
        <v>1074.3</v>
      </c>
      <c r="O96" s="116">
        <v>1050.3499999999999</v>
      </c>
      <c r="P96" s="116">
        <v>1062</v>
      </c>
      <c r="Q96" s="116">
        <v>1065.45</v>
      </c>
      <c r="R96">
        <v>1068842</v>
      </c>
    </row>
    <row r="97" spans="1:18" x14ac:dyDescent="0.25">
      <c r="A97" s="170">
        <v>45398</v>
      </c>
      <c r="B97" s="116">
        <v>1081.8499999999999</v>
      </c>
      <c r="C97" s="116">
        <v>1055.05</v>
      </c>
      <c r="D97" s="116">
        <v>1050.0999999999999</v>
      </c>
      <c r="E97" s="116">
        <v>1060</v>
      </c>
      <c r="F97" s="116">
        <v>1055.05</v>
      </c>
      <c r="G97">
        <v>78338</v>
      </c>
      <c r="H97" s="116"/>
      <c r="I97" s="116"/>
      <c r="L97" s="170">
        <v>45398</v>
      </c>
      <c r="M97" s="116">
        <v>1054</v>
      </c>
      <c r="N97" s="116">
        <v>1081.7</v>
      </c>
      <c r="O97" s="116">
        <v>1050</v>
      </c>
      <c r="P97" s="116">
        <v>1060</v>
      </c>
      <c r="Q97" s="116">
        <v>1054</v>
      </c>
      <c r="R97">
        <v>1259361</v>
      </c>
    </row>
    <row r="98" spans="1:18" x14ac:dyDescent="0.25">
      <c r="A98" s="170">
        <v>45400</v>
      </c>
      <c r="B98" s="116">
        <v>1072.3</v>
      </c>
      <c r="C98" s="116">
        <v>1049</v>
      </c>
      <c r="D98" s="116">
        <v>1045</v>
      </c>
      <c r="E98" s="116">
        <v>1072.3</v>
      </c>
      <c r="F98" s="116">
        <v>1049</v>
      </c>
      <c r="G98">
        <v>167279</v>
      </c>
      <c r="H98" s="116"/>
      <c r="I98" s="116"/>
      <c r="L98" s="170">
        <v>45400</v>
      </c>
      <c r="M98" s="116">
        <v>1049.25</v>
      </c>
      <c r="N98" s="116">
        <v>1071.6500000000001</v>
      </c>
      <c r="O98" s="116">
        <v>1047.05</v>
      </c>
      <c r="P98" s="116">
        <v>1068</v>
      </c>
      <c r="Q98" s="116">
        <v>1049.25</v>
      </c>
      <c r="R98">
        <v>809389</v>
      </c>
    </row>
    <row r="99" spans="1:18" x14ac:dyDescent="0.25">
      <c r="A99" s="170">
        <v>45401</v>
      </c>
      <c r="B99" s="116">
        <v>1045</v>
      </c>
      <c r="C99" s="116">
        <v>1041.1500000000001</v>
      </c>
      <c r="D99" s="116">
        <v>1033.05</v>
      </c>
      <c r="E99" s="116">
        <v>1042.5999999999999</v>
      </c>
      <c r="F99" s="116">
        <v>1041.1500000000001</v>
      </c>
      <c r="G99">
        <v>44212</v>
      </c>
      <c r="H99" s="116"/>
      <c r="I99" s="116"/>
      <c r="L99" s="170">
        <v>45401</v>
      </c>
      <c r="M99" s="116">
        <v>1040.6500000000001</v>
      </c>
      <c r="N99" s="116">
        <v>1045.25</v>
      </c>
      <c r="O99" s="116">
        <v>1033.05</v>
      </c>
      <c r="P99" s="116">
        <v>1040</v>
      </c>
      <c r="Q99" s="116">
        <v>1040.6500000000001</v>
      </c>
      <c r="R99">
        <v>853013</v>
      </c>
    </row>
    <row r="100" spans="1:18" x14ac:dyDescent="0.25">
      <c r="A100" s="170">
        <v>45404</v>
      </c>
      <c r="B100" s="116">
        <v>1063.1500000000001</v>
      </c>
      <c r="C100" s="116">
        <v>1051.75</v>
      </c>
      <c r="D100" s="116">
        <v>1044</v>
      </c>
      <c r="E100" s="116">
        <v>1052.05</v>
      </c>
      <c r="F100" s="116">
        <v>1051.75</v>
      </c>
      <c r="G100">
        <v>84263</v>
      </c>
      <c r="H100" s="116"/>
      <c r="I100" s="116"/>
      <c r="L100" s="170">
        <v>45404</v>
      </c>
      <c r="M100" s="116">
        <v>1051.7</v>
      </c>
      <c r="N100" s="116">
        <v>1063.3</v>
      </c>
      <c r="O100" s="116">
        <v>1043.55</v>
      </c>
      <c r="P100" s="116">
        <v>1053.55</v>
      </c>
      <c r="Q100" s="116">
        <v>1051.7</v>
      </c>
      <c r="R100">
        <v>694127</v>
      </c>
    </row>
    <row r="101" spans="1:18" x14ac:dyDescent="0.25">
      <c r="A101" s="170">
        <v>45405</v>
      </c>
      <c r="B101" s="116">
        <v>1094</v>
      </c>
      <c r="C101" s="116">
        <v>1082.5999999999999</v>
      </c>
      <c r="D101" s="116">
        <v>1053.5</v>
      </c>
      <c r="E101" s="116">
        <v>1054.95</v>
      </c>
      <c r="F101" s="116">
        <v>1082.5999999999999</v>
      </c>
      <c r="G101">
        <v>146488</v>
      </c>
      <c r="H101" s="116"/>
      <c r="I101" s="116"/>
      <c r="L101" s="170">
        <v>45405</v>
      </c>
      <c r="M101" s="116">
        <v>1082.45</v>
      </c>
      <c r="N101" s="116">
        <v>1094.7</v>
      </c>
      <c r="O101" s="116">
        <v>1053.9000000000001</v>
      </c>
      <c r="P101" s="116">
        <v>1055</v>
      </c>
      <c r="Q101" s="116">
        <v>1082.45</v>
      </c>
      <c r="R101">
        <v>1233965</v>
      </c>
    </row>
    <row r="102" spans="1:18" x14ac:dyDescent="0.25">
      <c r="A102" s="170">
        <v>45406</v>
      </c>
      <c r="B102" s="116">
        <v>1090</v>
      </c>
      <c r="C102" s="116">
        <v>1086.05</v>
      </c>
      <c r="D102" s="116">
        <v>1077.2</v>
      </c>
      <c r="E102" s="116">
        <v>1086.55</v>
      </c>
      <c r="F102" s="116">
        <v>1086.05</v>
      </c>
      <c r="G102">
        <v>96844</v>
      </c>
      <c r="H102" s="116"/>
      <c r="I102" s="116"/>
      <c r="L102" s="170">
        <v>45406</v>
      </c>
      <c r="M102" s="116">
        <v>1087</v>
      </c>
      <c r="N102" s="116">
        <v>1090.1500000000001</v>
      </c>
      <c r="O102" s="116">
        <v>1078.05</v>
      </c>
      <c r="P102" s="116">
        <v>1088.4000000000001</v>
      </c>
      <c r="Q102" s="116">
        <v>1087</v>
      </c>
      <c r="R102">
        <v>659168</v>
      </c>
    </row>
    <row r="103" spans="1:18" x14ac:dyDescent="0.25">
      <c r="A103" s="170">
        <v>45407</v>
      </c>
      <c r="B103" s="116">
        <v>1084.05</v>
      </c>
      <c r="C103" s="116">
        <v>1069.7</v>
      </c>
      <c r="D103" s="116">
        <v>1067.45</v>
      </c>
      <c r="E103" s="116">
        <v>1083.55</v>
      </c>
      <c r="F103" s="116">
        <v>1069.7</v>
      </c>
      <c r="G103">
        <v>38864</v>
      </c>
      <c r="H103" s="116"/>
      <c r="I103" s="116"/>
      <c r="L103" s="170">
        <v>45407</v>
      </c>
      <c r="M103" s="116">
        <v>1069.3</v>
      </c>
      <c r="N103" s="116">
        <v>1084.7</v>
      </c>
      <c r="O103" s="116">
        <v>1067.0999999999999</v>
      </c>
      <c r="P103" s="116">
        <v>1084.7</v>
      </c>
      <c r="Q103" s="116">
        <v>1069.3</v>
      </c>
      <c r="R103">
        <v>729379</v>
      </c>
    </row>
    <row r="104" spans="1:18" x14ac:dyDescent="0.25">
      <c r="A104" s="170">
        <v>45408</v>
      </c>
      <c r="B104" s="116">
        <v>1081.9000000000001</v>
      </c>
      <c r="C104" s="116">
        <v>1072.4000000000001</v>
      </c>
      <c r="D104" s="116">
        <v>1070</v>
      </c>
      <c r="E104" s="116">
        <v>1070.45</v>
      </c>
      <c r="F104" s="116">
        <v>1072.4000000000001</v>
      </c>
      <c r="G104">
        <v>82485</v>
      </c>
      <c r="H104" s="116"/>
      <c r="I104" s="116"/>
      <c r="L104" s="170">
        <v>45408</v>
      </c>
      <c r="M104" s="116">
        <v>1072.55</v>
      </c>
      <c r="N104" s="116">
        <v>1081.9000000000001</v>
      </c>
      <c r="O104" s="116">
        <v>1070</v>
      </c>
      <c r="P104" s="116">
        <v>1074.7</v>
      </c>
      <c r="Q104" s="116">
        <v>1072.55</v>
      </c>
      <c r="R104">
        <v>403555</v>
      </c>
    </row>
    <row r="105" spans="1:18" x14ac:dyDescent="0.25">
      <c r="A105" s="170">
        <v>45411</v>
      </c>
      <c r="B105" s="116">
        <v>1080.1500000000001</v>
      </c>
      <c r="C105" s="116">
        <v>1066.45</v>
      </c>
      <c r="D105" s="116">
        <v>1062.9000000000001</v>
      </c>
      <c r="E105" s="116">
        <v>1075.5</v>
      </c>
      <c r="F105" s="116">
        <v>1066.45</v>
      </c>
      <c r="G105">
        <v>33356</v>
      </c>
      <c r="H105" s="116"/>
      <c r="I105" s="116"/>
      <c r="L105" s="170">
        <v>45411</v>
      </c>
      <c r="M105" s="116">
        <v>1066.9000000000001</v>
      </c>
      <c r="N105" s="116">
        <v>1080.05</v>
      </c>
      <c r="O105" s="116">
        <v>1063</v>
      </c>
      <c r="P105" s="116">
        <v>1080.05</v>
      </c>
      <c r="Q105" s="116">
        <v>1066.9000000000001</v>
      </c>
      <c r="R105">
        <v>689225</v>
      </c>
    </row>
    <row r="106" spans="1:18" x14ac:dyDescent="0.25">
      <c r="A106" s="170">
        <v>45412</v>
      </c>
      <c r="B106" s="116">
        <v>1070.3499999999999</v>
      </c>
      <c r="C106" s="116">
        <v>1067.55</v>
      </c>
      <c r="D106" s="116">
        <v>1058.3499999999999</v>
      </c>
      <c r="E106" s="116">
        <v>1068.8499999999999</v>
      </c>
      <c r="F106" s="116">
        <v>1067.55</v>
      </c>
      <c r="G106">
        <v>25137</v>
      </c>
      <c r="H106" s="116"/>
      <c r="I106" s="116"/>
      <c r="L106" s="170">
        <v>45412</v>
      </c>
      <c r="M106" s="116">
        <v>1067.1500000000001</v>
      </c>
      <c r="N106" s="116">
        <v>1070</v>
      </c>
      <c r="O106" s="116">
        <v>1058</v>
      </c>
      <c r="P106" s="116">
        <v>1067</v>
      </c>
      <c r="Q106" s="116">
        <v>1067.1500000000001</v>
      </c>
      <c r="R106">
        <v>566375</v>
      </c>
    </row>
    <row r="107" spans="1:18" x14ac:dyDescent="0.25">
      <c r="A107" s="170">
        <v>45414</v>
      </c>
      <c r="B107" s="116">
        <v>1095</v>
      </c>
      <c r="C107" s="116">
        <v>1089.95</v>
      </c>
      <c r="D107" s="116">
        <v>1064.25</v>
      </c>
      <c r="E107" s="116">
        <v>1070</v>
      </c>
      <c r="F107" s="116">
        <v>1089.95</v>
      </c>
      <c r="G107">
        <v>176779</v>
      </c>
      <c r="H107" s="116"/>
      <c r="I107" s="116"/>
      <c r="L107" s="170">
        <v>45414</v>
      </c>
      <c r="M107" s="116">
        <v>1090.2</v>
      </c>
      <c r="N107" s="116">
        <v>1095</v>
      </c>
      <c r="O107" s="116">
        <v>1064.55</v>
      </c>
      <c r="P107" s="116">
        <v>1069.4000000000001</v>
      </c>
      <c r="Q107" s="116">
        <v>1090.2</v>
      </c>
      <c r="R107">
        <v>1716282</v>
      </c>
    </row>
    <row r="108" spans="1:18" x14ac:dyDescent="0.25">
      <c r="A108" s="170">
        <v>45415</v>
      </c>
      <c r="B108" s="116">
        <v>1109.8</v>
      </c>
      <c r="C108" s="116">
        <v>1085.9000000000001</v>
      </c>
      <c r="D108" s="116">
        <v>1076</v>
      </c>
      <c r="E108" s="116">
        <v>1101.6500000000001</v>
      </c>
      <c r="F108" s="116">
        <v>1085.9000000000001</v>
      </c>
      <c r="G108">
        <v>81291</v>
      </c>
      <c r="H108" s="116"/>
      <c r="I108" s="116"/>
      <c r="L108" s="170">
        <v>45415</v>
      </c>
      <c r="M108" s="116">
        <v>1086.8</v>
      </c>
      <c r="N108" s="116">
        <v>1109.8</v>
      </c>
      <c r="O108" s="116">
        <v>1076</v>
      </c>
      <c r="P108" s="116">
        <v>1100</v>
      </c>
      <c r="Q108" s="116">
        <v>1086.8</v>
      </c>
      <c r="R108">
        <v>1612124</v>
      </c>
    </row>
    <row r="109" spans="1:18" x14ac:dyDescent="0.25">
      <c r="A109" s="170">
        <v>45418</v>
      </c>
      <c r="B109" s="116">
        <v>1058.1500000000001</v>
      </c>
      <c r="C109" s="116">
        <v>1044.95</v>
      </c>
      <c r="D109" s="116">
        <v>1032.95</v>
      </c>
      <c r="E109" s="116">
        <v>1044.95</v>
      </c>
      <c r="F109" s="116">
        <v>1044.95</v>
      </c>
      <c r="G109">
        <v>134690</v>
      </c>
      <c r="H109" s="116"/>
      <c r="I109" s="116"/>
      <c r="L109" s="170">
        <v>45418</v>
      </c>
      <c r="M109" s="116">
        <v>1045.2</v>
      </c>
      <c r="N109" s="116">
        <v>1058.45</v>
      </c>
      <c r="O109" s="116">
        <v>1032.7</v>
      </c>
      <c r="P109" s="116">
        <v>1042</v>
      </c>
      <c r="Q109" s="116">
        <v>1045.2</v>
      </c>
      <c r="R109">
        <v>1881524</v>
      </c>
    </row>
    <row r="110" spans="1:18" x14ac:dyDescent="0.25">
      <c r="A110" s="170">
        <v>45419</v>
      </c>
      <c r="B110" s="116">
        <v>1053.95</v>
      </c>
      <c r="C110" s="116">
        <v>1039.8</v>
      </c>
      <c r="D110" s="116">
        <v>1025</v>
      </c>
      <c r="E110" s="116">
        <v>1048.9000000000001</v>
      </c>
      <c r="F110" s="116">
        <v>1039.8</v>
      </c>
      <c r="G110">
        <v>48665</v>
      </c>
      <c r="H110" s="116"/>
      <c r="I110" s="116"/>
      <c r="L110" s="170">
        <v>45419</v>
      </c>
      <c r="M110" s="116">
        <v>1039.45</v>
      </c>
      <c r="N110" s="116">
        <v>1055.45</v>
      </c>
      <c r="O110" s="116">
        <v>1025.05</v>
      </c>
      <c r="P110" s="116">
        <v>1050</v>
      </c>
      <c r="Q110" s="116">
        <v>1039.45</v>
      </c>
      <c r="R110">
        <v>975627</v>
      </c>
    </row>
    <row r="111" spans="1:18" x14ac:dyDescent="0.25">
      <c r="A111" s="170">
        <v>45420</v>
      </c>
      <c r="B111" s="116">
        <v>1044.55</v>
      </c>
      <c r="C111" s="116">
        <v>1029.3499999999999</v>
      </c>
      <c r="D111" s="116">
        <v>1027.2</v>
      </c>
      <c r="E111" s="116">
        <v>1038.95</v>
      </c>
      <c r="F111" s="116">
        <v>1029.3499999999999</v>
      </c>
      <c r="G111">
        <v>85018</v>
      </c>
      <c r="H111" s="116"/>
      <c r="I111" s="116"/>
      <c r="L111" s="170">
        <v>45420</v>
      </c>
      <c r="M111" s="116">
        <v>1029.3</v>
      </c>
      <c r="N111" s="116">
        <v>1044.75</v>
      </c>
      <c r="O111" s="116">
        <v>1028</v>
      </c>
      <c r="P111" s="116">
        <v>1040</v>
      </c>
      <c r="Q111" s="116">
        <v>1029.3</v>
      </c>
      <c r="R111">
        <v>526737</v>
      </c>
    </row>
    <row r="112" spans="1:18" x14ac:dyDescent="0.25">
      <c r="A112" s="170">
        <v>45421</v>
      </c>
      <c r="B112" s="116">
        <v>1044</v>
      </c>
      <c r="C112" s="116">
        <v>1015.6</v>
      </c>
      <c r="D112" s="116">
        <v>1012.05</v>
      </c>
      <c r="E112" s="116">
        <v>1044</v>
      </c>
      <c r="F112" s="116">
        <v>1015.6</v>
      </c>
      <c r="G112">
        <v>130046</v>
      </c>
      <c r="H112" s="116"/>
      <c r="I112" s="116"/>
      <c r="L112" s="170">
        <v>45421</v>
      </c>
      <c r="M112" s="116">
        <v>1015.35</v>
      </c>
      <c r="N112" s="116">
        <v>1036.1500000000001</v>
      </c>
      <c r="O112" s="116">
        <v>1012</v>
      </c>
      <c r="P112" s="116">
        <v>1034.4000000000001</v>
      </c>
      <c r="Q112" s="116">
        <v>1015.35</v>
      </c>
      <c r="R112">
        <v>692890</v>
      </c>
    </row>
    <row r="113" spans="1:18" x14ac:dyDescent="0.25">
      <c r="A113" s="170">
        <v>45422</v>
      </c>
      <c r="B113" s="116">
        <v>1022.7</v>
      </c>
      <c r="C113" s="116">
        <v>1009.8</v>
      </c>
      <c r="D113" s="116">
        <v>1006.2</v>
      </c>
      <c r="E113" s="116">
        <v>1020.05</v>
      </c>
      <c r="F113" s="116">
        <v>1009.8</v>
      </c>
      <c r="G113">
        <v>112634</v>
      </c>
      <c r="H113" s="116"/>
      <c r="I113" s="116"/>
      <c r="L113" s="170">
        <v>45422</v>
      </c>
      <c r="M113" s="116">
        <v>1009.65</v>
      </c>
      <c r="N113" s="116">
        <v>1022.8</v>
      </c>
      <c r="O113" s="116">
        <v>1006.05</v>
      </c>
      <c r="P113" s="116">
        <v>1019.35</v>
      </c>
      <c r="Q113" s="116">
        <v>1009.65</v>
      </c>
      <c r="R113">
        <v>652741</v>
      </c>
    </row>
    <row r="114" spans="1:18" x14ac:dyDescent="0.25">
      <c r="A114" s="170">
        <v>45425</v>
      </c>
      <c r="B114" s="116">
        <v>1026.75</v>
      </c>
      <c r="C114" s="116">
        <v>1020.85</v>
      </c>
      <c r="D114" s="116">
        <v>1004.15</v>
      </c>
      <c r="E114" s="116">
        <v>1011.85</v>
      </c>
      <c r="F114" s="116">
        <v>1020.85</v>
      </c>
      <c r="G114">
        <v>90511</v>
      </c>
      <c r="H114" s="116"/>
      <c r="I114" s="116"/>
      <c r="L114" s="170">
        <v>45425</v>
      </c>
      <c r="M114" s="116">
        <v>1021</v>
      </c>
      <c r="N114" s="116">
        <v>1026.8499999999999</v>
      </c>
      <c r="O114" s="116">
        <v>1005</v>
      </c>
      <c r="P114" s="116">
        <v>1014.35</v>
      </c>
      <c r="Q114" s="116">
        <v>1021</v>
      </c>
      <c r="R114">
        <v>436398</v>
      </c>
    </row>
    <row r="115" spans="1:18" x14ac:dyDescent="0.25">
      <c r="A115" s="170">
        <v>45426</v>
      </c>
      <c r="B115" s="116">
        <v>1062.8</v>
      </c>
      <c r="C115" s="116">
        <v>1057.95</v>
      </c>
      <c r="D115" s="116">
        <v>1025</v>
      </c>
      <c r="E115" s="116">
        <v>1030.95</v>
      </c>
      <c r="F115" s="116">
        <v>1057.95</v>
      </c>
      <c r="G115">
        <v>45049</v>
      </c>
      <c r="H115" s="116"/>
      <c r="I115" s="116"/>
      <c r="L115" s="170">
        <v>45426</v>
      </c>
      <c r="M115" s="116">
        <v>1058.1500000000001</v>
      </c>
      <c r="N115" s="116">
        <v>1063.0999999999999</v>
      </c>
      <c r="O115" s="116">
        <v>1022.15</v>
      </c>
      <c r="P115" s="116">
        <v>1029.8499999999999</v>
      </c>
      <c r="Q115" s="116">
        <v>1058.1500000000001</v>
      </c>
      <c r="R115">
        <v>895977</v>
      </c>
    </row>
    <row r="116" spans="1:18" x14ac:dyDescent="0.25">
      <c r="A116" s="170">
        <v>45427</v>
      </c>
      <c r="B116" s="116">
        <v>1060.9000000000001</v>
      </c>
      <c r="C116" s="116">
        <v>1050.8</v>
      </c>
      <c r="D116" s="116">
        <v>1048.05</v>
      </c>
      <c r="E116" s="116">
        <v>1057.95</v>
      </c>
      <c r="F116" s="116">
        <v>1050.8</v>
      </c>
      <c r="G116">
        <v>28441</v>
      </c>
      <c r="H116" s="116"/>
      <c r="I116" s="116"/>
      <c r="L116" s="170">
        <v>45427</v>
      </c>
      <c r="M116" s="116">
        <v>1050.6500000000001</v>
      </c>
      <c r="N116" s="116">
        <v>1061.0999999999999</v>
      </c>
      <c r="O116" s="116">
        <v>1048</v>
      </c>
      <c r="P116" s="116">
        <v>1058</v>
      </c>
      <c r="Q116" s="116">
        <v>1050.6500000000001</v>
      </c>
      <c r="R116">
        <v>434399</v>
      </c>
    </row>
    <row r="117" spans="1:18" x14ac:dyDescent="0.25">
      <c r="A117" s="170">
        <v>45428</v>
      </c>
      <c r="B117" s="116">
        <v>1061.8</v>
      </c>
      <c r="C117" s="116">
        <v>1048.9000000000001</v>
      </c>
      <c r="D117" s="116">
        <v>1045.6500000000001</v>
      </c>
      <c r="E117" s="116">
        <v>1056</v>
      </c>
      <c r="F117" s="116">
        <v>1048.9000000000001</v>
      </c>
      <c r="G117">
        <v>48453</v>
      </c>
      <c r="H117" s="116"/>
      <c r="I117" s="116"/>
      <c r="L117" s="170">
        <v>45428</v>
      </c>
      <c r="M117" s="116">
        <v>1049</v>
      </c>
      <c r="N117" s="116">
        <v>1062.1500000000001</v>
      </c>
      <c r="O117" s="116">
        <v>1046</v>
      </c>
      <c r="P117" s="116">
        <v>1056.4000000000001</v>
      </c>
      <c r="Q117" s="116">
        <v>1049</v>
      </c>
      <c r="R117">
        <v>241264</v>
      </c>
    </row>
    <row r="118" spans="1:18" x14ac:dyDescent="0.25">
      <c r="A118" s="170">
        <v>45429</v>
      </c>
      <c r="B118" s="116">
        <v>1053</v>
      </c>
      <c r="C118" s="116">
        <v>1046.05</v>
      </c>
      <c r="D118" s="116">
        <v>1044</v>
      </c>
      <c r="E118" s="116">
        <v>1053</v>
      </c>
      <c r="F118" s="116">
        <v>1046.05</v>
      </c>
      <c r="G118">
        <v>17223</v>
      </c>
      <c r="H118" s="116"/>
      <c r="I118" s="116"/>
      <c r="L118" s="170">
        <v>45429</v>
      </c>
      <c r="M118" s="116">
        <v>1046.4000000000001</v>
      </c>
      <c r="N118" s="116">
        <v>1053.5</v>
      </c>
      <c r="O118" s="116">
        <v>1044</v>
      </c>
      <c r="P118" s="116">
        <v>1053</v>
      </c>
      <c r="Q118" s="116">
        <v>1046.4000000000001</v>
      </c>
      <c r="R118">
        <v>335954</v>
      </c>
    </row>
    <row r="119" spans="1:18" x14ac:dyDescent="0.25">
      <c r="A119" s="170">
        <v>45430</v>
      </c>
      <c r="B119" s="116">
        <v>1058.9000000000001</v>
      </c>
      <c r="C119" s="116">
        <v>1052.3499999999999</v>
      </c>
      <c r="D119" s="116">
        <v>1046.25</v>
      </c>
      <c r="E119" s="116">
        <v>1046.25</v>
      </c>
      <c r="F119" s="116">
        <v>1052.3499999999999</v>
      </c>
      <c r="G119">
        <v>6500</v>
      </c>
      <c r="H119" s="116"/>
      <c r="I119" s="116"/>
      <c r="L119" s="170">
        <v>45430</v>
      </c>
      <c r="M119" s="116">
        <v>1051.6500000000001</v>
      </c>
      <c r="N119" s="116">
        <v>1056.5</v>
      </c>
      <c r="O119" s="116">
        <v>1042.55</v>
      </c>
      <c r="P119" s="116">
        <v>1048.5</v>
      </c>
      <c r="Q119" s="116">
        <v>1051.6500000000001</v>
      </c>
      <c r="R119">
        <v>82620</v>
      </c>
    </row>
    <row r="120" spans="1:18" x14ac:dyDescent="0.25">
      <c r="A120" s="170">
        <v>45433</v>
      </c>
      <c r="B120" s="116">
        <v>1063.5999999999999</v>
      </c>
      <c r="C120" s="116">
        <v>1054.8</v>
      </c>
      <c r="D120" s="116">
        <v>1048.0999999999999</v>
      </c>
      <c r="E120" s="116">
        <v>1050.5999999999999</v>
      </c>
      <c r="F120" s="116">
        <v>1054.8</v>
      </c>
      <c r="G120">
        <v>111154</v>
      </c>
      <c r="H120" s="116"/>
      <c r="I120" s="116"/>
      <c r="L120" s="170">
        <v>45433</v>
      </c>
      <c r="M120" s="116">
        <v>1051.7</v>
      </c>
      <c r="N120" s="116">
        <v>1060.8</v>
      </c>
      <c r="O120" s="116">
        <v>1048.7</v>
      </c>
      <c r="P120" s="116">
        <v>1058</v>
      </c>
      <c r="Q120" s="116">
        <v>1051.7</v>
      </c>
      <c r="R120">
        <v>353873</v>
      </c>
    </row>
    <row r="121" spans="1:18" x14ac:dyDescent="0.25">
      <c r="A121" s="170">
        <v>45434</v>
      </c>
      <c r="B121" s="116">
        <v>1061.05</v>
      </c>
      <c r="C121" s="116">
        <v>1053.2</v>
      </c>
      <c r="D121" s="116">
        <v>1050.05</v>
      </c>
      <c r="E121" s="116">
        <v>1060</v>
      </c>
      <c r="F121" s="116">
        <v>1053.2</v>
      </c>
      <c r="G121">
        <v>92745</v>
      </c>
      <c r="H121" s="116"/>
      <c r="I121" s="116"/>
      <c r="L121" s="170">
        <v>45434</v>
      </c>
      <c r="M121" s="116">
        <v>1053.05</v>
      </c>
      <c r="N121" s="116">
        <v>1061.8</v>
      </c>
      <c r="O121" s="116">
        <v>1050.0999999999999</v>
      </c>
      <c r="P121" s="116">
        <v>1059.9000000000001</v>
      </c>
      <c r="Q121" s="116">
        <v>1053.05</v>
      </c>
      <c r="R121">
        <v>241610</v>
      </c>
    </row>
    <row r="122" spans="1:18" x14ac:dyDescent="0.25">
      <c r="A122" s="170">
        <v>45435</v>
      </c>
      <c r="B122" s="116">
        <v>1059</v>
      </c>
      <c r="C122" s="116">
        <v>1049.5999999999999</v>
      </c>
      <c r="D122" s="116">
        <v>1048.5</v>
      </c>
      <c r="E122" s="116">
        <v>1051.75</v>
      </c>
      <c r="F122" s="116">
        <v>1049.5999999999999</v>
      </c>
      <c r="G122">
        <v>78884</v>
      </c>
      <c r="H122" s="116"/>
      <c r="I122" s="116"/>
      <c r="L122" s="170">
        <v>45435</v>
      </c>
      <c r="M122" s="116">
        <v>1049.8499999999999</v>
      </c>
      <c r="N122" s="116">
        <v>1059.8</v>
      </c>
      <c r="O122" s="116">
        <v>1048.25</v>
      </c>
      <c r="P122" s="116">
        <v>1054.8</v>
      </c>
      <c r="Q122" s="116">
        <v>1049.8499999999999</v>
      </c>
      <c r="R122">
        <v>309616</v>
      </c>
    </row>
    <row r="123" spans="1:18" x14ac:dyDescent="0.25">
      <c r="A123" s="170">
        <v>45436</v>
      </c>
      <c r="B123" s="116">
        <v>1110</v>
      </c>
      <c r="C123" s="116">
        <v>1085.4000000000001</v>
      </c>
      <c r="D123" s="116">
        <v>1049</v>
      </c>
      <c r="E123" s="116">
        <v>1050.0999999999999</v>
      </c>
      <c r="F123" s="116">
        <v>1085.4000000000001</v>
      </c>
      <c r="G123">
        <v>130632</v>
      </c>
      <c r="H123" s="116"/>
      <c r="I123" s="116"/>
      <c r="L123" s="170">
        <v>45436</v>
      </c>
      <c r="M123" s="116">
        <v>1084.45</v>
      </c>
      <c r="N123" s="116">
        <v>1109.8499999999999</v>
      </c>
      <c r="O123" s="116">
        <v>1049</v>
      </c>
      <c r="P123" s="116">
        <v>1050.75</v>
      </c>
      <c r="Q123" s="116">
        <v>1084.45</v>
      </c>
      <c r="R123">
        <v>2240387</v>
      </c>
    </row>
    <row r="124" spans="1:18" x14ac:dyDescent="0.25">
      <c r="A124" s="170">
        <v>45439</v>
      </c>
      <c r="B124" s="116">
        <v>1115</v>
      </c>
      <c r="C124" s="116">
        <v>1089.05</v>
      </c>
      <c r="D124" s="116">
        <v>1084</v>
      </c>
      <c r="E124" s="116">
        <v>1091.6500000000001</v>
      </c>
      <c r="F124" s="116">
        <v>1089.05</v>
      </c>
      <c r="G124">
        <v>232158</v>
      </c>
      <c r="H124" s="116"/>
      <c r="I124" s="116"/>
      <c r="L124" s="170">
        <v>45439</v>
      </c>
      <c r="M124" s="116">
        <v>1090.8499999999999</v>
      </c>
      <c r="N124" s="116">
        <v>1115.9000000000001</v>
      </c>
      <c r="O124" s="116">
        <v>1085.1500000000001</v>
      </c>
      <c r="P124" s="116">
        <v>1093.6500000000001</v>
      </c>
      <c r="Q124" s="116">
        <v>1090.8499999999999</v>
      </c>
      <c r="R124">
        <v>1316522</v>
      </c>
    </row>
    <row r="125" spans="1:18" x14ac:dyDescent="0.25">
      <c r="A125" s="170">
        <v>45440</v>
      </c>
      <c r="B125" s="116">
        <v>1088.95</v>
      </c>
      <c r="C125" s="116">
        <v>1065.75</v>
      </c>
      <c r="D125" s="116">
        <v>1063</v>
      </c>
      <c r="E125" s="116">
        <v>1088.95</v>
      </c>
      <c r="F125" s="116">
        <v>1065.75</v>
      </c>
      <c r="G125">
        <v>62092</v>
      </c>
      <c r="H125" s="116"/>
      <c r="I125" s="116"/>
      <c r="L125" s="170">
        <v>45440</v>
      </c>
      <c r="M125" s="116">
        <v>1065.95</v>
      </c>
      <c r="N125" s="116">
        <v>1087.8499999999999</v>
      </c>
      <c r="O125" s="116">
        <v>1063</v>
      </c>
      <c r="P125" s="116">
        <v>1078</v>
      </c>
      <c r="Q125" s="116">
        <v>1065.95</v>
      </c>
      <c r="R125">
        <v>597485</v>
      </c>
    </row>
    <row r="126" spans="1:18" x14ac:dyDescent="0.25">
      <c r="A126" s="170">
        <v>45441</v>
      </c>
      <c r="B126" s="116">
        <v>1071.05</v>
      </c>
      <c r="C126" s="116">
        <v>1052.55</v>
      </c>
      <c r="D126" s="116">
        <v>1051.45</v>
      </c>
      <c r="E126" s="116">
        <v>1056</v>
      </c>
      <c r="F126" s="116">
        <v>1052.55</v>
      </c>
      <c r="G126">
        <v>33922</v>
      </c>
      <c r="H126" s="116"/>
      <c r="I126" s="116"/>
      <c r="L126" s="170">
        <v>45441</v>
      </c>
      <c r="M126" s="116">
        <v>1052.5</v>
      </c>
      <c r="N126" s="116">
        <v>1072.3</v>
      </c>
      <c r="O126" s="116">
        <v>1051</v>
      </c>
      <c r="P126" s="116">
        <v>1057</v>
      </c>
      <c r="Q126" s="116">
        <v>1052.5</v>
      </c>
      <c r="R126">
        <v>465777</v>
      </c>
    </row>
    <row r="127" spans="1:18" x14ac:dyDescent="0.25">
      <c r="A127" s="170">
        <v>45442</v>
      </c>
      <c r="B127" s="116">
        <v>1067</v>
      </c>
      <c r="C127" s="116">
        <v>1049.3</v>
      </c>
      <c r="D127" s="116">
        <v>1045.8499999999999</v>
      </c>
      <c r="E127" s="116">
        <v>1050.05</v>
      </c>
      <c r="F127" s="116">
        <v>1049.3</v>
      </c>
      <c r="G127">
        <v>117375</v>
      </c>
      <c r="H127" s="116"/>
      <c r="I127" s="116"/>
      <c r="L127" s="170">
        <v>45442</v>
      </c>
      <c r="M127" s="116">
        <v>1049.95</v>
      </c>
      <c r="N127" s="116">
        <v>1067.3</v>
      </c>
      <c r="O127" s="116">
        <v>1045.05</v>
      </c>
      <c r="P127" s="116">
        <v>1052.5</v>
      </c>
      <c r="Q127" s="116">
        <v>1049.95</v>
      </c>
      <c r="R127">
        <v>540209</v>
      </c>
    </row>
    <row r="128" spans="1:18" x14ac:dyDescent="0.25">
      <c r="A128" s="170">
        <v>45443</v>
      </c>
      <c r="B128" s="116">
        <v>1056.3</v>
      </c>
      <c r="C128" s="116">
        <v>1031.5999999999999</v>
      </c>
      <c r="D128" s="116">
        <v>1023.9</v>
      </c>
      <c r="E128" s="116">
        <v>1049.0999999999999</v>
      </c>
      <c r="F128" s="116">
        <v>1031.5999999999999</v>
      </c>
      <c r="G128">
        <v>89781</v>
      </c>
      <c r="H128" s="116"/>
      <c r="I128" s="116"/>
      <c r="L128" s="170">
        <v>45443</v>
      </c>
      <c r="M128" s="116">
        <v>1030.2</v>
      </c>
      <c r="N128" s="116">
        <v>1056</v>
      </c>
      <c r="O128" s="116">
        <v>1023.8</v>
      </c>
      <c r="P128" s="116">
        <v>1049.05</v>
      </c>
      <c r="Q128" s="116">
        <v>1030.2</v>
      </c>
      <c r="R128">
        <v>676794</v>
      </c>
    </row>
    <row r="129" spans="1:18" x14ac:dyDescent="0.25">
      <c r="A129" s="170">
        <v>45446</v>
      </c>
      <c r="B129" s="116">
        <v>1068</v>
      </c>
      <c r="C129" s="116">
        <v>1035.3499999999999</v>
      </c>
      <c r="D129" s="116">
        <v>1034.05</v>
      </c>
      <c r="E129" s="116">
        <v>1061.0999999999999</v>
      </c>
      <c r="F129" s="116">
        <v>1035.3499999999999</v>
      </c>
      <c r="G129">
        <v>157068</v>
      </c>
      <c r="H129" s="116"/>
      <c r="I129" s="116"/>
      <c r="L129" s="170">
        <v>45446</v>
      </c>
      <c r="M129" s="116">
        <v>1035.5</v>
      </c>
      <c r="N129" s="116">
        <v>1070</v>
      </c>
      <c r="O129" s="116">
        <v>1034.1500000000001</v>
      </c>
      <c r="P129" s="116">
        <v>1070</v>
      </c>
      <c r="Q129" s="116">
        <v>1035.5</v>
      </c>
      <c r="R129">
        <v>806191</v>
      </c>
    </row>
    <row r="130" spans="1:18" x14ac:dyDescent="0.25">
      <c r="A130" s="170">
        <v>45447</v>
      </c>
      <c r="B130" s="116">
        <v>1038</v>
      </c>
      <c r="C130" s="116">
        <v>1013.6</v>
      </c>
      <c r="D130" s="116">
        <v>982.25</v>
      </c>
      <c r="E130" s="116">
        <v>1038</v>
      </c>
      <c r="F130" s="116">
        <v>1013.6</v>
      </c>
      <c r="G130">
        <v>128794</v>
      </c>
      <c r="H130" s="116"/>
      <c r="I130" s="116"/>
      <c r="L130" s="170">
        <v>45447</v>
      </c>
      <c r="M130" s="116">
        <v>1013.45</v>
      </c>
      <c r="N130" s="116">
        <v>1037.5</v>
      </c>
      <c r="O130" s="116">
        <v>982.25</v>
      </c>
      <c r="P130" s="116">
        <v>1035.5</v>
      </c>
      <c r="Q130" s="116">
        <v>1013.45</v>
      </c>
      <c r="R130">
        <v>1738234</v>
      </c>
    </row>
    <row r="131" spans="1:18" x14ac:dyDescent="0.25">
      <c r="A131" s="170">
        <v>45448</v>
      </c>
      <c r="B131" s="116">
        <v>1033.95</v>
      </c>
      <c r="C131" s="116">
        <v>1030.1500000000001</v>
      </c>
      <c r="D131" s="116">
        <v>1000.55</v>
      </c>
      <c r="E131" s="116">
        <v>1029.9000000000001</v>
      </c>
      <c r="F131" s="116">
        <v>1030.1500000000001</v>
      </c>
      <c r="G131">
        <v>161897</v>
      </c>
      <c r="H131" s="116"/>
      <c r="I131" s="116"/>
      <c r="L131" s="170">
        <v>45448</v>
      </c>
      <c r="M131" s="116">
        <v>1029.8</v>
      </c>
      <c r="N131" s="116">
        <v>1033.55</v>
      </c>
      <c r="O131" s="116">
        <v>1000.1</v>
      </c>
      <c r="P131" s="116">
        <v>1027</v>
      </c>
      <c r="Q131" s="116">
        <v>1029.8</v>
      </c>
      <c r="R131">
        <v>662401</v>
      </c>
    </row>
    <row r="132" spans="1:18" x14ac:dyDescent="0.25">
      <c r="A132" s="170">
        <v>45449</v>
      </c>
      <c r="B132" s="116">
        <v>1061.5</v>
      </c>
      <c r="C132" s="116">
        <v>1048.5999999999999</v>
      </c>
      <c r="D132" s="116">
        <v>1036.7</v>
      </c>
      <c r="E132" s="116">
        <v>1041.5</v>
      </c>
      <c r="F132" s="116">
        <v>1048.5999999999999</v>
      </c>
      <c r="G132">
        <v>442586</v>
      </c>
      <c r="H132" s="116"/>
      <c r="I132" s="116"/>
      <c r="L132" s="170">
        <v>45449</v>
      </c>
      <c r="M132" s="116">
        <v>1048.6500000000001</v>
      </c>
      <c r="N132" s="116">
        <v>1061</v>
      </c>
      <c r="O132" s="116">
        <v>1036.3</v>
      </c>
      <c r="P132" s="116">
        <v>1043</v>
      </c>
      <c r="Q132" s="116">
        <v>1048.6500000000001</v>
      </c>
      <c r="R132">
        <v>915629</v>
      </c>
    </row>
    <row r="133" spans="1:18" x14ac:dyDescent="0.25">
      <c r="A133" s="170">
        <v>45450</v>
      </c>
      <c r="B133" s="116">
        <v>1071</v>
      </c>
      <c r="C133" s="116">
        <v>1061.6500000000001</v>
      </c>
      <c r="D133" s="116">
        <v>1050</v>
      </c>
      <c r="E133" s="116">
        <v>1056.1500000000001</v>
      </c>
      <c r="F133" s="116">
        <v>1061.6500000000001</v>
      </c>
      <c r="G133">
        <v>57065</v>
      </c>
      <c r="H133" s="116"/>
      <c r="I133" s="116"/>
      <c r="L133" s="170">
        <v>45450</v>
      </c>
      <c r="M133" s="116">
        <v>1061.4000000000001</v>
      </c>
      <c r="N133" s="116">
        <v>1071.05</v>
      </c>
      <c r="O133" s="116">
        <v>1050</v>
      </c>
      <c r="P133" s="116">
        <v>1056.95</v>
      </c>
      <c r="Q133" s="116">
        <v>1061.4000000000001</v>
      </c>
      <c r="R133">
        <v>1001179</v>
      </c>
    </row>
    <row r="134" spans="1:18" x14ac:dyDescent="0.25">
      <c r="A134" s="170">
        <v>45453</v>
      </c>
      <c r="B134" s="116">
        <v>1071.45</v>
      </c>
      <c r="C134" s="116">
        <v>1056.8</v>
      </c>
      <c r="D134" s="116">
        <v>1052.7</v>
      </c>
      <c r="E134" s="116">
        <v>1061.6500000000001</v>
      </c>
      <c r="F134" s="116">
        <v>1056.8</v>
      </c>
      <c r="G134">
        <v>109951</v>
      </c>
      <c r="H134" s="116"/>
      <c r="I134" s="116"/>
      <c r="L134" s="170">
        <v>45453</v>
      </c>
      <c r="M134" s="116">
        <v>1057.55</v>
      </c>
      <c r="N134" s="116">
        <v>1069.45</v>
      </c>
      <c r="O134" s="116">
        <v>1053.9000000000001</v>
      </c>
      <c r="P134" s="116">
        <v>1061.4000000000001</v>
      </c>
      <c r="Q134" s="116">
        <v>1057.55</v>
      </c>
      <c r="R134">
        <v>689544</v>
      </c>
    </row>
    <row r="135" spans="1:18" x14ac:dyDescent="0.25">
      <c r="A135" s="170">
        <v>45454</v>
      </c>
      <c r="B135" s="116">
        <v>1074</v>
      </c>
      <c r="C135" s="116">
        <v>1059.75</v>
      </c>
      <c r="D135" s="116">
        <v>1058.05</v>
      </c>
      <c r="E135" s="116">
        <v>1065.5999999999999</v>
      </c>
      <c r="F135" s="116">
        <v>1059.75</v>
      </c>
      <c r="G135">
        <v>26209</v>
      </c>
      <c r="H135" s="116"/>
      <c r="I135" s="116"/>
      <c r="L135" s="170">
        <v>45454</v>
      </c>
      <c r="M135" s="116">
        <v>1059.6500000000001</v>
      </c>
      <c r="N135" s="116">
        <v>1073.7</v>
      </c>
      <c r="O135" s="116">
        <v>1058.05</v>
      </c>
      <c r="P135" s="116">
        <v>1063.05</v>
      </c>
      <c r="Q135" s="116">
        <v>1059.6500000000001</v>
      </c>
      <c r="R135">
        <v>854848</v>
      </c>
    </row>
    <row r="136" spans="1:18" x14ac:dyDescent="0.25">
      <c r="A136" s="170">
        <v>45455</v>
      </c>
      <c r="B136" s="116">
        <v>1067</v>
      </c>
      <c r="C136" s="116">
        <v>1058.5999999999999</v>
      </c>
      <c r="D136" s="116">
        <v>1055.55</v>
      </c>
      <c r="E136" s="116">
        <v>1060.55</v>
      </c>
      <c r="F136" s="116">
        <v>1058.5999999999999</v>
      </c>
      <c r="G136">
        <v>93226</v>
      </c>
      <c r="H136" s="116"/>
      <c r="I136" s="116"/>
      <c r="L136" s="170">
        <v>45455</v>
      </c>
      <c r="M136" s="116">
        <v>1058.8499999999999</v>
      </c>
      <c r="N136" s="116">
        <v>1067.45</v>
      </c>
      <c r="O136" s="116">
        <v>1055</v>
      </c>
      <c r="P136" s="116">
        <v>1063</v>
      </c>
      <c r="Q136" s="116">
        <v>1058.8499999999999</v>
      </c>
      <c r="R136">
        <v>840937</v>
      </c>
    </row>
    <row r="137" spans="1:18" x14ac:dyDescent="0.25">
      <c r="A137" s="170">
        <v>45456</v>
      </c>
      <c r="B137" s="116">
        <v>1062.25</v>
      </c>
      <c r="C137" s="116">
        <v>1049</v>
      </c>
      <c r="D137" s="116">
        <v>1046.75</v>
      </c>
      <c r="E137" s="116">
        <v>1059</v>
      </c>
      <c r="F137" s="116">
        <v>1049</v>
      </c>
      <c r="G137">
        <v>40714</v>
      </c>
      <c r="H137" s="116"/>
      <c r="I137" s="116"/>
      <c r="L137" s="170">
        <v>45456</v>
      </c>
      <c r="M137" s="116">
        <v>1049.05</v>
      </c>
      <c r="N137" s="116">
        <v>1063</v>
      </c>
      <c r="O137" s="116">
        <v>1046.5</v>
      </c>
      <c r="P137" s="116">
        <v>1058</v>
      </c>
      <c r="Q137" s="116">
        <v>1049.05</v>
      </c>
      <c r="R137">
        <v>959539</v>
      </c>
    </row>
    <row r="138" spans="1:18" x14ac:dyDescent="0.25">
      <c r="A138" s="170">
        <v>45457</v>
      </c>
      <c r="B138" s="116">
        <v>1049.05</v>
      </c>
      <c r="C138" s="116">
        <v>1037.75</v>
      </c>
      <c r="D138" s="116">
        <v>1036.95</v>
      </c>
      <c r="E138" s="116">
        <v>1049</v>
      </c>
      <c r="F138" s="116">
        <v>1037.75</v>
      </c>
      <c r="G138">
        <v>54109</v>
      </c>
      <c r="H138" s="116"/>
      <c r="I138" s="116"/>
      <c r="L138" s="170">
        <v>45457</v>
      </c>
      <c r="M138" s="116">
        <v>1037.6500000000001</v>
      </c>
      <c r="N138" s="116">
        <v>1049.5</v>
      </c>
      <c r="O138" s="116">
        <v>1036.8499999999999</v>
      </c>
      <c r="P138" s="116">
        <v>1049.05</v>
      </c>
      <c r="Q138" s="116">
        <v>1037.6500000000001</v>
      </c>
      <c r="R138">
        <v>1146052</v>
      </c>
    </row>
    <row r="139" spans="1:18" x14ac:dyDescent="0.25">
      <c r="A139" s="170">
        <v>45461</v>
      </c>
      <c r="B139" s="116">
        <v>1043.75</v>
      </c>
      <c r="C139" s="116">
        <v>1030</v>
      </c>
      <c r="D139" s="116">
        <v>1028.5</v>
      </c>
      <c r="E139" s="116">
        <v>1037.8499999999999</v>
      </c>
      <c r="F139" s="116">
        <v>1030</v>
      </c>
      <c r="G139">
        <v>146077</v>
      </c>
      <c r="H139" s="116"/>
      <c r="I139" s="116"/>
      <c r="L139" s="170">
        <v>45461</v>
      </c>
      <c r="M139" s="116">
        <v>1029.5999999999999</v>
      </c>
      <c r="N139" s="116">
        <v>1042</v>
      </c>
      <c r="O139" s="116">
        <v>1027.95</v>
      </c>
      <c r="P139" s="116">
        <v>1040.4000000000001</v>
      </c>
      <c r="Q139" s="116">
        <v>1029.5999999999999</v>
      </c>
      <c r="R139">
        <v>1188441</v>
      </c>
    </row>
    <row r="140" spans="1:18" x14ac:dyDescent="0.25">
      <c r="A140" s="170">
        <v>45462</v>
      </c>
      <c r="B140" s="116">
        <v>1044</v>
      </c>
      <c r="C140" s="116">
        <v>1026.95</v>
      </c>
      <c r="D140" s="116">
        <v>1022.3</v>
      </c>
      <c r="E140" s="116">
        <v>1036.05</v>
      </c>
      <c r="F140" s="116">
        <v>1026.95</v>
      </c>
      <c r="G140">
        <v>156710</v>
      </c>
      <c r="H140" s="116"/>
      <c r="I140" s="116"/>
      <c r="L140" s="170">
        <v>45462</v>
      </c>
      <c r="M140" s="116">
        <v>1027.5</v>
      </c>
      <c r="N140" s="116">
        <v>1043.9000000000001</v>
      </c>
      <c r="O140" s="116">
        <v>1021</v>
      </c>
      <c r="P140" s="116">
        <v>1040</v>
      </c>
      <c r="Q140" s="116">
        <v>1027.5</v>
      </c>
      <c r="R140">
        <v>1124383</v>
      </c>
    </row>
    <row r="141" spans="1:18" x14ac:dyDescent="0.25">
      <c r="A141" s="170">
        <v>45463</v>
      </c>
      <c r="B141" s="116">
        <v>1027</v>
      </c>
      <c r="C141" s="116">
        <v>1010.65</v>
      </c>
      <c r="D141" s="116">
        <v>1004.25</v>
      </c>
      <c r="E141" s="116">
        <v>1026.05</v>
      </c>
      <c r="F141" s="116">
        <v>1010.65</v>
      </c>
      <c r="G141">
        <v>94642</v>
      </c>
      <c r="H141" s="116"/>
      <c r="I141" s="116"/>
      <c r="L141" s="170">
        <v>45463</v>
      </c>
      <c r="M141" s="116">
        <v>1010.35</v>
      </c>
      <c r="N141" s="116">
        <v>1027.3499999999999</v>
      </c>
      <c r="O141" s="116">
        <v>1004.25</v>
      </c>
      <c r="P141" s="116">
        <v>1027.3499999999999</v>
      </c>
      <c r="Q141" s="116">
        <v>1010.35</v>
      </c>
      <c r="R141">
        <v>2391725</v>
      </c>
    </row>
    <row r="142" spans="1:18" x14ac:dyDescent="0.25">
      <c r="A142" s="170">
        <v>45464</v>
      </c>
      <c r="B142" s="116">
        <v>1016.4</v>
      </c>
      <c r="C142" s="116">
        <v>992.1</v>
      </c>
      <c r="D142" s="116">
        <v>983</v>
      </c>
      <c r="E142" s="116">
        <v>1010</v>
      </c>
      <c r="F142" s="116">
        <v>992.1</v>
      </c>
      <c r="G142">
        <v>475224</v>
      </c>
      <c r="H142" s="116"/>
      <c r="I142" s="116"/>
      <c r="L142" s="170">
        <v>45464</v>
      </c>
      <c r="M142" s="116">
        <v>992.25</v>
      </c>
      <c r="N142" s="116">
        <v>1013.9</v>
      </c>
      <c r="O142" s="116">
        <v>982.65</v>
      </c>
      <c r="P142" s="116">
        <v>1010.35</v>
      </c>
      <c r="Q142" s="116">
        <v>992.25</v>
      </c>
      <c r="R142">
        <v>7044016</v>
      </c>
    </row>
    <row r="143" spans="1:18" x14ac:dyDescent="0.25">
      <c r="A143" s="170">
        <v>45467</v>
      </c>
      <c r="B143" s="116">
        <v>1007.05</v>
      </c>
      <c r="C143" s="116">
        <v>1000.05</v>
      </c>
      <c r="D143" s="116">
        <v>990</v>
      </c>
      <c r="E143" s="116">
        <v>993.4</v>
      </c>
      <c r="F143" s="116">
        <v>1000.05</v>
      </c>
      <c r="G143">
        <v>71793</v>
      </c>
      <c r="H143" s="116"/>
      <c r="I143" s="116"/>
      <c r="L143" s="170">
        <v>45467</v>
      </c>
      <c r="M143" s="116">
        <v>999.65</v>
      </c>
      <c r="N143" s="116">
        <v>1006.95</v>
      </c>
      <c r="O143" s="116">
        <v>989.75</v>
      </c>
      <c r="P143" s="116">
        <v>992.25</v>
      </c>
      <c r="Q143" s="116">
        <v>999.65</v>
      </c>
      <c r="R143">
        <v>1093347</v>
      </c>
    </row>
    <row r="144" spans="1:18" x14ac:dyDescent="0.25">
      <c r="A144" s="170">
        <v>45468</v>
      </c>
      <c r="B144" s="116">
        <v>1007</v>
      </c>
      <c r="C144" s="116">
        <v>1001.35</v>
      </c>
      <c r="D144" s="116">
        <v>1000</v>
      </c>
      <c r="E144" s="116">
        <v>1005</v>
      </c>
      <c r="F144" s="116">
        <v>1001.35</v>
      </c>
      <c r="G144">
        <v>96470</v>
      </c>
      <c r="H144" s="116"/>
      <c r="I144" s="116"/>
      <c r="L144" s="170">
        <v>45468</v>
      </c>
      <c r="M144" s="116">
        <v>1000.95</v>
      </c>
      <c r="N144" s="116">
        <v>1007</v>
      </c>
      <c r="O144" s="116">
        <v>1000</v>
      </c>
      <c r="P144" s="116">
        <v>1004</v>
      </c>
      <c r="Q144" s="116">
        <v>1000.95</v>
      </c>
      <c r="R144">
        <v>468341</v>
      </c>
    </row>
    <row r="145" spans="1:18" x14ac:dyDescent="0.25">
      <c r="A145" s="170">
        <v>45469</v>
      </c>
      <c r="B145" s="116">
        <v>1009.95</v>
      </c>
      <c r="C145" s="116">
        <v>1003.8</v>
      </c>
      <c r="D145" s="116">
        <v>1000.05</v>
      </c>
      <c r="E145" s="116">
        <v>1001.65</v>
      </c>
      <c r="F145" s="116">
        <v>1003.8</v>
      </c>
      <c r="G145">
        <v>109353</v>
      </c>
      <c r="H145" s="116"/>
      <c r="I145" s="116"/>
      <c r="L145" s="170">
        <v>45469</v>
      </c>
      <c r="M145" s="116">
        <v>1003.55</v>
      </c>
      <c r="N145" s="116">
        <v>1010</v>
      </c>
      <c r="O145" s="116">
        <v>1000.35</v>
      </c>
      <c r="P145" s="116">
        <v>1004</v>
      </c>
      <c r="Q145" s="116">
        <v>1003.55</v>
      </c>
      <c r="R145">
        <v>512833</v>
      </c>
    </row>
    <row r="146" spans="1:18" x14ac:dyDescent="0.25">
      <c r="A146" s="170">
        <v>45470</v>
      </c>
      <c r="B146" s="116">
        <v>1026</v>
      </c>
      <c r="C146" s="116">
        <v>1016.8</v>
      </c>
      <c r="D146" s="116">
        <v>1003.45</v>
      </c>
      <c r="E146" s="116">
        <v>1004.25</v>
      </c>
      <c r="F146" s="116">
        <v>1016.8</v>
      </c>
      <c r="G146">
        <v>211601</v>
      </c>
      <c r="H146" s="116"/>
      <c r="I146" s="116"/>
      <c r="L146" s="170">
        <v>45470</v>
      </c>
      <c r="M146" s="116">
        <v>1017.25</v>
      </c>
      <c r="N146" s="116">
        <v>1026.5</v>
      </c>
      <c r="O146" s="116">
        <v>1003</v>
      </c>
      <c r="P146" s="116">
        <v>1005</v>
      </c>
      <c r="Q146" s="116">
        <v>1017.25</v>
      </c>
      <c r="R146">
        <v>1343843</v>
      </c>
    </row>
    <row r="147" spans="1:18" x14ac:dyDescent="0.25">
      <c r="A147" s="170">
        <v>45471</v>
      </c>
      <c r="B147" s="116">
        <v>1027.8</v>
      </c>
      <c r="C147" s="116">
        <v>1021.5</v>
      </c>
      <c r="D147" s="116">
        <v>1017.3</v>
      </c>
      <c r="E147" s="116">
        <v>1020</v>
      </c>
      <c r="F147" s="116">
        <v>1021.5</v>
      </c>
      <c r="G147">
        <v>34585</v>
      </c>
      <c r="H147" s="116"/>
      <c r="I147" s="116"/>
      <c r="L147" s="170">
        <v>45471</v>
      </c>
      <c r="M147" s="116">
        <v>1021.95</v>
      </c>
      <c r="N147" s="116">
        <v>1027.9000000000001</v>
      </c>
      <c r="O147" s="116">
        <v>1017.25</v>
      </c>
      <c r="P147" s="116">
        <v>1019.2</v>
      </c>
      <c r="Q147" s="116">
        <v>1021.95</v>
      </c>
      <c r="R147">
        <v>744581</v>
      </c>
    </row>
    <row r="148" spans="1:18" x14ac:dyDescent="0.25">
      <c r="A148" s="170">
        <v>45474</v>
      </c>
      <c r="B148" s="116">
        <v>1029.8</v>
      </c>
      <c r="C148" s="116">
        <v>1015</v>
      </c>
      <c r="D148" s="116">
        <v>1013</v>
      </c>
      <c r="E148" s="116">
        <v>1025.0999999999999</v>
      </c>
      <c r="F148" s="116">
        <v>1015</v>
      </c>
      <c r="G148">
        <v>30872</v>
      </c>
      <c r="H148" s="116"/>
      <c r="I148" s="116"/>
      <c r="L148" s="170">
        <v>45474</v>
      </c>
      <c r="M148" s="116">
        <v>1014.85</v>
      </c>
      <c r="N148" s="116">
        <v>1029.5</v>
      </c>
      <c r="O148" s="116">
        <v>1012</v>
      </c>
      <c r="P148" s="116">
        <v>1023.3</v>
      </c>
      <c r="Q148" s="116">
        <v>1014.85</v>
      </c>
      <c r="R148">
        <v>627199</v>
      </c>
    </row>
    <row r="149" spans="1:18" x14ac:dyDescent="0.25">
      <c r="A149" s="170">
        <v>45475</v>
      </c>
      <c r="B149" s="116">
        <v>1019.15</v>
      </c>
      <c r="C149" s="116">
        <v>1009.3</v>
      </c>
      <c r="D149" s="116">
        <v>1006.55</v>
      </c>
      <c r="E149" s="116">
        <v>1014.3</v>
      </c>
      <c r="F149" s="116">
        <v>1009.3</v>
      </c>
      <c r="G149">
        <v>101355</v>
      </c>
      <c r="H149" s="116"/>
      <c r="I149" s="116"/>
      <c r="L149" s="170">
        <v>45475</v>
      </c>
      <c r="M149" s="116">
        <v>1009.6</v>
      </c>
      <c r="N149" s="116">
        <v>1019.1</v>
      </c>
      <c r="O149" s="116">
        <v>1006.75</v>
      </c>
      <c r="P149" s="116">
        <v>1014.85</v>
      </c>
      <c r="Q149" s="116">
        <v>1009.6</v>
      </c>
      <c r="R149">
        <v>433251</v>
      </c>
    </row>
    <row r="150" spans="1:18" x14ac:dyDescent="0.25">
      <c r="A150" s="170">
        <v>45476</v>
      </c>
      <c r="B150" s="116">
        <v>1014.05</v>
      </c>
      <c r="C150" s="116">
        <v>1010.1</v>
      </c>
      <c r="D150" s="116">
        <v>1008.8</v>
      </c>
      <c r="E150" s="116">
        <v>1010.7</v>
      </c>
      <c r="F150" s="116">
        <v>1010.1</v>
      </c>
      <c r="G150">
        <v>17988</v>
      </c>
      <c r="H150" s="116"/>
      <c r="I150" s="116"/>
      <c r="L150" s="170">
        <v>45476</v>
      </c>
      <c r="M150" s="116">
        <v>1009.75</v>
      </c>
      <c r="N150" s="116">
        <v>1014.3</v>
      </c>
      <c r="O150" s="116">
        <v>1008.15</v>
      </c>
      <c r="P150" s="116">
        <v>1014.25</v>
      </c>
      <c r="Q150" s="116">
        <v>1009.75</v>
      </c>
      <c r="R150">
        <v>409471</v>
      </c>
    </row>
    <row r="151" spans="1:18" x14ac:dyDescent="0.25">
      <c r="A151" s="170">
        <v>45477</v>
      </c>
      <c r="B151" s="116">
        <v>1014</v>
      </c>
      <c r="C151" s="116">
        <v>1008.8</v>
      </c>
      <c r="D151" s="116">
        <v>1006.6</v>
      </c>
      <c r="E151" s="116">
        <v>1011.2</v>
      </c>
      <c r="F151" s="116">
        <v>1008.8</v>
      </c>
      <c r="G151">
        <v>92970</v>
      </c>
      <c r="H151" s="116"/>
      <c r="I151" s="116"/>
      <c r="L151" s="170">
        <v>45477</v>
      </c>
      <c r="M151" s="116">
        <v>1009</v>
      </c>
      <c r="N151" s="116">
        <v>1013.35</v>
      </c>
      <c r="O151" s="116">
        <v>1006.2</v>
      </c>
      <c r="P151" s="116">
        <v>1013.35</v>
      </c>
      <c r="Q151" s="116">
        <v>1009</v>
      </c>
      <c r="R151">
        <v>460871</v>
      </c>
    </row>
    <row r="152" spans="1:18" x14ac:dyDescent="0.25">
      <c r="A152" s="170">
        <v>45478</v>
      </c>
      <c r="B152" s="116">
        <v>1018.95</v>
      </c>
      <c r="C152" s="116">
        <v>1010.6</v>
      </c>
      <c r="D152" s="116">
        <v>1009.15</v>
      </c>
      <c r="E152" s="116">
        <v>1012.5</v>
      </c>
      <c r="F152" s="116">
        <v>1010.6</v>
      </c>
      <c r="G152">
        <v>42509</v>
      </c>
      <c r="H152" s="116"/>
      <c r="I152" s="116"/>
      <c r="L152" s="170">
        <v>45478</v>
      </c>
      <c r="M152" s="116">
        <v>1010.35</v>
      </c>
      <c r="N152" s="116">
        <v>1019</v>
      </c>
      <c r="O152" s="116">
        <v>1009.05</v>
      </c>
      <c r="P152" s="116">
        <v>1012.95</v>
      </c>
      <c r="Q152" s="116">
        <v>1010.35</v>
      </c>
      <c r="R152">
        <v>704826</v>
      </c>
    </row>
    <row r="153" spans="1:18" x14ac:dyDescent="0.25">
      <c r="A153" s="170">
        <v>45481</v>
      </c>
      <c r="B153" s="116">
        <v>1014.85</v>
      </c>
      <c r="C153" s="116">
        <v>1004.4</v>
      </c>
      <c r="D153" s="116">
        <v>1003</v>
      </c>
      <c r="E153" s="116">
        <v>1011.2</v>
      </c>
      <c r="F153" s="116">
        <v>1004.4</v>
      </c>
      <c r="G153">
        <v>98089</v>
      </c>
      <c r="H153" s="116"/>
      <c r="I153" s="116"/>
      <c r="L153" s="170">
        <v>45481</v>
      </c>
      <c r="M153" s="116">
        <v>1004.55</v>
      </c>
      <c r="N153" s="116">
        <v>1015.75</v>
      </c>
      <c r="O153" s="116">
        <v>1003</v>
      </c>
      <c r="P153" s="116">
        <v>1014.85</v>
      </c>
      <c r="Q153" s="116">
        <v>1004.55</v>
      </c>
      <c r="R153">
        <v>459742</v>
      </c>
    </row>
    <row r="154" spans="1:18" x14ac:dyDescent="0.25">
      <c r="A154" s="170">
        <v>45482</v>
      </c>
      <c r="B154" s="116">
        <v>1024.7</v>
      </c>
      <c r="C154" s="116">
        <v>1012.3</v>
      </c>
      <c r="D154" s="116">
        <v>1004.4</v>
      </c>
      <c r="E154" s="116">
        <v>1007.95</v>
      </c>
      <c r="F154" s="116">
        <v>1012.3</v>
      </c>
      <c r="G154">
        <v>46817</v>
      </c>
      <c r="H154" s="116"/>
      <c r="I154" s="116"/>
      <c r="L154" s="170">
        <v>45482</v>
      </c>
      <c r="M154" s="116">
        <v>1012.3</v>
      </c>
      <c r="N154" s="116">
        <v>1024.5999999999999</v>
      </c>
      <c r="O154" s="116">
        <v>1004.5</v>
      </c>
      <c r="P154" s="116">
        <v>1004.55</v>
      </c>
      <c r="Q154" s="116">
        <v>1012.3</v>
      </c>
      <c r="R154">
        <v>1004845</v>
      </c>
    </row>
    <row r="155" spans="1:18" x14ac:dyDescent="0.25">
      <c r="A155" s="170">
        <v>45483</v>
      </c>
      <c r="B155" s="116">
        <v>1026.5</v>
      </c>
      <c r="C155" s="116">
        <v>1011.1</v>
      </c>
      <c r="D155" s="116">
        <v>1006.5</v>
      </c>
      <c r="E155" s="116">
        <v>1006.5</v>
      </c>
      <c r="F155" s="116">
        <v>1011.1</v>
      </c>
      <c r="G155">
        <v>146166</v>
      </c>
      <c r="H155" s="116"/>
      <c r="I155" s="116"/>
      <c r="L155" s="170">
        <v>45483</v>
      </c>
      <c r="M155" s="116">
        <v>1011.5</v>
      </c>
      <c r="N155" s="116">
        <v>1026.75</v>
      </c>
      <c r="O155" s="116">
        <v>1007.7</v>
      </c>
      <c r="P155" s="116">
        <v>1012</v>
      </c>
      <c r="Q155" s="116">
        <v>1011.5</v>
      </c>
      <c r="R155">
        <v>902487</v>
      </c>
    </row>
    <row r="156" spans="1:18" x14ac:dyDescent="0.25">
      <c r="A156" s="170">
        <v>45484</v>
      </c>
      <c r="B156" s="116">
        <v>1022.9</v>
      </c>
      <c r="C156" s="116">
        <v>1014.65</v>
      </c>
      <c r="D156" s="116">
        <v>1011.4</v>
      </c>
      <c r="E156" s="116">
        <v>1012.8</v>
      </c>
      <c r="F156" s="116">
        <v>1014.65</v>
      </c>
      <c r="G156">
        <v>29040</v>
      </c>
      <c r="H156" s="116"/>
      <c r="I156" s="116"/>
      <c r="L156" s="170">
        <v>45484</v>
      </c>
      <c r="M156" s="116">
        <v>1014.95</v>
      </c>
      <c r="N156" s="116">
        <v>1022.9</v>
      </c>
      <c r="O156" s="116">
        <v>1011.95</v>
      </c>
      <c r="P156" s="116">
        <v>1014.8</v>
      </c>
      <c r="Q156" s="116">
        <v>1014.95</v>
      </c>
      <c r="R156">
        <v>693392</v>
      </c>
    </row>
    <row r="157" spans="1:18" x14ac:dyDescent="0.25">
      <c r="A157" s="170">
        <v>45485</v>
      </c>
      <c r="B157" s="116">
        <v>1043.25</v>
      </c>
      <c r="C157" s="116">
        <v>1032.9000000000001</v>
      </c>
      <c r="D157" s="116">
        <v>1014.85</v>
      </c>
      <c r="E157" s="116">
        <v>1016.2</v>
      </c>
      <c r="F157" s="116">
        <v>1032.9000000000001</v>
      </c>
      <c r="G157">
        <v>121893</v>
      </c>
      <c r="H157" s="116"/>
      <c r="I157" s="116"/>
      <c r="L157" s="170">
        <v>45485</v>
      </c>
      <c r="M157" s="116">
        <v>1033.4000000000001</v>
      </c>
      <c r="N157" s="116">
        <v>1043</v>
      </c>
      <c r="O157" s="116">
        <v>1015</v>
      </c>
      <c r="P157" s="116">
        <v>1019.5</v>
      </c>
      <c r="Q157" s="116">
        <v>1033.4000000000001</v>
      </c>
      <c r="R157">
        <v>2878465</v>
      </c>
    </row>
    <row r="158" spans="1:18" x14ac:dyDescent="0.25">
      <c r="A158" s="170">
        <v>45488</v>
      </c>
      <c r="B158" s="116">
        <v>1043.5</v>
      </c>
      <c r="C158" s="116">
        <v>1025.2</v>
      </c>
      <c r="D158" s="116">
        <v>1022.8</v>
      </c>
      <c r="E158" s="116">
        <v>1037.4000000000001</v>
      </c>
      <c r="F158" s="116">
        <v>1025.2</v>
      </c>
      <c r="G158">
        <v>71731</v>
      </c>
      <c r="H158" s="116"/>
      <c r="I158" s="116"/>
      <c r="L158" s="170">
        <v>45488</v>
      </c>
      <c r="M158" s="116">
        <v>1025.3499999999999</v>
      </c>
      <c r="N158" s="116">
        <v>1043.9000000000001</v>
      </c>
      <c r="O158" s="116">
        <v>1022</v>
      </c>
      <c r="P158" s="116">
        <v>1040</v>
      </c>
      <c r="Q158" s="116">
        <v>1025.3499999999999</v>
      </c>
      <c r="R158">
        <v>1098815</v>
      </c>
    </row>
    <row r="159" spans="1:18" x14ac:dyDescent="0.25">
      <c r="A159" s="170">
        <v>45489</v>
      </c>
      <c r="B159" s="116">
        <v>1032.7</v>
      </c>
      <c r="C159" s="116">
        <v>1015.75</v>
      </c>
      <c r="D159" s="116">
        <v>1012.75</v>
      </c>
      <c r="E159" s="116">
        <v>1027.3499999999999</v>
      </c>
      <c r="F159" s="116">
        <v>1015.75</v>
      </c>
      <c r="G159">
        <v>50389</v>
      </c>
      <c r="H159" s="116"/>
      <c r="I159" s="116"/>
      <c r="L159" s="170">
        <v>45489</v>
      </c>
      <c r="M159" s="116">
        <v>1015.25</v>
      </c>
      <c r="N159" s="116">
        <v>1033</v>
      </c>
      <c r="O159" s="116">
        <v>1012.25</v>
      </c>
      <c r="P159" s="116">
        <v>1027.3499999999999</v>
      </c>
      <c r="Q159" s="116">
        <v>1015.25</v>
      </c>
      <c r="R159">
        <v>802135</v>
      </c>
    </row>
    <row r="160" spans="1:18" x14ac:dyDescent="0.25">
      <c r="A160" s="170">
        <v>45491</v>
      </c>
      <c r="B160" s="116">
        <v>1020</v>
      </c>
      <c r="C160" s="116">
        <v>1009.25</v>
      </c>
      <c r="D160" s="116">
        <v>1008</v>
      </c>
      <c r="E160" s="116">
        <v>1017.05</v>
      </c>
      <c r="F160" s="116">
        <v>1009.25</v>
      </c>
      <c r="G160">
        <v>116021</v>
      </c>
      <c r="H160" s="116"/>
      <c r="I160" s="116"/>
      <c r="L160" s="170">
        <v>45491</v>
      </c>
      <c r="M160" s="116">
        <v>1009.15</v>
      </c>
      <c r="N160" s="116">
        <v>1020</v>
      </c>
      <c r="O160" s="116">
        <v>1008</v>
      </c>
      <c r="P160" s="116">
        <v>1019.25</v>
      </c>
      <c r="Q160" s="116">
        <v>1009.15</v>
      </c>
      <c r="R160">
        <v>655960</v>
      </c>
    </row>
    <row r="161" spans="1:18" x14ac:dyDescent="0.25">
      <c r="A161" s="170">
        <v>45492</v>
      </c>
      <c r="B161" s="116">
        <v>1005</v>
      </c>
      <c r="C161" s="116">
        <v>997.4</v>
      </c>
      <c r="D161" s="116">
        <v>989</v>
      </c>
      <c r="E161" s="116">
        <v>999</v>
      </c>
      <c r="F161" s="116">
        <v>997.4</v>
      </c>
      <c r="G161">
        <v>223300</v>
      </c>
      <c r="H161" s="116"/>
      <c r="I161" s="116"/>
      <c r="L161" s="170">
        <v>45492</v>
      </c>
      <c r="M161" s="116">
        <v>997.2</v>
      </c>
      <c r="N161" s="116">
        <v>1005.8</v>
      </c>
      <c r="O161" s="116">
        <v>990</v>
      </c>
      <c r="P161" s="116">
        <v>998</v>
      </c>
      <c r="Q161" s="116">
        <v>997.2</v>
      </c>
      <c r="R161">
        <v>1176579</v>
      </c>
    </row>
    <row r="162" spans="1:18" x14ac:dyDescent="0.25">
      <c r="A162" s="170">
        <v>45495</v>
      </c>
      <c r="B162" s="116">
        <v>997.85</v>
      </c>
      <c r="C162" s="116">
        <v>993.05</v>
      </c>
      <c r="D162" s="116">
        <v>990.25</v>
      </c>
      <c r="E162" s="116">
        <v>997.4</v>
      </c>
      <c r="F162" s="116">
        <v>993.05</v>
      </c>
      <c r="G162">
        <v>131431</v>
      </c>
      <c r="H162" s="116"/>
      <c r="I162" s="116"/>
      <c r="L162" s="170">
        <v>45495</v>
      </c>
      <c r="M162" s="116">
        <v>992.7</v>
      </c>
      <c r="N162" s="116">
        <v>998</v>
      </c>
      <c r="O162" s="116">
        <v>990.5</v>
      </c>
      <c r="P162" s="116">
        <v>997.2</v>
      </c>
      <c r="Q162" s="116">
        <v>992.7</v>
      </c>
      <c r="R162">
        <v>594894</v>
      </c>
    </row>
    <row r="163" spans="1:18" x14ac:dyDescent="0.25">
      <c r="A163" s="170">
        <v>45496</v>
      </c>
      <c r="B163" s="116">
        <v>1006.55</v>
      </c>
      <c r="C163" s="116">
        <v>996.75</v>
      </c>
      <c r="D163" s="116">
        <v>982.95</v>
      </c>
      <c r="E163" s="116">
        <v>994.9</v>
      </c>
      <c r="F163" s="116">
        <v>996.75</v>
      </c>
      <c r="G163">
        <v>131015</v>
      </c>
      <c r="H163" s="116"/>
      <c r="I163" s="116"/>
      <c r="L163" s="170">
        <v>45496</v>
      </c>
      <c r="M163" s="116">
        <v>996.65</v>
      </c>
      <c r="N163" s="116">
        <v>1007</v>
      </c>
      <c r="O163" s="116">
        <v>983</v>
      </c>
      <c r="P163" s="116">
        <v>995</v>
      </c>
      <c r="Q163" s="116">
        <v>996.65</v>
      </c>
      <c r="R163">
        <v>761466</v>
      </c>
    </row>
    <row r="164" spans="1:18" x14ac:dyDescent="0.25">
      <c r="A164" s="170">
        <v>45497</v>
      </c>
      <c r="B164" s="116">
        <v>1007.45</v>
      </c>
      <c r="C164" s="116">
        <v>997.75</v>
      </c>
      <c r="D164" s="116">
        <v>995</v>
      </c>
      <c r="E164" s="116">
        <v>996.85</v>
      </c>
      <c r="F164" s="116">
        <v>997.75</v>
      </c>
      <c r="G164">
        <v>88804</v>
      </c>
      <c r="H164" s="116"/>
      <c r="I164" s="116"/>
      <c r="L164" s="170">
        <v>45497</v>
      </c>
      <c r="M164" s="116">
        <v>997.25</v>
      </c>
      <c r="N164" s="116">
        <v>1007.65</v>
      </c>
      <c r="O164" s="116">
        <v>994</v>
      </c>
      <c r="P164" s="116">
        <v>995</v>
      </c>
      <c r="Q164" s="116">
        <v>997.25</v>
      </c>
      <c r="R164">
        <v>366520</v>
      </c>
    </row>
    <row r="165" spans="1:18" x14ac:dyDescent="0.25">
      <c r="A165" s="170">
        <v>45498</v>
      </c>
      <c r="B165" s="116">
        <v>1001.75</v>
      </c>
      <c r="C165" s="116">
        <v>999.3</v>
      </c>
      <c r="D165" s="116">
        <v>992.7</v>
      </c>
      <c r="E165" s="116">
        <v>995</v>
      </c>
      <c r="F165" s="116">
        <v>999.3</v>
      </c>
      <c r="G165">
        <v>83862</v>
      </c>
      <c r="H165" s="116"/>
      <c r="I165" s="116"/>
      <c r="L165" s="170">
        <v>45498</v>
      </c>
      <c r="M165" s="116">
        <v>999.55</v>
      </c>
      <c r="N165" s="116">
        <v>1002</v>
      </c>
      <c r="O165" s="116">
        <v>994</v>
      </c>
      <c r="P165" s="116">
        <v>996</v>
      </c>
      <c r="Q165" s="116">
        <v>999.55</v>
      </c>
      <c r="R165">
        <v>382077</v>
      </c>
    </row>
    <row r="166" spans="1:18" x14ac:dyDescent="0.25">
      <c r="A166" s="170">
        <v>45499</v>
      </c>
      <c r="B166" s="116">
        <v>1005.75</v>
      </c>
      <c r="C166" s="116">
        <v>999.3</v>
      </c>
      <c r="D166" s="116">
        <v>996</v>
      </c>
      <c r="E166" s="116">
        <v>1005.75</v>
      </c>
      <c r="F166" s="116">
        <v>999.3</v>
      </c>
      <c r="G166">
        <v>39323</v>
      </c>
      <c r="H166" s="116"/>
      <c r="I166" s="116"/>
      <c r="L166" s="170">
        <v>45499</v>
      </c>
      <c r="M166" s="116">
        <v>999</v>
      </c>
      <c r="N166" s="116">
        <v>1004</v>
      </c>
      <c r="O166" s="116">
        <v>997.1</v>
      </c>
      <c r="P166" s="116">
        <v>1000</v>
      </c>
      <c r="Q166" s="116">
        <v>999</v>
      </c>
      <c r="R166">
        <v>736307</v>
      </c>
    </row>
    <row r="167" spans="1:18" x14ac:dyDescent="0.25">
      <c r="A167" s="170">
        <v>45502</v>
      </c>
      <c r="B167" s="116">
        <v>1007.1</v>
      </c>
      <c r="C167" s="116">
        <v>1000.25</v>
      </c>
      <c r="D167" s="116">
        <v>999</v>
      </c>
      <c r="E167" s="116">
        <v>999.55</v>
      </c>
      <c r="F167" s="116">
        <v>1000.25</v>
      </c>
      <c r="G167">
        <v>130215</v>
      </c>
      <c r="H167" s="116"/>
      <c r="I167" s="116"/>
      <c r="L167" s="170">
        <v>45502</v>
      </c>
      <c r="M167" s="116">
        <v>1000.5</v>
      </c>
      <c r="N167" s="116">
        <v>1007.35</v>
      </c>
      <c r="O167" s="116">
        <v>999.05</v>
      </c>
      <c r="P167" s="116">
        <v>1002</v>
      </c>
      <c r="Q167" s="116">
        <v>1000.5</v>
      </c>
      <c r="R167">
        <v>400954</v>
      </c>
    </row>
    <row r="168" spans="1:18" x14ac:dyDescent="0.25">
      <c r="A168" s="170">
        <v>45503</v>
      </c>
      <c r="B168" s="116">
        <v>1004.25</v>
      </c>
      <c r="C168" s="116">
        <v>999.2</v>
      </c>
      <c r="D168" s="116">
        <v>998.5</v>
      </c>
      <c r="E168" s="116">
        <v>1002.05</v>
      </c>
      <c r="F168" s="116">
        <v>999.2</v>
      </c>
      <c r="G168">
        <v>25077</v>
      </c>
      <c r="H168" s="116"/>
      <c r="I168" s="116"/>
      <c r="L168" s="170">
        <v>45503</v>
      </c>
      <c r="M168" s="116">
        <v>999.05</v>
      </c>
      <c r="N168" s="116">
        <v>1004.5</v>
      </c>
      <c r="O168" s="116">
        <v>998</v>
      </c>
      <c r="P168" s="116">
        <v>1004.5</v>
      </c>
      <c r="Q168" s="116">
        <v>999.05</v>
      </c>
      <c r="R168">
        <v>434066</v>
      </c>
    </row>
    <row r="169" spans="1:18" x14ac:dyDescent="0.25">
      <c r="A169" s="170">
        <v>45504</v>
      </c>
      <c r="B169" s="116">
        <v>1004.55</v>
      </c>
      <c r="C169" s="116">
        <v>999.1</v>
      </c>
      <c r="D169" s="116">
        <v>998.05</v>
      </c>
      <c r="E169" s="116">
        <v>1000</v>
      </c>
      <c r="F169" s="116">
        <v>999.1</v>
      </c>
      <c r="G169">
        <v>64223</v>
      </c>
      <c r="H169" s="116"/>
      <c r="I169" s="116"/>
      <c r="L169" s="170">
        <v>45504</v>
      </c>
      <c r="M169" s="116">
        <v>999.35</v>
      </c>
      <c r="N169" s="116">
        <v>1004</v>
      </c>
      <c r="O169" s="116">
        <v>998.95</v>
      </c>
      <c r="P169" s="116">
        <v>1000</v>
      </c>
      <c r="Q169" s="116">
        <v>999.35</v>
      </c>
      <c r="R169">
        <v>323172</v>
      </c>
    </row>
    <row r="170" spans="1:18" x14ac:dyDescent="0.25">
      <c r="A170" s="170">
        <v>45505</v>
      </c>
      <c r="B170" s="116">
        <v>1003.9</v>
      </c>
      <c r="C170" s="116">
        <v>995.6</v>
      </c>
      <c r="D170" s="116">
        <v>994</v>
      </c>
      <c r="E170" s="116">
        <v>1000</v>
      </c>
      <c r="F170" s="116">
        <v>995.6</v>
      </c>
      <c r="G170">
        <v>26537</v>
      </c>
      <c r="H170" s="116"/>
      <c r="I170" s="116"/>
      <c r="L170" s="170">
        <v>45505</v>
      </c>
      <c r="M170" s="116">
        <v>995.4</v>
      </c>
      <c r="N170" s="116">
        <v>1004</v>
      </c>
      <c r="O170" s="116">
        <v>994</v>
      </c>
      <c r="P170" s="116">
        <v>1001</v>
      </c>
      <c r="Q170" s="116">
        <v>995.4</v>
      </c>
      <c r="R170">
        <v>578837</v>
      </c>
    </row>
    <row r="171" spans="1:18" x14ac:dyDescent="0.25">
      <c r="A171" s="170">
        <v>45506</v>
      </c>
      <c r="B171" s="116">
        <v>997.1</v>
      </c>
      <c r="C171" s="116">
        <v>991.9</v>
      </c>
      <c r="D171" s="116">
        <v>990</v>
      </c>
      <c r="E171" s="116">
        <v>992.05</v>
      </c>
      <c r="F171" s="116">
        <v>991.9</v>
      </c>
      <c r="G171">
        <v>83877</v>
      </c>
      <c r="H171" s="116"/>
      <c r="I171" s="116"/>
      <c r="L171" s="170">
        <v>45506</v>
      </c>
      <c r="M171" s="116">
        <v>992</v>
      </c>
      <c r="N171" s="116">
        <v>997.2</v>
      </c>
      <c r="O171" s="116">
        <v>990.8</v>
      </c>
      <c r="P171" s="116">
        <v>993</v>
      </c>
      <c r="Q171" s="116">
        <v>992</v>
      </c>
      <c r="R171">
        <v>355341</v>
      </c>
    </row>
    <row r="172" spans="1:18" x14ac:dyDescent="0.25">
      <c r="A172" s="170">
        <v>45509</v>
      </c>
      <c r="B172" s="116">
        <v>986.95</v>
      </c>
      <c r="C172" s="116">
        <v>976.6</v>
      </c>
      <c r="D172" s="116">
        <v>970.55</v>
      </c>
      <c r="E172" s="116">
        <v>986.95</v>
      </c>
      <c r="F172" s="116">
        <v>976.6</v>
      </c>
      <c r="G172">
        <v>72691</v>
      </c>
      <c r="H172" s="116"/>
      <c r="I172" s="116"/>
      <c r="L172" s="170">
        <v>45509</v>
      </c>
      <c r="M172" s="116">
        <v>976.3</v>
      </c>
      <c r="N172" s="116">
        <v>985.5</v>
      </c>
      <c r="O172" s="116">
        <v>970.1</v>
      </c>
      <c r="P172" s="116">
        <v>981</v>
      </c>
      <c r="Q172" s="116">
        <v>976.3</v>
      </c>
      <c r="R172">
        <v>1058840</v>
      </c>
    </row>
    <row r="173" spans="1:18" x14ac:dyDescent="0.25">
      <c r="A173" s="170">
        <v>45510</v>
      </c>
      <c r="B173" s="116">
        <v>994.15</v>
      </c>
      <c r="C173" s="116">
        <v>982.95</v>
      </c>
      <c r="D173" s="116">
        <v>974.2</v>
      </c>
      <c r="E173" s="116">
        <v>974.2</v>
      </c>
      <c r="F173" s="116">
        <v>982.95</v>
      </c>
      <c r="G173">
        <v>124220</v>
      </c>
      <c r="H173" s="116"/>
      <c r="I173" s="116"/>
      <c r="L173" s="170">
        <v>45510</v>
      </c>
      <c r="M173" s="116">
        <v>983.05</v>
      </c>
      <c r="N173" s="116">
        <v>993.95</v>
      </c>
      <c r="O173" s="116">
        <v>976</v>
      </c>
      <c r="P173" s="116">
        <v>976.25</v>
      </c>
      <c r="Q173" s="116">
        <v>983.05</v>
      </c>
      <c r="R173">
        <v>656501</v>
      </c>
    </row>
    <row r="174" spans="1:18" x14ac:dyDescent="0.25">
      <c r="A174" s="170">
        <v>45511</v>
      </c>
      <c r="B174" s="116">
        <v>1001</v>
      </c>
      <c r="C174" s="116">
        <v>999.35</v>
      </c>
      <c r="D174" s="116">
        <v>983.25</v>
      </c>
      <c r="E174" s="116">
        <v>988</v>
      </c>
      <c r="F174" s="116">
        <v>999.35</v>
      </c>
      <c r="G174">
        <v>34662</v>
      </c>
      <c r="H174" s="116"/>
      <c r="I174" s="116"/>
      <c r="L174" s="170">
        <v>45511</v>
      </c>
      <c r="M174" s="116">
        <v>999.15</v>
      </c>
      <c r="N174" s="116">
        <v>1001.95</v>
      </c>
      <c r="O174" s="116">
        <v>983.1</v>
      </c>
      <c r="P174" s="116">
        <v>990</v>
      </c>
      <c r="Q174" s="116">
        <v>999.15</v>
      </c>
      <c r="R174">
        <v>564967</v>
      </c>
    </row>
    <row r="175" spans="1:18" x14ac:dyDescent="0.25">
      <c r="A175" s="170">
        <v>45512</v>
      </c>
      <c r="B175" s="116">
        <v>1004</v>
      </c>
      <c r="C175" s="116">
        <v>999.55</v>
      </c>
      <c r="D175" s="116">
        <v>992.5</v>
      </c>
      <c r="E175" s="116">
        <v>997.2</v>
      </c>
      <c r="F175" s="116">
        <v>999.55</v>
      </c>
      <c r="G175">
        <v>152400</v>
      </c>
      <c r="H175" s="116"/>
      <c r="I175" s="116"/>
      <c r="L175" s="170">
        <v>45512</v>
      </c>
      <c r="M175" s="116">
        <v>998.8</v>
      </c>
      <c r="N175" s="116">
        <v>1004.3</v>
      </c>
      <c r="O175" s="116">
        <v>992.2</v>
      </c>
      <c r="P175" s="116">
        <v>1000</v>
      </c>
      <c r="Q175" s="116">
        <v>998.8</v>
      </c>
      <c r="R175">
        <v>445571</v>
      </c>
    </row>
    <row r="176" spans="1:18" x14ac:dyDescent="0.25">
      <c r="A176" s="170">
        <v>45513</v>
      </c>
      <c r="B176" s="116">
        <v>1009.95</v>
      </c>
      <c r="C176" s="116">
        <v>989.45</v>
      </c>
      <c r="D176" s="116">
        <v>985</v>
      </c>
      <c r="E176" s="116">
        <v>1003.15</v>
      </c>
      <c r="F176" s="116">
        <v>989.45</v>
      </c>
      <c r="G176">
        <v>92738</v>
      </c>
      <c r="H176" s="116"/>
      <c r="I176" s="116"/>
      <c r="L176" s="170">
        <v>45513</v>
      </c>
      <c r="M176" s="116">
        <v>989.65</v>
      </c>
      <c r="N176" s="116">
        <v>1009.95</v>
      </c>
      <c r="O176" s="116">
        <v>987.5</v>
      </c>
      <c r="P176" s="116">
        <v>1004.7</v>
      </c>
      <c r="Q176" s="116">
        <v>989.65</v>
      </c>
      <c r="R176">
        <v>391532</v>
      </c>
    </row>
    <row r="177" spans="1:18" x14ac:dyDescent="0.25">
      <c r="A177" s="170">
        <v>45516</v>
      </c>
      <c r="B177" s="116">
        <v>994.45</v>
      </c>
      <c r="C177" s="116">
        <v>992.8</v>
      </c>
      <c r="D177" s="116">
        <v>980.5</v>
      </c>
      <c r="E177" s="116">
        <v>983.15</v>
      </c>
      <c r="F177" s="116">
        <v>992.8</v>
      </c>
      <c r="G177">
        <v>32229</v>
      </c>
      <c r="H177" s="116"/>
      <c r="I177" s="116"/>
      <c r="L177" s="170">
        <v>45516</v>
      </c>
      <c r="M177" s="116">
        <v>993.1</v>
      </c>
      <c r="N177" s="116">
        <v>994.9</v>
      </c>
      <c r="O177" s="116">
        <v>980.35</v>
      </c>
      <c r="P177" s="116">
        <v>985</v>
      </c>
      <c r="Q177" s="116">
        <v>993.1</v>
      </c>
      <c r="R177">
        <v>386111</v>
      </c>
    </row>
    <row r="178" spans="1:18" x14ac:dyDescent="0.25">
      <c r="A178" s="170">
        <v>45517</v>
      </c>
      <c r="B178" s="116">
        <v>996</v>
      </c>
      <c r="C178" s="116">
        <v>994.6</v>
      </c>
      <c r="D178" s="116">
        <v>988.05</v>
      </c>
      <c r="E178" s="116">
        <v>990.55</v>
      </c>
      <c r="F178" s="116">
        <v>994.6</v>
      </c>
      <c r="G178">
        <v>61237</v>
      </c>
      <c r="H178" s="116"/>
      <c r="I178" s="116"/>
      <c r="L178" s="170">
        <v>45517</v>
      </c>
      <c r="M178" s="116">
        <v>994.45</v>
      </c>
      <c r="N178" s="116">
        <v>996.9</v>
      </c>
      <c r="O178" s="116">
        <v>988</v>
      </c>
      <c r="P178" s="116">
        <v>993</v>
      </c>
      <c r="Q178" s="116">
        <v>994.45</v>
      </c>
      <c r="R178">
        <v>438966</v>
      </c>
    </row>
    <row r="179" spans="1:18" x14ac:dyDescent="0.25">
      <c r="A179" s="170">
        <v>45518</v>
      </c>
      <c r="B179" s="116">
        <v>995.4</v>
      </c>
      <c r="C179" s="116">
        <v>992.85</v>
      </c>
      <c r="D179" s="116">
        <v>982</v>
      </c>
      <c r="E179" s="116">
        <v>995</v>
      </c>
      <c r="F179" s="116">
        <v>992.85</v>
      </c>
      <c r="G179">
        <v>78839</v>
      </c>
      <c r="H179" s="116"/>
      <c r="I179" s="116"/>
      <c r="L179" s="170">
        <v>45518</v>
      </c>
      <c r="M179" s="116">
        <v>992.4</v>
      </c>
      <c r="N179" s="116">
        <v>996</v>
      </c>
      <c r="O179" s="116">
        <v>980</v>
      </c>
      <c r="P179" s="116">
        <v>994.05</v>
      </c>
      <c r="Q179" s="116">
        <v>992.4</v>
      </c>
      <c r="R179">
        <v>347203</v>
      </c>
    </row>
    <row r="180" spans="1:18" x14ac:dyDescent="0.25">
      <c r="A180" s="170">
        <v>45520</v>
      </c>
      <c r="B180" s="116">
        <v>1012</v>
      </c>
      <c r="C180" s="116">
        <v>998.3</v>
      </c>
      <c r="D180" s="116">
        <v>993.9</v>
      </c>
      <c r="E180" s="116">
        <v>993.9</v>
      </c>
      <c r="F180" s="116">
        <v>998.3</v>
      </c>
      <c r="G180">
        <v>201551</v>
      </c>
      <c r="H180" s="116"/>
      <c r="I180" s="116"/>
      <c r="L180" s="170">
        <v>45520</v>
      </c>
      <c r="M180" s="116">
        <v>999.05</v>
      </c>
      <c r="N180" s="116">
        <v>1012</v>
      </c>
      <c r="O180" s="116">
        <v>993.15</v>
      </c>
      <c r="P180" s="116">
        <v>994.95</v>
      </c>
      <c r="Q180" s="116">
        <v>999.05</v>
      </c>
      <c r="R180">
        <v>1201484</v>
      </c>
    </row>
    <row r="181" spans="1:18" x14ac:dyDescent="0.25">
      <c r="A181" s="170">
        <v>45523</v>
      </c>
      <c r="B181" s="116">
        <v>1006.95</v>
      </c>
      <c r="C181" s="116">
        <v>998.6</v>
      </c>
      <c r="D181" s="116">
        <v>997.2</v>
      </c>
      <c r="E181" s="116">
        <v>1005.9</v>
      </c>
      <c r="F181" s="116">
        <v>998.6</v>
      </c>
      <c r="G181">
        <v>19680</v>
      </c>
      <c r="H181" s="116"/>
      <c r="I181" s="116"/>
      <c r="L181" s="170">
        <v>45523</v>
      </c>
      <c r="M181" s="116">
        <v>998.7</v>
      </c>
      <c r="N181" s="116">
        <v>1007.35</v>
      </c>
      <c r="O181" s="116">
        <v>996</v>
      </c>
      <c r="P181" s="116">
        <v>1007.35</v>
      </c>
      <c r="Q181" s="116">
        <v>998.7</v>
      </c>
      <c r="R181">
        <v>344295</v>
      </c>
    </row>
    <row r="182" spans="1:18" x14ac:dyDescent="0.25">
      <c r="A182" s="170">
        <v>45524</v>
      </c>
      <c r="B182" s="116">
        <v>1040.3</v>
      </c>
      <c r="C182" s="116">
        <v>1005.2</v>
      </c>
      <c r="D182" s="116">
        <v>998</v>
      </c>
      <c r="E182" s="116">
        <v>999.95</v>
      </c>
      <c r="F182" s="116">
        <v>1005.2</v>
      </c>
      <c r="G182">
        <v>114162</v>
      </c>
      <c r="H182" s="116"/>
      <c r="I182" s="116"/>
      <c r="L182" s="170">
        <v>45524</v>
      </c>
      <c r="M182" s="116">
        <v>1004.4</v>
      </c>
      <c r="N182" s="116">
        <v>1040</v>
      </c>
      <c r="O182" s="116">
        <v>998</v>
      </c>
      <c r="P182" s="116">
        <v>1001</v>
      </c>
      <c r="Q182" s="116">
        <v>1004.4</v>
      </c>
      <c r="R182">
        <v>3447339</v>
      </c>
    </row>
    <row r="183" spans="1:18" x14ac:dyDescent="0.25">
      <c r="A183" s="170">
        <v>45525</v>
      </c>
      <c r="B183" s="116">
        <v>1048.05</v>
      </c>
      <c r="C183" s="116">
        <v>1025.5</v>
      </c>
      <c r="D183" s="116">
        <v>1000.65</v>
      </c>
      <c r="E183" s="116">
        <v>1006.05</v>
      </c>
      <c r="F183" s="116">
        <v>1025.5</v>
      </c>
      <c r="G183">
        <v>497098</v>
      </c>
      <c r="H183" s="116"/>
      <c r="I183" s="116"/>
      <c r="L183" s="170">
        <v>45525</v>
      </c>
      <c r="M183" s="116">
        <v>1025.45</v>
      </c>
      <c r="N183" s="116">
        <v>1048.75</v>
      </c>
      <c r="O183" s="116">
        <v>1000.45</v>
      </c>
      <c r="P183" s="116">
        <v>1007</v>
      </c>
      <c r="Q183" s="116">
        <v>1025.45</v>
      </c>
      <c r="R183">
        <v>5021319</v>
      </c>
    </row>
    <row r="184" spans="1:18" x14ac:dyDescent="0.25">
      <c r="A184" s="170">
        <v>45526</v>
      </c>
      <c r="B184" s="116">
        <v>1045</v>
      </c>
      <c r="C184" s="116">
        <v>1008.05</v>
      </c>
      <c r="D184" s="116">
        <v>1003.35</v>
      </c>
      <c r="E184" s="116">
        <v>1035.5999999999999</v>
      </c>
      <c r="F184" s="116">
        <v>1008.05</v>
      </c>
      <c r="G184">
        <v>291972</v>
      </c>
      <c r="H184" s="116"/>
      <c r="I184" s="116"/>
      <c r="L184" s="170">
        <v>45526</v>
      </c>
      <c r="M184" s="116">
        <v>1007.2</v>
      </c>
      <c r="N184" s="116">
        <v>1045</v>
      </c>
      <c r="O184" s="116">
        <v>1002.4</v>
      </c>
      <c r="P184" s="116">
        <v>1036.5</v>
      </c>
      <c r="Q184" s="116">
        <v>1007.2</v>
      </c>
      <c r="R184">
        <v>3583853</v>
      </c>
    </row>
    <row r="185" spans="1:18" x14ac:dyDescent="0.25">
      <c r="A185" s="170">
        <v>45527</v>
      </c>
      <c r="B185" s="116">
        <v>1054</v>
      </c>
      <c r="C185" s="116">
        <v>1036.8</v>
      </c>
      <c r="D185" s="116">
        <v>1010</v>
      </c>
      <c r="E185" s="116">
        <v>1014.75</v>
      </c>
      <c r="F185" s="116">
        <v>1036.8</v>
      </c>
      <c r="G185">
        <v>13654710</v>
      </c>
      <c r="H185" s="116"/>
      <c r="I185" s="116"/>
      <c r="L185" s="170">
        <v>45527</v>
      </c>
      <c r="M185" s="116">
        <v>1036.95</v>
      </c>
      <c r="N185" s="116">
        <v>1054.8</v>
      </c>
      <c r="O185" s="116">
        <v>1012.95</v>
      </c>
      <c r="P185" s="116">
        <v>1012.95</v>
      </c>
      <c r="Q185" s="116">
        <v>1036.95</v>
      </c>
      <c r="R185">
        <v>17489571</v>
      </c>
    </row>
    <row r="186" spans="1:18" x14ac:dyDescent="0.25">
      <c r="A186" s="170">
        <v>45530</v>
      </c>
      <c r="B186" s="116">
        <v>1064.5</v>
      </c>
      <c r="C186" s="116">
        <v>1048.6500000000001</v>
      </c>
      <c r="D186" s="116">
        <v>1040</v>
      </c>
      <c r="E186" s="116">
        <v>1050</v>
      </c>
      <c r="F186" s="116">
        <v>1048.6500000000001</v>
      </c>
      <c r="G186">
        <v>412264</v>
      </c>
      <c r="H186" s="116"/>
      <c r="I186" s="116"/>
      <c r="L186" s="170">
        <v>45530</v>
      </c>
      <c r="M186" s="116">
        <v>1048.6500000000001</v>
      </c>
      <c r="N186" s="116">
        <v>1064.9000000000001</v>
      </c>
      <c r="O186" s="116">
        <v>1040</v>
      </c>
      <c r="P186" s="116">
        <v>1053</v>
      </c>
      <c r="Q186" s="116">
        <v>1048.6500000000001</v>
      </c>
      <c r="R186">
        <v>9134874</v>
      </c>
    </row>
    <row r="187" spans="1:18" x14ac:dyDescent="0.25">
      <c r="A187" s="170">
        <v>45531</v>
      </c>
      <c r="B187" s="116">
        <v>1106.75</v>
      </c>
      <c r="C187" s="116">
        <v>1099.05</v>
      </c>
      <c r="D187" s="116">
        <v>1013</v>
      </c>
      <c r="E187" s="116">
        <v>1038.5999999999999</v>
      </c>
      <c r="F187" s="116">
        <v>1099.05</v>
      </c>
      <c r="G187">
        <v>15248153</v>
      </c>
      <c r="H187" s="116"/>
      <c r="I187" s="116"/>
      <c r="L187" s="170">
        <v>45531</v>
      </c>
      <c r="M187" s="116">
        <v>1099.4000000000001</v>
      </c>
      <c r="N187" s="116">
        <v>1107</v>
      </c>
      <c r="O187" s="116">
        <v>1021.55</v>
      </c>
      <c r="P187" s="116">
        <v>1038</v>
      </c>
      <c r="Q187" s="116">
        <v>1099.4000000000001</v>
      </c>
      <c r="R187">
        <v>23579885</v>
      </c>
    </row>
    <row r="188" spans="1:18" x14ac:dyDescent="0.25">
      <c r="A188" s="170">
        <v>45532</v>
      </c>
      <c r="B188" s="116">
        <v>1115</v>
      </c>
      <c r="C188" s="116">
        <v>1078.7</v>
      </c>
      <c r="D188" s="116">
        <v>1075.05</v>
      </c>
      <c r="E188" s="116">
        <v>1105.05</v>
      </c>
      <c r="F188" s="116">
        <v>1078.7</v>
      </c>
      <c r="G188">
        <v>565209</v>
      </c>
      <c r="H188" s="116"/>
      <c r="I188" s="116"/>
      <c r="L188" s="170">
        <v>45532</v>
      </c>
      <c r="M188" s="116">
        <v>1078.8</v>
      </c>
      <c r="N188" s="116">
        <v>1115</v>
      </c>
      <c r="O188" s="116">
        <v>1075.05</v>
      </c>
      <c r="P188" s="116">
        <v>1107</v>
      </c>
      <c r="Q188" s="116">
        <v>1078.8</v>
      </c>
      <c r="R188">
        <v>11550853</v>
      </c>
    </row>
    <row r="189" spans="1:18" x14ac:dyDescent="0.25">
      <c r="A189" s="170">
        <v>45533</v>
      </c>
      <c r="B189" s="116">
        <v>1089.75</v>
      </c>
      <c r="C189" s="116">
        <v>1061.5999999999999</v>
      </c>
      <c r="D189" s="116">
        <v>1058</v>
      </c>
      <c r="E189" s="116">
        <v>1083.7</v>
      </c>
      <c r="F189" s="116">
        <v>1061.5999999999999</v>
      </c>
      <c r="G189">
        <v>246086</v>
      </c>
      <c r="H189" s="116"/>
      <c r="I189" s="116"/>
      <c r="L189" s="170">
        <v>45533</v>
      </c>
      <c r="M189" s="116">
        <v>1061.3</v>
      </c>
      <c r="N189" s="116">
        <v>1089.9000000000001</v>
      </c>
      <c r="O189" s="116">
        <v>1057.4000000000001</v>
      </c>
      <c r="P189" s="116">
        <v>1080</v>
      </c>
      <c r="Q189" s="116">
        <v>1061.3</v>
      </c>
      <c r="R189">
        <v>4381449</v>
      </c>
    </row>
    <row r="190" spans="1:18" x14ac:dyDescent="0.25">
      <c r="A190" s="170">
        <v>45534</v>
      </c>
      <c r="B190" s="116">
        <v>1079.8</v>
      </c>
      <c r="C190" s="116">
        <v>1066.0999999999999</v>
      </c>
      <c r="D190" s="116">
        <v>1054</v>
      </c>
      <c r="E190" s="116">
        <v>1070</v>
      </c>
      <c r="F190" s="116">
        <v>1066.0999999999999</v>
      </c>
      <c r="G190">
        <v>382168</v>
      </c>
      <c r="H190" s="116"/>
      <c r="I190" s="116"/>
      <c r="L190" s="170">
        <v>45534</v>
      </c>
      <c r="M190" s="116">
        <v>1065.5999999999999</v>
      </c>
      <c r="N190" s="116">
        <v>1080</v>
      </c>
      <c r="O190" s="116">
        <v>1054.2</v>
      </c>
      <c r="P190" s="116">
        <v>1069</v>
      </c>
      <c r="Q190" s="116">
        <v>1065.5999999999999</v>
      </c>
      <c r="R190">
        <v>5294901</v>
      </c>
    </row>
    <row r="191" spans="1:18" x14ac:dyDescent="0.25">
      <c r="A191" s="170">
        <v>45537</v>
      </c>
      <c r="B191" s="116">
        <v>1076.1500000000001</v>
      </c>
      <c r="C191" s="116">
        <v>1050.9000000000001</v>
      </c>
      <c r="D191" s="116">
        <v>1047.25</v>
      </c>
      <c r="E191" s="116">
        <v>1070.3499999999999</v>
      </c>
      <c r="F191" s="116">
        <v>1050.9000000000001</v>
      </c>
      <c r="G191">
        <v>509216</v>
      </c>
      <c r="H191" s="116"/>
      <c r="I191" s="116"/>
      <c r="L191" s="170">
        <v>45537</v>
      </c>
      <c r="M191" s="116">
        <v>1050.95</v>
      </c>
      <c r="N191" s="116">
        <v>1076</v>
      </c>
      <c r="O191" s="116">
        <v>1048</v>
      </c>
      <c r="P191" s="116">
        <v>1075</v>
      </c>
      <c r="Q191" s="116">
        <v>1050.95</v>
      </c>
      <c r="R191">
        <v>3261188</v>
      </c>
    </row>
    <row r="192" spans="1:18" x14ac:dyDescent="0.25">
      <c r="A192" s="170">
        <v>45538</v>
      </c>
      <c r="B192" s="116">
        <v>1074.7</v>
      </c>
      <c r="C192" s="116">
        <v>1069.0999999999999</v>
      </c>
      <c r="D192" s="116">
        <v>1046.8499999999999</v>
      </c>
      <c r="E192" s="116">
        <v>1074.7</v>
      </c>
      <c r="F192" s="116">
        <v>1069.0999999999999</v>
      </c>
      <c r="G192">
        <v>294784</v>
      </c>
      <c r="H192" s="116"/>
      <c r="I192" s="116"/>
      <c r="L192" s="170">
        <v>45538</v>
      </c>
      <c r="M192" s="116">
        <v>1068.8</v>
      </c>
      <c r="N192" s="116">
        <v>1074.3</v>
      </c>
      <c r="O192" s="116">
        <v>1045.55</v>
      </c>
      <c r="P192" s="116">
        <v>1057</v>
      </c>
      <c r="Q192" s="116">
        <v>1068.8</v>
      </c>
      <c r="R192">
        <v>4403973</v>
      </c>
    </row>
    <row r="193" spans="1:18" x14ac:dyDescent="0.25">
      <c r="A193" s="170">
        <v>45539</v>
      </c>
      <c r="B193" s="116">
        <v>1068</v>
      </c>
      <c r="C193" s="116">
        <v>1056.5999999999999</v>
      </c>
      <c r="D193" s="116">
        <v>1051.6500000000001</v>
      </c>
      <c r="E193" s="116">
        <v>1056.7</v>
      </c>
      <c r="F193" s="116">
        <v>1056.5999999999999</v>
      </c>
      <c r="G193">
        <v>218552</v>
      </c>
      <c r="H193" s="116"/>
      <c r="I193" s="116"/>
      <c r="L193" s="170">
        <v>45539</v>
      </c>
      <c r="M193" s="116">
        <v>1056.2</v>
      </c>
      <c r="N193" s="116">
        <v>1068</v>
      </c>
      <c r="O193" s="116">
        <v>1051.5999999999999</v>
      </c>
      <c r="P193" s="116">
        <v>1058</v>
      </c>
      <c r="Q193" s="116">
        <v>1056.2</v>
      </c>
      <c r="R193">
        <v>2328712</v>
      </c>
    </row>
    <row r="194" spans="1:18" x14ac:dyDescent="0.25">
      <c r="A194" s="170">
        <v>45540</v>
      </c>
      <c r="B194" s="116">
        <v>1088</v>
      </c>
      <c r="C194" s="116">
        <v>1075.0999999999999</v>
      </c>
      <c r="D194" s="116">
        <v>1058.95</v>
      </c>
      <c r="E194" s="116">
        <v>1060.05</v>
      </c>
      <c r="F194" s="116">
        <v>1075.0999999999999</v>
      </c>
      <c r="G194">
        <v>460719</v>
      </c>
      <c r="H194" s="116"/>
      <c r="I194" s="116"/>
      <c r="L194" s="170">
        <v>45540</v>
      </c>
      <c r="M194" s="116">
        <v>1074.9000000000001</v>
      </c>
      <c r="N194" s="116">
        <v>1088</v>
      </c>
      <c r="O194" s="116">
        <v>1058.25</v>
      </c>
      <c r="P194" s="116">
        <v>1063</v>
      </c>
      <c r="Q194" s="116">
        <v>1074.9000000000001</v>
      </c>
      <c r="R194">
        <v>4763630</v>
      </c>
    </row>
    <row r="195" spans="1:18" x14ac:dyDescent="0.25">
      <c r="A195" s="170">
        <v>45541</v>
      </c>
      <c r="B195" s="116">
        <v>1122.5</v>
      </c>
      <c r="C195" s="116">
        <v>1112.5</v>
      </c>
      <c r="D195" s="116">
        <v>1076</v>
      </c>
      <c r="E195" s="116">
        <v>1076.0999999999999</v>
      </c>
      <c r="F195" s="116">
        <v>1112.5</v>
      </c>
      <c r="G195">
        <v>1212623</v>
      </c>
      <c r="H195" s="116"/>
      <c r="I195" s="116"/>
      <c r="L195" s="170">
        <v>45541</v>
      </c>
      <c r="M195" s="116">
        <v>1112.6500000000001</v>
      </c>
      <c r="N195" s="116">
        <v>1122.9000000000001</v>
      </c>
      <c r="O195" s="116">
        <v>1075.05</v>
      </c>
      <c r="P195" s="116">
        <v>1083</v>
      </c>
      <c r="Q195" s="116">
        <v>1112.6500000000001</v>
      </c>
      <c r="R195">
        <v>13365102</v>
      </c>
    </row>
    <row r="196" spans="1:18" x14ac:dyDescent="0.25">
      <c r="A196" s="170">
        <v>45544</v>
      </c>
      <c r="B196" s="116">
        <v>1115.6500000000001</v>
      </c>
      <c r="C196" s="116">
        <v>1077.3</v>
      </c>
      <c r="D196" s="116">
        <v>1074.2</v>
      </c>
      <c r="E196" s="116">
        <v>1115</v>
      </c>
      <c r="F196" s="116">
        <v>1077.3</v>
      </c>
      <c r="G196">
        <v>231445</v>
      </c>
      <c r="H196" s="116"/>
      <c r="I196" s="116"/>
      <c r="L196" s="170">
        <v>45544</v>
      </c>
      <c r="M196" s="116">
        <v>1077.55</v>
      </c>
      <c r="N196" s="116">
        <v>1115</v>
      </c>
      <c r="O196" s="116">
        <v>1074.25</v>
      </c>
      <c r="P196" s="116">
        <v>1115</v>
      </c>
      <c r="Q196" s="116">
        <v>1077.55</v>
      </c>
      <c r="R196">
        <v>4375346</v>
      </c>
    </row>
    <row r="197" spans="1:18" x14ac:dyDescent="0.25">
      <c r="A197" s="170">
        <v>45545</v>
      </c>
      <c r="B197" s="116">
        <v>1109.7</v>
      </c>
      <c r="C197" s="116">
        <v>1091.25</v>
      </c>
      <c r="D197" s="116">
        <v>1085.05</v>
      </c>
      <c r="E197" s="116">
        <v>1085.05</v>
      </c>
      <c r="F197" s="116">
        <v>1091.25</v>
      </c>
      <c r="G197">
        <v>140764</v>
      </c>
      <c r="H197" s="116"/>
      <c r="I197" s="116"/>
      <c r="L197" s="170">
        <v>45545</v>
      </c>
      <c r="M197" s="116">
        <v>1091</v>
      </c>
      <c r="N197" s="116">
        <v>1109.7</v>
      </c>
      <c r="O197" s="116">
        <v>1085.05</v>
      </c>
      <c r="P197" s="116">
        <v>1088.9000000000001</v>
      </c>
      <c r="Q197" s="116">
        <v>1091</v>
      </c>
      <c r="R197">
        <v>3214864</v>
      </c>
    </row>
    <row r="198" spans="1:18" x14ac:dyDescent="0.25">
      <c r="A198" s="170">
        <v>45546</v>
      </c>
      <c r="B198" s="116">
        <v>1107.95</v>
      </c>
      <c r="C198" s="116">
        <v>1077.9000000000001</v>
      </c>
      <c r="D198" s="116">
        <v>1073.3499999999999</v>
      </c>
      <c r="E198" s="116">
        <v>1095.0999999999999</v>
      </c>
      <c r="F198" s="116">
        <v>1077.9000000000001</v>
      </c>
      <c r="G198">
        <v>270341</v>
      </c>
      <c r="H198" s="116"/>
      <c r="I198" s="116"/>
      <c r="L198" s="170">
        <v>45546</v>
      </c>
      <c r="M198" s="116">
        <v>1077.8499999999999</v>
      </c>
      <c r="N198" s="116">
        <v>1107.8</v>
      </c>
      <c r="O198" s="116">
        <v>1073.9000000000001</v>
      </c>
      <c r="P198" s="116">
        <v>1098</v>
      </c>
      <c r="Q198" s="116">
        <v>1077.8499999999999</v>
      </c>
      <c r="R198">
        <v>2809030</v>
      </c>
    </row>
    <row r="199" spans="1:18" x14ac:dyDescent="0.25">
      <c r="A199" s="170">
        <v>45547</v>
      </c>
      <c r="B199" s="116">
        <v>1094.45</v>
      </c>
      <c r="C199" s="116">
        <v>1083.3499999999999</v>
      </c>
      <c r="D199" s="116">
        <v>1079.5</v>
      </c>
      <c r="E199" s="116">
        <v>1087.8</v>
      </c>
      <c r="F199" s="116">
        <v>1083.3499999999999</v>
      </c>
      <c r="G199">
        <v>210826</v>
      </c>
      <c r="H199" s="116"/>
      <c r="I199" s="116"/>
      <c r="L199" s="170">
        <v>45547</v>
      </c>
      <c r="M199" s="116">
        <v>1083.75</v>
      </c>
      <c r="N199" s="116">
        <v>1095</v>
      </c>
      <c r="O199" s="116">
        <v>1079.2</v>
      </c>
      <c r="P199" s="116">
        <v>1089.9000000000001</v>
      </c>
      <c r="Q199" s="116">
        <v>1083.75</v>
      </c>
      <c r="R199">
        <v>1885495</v>
      </c>
    </row>
    <row r="200" spans="1:18" x14ac:dyDescent="0.25">
      <c r="A200" s="170">
        <v>45548</v>
      </c>
      <c r="B200" s="116">
        <v>1105.9000000000001</v>
      </c>
      <c r="C200" s="116">
        <v>1089.4000000000001</v>
      </c>
      <c r="D200" s="116">
        <v>1085.7</v>
      </c>
      <c r="E200" s="116">
        <v>1088.9000000000001</v>
      </c>
      <c r="F200" s="116">
        <v>1089.4000000000001</v>
      </c>
      <c r="G200">
        <v>116216</v>
      </c>
      <c r="H200" s="116"/>
      <c r="I200" s="116"/>
      <c r="L200" s="170">
        <v>45548</v>
      </c>
      <c r="M200" s="116">
        <v>1089.7</v>
      </c>
      <c r="N200" s="116">
        <v>1105.9000000000001</v>
      </c>
      <c r="O200" s="116">
        <v>1085.3</v>
      </c>
      <c r="P200" s="116">
        <v>1090</v>
      </c>
      <c r="Q200" s="116">
        <v>1089.7</v>
      </c>
      <c r="R200">
        <v>2198936</v>
      </c>
    </row>
    <row r="201" spans="1:18" x14ac:dyDescent="0.25">
      <c r="A201" s="170">
        <v>45551</v>
      </c>
      <c r="B201" s="116">
        <v>1120.8499999999999</v>
      </c>
      <c r="C201" s="116">
        <v>1095.05</v>
      </c>
      <c r="D201" s="116">
        <v>1091</v>
      </c>
      <c r="E201" s="116">
        <v>1105</v>
      </c>
      <c r="F201" s="116">
        <v>1095.05</v>
      </c>
      <c r="G201">
        <v>143830</v>
      </c>
      <c r="H201" s="116"/>
      <c r="I201" s="116"/>
      <c r="L201" s="170">
        <v>45551</v>
      </c>
      <c r="M201" s="116">
        <v>1094.6500000000001</v>
      </c>
      <c r="N201" s="116">
        <v>1120.8499999999999</v>
      </c>
      <c r="O201" s="116">
        <v>1090.75</v>
      </c>
      <c r="P201" s="116">
        <v>1106</v>
      </c>
      <c r="Q201" s="116">
        <v>1094.6500000000001</v>
      </c>
      <c r="R201">
        <v>3107177</v>
      </c>
    </row>
    <row r="202" spans="1:18" x14ac:dyDescent="0.25">
      <c r="A202" s="170">
        <v>45552</v>
      </c>
      <c r="B202" s="116">
        <v>1099</v>
      </c>
      <c r="C202" s="116">
        <v>1080.5</v>
      </c>
      <c r="D202" s="116">
        <v>1078</v>
      </c>
      <c r="E202" s="116">
        <v>1092.55</v>
      </c>
      <c r="F202" s="116">
        <v>1080.5</v>
      </c>
      <c r="G202">
        <v>152474</v>
      </c>
      <c r="H202" s="116"/>
      <c r="I202" s="116"/>
      <c r="L202" s="170">
        <v>45552</v>
      </c>
      <c r="M202" s="116">
        <v>1080.3</v>
      </c>
      <c r="N202" s="116">
        <v>1100.45</v>
      </c>
      <c r="O202" s="116">
        <v>1077.9000000000001</v>
      </c>
      <c r="P202" s="116">
        <v>1095.5</v>
      </c>
      <c r="Q202" s="116">
        <v>1080.3</v>
      </c>
      <c r="R202">
        <v>1432399</v>
      </c>
    </row>
    <row r="203" spans="1:18" x14ac:dyDescent="0.25">
      <c r="A203" s="170">
        <v>45553</v>
      </c>
      <c r="B203" s="116">
        <v>1086.5999999999999</v>
      </c>
      <c r="C203" s="116">
        <v>1064.55</v>
      </c>
      <c r="D203" s="116">
        <v>1058.7</v>
      </c>
      <c r="E203" s="116">
        <v>1082</v>
      </c>
      <c r="F203" s="116">
        <v>1064.55</v>
      </c>
      <c r="G203">
        <v>204605</v>
      </c>
      <c r="H203" s="116"/>
      <c r="I203" s="116"/>
      <c r="L203" s="170">
        <v>45553</v>
      </c>
      <c r="M203" s="116">
        <v>1065.8</v>
      </c>
      <c r="N203" s="116">
        <v>1086.8499999999999</v>
      </c>
      <c r="O203" s="116">
        <v>1062.0999999999999</v>
      </c>
      <c r="P203" s="116">
        <v>1082</v>
      </c>
      <c r="Q203" s="116">
        <v>1065.8</v>
      </c>
      <c r="R203">
        <v>1546582</v>
      </c>
    </row>
    <row r="204" spans="1:18" x14ac:dyDescent="0.25">
      <c r="A204" s="170">
        <v>45554</v>
      </c>
      <c r="B204" s="116">
        <v>1097.45</v>
      </c>
      <c r="C204" s="116">
        <v>1060.6500000000001</v>
      </c>
      <c r="D204" s="116">
        <v>1052</v>
      </c>
      <c r="E204" s="116">
        <v>1082.9000000000001</v>
      </c>
      <c r="F204" s="116">
        <v>1060.6500000000001</v>
      </c>
      <c r="G204">
        <v>145956</v>
      </c>
      <c r="H204" s="116"/>
      <c r="I204" s="116"/>
      <c r="L204" s="170">
        <v>45554</v>
      </c>
      <c r="M204" s="116">
        <v>1060.75</v>
      </c>
      <c r="N204" s="116">
        <v>1096.95</v>
      </c>
      <c r="O204" s="116">
        <v>1051.8499999999999</v>
      </c>
      <c r="P204" s="116">
        <v>1080.45</v>
      </c>
      <c r="Q204" s="116">
        <v>1060.75</v>
      </c>
      <c r="R204">
        <v>3066974</v>
      </c>
    </row>
    <row r="205" spans="1:18" x14ac:dyDescent="0.25">
      <c r="A205" s="170">
        <v>45555</v>
      </c>
      <c r="B205" s="116">
        <v>1135</v>
      </c>
      <c r="C205" s="116">
        <v>1114.9000000000001</v>
      </c>
      <c r="D205" s="116">
        <v>1067.3</v>
      </c>
      <c r="E205" s="116">
        <v>1070</v>
      </c>
      <c r="F205" s="116">
        <v>1114.9000000000001</v>
      </c>
      <c r="G205">
        <v>232318</v>
      </c>
      <c r="H205" s="116"/>
      <c r="I205" s="116"/>
      <c r="L205" s="170">
        <v>45555</v>
      </c>
      <c r="M205" s="116">
        <v>1114.7</v>
      </c>
      <c r="N205" s="116">
        <v>1136</v>
      </c>
      <c r="O205" s="116">
        <v>1067</v>
      </c>
      <c r="P205" s="116">
        <v>1069.3499999999999</v>
      </c>
      <c r="Q205" s="116">
        <v>1114.7</v>
      </c>
      <c r="R205">
        <v>9382071</v>
      </c>
    </row>
    <row r="206" spans="1:18" x14ac:dyDescent="0.25">
      <c r="A206" s="170">
        <v>45558</v>
      </c>
      <c r="B206" s="116">
        <v>1130</v>
      </c>
      <c r="C206" s="116">
        <v>1106.6500000000001</v>
      </c>
      <c r="D206" s="116">
        <v>1101.5</v>
      </c>
      <c r="E206" s="116">
        <v>1126.3499999999999</v>
      </c>
      <c r="F206" s="116">
        <v>1106.6500000000001</v>
      </c>
      <c r="G206">
        <v>334159</v>
      </c>
      <c r="H206" s="116"/>
      <c r="I206" s="116"/>
      <c r="L206" s="170">
        <v>45558</v>
      </c>
      <c r="M206" s="116">
        <v>1106.7</v>
      </c>
      <c r="N206" s="116">
        <v>1130</v>
      </c>
      <c r="O206" s="116">
        <v>1101</v>
      </c>
      <c r="P206" s="116">
        <v>1130</v>
      </c>
      <c r="Q206" s="116">
        <v>1106.7</v>
      </c>
      <c r="R206">
        <v>3099891</v>
      </c>
    </row>
    <row r="207" spans="1:18" x14ac:dyDescent="0.25">
      <c r="A207" s="170">
        <v>45559</v>
      </c>
      <c r="B207" s="116">
        <v>1113.5</v>
      </c>
      <c r="C207" s="116">
        <v>1098</v>
      </c>
      <c r="D207" s="116">
        <v>1095.05</v>
      </c>
      <c r="E207" s="116">
        <v>1113.5</v>
      </c>
      <c r="F207" s="116">
        <v>1098</v>
      </c>
      <c r="G207">
        <v>81198</v>
      </c>
      <c r="H207" s="116"/>
      <c r="I207" s="116"/>
      <c r="L207" s="170">
        <v>45559</v>
      </c>
      <c r="M207" s="116">
        <v>1098.5</v>
      </c>
      <c r="N207" s="116">
        <v>1113.3</v>
      </c>
      <c r="O207" s="116">
        <v>1096</v>
      </c>
      <c r="P207" s="116">
        <v>1109.7</v>
      </c>
      <c r="Q207" s="116">
        <v>1098.5</v>
      </c>
      <c r="R207">
        <v>1205371</v>
      </c>
    </row>
    <row r="208" spans="1:18" x14ac:dyDescent="0.25">
      <c r="A208" s="170">
        <v>45560</v>
      </c>
      <c r="B208" s="116">
        <v>1110.95</v>
      </c>
      <c r="C208" s="116">
        <v>1089.1500000000001</v>
      </c>
      <c r="D208" s="116">
        <v>1085.05</v>
      </c>
      <c r="E208" s="116">
        <v>1100</v>
      </c>
      <c r="F208" s="116">
        <v>1089.1500000000001</v>
      </c>
      <c r="G208">
        <v>50147</v>
      </c>
      <c r="H208" s="116"/>
      <c r="I208" s="116"/>
      <c r="L208" s="170">
        <v>45560</v>
      </c>
      <c r="M208" s="116">
        <v>1088.5999999999999</v>
      </c>
      <c r="N208" s="116">
        <v>1111</v>
      </c>
      <c r="O208" s="116">
        <v>1085</v>
      </c>
      <c r="P208" s="116">
        <v>1100.8</v>
      </c>
      <c r="Q208" s="116">
        <v>1088.5999999999999</v>
      </c>
      <c r="R208">
        <v>1216881</v>
      </c>
    </row>
    <row r="209" spans="1:18" x14ac:dyDescent="0.25">
      <c r="A209" s="170">
        <v>45561</v>
      </c>
      <c r="B209" s="116">
        <v>1106.9000000000001</v>
      </c>
      <c r="C209" s="116">
        <v>1095.5</v>
      </c>
      <c r="D209" s="116">
        <v>1084</v>
      </c>
      <c r="E209" s="116">
        <v>1091</v>
      </c>
      <c r="F209" s="116">
        <v>1095.5</v>
      </c>
      <c r="G209">
        <v>147910</v>
      </c>
      <c r="H209" s="116"/>
      <c r="I209" s="116"/>
      <c r="L209" s="170">
        <v>45561</v>
      </c>
      <c r="M209" s="116">
        <v>1094.95</v>
      </c>
      <c r="N209" s="116">
        <v>1107</v>
      </c>
      <c r="O209" s="116">
        <v>1084</v>
      </c>
      <c r="P209" s="116">
        <v>1090</v>
      </c>
      <c r="Q209" s="116">
        <v>1094.95</v>
      </c>
      <c r="R209">
        <v>1315081</v>
      </c>
    </row>
    <row r="210" spans="1:18" x14ac:dyDescent="0.25">
      <c r="A210" s="170">
        <v>45562</v>
      </c>
      <c r="B210" s="116">
        <v>1133.5999999999999</v>
      </c>
      <c r="C210" s="116">
        <v>1120.25</v>
      </c>
      <c r="D210" s="116">
        <v>1100</v>
      </c>
      <c r="E210" s="116">
        <v>1102.75</v>
      </c>
      <c r="F210" s="116">
        <v>1120.25</v>
      </c>
      <c r="G210">
        <v>362378</v>
      </c>
      <c r="H210" s="116"/>
      <c r="I210" s="116"/>
      <c r="L210" s="170">
        <v>45562</v>
      </c>
      <c r="M210" s="116">
        <v>1121</v>
      </c>
      <c r="N210" s="116">
        <v>1134.7</v>
      </c>
      <c r="O210" s="116">
        <v>1098.7</v>
      </c>
      <c r="P210" s="116">
        <v>1099</v>
      </c>
      <c r="Q210" s="116">
        <v>1121</v>
      </c>
      <c r="R210">
        <v>3504368</v>
      </c>
    </row>
    <row r="211" spans="1:18" x14ac:dyDescent="0.25">
      <c r="A211" s="170">
        <v>45565</v>
      </c>
      <c r="B211" s="116">
        <v>1118.05</v>
      </c>
      <c r="C211" s="116">
        <v>1103.3499999999999</v>
      </c>
      <c r="D211" s="116">
        <v>1100.45</v>
      </c>
      <c r="E211" s="116">
        <v>1116</v>
      </c>
      <c r="F211" s="116">
        <v>1103.3499999999999</v>
      </c>
      <c r="G211">
        <v>70467</v>
      </c>
      <c r="H211" s="116"/>
      <c r="I211" s="116"/>
      <c r="L211" s="170">
        <v>45565</v>
      </c>
      <c r="M211" s="116">
        <v>1103.1500000000001</v>
      </c>
      <c r="N211" s="116">
        <v>1118</v>
      </c>
      <c r="O211" s="116">
        <v>1100.2</v>
      </c>
      <c r="P211" s="116">
        <v>1115</v>
      </c>
      <c r="Q211" s="116">
        <v>1103.1500000000001</v>
      </c>
      <c r="R211">
        <v>1343474</v>
      </c>
    </row>
    <row r="212" spans="1:18" x14ac:dyDescent="0.25">
      <c r="A212" s="170">
        <v>45566</v>
      </c>
      <c r="B212" s="116">
        <v>1111.8499999999999</v>
      </c>
      <c r="C212" s="116">
        <v>1094.4000000000001</v>
      </c>
      <c r="D212" s="116">
        <v>1091.5</v>
      </c>
      <c r="E212" s="116">
        <v>1103.4000000000001</v>
      </c>
      <c r="F212" s="116">
        <v>1094.4000000000001</v>
      </c>
      <c r="G212">
        <v>101000</v>
      </c>
      <c r="H212" s="116"/>
      <c r="I212" s="116"/>
      <c r="L212" s="170">
        <v>45566</v>
      </c>
      <c r="M212" s="116">
        <v>1094.25</v>
      </c>
      <c r="N212" s="116">
        <v>1112</v>
      </c>
      <c r="O212" s="116">
        <v>1091.4000000000001</v>
      </c>
      <c r="P212" s="116">
        <v>1105</v>
      </c>
      <c r="Q212" s="116">
        <v>1094.25</v>
      </c>
      <c r="R212">
        <v>993851</v>
      </c>
    </row>
    <row r="213" spans="1:18" x14ac:dyDescent="0.25">
      <c r="A213" s="170">
        <v>45568</v>
      </c>
      <c r="B213" s="116">
        <v>1087.4000000000001</v>
      </c>
      <c r="C213" s="116">
        <v>1062.6500000000001</v>
      </c>
      <c r="D213" s="116">
        <v>1059.95</v>
      </c>
      <c r="E213" s="116">
        <v>1072.6500000000001</v>
      </c>
      <c r="F213" s="116">
        <v>1062.6500000000001</v>
      </c>
      <c r="G213">
        <v>252022</v>
      </c>
      <c r="H213" s="116"/>
      <c r="I213" s="116"/>
      <c r="L213" s="170">
        <v>45568</v>
      </c>
      <c r="M213" s="116">
        <v>1063.3</v>
      </c>
      <c r="N213" s="116">
        <v>1087.7</v>
      </c>
      <c r="O213" s="116">
        <v>1061.05</v>
      </c>
      <c r="P213" s="116">
        <v>1078.9000000000001</v>
      </c>
      <c r="Q213" s="116">
        <v>1063.3</v>
      </c>
      <c r="R213">
        <v>1400311</v>
      </c>
    </row>
    <row r="214" spans="1:18" x14ac:dyDescent="0.25">
      <c r="A214" s="170">
        <v>45569</v>
      </c>
      <c r="B214" s="116">
        <v>1082</v>
      </c>
      <c r="C214" s="116">
        <v>1057.5999999999999</v>
      </c>
      <c r="D214" s="116">
        <v>1047.3</v>
      </c>
      <c r="E214" s="116">
        <v>1064.95</v>
      </c>
      <c r="F214" s="116">
        <v>1057.5999999999999</v>
      </c>
      <c r="G214">
        <v>76308</v>
      </c>
      <c r="H214" s="116"/>
      <c r="I214" s="116"/>
      <c r="L214" s="170">
        <v>45569</v>
      </c>
      <c r="M214" s="116">
        <v>1057.45</v>
      </c>
      <c r="N214" s="116">
        <v>1082</v>
      </c>
      <c r="O214" s="116">
        <v>1047.25</v>
      </c>
      <c r="P214" s="116">
        <v>1063.3499999999999</v>
      </c>
      <c r="Q214" s="116">
        <v>1057.45</v>
      </c>
      <c r="R214">
        <v>1924098</v>
      </c>
    </row>
    <row r="215" spans="1:18" x14ac:dyDescent="0.25">
      <c r="A215" s="170">
        <v>45572</v>
      </c>
      <c r="B215" s="116">
        <v>1070.0999999999999</v>
      </c>
      <c r="C215" s="116">
        <v>1026</v>
      </c>
      <c r="D215" s="116">
        <v>1017</v>
      </c>
      <c r="E215" s="116">
        <v>1060.3</v>
      </c>
      <c r="F215" s="116">
        <v>1026</v>
      </c>
      <c r="G215">
        <v>239110</v>
      </c>
      <c r="H215" s="116"/>
      <c r="I215" s="116"/>
      <c r="L215" s="170">
        <v>45572</v>
      </c>
      <c r="M215" s="116">
        <v>1025.8499999999999</v>
      </c>
      <c r="N215" s="116">
        <v>1070.6500000000001</v>
      </c>
      <c r="O215" s="116">
        <v>1016.5</v>
      </c>
      <c r="P215" s="116">
        <v>1065</v>
      </c>
      <c r="Q215" s="116">
        <v>1025.8499999999999</v>
      </c>
      <c r="R215">
        <v>2132467</v>
      </c>
    </row>
    <row r="216" spans="1:18" x14ac:dyDescent="0.25">
      <c r="A216" s="170">
        <v>45573</v>
      </c>
      <c r="B216" s="116">
        <v>1047</v>
      </c>
      <c r="C216" s="116">
        <v>1043.5</v>
      </c>
      <c r="D216" s="116">
        <v>1016</v>
      </c>
      <c r="E216" s="116">
        <v>1016</v>
      </c>
      <c r="F216" s="116">
        <v>1043.5</v>
      </c>
      <c r="G216">
        <v>104662</v>
      </c>
      <c r="H216" s="116"/>
      <c r="I216" s="116"/>
      <c r="L216" s="170">
        <v>45573</v>
      </c>
      <c r="M216" s="116">
        <v>1044</v>
      </c>
      <c r="N216" s="116">
        <v>1048.55</v>
      </c>
      <c r="O216" s="116">
        <v>1021.55</v>
      </c>
      <c r="P216" s="116">
        <v>1030</v>
      </c>
      <c r="Q216" s="116">
        <v>1044</v>
      </c>
      <c r="R216">
        <v>977237</v>
      </c>
    </row>
    <row r="217" spans="1:18" x14ac:dyDescent="0.25">
      <c r="A217" s="170">
        <v>45574</v>
      </c>
      <c r="B217" s="116">
        <v>1064</v>
      </c>
      <c r="C217" s="116">
        <v>1048.4000000000001</v>
      </c>
      <c r="D217" s="116">
        <v>1044.4000000000001</v>
      </c>
      <c r="E217" s="116">
        <v>1060</v>
      </c>
      <c r="F217" s="116">
        <v>1048.4000000000001</v>
      </c>
      <c r="G217">
        <v>85745</v>
      </c>
      <c r="H217" s="116"/>
      <c r="I217" s="116"/>
      <c r="L217" s="170">
        <v>45574</v>
      </c>
      <c r="M217" s="116">
        <v>1048.7</v>
      </c>
      <c r="N217" s="116">
        <v>1064.05</v>
      </c>
      <c r="O217" s="116">
        <v>1044.2</v>
      </c>
      <c r="P217" s="116">
        <v>1064</v>
      </c>
      <c r="Q217" s="116">
        <v>1048.7</v>
      </c>
      <c r="R217">
        <v>1352959</v>
      </c>
    </row>
    <row r="218" spans="1:18" x14ac:dyDescent="0.25">
      <c r="A218" s="170">
        <v>45575</v>
      </c>
      <c r="B218" s="116">
        <v>1089</v>
      </c>
      <c r="C218" s="116">
        <v>1064.05</v>
      </c>
      <c r="D218" s="116">
        <v>1041.25</v>
      </c>
      <c r="E218" s="116">
        <v>1041.25</v>
      </c>
      <c r="F218" s="116">
        <v>1064.05</v>
      </c>
      <c r="G218">
        <v>134365</v>
      </c>
      <c r="H218" s="116"/>
      <c r="I218" s="116"/>
      <c r="L218" s="170">
        <v>45575</v>
      </c>
      <c r="M218" s="116">
        <v>1064.7</v>
      </c>
      <c r="N218" s="116">
        <v>1089.1500000000001</v>
      </c>
      <c r="O218" s="116">
        <v>1045.0999999999999</v>
      </c>
      <c r="P218" s="116">
        <v>1045.0999999999999</v>
      </c>
      <c r="Q218" s="116">
        <v>1064.7</v>
      </c>
      <c r="R218">
        <v>2986720</v>
      </c>
    </row>
    <row r="219" spans="1:18" x14ac:dyDescent="0.25">
      <c r="A219" s="170">
        <v>45576</v>
      </c>
      <c r="B219" s="116">
        <v>1068</v>
      </c>
      <c r="C219" s="116">
        <v>1053.5</v>
      </c>
      <c r="D219" s="116">
        <v>1051.4000000000001</v>
      </c>
      <c r="E219" s="116">
        <v>1066.25</v>
      </c>
      <c r="F219" s="116">
        <v>1053.5</v>
      </c>
      <c r="G219">
        <v>37149</v>
      </c>
      <c r="H219" s="116"/>
      <c r="I219" s="116"/>
      <c r="L219" s="170">
        <v>45576</v>
      </c>
      <c r="M219" s="116">
        <v>1054.5999999999999</v>
      </c>
      <c r="N219" s="116">
        <v>1068.5</v>
      </c>
      <c r="O219" s="116">
        <v>1051.7</v>
      </c>
      <c r="P219" s="116">
        <v>1064.7</v>
      </c>
      <c r="Q219" s="116">
        <v>1054.5999999999999</v>
      </c>
      <c r="R219">
        <v>822064</v>
      </c>
    </row>
    <row r="220" spans="1:18" x14ac:dyDescent="0.25">
      <c r="A220" s="170">
        <v>45579</v>
      </c>
      <c r="B220" s="116">
        <v>1061.55</v>
      </c>
      <c r="C220" s="116">
        <v>1051.45</v>
      </c>
      <c r="D220" s="116">
        <v>1048.3</v>
      </c>
      <c r="E220" s="116">
        <v>1055.05</v>
      </c>
      <c r="F220" s="116">
        <v>1051.45</v>
      </c>
      <c r="G220">
        <v>37163</v>
      </c>
      <c r="H220" s="116"/>
      <c r="I220" s="116"/>
      <c r="L220" s="170">
        <v>45579</v>
      </c>
      <c r="M220" s="116">
        <v>1050.95</v>
      </c>
      <c r="N220" s="116">
        <v>1062.45</v>
      </c>
      <c r="O220" s="116">
        <v>1048.0999999999999</v>
      </c>
      <c r="P220" s="116">
        <v>1057.5</v>
      </c>
      <c r="Q220" s="116">
        <v>1050.95</v>
      </c>
      <c r="R220">
        <v>805321</v>
      </c>
    </row>
    <row r="221" spans="1:18" x14ac:dyDescent="0.25">
      <c r="A221" s="170">
        <v>45580</v>
      </c>
      <c r="B221" s="116">
        <v>1063.75</v>
      </c>
      <c r="C221" s="116">
        <v>1056.25</v>
      </c>
      <c r="D221" s="116">
        <v>1052.5</v>
      </c>
      <c r="E221" s="116">
        <v>1061.4000000000001</v>
      </c>
      <c r="F221" s="116">
        <v>1056.25</v>
      </c>
      <c r="G221">
        <v>68531</v>
      </c>
      <c r="H221" s="116"/>
      <c r="I221" s="116"/>
      <c r="L221" s="170">
        <v>45580</v>
      </c>
      <c r="M221" s="116">
        <v>1056.6500000000001</v>
      </c>
      <c r="N221" s="116">
        <v>1064</v>
      </c>
      <c r="O221" s="116">
        <v>1052.3499999999999</v>
      </c>
      <c r="P221" s="116">
        <v>1057.9000000000001</v>
      </c>
      <c r="Q221" s="116">
        <v>1056.6500000000001</v>
      </c>
      <c r="R221">
        <v>738519</v>
      </c>
    </row>
    <row r="222" spans="1:18" x14ac:dyDescent="0.25">
      <c r="A222" s="170">
        <v>45581</v>
      </c>
      <c r="B222" s="116">
        <v>1079.6500000000001</v>
      </c>
      <c r="C222" s="116">
        <v>1077.55</v>
      </c>
      <c r="D222" s="116">
        <v>1044</v>
      </c>
      <c r="E222" s="116">
        <v>1045</v>
      </c>
      <c r="F222" s="116">
        <v>1077.55</v>
      </c>
      <c r="G222">
        <v>62186</v>
      </c>
      <c r="H222" s="116"/>
      <c r="I222" s="116"/>
      <c r="L222" s="170">
        <v>45581</v>
      </c>
      <c r="M222" s="116">
        <v>1077.6500000000001</v>
      </c>
      <c r="N222" s="116">
        <v>1080</v>
      </c>
      <c r="O222" s="116">
        <v>1042</v>
      </c>
      <c r="P222" s="116">
        <v>1042</v>
      </c>
      <c r="Q222" s="116">
        <v>1077.6500000000001</v>
      </c>
      <c r="R222">
        <v>1483760</v>
      </c>
    </row>
    <row r="223" spans="1:18" x14ac:dyDescent="0.25">
      <c r="A223" s="170">
        <v>45582</v>
      </c>
      <c r="B223" s="116">
        <v>1087.95</v>
      </c>
      <c r="C223" s="116">
        <v>1060.5</v>
      </c>
      <c r="D223" s="116">
        <v>1058.1500000000001</v>
      </c>
      <c r="E223" s="116">
        <v>1078.95</v>
      </c>
      <c r="F223" s="116">
        <v>1060.5</v>
      </c>
      <c r="G223">
        <v>53421</v>
      </c>
      <c r="H223" s="116"/>
      <c r="I223" s="116"/>
      <c r="L223" s="170">
        <v>45582</v>
      </c>
      <c r="M223" s="116">
        <v>1059.9000000000001</v>
      </c>
      <c r="N223" s="116">
        <v>1087.8499999999999</v>
      </c>
      <c r="O223" s="116">
        <v>1058</v>
      </c>
      <c r="P223" s="116">
        <v>1076.9000000000001</v>
      </c>
      <c r="Q223" s="116">
        <v>1059.9000000000001</v>
      </c>
      <c r="R223">
        <v>1259528</v>
      </c>
    </row>
    <row r="224" spans="1:18" x14ac:dyDescent="0.25">
      <c r="A224" s="170">
        <v>45583</v>
      </c>
      <c r="B224" s="116">
        <v>1066.95</v>
      </c>
      <c r="C224" s="116">
        <v>1060.1500000000001</v>
      </c>
      <c r="D224" s="116">
        <v>1044</v>
      </c>
      <c r="E224" s="116">
        <v>1051.05</v>
      </c>
      <c r="F224" s="116">
        <v>1060.1500000000001</v>
      </c>
      <c r="G224">
        <v>119806</v>
      </c>
      <c r="H224" s="116"/>
      <c r="I224" s="116"/>
      <c r="L224" s="170">
        <v>45583</v>
      </c>
      <c r="M224" s="116">
        <v>1060.0999999999999</v>
      </c>
      <c r="N224" s="116">
        <v>1067.45</v>
      </c>
      <c r="O224" s="116">
        <v>1044.55</v>
      </c>
      <c r="P224" s="116">
        <v>1055</v>
      </c>
      <c r="Q224" s="116">
        <v>1060.0999999999999</v>
      </c>
      <c r="R224">
        <v>809483</v>
      </c>
    </row>
    <row r="225" spans="1:18" x14ac:dyDescent="0.25">
      <c r="A225" s="170">
        <v>45586</v>
      </c>
      <c r="B225" s="116">
        <v>1074.9000000000001</v>
      </c>
      <c r="C225" s="116">
        <v>1053.75</v>
      </c>
      <c r="D225" s="116">
        <v>1050.5</v>
      </c>
      <c r="E225" s="116">
        <v>1060.2</v>
      </c>
      <c r="F225" s="116">
        <v>1053.75</v>
      </c>
      <c r="G225">
        <v>141482</v>
      </c>
      <c r="H225" s="116"/>
      <c r="I225" s="116"/>
      <c r="L225" s="170">
        <v>45586</v>
      </c>
      <c r="M225" s="116">
        <v>1052.75</v>
      </c>
      <c r="N225" s="116">
        <v>1074.95</v>
      </c>
      <c r="O225" s="116">
        <v>1050</v>
      </c>
      <c r="P225" s="116">
        <v>1063.45</v>
      </c>
      <c r="Q225" s="116">
        <v>1052.75</v>
      </c>
      <c r="R225">
        <v>952178</v>
      </c>
    </row>
    <row r="226" spans="1:18" x14ac:dyDescent="0.25">
      <c r="A226" s="170">
        <v>45587</v>
      </c>
      <c r="B226" s="116">
        <v>1063</v>
      </c>
      <c r="C226" s="116">
        <v>1022.45</v>
      </c>
      <c r="D226" s="116">
        <v>1019.6</v>
      </c>
      <c r="E226" s="116">
        <v>1053.8</v>
      </c>
      <c r="F226" s="116">
        <v>1022.45</v>
      </c>
      <c r="G226">
        <v>169841</v>
      </c>
      <c r="H226" s="116"/>
      <c r="I226" s="116"/>
      <c r="L226" s="170">
        <v>45587</v>
      </c>
      <c r="M226" s="116">
        <v>1022.55</v>
      </c>
      <c r="N226" s="116">
        <v>1063.8</v>
      </c>
      <c r="O226" s="116">
        <v>1020.05</v>
      </c>
      <c r="P226" s="116">
        <v>1056</v>
      </c>
      <c r="Q226" s="116">
        <v>1022.55</v>
      </c>
      <c r="R226">
        <v>1145278</v>
      </c>
    </row>
    <row r="227" spans="1:18" x14ac:dyDescent="0.25">
      <c r="A227" s="170">
        <v>45588</v>
      </c>
      <c r="B227" s="116">
        <v>1056.8</v>
      </c>
      <c r="C227" s="116">
        <v>1040.5</v>
      </c>
      <c r="D227" s="116">
        <v>1013.9</v>
      </c>
      <c r="E227" s="116">
        <v>1022</v>
      </c>
      <c r="F227" s="116">
        <v>1040.5</v>
      </c>
      <c r="G227">
        <v>53197</v>
      </c>
      <c r="H227" s="116"/>
      <c r="I227" s="116"/>
      <c r="L227" s="170">
        <v>45588</v>
      </c>
      <c r="M227" s="116">
        <v>1040.05</v>
      </c>
      <c r="N227" s="116">
        <v>1056.9000000000001</v>
      </c>
      <c r="O227" s="116">
        <v>1014.05</v>
      </c>
      <c r="P227" s="116">
        <v>1023.65</v>
      </c>
      <c r="Q227" s="116">
        <v>1040.05</v>
      </c>
      <c r="R227">
        <v>1319982</v>
      </c>
    </row>
    <row r="228" spans="1:18" x14ac:dyDescent="0.25">
      <c r="A228" s="170">
        <v>45589</v>
      </c>
      <c r="B228" s="116">
        <v>1051.3</v>
      </c>
      <c r="C228" s="116">
        <v>1025</v>
      </c>
      <c r="D228" s="116">
        <v>1018</v>
      </c>
      <c r="E228" s="116">
        <v>1041</v>
      </c>
      <c r="F228" s="116">
        <v>1025</v>
      </c>
      <c r="G228">
        <v>100720</v>
      </c>
      <c r="H228" s="116"/>
      <c r="I228" s="116"/>
      <c r="L228" s="170">
        <v>45589</v>
      </c>
      <c r="M228" s="116">
        <v>1024.8499999999999</v>
      </c>
      <c r="N228" s="116">
        <v>1051.3</v>
      </c>
      <c r="O228" s="116">
        <v>1018.15</v>
      </c>
      <c r="P228" s="116">
        <v>1040.9000000000001</v>
      </c>
      <c r="Q228" s="116">
        <v>1024.8499999999999</v>
      </c>
      <c r="R228">
        <v>1022283</v>
      </c>
    </row>
    <row r="229" spans="1:18" x14ac:dyDescent="0.25">
      <c r="A229" s="170">
        <v>45590</v>
      </c>
      <c r="B229" s="116">
        <v>1032.3499999999999</v>
      </c>
      <c r="C229" s="116">
        <v>1012.25</v>
      </c>
      <c r="D229" s="116">
        <v>1000.2</v>
      </c>
      <c r="E229" s="116">
        <v>1027</v>
      </c>
      <c r="F229" s="116">
        <v>1012.25</v>
      </c>
      <c r="G229">
        <v>171652</v>
      </c>
      <c r="H229" s="116"/>
      <c r="I229" s="116"/>
      <c r="L229" s="170">
        <v>45590</v>
      </c>
      <c r="M229" s="116">
        <v>1011.45</v>
      </c>
      <c r="N229" s="116">
        <v>1032.9000000000001</v>
      </c>
      <c r="O229" s="116">
        <v>1000.1</v>
      </c>
      <c r="P229" s="116">
        <v>1028</v>
      </c>
      <c r="Q229" s="116">
        <v>1011.45</v>
      </c>
      <c r="R229">
        <v>1207440</v>
      </c>
    </row>
    <row r="230" spans="1:18" x14ac:dyDescent="0.25">
      <c r="A230" s="170">
        <v>45593</v>
      </c>
      <c r="B230" s="116">
        <v>1030.9000000000001</v>
      </c>
      <c r="C230" s="116">
        <v>999.8</v>
      </c>
      <c r="D230" s="116">
        <v>994.8</v>
      </c>
      <c r="E230" s="116">
        <v>1012.55</v>
      </c>
      <c r="F230" s="116">
        <v>999.8</v>
      </c>
      <c r="G230">
        <v>130958</v>
      </c>
      <c r="H230" s="116"/>
      <c r="I230" s="116"/>
      <c r="L230" s="170">
        <v>45593</v>
      </c>
      <c r="M230" s="116">
        <v>999.5</v>
      </c>
      <c r="N230" s="116">
        <v>1030.5999999999999</v>
      </c>
      <c r="O230" s="116">
        <v>994.5</v>
      </c>
      <c r="P230" s="116">
        <v>1016</v>
      </c>
      <c r="Q230" s="116">
        <v>999.5</v>
      </c>
      <c r="R230">
        <v>1338772</v>
      </c>
    </row>
    <row r="231" spans="1:18" x14ac:dyDescent="0.25">
      <c r="A231" s="170">
        <v>45594</v>
      </c>
      <c r="B231" s="116">
        <v>1016.85</v>
      </c>
      <c r="C231" s="116">
        <v>999.85</v>
      </c>
      <c r="D231" s="116">
        <v>987</v>
      </c>
      <c r="E231" s="116">
        <v>1000.55</v>
      </c>
      <c r="F231" s="116">
        <v>999.85</v>
      </c>
      <c r="G231">
        <v>159419</v>
      </c>
      <c r="H231" s="116"/>
      <c r="I231" s="116"/>
      <c r="L231" s="170">
        <v>45594</v>
      </c>
      <c r="M231" s="116">
        <v>999.75</v>
      </c>
      <c r="N231" s="116">
        <v>1016.4</v>
      </c>
      <c r="O231" s="116">
        <v>986.75</v>
      </c>
      <c r="P231" s="116">
        <v>1004.5</v>
      </c>
      <c r="Q231" s="116">
        <v>999.75</v>
      </c>
      <c r="R231">
        <v>1707586</v>
      </c>
    </row>
    <row r="232" spans="1:18" x14ac:dyDescent="0.25">
      <c r="A232" s="170">
        <v>45595</v>
      </c>
      <c r="B232" s="116">
        <v>1012.75</v>
      </c>
      <c r="C232" s="116">
        <v>1005.1</v>
      </c>
      <c r="D232" s="116">
        <v>999.3</v>
      </c>
      <c r="E232" s="116">
        <v>1008.5</v>
      </c>
      <c r="F232" s="116">
        <v>1005.1</v>
      </c>
      <c r="G232">
        <v>124933</v>
      </c>
      <c r="H232" s="116"/>
      <c r="I232" s="116"/>
      <c r="L232" s="170">
        <v>45595</v>
      </c>
      <c r="M232" s="116">
        <v>1005.6</v>
      </c>
      <c r="N232" s="116">
        <v>1012.85</v>
      </c>
      <c r="O232" s="116">
        <v>1000.15</v>
      </c>
      <c r="P232" s="116">
        <v>1005</v>
      </c>
      <c r="Q232" s="116">
        <v>1005.6</v>
      </c>
      <c r="R232">
        <v>768153</v>
      </c>
    </row>
    <row r="233" spans="1:18" x14ac:dyDescent="0.25">
      <c r="A233" s="170">
        <v>45596</v>
      </c>
      <c r="B233" s="116">
        <v>1012.75</v>
      </c>
      <c r="C233" s="116">
        <v>1006.4</v>
      </c>
      <c r="D233" s="116">
        <v>1000.55</v>
      </c>
      <c r="E233" s="116">
        <v>1005.1</v>
      </c>
      <c r="F233" s="116">
        <v>1006.4</v>
      </c>
      <c r="G233">
        <v>22598</v>
      </c>
      <c r="H233" s="116"/>
      <c r="I233" s="116"/>
      <c r="L233" s="170">
        <v>45596</v>
      </c>
      <c r="M233" s="116">
        <v>1006.3</v>
      </c>
      <c r="N233" s="116">
        <v>1012.9</v>
      </c>
      <c r="O233" s="116">
        <v>1000.2</v>
      </c>
      <c r="P233" s="116">
        <v>1005.6</v>
      </c>
      <c r="Q233" s="116">
        <v>1006.3</v>
      </c>
      <c r="R233">
        <v>458842</v>
      </c>
    </row>
    <row r="234" spans="1:18" x14ac:dyDescent="0.25">
      <c r="A234" s="170">
        <v>45597</v>
      </c>
      <c r="B234" s="116">
        <v>1031</v>
      </c>
      <c r="C234" s="116">
        <v>1026.8499999999999</v>
      </c>
      <c r="D234" s="116">
        <v>1014.3</v>
      </c>
      <c r="E234" s="116">
        <v>1016</v>
      </c>
      <c r="F234" s="116">
        <v>1026.8499999999999</v>
      </c>
      <c r="G234">
        <v>61845</v>
      </c>
      <c r="H234" s="116"/>
      <c r="I234" s="116"/>
      <c r="L234" s="170">
        <v>45597</v>
      </c>
      <c r="M234" s="116">
        <v>1027.2</v>
      </c>
      <c r="N234" s="116">
        <v>1032</v>
      </c>
      <c r="O234" s="116">
        <v>1012</v>
      </c>
      <c r="P234" s="116">
        <v>1015</v>
      </c>
      <c r="Q234" s="116">
        <v>1027.2</v>
      </c>
      <c r="R234">
        <v>457090</v>
      </c>
    </row>
    <row r="235" spans="1:18" x14ac:dyDescent="0.25">
      <c r="A235" s="170">
        <v>45600</v>
      </c>
      <c r="B235" s="116">
        <v>1034.6500000000001</v>
      </c>
      <c r="C235" s="116">
        <v>1010.6</v>
      </c>
      <c r="D235" s="116">
        <v>1002</v>
      </c>
      <c r="E235" s="116">
        <v>1034.6500000000001</v>
      </c>
      <c r="F235" s="116">
        <v>1010.6</v>
      </c>
      <c r="G235">
        <v>29867</v>
      </c>
      <c r="H235" s="116"/>
      <c r="I235" s="116"/>
      <c r="L235" s="170">
        <v>45600</v>
      </c>
      <c r="M235" s="116">
        <v>1010.7</v>
      </c>
      <c r="N235" s="116">
        <v>1029</v>
      </c>
      <c r="O235" s="116">
        <v>1002</v>
      </c>
      <c r="P235" s="116">
        <v>1029</v>
      </c>
      <c r="Q235" s="116">
        <v>1010.7</v>
      </c>
      <c r="R235">
        <v>617622</v>
      </c>
    </row>
    <row r="236" spans="1:18" x14ac:dyDescent="0.25">
      <c r="A236" s="170">
        <v>45601</v>
      </c>
      <c r="B236" s="116">
        <v>1015.4</v>
      </c>
      <c r="C236" s="116">
        <v>1011.8</v>
      </c>
      <c r="D236" s="116">
        <v>1004</v>
      </c>
      <c r="E236" s="116">
        <v>1010.6</v>
      </c>
      <c r="F236" s="116">
        <v>1011.8</v>
      </c>
      <c r="G236">
        <v>19185</v>
      </c>
      <c r="H236" s="116"/>
      <c r="I236" s="116"/>
      <c r="L236" s="170">
        <v>45601</v>
      </c>
      <c r="M236" s="116">
        <v>1012.1</v>
      </c>
      <c r="N236" s="116">
        <v>1014.8</v>
      </c>
      <c r="O236" s="116">
        <v>1003.95</v>
      </c>
      <c r="P236" s="116">
        <v>1010</v>
      </c>
      <c r="Q236" s="116">
        <v>1012.1</v>
      </c>
      <c r="R236">
        <v>513631</v>
      </c>
    </row>
    <row r="237" spans="1:18" x14ac:dyDescent="0.25">
      <c r="A237" s="170">
        <v>45602</v>
      </c>
      <c r="B237" s="116">
        <v>1038</v>
      </c>
      <c r="C237" s="116">
        <v>1033.2</v>
      </c>
      <c r="D237" s="116">
        <v>1013.2</v>
      </c>
      <c r="E237" s="116">
        <v>1013.2</v>
      </c>
      <c r="F237" s="116">
        <v>1033.2</v>
      </c>
      <c r="G237">
        <v>46386</v>
      </c>
      <c r="H237" s="116"/>
      <c r="I237" s="116"/>
      <c r="L237" s="170">
        <v>45602</v>
      </c>
      <c r="M237" s="116">
        <v>1033.9000000000001</v>
      </c>
      <c r="N237" s="116">
        <v>1038</v>
      </c>
      <c r="O237" s="116">
        <v>1014.25</v>
      </c>
      <c r="P237" s="116">
        <v>1020</v>
      </c>
      <c r="Q237" s="116">
        <v>1033.9000000000001</v>
      </c>
      <c r="R237">
        <v>841279</v>
      </c>
    </row>
    <row r="238" spans="1:18" x14ac:dyDescent="0.25">
      <c r="A238" s="170">
        <v>45603</v>
      </c>
      <c r="B238" s="116">
        <v>1036.2</v>
      </c>
      <c r="C238" s="116">
        <v>1016.85</v>
      </c>
      <c r="D238" s="116">
        <v>1013</v>
      </c>
      <c r="E238" s="116">
        <v>1034.7</v>
      </c>
      <c r="F238" s="116">
        <v>1016.85</v>
      </c>
      <c r="G238">
        <v>28237</v>
      </c>
      <c r="H238" s="116"/>
      <c r="I238" s="116"/>
      <c r="L238" s="170">
        <v>45603</v>
      </c>
      <c r="M238" s="116">
        <v>1017</v>
      </c>
      <c r="N238" s="116">
        <v>1036</v>
      </c>
      <c r="O238" s="116">
        <v>1013</v>
      </c>
      <c r="P238" s="116">
        <v>1035</v>
      </c>
      <c r="Q238" s="116">
        <v>1017</v>
      </c>
      <c r="R238">
        <v>488039</v>
      </c>
    </row>
    <row r="239" spans="1:18" x14ac:dyDescent="0.25">
      <c r="A239" s="170">
        <v>45604</v>
      </c>
      <c r="B239" s="116">
        <v>1019</v>
      </c>
      <c r="C239" s="116">
        <v>1005.55</v>
      </c>
      <c r="D239" s="116">
        <v>1003.05</v>
      </c>
      <c r="E239" s="116">
        <v>1017</v>
      </c>
      <c r="F239" s="116">
        <v>1005.55</v>
      </c>
      <c r="G239">
        <v>22930</v>
      </c>
      <c r="H239" s="116"/>
      <c r="I239" s="116"/>
      <c r="L239" s="170">
        <v>45604</v>
      </c>
      <c r="M239" s="116">
        <v>1004.95</v>
      </c>
      <c r="N239" s="116">
        <v>1019.7</v>
      </c>
      <c r="O239" s="116">
        <v>1003</v>
      </c>
      <c r="P239" s="116">
        <v>1018.25</v>
      </c>
      <c r="Q239" s="116">
        <v>1004.95</v>
      </c>
      <c r="R239">
        <v>506343</v>
      </c>
    </row>
    <row r="240" spans="1:18" x14ac:dyDescent="0.25">
      <c r="A240" s="170">
        <v>45607</v>
      </c>
      <c r="B240" s="116">
        <v>1008.6</v>
      </c>
      <c r="C240" s="116">
        <v>996.15</v>
      </c>
      <c r="D240" s="116">
        <v>995</v>
      </c>
      <c r="E240" s="116">
        <v>1008.6</v>
      </c>
      <c r="F240" s="116">
        <v>996.15</v>
      </c>
      <c r="G240">
        <v>70477</v>
      </c>
      <c r="H240" s="116"/>
      <c r="I240" s="116"/>
      <c r="L240" s="170">
        <v>45607</v>
      </c>
      <c r="M240" s="116">
        <v>996.15</v>
      </c>
      <c r="N240" s="116">
        <v>1005.45</v>
      </c>
      <c r="O240" s="116">
        <v>995</v>
      </c>
      <c r="P240" s="116">
        <v>1004.95</v>
      </c>
      <c r="Q240" s="116">
        <v>996.15</v>
      </c>
      <c r="R240">
        <v>593172</v>
      </c>
    </row>
    <row r="241" spans="1:18" x14ac:dyDescent="0.25">
      <c r="A241" s="170">
        <v>45608</v>
      </c>
      <c r="B241" s="116">
        <v>1005.1</v>
      </c>
      <c r="C241" s="116">
        <v>992.85</v>
      </c>
      <c r="D241" s="116">
        <v>990.4</v>
      </c>
      <c r="E241" s="116">
        <v>997.15</v>
      </c>
      <c r="F241" s="116">
        <v>992.85</v>
      </c>
      <c r="G241">
        <v>80554</v>
      </c>
      <c r="H241" s="116"/>
      <c r="I241" s="116"/>
      <c r="L241" s="170">
        <v>45608</v>
      </c>
      <c r="M241" s="116">
        <v>993.3</v>
      </c>
      <c r="N241" s="116">
        <v>1005.65</v>
      </c>
      <c r="O241" s="116">
        <v>990.05</v>
      </c>
      <c r="P241" s="116">
        <v>999</v>
      </c>
      <c r="Q241" s="116">
        <v>993.3</v>
      </c>
      <c r="R241">
        <v>471171</v>
      </c>
    </row>
    <row r="242" spans="1:18" x14ac:dyDescent="0.25">
      <c r="A242" s="170">
        <v>45609</v>
      </c>
      <c r="B242" s="116">
        <v>996.55</v>
      </c>
      <c r="C242" s="116">
        <v>962.05</v>
      </c>
      <c r="D242" s="116">
        <v>957.25</v>
      </c>
      <c r="E242" s="116">
        <v>992</v>
      </c>
      <c r="F242" s="116">
        <v>962.05</v>
      </c>
      <c r="G242">
        <v>82656</v>
      </c>
      <c r="H242" s="116"/>
      <c r="I242" s="116"/>
      <c r="L242" s="170">
        <v>45609</v>
      </c>
      <c r="M242" s="116">
        <v>961.5</v>
      </c>
      <c r="N242" s="116">
        <v>997.1</v>
      </c>
      <c r="O242" s="116">
        <v>956.65</v>
      </c>
      <c r="P242" s="116">
        <v>991.35</v>
      </c>
      <c r="Q242" s="116">
        <v>961.5</v>
      </c>
      <c r="R242">
        <v>1248272</v>
      </c>
    </row>
    <row r="243" spans="1:18" x14ac:dyDescent="0.25">
      <c r="A243" s="170">
        <v>45610</v>
      </c>
      <c r="B243" s="116">
        <v>970.7</v>
      </c>
      <c r="C243" s="116">
        <v>962.4</v>
      </c>
      <c r="D243" s="116">
        <v>956.5</v>
      </c>
      <c r="E243" s="116">
        <v>968.75</v>
      </c>
      <c r="F243" s="116">
        <v>962.4</v>
      </c>
      <c r="G243">
        <v>81001</v>
      </c>
      <c r="H243" s="116"/>
      <c r="I243" s="116"/>
      <c r="L243" s="170">
        <v>45610</v>
      </c>
      <c r="M243" s="116">
        <v>962.3</v>
      </c>
      <c r="N243" s="116">
        <v>971.65</v>
      </c>
      <c r="O243" s="116">
        <v>957</v>
      </c>
      <c r="P243" s="116">
        <v>961.5</v>
      </c>
      <c r="Q243" s="116">
        <v>962.3</v>
      </c>
      <c r="R243">
        <v>639883</v>
      </c>
    </row>
    <row r="244" spans="1:18" x14ac:dyDescent="0.25">
      <c r="A244" s="170">
        <v>45614</v>
      </c>
      <c r="B244" s="116">
        <v>966</v>
      </c>
      <c r="C244" s="116">
        <v>941.5</v>
      </c>
      <c r="D244" s="116">
        <v>939.65</v>
      </c>
      <c r="E244" s="116">
        <v>963.95</v>
      </c>
      <c r="F244" s="116">
        <v>941.5</v>
      </c>
      <c r="G244">
        <v>121460</v>
      </c>
      <c r="H244" s="116"/>
      <c r="I244" s="116"/>
      <c r="L244" s="170">
        <v>45614</v>
      </c>
      <c r="M244" s="116">
        <v>941.2</v>
      </c>
      <c r="N244" s="116">
        <v>968</v>
      </c>
      <c r="O244" s="116">
        <v>940</v>
      </c>
      <c r="P244" s="116">
        <v>968</v>
      </c>
      <c r="Q244" s="116">
        <v>941.2</v>
      </c>
      <c r="R244">
        <v>985878</v>
      </c>
    </row>
    <row r="245" spans="1:18" x14ac:dyDescent="0.25">
      <c r="A245" s="170">
        <v>45615</v>
      </c>
      <c r="B245" s="116">
        <v>959.45</v>
      </c>
      <c r="C245" s="116">
        <v>948.4</v>
      </c>
      <c r="D245" s="116">
        <v>943.6</v>
      </c>
      <c r="E245" s="116">
        <v>944</v>
      </c>
      <c r="F245" s="116">
        <v>948.4</v>
      </c>
      <c r="G245">
        <v>63901</v>
      </c>
      <c r="H245" s="116"/>
      <c r="I245" s="116"/>
      <c r="L245" s="170">
        <v>45615</v>
      </c>
      <c r="M245" s="116">
        <v>948.55</v>
      </c>
      <c r="N245" s="116">
        <v>959</v>
      </c>
      <c r="O245" s="116">
        <v>943.1</v>
      </c>
      <c r="P245" s="116">
        <v>944.1</v>
      </c>
      <c r="Q245" s="116">
        <v>948.55</v>
      </c>
      <c r="R245">
        <v>633404</v>
      </c>
    </row>
    <row r="246" spans="1:18" x14ac:dyDescent="0.25">
      <c r="A246" s="170">
        <v>45617</v>
      </c>
      <c r="B246" s="116">
        <v>955.5</v>
      </c>
      <c r="C246" s="116">
        <v>933.2</v>
      </c>
      <c r="D246" s="116">
        <v>931.5</v>
      </c>
      <c r="E246" s="116">
        <v>955.5</v>
      </c>
      <c r="F246" s="116">
        <v>933.2</v>
      </c>
      <c r="G246">
        <v>45796</v>
      </c>
      <c r="H246" s="116"/>
      <c r="I246" s="116"/>
      <c r="L246" s="170">
        <v>45617</v>
      </c>
      <c r="M246" s="116">
        <v>933.15</v>
      </c>
      <c r="N246" s="116">
        <v>954.9</v>
      </c>
      <c r="O246" s="116">
        <v>931.05</v>
      </c>
      <c r="P246" s="116">
        <v>954</v>
      </c>
      <c r="Q246" s="116">
        <v>933.15</v>
      </c>
      <c r="R246">
        <v>803218</v>
      </c>
    </row>
    <row r="247" spans="1:18" x14ac:dyDescent="0.25">
      <c r="A247" s="170">
        <v>45618</v>
      </c>
      <c r="B247" s="116">
        <v>944</v>
      </c>
      <c r="C247" s="116">
        <v>941.2</v>
      </c>
      <c r="D247" s="116">
        <v>930.65</v>
      </c>
      <c r="E247" s="116">
        <v>934.55</v>
      </c>
      <c r="F247" s="116">
        <v>941.2</v>
      </c>
      <c r="G247">
        <v>73901</v>
      </c>
      <c r="H247" s="116"/>
      <c r="I247" s="116"/>
      <c r="L247" s="170">
        <v>45618</v>
      </c>
      <c r="M247" s="116">
        <v>941.2</v>
      </c>
      <c r="N247" s="116">
        <v>944</v>
      </c>
      <c r="O247" s="116">
        <v>931</v>
      </c>
      <c r="P247" s="116">
        <v>935.55</v>
      </c>
      <c r="Q247" s="116">
        <v>941.2</v>
      </c>
      <c r="R247">
        <v>527538</v>
      </c>
    </row>
    <row r="248" spans="1:18" x14ac:dyDescent="0.25">
      <c r="A248" s="170">
        <v>45621</v>
      </c>
      <c r="B248" s="116">
        <v>963.5</v>
      </c>
      <c r="C248" s="116">
        <v>943.55</v>
      </c>
      <c r="D248" s="116">
        <v>940</v>
      </c>
      <c r="E248" s="116">
        <v>959.5</v>
      </c>
      <c r="F248" s="116">
        <v>943.55</v>
      </c>
      <c r="G248">
        <v>77809</v>
      </c>
      <c r="H248" s="116"/>
      <c r="I248" s="116"/>
      <c r="L248" s="170">
        <v>45621</v>
      </c>
      <c r="M248" s="116">
        <v>943.15</v>
      </c>
      <c r="N248" s="116">
        <v>963</v>
      </c>
      <c r="O248" s="116">
        <v>941</v>
      </c>
      <c r="P248" s="116">
        <v>955</v>
      </c>
      <c r="Q248" s="116">
        <v>943.15</v>
      </c>
      <c r="R248">
        <v>629942</v>
      </c>
    </row>
    <row r="249" spans="1:18" x14ac:dyDescent="0.25">
      <c r="A249" s="170">
        <v>45622</v>
      </c>
      <c r="B249" s="116">
        <v>953</v>
      </c>
      <c r="C249" s="116">
        <v>943.25</v>
      </c>
      <c r="D249" s="116">
        <v>940.05</v>
      </c>
      <c r="E249" s="116">
        <v>952.25</v>
      </c>
      <c r="F249" s="116">
        <v>943.25</v>
      </c>
      <c r="G249">
        <v>68072</v>
      </c>
      <c r="H249" s="116"/>
      <c r="I249" s="116"/>
      <c r="L249" s="170">
        <v>45622</v>
      </c>
      <c r="M249" s="116">
        <v>942.9</v>
      </c>
      <c r="N249" s="116">
        <v>952.95</v>
      </c>
      <c r="O249" s="116">
        <v>940.05</v>
      </c>
      <c r="P249" s="116">
        <v>946.8</v>
      </c>
      <c r="Q249" s="116">
        <v>942.9</v>
      </c>
      <c r="R249">
        <v>463315</v>
      </c>
    </row>
    <row r="250" spans="1:18" x14ac:dyDescent="0.25">
      <c r="A250" s="170">
        <v>45623</v>
      </c>
      <c r="B250" s="116">
        <v>947.4</v>
      </c>
      <c r="C250" s="116">
        <v>940.35</v>
      </c>
      <c r="D250" s="116">
        <v>938</v>
      </c>
      <c r="E250" s="116">
        <v>943.95</v>
      </c>
      <c r="F250" s="116">
        <v>940.35</v>
      </c>
      <c r="G250">
        <v>77284</v>
      </c>
      <c r="H250" s="116"/>
      <c r="I250" s="116"/>
      <c r="L250" s="170">
        <v>45623</v>
      </c>
      <c r="M250" s="116">
        <v>940</v>
      </c>
      <c r="N250" s="116">
        <v>948.45</v>
      </c>
      <c r="O250" s="116">
        <v>937.7</v>
      </c>
      <c r="P250" s="116">
        <v>944.95</v>
      </c>
      <c r="Q250" s="116">
        <v>940</v>
      </c>
      <c r="R250">
        <v>667310</v>
      </c>
    </row>
    <row r="251" spans="1:18" x14ac:dyDescent="0.25">
      <c r="A251" s="170">
        <v>45624</v>
      </c>
      <c r="B251" s="116">
        <v>951.1</v>
      </c>
      <c r="C251" s="116">
        <v>933.5</v>
      </c>
      <c r="D251" s="116">
        <v>932</v>
      </c>
      <c r="E251" s="116">
        <v>940.4</v>
      </c>
      <c r="F251" s="116">
        <v>933.5</v>
      </c>
      <c r="G251">
        <v>149471</v>
      </c>
      <c r="H251" s="116"/>
      <c r="I251" s="116"/>
      <c r="L251" s="170">
        <v>45624</v>
      </c>
      <c r="M251" s="116">
        <v>933</v>
      </c>
      <c r="N251" s="116">
        <v>950.85</v>
      </c>
      <c r="O251" s="116">
        <v>931.1</v>
      </c>
      <c r="P251" s="116">
        <v>942.9</v>
      </c>
      <c r="Q251" s="116">
        <v>933</v>
      </c>
      <c r="R251">
        <v>1216017</v>
      </c>
    </row>
    <row r="252" spans="1:18" x14ac:dyDescent="0.25">
      <c r="A252" s="170">
        <v>45625</v>
      </c>
      <c r="B252" s="116">
        <v>942.75</v>
      </c>
      <c r="C252" s="116">
        <v>938.1</v>
      </c>
      <c r="D252" s="116">
        <v>933.35</v>
      </c>
      <c r="E252" s="116">
        <v>935</v>
      </c>
      <c r="F252" s="116">
        <v>938.1</v>
      </c>
      <c r="G252">
        <v>82518</v>
      </c>
      <c r="H252" s="116"/>
      <c r="I252" s="116"/>
      <c r="L252" s="170">
        <v>45625</v>
      </c>
      <c r="M252" s="116">
        <v>938.5</v>
      </c>
      <c r="N252" s="116">
        <v>944.35</v>
      </c>
      <c r="O252" s="116">
        <v>933.05</v>
      </c>
      <c r="P252" s="116">
        <v>934</v>
      </c>
      <c r="Q252" s="116">
        <v>938.5</v>
      </c>
      <c r="R252">
        <v>633079</v>
      </c>
    </row>
    <row r="253" spans="1:18" x14ac:dyDescent="0.25">
      <c r="A253" s="170">
        <v>45628</v>
      </c>
      <c r="B253" s="116">
        <v>957</v>
      </c>
      <c r="C253" s="116">
        <v>949</v>
      </c>
      <c r="D253" s="116">
        <v>936.3</v>
      </c>
      <c r="E253" s="116">
        <v>943.95</v>
      </c>
      <c r="F253" s="116">
        <v>949</v>
      </c>
      <c r="G253">
        <v>49713</v>
      </c>
      <c r="H253" s="116"/>
      <c r="I253" s="116"/>
      <c r="L253" s="170">
        <v>45628</v>
      </c>
      <c r="M253" s="116">
        <v>948.75</v>
      </c>
      <c r="N253" s="116">
        <v>956.95</v>
      </c>
      <c r="O253" s="116">
        <v>936.4</v>
      </c>
      <c r="P253" s="116">
        <v>939.1</v>
      </c>
      <c r="Q253" s="116">
        <v>948.75</v>
      </c>
      <c r="R253">
        <v>1097909</v>
      </c>
    </row>
    <row r="254" spans="1:18" x14ac:dyDescent="0.25">
      <c r="A254" s="170">
        <v>45629</v>
      </c>
      <c r="B254" s="116">
        <v>973.1</v>
      </c>
      <c r="C254" s="116">
        <v>956.75</v>
      </c>
      <c r="D254" s="116">
        <v>950.6</v>
      </c>
      <c r="E254" s="116">
        <v>954.5</v>
      </c>
      <c r="F254" s="116">
        <v>956.75</v>
      </c>
      <c r="G254">
        <v>118894</v>
      </c>
      <c r="H254" s="116"/>
      <c r="I254" s="116"/>
      <c r="L254" s="170">
        <v>45629</v>
      </c>
      <c r="M254" s="116">
        <v>956.35</v>
      </c>
      <c r="N254" s="116">
        <v>973.85</v>
      </c>
      <c r="O254" s="116">
        <v>951</v>
      </c>
      <c r="P254" s="116">
        <v>951</v>
      </c>
      <c r="Q254" s="116">
        <v>956.35</v>
      </c>
      <c r="R254">
        <v>1023745</v>
      </c>
    </row>
    <row r="255" spans="1:18" x14ac:dyDescent="0.25">
      <c r="A255" s="170">
        <v>45630</v>
      </c>
      <c r="B255" s="116">
        <v>968.55</v>
      </c>
      <c r="C255" s="116">
        <v>951.3</v>
      </c>
      <c r="D255" s="116">
        <v>949</v>
      </c>
      <c r="E255" s="116">
        <v>961</v>
      </c>
      <c r="F255" s="116">
        <v>951.3</v>
      </c>
      <c r="G255">
        <v>144169</v>
      </c>
      <c r="H255" s="116"/>
      <c r="I255" s="116"/>
      <c r="L255" s="170">
        <v>45630</v>
      </c>
      <c r="M255" s="116">
        <v>951.8</v>
      </c>
      <c r="N255" s="116">
        <v>968.9</v>
      </c>
      <c r="O255" s="116">
        <v>948.45</v>
      </c>
      <c r="P255" s="116">
        <v>961</v>
      </c>
      <c r="Q255" s="116">
        <v>951.8</v>
      </c>
      <c r="R255">
        <v>947324</v>
      </c>
    </row>
    <row r="256" spans="1:18" x14ac:dyDescent="0.25">
      <c r="A256" s="170">
        <v>45631</v>
      </c>
      <c r="B256" s="116">
        <v>962.65</v>
      </c>
      <c r="C256" s="116">
        <v>954.6</v>
      </c>
      <c r="D256" s="116">
        <v>950.85</v>
      </c>
      <c r="E256" s="116">
        <v>952</v>
      </c>
      <c r="F256" s="116">
        <v>954.6</v>
      </c>
      <c r="G256">
        <v>46980</v>
      </c>
      <c r="H256" s="116"/>
      <c r="I256" s="116"/>
      <c r="L256" s="170">
        <v>45631</v>
      </c>
      <c r="M256" s="116">
        <v>954.3</v>
      </c>
      <c r="N256" s="116">
        <v>962.9</v>
      </c>
      <c r="O256" s="116">
        <v>950.15</v>
      </c>
      <c r="P256" s="116">
        <v>953</v>
      </c>
      <c r="Q256" s="116">
        <v>954.3</v>
      </c>
      <c r="R256">
        <v>859736</v>
      </c>
    </row>
    <row r="257" spans="1:18" x14ac:dyDescent="0.25">
      <c r="A257" s="170">
        <v>45632</v>
      </c>
      <c r="B257" s="116">
        <v>959.75</v>
      </c>
      <c r="C257" s="116">
        <v>954.1</v>
      </c>
      <c r="D257" s="116">
        <v>949.7</v>
      </c>
      <c r="E257" s="116">
        <v>959.75</v>
      </c>
      <c r="F257" s="116">
        <v>954.1</v>
      </c>
      <c r="G257">
        <v>106600</v>
      </c>
      <c r="H257" s="116"/>
      <c r="I257" s="116"/>
      <c r="L257" s="170">
        <v>45632</v>
      </c>
      <c r="M257" s="116">
        <v>953.9</v>
      </c>
      <c r="N257" s="116">
        <v>959.85</v>
      </c>
      <c r="O257" s="116">
        <v>949.4</v>
      </c>
      <c r="P257" s="116">
        <v>958.7</v>
      </c>
      <c r="Q257" s="116">
        <v>953.9</v>
      </c>
      <c r="R257">
        <v>701971</v>
      </c>
    </row>
    <row r="258" spans="1:18" x14ac:dyDescent="0.25">
      <c r="A258" s="170">
        <v>45635</v>
      </c>
      <c r="B258" s="116">
        <v>960</v>
      </c>
      <c r="C258" s="116">
        <v>947.95</v>
      </c>
      <c r="D258" s="116">
        <v>947</v>
      </c>
      <c r="E258" s="116">
        <v>954.25</v>
      </c>
      <c r="F258" s="116">
        <v>947.95</v>
      </c>
      <c r="G258">
        <v>126899</v>
      </c>
      <c r="H258" s="116"/>
      <c r="I258" s="116"/>
      <c r="L258" s="170">
        <v>45635</v>
      </c>
      <c r="M258" s="116">
        <v>947.95</v>
      </c>
      <c r="N258" s="116">
        <v>960</v>
      </c>
      <c r="O258" s="116">
        <v>947</v>
      </c>
      <c r="P258" s="116">
        <v>954.5</v>
      </c>
      <c r="Q258" s="116">
        <v>947.95</v>
      </c>
      <c r="R258">
        <v>753971</v>
      </c>
    </row>
    <row r="259" spans="1:18" x14ac:dyDescent="0.25">
      <c r="A259" s="170">
        <v>45636</v>
      </c>
      <c r="B259" s="116">
        <v>951.65</v>
      </c>
      <c r="C259" s="116">
        <v>942.9</v>
      </c>
      <c r="D259" s="116">
        <v>937.05</v>
      </c>
      <c r="E259" s="116">
        <v>950</v>
      </c>
      <c r="F259" s="116">
        <v>942.9</v>
      </c>
      <c r="G259">
        <v>97262</v>
      </c>
      <c r="H259" s="116"/>
      <c r="I259" s="116"/>
      <c r="L259" s="170">
        <v>45636</v>
      </c>
      <c r="M259" s="116">
        <v>942.6</v>
      </c>
      <c r="N259" s="116">
        <v>951.6</v>
      </c>
      <c r="O259" s="116">
        <v>937</v>
      </c>
      <c r="P259" s="116">
        <v>949.95</v>
      </c>
      <c r="Q259" s="116">
        <v>942.6</v>
      </c>
      <c r="R259">
        <v>907420</v>
      </c>
    </row>
    <row r="260" spans="1:18" x14ac:dyDescent="0.25">
      <c r="A260" s="170">
        <v>45637</v>
      </c>
      <c r="B260" s="116">
        <v>946</v>
      </c>
      <c r="C260" s="116">
        <v>942.8</v>
      </c>
      <c r="D260" s="116">
        <v>941.15</v>
      </c>
      <c r="E260" s="116">
        <v>945</v>
      </c>
      <c r="F260" s="116">
        <v>942.8</v>
      </c>
      <c r="G260">
        <v>68284</v>
      </c>
      <c r="H260" s="116"/>
      <c r="I260" s="116"/>
      <c r="L260" s="170">
        <v>45637</v>
      </c>
      <c r="M260" s="116">
        <v>943.15</v>
      </c>
      <c r="N260" s="116">
        <v>946.6</v>
      </c>
      <c r="O260" s="116">
        <v>941.15</v>
      </c>
      <c r="P260" s="116">
        <v>944</v>
      </c>
      <c r="Q260" s="116">
        <v>943.15</v>
      </c>
      <c r="R260">
        <v>424721</v>
      </c>
    </row>
    <row r="261" spans="1:18" x14ac:dyDescent="0.25">
      <c r="A261" s="170">
        <v>45638</v>
      </c>
      <c r="B261" s="116">
        <v>954.3</v>
      </c>
      <c r="C261" s="116">
        <v>942.25</v>
      </c>
      <c r="D261" s="116">
        <v>940.05</v>
      </c>
      <c r="E261" s="116">
        <v>946</v>
      </c>
      <c r="F261" s="116">
        <v>942.25</v>
      </c>
      <c r="G261">
        <v>41766</v>
      </c>
      <c r="H261" s="116"/>
      <c r="I261" s="116"/>
      <c r="L261" s="170">
        <v>45638</v>
      </c>
      <c r="M261" s="116">
        <v>941.95</v>
      </c>
      <c r="N261" s="116">
        <v>955</v>
      </c>
      <c r="O261" s="116">
        <v>940</v>
      </c>
      <c r="P261" s="116">
        <v>945.8</v>
      </c>
      <c r="Q261" s="116">
        <v>941.95</v>
      </c>
      <c r="R261">
        <v>861974</v>
      </c>
    </row>
    <row r="262" spans="1:18" x14ac:dyDescent="0.25">
      <c r="A262" s="170">
        <v>45639</v>
      </c>
      <c r="B262" s="116">
        <v>946.7</v>
      </c>
      <c r="C262" s="116">
        <v>937.8</v>
      </c>
      <c r="D262" s="116">
        <v>935.1</v>
      </c>
      <c r="E262" s="116">
        <v>942</v>
      </c>
      <c r="F262" s="116">
        <v>937.8</v>
      </c>
      <c r="G262">
        <v>85500</v>
      </c>
      <c r="H262" s="116"/>
      <c r="I262" s="116"/>
      <c r="L262" s="170">
        <v>45639</v>
      </c>
      <c r="M262" s="116">
        <v>937.55</v>
      </c>
      <c r="N262" s="116">
        <v>946.95</v>
      </c>
      <c r="O262" s="116">
        <v>935</v>
      </c>
      <c r="P262" s="116">
        <v>942</v>
      </c>
      <c r="Q262" s="116">
        <v>937.55</v>
      </c>
      <c r="R262">
        <v>901494</v>
      </c>
    </row>
    <row r="263" spans="1:18" x14ac:dyDescent="0.25">
      <c r="A263" s="170">
        <v>45642</v>
      </c>
      <c r="B263" s="116">
        <v>942</v>
      </c>
      <c r="C263" s="116">
        <v>932.1</v>
      </c>
      <c r="D263" s="116">
        <v>931</v>
      </c>
      <c r="E263" s="116">
        <v>937.8</v>
      </c>
      <c r="F263" s="116">
        <v>932.1</v>
      </c>
      <c r="G263">
        <v>89472</v>
      </c>
      <c r="H263" s="116"/>
      <c r="I263" s="116"/>
      <c r="L263" s="170">
        <v>45642</v>
      </c>
      <c r="M263" s="116">
        <v>932.1</v>
      </c>
      <c r="N263" s="116">
        <v>942</v>
      </c>
      <c r="O263" s="116">
        <v>931.05</v>
      </c>
      <c r="P263" s="116">
        <v>937</v>
      </c>
      <c r="Q263" s="116">
        <v>932.1</v>
      </c>
      <c r="R263">
        <v>783880</v>
      </c>
    </row>
    <row r="264" spans="1:18" x14ac:dyDescent="0.25">
      <c r="A264" s="170">
        <v>45643</v>
      </c>
      <c r="B264" s="116">
        <v>935.95</v>
      </c>
      <c r="C264" s="116">
        <v>933.2</v>
      </c>
      <c r="D264" s="116">
        <v>927.05</v>
      </c>
      <c r="E264" s="116">
        <v>932.35</v>
      </c>
      <c r="F264" s="116">
        <v>933.2</v>
      </c>
      <c r="G264">
        <v>93453</v>
      </c>
      <c r="H264" s="116"/>
      <c r="I264" s="116"/>
      <c r="L264" s="170">
        <v>45643</v>
      </c>
      <c r="M264" s="116">
        <v>933.2</v>
      </c>
      <c r="N264" s="116">
        <v>936.6</v>
      </c>
      <c r="O264" s="116">
        <v>927</v>
      </c>
      <c r="P264" s="116">
        <v>933.5</v>
      </c>
      <c r="Q264" s="116">
        <v>933.2</v>
      </c>
      <c r="R264">
        <v>1030266</v>
      </c>
    </row>
    <row r="265" spans="1:18" x14ac:dyDescent="0.25">
      <c r="A265" s="170">
        <v>45644</v>
      </c>
      <c r="B265" s="116">
        <v>936.3</v>
      </c>
      <c r="C265" s="116">
        <v>915</v>
      </c>
      <c r="D265" s="116">
        <v>913</v>
      </c>
      <c r="E265" s="116">
        <v>933.25</v>
      </c>
      <c r="F265" s="116">
        <v>915</v>
      </c>
      <c r="G265">
        <v>123391</v>
      </c>
      <c r="H265" s="116"/>
      <c r="I265" s="116"/>
      <c r="L265" s="170">
        <v>45644</v>
      </c>
      <c r="M265" s="116">
        <v>914.6</v>
      </c>
      <c r="N265" s="116">
        <v>936.7</v>
      </c>
      <c r="O265" s="116">
        <v>912.95</v>
      </c>
      <c r="P265" s="116">
        <v>935</v>
      </c>
      <c r="Q265" s="116">
        <v>914.6</v>
      </c>
      <c r="R265">
        <v>946006</v>
      </c>
    </row>
    <row r="266" spans="1:18" x14ac:dyDescent="0.25">
      <c r="A266" s="170">
        <v>45645</v>
      </c>
      <c r="B266" s="116">
        <v>919.25</v>
      </c>
      <c r="C266" s="116">
        <v>911.55</v>
      </c>
      <c r="D266" s="116">
        <v>903.05</v>
      </c>
      <c r="E266" s="116">
        <v>905.1</v>
      </c>
      <c r="F266" s="116">
        <v>911.55</v>
      </c>
      <c r="G266">
        <v>125826</v>
      </c>
      <c r="H266" s="116"/>
      <c r="I266" s="116"/>
      <c r="L266" s="170">
        <v>45645</v>
      </c>
      <c r="M266" s="116">
        <v>911.7</v>
      </c>
      <c r="N266" s="116">
        <v>918.9</v>
      </c>
      <c r="O266" s="116">
        <v>903.85</v>
      </c>
      <c r="P266" s="116">
        <v>910</v>
      </c>
      <c r="Q266" s="116">
        <v>911.7</v>
      </c>
      <c r="R266">
        <v>757644</v>
      </c>
    </row>
    <row r="267" spans="1:18" x14ac:dyDescent="0.25">
      <c r="A267" s="170">
        <v>45646</v>
      </c>
      <c r="B267" s="116">
        <v>920.35</v>
      </c>
      <c r="C267" s="116">
        <v>892.8</v>
      </c>
      <c r="D267" s="116">
        <v>890</v>
      </c>
      <c r="E267" s="116">
        <v>912.8</v>
      </c>
      <c r="F267" s="116">
        <v>892.8</v>
      </c>
      <c r="G267">
        <v>66027</v>
      </c>
      <c r="H267" s="116"/>
      <c r="I267" s="116"/>
      <c r="L267" s="170">
        <v>45646</v>
      </c>
      <c r="M267" s="116">
        <v>893.3</v>
      </c>
      <c r="N267" s="116">
        <v>920</v>
      </c>
      <c r="O267" s="116">
        <v>890</v>
      </c>
      <c r="P267" s="116">
        <v>913</v>
      </c>
      <c r="Q267" s="116">
        <v>893.3</v>
      </c>
      <c r="R267">
        <v>1131778</v>
      </c>
    </row>
    <row r="268" spans="1:18" x14ac:dyDescent="0.25">
      <c r="A268" s="170">
        <v>45649</v>
      </c>
      <c r="B268" s="116">
        <v>902.15</v>
      </c>
      <c r="C268" s="116">
        <v>889.85</v>
      </c>
      <c r="D268" s="116">
        <v>883.55</v>
      </c>
      <c r="E268" s="116">
        <v>901.45</v>
      </c>
      <c r="F268" s="116">
        <v>889.85</v>
      </c>
      <c r="G268">
        <v>42038</v>
      </c>
      <c r="H268" s="116"/>
      <c r="I268" s="116"/>
      <c r="L268" s="170">
        <v>45649</v>
      </c>
      <c r="M268" s="116">
        <v>889.4</v>
      </c>
      <c r="N268" s="116">
        <v>902</v>
      </c>
      <c r="O268" s="116">
        <v>883.3</v>
      </c>
      <c r="P268" s="116">
        <v>898</v>
      </c>
      <c r="Q268" s="116">
        <v>889.4</v>
      </c>
      <c r="R268">
        <v>754295</v>
      </c>
    </row>
    <row r="269" spans="1:18" x14ac:dyDescent="0.25">
      <c r="A269" s="170">
        <v>45650</v>
      </c>
      <c r="B269" s="116">
        <v>922.95</v>
      </c>
      <c r="C269" s="116">
        <v>908.75</v>
      </c>
      <c r="D269" s="116">
        <v>888.5</v>
      </c>
      <c r="E269" s="116">
        <v>894.65</v>
      </c>
      <c r="F269" s="116">
        <v>908.75</v>
      </c>
      <c r="G269">
        <v>94609</v>
      </c>
      <c r="H269" s="116"/>
      <c r="I269" s="116"/>
      <c r="L269" s="170">
        <v>45650</v>
      </c>
      <c r="M269" s="116">
        <v>908.5</v>
      </c>
      <c r="N269" s="116">
        <v>922.9</v>
      </c>
      <c r="O269" s="116">
        <v>888</v>
      </c>
      <c r="P269" s="116">
        <v>891</v>
      </c>
      <c r="Q269" s="116">
        <v>908.5</v>
      </c>
      <c r="R269">
        <v>1053095</v>
      </c>
    </row>
    <row r="270" spans="1:18" x14ac:dyDescent="0.25">
      <c r="A270" s="170">
        <v>45652</v>
      </c>
      <c r="B270" s="116">
        <v>917.95</v>
      </c>
      <c r="C270" s="116">
        <v>900.3</v>
      </c>
      <c r="D270" s="116">
        <v>897.75</v>
      </c>
      <c r="E270" s="116">
        <v>917.95</v>
      </c>
      <c r="F270" s="116">
        <v>900.3</v>
      </c>
      <c r="G270">
        <v>63860</v>
      </c>
      <c r="H270" s="116"/>
      <c r="I270" s="116"/>
      <c r="L270" s="170">
        <v>45652</v>
      </c>
      <c r="M270" s="116">
        <v>900.5</v>
      </c>
      <c r="N270" s="116">
        <v>914.5</v>
      </c>
      <c r="O270" s="116">
        <v>897.65</v>
      </c>
      <c r="P270" s="116">
        <v>910.35</v>
      </c>
      <c r="Q270" s="116">
        <v>900.5</v>
      </c>
      <c r="R270">
        <v>431341</v>
      </c>
    </row>
    <row r="271" spans="1:18" x14ac:dyDescent="0.25">
      <c r="A271" s="170">
        <v>45653</v>
      </c>
      <c r="B271" s="116">
        <v>908</v>
      </c>
      <c r="C271" s="116">
        <v>898.75</v>
      </c>
      <c r="D271" s="116">
        <v>897.45</v>
      </c>
      <c r="E271" s="116">
        <v>904.8</v>
      </c>
      <c r="F271" s="116">
        <v>898.75</v>
      </c>
      <c r="G271">
        <v>26710</v>
      </c>
      <c r="H271" s="116"/>
      <c r="I271" s="116"/>
      <c r="L271" s="170">
        <v>45653</v>
      </c>
      <c r="M271" s="116">
        <v>898.85</v>
      </c>
      <c r="N271" s="116">
        <v>907.85</v>
      </c>
      <c r="O271" s="116">
        <v>897.3</v>
      </c>
      <c r="P271" s="116">
        <v>902</v>
      </c>
      <c r="Q271" s="116">
        <v>898.85</v>
      </c>
      <c r="R271">
        <v>347544</v>
      </c>
    </row>
    <row r="272" spans="1:18" x14ac:dyDescent="0.25">
      <c r="A272" s="170">
        <v>45656</v>
      </c>
      <c r="B272" s="116">
        <v>899.65</v>
      </c>
      <c r="C272" s="116">
        <v>893.25</v>
      </c>
      <c r="D272" s="116">
        <v>886.7</v>
      </c>
      <c r="E272" s="116">
        <v>898.75</v>
      </c>
      <c r="F272" s="116">
        <v>893.25</v>
      </c>
      <c r="G272">
        <v>36841</v>
      </c>
      <c r="H272" s="116"/>
      <c r="I272" s="116"/>
      <c r="L272" s="170">
        <v>45656</v>
      </c>
      <c r="M272" s="116">
        <v>894.8</v>
      </c>
      <c r="N272" s="116">
        <v>899.9</v>
      </c>
      <c r="O272" s="116">
        <v>886</v>
      </c>
      <c r="P272" s="116">
        <v>899</v>
      </c>
      <c r="Q272" s="116">
        <v>894.8</v>
      </c>
      <c r="R272">
        <v>685564</v>
      </c>
    </row>
    <row r="273" spans="1:18" x14ac:dyDescent="0.25">
      <c r="A273" s="170">
        <v>45657</v>
      </c>
      <c r="B273" s="116">
        <v>898.25</v>
      </c>
      <c r="C273" s="116">
        <v>891.45</v>
      </c>
      <c r="D273" s="116">
        <v>887.6</v>
      </c>
      <c r="E273" s="116">
        <v>892.35</v>
      </c>
      <c r="F273" s="116">
        <v>891.45</v>
      </c>
      <c r="G273">
        <v>21649</v>
      </c>
      <c r="H273" s="116"/>
      <c r="I273" s="116"/>
      <c r="L273" s="170">
        <v>45657</v>
      </c>
      <c r="M273" s="116">
        <v>891.35</v>
      </c>
      <c r="N273" s="116">
        <v>897.9</v>
      </c>
      <c r="O273" s="116">
        <v>887.2</v>
      </c>
      <c r="P273" s="116">
        <v>894</v>
      </c>
      <c r="Q273" s="116">
        <v>891.35</v>
      </c>
      <c r="R273">
        <v>437699</v>
      </c>
    </row>
    <row r="274" spans="1:18" x14ac:dyDescent="0.25">
      <c r="A274" s="170">
        <v>45658</v>
      </c>
      <c r="B274" s="116">
        <v>896.05</v>
      </c>
      <c r="C274" s="116">
        <v>891</v>
      </c>
      <c r="D274" s="116">
        <v>887.95</v>
      </c>
      <c r="E274" s="116">
        <v>891.05</v>
      </c>
      <c r="F274" s="116">
        <v>891</v>
      </c>
      <c r="G274">
        <v>47468</v>
      </c>
      <c r="H274" s="116"/>
      <c r="I274" s="116"/>
      <c r="L274" s="170">
        <v>45658</v>
      </c>
      <c r="M274" s="116">
        <v>890.8</v>
      </c>
      <c r="N274" s="116">
        <v>896.95</v>
      </c>
      <c r="O274" s="116">
        <v>887.65</v>
      </c>
      <c r="P274" s="116">
        <v>894</v>
      </c>
      <c r="Q274" s="116">
        <v>890.8</v>
      </c>
      <c r="R274">
        <v>438587</v>
      </c>
    </row>
    <row r="275" spans="1:18" x14ac:dyDescent="0.25">
      <c r="A275" s="170">
        <v>45659</v>
      </c>
      <c r="B275" s="116">
        <v>909.9</v>
      </c>
      <c r="C275" s="116">
        <v>904.75</v>
      </c>
      <c r="D275" s="116">
        <v>889.5</v>
      </c>
      <c r="E275" s="116">
        <v>890</v>
      </c>
      <c r="F275" s="116">
        <v>904.75</v>
      </c>
      <c r="G275">
        <v>79355</v>
      </c>
      <c r="H275" s="116"/>
      <c r="I275" s="116"/>
      <c r="L275" s="170">
        <v>45659</v>
      </c>
      <c r="M275" s="116">
        <v>904.8</v>
      </c>
      <c r="N275" s="116">
        <v>909.9</v>
      </c>
      <c r="O275" s="116">
        <v>890.1</v>
      </c>
      <c r="P275" s="116">
        <v>890.8</v>
      </c>
      <c r="Q275" s="116">
        <v>904.8</v>
      </c>
      <c r="R275">
        <v>633036</v>
      </c>
    </row>
    <row r="276" spans="1:18" x14ac:dyDescent="0.25">
      <c r="A276" s="170">
        <v>45660</v>
      </c>
      <c r="B276" s="116">
        <v>912.65</v>
      </c>
      <c r="C276" s="116">
        <v>897.5</v>
      </c>
      <c r="D276" s="116">
        <v>895</v>
      </c>
      <c r="E276" s="116">
        <v>908.05</v>
      </c>
      <c r="F276" s="116">
        <v>897.5</v>
      </c>
      <c r="G276">
        <v>29059</v>
      </c>
      <c r="H276" s="116"/>
      <c r="I276" s="116"/>
      <c r="L276" s="170">
        <v>45660</v>
      </c>
      <c r="M276" s="116">
        <v>896.6</v>
      </c>
      <c r="N276" s="116">
        <v>912.5</v>
      </c>
      <c r="O276" s="116">
        <v>895</v>
      </c>
      <c r="P276" s="116">
        <v>906.65</v>
      </c>
      <c r="Q276" s="116">
        <v>896.6</v>
      </c>
      <c r="R276">
        <v>626222</v>
      </c>
    </row>
    <row r="277" spans="1:18" x14ac:dyDescent="0.25">
      <c r="A277" s="170">
        <v>45663</v>
      </c>
      <c r="B277" s="116">
        <v>901.1</v>
      </c>
      <c r="C277" s="116">
        <v>876.7</v>
      </c>
      <c r="D277" s="116">
        <v>875</v>
      </c>
      <c r="E277" s="116">
        <v>890.6</v>
      </c>
      <c r="F277" s="116">
        <v>876.7</v>
      </c>
      <c r="G277">
        <v>121207</v>
      </c>
      <c r="H277" s="116"/>
      <c r="I277" s="116"/>
      <c r="L277" s="170">
        <v>45663</v>
      </c>
      <c r="M277" s="116">
        <v>876.4</v>
      </c>
      <c r="N277" s="116">
        <v>900.9</v>
      </c>
      <c r="O277" s="116">
        <v>874.2</v>
      </c>
      <c r="P277" s="116">
        <v>897.95</v>
      </c>
      <c r="Q277" s="116">
        <v>876.4</v>
      </c>
      <c r="R277">
        <v>787086</v>
      </c>
    </row>
    <row r="278" spans="1:18" x14ac:dyDescent="0.25">
      <c r="A278" s="170">
        <v>45664</v>
      </c>
      <c r="B278" s="116">
        <v>887.95</v>
      </c>
      <c r="C278" s="116">
        <v>881.85</v>
      </c>
      <c r="D278" s="116">
        <v>878</v>
      </c>
      <c r="E278" s="116">
        <v>878.45</v>
      </c>
      <c r="F278" s="116">
        <v>881.85</v>
      </c>
      <c r="G278">
        <v>66430</v>
      </c>
      <c r="H278" s="116"/>
      <c r="I278" s="116"/>
      <c r="L278" s="170">
        <v>45664</v>
      </c>
      <c r="M278" s="116">
        <v>881.45</v>
      </c>
      <c r="N278" s="116">
        <v>888</v>
      </c>
      <c r="O278" s="116">
        <v>878.05</v>
      </c>
      <c r="P278" s="116">
        <v>881</v>
      </c>
      <c r="Q278" s="116">
        <v>881.45</v>
      </c>
      <c r="R278">
        <v>424409</v>
      </c>
    </row>
    <row r="279" spans="1:18" x14ac:dyDescent="0.25">
      <c r="A279" s="170">
        <v>45665</v>
      </c>
      <c r="B279" s="116">
        <v>912</v>
      </c>
      <c r="C279" s="116">
        <v>886.6</v>
      </c>
      <c r="D279" s="116">
        <v>882.8</v>
      </c>
      <c r="E279" s="116">
        <v>898.95</v>
      </c>
      <c r="F279" s="116">
        <v>886.6</v>
      </c>
      <c r="G279">
        <v>212743</v>
      </c>
      <c r="H279" s="116"/>
      <c r="I279" s="116"/>
      <c r="L279" s="170">
        <v>45665</v>
      </c>
      <c r="M279" s="116">
        <v>886.3</v>
      </c>
      <c r="N279" s="116">
        <v>912</v>
      </c>
      <c r="O279" s="116">
        <v>882</v>
      </c>
      <c r="P279" s="116">
        <v>898</v>
      </c>
      <c r="Q279" s="116">
        <v>886.3</v>
      </c>
      <c r="R279">
        <v>2186334</v>
      </c>
    </row>
    <row r="280" spans="1:18" x14ac:dyDescent="0.25">
      <c r="A280" s="170">
        <v>45666</v>
      </c>
      <c r="B280" s="116">
        <v>889</v>
      </c>
      <c r="C280" s="116">
        <v>874.9</v>
      </c>
      <c r="D280" s="116">
        <v>870</v>
      </c>
      <c r="E280" s="116">
        <v>886</v>
      </c>
      <c r="F280" s="116">
        <v>874.9</v>
      </c>
      <c r="G280">
        <v>74106</v>
      </c>
      <c r="H280" s="116"/>
      <c r="I280" s="116"/>
      <c r="L280" s="170">
        <v>45666</v>
      </c>
      <c r="M280" s="116">
        <v>874.3</v>
      </c>
      <c r="N280" s="116">
        <v>889.6</v>
      </c>
      <c r="O280" s="116">
        <v>869.8</v>
      </c>
      <c r="P280" s="116">
        <v>885.75</v>
      </c>
      <c r="Q280" s="116">
        <v>874.3</v>
      </c>
      <c r="R280">
        <v>576021</v>
      </c>
    </row>
    <row r="281" spans="1:18" x14ac:dyDescent="0.25">
      <c r="A281" s="170">
        <v>45667</v>
      </c>
      <c r="B281" s="116">
        <v>876.45</v>
      </c>
      <c r="C281" s="116">
        <v>834.15</v>
      </c>
      <c r="D281" s="116">
        <v>828.75</v>
      </c>
      <c r="E281" s="116">
        <v>872.05</v>
      </c>
      <c r="F281" s="116">
        <v>834.15</v>
      </c>
      <c r="G281">
        <v>223854</v>
      </c>
      <c r="H281" s="116"/>
      <c r="I281" s="116"/>
      <c r="L281" s="170">
        <v>45667</v>
      </c>
      <c r="M281" s="116">
        <v>834.15</v>
      </c>
      <c r="N281" s="116">
        <v>876.2</v>
      </c>
      <c r="O281" s="116">
        <v>828.3</v>
      </c>
      <c r="P281" s="116">
        <v>872.9</v>
      </c>
      <c r="Q281" s="116">
        <v>834.15</v>
      </c>
      <c r="R281">
        <v>1850032</v>
      </c>
    </row>
    <row r="282" spans="1:18" x14ac:dyDescent="0.25">
      <c r="A282" s="170">
        <v>45670</v>
      </c>
      <c r="B282" s="116">
        <v>834.5</v>
      </c>
      <c r="C282" s="116">
        <v>795.1</v>
      </c>
      <c r="D282" s="116">
        <v>791</v>
      </c>
      <c r="E282" s="116">
        <v>830</v>
      </c>
      <c r="F282" s="116">
        <v>795.1</v>
      </c>
      <c r="G282">
        <v>237883</v>
      </c>
      <c r="H282" s="116"/>
      <c r="I282" s="116"/>
      <c r="L282" s="170">
        <v>45670</v>
      </c>
      <c r="M282" s="116">
        <v>794.9</v>
      </c>
      <c r="N282" s="116">
        <v>834.4</v>
      </c>
      <c r="O282" s="116">
        <v>790.55</v>
      </c>
      <c r="P282" s="116">
        <v>830</v>
      </c>
      <c r="Q282" s="116">
        <v>794.9</v>
      </c>
      <c r="R282">
        <v>1857927</v>
      </c>
    </row>
    <row r="283" spans="1:18" x14ac:dyDescent="0.25">
      <c r="A283" s="170">
        <v>45671</v>
      </c>
      <c r="B283" s="116">
        <v>812.95</v>
      </c>
      <c r="C283" s="116">
        <v>800.1</v>
      </c>
      <c r="D283" s="116">
        <v>795.7</v>
      </c>
      <c r="E283" s="116">
        <v>800.15</v>
      </c>
      <c r="F283" s="116">
        <v>800.1</v>
      </c>
      <c r="G283">
        <v>116041</v>
      </c>
      <c r="H283" s="116"/>
      <c r="I283" s="116"/>
      <c r="L283" s="170">
        <v>45671</v>
      </c>
      <c r="M283" s="116">
        <v>799.15</v>
      </c>
      <c r="N283" s="116">
        <v>813</v>
      </c>
      <c r="O283" s="116">
        <v>795.15</v>
      </c>
      <c r="P283" s="116">
        <v>804.35</v>
      </c>
      <c r="Q283" s="116">
        <v>799.15</v>
      </c>
      <c r="R283">
        <v>988607</v>
      </c>
    </row>
    <row r="284" spans="1:18" x14ac:dyDescent="0.25">
      <c r="A284" s="170">
        <v>45672</v>
      </c>
      <c r="B284" s="116">
        <v>815</v>
      </c>
      <c r="C284" s="116">
        <v>799.85</v>
      </c>
      <c r="D284" s="116">
        <v>797.55</v>
      </c>
      <c r="E284" s="116">
        <v>808.95</v>
      </c>
      <c r="F284" s="116">
        <v>799.85</v>
      </c>
      <c r="G284">
        <v>94462</v>
      </c>
      <c r="H284" s="116"/>
      <c r="I284" s="116"/>
      <c r="L284" s="170">
        <v>45672</v>
      </c>
      <c r="M284" s="116">
        <v>799.9</v>
      </c>
      <c r="N284" s="116">
        <v>815.6</v>
      </c>
      <c r="O284" s="116">
        <v>796.7</v>
      </c>
      <c r="P284" s="116">
        <v>804</v>
      </c>
      <c r="Q284" s="116">
        <v>799.9</v>
      </c>
      <c r="R284">
        <v>813771</v>
      </c>
    </row>
    <row r="285" spans="1:18" x14ac:dyDescent="0.25">
      <c r="A285" s="170">
        <v>45673</v>
      </c>
      <c r="B285" s="116">
        <v>819.2</v>
      </c>
      <c r="C285" s="116">
        <v>806.95</v>
      </c>
      <c r="D285" s="116">
        <v>804</v>
      </c>
      <c r="E285" s="116">
        <v>810.4</v>
      </c>
      <c r="F285" s="116">
        <v>806.95</v>
      </c>
      <c r="G285">
        <v>42717</v>
      </c>
      <c r="H285" s="116"/>
      <c r="I285" s="116"/>
      <c r="L285" s="170">
        <v>45673</v>
      </c>
      <c r="M285" s="116">
        <v>806.5</v>
      </c>
      <c r="N285" s="116">
        <v>819.45</v>
      </c>
      <c r="O285" s="116">
        <v>803.65</v>
      </c>
      <c r="P285" s="116">
        <v>809</v>
      </c>
      <c r="Q285" s="116">
        <v>806.5</v>
      </c>
      <c r="R285">
        <v>1189610</v>
      </c>
    </row>
    <row r="286" spans="1:18" x14ac:dyDescent="0.25">
      <c r="A286" s="170">
        <v>45674</v>
      </c>
      <c r="B286" s="116">
        <v>815.9</v>
      </c>
      <c r="C286" s="116">
        <v>807.7</v>
      </c>
      <c r="D286" s="116">
        <v>803.65</v>
      </c>
      <c r="E286" s="116">
        <v>807.05</v>
      </c>
      <c r="F286" s="116">
        <v>807.7</v>
      </c>
      <c r="G286">
        <v>72303</v>
      </c>
      <c r="H286" s="116"/>
      <c r="I286" s="116"/>
      <c r="L286" s="170">
        <v>45674</v>
      </c>
      <c r="M286" s="116">
        <v>807.7</v>
      </c>
      <c r="N286" s="116">
        <v>815.85</v>
      </c>
      <c r="O286" s="116">
        <v>803.1</v>
      </c>
      <c r="P286" s="116">
        <v>808</v>
      </c>
      <c r="Q286" s="116">
        <v>807.7</v>
      </c>
      <c r="R286">
        <v>576384</v>
      </c>
    </row>
    <row r="287" spans="1:18" x14ac:dyDescent="0.25">
      <c r="A287" s="170">
        <v>45677</v>
      </c>
      <c r="B287" s="116">
        <v>815.4</v>
      </c>
      <c r="C287" s="116">
        <v>812.45</v>
      </c>
      <c r="D287" s="116">
        <v>806.7</v>
      </c>
      <c r="E287" s="116">
        <v>814.65</v>
      </c>
      <c r="F287" s="116">
        <v>812.45</v>
      </c>
      <c r="G287">
        <v>60762</v>
      </c>
      <c r="H287" s="116"/>
      <c r="I287" s="116"/>
      <c r="L287" s="170">
        <v>45677</v>
      </c>
      <c r="M287" s="116">
        <v>812.45</v>
      </c>
      <c r="N287" s="116">
        <v>815.65</v>
      </c>
      <c r="O287" s="116">
        <v>807</v>
      </c>
      <c r="P287" s="116">
        <v>810.05</v>
      </c>
      <c r="Q287" s="116">
        <v>812.45</v>
      </c>
      <c r="R287">
        <v>600235</v>
      </c>
    </row>
    <row r="288" spans="1:18" x14ac:dyDescent="0.25">
      <c r="A288" s="170">
        <v>45678</v>
      </c>
      <c r="B288" s="116">
        <v>841.25</v>
      </c>
      <c r="C288" s="116">
        <v>816.75</v>
      </c>
      <c r="D288" s="116">
        <v>812.65</v>
      </c>
      <c r="E288" s="116">
        <v>816.1</v>
      </c>
      <c r="F288" s="116">
        <v>816.75</v>
      </c>
      <c r="G288">
        <v>158969</v>
      </c>
      <c r="H288" s="116"/>
      <c r="I288" s="116"/>
      <c r="L288" s="170">
        <v>45678</v>
      </c>
      <c r="M288" s="116">
        <v>816.85</v>
      </c>
      <c r="N288" s="116">
        <v>841.3</v>
      </c>
      <c r="O288" s="116">
        <v>812</v>
      </c>
      <c r="P288" s="116">
        <v>816</v>
      </c>
      <c r="Q288" s="116">
        <v>816.85</v>
      </c>
      <c r="R288">
        <v>1296074</v>
      </c>
    </row>
    <row r="289" spans="1:18" x14ac:dyDescent="0.25">
      <c r="A289" s="170">
        <v>45679</v>
      </c>
      <c r="B289" s="116">
        <v>808.95</v>
      </c>
      <c r="C289" s="116">
        <v>799.4</v>
      </c>
      <c r="D289" s="116">
        <v>789</v>
      </c>
      <c r="E289" s="116">
        <v>808.95</v>
      </c>
      <c r="F289" s="116">
        <v>799.4</v>
      </c>
      <c r="G289">
        <v>81173</v>
      </c>
      <c r="H289" s="116"/>
      <c r="I289" s="116"/>
      <c r="L289" s="170">
        <v>45679</v>
      </c>
      <c r="M289" s="116">
        <v>798.9</v>
      </c>
      <c r="N289" s="116">
        <v>808.85</v>
      </c>
      <c r="O289" s="116">
        <v>788.65</v>
      </c>
      <c r="P289" s="116">
        <v>808.05</v>
      </c>
      <c r="Q289" s="116">
        <v>798.9</v>
      </c>
      <c r="R289">
        <v>1340656</v>
      </c>
    </row>
    <row r="290" spans="1:18" x14ac:dyDescent="0.25">
      <c r="A290" s="170">
        <v>45680</v>
      </c>
      <c r="B290" s="116">
        <v>818.45</v>
      </c>
      <c r="C290" s="116">
        <v>798.75</v>
      </c>
      <c r="D290" s="116">
        <v>797</v>
      </c>
      <c r="E290" s="116">
        <v>798.15</v>
      </c>
      <c r="F290" s="116">
        <v>798.75</v>
      </c>
      <c r="G290">
        <v>95219</v>
      </c>
      <c r="H290" s="116"/>
      <c r="I290" s="116"/>
      <c r="L290" s="170">
        <v>45680</v>
      </c>
      <c r="M290" s="116">
        <v>798.85</v>
      </c>
      <c r="N290" s="116">
        <v>818.5</v>
      </c>
      <c r="O290" s="116">
        <v>797.2</v>
      </c>
      <c r="P290" s="116">
        <v>800</v>
      </c>
      <c r="Q290" s="116">
        <v>798.85</v>
      </c>
      <c r="R290">
        <v>717266</v>
      </c>
    </row>
    <row r="291" spans="1:18" x14ac:dyDescent="0.25">
      <c r="A291" s="170">
        <v>45681</v>
      </c>
      <c r="B291" s="116">
        <v>806.65</v>
      </c>
      <c r="C291" s="116">
        <v>782.95</v>
      </c>
      <c r="D291" s="116">
        <v>781.5</v>
      </c>
      <c r="E291" s="116">
        <v>798.75</v>
      </c>
      <c r="F291" s="116">
        <v>782.95</v>
      </c>
      <c r="G291">
        <v>321781</v>
      </c>
      <c r="H291" s="116"/>
      <c r="I291" s="116"/>
      <c r="L291" s="170">
        <v>45681</v>
      </c>
      <c r="M291" s="116">
        <v>782.9</v>
      </c>
      <c r="N291" s="116">
        <v>806.75</v>
      </c>
      <c r="O291" s="116">
        <v>781</v>
      </c>
      <c r="P291" s="116">
        <v>798.85</v>
      </c>
      <c r="Q291" s="116">
        <v>782.9</v>
      </c>
      <c r="R291">
        <v>834302</v>
      </c>
    </row>
    <row r="292" spans="1:18" x14ac:dyDescent="0.25">
      <c r="A292" s="170">
        <v>45684</v>
      </c>
      <c r="B292" s="116">
        <v>781.7</v>
      </c>
      <c r="C292" s="116">
        <v>760.2</v>
      </c>
      <c r="D292" s="116">
        <v>756.25</v>
      </c>
      <c r="E292" s="116">
        <v>780.85</v>
      </c>
      <c r="F292" s="116">
        <v>760.2</v>
      </c>
      <c r="G292">
        <v>132370</v>
      </c>
      <c r="H292" s="116"/>
      <c r="I292" s="116"/>
      <c r="L292" s="170">
        <v>45684</v>
      </c>
      <c r="M292" s="116">
        <v>760.05</v>
      </c>
      <c r="N292" s="116">
        <v>781.4</v>
      </c>
      <c r="O292" s="116">
        <v>756</v>
      </c>
      <c r="P292" s="116">
        <v>780</v>
      </c>
      <c r="Q292" s="116">
        <v>760.05</v>
      </c>
      <c r="R292">
        <v>1044493</v>
      </c>
    </row>
    <row r="293" spans="1:18" x14ac:dyDescent="0.25">
      <c r="A293" s="170">
        <v>45685</v>
      </c>
      <c r="B293" s="116">
        <v>774.8</v>
      </c>
      <c r="C293" s="116">
        <v>754.65</v>
      </c>
      <c r="D293" s="116">
        <v>737.25</v>
      </c>
      <c r="E293" s="116">
        <v>764.05</v>
      </c>
      <c r="F293" s="116">
        <v>754.65</v>
      </c>
      <c r="G293">
        <v>152476</v>
      </c>
      <c r="H293" s="116"/>
      <c r="I293" s="116"/>
      <c r="L293" s="170">
        <v>45685</v>
      </c>
      <c r="M293" s="116">
        <v>754.1</v>
      </c>
      <c r="N293" s="116">
        <v>775.2</v>
      </c>
      <c r="O293" s="116">
        <v>737.1</v>
      </c>
      <c r="P293" s="116">
        <v>765</v>
      </c>
      <c r="Q293" s="116">
        <v>754.1</v>
      </c>
      <c r="R293">
        <v>1197217</v>
      </c>
    </row>
    <row r="294" spans="1:18" x14ac:dyDescent="0.25">
      <c r="A294" s="170">
        <v>45686</v>
      </c>
      <c r="B294" s="116">
        <v>784.55</v>
      </c>
      <c r="C294" s="116">
        <v>782.2</v>
      </c>
      <c r="D294" s="116">
        <v>755.2</v>
      </c>
      <c r="E294" s="116">
        <v>755.2</v>
      </c>
      <c r="F294" s="116">
        <v>782.2</v>
      </c>
      <c r="G294">
        <v>123076</v>
      </c>
      <c r="H294" s="116"/>
      <c r="I294" s="116"/>
      <c r="L294" s="170">
        <v>45686</v>
      </c>
      <c r="M294" s="116">
        <v>781.4</v>
      </c>
      <c r="N294" s="116">
        <v>784.9</v>
      </c>
      <c r="O294" s="116">
        <v>756.1</v>
      </c>
      <c r="P294" s="116">
        <v>757</v>
      </c>
      <c r="Q294" s="116">
        <v>781.4</v>
      </c>
      <c r="R294">
        <v>689657</v>
      </c>
    </row>
    <row r="295" spans="1:18" x14ac:dyDescent="0.25">
      <c r="A295" s="170">
        <v>45687</v>
      </c>
      <c r="B295" s="116">
        <v>791</v>
      </c>
      <c r="C295" s="116">
        <v>777.4</v>
      </c>
      <c r="D295" s="116">
        <v>775.95</v>
      </c>
      <c r="E295" s="116">
        <v>786.95</v>
      </c>
      <c r="F295" s="116">
        <v>777.4</v>
      </c>
      <c r="G295">
        <v>82395</v>
      </c>
      <c r="H295" s="116"/>
      <c r="I295" s="116"/>
      <c r="L295" s="170">
        <v>45687</v>
      </c>
      <c r="M295" s="116">
        <v>777.15</v>
      </c>
      <c r="N295" s="116">
        <v>790.5</v>
      </c>
      <c r="O295" s="116">
        <v>775.3</v>
      </c>
      <c r="P295" s="116">
        <v>786.5</v>
      </c>
      <c r="Q295" s="116">
        <v>777.15</v>
      </c>
      <c r="R295">
        <v>440309</v>
      </c>
    </row>
    <row r="296" spans="1:18" x14ac:dyDescent="0.25">
      <c r="A296" s="170">
        <v>45688</v>
      </c>
      <c r="B296" s="116">
        <v>790</v>
      </c>
      <c r="C296" s="116">
        <v>787.5</v>
      </c>
      <c r="D296" s="116">
        <v>777</v>
      </c>
      <c r="E296" s="116">
        <v>778.4</v>
      </c>
      <c r="F296" s="116">
        <v>787.5</v>
      </c>
      <c r="G296">
        <v>95270</v>
      </c>
      <c r="H296" s="116"/>
      <c r="I296" s="116"/>
      <c r="L296" s="170">
        <v>45688</v>
      </c>
      <c r="M296" s="116">
        <v>787.6</v>
      </c>
      <c r="N296" s="116">
        <v>790</v>
      </c>
      <c r="O296" s="116">
        <v>777</v>
      </c>
      <c r="P296" s="116">
        <v>779.55</v>
      </c>
      <c r="Q296" s="116">
        <v>787.6</v>
      </c>
      <c r="R296">
        <v>562277</v>
      </c>
    </row>
    <row r="297" spans="1:18" x14ac:dyDescent="0.25">
      <c r="A297" s="170">
        <v>45689</v>
      </c>
      <c r="B297" s="116">
        <v>796.4</v>
      </c>
      <c r="C297" s="116">
        <v>775.75</v>
      </c>
      <c r="D297" s="116">
        <v>768.05</v>
      </c>
      <c r="E297" s="116">
        <v>791.95</v>
      </c>
      <c r="F297" s="116">
        <v>775.75</v>
      </c>
      <c r="G297">
        <v>47047</v>
      </c>
      <c r="H297" s="116"/>
      <c r="I297" s="116"/>
      <c r="L297" s="170">
        <v>45689</v>
      </c>
      <c r="M297" s="116">
        <v>775.55</v>
      </c>
      <c r="N297" s="116">
        <v>796.75</v>
      </c>
      <c r="O297" s="116">
        <v>772.1</v>
      </c>
      <c r="P297" s="116">
        <v>790</v>
      </c>
      <c r="Q297" s="116">
        <v>775.55</v>
      </c>
      <c r="R297">
        <v>566170</v>
      </c>
    </row>
    <row r="298" spans="1:18" x14ac:dyDescent="0.25">
      <c r="A298" s="170">
        <v>45691</v>
      </c>
      <c r="B298" s="116">
        <v>774.7</v>
      </c>
      <c r="C298" s="116">
        <v>769.25</v>
      </c>
      <c r="D298" s="116">
        <v>758.95</v>
      </c>
      <c r="E298" s="116">
        <v>774.7</v>
      </c>
      <c r="F298" s="116">
        <v>769.25</v>
      </c>
      <c r="G298">
        <v>89476</v>
      </c>
      <c r="H298" s="116"/>
      <c r="I298" s="116"/>
      <c r="L298" s="170">
        <v>45691</v>
      </c>
      <c r="M298" s="116">
        <v>768.25</v>
      </c>
      <c r="N298" s="116">
        <v>774.2</v>
      </c>
      <c r="O298" s="116">
        <v>758.35</v>
      </c>
      <c r="P298" s="116">
        <v>770.25</v>
      </c>
      <c r="Q298" s="116">
        <v>768.25</v>
      </c>
      <c r="R298">
        <v>531189</v>
      </c>
    </row>
    <row r="299" spans="1:18" x14ac:dyDescent="0.25">
      <c r="A299" s="170">
        <v>45692</v>
      </c>
      <c r="B299" s="116">
        <v>780.45</v>
      </c>
      <c r="C299" s="116">
        <v>769.65</v>
      </c>
      <c r="D299" s="116">
        <v>764</v>
      </c>
      <c r="E299" s="116">
        <v>772.4</v>
      </c>
      <c r="F299" s="116">
        <v>769.65</v>
      </c>
      <c r="G299">
        <v>64913</v>
      </c>
      <c r="H299" s="116"/>
      <c r="I299" s="116"/>
      <c r="L299" s="170">
        <v>45692</v>
      </c>
      <c r="M299" s="116">
        <v>769.75</v>
      </c>
      <c r="N299" s="116">
        <v>780.4</v>
      </c>
      <c r="O299" s="116">
        <v>763.75</v>
      </c>
      <c r="P299" s="116">
        <v>772</v>
      </c>
      <c r="Q299" s="116">
        <v>769.75</v>
      </c>
      <c r="R299">
        <v>519038</v>
      </c>
    </row>
    <row r="300" spans="1:18" x14ac:dyDescent="0.25">
      <c r="A300" s="170">
        <v>45693</v>
      </c>
      <c r="B300" s="116">
        <v>799.05</v>
      </c>
      <c r="C300" s="116">
        <v>794.25</v>
      </c>
      <c r="D300" s="116">
        <v>773.85</v>
      </c>
      <c r="E300" s="116">
        <v>773.85</v>
      </c>
      <c r="F300" s="116">
        <v>794.25</v>
      </c>
      <c r="G300">
        <v>63112</v>
      </c>
      <c r="H300" s="116"/>
      <c r="I300" s="116"/>
      <c r="L300" s="170">
        <v>45693</v>
      </c>
      <c r="M300" s="116">
        <v>794.5</v>
      </c>
      <c r="N300" s="116">
        <v>799.2</v>
      </c>
      <c r="O300" s="116">
        <v>772.15</v>
      </c>
      <c r="P300" s="116">
        <v>772.15</v>
      </c>
      <c r="Q300" s="116">
        <v>794.5</v>
      </c>
      <c r="R300">
        <v>769632</v>
      </c>
    </row>
    <row r="301" spans="1:18" x14ac:dyDescent="0.25">
      <c r="A301" s="170">
        <v>45694</v>
      </c>
      <c r="B301" s="116">
        <v>803</v>
      </c>
      <c r="C301" s="116">
        <v>785.4</v>
      </c>
      <c r="D301" s="116">
        <v>784.05</v>
      </c>
      <c r="E301" s="116">
        <v>799.65</v>
      </c>
      <c r="F301" s="116">
        <v>785.4</v>
      </c>
      <c r="G301">
        <v>35028</v>
      </c>
      <c r="H301" s="116"/>
      <c r="I301" s="116"/>
      <c r="L301" s="170">
        <v>45694</v>
      </c>
      <c r="M301" s="116">
        <v>785.2</v>
      </c>
      <c r="N301" s="116">
        <v>803</v>
      </c>
      <c r="O301" s="116">
        <v>784</v>
      </c>
      <c r="P301" s="116">
        <v>798.95</v>
      </c>
      <c r="Q301" s="116">
        <v>785.2</v>
      </c>
      <c r="R301">
        <v>521817</v>
      </c>
    </row>
    <row r="302" spans="1:18" x14ac:dyDescent="0.25">
      <c r="A302" s="170">
        <v>45695</v>
      </c>
      <c r="B302" s="116">
        <v>790.75</v>
      </c>
      <c r="C302" s="116">
        <v>775.6</v>
      </c>
      <c r="D302" s="116">
        <v>771.85</v>
      </c>
      <c r="E302" s="116">
        <v>790.75</v>
      </c>
      <c r="F302" s="116">
        <v>775.6</v>
      </c>
      <c r="G302">
        <v>57164</v>
      </c>
      <c r="H302" s="116"/>
      <c r="I302" s="116"/>
      <c r="L302" s="170">
        <v>45695</v>
      </c>
      <c r="M302" s="116">
        <v>776.6</v>
      </c>
      <c r="N302" s="116">
        <v>789.75</v>
      </c>
      <c r="O302" s="116">
        <v>775</v>
      </c>
      <c r="P302" s="116">
        <v>785.95</v>
      </c>
      <c r="Q302" s="116">
        <v>776.6</v>
      </c>
      <c r="R302">
        <v>443249</v>
      </c>
    </row>
    <row r="303" spans="1:18" x14ac:dyDescent="0.25">
      <c r="A303" s="170">
        <v>45698</v>
      </c>
      <c r="B303" s="116">
        <v>786</v>
      </c>
      <c r="C303" s="116">
        <v>770.05</v>
      </c>
      <c r="D303" s="116">
        <v>767.5</v>
      </c>
      <c r="E303" s="116">
        <v>776.65</v>
      </c>
      <c r="F303" s="116">
        <v>770.05</v>
      </c>
      <c r="G303">
        <v>26129</v>
      </c>
      <c r="H303" s="116"/>
      <c r="I303" s="116"/>
      <c r="L303" s="170">
        <v>45698</v>
      </c>
      <c r="M303" s="116">
        <v>769.35</v>
      </c>
      <c r="N303" s="116">
        <v>786.4</v>
      </c>
      <c r="O303" s="116">
        <v>767.1</v>
      </c>
      <c r="P303" s="116">
        <v>780</v>
      </c>
      <c r="Q303" s="116">
        <v>769.35</v>
      </c>
      <c r="R303">
        <v>446340</v>
      </c>
    </row>
    <row r="304" spans="1:18" x14ac:dyDescent="0.25">
      <c r="A304" s="170">
        <v>45699</v>
      </c>
      <c r="B304" s="116">
        <v>769.35</v>
      </c>
      <c r="C304" s="116">
        <v>746.95</v>
      </c>
      <c r="D304" s="116">
        <v>745</v>
      </c>
      <c r="E304" s="116">
        <v>766</v>
      </c>
      <c r="F304" s="116">
        <v>746.95</v>
      </c>
      <c r="G304">
        <v>101638</v>
      </c>
      <c r="H304" s="116"/>
      <c r="I304" s="116"/>
      <c r="L304" s="170">
        <v>45699</v>
      </c>
      <c r="M304" s="116">
        <v>746.7</v>
      </c>
      <c r="N304" s="116">
        <v>769.3</v>
      </c>
      <c r="O304" s="116">
        <v>745</v>
      </c>
      <c r="P304" s="116">
        <v>766</v>
      </c>
      <c r="Q304" s="116">
        <v>746.7</v>
      </c>
      <c r="R304">
        <v>643480</v>
      </c>
    </row>
    <row r="305" spans="1:18" x14ac:dyDescent="0.25">
      <c r="A305" s="170">
        <v>45700</v>
      </c>
      <c r="B305" s="116">
        <v>752.05</v>
      </c>
      <c r="C305" s="116">
        <v>738.95</v>
      </c>
      <c r="D305" s="116">
        <v>725.65</v>
      </c>
      <c r="E305" s="116">
        <v>746.15</v>
      </c>
      <c r="F305" s="116">
        <v>738.95</v>
      </c>
      <c r="G305">
        <v>114236</v>
      </c>
      <c r="H305" s="116"/>
      <c r="I305" s="116"/>
      <c r="L305" s="170">
        <v>45700</v>
      </c>
      <c r="M305" s="116">
        <v>738.55</v>
      </c>
      <c r="N305" s="116">
        <v>751.4</v>
      </c>
      <c r="O305" s="116">
        <v>725.3</v>
      </c>
      <c r="P305" s="116">
        <v>748.8</v>
      </c>
      <c r="Q305" s="116">
        <v>738.55</v>
      </c>
      <c r="R305">
        <v>832761</v>
      </c>
    </row>
    <row r="306" spans="1:18" x14ac:dyDescent="0.25">
      <c r="A306" s="170">
        <v>45701</v>
      </c>
      <c r="B306" s="116">
        <v>750.05</v>
      </c>
      <c r="C306" s="116">
        <v>738.1</v>
      </c>
      <c r="D306" s="116">
        <v>736.25</v>
      </c>
      <c r="E306" s="116">
        <v>738</v>
      </c>
      <c r="F306" s="116">
        <v>738.1</v>
      </c>
      <c r="G306">
        <v>88046</v>
      </c>
      <c r="H306" s="116"/>
      <c r="I306" s="116"/>
      <c r="L306" s="170">
        <v>45701</v>
      </c>
      <c r="M306" s="116">
        <v>737.9</v>
      </c>
      <c r="N306" s="116">
        <v>750.8</v>
      </c>
      <c r="O306" s="116">
        <v>736.1</v>
      </c>
      <c r="P306" s="116">
        <v>738.5</v>
      </c>
      <c r="Q306" s="116">
        <v>737.9</v>
      </c>
      <c r="R306">
        <v>492851</v>
      </c>
    </row>
    <row r="307" spans="1:18" x14ac:dyDescent="0.25">
      <c r="A307" s="170">
        <v>45702</v>
      </c>
      <c r="B307" s="116">
        <v>744.5</v>
      </c>
      <c r="C307" s="116">
        <v>733.8</v>
      </c>
      <c r="D307" s="116">
        <v>718</v>
      </c>
      <c r="E307" s="116">
        <v>738.35</v>
      </c>
      <c r="F307" s="116">
        <v>733.8</v>
      </c>
      <c r="G307">
        <v>120781</v>
      </c>
      <c r="H307" s="116"/>
      <c r="I307" s="116"/>
      <c r="L307" s="170">
        <v>45702</v>
      </c>
      <c r="M307" s="116">
        <v>733.85</v>
      </c>
      <c r="N307" s="116">
        <v>744.2</v>
      </c>
      <c r="O307" s="116">
        <v>718</v>
      </c>
      <c r="P307" s="116">
        <v>743.7</v>
      </c>
      <c r="Q307" s="116">
        <v>733.85</v>
      </c>
      <c r="R307">
        <v>774682</v>
      </c>
    </row>
    <row r="308" spans="1:18" x14ac:dyDescent="0.25">
      <c r="A308" s="170">
        <v>45705</v>
      </c>
      <c r="B308" s="116">
        <v>734.3</v>
      </c>
      <c r="C308" s="116">
        <v>721.25</v>
      </c>
      <c r="D308" s="116">
        <v>715.75</v>
      </c>
      <c r="E308" s="116">
        <v>733.75</v>
      </c>
      <c r="F308" s="116">
        <v>721.25</v>
      </c>
      <c r="G308">
        <v>61882</v>
      </c>
      <c r="H308" s="116"/>
      <c r="I308" s="116"/>
      <c r="L308" s="170">
        <v>45705</v>
      </c>
      <c r="M308" s="116">
        <v>720.95</v>
      </c>
      <c r="N308" s="116">
        <v>735</v>
      </c>
      <c r="O308" s="116">
        <v>715.5</v>
      </c>
      <c r="P308" s="116">
        <v>731</v>
      </c>
      <c r="Q308" s="116">
        <v>720.95</v>
      </c>
      <c r="R308">
        <v>905911</v>
      </c>
    </row>
    <row r="309" spans="1:18" x14ac:dyDescent="0.25">
      <c r="A309" s="170">
        <v>45706</v>
      </c>
      <c r="B309" s="116">
        <v>731.5</v>
      </c>
      <c r="C309" s="116">
        <v>721.05</v>
      </c>
      <c r="D309" s="116">
        <v>710.6</v>
      </c>
      <c r="E309" s="116">
        <v>723</v>
      </c>
      <c r="F309" s="116">
        <v>721.05</v>
      </c>
      <c r="G309">
        <v>115779</v>
      </c>
      <c r="H309" s="116"/>
      <c r="I309" s="116"/>
      <c r="L309" s="170">
        <v>45706</v>
      </c>
      <c r="M309" s="116">
        <v>721.3</v>
      </c>
      <c r="N309" s="116">
        <v>731.5</v>
      </c>
      <c r="O309" s="116">
        <v>711.2</v>
      </c>
      <c r="P309" s="116">
        <v>724.05</v>
      </c>
      <c r="Q309" s="116">
        <v>721.3</v>
      </c>
      <c r="R309">
        <v>789771</v>
      </c>
    </row>
    <row r="310" spans="1:18" x14ac:dyDescent="0.25">
      <c r="A310" s="170">
        <v>45707</v>
      </c>
      <c r="B310" s="116">
        <v>734.1</v>
      </c>
      <c r="C310" s="116">
        <v>729.75</v>
      </c>
      <c r="D310" s="116">
        <v>712.9</v>
      </c>
      <c r="E310" s="116">
        <v>720.75</v>
      </c>
      <c r="F310" s="116">
        <v>729.75</v>
      </c>
      <c r="G310">
        <v>64888</v>
      </c>
      <c r="H310" s="116"/>
      <c r="I310" s="116"/>
      <c r="L310" s="170">
        <v>45707</v>
      </c>
      <c r="M310" s="116">
        <v>729.65</v>
      </c>
      <c r="N310" s="116">
        <v>734.1</v>
      </c>
      <c r="O310" s="116">
        <v>712.55</v>
      </c>
      <c r="P310" s="116">
        <v>719.95</v>
      </c>
      <c r="Q310" s="116">
        <v>729.65</v>
      </c>
      <c r="R310">
        <v>728933</v>
      </c>
    </row>
    <row r="311" spans="1:18" x14ac:dyDescent="0.25">
      <c r="A311" s="170">
        <v>45708</v>
      </c>
      <c r="B311" s="116">
        <v>763.7</v>
      </c>
      <c r="C311" s="116">
        <v>748.05</v>
      </c>
      <c r="D311" s="116">
        <v>735</v>
      </c>
      <c r="E311" s="116">
        <v>735</v>
      </c>
      <c r="F311" s="116">
        <v>748.05</v>
      </c>
      <c r="G311">
        <v>178593</v>
      </c>
      <c r="H311" s="116"/>
      <c r="I311" s="116"/>
      <c r="L311" s="170">
        <v>45708</v>
      </c>
      <c r="M311" s="116">
        <v>748</v>
      </c>
      <c r="N311" s="116">
        <v>764</v>
      </c>
      <c r="O311" s="116">
        <v>735</v>
      </c>
      <c r="P311" s="116">
        <v>735</v>
      </c>
      <c r="Q311" s="116">
        <v>748</v>
      </c>
      <c r="R311">
        <v>2436661</v>
      </c>
    </row>
    <row r="312" spans="1:18" x14ac:dyDescent="0.25">
      <c r="A312" s="170">
        <v>45709</v>
      </c>
      <c r="B312" s="116">
        <v>758.5</v>
      </c>
      <c r="C312" s="116">
        <v>742.4</v>
      </c>
      <c r="D312" s="116">
        <v>740.95</v>
      </c>
      <c r="E312" s="116">
        <v>750.85</v>
      </c>
      <c r="F312" s="116">
        <v>742.4</v>
      </c>
      <c r="G312">
        <v>76988</v>
      </c>
      <c r="H312" s="116"/>
      <c r="I312" s="116"/>
      <c r="L312" s="170">
        <v>45709</v>
      </c>
      <c r="M312" s="116">
        <v>742.55</v>
      </c>
      <c r="N312" s="116">
        <v>758.45</v>
      </c>
      <c r="O312" s="116">
        <v>740.55</v>
      </c>
      <c r="P312" s="116">
        <v>747.95</v>
      </c>
      <c r="Q312" s="116">
        <v>742.55</v>
      </c>
      <c r="R312">
        <v>565582</v>
      </c>
    </row>
    <row r="313" spans="1:18" x14ac:dyDescent="0.25">
      <c r="A313" s="170">
        <v>45712</v>
      </c>
      <c r="B313" s="116">
        <v>740.05</v>
      </c>
      <c r="C313" s="116">
        <v>733.2</v>
      </c>
      <c r="D313" s="116">
        <v>732</v>
      </c>
      <c r="E313" s="116">
        <v>735.65</v>
      </c>
      <c r="F313" s="116">
        <v>733.2</v>
      </c>
      <c r="G313">
        <v>31585</v>
      </c>
      <c r="H313" s="116"/>
      <c r="I313" s="116"/>
      <c r="L313" s="170">
        <v>45712</v>
      </c>
      <c r="M313" s="116">
        <v>733.15</v>
      </c>
      <c r="N313" s="116">
        <v>741</v>
      </c>
      <c r="O313" s="116">
        <v>731.45</v>
      </c>
      <c r="P313" s="116">
        <v>740</v>
      </c>
      <c r="Q313" s="116">
        <v>733.15</v>
      </c>
      <c r="R313">
        <v>595866</v>
      </c>
    </row>
    <row r="314" spans="1:18" x14ac:dyDescent="0.25">
      <c r="A314" s="170">
        <v>45713</v>
      </c>
      <c r="B314" s="116">
        <v>737.45</v>
      </c>
      <c r="C314" s="116">
        <v>730.9</v>
      </c>
      <c r="D314" s="116">
        <v>723.75</v>
      </c>
      <c r="E314" s="116">
        <v>733</v>
      </c>
      <c r="F314" s="116">
        <v>730.9</v>
      </c>
      <c r="G314">
        <v>73504</v>
      </c>
      <c r="H314" s="116"/>
      <c r="I314" s="116"/>
      <c r="L314" s="170">
        <v>45713</v>
      </c>
      <c r="M314" s="116">
        <v>731.15</v>
      </c>
      <c r="N314" s="116">
        <v>736.8</v>
      </c>
      <c r="O314" s="116">
        <v>723.5</v>
      </c>
      <c r="P314" s="116">
        <v>732</v>
      </c>
      <c r="Q314" s="116">
        <v>731.15</v>
      </c>
      <c r="R314">
        <v>542643</v>
      </c>
    </row>
    <row r="315" spans="1:18" x14ac:dyDescent="0.25">
      <c r="A315" s="170">
        <v>45715</v>
      </c>
      <c r="B315" s="116">
        <v>728.9</v>
      </c>
      <c r="C315" s="116">
        <v>715.8</v>
      </c>
      <c r="D315" s="116">
        <v>712.5</v>
      </c>
      <c r="E315" s="116">
        <v>726</v>
      </c>
      <c r="F315" s="116">
        <v>715.8</v>
      </c>
      <c r="G315">
        <v>44312</v>
      </c>
      <c r="H315" s="116"/>
      <c r="I315" s="116"/>
      <c r="L315" s="170">
        <v>45715</v>
      </c>
      <c r="M315" s="116">
        <v>715.25</v>
      </c>
      <c r="N315" s="116">
        <v>729.9</v>
      </c>
      <c r="O315" s="116">
        <v>712.05</v>
      </c>
      <c r="P315" s="116">
        <v>725</v>
      </c>
      <c r="Q315" s="116">
        <v>715.25</v>
      </c>
      <c r="R315">
        <v>906397</v>
      </c>
    </row>
    <row r="316" spans="1:18" x14ac:dyDescent="0.25">
      <c r="A316" s="170">
        <v>45716</v>
      </c>
      <c r="B316" s="116">
        <v>708</v>
      </c>
      <c r="C316" s="116">
        <v>672.05</v>
      </c>
      <c r="D316" s="116">
        <v>664.6</v>
      </c>
      <c r="E316" s="116">
        <v>708</v>
      </c>
      <c r="F316" s="116">
        <v>672.05</v>
      </c>
      <c r="G316">
        <v>339992</v>
      </c>
      <c r="H316" s="116"/>
      <c r="I316" s="116"/>
      <c r="L316" s="170">
        <v>45716</v>
      </c>
      <c r="M316" s="116">
        <v>671.75</v>
      </c>
      <c r="N316" s="116">
        <v>708.95</v>
      </c>
      <c r="O316" s="116">
        <v>664.45</v>
      </c>
      <c r="P316" s="116">
        <v>700.5</v>
      </c>
      <c r="Q316" s="116">
        <v>671.75</v>
      </c>
      <c r="R316">
        <v>3334724</v>
      </c>
    </row>
    <row r="317" spans="1:18" x14ac:dyDescent="0.25">
      <c r="A317" s="170">
        <v>45719</v>
      </c>
      <c r="B317" s="116">
        <v>678</v>
      </c>
      <c r="C317" s="116">
        <v>665.8</v>
      </c>
      <c r="D317" s="116">
        <v>635.1</v>
      </c>
      <c r="E317" s="116">
        <v>675.8</v>
      </c>
      <c r="F317" s="116">
        <v>665.8</v>
      </c>
      <c r="G317">
        <v>250239</v>
      </c>
      <c r="H317" s="116"/>
      <c r="I317" s="116"/>
      <c r="L317" s="170">
        <v>45719</v>
      </c>
      <c r="M317" s="116">
        <v>666.25</v>
      </c>
      <c r="N317" s="116">
        <v>679.4</v>
      </c>
      <c r="O317" s="116">
        <v>634.54999999999995</v>
      </c>
      <c r="P317" s="116">
        <v>675.1</v>
      </c>
      <c r="Q317" s="116">
        <v>666.25</v>
      </c>
      <c r="R317">
        <v>2362959</v>
      </c>
    </row>
    <row r="318" spans="1:18" x14ac:dyDescent="0.25">
      <c r="A318" s="170">
        <v>45720</v>
      </c>
      <c r="B318" s="116">
        <v>676.9</v>
      </c>
      <c r="C318" s="116">
        <v>646.5</v>
      </c>
      <c r="D318" s="116">
        <v>645</v>
      </c>
      <c r="E318" s="116">
        <v>659.65</v>
      </c>
      <c r="F318" s="116">
        <v>646.5</v>
      </c>
      <c r="G318">
        <v>127087</v>
      </c>
      <c r="H318" s="116"/>
      <c r="I318" s="116"/>
      <c r="L318" s="170">
        <v>45720</v>
      </c>
      <c r="M318" s="116">
        <v>647</v>
      </c>
      <c r="N318" s="116">
        <v>677</v>
      </c>
      <c r="O318" s="116">
        <v>645</v>
      </c>
      <c r="P318" s="116">
        <v>657.1</v>
      </c>
      <c r="Q318" s="116">
        <v>647</v>
      </c>
      <c r="R318">
        <v>1905284</v>
      </c>
    </row>
    <row r="319" spans="1:18" x14ac:dyDescent="0.25">
      <c r="A319" s="170">
        <v>45721</v>
      </c>
      <c r="B319" s="116">
        <v>676.7</v>
      </c>
      <c r="C319" s="116">
        <v>674.2</v>
      </c>
      <c r="D319" s="116">
        <v>646.6</v>
      </c>
      <c r="E319" s="116">
        <v>646.6</v>
      </c>
      <c r="F319" s="116">
        <v>674.2</v>
      </c>
      <c r="G319">
        <v>110762</v>
      </c>
      <c r="H319" s="116"/>
      <c r="I319" s="116"/>
      <c r="L319" s="170">
        <v>45721</v>
      </c>
      <c r="M319" s="116">
        <v>674.4</v>
      </c>
      <c r="N319" s="116">
        <v>676.9</v>
      </c>
      <c r="O319" s="116">
        <v>647</v>
      </c>
      <c r="P319" s="116">
        <v>647</v>
      </c>
      <c r="Q319" s="116">
        <v>674.4</v>
      </c>
      <c r="R319">
        <v>1628269</v>
      </c>
    </row>
    <row r="320" spans="1:18" x14ac:dyDescent="0.25">
      <c r="A320" s="170">
        <v>45722</v>
      </c>
      <c r="B320" s="116">
        <v>684.65</v>
      </c>
      <c r="C320" s="116">
        <v>670.9</v>
      </c>
      <c r="D320" s="116">
        <v>669</v>
      </c>
      <c r="E320" s="116">
        <v>675.25</v>
      </c>
      <c r="F320" s="116">
        <v>670.9</v>
      </c>
      <c r="G320">
        <v>83211</v>
      </c>
      <c r="H320" s="116"/>
      <c r="I320" s="116"/>
      <c r="L320" s="170">
        <v>45722</v>
      </c>
      <c r="M320" s="116">
        <v>670.6</v>
      </c>
      <c r="N320" s="116">
        <v>684.4</v>
      </c>
      <c r="O320" s="116">
        <v>668.5</v>
      </c>
      <c r="P320" s="116">
        <v>682</v>
      </c>
      <c r="Q320" s="116">
        <v>670.6</v>
      </c>
      <c r="R320">
        <v>1332776</v>
      </c>
    </row>
    <row r="321" spans="1:18" x14ac:dyDescent="0.25">
      <c r="A321" s="170">
        <v>45723</v>
      </c>
      <c r="B321" s="116">
        <v>682.5</v>
      </c>
      <c r="C321" s="116">
        <v>671.45</v>
      </c>
      <c r="D321" s="116">
        <v>665.1</v>
      </c>
      <c r="E321" s="116">
        <v>672</v>
      </c>
      <c r="F321" s="116">
        <v>671.45</v>
      </c>
      <c r="G321">
        <v>177092</v>
      </c>
      <c r="H321" s="116"/>
      <c r="I321" s="116"/>
      <c r="L321" s="170">
        <v>45723</v>
      </c>
      <c r="M321" s="116">
        <v>671.55</v>
      </c>
      <c r="N321" s="116">
        <v>682.55</v>
      </c>
      <c r="O321" s="116">
        <v>665.05</v>
      </c>
      <c r="P321" s="116">
        <v>671</v>
      </c>
      <c r="Q321" s="116">
        <v>671.55</v>
      </c>
      <c r="R321">
        <v>1281819</v>
      </c>
    </row>
    <row r="322" spans="1:18" x14ac:dyDescent="0.25">
      <c r="A322" s="170">
        <v>45726</v>
      </c>
      <c r="B322" s="116">
        <v>676.2</v>
      </c>
      <c r="C322" s="116">
        <v>654.4</v>
      </c>
      <c r="D322" s="116">
        <v>650</v>
      </c>
      <c r="E322" s="116">
        <v>675</v>
      </c>
      <c r="F322" s="116">
        <v>654.4</v>
      </c>
      <c r="G322">
        <v>100603</v>
      </c>
      <c r="H322" s="116"/>
      <c r="I322" s="116"/>
      <c r="L322" s="170">
        <v>45726</v>
      </c>
      <c r="M322" s="116">
        <v>653.70000000000005</v>
      </c>
      <c r="N322" s="116">
        <v>676</v>
      </c>
      <c r="O322" s="116">
        <v>650</v>
      </c>
      <c r="P322" s="116">
        <v>674.45</v>
      </c>
      <c r="Q322" s="116">
        <v>653.70000000000005</v>
      </c>
      <c r="R322">
        <v>1147690</v>
      </c>
    </row>
    <row r="323" spans="1:18" x14ac:dyDescent="0.25">
      <c r="A323" s="170">
        <v>45727</v>
      </c>
      <c r="B323" s="116">
        <v>656.2</v>
      </c>
      <c r="C323" s="116">
        <v>646.95000000000005</v>
      </c>
      <c r="D323" s="116">
        <v>643.6</v>
      </c>
      <c r="E323" s="116">
        <v>650</v>
      </c>
      <c r="F323" s="116">
        <v>646.95000000000005</v>
      </c>
      <c r="G323">
        <v>147497</v>
      </c>
      <c r="H323" s="116"/>
      <c r="I323" s="116"/>
      <c r="L323" s="170">
        <v>45727</v>
      </c>
      <c r="M323" s="116">
        <v>646.79999999999995</v>
      </c>
      <c r="N323" s="116">
        <v>655.75</v>
      </c>
      <c r="O323" s="116">
        <v>643.70000000000005</v>
      </c>
      <c r="P323" s="116">
        <v>650</v>
      </c>
      <c r="Q323" s="116">
        <v>646.79999999999995</v>
      </c>
      <c r="R323">
        <v>1144801</v>
      </c>
    </row>
    <row r="324" spans="1:18" x14ac:dyDescent="0.25">
      <c r="A324" s="170">
        <v>45728</v>
      </c>
      <c r="B324" s="116">
        <v>654.20000000000005</v>
      </c>
      <c r="C324" s="116">
        <v>641.75</v>
      </c>
      <c r="D324" s="116">
        <v>635.1</v>
      </c>
      <c r="E324" s="116">
        <v>650.04999999999995</v>
      </c>
      <c r="F324" s="116">
        <v>641.75</v>
      </c>
      <c r="G324">
        <v>211229</v>
      </c>
      <c r="H324" s="116"/>
      <c r="I324" s="116"/>
      <c r="L324" s="170">
        <v>45728</v>
      </c>
      <c r="M324" s="116">
        <v>642.1</v>
      </c>
      <c r="N324" s="116">
        <v>653.6</v>
      </c>
      <c r="O324" s="116">
        <v>635.1</v>
      </c>
      <c r="P324" s="116">
        <v>651</v>
      </c>
      <c r="Q324" s="116">
        <v>642.1</v>
      </c>
      <c r="R324">
        <v>1421625</v>
      </c>
    </row>
    <row r="325" spans="1:18" x14ac:dyDescent="0.25">
      <c r="A325" s="170">
        <v>45729</v>
      </c>
      <c r="B325" s="116">
        <v>647</v>
      </c>
      <c r="C325" s="116">
        <v>636.54999999999995</v>
      </c>
      <c r="D325" s="116">
        <v>630</v>
      </c>
      <c r="E325" s="116">
        <v>644.25</v>
      </c>
      <c r="F325" s="116">
        <v>636.54999999999995</v>
      </c>
      <c r="G325">
        <v>101004</v>
      </c>
      <c r="H325" s="116"/>
      <c r="I325" s="116"/>
      <c r="L325" s="170">
        <v>45729</v>
      </c>
      <c r="M325" s="116">
        <v>636.79999999999995</v>
      </c>
      <c r="N325" s="116">
        <v>647.04999999999995</v>
      </c>
      <c r="O325" s="116">
        <v>630.20000000000005</v>
      </c>
      <c r="P325" s="116">
        <v>645</v>
      </c>
      <c r="Q325" s="116">
        <v>636.79999999999995</v>
      </c>
      <c r="R325">
        <v>1582003</v>
      </c>
    </row>
    <row r="326" spans="1:18" x14ac:dyDescent="0.25">
      <c r="A326" s="170">
        <v>45733</v>
      </c>
      <c r="B326" s="116">
        <v>642.95000000000005</v>
      </c>
      <c r="C326" s="116">
        <v>628.75</v>
      </c>
      <c r="D326" s="116">
        <v>626.9</v>
      </c>
      <c r="E326" s="116">
        <v>638.85</v>
      </c>
      <c r="F326" s="116">
        <v>628.75</v>
      </c>
      <c r="G326">
        <v>78010</v>
      </c>
      <c r="H326" s="116"/>
      <c r="I326" s="116"/>
      <c r="L326" s="170">
        <v>45733</v>
      </c>
      <c r="M326" s="116">
        <v>628.45000000000005</v>
      </c>
      <c r="N326" s="116">
        <v>642.9</v>
      </c>
      <c r="O326" s="116">
        <v>626.65</v>
      </c>
      <c r="P326" s="116">
        <v>636.79999999999995</v>
      </c>
      <c r="Q326" s="116">
        <v>628.45000000000005</v>
      </c>
      <c r="R326">
        <v>1836942</v>
      </c>
    </row>
    <row r="327" spans="1:18" x14ac:dyDescent="0.25">
      <c r="A327" s="170">
        <v>45734</v>
      </c>
      <c r="B327" s="116">
        <v>652.1</v>
      </c>
      <c r="C327" s="116">
        <v>648.35</v>
      </c>
      <c r="D327" s="116">
        <v>630.70000000000005</v>
      </c>
      <c r="E327" s="116">
        <v>630.70000000000005</v>
      </c>
      <c r="F327" s="116">
        <v>648.35</v>
      </c>
      <c r="G327">
        <v>209751</v>
      </c>
      <c r="H327" s="116"/>
      <c r="I327" s="116"/>
      <c r="L327" s="170">
        <v>45734</v>
      </c>
      <c r="M327" s="116">
        <v>648.04999999999995</v>
      </c>
      <c r="N327" s="116">
        <v>652.9</v>
      </c>
      <c r="O327" s="116">
        <v>631.65</v>
      </c>
      <c r="P327" s="116">
        <v>632</v>
      </c>
      <c r="Q327" s="116">
        <v>648.04999999999995</v>
      </c>
      <c r="R327">
        <v>1614250</v>
      </c>
    </row>
    <row r="328" spans="1:18" x14ac:dyDescent="0.25">
      <c r="A328" s="170">
        <v>45735</v>
      </c>
      <c r="B328" s="116">
        <v>676.3</v>
      </c>
      <c r="C328" s="116">
        <v>671.25</v>
      </c>
      <c r="D328" s="116">
        <v>646.04999999999995</v>
      </c>
      <c r="E328" s="116">
        <v>649.95000000000005</v>
      </c>
      <c r="F328" s="116">
        <v>671.25</v>
      </c>
      <c r="G328">
        <v>216712</v>
      </c>
      <c r="H328" s="116"/>
      <c r="I328" s="116"/>
      <c r="L328" s="170">
        <v>45735</v>
      </c>
      <c r="M328" s="116">
        <v>671.3</v>
      </c>
      <c r="N328" s="116">
        <v>676.7</v>
      </c>
      <c r="O328" s="116">
        <v>646.1</v>
      </c>
      <c r="P328" s="116">
        <v>648.04999999999995</v>
      </c>
      <c r="Q328" s="116">
        <v>671.3</v>
      </c>
      <c r="R328">
        <v>1830368</v>
      </c>
    </row>
    <row r="329" spans="1:18" x14ac:dyDescent="0.25">
      <c r="A329" s="170">
        <v>45736</v>
      </c>
      <c r="B329" s="116">
        <v>680.75</v>
      </c>
      <c r="C329" s="116">
        <v>665.45</v>
      </c>
      <c r="D329" s="116">
        <v>664</v>
      </c>
      <c r="E329" s="116">
        <v>680.75</v>
      </c>
      <c r="F329" s="116">
        <v>665.45</v>
      </c>
      <c r="G329">
        <v>110431</v>
      </c>
      <c r="H329" s="116"/>
      <c r="I329" s="116"/>
      <c r="L329" s="170">
        <v>45736</v>
      </c>
      <c r="M329" s="116">
        <v>665.95</v>
      </c>
      <c r="N329" s="116">
        <v>682</v>
      </c>
      <c r="O329" s="116">
        <v>665</v>
      </c>
      <c r="P329" s="116">
        <v>680</v>
      </c>
      <c r="Q329" s="116">
        <v>665.95</v>
      </c>
      <c r="R329">
        <v>1459554</v>
      </c>
    </row>
    <row r="330" spans="1:18" x14ac:dyDescent="0.25">
      <c r="A330" s="170">
        <v>45737</v>
      </c>
      <c r="B330" s="116">
        <v>706.65</v>
      </c>
      <c r="C330" s="116">
        <v>685.55</v>
      </c>
      <c r="D330" s="116">
        <v>666.65</v>
      </c>
      <c r="E330" s="116">
        <v>669.2</v>
      </c>
      <c r="F330" s="116">
        <v>685.55</v>
      </c>
      <c r="G330">
        <v>197333</v>
      </c>
      <c r="H330" s="116"/>
      <c r="I330" s="116"/>
      <c r="L330" s="170">
        <v>45737</v>
      </c>
      <c r="M330" s="116">
        <v>685.75</v>
      </c>
      <c r="N330" s="116">
        <v>706.3</v>
      </c>
      <c r="O330" s="116">
        <v>665.9</v>
      </c>
      <c r="P330" s="116">
        <v>668.65</v>
      </c>
      <c r="Q330" s="116">
        <v>685.75</v>
      </c>
      <c r="R330">
        <v>4158476</v>
      </c>
    </row>
    <row r="331" spans="1:18" x14ac:dyDescent="0.25">
      <c r="A331" s="170">
        <v>45740</v>
      </c>
      <c r="B331" s="116">
        <v>709</v>
      </c>
      <c r="C331" s="116">
        <v>698.6</v>
      </c>
      <c r="D331" s="116">
        <v>688.95</v>
      </c>
      <c r="E331" s="116">
        <v>690</v>
      </c>
      <c r="F331" s="116">
        <v>698.6</v>
      </c>
      <c r="G331">
        <v>116804</v>
      </c>
      <c r="H331" s="116"/>
      <c r="I331" s="116"/>
      <c r="L331" s="170">
        <v>45740</v>
      </c>
      <c r="M331" s="116">
        <v>698.7</v>
      </c>
      <c r="N331" s="116">
        <v>709.2</v>
      </c>
      <c r="O331" s="116">
        <v>688.15</v>
      </c>
      <c r="P331" s="116">
        <v>689.95</v>
      </c>
      <c r="Q331" s="116">
        <v>698.7</v>
      </c>
      <c r="R331">
        <v>2289747</v>
      </c>
    </row>
    <row r="332" spans="1:18" x14ac:dyDescent="0.25">
      <c r="A332" s="170">
        <v>45741</v>
      </c>
      <c r="B332" s="116">
        <v>728.5</v>
      </c>
      <c r="C332" s="116">
        <v>698.1</v>
      </c>
      <c r="D332" s="116">
        <v>694.95</v>
      </c>
      <c r="E332" s="116">
        <v>711</v>
      </c>
      <c r="F332" s="116">
        <v>698.1</v>
      </c>
      <c r="G332">
        <v>209629</v>
      </c>
      <c r="H332" s="116"/>
      <c r="I332" s="116"/>
      <c r="L332" s="170">
        <v>45741</v>
      </c>
      <c r="M332" s="116">
        <v>698.3</v>
      </c>
      <c r="N332" s="116">
        <v>728.75</v>
      </c>
      <c r="O332" s="116">
        <v>695</v>
      </c>
      <c r="P332" s="116">
        <v>708.7</v>
      </c>
      <c r="Q332" s="116">
        <v>698.3</v>
      </c>
      <c r="R332">
        <v>4612048</v>
      </c>
    </row>
    <row r="333" spans="1:18" x14ac:dyDescent="0.25">
      <c r="A333" s="170">
        <v>45742</v>
      </c>
      <c r="B333" s="116">
        <v>706.15</v>
      </c>
      <c r="C333" s="116">
        <v>699.9</v>
      </c>
      <c r="D333" s="116">
        <v>687.65</v>
      </c>
      <c r="E333" s="116">
        <v>700.05</v>
      </c>
      <c r="F333" s="116">
        <v>699.9</v>
      </c>
      <c r="G333">
        <v>195478</v>
      </c>
      <c r="H333" s="116"/>
      <c r="I333" s="116"/>
      <c r="L333" s="170">
        <v>45742</v>
      </c>
      <c r="M333" s="116">
        <v>700.1</v>
      </c>
      <c r="N333" s="116">
        <v>706.55</v>
      </c>
      <c r="O333" s="116">
        <v>687.6</v>
      </c>
      <c r="P333" s="116">
        <v>703</v>
      </c>
      <c r="Q333" s="116">
        <v>700.1</v>
      </c>
      <c r="R333">
        <v>2490867</v>
      </c>
    </row>
    <row r="334" spans="1:18" x14ac:dyDescent="0.25">
      <c r="A334" s="170">
        <v>45743</v>
      </c>
      <c r="B334" s="116">
        <v>694.8</v>
      </c>
      <c r="C334" s="116">
        <v>687.25</v>
      </c>
      <c r="D334" s="116">
        <v>680.7</v>
      </c>
      <c r="E334" s="116">
        <v>689.65</v>
      </c>
      <c r="F334" s="116">
        <v>687.25</v>
      </c>
      <c r="G334">
        <v>182829</v>
      </c>
      <c r="H334" s="116"/>
      <c r="I334" s="116"/>
      <c r="L334" s="170">
        <v>45743</v>
      </c>
      <c r="M334" s="116">
        <v>687.15</v>
      </c>
      <c r="N334" s="116">
        <v>694.7</v>
      </c>
      <c r="O334" s="116">
        <v>681</v>
      </c>
      <c r="P334" s="116">
        <v>687</v>
      </c>
      <c r="Q334" s="116">
        <v>687.15</v>
      </c>
      <c r="R334">
        <v>2902393</v>
      </c>
    </row>
    <row r="335" spans="1:18" x14ac:dyDescent="0.25">
      <c r="A335" s="170">
        <v>45744</v>
      </c>
      <c r="B335" s="116">
        <v>697.7</v>
      </c>
      <c r="C335" s="116">
        <v>678.25</v>
      </c>
      <c r="D335" s="116">
        <v>674</v>
      </c>
      <c r="E335" s="116">
        <v>687.3</v>
      </c>
      <c r="F335" s="116">
        <v>678.25</v>
      </c>
      <c r="G335">
        <v>376923</v>
      </c>
      <c r="H335" s="116"/>
      <c r="I335" s="116"/>
      <c r="L335" s="170">
        <v>45744</v>
      </c>
      <c r="M335" s="116">
        <v>679.9</v>
      </c>
      <c r="N335" s="116">
        <v>698</v>
      </c>
      <c r="O335" s="116">
        <v>673.55</v>
      </c>
      <c r="P335" s="116">
        <v>688.95</v>
      </c>
      <c r="Q335" s="116">
        <v>679.9</v>
      </c>
      <c r="R335">
        <v>2185464</v>
      </c>
    </row>
    <row r="336" spans="1:18" x14ac:dyDescent="0.25">
      <c r="A336" s="170">
        <v>45748</v>
      </c>
      <c r="B336" s="116">
        <v>690.2</v>
      </c>
      <c r="C336" s="116">
        <v>687.25</v>
      </c>
      <c r="D336" s="116">
        <v>674.55</v>
      </c>
      <c r="E336" s="116">
        <v>683.9</v>
      </c>
      <c r="F336" s="116">
        <v>687.25</v>
      </c>
      <c r="G336">
        <v>109104</v>
      </c>
      <c r="H336" s="116"/>
      <c r="I336" s="116"/>
      <c r="L336" s="170">
        <v>45748</v>
      </c>
      <c r="M336" s="116">
        <v>687.05</v>
      </c>
      <c r="N336" s="116">
        <v>690.95</v>
      </c>
      <c r="O336" s="116">
        <v>674.7</v>
      </c>
      <c r="P336" s="116">
        <v>677.9</v>
      </c>
      <c r="Q336" s="116">
        <v>687.05</v>
      </c>
      <c r="R336">
        <v>1618830</v>
      </c>
    </row>
    <row r="337" spans="1:18" x14ac:dyDescent="0.25">
      <c r="A337" s="170">
        <v>45749</v>
      </c>
      <c r="B337" s="116">
        <v>689.85</v>
      </c>
      <c r="C337" s="116">
        <v>688.15</v>
      </c>
      <c r="D337" s="116">
        <v>675</v>
      </c>
      <c r="E337" s="116">
        <v>689.85</v>
      </c>
      <c r="F337" s="116">
        <v>688.15</v>
      </c>
      <c r="G337">
        <v>152223</v>
      </c>
      <c r="H337" s="116"/>
      <c r="I337" s="116"/>
      <c r="L337" s="170">
        <v>45749</v>
      </c>
      <c r="M337" s="116">
        <v>687.85</v>
      </c>
      <c r="N337" s="116">
        <v>690</v>
      </c>
      <c r="O337" s="116">
        <v>675.05</v>
      </c>
      <c r="P337" s="116">
        <v>687</v>
      </c>
      <c r="Q337" s="116">
        <v>687.85</v>
      </c>
      <c r="R337">
        <v>866567</v>
      </c>
    </row>
    <row r="338" spans="1:18" x14ac:dyDescent="0.25">
      <c r="A338" s="170">
        <v>45750</v>
      </c>
      <c r="B338" s="116">
        <v>691</v>
      </c>
      <c r="C338" s="116">
        <v>680.15</v>
      </c>
      <c r="D338" s="116">
        <v>677.25</v>
      </c>
      <c r="E338" s="116">
        <v>686.55</v>
      </c>
      <c r="F338" s="116">
        <v>680.15</v>
      </c>
      <c r="G338">
        <v>92738</v>
      </c>
      <c r="H338" s="116"/>
      <c r="I338" s="116"/>
      <c r="L338" s="170">
        <v>45750</v>
      </c>
      <c r="M338" s="116">
        <v>680.05</v>
      </c>
      <c r="N338" s="116">
        <v>691</v>
      </c>
      <c r="O338" s="116">
        <v>677.45</v>
      </c>
      <c r="P338" s="116">
        <v>684.85</v>
      </c>
      <c r="Q338" s="116">
        <v>680.05</v>
      </c>
      <c r="R338">
        <v>1107386</v>
      </c>
    </row>
    <row r="339" spans="1:18" x14ac:dyDescent="0.25">
      <c r="A339" s="170">
        <v>45751</v>
      </c>
      <c r="B339" s="116">
        <v>680.7</v>
      </c>
      <c r="C339" s="116">
        <v>648.95000000000005</v>
      </c>
      <c r="D339" s="116">
        <v>642.54999999999995</v>
      </c>
      <c r="E339" s="116">
        <v>676.4</v>
      </c>
      <c r="F339" s="116">
        <v>648.95000000000005</v>
      </c>
      <c r="G339">
        <v>211690</v>
      </c>
      <c r="H339" s="116"/>
      <c r="I339" s="116"/>
      <c r="L339" s="170">
        <v>45751</v>
      </c>
      <c r="M339" s="116">
        <v>648.70000000000005</v>
      </c>
      <c r="N339" s="116">
        <v>681.9</v>
      </c>
      <c r="O339" s="116">
        <v>642</v>
      </c>
      <c r="P339" s="116">
        <v>678</v>
      </c>
      <c r="Q339" s="116">
        <v>648.70000000000005</v>
      </c>
      <c r="R339">
        <v>2136268</v>
      </c>
    </row>
    <row r="340" spans="1:18" x14ac:dyDescent="0.25">
      <c r="A340" s="170">
        <v>45754</v>
      </c>
      <c r="B340" s="116">
        <v>618.04999999999995</v>
      </c>
      <c r="C340" s="116">
        <v>608.75</v>
      </c>
      <c r="D340" s="116">
        <v>595.04999999999995</v>
      </c>
      <c r="E340" s="116">
        <v>595.04999999999995</v>
      </c>
      <c r="F340" s="116">
        <v>608.75</v>
      </c>
      <c r="G340">
        <v>301462</v>
      </c>
      <c r="H340" s="116"/>
      <c r="I340" s="116"/>
      <c r="L340" s="170">
        <v>45754</v>
      </c>
      <c r="M340" s="116">
        <v>608.4</v>
      </c>
      <c r="N340" s="116">
        <v>618.20000000000005</v>
      </c>
      <c r="O340" s="116">
        <v>597</v>
      </c>
      <c r="P340" s="116">
        <v>602</v>
      </c>
      <c r="Q340" s="116">
        <v>608.4</v>
      </c>
      <c r="R340">
        <v>2470876</v>
      </c>
    </row>
    <row r="341" spans="1:18" x14ac:dyDescent="0.25">
      <c r="A341" s="170">
        <v>45755</v>
      </c>
      <c r="B341" s="116">
        <v>632.5</v>
      </c>
      <c r="C341" s="116">
        <v>614.9</v>
      </c>
      <c r="D341" s="116">
        <v>611.54999999999995</v>
      </c>
      <c r="E341" s="116">
        <v>623.54999999999995</v>
      </c>
      <c r="F341" s="116">
        <v>614.9</v>
      </c>
      <c r="G341">
        <v>146501</v>
      </c>
      <c r="H341" s="116"/>
      <c r="I341" s="116"/>
      <c r="L341" s="170">
        <v>45755</v>
      </c>
      <c r="M341" s="116">
        <v>615.85</v>
      </c>
      <c r="N341" s="116">
        <v>632.70000000000005</v>
      </c>
      <c r="O341" s="116">
        <v>611.35</v>
      </c>
      <c r="P341" s="116">
        <v>625</v>
      </c>
      <c r="Q341" s="116">
        <v>615.85</v>
      </c>
      <c r="R341">
        <v>1276218</v>
      </c>
    </row>
    <row r="342" spans="1:18" x14ac:dyDescent="0.25">
      <c r="A342" s="170">
        <v>45756</v>
      </c>
      <c r="B342" s="116">
        <v>616.79999999999995</v>
      </c>
      <c r="C342" s="116">
        <v>612.9</v>
      </c>
      <c r="D342" s="116">
        <v>599.20000000000005</v>
      </c>
      <c r="E342" s="116">
        <v>616.79999999999995</v>
      </c>
      <c r="F342" s="116">
        <v>612.9</v>
      </c>
      <c r="G342">
        <v>78376</v>
      </c>
      <c r="H342" s="116"/>
      <c r="I342" s="116"/>
      <c r="L342" s="170">
        <v>45756</v>
      </c>
      <c r="M342" s="116">
        <v>613.15</v>
      </c>
      <c r="N342" s="116">
        <v>617.85</v>
      </c>
      <c r="O342" s="116">
        <v>599</v>
      </c>
      <c r="P342" s="116">
        <v>615.85</v>
      </c>
      <c r="Q342" s="116">
        <v>613.15</v>
      </c>
      <c r="R342">
        <v>1581175</v>
      </c>
    </row>
    <row r="343" spans="1:18" x14ac:dyDescent="0.25">
      <c r="A343" s="170">
        <v>45758</v>
      </c>
      <c r="B343" s="116">
        <v>638.5</v>
      </c>
      <c r="C343" s="116">
        <v>632.4</v>
      </c>
      <c r="D343" s="116">
        <v>619</v>
      </c>
      <c r="E343" s="116">
        <v>638.5</v>
      </c>
      <c r="F343" s="116">
        <v>632.4</v>
      </c>
      <c r="G343">
        <v>55410</v>
      </c>
      <c r="H343" s="116"/>
      <c r="I343" s="116"/>
      <c r="L343" s="170">
        <v>45758</v>
      </c>
      <c r="M343" s="116">
        <v>632.04999999999995</v>
      </c>
      <c r="N343" s="116">
        <v>634</v>
      </c>
      <c r="O343" s="116">
        <v>618.6</v>
      </c>
      <c r="P343" s="116">
        <v>633.95000000000005</v>
      </c>
      <c r="Q343" s="116">
        <v>632.04999999999995</v>
      </c>
      <c r="R343">
        <v>1237867</v>
      </c>
    </row>
    <row r="344" spans="1:18" x14ac:dyDescent="0.25">
      <c r="A344" s="170">
        <v>45762</v>
      </c>
      <c r="B344" s="116">
        <v>655</v>
      </c>
      <c r="C344" s="116">
        <v>650.9</v>
      </c>
      <c r="D344" s="116">
        <v>636.35</v>
      </c>
      <c r="E344" s="116">
        <v>639.95000000000005</v>
      </c>
      <c r="F344" s="116">
        <v>650.9</v>
      </c>
      <c r="G344">
        <v>122140</v>
      </c>
      <c r="H344" s="116"/>
      <c r="I344" s="116"/>
      <c r="L344" s="170">
        <v>45762</v>
      </c>
      <c r="M344" s="116">
        <v>650.45000000000005</v>
      </c>
      <c r="N344" s="116">
        <v>655.5</v>
      </c>
      <c r="O344" s="116">
        <v>637</v>
      </c>
      <c r="P344" s="116">
        <v>637.85</v>
      </c>
      <c r="Q344" s="116">
        <v>650.45000000000005</v>
      </c>
      <c r="R344">
        <v>1136518</v>
      </c>
    </row>
    <row r="345" spans="1:18" x14ac:dyDescent="0.25">
      <c r="A345" s="170">
        <v>45763</v>
      </c>
      <c r="B345" s="116">
        <v>657.85</v>
      </c>
      <c r="C345" s="116">
        <v>654.35</v>
      </c>
      <c r="D345" s="116">
        <v>648</v>
      </c>
      <c r="E345" s="116">
        <v>657.85</v>
      </c>
      <c r="F345" s="116">
        <v>654.35</v>
      </c>
      <c r="G345">
        <v>108230</v>
      </c>
      <c r="H345" s="116"/>
      <c r="I345" s="116"/>
      <c r="L345" s="170">
        <v>45763</v>
      </c>
      <c r="M345" s="116">
        <v>653.79999999999995</v>
      </c>
      <c r="N345" s="116">
        <v>656.8</v>
      </c>
      <c r="O345" s="116">
        <v>647.5</v>
      </c>
      <c r="P345" s="116">
        <v>654</v>
      </c>
      <c r="Q345" s="116">
        <v>653.79999999999995</v>
      </c>
      <c r="R345">
        <v>842461</v>
      </c>
    </row>
    <row r="346" spans="1:18" x14ac:dyDescent="0.25">
      <c r="A346" s="170">
        <v>45764</v>
      </c>
      <c r="B346" s="116">
        <v>656.25</v>
      </c>
      <c r="C346" s="116">
        <v>651.70000000000005</v>
      </c>
      <c r="D346" s="116">
        <v>648.20000000000005</v>
      </c>
      <c r="E346" s="116">
        <v>653.75</v>
      </c>
      <c r="F346" s="116">
        <v>651.70000000000005</v>
      </c>
      <c r="G346">
        <v>116640</v>
      </c>
      <c r="H346" s="116"/>
      <c r="I346" s="116"/>
      <c r="L346" s="170">
        <v>45764</v>
      </c>
      <c r="M346" s="116">
        <v>651.5</v>
      </c>
      <c r="N346" s="116">
        <v>656.7</v>
      </c>
      <c r="O346" s="116">
        <v>648.35</v>
      </c>
      <c r="P346" s="116">
        <v>650.95000000000005</v>
      </c>
      <c r="Q346" s="116">
        <v>651.5</v>
      </c>
      <c r="R346">
        <v>931823</v>
      </c>
    </row>
    <row r="347" spans="1:18" x14ac:dyDescent="0.25">
      <c r="A347" s="170">
        <v>45768</v>
      </c>
      <c r="B347" s="116">
        <v>686.5</v>
      </c>
      <c r="C347" s="116">
        <v>683.65</v>
      </c>
      <c r="D347" s="116">
        <v>654.4</v>
      </c>
      <c r="E347" s="116">
        <v>654.4</v>
      </c>
      <c r="F347" s="116">
        <v>683.65</v>
      </c>
      <c r="G347">
        <v>251296</v>
      </c>
      <c r="H347" s="116"/>
      <c r="I347" s="116"/>
      <c r="L347" s="170">
        <v>45768</v>
      </c>
      <c r="M347" s="116">
        <v>683.95</v>
      </c>
      <c r="N347" s="116">
        <v>686.75</v>
      </c>
      <c r="O347" s="116">
        <v>655</v>
      </c>
      <c r="P347" s="116">
        <v>655</v>
      </c>
      <c r="Q347" s="116">
        <v>683.95</v>
      </c>
      <c r="R347">
        <v>2379038</v>
      </c>
    </row>
    <row r="348" spans="1:18" x14ac:dyDescent="0.25">
      <c r="A348" s="170">
        <v>45769</v>
      </c>
      <c r="B348" s="116">
        <v>711.35</v>
      </c>
      <c r="C348" s="116">
        <v>705.8</v>
      </c>
      <c r="D348" s="116">
        <v>679.85</v>
      </c>
      <c r="E348" s="116">
        <v>691.8</v>
      </c>
      <c r="F348" s="116">
        <v>705.8</v>
      </c>
      <c r="G348">
        <v>187741</v>
      </c>
      <c r="H348" s="116"/>
      <c r="I348" s="116"/>
      <c r="L348" s="170">
        <v>45769</v>
      </c>
      <c r="M348" s="116">
        <v>705.75</v>
      </c>
      <c r="N348" s="116">
        <v>711.8</v>
      </c>
      <c r="O348" s="116">
        <v>679</v>
      </c>
      <c r="P348" s="116">
        <v>690.05</v>
      </c>
      <c r="Q348" s="116">
        <v>705.75</v>
      </c>
      <c r="R348">
        <v>3221069</v>
      </c>
    </row>
    <row r="349" spans="1:18" x14ac:dyDescent="0.25">
      <c r="A349" s="170">
        <v>45770</v>
      </c>
      <c r="B349" s="116">
        <v>726.8</v>
      </c>
      <c r="C349" s="116">
        <v>720.4</v>
      </c>
      <c r="D349" s="116">
        <v>711.8</v>
      </c>
      <c r="E349" s="116">
        <v>714.8</v>
      </c>
      <c r="F349" s="116">
        <v>720.4</v>
      </c>
      <c r="G349">
        <v>256059</v>
      </c>
      <c r="H349" s="116"/>
      <c r="I349" s="116"/>
      <c r="L349" s="170">
        <v>45770</v>
      </c>
      <c r="M349" s="116">
        <v>720.5</v>
      </c>
      <c r="N349" s="116">
        <v>726.85</v>
      </c>
      <c r="O349" s="116">
        <v>711.8</v>
      </c>
      <c r="P349" s="116">
        <v>715.5</v>
      </c>
      <c r="Q349" s="116">
        <v>720.5</v>
      </c>
      <c r="R349">
        <v>2737947</v>
      </c>
    </row>
    <row r="350" spans="1:18" x14ac:dyDescent="0.25">
      <c r="A350" s="170">
        <v>45771</v>
      </c>
      <c r="B350" s="116">
        <v>731.5</v>
      </c>
      <c r="C350" s="116">
        <v>717.2</v>
      </c>
      <c r="D350" s="116">
        <v>715.55</v>
      </c>
      <c r="E350" s="116">
        <v>725.05</v>
      </c>
      <c r="F350" s="116">
        <v>717.2</v>
      </c>
      <c r="G350">
        <v>131622</v>
      </c>
      <c r="H350" s="116"/>
      <c r="I350" s="116"/>
      <c r="L350" s="170">
        <v>45771</v>
      </c>
      <c r="M350" s="116">
        <v>717.2</v>
      </c>
      <c r="N350" s="116">
        <v>731.75</v>
      </c>
      <c r="O350" s="116">
        <v>715</v>
      </c>
      <c r="P350" s="116">
        <v>725</v>
      </c>
      <c r="Q350" s="116">
        <v>717.2</v>
      </c>
      <c r="R350">
        <v>1858600</v>
      </c>
    </row>
    <row r="351" spans="1:18" x14ac:dyDescent="0.25">
      <c r="A351" s="170">
        <v>45772</v>
      </c>
      <c r="B351" s="116">
        <v>724.65</v>
      </c>
      <c r="C351" s="116">
        <v>693.25</v>
      </c>
      <c r="D351" s="116">
        <v>689.7</v>
      </c>
      <c r="E351" s="116">
        <v>720.15</v>
      </c>
      <c r="F351" s="116">
        <v>693.25</v>
      </c>
      <c r="G351">
        <v>250568</v>
      </c>
      <c r="H351" s="116"/>
      <c r="I351" s="116"/>
      <c r="L351" s="170">
        <v>45772</v>
      </c>
      <c r="M351" s="116">
        <v>693.2</v>
      </c>
      <c r="N351" s="116">
        <v>724</v>
      </c>
      <c r="O351" s="116">
        <v>688.75</v>
      </c>
      <c r="P351" s="116">
        <v>722.65</v>
      </c>
      <c r="Q351" s="116">
        <v>693.2</v>
      </c>
      <c r="R351">
        <v>1658895</v>
      </c>
    </row>
    <row r="352" spans="1:18" x14ac:dyDescent="0.25">
      <c r="A352" s="170">
        <v>45775</v>
      </c>
      <c r="B352" s="116">
        <v>712.25</v>
      </c>
      <c r="C352" s="116">
        <v>705.95</v>
      </c>
      <c r="D352" s="116">
        <v>687</v>
      </c>
      <c r="E352" s="116">
        <v>690.55</v>
      </c>
      <c r="F352" s="116">
        <v>705.95</v>
      </c>
      <c r="G352">
        <v>247117</v>
      </c>
      <c r="H352" s="116"/>
      <c r="I352" s="116"/>
      <c r="L352" s="170">
        <v>45775</v>
      </c>
      <c r="M352" s="116">
        <v>705.6</v>
      </c>
      <c r="N352" s="116">
        <v>712.35</v>
      </c>
      <c r="O352" s="116">
        <v>686.6</v>
      </c>
      <c r="P352" s="116">
        <v>693.35</v>
      </c>
      <c r="Q352" s="116">
        <v>705.6</v>
      </c>
      <c r="R352">
        <v>1714693</v>
      </c>
    </row>
    <row r="353" spans="1:18" x14ac:dyDescent="0.25">
      <c r="A353" s="170">
        <v>45776</v>
      </c>
      <c r="B353" s="116">
        <v>692.3</v>
      </c>
      <c r="C353" s="116">
        <v>663.25</v>
      </c>
      <c r="D353" s="116">
        <v>661.85</v>
      </c>
      <c r="E353" s="116">
        <v>685</v>
      </c>
      <c r="F353" s="116">
        <v>663.25</v>
      </c>
      <c r="G353">
        <v>6839795</v>
      </c>
      <c r="H353" s="116"/>
      <c r="I353" s="116"/>
      <c r="L353" s="170">
        <v>45776</v>
      </c>
      <c r="M353" s="116">
        <v>663.7</v>
      </c>
      <c r="N353" s="116">
        <v>692.4</v>
      </c>
      <c r="O353" s="116">
        <v>662.15</v>
      </c>
      <c r="P353" s="116">
        <v>685</v>
      </c>
      <c r="Q353" s="116">
        <v>663.7</v>
      </c>
      <c r="R353">
        <v>45313207</v>
      </c>
    </row>
    <row r="354" spans="1:18" x14ac:dyDescent="0.25">
      <c r="A354" s="170">
        <v>45777</v>
      </c>
      <c r="B354" s="116">
        <v>667.75</v>
      </c>
      <c r="C354" s="116">
        <v>658.05</v>
      </c>
      <c r="D354" s="116">
        <v>655.5</v>
      </c>
      <c r="E354" s="116">
        <v>664.45</v>
      </c>
      <c r="F354" s="116">
        <v>658.05</v>
      </c>
      <c r="G354">
        <v>171245</v>
      </c>
      <c r="H354" s="116"/>
      <c r="I354" s="116"/>
      <c r="L354" s="170">
        <v>45777</v>
      </c>
      <c r="M354" s="116">
        <v>657.85</v>
      </c>
      <c r="N354" s="116">
        <v>667.8</v>
      </c>
      <c r="O354" s="116">
        <v>655.35</v>
      </c>
      <c r="P354" s="116">
        <v>663</v>
      </c>
      <c r="Q354" s="116">
        <v>657.85</v>
      </c>
      <c r="R354">
        <v>3045604</v>
      </c>
    </row>
    <row r="355" spans="1:18" x14ac:dyDescent="0.25">
      <c r="A355" s="170">
        <v>45779</v>
      </c>
      <c r="B355" s="116">
        <v>665.8</v>
      </c>
      <c r="C355" s="116">
        <v>646.85</v>
      </c>
      <c r="D355" s="116">
        <v>645.20000000000005</v>
      </c>
      <c r="E355" s="116">
        <v>658</v>
      </c>
      <c r="F355" s="116">
        <v>646.85</v>
      </c>
      <c r="G355">
        <v>236509</v>
      </c>
      <c r="H355" s="116"/>
      <c r="I355" s="116"/>
      <c r="L355" s="170">
        <v>45779</v>
      </c>
      <c r="M355" s="116">
        <v>647.1</v>
      </c>
      <c r="N355" s="116">
        <v>665.9</v>
      </c>
      <c r="O355" s="116">
        <v>645.54999999999995</v>
      </c>
      <c r="P355" s="116">
        <v>657.85</v>
      </c>
      <c r="Q355" s="116">
        <v>647.1</v>
      </c>
      <c r="R355">
        <v>2404246</v>
      </c>
    </row>
    <row r="356" spans="1:18" x14ac:dyDescent="0.25">
      <c r="A356" s="170">
        <v>45782</v>
      </c>
      <c r="B356" s="116">
        <v>668.6</v>
      </c>
      <c r="C356" s="116">
        <v>666.05</v>
      </c>
      <c r="D356" s="116">
        <v>645.79999999999995</v>
      </c>
      <c r="E356" s="116">
        <v>651.15</v>
      </c>
      <c r="F356" s="116">
        <v>666.05</v>
      </c>
      <c r="G356">
        <v>139103</v>
      </c>
      <c r="H356" s="116"/>
      <c r="I356" s="116"/>
      <c r="L356" s="170">
        <v>45782</v>
      </c>
      <c r="M356" s="116">
        <v>666.05</v>
      </c>
      <c r="N356" s="116">
        <v>668.9</v>
      </c>
      <c r="O356" s="116">
        <v>645.79999999999995</v>
      </c>
      <c r="P356" s="116">
        <v>649</v>
      </c>
      <c r="Q356" s="116">
        <v>666.05</v>
      </c>
      <c r="R356">
        <v>2548152</v>
      </c>
    </row>
    <row r="357" spans="1:18" x14ac:dyDescent="0.25">
      <c r="A357" s="170">
        <v>45783</v>
      </c>
      <c r="B357" s="116">
        <v>668.8</v>
      </c>
      <c r="C357" s="116">
        <v>648.65</v>
      </c>
      <c r="D357" s="116">
        <v>647.15</v>
      </c>
      <c r="E357" s="116">
        <v>667.8</v>
      </c>
      <c r="F357" s="116">
        <v>648.65</v>
      </c>
      <c r="G357">
        <v>129872</v>
      </c>
      <c r="H357" s="116"/>
      <c r="I357" s="116"/>
      <c r="L357" s="170">
        <v>45783</v>
      </c>
      <c r="M357" s="116">
        <v>648.6</v>
      </c>
      <c r="N357" s="116">
        <v>669.15</v>
      </c>
      <c r="O357" s="116">
        <v>647.15</v>
      </c>
      <c r="P357" s="116">
        <v>667.7</v>
      </c>
      <c r="Q357" s="116">
        <v>648.6</v>
      </c>
      <c r="R357">
        <v>1469433</v>
      </c>
    </row>
    <row r="358" spans="1:18" x14ac:dyDescent="0.25">
      <c r="A358" s="170">
        <v>45784</v>
      </c>
      <c r="B358" s="116">
        <v>660</v>
      </c>
      <c r="C358" s="116">
        <v>657.8</v>
      </c>
      <c r="D358" s="116">
        <v>638.79999999999995</v>
      </c>
      <c r="E358" s="116">
        <v>639.04999999999995</v>
      </c>
      <c r="F358" s="116">
        <v>657.8</v>
      </c>
      <c r="G358">
        <v>120383</v>
      </c>
      <c r="H358" s="116"/>
      <c r="I358" s="116"/>
      <c r="L358" s="170">
        <v>45784</v>
      </c>
      <c r="M358" s="116">
        <v>657.7</v>
      </c>
      <c r="N358" s="116">
        <v>659.95</v>
      </c>
      <c r="O358" s="116">
        <v>639.1</v>
      </c>
      <c r="P358" s="116">
        <v>639.9</v>
      </c>
      <c r="Q358" s="116">
        <v>657.7</v>
      </c>
      <c r="R358">
        <v>1117034</v>
      </c>
    </row>
    <row r="359" spans="1:18" x14ac:dyDescent="0.25">
      <c r="A359" s="170">
        <v>45785</v>
      </c>
      <c r="B359" s="116">
        <v>672.85</v>
      </c>
      <c r="C359" s="116">
        <v>654.6</v>
      </c>
      <c r="D359" s="116">
        <v>650.6</v>
      </c>
      <c r="E359" s="116">
        <v>659.05</v>
      </c>
      <c r="F359" s="116">
        <v>654.6</v>
      </c>
      <c r="G359">
        <v>226457</v>
      </c>
      <c r="H359" s="116"/>
      <c r="I359" s="116"/>
      <c r="L359" s="170">
        <v>45785</v>
      </c>
      <c r="M359" s="116">
        <v>654.70000000000005</v>
      </c>
      <c r="N359" s="116">
        <v>672.8</v>
      </c>
      <c r="O359" s="116">
        <v>651.1</v>
      </c>
      <c r="P359" s="116">
        <v>660.05</v>
      </c>
      <c r="Q359" s="116">
        <v>654.70000000000005</v>
      </c>
      <c r="R359">
        <v>2172018</v>
      </c>
    </row>
    <row r="360" spans="1:18" x14ac:dyDescent="0.25">
      <c r="A360" s="170">
        <v>45786</v>
      </c>
      <c r="B360" s="116">
        <v>667.45</v>
      </c>
      <c r="C360" s="116">
        <v>665.55</v>
      </c>
      <c r="D360" s="116">
        <v>638.5</v>
      </c>
      <c r="E360" s="116">
        <v>638.5</v>
      </c>
      <c r="F360" s="116">
        <v>665.55</v>
      </c>
      <c r="G360">
        <v>123449</v>
      </c>
      <c r="H360" s="116"/>
      <c r="I360" s="116"/>
      <c r="L360" s="170">
        <v>45786</v>
      </c>
      <c r="M360" s="116">
        <v>665.95</v>
      </c>
      <c r="N360" s="116">
        <v>667.75</v>
      </c>
      <c r="O360" s="116">
        <v>640</v>
      </c>
      <c r="P360" s="116">
        <v>640.1</v>
      </c>
      <c r="Q360" s="116">
        <v>665.95</v>
      </c>
      <c r="R360">
        <v>1787647</v>
      </c>
    </row>
    <row r="361" spans="1:18" x14ac:dyDescent="0.25">
      <c r="A361" s="170">
        <v>45789</v>
      </c>
      <c r="B361" s="116">
        <v>705</v>
      </c>
      <c r="C361" s="116">
        <v>701</v>
      </c>
      <c r="D361" s="116">
        <v>672</v>
      </c>
      <c r="E361" s="116">
        <v>675.05</v>
      </c>
      <c r="F361" s="116">
        <v>701</v>
      </c>
      <c r="G361">
        <v>151816</v>
      </c>
      <c r="H361" s="116"/>
      <c r="I361" s="116"/>
      <c r="L361" s="170">
        <v>45789</v>
      </c>
      <c r="M361" s="116">
        <v>701.05</v>
      </c>
      <c r="N361" s="116">
        <v>705</v>
      </c>
      <c r="O361" s="116">
        <v>671.35</v>
      </c>
      <c r="P361" s="116">
        <v>675.95</v>
      </c>
      <c r="Q361" s="116">
        <v>701.05</v>
      </c>
      <c r="R361">
        <v>5059163</v>
      </c>
    </row>
    <row r="362" spans="1:18" x14ac:dyDescent="0.25">
      <c r="A362" s="170">
        <v>45790</v>
      </c>
      <c r="B362" s="116">
        <v>712.95</v>
      </c>
      <c r="C362" s="116">
        <v>704.6</v>
      </c>
      <c r="D362" s="116">
        <v>700.25</v>
      </c>
      <c r="E362" s="116">
        <v>707.4</v>
      </c>
      <c r="F362" s="116">
        <v>704.6</v>
      </c>
      <c r="G362">
        <v>87768</v>
      </c>
      <c r="H362" s="116"/>
      <c r="I362" s="116"/>
      <c r="L362" s="170">
        <v>45790</v>
      </c>
      <c r="M362" s="116">
        <v>704.5</v>
      </c>
      <c r="N362" s="116">
        <v>712.6</v>
      </c>
      <c r="O362" s="116">
        <v>700.05</v>
      </c>
      <c r="P362" s="116">
        <v>703.95</v>
      </c>
      <c r="Q362" s="116">
        <v>704.5</v>
      </c>
      <c r="R362">
        <v>2264880</v>
      </c>
    </row>
    <row r="363" spans="1:18" x14ac:dyDescent="0.25">
      <c r="A363" s="170">
        <v>45791</v>
      </c>
      <c r="B363" s="116">
        <v>711.45</v>
      </c>
      <c r="C363" s="116">
        <v>706.75</v>
      </c>
      <c r="D363" s="116">
        <v>701.15</v>
      </c>
      <c r="E363" s="116">
        <v>711</v>
      </c>
      <c r="F363" s="116">
        <v>706.75</v>
      </c>
      <c r="G363">
        <v>158880</v>
      </c>
      <c r="H363" s="116"/>
      <c r="I363" s="116"/>
      <c r="L363" s="170">
        <v>45791</v>
      </c>
      <c r="M363" s="116">
        <v>706.45</v>
      </c>
      <c r="N363" s="116">
        <v>711</v>
      </c>
      <c r="O363" s="116">
        <v>701.05</v>
      </c>
      <c r="P363" s="116">
        <v>711</v>
      </c>
      <c r="Q363" s="116">
        <v>706.45</v>
      </c>
      <c r="R363">
        <v>1659444</v>
      </c>
    </row>
    <row r="364" spans="1:18" x14ac:dyDescent="0.25">
      <c r="A364" s="170">
        <v>45792</v>
      </c>
      <c r="B364" s="116">
        <v>723</v>
      </c>
      <c r="C364" s="116">
        <v>719.8</v>
      </c>
      <c r="D364" s="116">
        <v>709.9</v>
      </c>
      <c r="E364" s="116">
        <v>710.05</v>
      </c>
      <c r="F364" s="116">
        <v>719.8</v>
      </c>
      <c r="G364">
        <v>251481</v>
      </c>
      <c r="H364" s="116"/>
      <c r="I364" s="116"/>
      <c r="L364" s="170">
        <v>45792</v>
      </c>
      <c r="M364" s="116">
        <v>720</v>
      </c>
      <c r="N364" s="116">
        <v>722.95</v>
      </c>
      <c r="O364" s="116">
        <v>709.1</v>
      </c>
      <c r="P364" s="116">
        <v>710.9</v>
      </c>
      <c r="Q364" s="116">
        <v>720</v>
      </c>
      <c r="R364">
        <v>2615228</v>
      </c>
    </row>
    <row r="365" spans="1:18" x14ac:dyDescent="0.25">
      <c r="A365" s="170">
        <v>45793</v>
      </c>
      <c r="B365" s="116">
        <v>754.15</v>
      </c>
      <c r="C365" s="116">
        <v>751.15</v>
      </c>
      <c r="D365" s="116">
        <v>721.45</v>
      </c>
      <c r="E365" s="116">
        <v>722.35</v>
      </c>
      <c r="F365" s="116">
        <v>751.15</v>
      </c>
      <c r="G365">
        <v>246416</v>
      </c>
      <c r="H365" s="116"/>
      <c r="I365" s="116"/>
      <c r="L365" s="170">
        <v>45793</v>
      </c>
      <c r="M365" s="116">
        <v>750.9</v>
      </c>
      <c r="N365" s="116">
        <v>754.2</v>
      </c>
      <c r="O365" s="116">
        <v>721.5</v>
      </c>
      <c r="P365" s="116">
        <v>724</v>
      </c>
      <c r="Q365" s="116">
        <v>750.9</v>
      </c>
      <c r="R365">
        <v>3928300</v>
      </c>
    </row>
    <row r="366" spans="1:18" x14ac:dyDescent="0.25">
      <c r="A366" s="170">
        <v>45796</v>
      </c>
      <c r="B366" s="116">
        <v>776.8</v>
      </c>
      <c r="C366" s="116">
        <v>759.85</v>
      </c>
      <c r="D366" s="116">
        <v>749.25</v>
      </c>
      <c r="E366" s="116">
        <v>757.25</v>
      </c>
      <c r="F366" s="116">
        <v>759.85</v>
      </c>
      <c r="G366">
        <v>442726</v>
      </c>
      <c r="H366" s="116"/>
      <c r="I366" s="116"/>
      <c r="L366" s="170">
        <v>45796</v>
      </c>
      <c r="M366" s="116">
        <v>759.8</v>
      </c>
      <c r="N366" s="116">
        <v>777.4</v>
      </c>
      <c r="O366" s="116">
        <v>749.05</v>
      </c>
      <c r="P366" s="116">
        <v>758.45</v>
      </c>
      <c r="Q366" s="116">
        <v>759.8</v>
      </c>
      <c r="R366">
        <v>3591839</v>
      </c>
    </row>
    <row r="367" spans="1:18" x14ac:dyDescent="0.25">
      <c r="A367" s="170">
        <v>45797</v>
      </c>
      <c r="B367" s="116">
        <v>768.95</v>
      </c>
      <c r="C367" s="116">
        <v>743.55</v>
      </c>
      <c r="D367" s="116">
        <v>741.1</v>
      </c>
      <c r="E367" s="116">
        <v>768.1</v>
      </c>
      <c r="F367" s="116">
        <v>743.55</v>
      </c>
      <c r="G367">
        <v>258162</v>
      </c>
      <c r="H367" s="116"/>
      <c r="I367" s="116"/>
      <c r="L367" s="170">
        <v>45797</v>
      </c>
      <c r="M367" s="116">
        <v>743.75</v>
      </c>
      <c r="N367" s="116">
        <v>769.7</v>
      </c>
      <c r="O367" s="116">
        <v>741.05</v>
      </c>
      <c r="P367" s="116">
        <v>769.7</v>
      </c>
      <c r="Q367" s="116">
        <v>743.75</v>
      </c>
      <c r="R367">
        <v>2296851</v>
      </c>
    </row>
    <row r="368" spans="1:18" x14ac:dyDescent="0.25">
      <c r="A368" s="170">
        <v>45798</v>
      </c>
      <c r="B368" s="116">
        <v>759</v>
      </c>
      <c r="C368" s="116">
        <v>757.15</v>
      </c>
      <c r="D368" s="116">
        <v>737.3</v>
      </c>
      <c r="E368" s="116">
        <v>743.55</v>
      </c>
      <c r="F368" s="116">
        <v>757.15</v>
      </c>
      <c r="G368">
        <v>126569</v>
      </c>
      <c r="H368" s="116"/>
      <c r="I368" s="116"/>
      <c r="L368" s="170">
        <v>45798</v>
      </c>
      <c r="M368" s="116">
        <v>757.2</v>
      </c>
      <c r="N368" s="116">
        <v>759.3</v>
      </c>
      <c r="O368" s="116">
        <v>737.5</v>
      </c>
      <c r="P368" s="116">
        <v>742</v>
      </c>
      <c r="Q368" s="116">
        <v>757.2</v>
      </c>
      <c r="R368">
        <v>1721453</v>
      </c>
    </row>
    <row r="369" spans="1:18" x14ac:dyDescent="0.25">
      <c r="A369" s="170">
        <v>45799</v>
      </c>
      <c r="B369" s="116">
        <v>768.75</v>
      </c>
      <c r="C369" s="116">
        <v>763.65</v>
      </c>
      <c r="D369" s="116">
        <v>748.8</v>
      </c>
      <c r="E369" s="116">
        <v>755.85</v>
      </c>
      <c r="F369" s="116">
        <v>763.65</v>
      </c>
      <c r="G369">
        <v>93858</v>
      </c>
      <c r="H369" s="116"/>
      <c r="I369" s="116"/>
      <c r="L369" s="170">
        <v>45799</v>
      </c>
      <c r="M369" s="116">
        <v>763.65</v>
      </c>
      <c r="N369" s="116">
        <v>768.9</v>
      </c>
      <c r="O369" s="116">
        <v>748.45</v>
      </c>
      <c r="P369" s="116">
        <v>756.95</v>
      </c>
      <c r="Q369" s="116">
        <v>763.65</v>
      </c>
      <c r="R369">
        <v>1518934</v>
      </c>
    </row>
    <row r="370" spans="1:18" x14ac:dyDescent="0.25">
      <c r="A370" s="170">
        <v>45800</v>
      </c>
      <c r="B370" s="116">
        <v>772.75</v>
      </c>
      <c r="C370" s="116">
        <v>764.65</v>
      </c>
      <c r="D370" s="116">
        <v>761.45</v>
      </c>
      <c r="E370" s="116">
        <v>766.2</v>
      </c>
      <c r="F370" s="116">
        <v>764.65</v>
      </c>
      <c r="G370">
        <v>142274</v>
      </c>
      <c r="H370" s="116"/>
      <c r="I370" s="116"/>
      <c r="L370" s="170">
        <v>45800</v>
      </c>
      <c r="M370" s="116">
        <v>764.75</v>
      </c>
      <c r="N370" s="116">
        <v>772.95</v>
      </c>
      <c r="O370" s="116">
        <v>761.4</v>
      </c>
      <c r="P370" s="116">
        <v>767</v>
      </c>
      <c r="Q370" s="116">
        <v>764.75</v>
      </c>
      <c r="R370">
        <v>1188286</v>
      </c>
    </row>
    <row r="371" spans="1:18" x14ac:dyDescent="0.25">
      <c r="A371" s="170">
        <v>45803</v>
      </c>
      <c r="B371" s="116">
        <v>770.25</v>
      </c>
      <c r="C371" s="116">
        <v>763.3</v>
      </c>
      <c r="D371" s="116">
        <v>758.55</v>
      </c>
      <c r="E371" s="116">
        <v>766.75</v>
      </c>
      <c r="F371" s="116">
        <v>763.3</v>
      </c>
      <c r="G371">
        <v>65138</v>
      </c>
      <c r="H371" s="116"/>
      <c r="I371" s="116"/>
      <c r="L371" s="170">
        <v>45803</v>
      </c>
      <c r="M371" s="116">
        <v>763.4</v>
      </c>
      <c r="N371" s="116">
        <v>769.9</v>
      </c>
      <c r="O371" s="116">
        <v>758.25</v>
      </c>
      <c r="P371" s="116">
        <v>766</v>
      </c>
      <c r="Q371" s="116">
        <v>763.4</v>
      </c>
      <c r="R371">
        <v>1125598</v>
      </c>
    </row>
    <row r="372" spans="1:18" x14ac:dyDescent="0.25">
      <c r="A372" s="170">
        <v>45804</v>
      </c>
      <c r="B372" s="116">
        <v>781.25</v>
      </c>
      <c r="C372" s="116">
        <v>772.85</v>
      </c>
      <c r="D372" s="116">
        <v>762.45</v>
      </c>
      <c r="E372" s="116">
        <v>763.3</v>
      </c>
      <c r="F372" s="116">
        <v>772.85</v>
      </c>
      <c r="G372">
        <v>113614</v>
      </c>
      <c r="H372" s="116"/>
      <c r="I372" s="116"/>
      <c r="L372" s="170">
        <v>45804</v>
      </c>
      <c r="M372" s="116">
        <v>773.05</v>
      </c>
      <c r="N372" s="116">
        <v>781.45</v>
      </c>
      <c r="O372" s="116">
        <v>761.3</v>
      </c>
      <c r="P372" s="116">
        <v>764.15</v>
      </c>
      <c r="Q372" s="116">
        <v>773.05</v>
      </c>
      <c r="R372">
        <v>2539579</v>
      </c>
    </row>
    <row r="373" spans="1:18" x14ac:dyDescent="0.25">
      <c r="A373" s="170">
        <v>45805</v>
      </c>
      <c r="B373" s="116">
        <v>782.85</v>
      </c>
      <c r="C373" s="116">
        <v>757.85</v>
      </c>
      <c r="D373" s="116">
        <v>755</v>
      </c>
      <c r="E373" s="116">
        <v>772.85</v>
      </c>
      <c r="F373" s="116">
        <v>757.85</v>
      </c>
      <c r="G373">
        <v>120094</v>
      </c>
      <c r="H373" s="116"/>
      <c r="I373" s="116"/>
      <c r="L373" s="170">
        <v>45805</v>
      </c>
      <c r="M373" s="116">
        <v>757.6</v>
      </c>
      <c r="N373" s="116">
        <v>783.15</v>
      </c>
      <c r="O373" s="116">
        <v>754</v>
      </c>
      <c r="P373" s="116">
        <v>773.05</v>
      </c>
      <c r="Q373" s="116">
        <v>757.6</v>
      </c>
      <c r="R373">
        <v>2616719</v>
      </c>
    </row>
    <row r="374" spans="1:18" x14ac:dyDescent="0.25">
      <c r="A374" s="170">
        <v>45806</v>
      </c>
      <c r="B374" s="116">
        <v>774.3</v>
      </c>
      <c r="C374" s="116">
        <v>771.35</v>
      </c>
      <c r="D374" s="116">
        <v>756</v>
      </c>
      <c r="E374" s="116">
        <v>760</v>
      </c>
      <c r="F374" s="116">
        <v>771.35</v>
      </c>
      <c r="G374">
        <v>156597</v>
      </c>
      <c r="H374" s="116"/>
      <c r="I374" s="116"/>
      <c r="L374" s="170">
        <v>45806</v>
      </c>
      <c r="M374" s="116">
        <v>771.2</v>
      </c>
      <c r="N374" s="116">
        <v>774.3</v>
      </c>
      <c r="O374" s="116">
        <v>755.55</v>
      </c>
      <c r="P374" s="116">
        <v>760</v>
      </c>
      <c r="Q374" s="116">
        <v>771.2</v>
      </c>
      <c r="R374">
        <v>1582508</v>
      </c>
    </row>
    <row r="375" spans="1:18" x14ac:dyDescent="0.25">
      <c r="A375" s="170">
        <v>45807</v>
      </c>
      <c r="B375" s="116">
        <v>790.5</v>
      </c>
      <c r="C375" s="116">
        <v>773.1</v>
      </c>
      <c r="D375" s="116">
        <v>767.15</v>
      </c>
      <c r="E375" s="116">
        <v>775</v>
      </c>
      <c r="F375" s="116">
        <v>773.1</v>
      </c>
      <c r="G375">
        <v>337050</v>
      </c>
      <c r="H375" s="116"/>
      <c r="I375" s="116"/>
      <c r="L375" s="170">
        <v>45807</v>
      </c>
      <c r="M375" s="116">
        <v>773.6</v>
      </c>
      <c r="N375" s="116">
        <v>790.6</v>
      </c>
      <c r="O375" s="116">
        <v>767.25</v>
      </c>
      <c r="P375" s="116">
        <v>775.5</v>
      </c>
      <c r="Q375" s="116">
        <v>773.6</v>
      </c>
      <c r="R375">
        <v>7983586</v>
      </c>
    </row>
    <row r="376" spans="1:18" x14ac:dyDescent="0.25">
      <c r="A376" s="170">
        <v>45810</v>
      </c>
      <c r="B376" s="116">
        <v>779.5</v>
      </c>
      <c r="C376" s="116">
        <v>774.4</v>
      </c>
      <c r="D376" s="116">
        <v>765.85</v>
      </c>
      <c r="E376" s="116">
        <v>773.1</v>
      </c>
      <c r="F376" s="116">
        <v>774.4</v>
      </c>
      <c r="G376">
        <v>71590</v>
      </c>
      <c r="H376" s="116"/>
      <c r="I376" s="116"/>
      <c r="L376" s="170">
        <v>45810</v>
      </c>
      <c r="M376" s="116">
        <v>774.3</v>
      </c>
      <c r="N376" s="116">
        <v>779.3</v>
      </c>
      <c r="O376" s="116">
        <v>765.25</v>
      </c>
      <c r="P376" s="116">
        <v>773</v>
      </c>
      <c r="Q376" s="116">
        <v>774.3</v>
      </c>
      <c r="R376">
        <v>1147257</v>
      </c>
    </row>
    <row r="377" spans="1:18" x14ac:dyDescent="0.25">
      <c r="A377" s="170">
        <v>45811</v>
      </c>
      <c r="B377" s="116">
        <v>779.15</v>
      </c>
      <c r="C377" s="116">
        <v>767.45</v>
      </c>
      <c r="D377" s="116">
        <v>765</v>
      </c>
      <c r="E377" s="116">
        <v>775.3</v>
      </c>
      <c r="F377" s="116">
        <v>767.45</v>
      </c>
      <c r="G377">
        <v>136716</v>
      </c>
      <c r="H377" s="116"/>
      <c r="I377" s="116"/>
      <c r="L377" s="170">
        <v>45811</v>
      </c>
      <c r="M377" s="116">
        <v>767.5</v>
      </c>
      <c r="N377" s="116">
        <v>778.05</v>
      </c>
      <c r="O377" s="116">
        <v>764.6</v>
      </c>
      <c r="P377" s="116">
        <v>777.95</v>
      </c>
      <c r="Q377" s="116">
        <v>767.5</v>
      </c>
      <c r="R377">
        <v>956266</v>
      </c>
    </row>
    <row r="378" spans="1:18" x14ac:dyDescent="0.25">
      <c r="A378" s="170">
        <v>45812</v>
      </c>
      <c r="B378" s="116">
        <v>768.7</v>
      </c>
      <c r="C378" s="116">
        <v>759.65</v>
      </c>
      <c r="D378" s="116">
        <v>748.3</v>
      </c>
      <c r="E378" s="116">
        <v>760</v>
      </c>
      <c r="F378" s="116">
        <v>759.65</v>
      </c>
      <c r="G378">
        <v>10326051</v>
      </c>
      <c r="H378" s="116"/>
      <c r="I378" s="116"/>
      <c r="L378" s="170">
        <v>45812</v>
      </c>
      <c r="M378" s="116">
        <v>759.55</v>
      </c>
      <c r="N378" s="116">
        <v>769</v>
      </c>
      <c r="O378" s="116">
        <v>752.5</v>
      </c>
      <c r="P378" s="116">
        <v>759</v>
      </c>
      <c r="Q378" s="116">
        <v>759.55</v>
      </c>
      <c r="R378">
        <v>7455667</v>
      </c>
    </row>
    <row r="379" spans="1:18" x14ac:dyDescent="0.25">
      <c r="A379" s="170">
        <v>45813</v>
      </c>
      <c r="B379" s="116">
        <v>775.95</v>
      </c>
      <c r="C379" s="116">
        <v>765.2</v>
      </c>
      <c r="D379" s="116">
        <v>760.75</v>
      </c>
      <c r="E379" s="116">
        <v>761.75</v>
      </c>
      <c r="F379" s="116">
        <v>765.2</v>
      </c>
      <c r="G379">
        <v>174255</v>
      </c>
      <c r="H379" s="116"/>
      <c r="I379" s="116"/>
      <c r="L379" s="170">
        <v>45813</v>
      </c>
      <c r="M379" s="116">
        <v>764.6</v>
      </c>
      <c r="N379" s="116">
        <v>776</v>
      </c>
      <c r="O379" s="116">
        <v>760.6</v>
      </c>
      <c r="P379" s="116">
        <v>761.5</v>
      </c>
      <c r="Q379" s="116">
        <v>764.6</v>
      </c>
      <c r="R379">
        <v>2797200</v>
      </c>
    </row>
    <row r="380" spans="1:18" x14ac:dyDescent="0.25">
      <c r="A380" s="170">
        <v>45814</v>
      </c>
      <c r="B380" s="116">
        <v>767</v>
      </c>
      <c r="C380" s="116">
        <v>758.3</v>
      </c>
      <c r="D380" s="116">
        <v>751.2</v>
      </c>
      <c r="E380" s="116">
        <v>766.9</v>
      </c>
      <c r="F380" s="116">
        <v>758.3</v>
      </c>
      <c r="G380">
        <v>182462</v>
      </c>
      <c r="H380" s="116"/>
      <c r="I380" s="116"/>
      <c r="L380" s="170">
        <v>45814</v>
      </c>
      <c r="M380" s="116">
        <v>758.45</v>
      </c>
      <c r="N380" s="116">
        <v>767.7</v>
      </c>
      <c r="O380" s="116">
        <v>751.4</v>
      </c>
      <c r="P380" s="116">
        <v>766.65</v>
      </c>
      <c r="Q380" s="116">
        <v>758.45</v>
      </c>
      <c r="R380">
        <v>2210099</v>
      </c>
    </row>
    <row r="381" spans="1:18" x14ac:dyDescent="0.25">
      <c r="A381" s="170">
        <v>45817</v>
      </c>
      <c r="B381" s="116">
        <v>778.8</v>
      </c>
      <c r="C381" s="116">
        <v>775.65</v>
      </c>
      <c r="D381" s="116">
        <v>758.7</v>
      </c>
      <c r="E381" s="116">
        <v>758.7</v>
      </c>
      <c r="F381" s="116">
        <v>775.65</v>
      </c>
      <c r="G381">
        <v>101107</v>
      </c>
      <c r="H381" s="116"/>
      <c r="I381" s="116"/>
      <c r="L381" s="170">
        <v>45817</v>
      </c>
      <c r="M381" s="116">
        <v>775.8</v>
      </c>
      <c r="N381" s="116">
        <v>779</v>
      </c>
      <c r="O381" s="116">
        <v>759.8</v>
      </c>
      <c r="P381" s="116">
        <v>760.9</v>
      </c>
      <c r="Q381" s="116">
        <v>775.8</v>
      </c>
      <c r="R381">
        <v>2209131</v>
      </c>
    </row>
    <row r="382" spans="1:18" x14ac:dyDescent="0.25">
      <c r="A382" s="170">
        <v>45818</v>
      </c>
      <c r="B382" s="116">
        <v>797</v>
      </c>
      <c r="C382" s="116">
        <v>787.45</v>
      </c>
      <c r="D382" s="116">
        <v>776.85</v>
      </c>
      <c r="E382" s="116">
        <v>780</v>
      </c>
      <c r="F382" s="116">
        <v>787.45</v>
      </c>
      <c r="G382">
        <v>146415</v>
      </c>
      <c r="H382" s="116"/>
      <c r="I382" s="116"/>
      <c r="L382" s="170">
        <v>45818</v>
      </c>
      <c r="M382" s="116">
        <v>787.6</v>
      </c>
      <c r="N382" s="116">
        <v>796.95</v>
      </c>
      <c r="O382" s="116">
        <v>776.15</v>
      </c>
      <c r="P382" s="116">
        <v>780</v>
      </c>
      <c r="Q382" s="116">
        <v>787.6</v>
      </c>
      <c r="R382">
        <v>3060339</v>
      </c>
    </row>
    <row r="383" spans="1:18" x14ac:dyDescent="0.25">
      <c r="A383" s="170">
        <v>45819</v>
      </c>
      <c r="B383" s="116">
        <v>796.95</v>
      </c>
      <c r="C383" s="116">
        <v>784.85</v>
      </c>
      <c r="D383" s="116">
        <v>778.95</v>
      </c>
      <c r="E383" s="116">
        <v>794.65</v>
      </c>
      <c r="F383" s="116">
        <v>784.85</v>
      </c>
      <c r="G383">
        <v>68904</v>
      </c>
      <c r="H383" s="116"/>
      <c r="I383" s="116"/>
      <c r="L383" s="170">
        <v>45819</v>
      </c>
      <c r="M383" s="116">
        <v>784.95</v>
      </c>
      <c r="N383" s="116">
        <v>797</v>
      </c>
      <c r="O383" s="116">
        <v>778.95</v>
      </c>
      <c r="P383" s="116">
        <v>791.05</v>
      </c>
      <c r="Q383" s="116">
        <v>784.95</v>
      </c>
      <c r="R383">
        <v>1595579</v>
      </c>
    </row>
    <row r="384" spans="1:18" x14ac:dyDescent="0.25">
      <c r="A384" s="170">
        <v>45820</v>
      </c>
      <c r="B384" s="116">
        <v>787.85</v>
      </c>
      <c r="C384" s="116">
        <v>763</v>
      </c>
      <c r="D384" s="116">
        <v>761.15</v>
      </c>
      <c r="E384" s="116">
        <v>785.35</v>
      </c>
      <c r="F384" s="116">
        <v>763</v>
      </c>
      <c r="G384">
        <v>68426</v>
      </c>
      <c r="H384" s="116"/>
      <c r="I384" s="116"/>
      <c r="L384" s="170">
        <v>45820</v>
      </c>
      <c r="M384" s="116">
        <v>763.4</v>
      </c>
      <c r="N384" s="116">
        <v>789.7</v>
      </c>
      <c r="O384" s="116">
        <v>761.25</v>
      </c>
      <c r="P384" s="116">
        <v>789.7</v>
      </c>
      <c r="Q384" s="116">
        <v>763.4</v>
      </c>
      <c r="R384">
        <v>1405334</v>
      </c>
    </row>
    <row r="385" spans="1:18" x14ac:dyDescent="0.25">
      <c r="A385" s="170">
        <v>45821</v>
      </c>
      <c r="B385" s="116">
        <v>759</v>
      </c>
      <c r="C385" s="116">
        <v>753.05</v>
      </c>
      <c r="D385" s="116">
        <v>739.45</v>
      </c>
      <c r="E385" s="116">
        <v>739.5</v>
      </c>
      <c r="F385" s="116">
        <v>753.05</v>
      </c>
      <c r="G385">
        <v>91663</v>
      </c>
      <c r="H385" s="116"/>
      <c r="I385" s="116"/>
      <c r="L385" s="170">
        <v>45821</v>
      </c>
      <c r="M385" s="116">
        <v>753.5</v>
      </c>
      <c r="N385" s="116">
        <v>758.95</v>
      </c>
      <c r="O385" s="116">
        <v>740.1</v>
      </c>
      <c r="P385" s="116">
        <v>740.1</v>
      </c>
      <c r="Q385" s="116">
        <v>753.5</v>
      </c>
      <c r="R385">
        <v>1841819</v>
      </c>
    </row>
    <row r="386" spans="1:18" x14ac:dyDescent="0.25">
      <c r="A386" s="170">
        <v>45824</v>
      </c>
      <c r="B386" s="116">
        <v>754.2</v>
      </c>
      <c r="C386" s="116">
        <v>749.85</v>
      </c>
      <c r="D386" s="116">
        <v>723.05</v>
      </c>
      <c r="E386" s="116">
        <v>741.05</v>
      </c>
      <c r="F386" s="116">
        <v>749.85</v>
      </c>
      <c r="G386">
        <v>117427</v>
      </c>
      <c r="H386" s="116"/>
      <c r="I386" s="116"/>
      <c r="L386" s="170">
        <v>45824</v>
      </c>
      <c r="M386" s="116">
        <v>749.95</v>
      </c>
      <c r="N386" s="116">
        <v>754.55</v>
      </c>
      <c r="O386" s="116">
        <v>723</v>
      </c>
      <c r="P386" s="116">
        <v>745</v>
      </c>
      <c r="Q386" s="116">
        <v>749.95</v>
      </c>
      <c r="R386">
        <v>2798294</v>
      </c>
    </row>
    <row r="387" spans="1:18" x14ac:dyDescent="0.25">
      <c r="A387" s="170">
        <v>45825</v>
      </c>
      <c r="B387" s="116">
        <v>755</v>
      </c>
      <c r="C387" s="116">
        <v>739.1</v>
      </c>
      <c r="D387" s="116">
        <v>738</v>
      </c>
      <c r="E387" s="116">
        <v>749.9</v>
      </c>
      <c r="F387" s="116">
        <v>739.1</v>
      </c>
      <c r="G387">
        <v>47637</v>
      </c>
      <c r="H387" s="116"/>
      <c r="I387" s="116"/>
      <c r="L387" s="170">
        <v>45825</v>
      </c>
      <c r="M387" s="116">
        <v>739.3</v>
      </c>
      <c r="N387" s="116">
        <v>755</v>
      </c>
      <c r="O387" s="116">
        <v>738</v>
      </c>
      <c r="P387" s="116">
        <v>750</v>
      </c>
      <c r="Q387" s="116">
        <v>739.3</v>
      </c>
      <c r="R387">
        <v>1355077</v>
      </c>
    </row>
    <row r="388" spans="1:18" x14ac:dyDescent="0.25">
      <c r="A388" s="170">
        <v>45826</v>
      </c>
      <c r="B388" s="116">
        <v>743.15</v>
      </c>
      <c r="C388" s="116">
        <v>731.75</v>
      </c>
      <c r="D388" s="116">
        <v>728.55</v>
      </c>
      <c r="E388" s="116">
        <v>739</v>
      </c>
      <c r="F388" s="116">
        <v>731.75</v>
      </c>
      <c r="G388">
        <v>52637</v>
      </c>
      <c r="H388" s="116"/>
      <c r="I388" s="116"/>
      <c r="L388" s="170">
        <v>45826</v>
      </c>
      <c r="M388" s="116">
        <v>732</v>
      </c>
      <c r="N388" s="116">
        <v>743.75</v>
      </c>
      <c r="O388" s="116">
        <v>728.75</v>
      </c>
      <c r="P388" s="116">
        <v>737.75</v>
      </c>
      <c r="Q388" s="116">
        <v>732</v>
      </c>
      <c r="R388">
        <v>1206479</v>
      </c>
    </row>
    <row r="389" spans="1:18" x14ac:dyDescent="0.25">
      <c r="A389" s="170">
        <v>45827</v>
      </c>
      <c r="B389" s="116">
        <v>746.1</v>
      </c>
      <c r="C389" s="116">
        <v>716.45</v>
      </c>
      <c r="D389" s="116">
        <v>712.2</v>
      </c>
      <c r="E389" s="116">
        <v>738.05</v>
      </c>
      <c r="F389" s="116">
        <v>716.45</v>
      </c>
      <c r="G389">
        <v>77484</v>
      </c>
      <c r="H389" s="116"/>
      <c r="I389" s="116"/>
      <c r="L389" s="170">
        <v>45827</v>
      </c>
      <c r="M389" s="116">
        <v>717.2</v>
      </c>
      <c r="N389" s="116">
        <v>746.8</v>
      </c>
      <c r="O389" s="116">
        <v>711.55</v>
      </c>
      <c r="P389" s="116">
        <v>741</v>
      </c>
      <c r="Q389" s="116">
        <v>717.2</v>
      </c>
      <c r="R389">
        <v>2472153</v>
      </c>
    </row>
    <row r="390" spans="1:18" x14ac:dyDescent="0.25">
      <c r="A390" s="170">
        <v>45828</v>
      </c>
      <c r="B390" s="116">
        <v>721</v>
      </c>
      <c r="C390" s="116">
        <v>706.5</v>
      </c>
      <c r="D390" s="116">
        <v>696.55</v>
      </c>
      <c r="E390" s="116">
        <v>720.65</v>
      </c>
      <c r="F390" s="116">
        <v>706.5</v>
      </c>
      <c r="G390">
        <v>124543</v>
      </c>
      <c r="H390" s="116"/>
      <c r="I390" s="116"/>
      <c r="L390" s="170">
        <v>45828</v>
      </c>
      <c r="M390" s="116">
        <v>706.65</v>
      </c>
      <c r="N390" s="116">
        <v>718.7</v>
      </c>
      <c r="O390" s="116">
        <v>696.3</v>
      </c>
      <c r="P390" s="116">
        <v>718.7</v>
      </c>
      <c r="Q390" s="116">
        <v>706.65</v>
      </c>
      <c r="R390">
        <v>4370195</v>
      </c>
    </row>
    <row r="391" spans="1:18" x14ac:dyDescent="0.25">
      <c r="A391" s="170">
        <v>45831</v>
      </c>
      <c r="B391" s="116">
        <v>711.25</v>
      </c>
      <c r="C391" s="116">
        <v>699.3</v>
      </c>
      <c r="D391" s="116">
        <v>697.9</v>
      </c>
      <c r="E391" s="116">
        <v>703.2</v>
      </c>
      <c r="F391" s="116">
        <v>699.3</v>
      </c>
      <c r="G391">
        <v>66693</v>
      </c>
      <c r="H391" s="116"/>
      <c r="I391" s="116"/>
      <c r="L391" s="170">
        <v>45831</v>
      </c>
      <c r="M391" s="116">
        <v>699.5</v>
      </c>
      <c r="N391" s="116">
        <v>711</v>
      </c>
      <c r="O391" s="116">
        <v>697.25</v>
      </c>
      <c r="P391" s="116">
        <v>701</v>
      </c>
      <c r="Q391" s="116">
        <v>699.5</v>
      </c>
      <c r="R391">
        <v>1791540</v>
      </c>
    </row>
    <row r="392" spans="1:18" x14ac:dyDescent="0.25">
      <c r="A392" s="170">
        <v>45832</v>
      </c>
      <c r="B392" s="116">
        <v>709.05</v>
      </c>
      <c r="C392" s="116">
        <v>698.15</v>
      </c>
      <c r="D392" s="116">
        <v>696.2</v>
      </c>
      <c r="E392" s="116">
        <v>706.5</v>
      </c>
      <c r="F392" s="116">
        <v>698.15</v>
      </c>
      <c r="G392">
        <v>74534</v>
      </c>
      <c r="H392" s="116"/>
      <c r="I392" s="116"/>
      <c r="L392" s="170">
        <v>45832</v>
      </c>
      <c r="M392" s="116">
        <v>698.1</v>
      </c>
      <c r="N392" s="116">
        <v>709.7</v>
      </c>
      <c r="O392" s="116">
        <v>696</v>
      </c>
      <c r="P392" s="116">
        <v>705.5</v>
      </c>
      <c r="Q392" s="116">
        <v>698.1</v>
      </c>
      <c r="R392">
        <v>2228486</v>
      </c>
    </row>
    <row r="393" spans="1:18" x14ac:dyDescent="0.25">
      <c r="A393" s="170">
        <v>45833</v>
      </c>
      <c r="B393" s="116">
        <v>707.75</v>
      </c>
      <c r="C393" s="116">
        <v>700.05</v>
      </c>
      <c r="D393" s="116">
        <v>698.5</v>
      </c>
      <c r="E393" s="116">
        <v>701.55</v>
      </c>
      <c r="F393" s="116">
        <v>700.05</v>
      </c>
      <c r="G393">
        <v>117616</v>
      </c>
      <c r="H393" s="116"/>
      <c r="I393" s="116"/>
      <c r="L393" s="170">
        <v>45833</v>
      </c>
      <c r="M393" s="116">
        <v>699.9</v>
      </c>
      <c r="N393" s="116">
        <v>707.5</v>
      </c>
      <c r="O393" s="116">
        <v>698.3</v>
      </c>
      <c r="P393" s="116">
        <v>703</v>
      </c>
      <c r="Q393" s="116">
        <v>699.9</v>
      </c>
      <c r="R393">
        <v>1474970</v>
      </c>
    </row>
    <row r="394" spans="1:18" x14ac:dyDescent="0.25">
      <c r="A394" s="170">
        <v>45834</v>
      </c>
      <c r="B394" s="116">
        <v>705.75</v>
      </c>
      <c r="C394" s="116">
        <v>703.4</v>
      </c>
      <c r="D394" s="116">
        <v>699.5</v>
      </c>
      <c r="E394" s="116">
        <v>701.65</v>
      </c>
      <c r="F394" s="116">
        <v>703.4</v>
      </c>
      <c r="G394">
        <v>147088</v>
      </c>
      <c r="H394" s="116"/>
      <c r="I394" s="116"/>
      <c r="L394" s="170">
        <v>45834</v>
      </c>
      <c r="M394" s="116">
        <v>703.55</v>
      </c>
      <c r="N394" s="116">
        <v>705.6</v>
      </c>
      <c r="O394" s="116">
        <v>699.6</v>
      </c>
      <c r="P394" s="116">
        <v>701.95</v>
      </c>
      <c r="Q394" s="116">
        <v>703.55</v>
      </c>
      <c r="R394">
        <v>1635468</v>
      </c>
    </row>
    <row r="395" spans="1:18" x14ac:dyDescent="0.25">
      <c r="A395" s="170">
        <v>45835</v>
      </c>
      <c r="B395" s="116">
        <v>726.95</v>
      </c>
      <c r="C395" s="116">
        <v>715.25</v>
      </c>
      <c r="D395" s="116">
        <v>706.9</v>
      </c>
      <c r="E395" s="116">
        <v>708.95</v>
      </c>
      <c r="F395" s="116">
        <v>715.25</v>
      </c>
      <c r="G395">
        <v>131292</v>
      </c>
      <c r="H395" s="116"/>
      <c r="I395" s="116"/>
      <c r="L395" s="170">
        <v>45835</v>
      </c>
      <c r="M395" s="116">
        <v>715.2</v>
      </c>
      <c r="N395" s="116">
        <v>727.1</v>
      </c>
      <c r="O395" s="116">
        <v>706.9</v>
      </c>
      <c r="P395" s="116">
        <v>707</v>
      </c>
      <c r="Q395" s="116">
        <v>715.2</v>
      </c>
      <c r="R395">
        <v>2934803</v>
      </c>
    </row>
    <row r="396" spans="1:18" x14ac:dyDescent="0.25">
      <c r="A396" s="170">
        <v>45838</v>
      </c>
      <c r="B396" s="116">
        <v>719.95</v>
      </c>
      <c r="C396" s="116">
        <v>711</v>
      </c>
      <c r="D396" s="116">
        <v>705.15</v>
      </c>
      <c r="E396" s="116">
        <v>718.25</v>
      </c>
      <c r="F396" s="116">
        <v>711</v>
      </c>
      <c r="G396">
        <v>96463</v>
      </c>
      <c r="H396" s="116"/>
      <c r="I396" s="116"/>
      <c r="L396" s="170">
        <v>45838</v>
      </c>
      <c r="M396" s="116">
        <v>711</v>
      </c>
      <c r="N396" s="116">
        <v>720</v>
      </c>
      <c r="O396" s="116">
        <v>705</v>
      </c>
      <c r="P396" s="116">
        <v>718.8</v>
      </c>
      <c r="Q396" s="116">
        <v>711</v>
      </c>
      <c r="R396">
        <v>1686790</v>
      </c>
    </row>
    <row r="397" spans="1:18" x14ac:dyDescent="0.25">
      <c r="A397" s="170">
        <v>45839</v>
      </c>
      <c r="B397" s="116">
        <v>715.45</v>
      </c>
      <c r="C397" s="116">
        <v>710.4</v>
      </c>
      <c r="D397" s="116">
        <v>708.6</v>
      </c>
      <c r="E397" s="116">
        <v>713.35</v>
      </c>
      <c r="F397" s="116">
        <v>710.4</v>
      </c>
      <c r="G397">
        <v>50593</v>
      </c>
      <c r="H397" s="116"/>
      <c r="I397" s="116"/>
      <c r="L397" s="170">
        <v>45839</v>
      </c>
      <c r="M397" s="116">
        <v>710.45</v>
      </c>
      <c r="N397" s="116">
        <v>715.55</v>
      </c>
      <c r="O397" s="116">
        <v>708.45</v>
      </c>
      <c r="P397" s="116">
        <v>712.05</v>
      </c>
      <c r="Q397" s="116">
        <v>710.45</v>
      </c>
      <c r="R397">
        <v>905454</v>
      </c>
    </row>
    <row r="398" spans="1:18" x14ac:dyDescent="0.25">
      <c r="A398" s="170">
        <v>45840</v>
      </c>
      <c r="B398" s="116">
        <v>715.8</v>
      </c>
      <c r="C398" s="116">
        <v>705.65</v>
      </c>
      <c r="D398" s="116">
        <v>701.6</v>
      </c>
      <c r="E398" s="116">
        <v>715.8</v>
      </c>
      <c r="F398" s="116">
        <v>705.65</v>
      </c>
      <c r="G398">
        <v>54384</v>
      </c>
      <c r="H398" s="116"/>
      <c r="I398" s="116"/>
      <c r="L398" s="170">
        <v>45840</v>
      </c>
      <c r="M398" s="116">
        <v>705.7</v>
      </c>
      <c r="N398" s="116">
        <v>715.5</v>
      </c>
      <c r="O398" s="116">
        <v>701.6</v>
      </c>
      <c r="P398" s="116">
        <v>712.3</v>
      </c>
      <c r="Q398" s="116">
        <v>705.7</v>
      </c>
      <c r="R398">
        <v>1266703</v>
      </c>
    </row>
    <row r="399" spans="1:18" x14ac:dyDescent="0.25">
      <c r="A399" s="170">
        <v>45841</v>
      </c>
      <c r="B399" s="116">
        <v>711.75</v>
      </c>
      <c r="C399" s="116">
        <v>705.9</v>
      </c>
      <c r="D399" s="116">
        <v>705</v>
      </c>
      <c r="E399" s="116">
        <v>709.95</v>
      </c>
      <c r="F399" s="116">
        <v>705.9</v>
      </c>
      <c r="G399">
        <v>37896</v>
      </c>
      <c r="H399" s="116"/>
      <c r="I399" s="116"/>
      <c r="L399" s="170">
        <v>45841</v>
      </c>
      <c r="M399" s="116">
        <v>706.15</v>
      </c>
      <c r="N399" s="116">
        <v>711.45</v>
      </c>
      <c r="O399" s="116">
        <v>704.85</v>
      </c>
      <c r="P399" s="116">
        <v>708</v>
      </c>
      <c r="Q399" s="116">
        <v>706.15</v>
      </c>
      <c r="R399">
        <v>799130</v>
      </c>
    </row>
    <row r="400" spans="1:18" x14ac:dyDescent="0.25">
      <c r="A400" s="170">
        <v>45842</v>
      </c>
      <c r="B400" s="116">
        <v>712.55</v>
      </c>
      <c r="C400" s="116">
        <v>708.3</v>
      </c>
      <c r="D400" s="116">
        <v>704.3</v>
      </c>
      <c r="E400" s="116">
        <v>709.45</v>
      </c>
      <c r="F400" s="116">
        <v>708.3</v>
      </c>
      <c r="G400">
        <v>36519</v>
      </c>
      <c r="H400" s="116"/>
      <c r="I400" s="116"/>
      <c r="L400" s="170">
        <v>45842</v>
      </c>
      <c r="M400" s="116">
        <v>708.15</v>
      </c>
      <c r="N400" s="116">
        <v>712.35</v>
      </c>
      <c r="O400" s="116">
        <v>704.1</v>
      </c>
      <c r="P400" s="116">
        <v>707.9</v>
      </c>
      <c r="Q400" s="116">
        <v>708.15</v>
      </c>
      <c r="R400">
        <v>951660</v>
      </c>
    </row>
    <row r="401" spans="1:18" x14ac:dyDescent="0.25">
      <c r="A401" s="170">
        <v>45845</v>
      </c>
      <c r="B401" s="116">
        <v>710.85</v>
      </c>
      <c r="C401" s="116">
        <v>704.35</v>
      </c>
      <c r="D401" s="116">
        <v>702.5</v>
      </c>
      <c r="E401" s="116">
        <v>708</v>
      </c>
      <c r="F401" s="116">
        <v>704.35</v>
      </c>
      <c r="G401">
        <v>70320</v>
      </c>
      <c r="H401" s="116"/>
      <c r="I401" s="116"/>
      <c r="L401" s="170">
        <v>45845</v>
      </c>
      <c r="M401" s="116">
        <v>704.3</v>
      </c>
      <c r="N401" s="116">
        <v>710.5</v>
      </c>
      <c r="O401" s="116">
        <v>702.5</v>
      </c>
      <c r="P401" s="116">
        <v>708.15</v>
      </c>
      <c r="Q401" s="116">
        <v>704.3</v>
      </c>
      <c r="R401">
        <v>560072</v>
      </c>
    </row>
    <row r="402" spans="1:18" x14ac:dyDescent="0.25">
      <c r="A402" s="170">
        <v>45846</v>
      </c>
      <c r="B402" s="116">
        <v>707.3</v>
      </c>
      <c r="C402" s="116">
        <v>700</v>
      </c>
      <c r="D402" s="116">
        <v>698.55</v>
      </c>
      <c r="E402" s="116">
        <v>705.1</v>
      </c>
      <c r="F402" s="116">
        <v>700</v>
      </c>
      <c r="G402">
        <v>83396</v>
      </c>
      <c r="H402" s="116"/>
      <c r="I402" s="116"/>
      <c r="L402" s="170">
        <v>45846</v>
      </c>
      <c r="M402" s="116">
        <v>700</v>
      </c>
      <c r="N402" s="116">
        <v>707.4</v>
      </c>
      <c r="O402" s="116">
        <v>698.4</v>
      </c>
      <c r="P402" s="116">
        <v>705.9</v>
      </c>
      <c r="Q402" s="116">
        <v>700</v>
      </c>
      <c r="R402">
        <v>931344</v>
      </c>
    </row>
    <row r="403" spans="1:18" x14ac:dyDescent="0.25">
      <c r="A403" s="170">
        <v>45847</v>
      </c>
      <c r="B403" s="116">
        <v>708.5</v>
      </c>
      <c r="C403" s="116">
        <v>703.75</v>
      </c>
      <c r="D403" s="116">
        <v>700.45</v>
      </c>
      <c r="E403" s="116">
        <v>702.05</v>
      </c>
      <c r="F403" s="116">
        <v>703.75</v>
      </c>
      <c r="G403">
        <v>103654</v>
      </c>
      <c r="H403" s="116"/>
      <c r="I403" s="116"/>
      <c r="L403" s="170">
        <v>45847</v>
      </c>
      <c r="M403" s="116">
        <v>703.95</v>
      </c>
      <c r="N403" s="116">
        <v>708.5</v>
      </c>
      <c r="O403" s="116">
        <v>700.45</v>
      </c>
      <c r="P403" s="116">
        <v>703</v>
      </c>
      <c r="Q403" s="116">
        <v>703.95</v>
      </c>
      <c r="R403">
        <v>778360</v>
      </c>
    </row>
    <row r="404" spans="1:18" x14ac:dyDescent="0.25">
      <c r="A404" s="170">
        <v>45848</v>
      </c>
      <c r="B404" s="116">
        <v>713.5</v>
      </c>
      <c r="C404" s="116">
        <v>708.45</v>
      </c>
      <c r="D404" s="116">
        <v>705.05</v>
      </c>
      <c r="E404" s="116">
        <v>705.05</v>
      </c>
      <c r="F404" s="116">
        <v>708.45</v>
      </c>
      <c r="G404">
        <v>71736</v>
      </c>
      <c r="H404" s="116"/>
      <c r="I404" s="116"/>
      <c r="L404" s="170">
        <v>45848</v>
      </c>
      <c r="M404" s="116">
        <v>708.55</v>
      </c>
      <c r="N404" s="116">
        <v>713.5</v>
      </c>
      <c r="O404" s="116">
        <v>705</v>
      </c>
      <c r="P404" s="116">
        <v>705.85</v>
      </c>
      <c r="Q404" s="116">
        <v>708.55</v>
      </c>
      <c r="R404">
        <v>926420</v>
      </c>
    </row>
    <row r="405" spans="1:18" x14ac:dyDescent="0.25">
      <c r="A405" s="170">
        <v>45849</v>
      </c>
      <c r="B405" s="116">
        <v>717.4</v>
      </c>
      <c r="C405" s="116">
        <v>708.25</v>
      </c>
      <c r="D405" s="116">
        <v>701</v>
      </c>
      <c r="E405" s="116">
        <v>706.5</v>
      </c>
      <c r="F405" s="116">
        <v>708.25</v>
      </c>
      <c r="G405">
        <v>66711</v>
      </c>
      <c r="H405" s="116"/>
      <c r="I405" s="116"/>
      <c r="L405" s="170">
        <v>45849</v>
      </c>
      <c r="M405" s="116">
        <v>708.8</v>
      </c>
      <c r="N405" s="116">
        <v>717.5</v>
      </c>
      <c r="O405" s="116">
        <v>700.25</v>
      </c>
      <c r="P405" s="116">
        <v>704.95</v>
      </c>
      <c r="Q405" s="116">
        <v>708.8</v>
      </c>
      <c r="R405">
        <v>1814961</v>
      </c>
    </row>
    <row r="406" spans="1:18" x14ac:dyDescent="0.25">
      <c r="A406" s="170">
        <v>45852</v>
      </c>
      <c r="B406" s="116">
        <v>722.85</v>
      </c>
      <c r="C406" s="116">
        <v>716.75</v>
      </c>
      <c r="D406" s="116">
        <v>702.2</v>
      </c>
      <c r="E406" s="116">
        <v>708.25</v>
      </c>
      <c r="F406" s="116">
        <v>716.75</v>
      </c>
      <c r="G406">
        <v>89251</v>
      </c>
      <c r="H406" s="116"/>
      <c r="I406" s="116"/>
      <c r="L406" s="170">
        <v>45852</v>
      </c>
      <c r="M406" s="116">
        <v>716.8</v>
      </c>
      <c r="N406" s="116">
        <v>722.7</v>
      </c>
      <c r="O406" s="116">
        <v>702</v>
      </c>
      <c r="P406" s="116">
        <v>708.4</v>
      </c>
      <c r="Q406" s="116">
        <v>716.8</v>
      </c>
      <c r="R406">
        <v>1716880</v>
      </c>
    </row>
    <row r="407" spans="1:18" x14ac:dyDescent="0.25">
      <c r="A407" s="170">
        <v>45853</v>
      </c>
      <c r="B407" s="116">
        <v>742</v>
      </c>
      <c r="C407" s="116">
        <v>732</v>
      </c>
      <c r="D407" s="116">
        <v>715.15</v>
      </c>
      <c r="E407" s="116">
        <v>715.25</v>
      </c>
      <c r="F407" s="116">
        <v>732</v>
      </c>
      <c r="G407">
        <v>329044</v>
      </c>
      <c r="H407" s="116"/>
      <c r="I407" s="116"/>
      <c r="L407" s="170">
        <v>45853</v>
      </c>
      <c r="M407" s="116">
        <v>731.95</v>
      </c>
      <c r="N407" s="116">
        <v>742</v>
      </c>
      <c r="O407" s="116">
        <v>715.2</v>
      </c>
      <c r="P407" s="116">
        <v>716.1</v>
      </c>
      <c r="Q407" s="116">
        <v>731.95</v>
      </c>
      <c r="R407">
        <v>7263964</v>
      </c>
    </row>
    <row r="408" spans="1:18" x14ac:dyDescent="0.25">
      <c r="A408" s="170">
        <v>45854</v>
      </c>
      <c r="B408" s="116">
        <v>745</v>
      </c>
      <c r="C408" s="116">
        <v>734.95</v>
      </c>
      <c r="D408" s="116">
        <v>730.25</v>
      </c>
      <c r="E408" s="116">
        <v>732</v>
      </c>
      <c r="F408" s="116">
        <v>734.95</v>
      </c>
      <c r="G408">
        <v>177305</v>
      </c>
      <c r="H408" s="116"/>
      <c r="I408" s="116"/>
      <c r="L408" s="170">
        <v>45854</v>
      </c>
      <c r="M408" s="116">
        <v>734.6</v>
      </c>
      <c r="N408" s="116">
        <v>745.4</v>
      </c>
      <c r="O408" s="116">
        <v>730.55</v>
      </c>
      <c r="P408" s="116">
        <v>732.55</v>
      </c>
      <c r="Q408" s="116">
        <v>734.6</v>
      </c>
      <c r="R408">
        <v>1973236</v>
      </c>
    </row>
    <row r="409" spans="1:18" x14ac:dyDescent="0.25">
      <c r="A409" s="170">
        <v>45855</v>
      </c>
      <c r="B409" s="116">
        <v>735.95</v>
      </c>
      <c r="C409" s="116">
        <v>724.4</v>
      </c>
      <c r="D409" s="116">
        <v>723</v>
      </c>
      <c r="E409" s="116">
        <v>735.95</v>
      </c>
      <c r="F409" s="116">
        <v>724.4</v>
      </c>
      <c r="G409">
        <v>122419</v>
      </c>
      <c r="H409" s="116"/>
      <c r="I409" s="116"/>
      <c r="L409" s="170">
        <v>45855</v>
      </c>
      <c r="M409" s="116">
        <v>724.8</v>
      </c>
      <c r="N409" s="116">
        <v>735.75</v>
      </c>
      <c r="O409" s="116">
        <v>722.7</v>
      </c>
      <c r="P409" s="116">
        <v>734.85</v>
      </c>
      <c r="Q409" s="116">
        <v>724.8</v>
      </c>
      <c r="R409">
        <v>714821</v>
      </c>
    </row>
    <row r="410" spans="1:18" x14ac:dyDescent="0.25">
      <c r="A410" s="170">
        <v>45856</v>
      </c>
      <c r="B410" s="116">
        <v>727.9</v>
      </c>
      <c r="C410" s="116">
        <v>712.95</v>
      </c>
      <c r="D410" s="116">
        <v>710.3</v>
      </c>
      <c r="E410" s="116">
        <v>727.9</v>
      </c>
      <c r="F410" s="116">
        <v>712.95</v>
      </c>
      <c r="G410">
        <v>61966</v>
      </c>
      <c r="H410" s="116"/>
      <c r="I410" s="116"/>
      <c r="L410" s="170">
        <v>45856</v>
      </c>
      <c r="M410" s="116">
        <v>712.5</v>
      </c>
      <c r="N410" s="116">
        <v>728</v>
      </c>
      <c r="O410" s="116">
        <v>710.3</v>
      </c>
      <c r="P410" s="116">
        <v>728</v>
      </c>
      <c r="Q410" s="116">
        <v>712.5</v>
      </c>
      <c r="R410">
        <v>836689</v>
      </c>
    </row>
    <row r="411" spans="1:18" x14ac:dyDescent="0.25">
      <c r="A411" s="170">
        <v>45859</v>
      </c>
      <c r="B411" s="116">
        <v>717.65</v>
      </c>
      <c r="C411" s="116">
        <v>716.3</v>
      </c>
      <c r="D411" s="116">
        <v>705.2</v>
      </c>
      <c r="E411" s="116">
        <v>710.4</v>
      </c>
      <c r="F411" s="116">
        <v>716.3</v>
      </c>
      <c r="G411">
        <v>84267</v>
      </c>
      <c r="H411" s="116"/>
      <c r="I411" s="116"/>
      <c r="L411" s="170">
        <v>45859</v>
      </c>
      <c r="M411" s="116">
        <v>716.35</v>
      </c>
      <c r="N411" s="116">
        <v>717.55</v>
      </c>
      <c r="O411" s="116">
        <v>705.45</v>
      </c>
      <c r="P411" s="116">
        <v>712.5</v>
      </c>
      <c r="Q411" s="116">
        <v>716.35</v>
      </c>
      <c r="R411">
        <v>743600</v>
      </c>
    </row>
    <row r="412" spans="1:18" x14ac:dyDescent="0.25">
      <c r="A412" s="170">
        <v>45860</v>
      </c>
      <c r="B412" s="116">
        <v>719.4</v>
      </c>
      <c r="C412" s="116">
        <v>715.55</v>
      </c>
      <c r="D412" s="116">
        <v>711.8</v>
      </c>
      <c r="E412" s="116">
        <v>716</v>
      </c>
      <c r="F412" s="116">
        <v>715.55</v>
      </c>
      <c r="G412">
        <v>29647</v>
      </c>
      <c r="H412" s="116"/>
      <c r="I412" s="116"/>
      <c r="L412" s="170">
        <v>45860</v>
      </c>
      <c r="M412" s="116">
        <v>715.6</v>
      </c>
      <c r="N412" s="116">
        <v>719.45</v>
      </c>
      <c r="O412" s="116">
        <v>711.55</v>
      </c>
      <c r="P412" s="116">
        <v>716.35</v>
      </c>
      <c r="Q412" s="116">
        <v>715.6</v>
      </c>
      <c r="R412">
        <v>768428</v>
      </c>
    </row>
    <row r="413" spans="1:18" x14ac:dyDescent="0.25">
      <c r="A413" s="170">
        <v>45861</v>
      </c>
      <c r="B413" s="116">
        <v>718.7</v>
      </c>
      <c r="C413" s="116">
        <v>716.25</v>
      </c>
      <c r="D413" s="116">
        <v>710.15</v>
      </c>
      <c r="E413" s="116">
        <v>718.25</v>
      </c>
      <c r="F413" s="116">
        <v>716.25</v>
      </c>
      <c r="G413">
        <v>30553</v>
      </c>
      <c r="H413" s="116"/>
      <c r="I413" s="116"/>
      <c r="L413" s="170">
        <v>45861</v>
      </c>
      <c r="M413" s="116">
        <v>716.15</v>
      </c>
      <c r="N413" s="116">
        <v>718.95</v>
      </c>
      <c r="O413" s="116">
        <v>710.15</v>
      </c>
      <c r="P413" s="116">
        <v>718</v>
      </c>
      <c r="Q413" s="116">
        <v>716.15</v>
      </c>
      <c r="R413">
        <v>585011</v>
      </c>
    </row>
    <row r="414" spans="1:18" x14ac:dyDescent="0.25">
      <c r="A414" s="170">
        <v>45862</v>
      </c>
      <c r="B414" s="116">
        <v>721.8</v>
      </c>
      <c r="C414" s="116">
        <v>718.1</v>
      </c>
      <c r="D414" s="116">
        <v>712.6</v>
      </c>
      <c r="E414" s="116">
        <v>715</v>
      </c>
      <c r="F414" s="116">
        <v>718.1</v>
      </c>
      <c r="G414">
        <v>101238</v>
      </c>
      <c r="H414" s="116"/>
      <c r="I414" s="116"/>
      <c r="L414" s="170">
        <v>45862</v>
      </c>
      <c r="M414" s="116">
        <v>718.15</v>
      </c>
      <c r="N414" s="116">
        <v>722.2</v>
      </c>
      <c r="O414" s="116">
        <v>712.5</v>
      </c>
      <c r="P414" s="116">
        <v>714.85</v>
      </c>
      <c r="Q414" s="116">
        <v>718.15</v>
      </c>
      <c r="R414">
        <v>885286</v>
      </c>
    </row>
    <row r="415" spans="1:18" x14ac:dyDescent="0.25">
      <c r="A415" s="170">
        <v>45863</v>
      </c>
      <c r="B415" s="116">
        <v>718.5</v>
      </c>
      <c r="C415" s="116">
        <v>707.9</v>
      </c>
      <c r="D415" s="116">
        <v>706.2</v>
      </c>
      <c r="E415" s="116">
        <v>715</v>
      </c>
      <c r="F415" s="116">
        <v>707.9</v>
      </c>
      <c r="G415">
        <v>40567</v>
      </c>
      <c r="H415" s="116"/>
      <c r="I415" s="116"/>
      <c r="L415" s="170">
        <v>45863</v>
      </c>
      <c r="M415" s="116">
        <v>708.35</v>
      </c>
      <c r="N415" s="116">
        <v>718.85</v>
      </c>
      <c r="O415" s="116">
        <v>706.5</v>
      </c>
      <c r="P415" s="116">
        <v>715</v>
      </c>
      <c r="Q415" s="116">
        <v>708.35</v>
      </c>
      <c r="R415">
        <v>1118644</v>
      </c>
    </row>
    <row r="416" spans="1:18" x14ac:dyDescent="0.25">
      <c r="A416" s="170">
        <v>45866</v>
      </c>
      <c r="B416" s="116">
        <v>714.8</v>
      </c>
      <c r="C416" s="116">
        <v>699.4</v>
      </c>
      <c r="D416" s="116">
        <v>697.5</v>
      </c>
      <c r="E416" s="116">
        <v>705.8</v>
      </c>
      <c r="F416" s="116">
        <v>699.4</v>
      </c>
      <c r="G416">
        <v>32619</v>
      </c>
      <c r="H416" s="116"/>
      <c r="I416" s="116"/>
      <c r="L416" s="170">
        <v>45866</v>
      </c>
      <c r="M416" s="116">
        <v>699.3</v>
      </c>
      <c r="N416" s="116">
        <v>714.9</v>
      </c>
      <c r="O416" s="116">
        <v>697.5</v>
      </c>
      <c r="P416" s="116">
        <v>705</v>
      </c>
      <c r="Q416" s="116">
        <v>699.3</v>
      </c>
      <c r="R416">
        <v>739800</v>
      </c>
    </row>
    <row r="417" spans="1:18" x14ac:dyDescent="0.25">
      <c r="A417" s="170">
        <v>45867</v>
      </c>
      <c r="B417" s="116">
        <v>709.3</v>
      </c>
      <c r="C417" s="116">
        <v>707.55</v>
      </c>
      <c r="D417" s="116">
        <v>696.05</v>
      </c>
      <c r="E417" s="116">
        <v>700</v>
      </c>
      <c r="F417" s="116">
        <v>707.55</v>
      </c>
      <c r="G417">
        <v>72778</v>
      </c>
      <c r="H417" s="116"/>
      <c r="I417" s="116"/>
      <c r="L417" s="170">
        <v>45867</v>
      </c>
      <c r="M417" s="116">
        <v>707.4</v>
      </c>
      <c r="N417" s="116">
        <v>709.5</v>
      </c>
      <c r="O417" s="116">
        <v>696.2</v>
      </c>
      <c r="P417" s="116">
        <v>699.3</v>
      </c>
      <c r="Q417" s="116">
        <v>707.4</v>
      </c>
      <c r="R417">
        <v>618012</v>
      </c>
    </row>
    <row r="418" spans="1:18" x14ac:dyDescent="0.25">
      <c r="A418" s="170">
        <v>45868</v>
      </c>
      <c r="B418" s="116">
        <v>713.2</v>
      </c>
      <c r="C418" s="116">
        <v>709.45</v>
      </c>
      <c r="D418" s="116">
        <v>703.75</v>
      </c>
      <c r="E418" s="116">
        <v>705.6</v>
      </c>
      <c r="F418" s="116">
        <v>709.45</v>
      </c>
      <c r="G418">
        <v>65451</v>
      </c>
      <c r="H418" s="116"/>
      <c r="I418" s="116"/>
      <c r="L418" s="170">
        <v>45868</v>
      </c>
      <c r="M418" s="116">
        <v>709.35</v>
      </c>
      <c r="N418" s="116">
        <v>714</v>
      </c>
      <c r="O418" s="116">
        <v>703.55</v>
      </c>
      <c r="P418" s="116">
        <v>707.5</v>
      </c>
      <c r="Q418" s="116">
        <v>709.35</v>
      </c>
      <c r="R418">
        <v>625725</v>
      </c>
    </row>
    <row r="419" spans="1:18" x14ac:dyDescent="0.25">
      <c r="A419" s="170">
        <v>45869</v>
      </c>
      <c r="B419" s="116">
        <v>710.5</v>
      </c>
      <c r="C419" s="116">
        <v>702.25</v>
      </c>
      <c r="D419" s="116">
        <v>699.2</v>
      </c>
      <c r="E419" s="116">
        <v>702.1</v>
      </c>
      <c r="F419" s="116">
        <v>702.25</v>
      </c>
      <c r="G419">
        <v>70604</v>
      </c>
      <c r="H419" s="116"/>
      <c r="I419" s="116"/>
      <c r="L419" s="170">
        <v>45869</v>
      </c>
      <c r="M419" s="116">
        <v>702.25</v>
      </c>
      <c r="N419" s="116">
        <v>710.55</v>
      </c>
      <c r="O419" s="116">
        <v>700</v>
      </c>
      <c r="P419" s="116">
        <v>702.2</v>
      </c>
      <c r="Q419" s="116">
        <v>702.25</v>
      </c>
      <c r="R419">
        <v>703237</v>
      </c>
    </row>
    <row r="420" spans="1:18" x14ac:dyDescent="0.25">
      <c r="A420" s="170">
        <v>45870</v>
      </c>
      <c r="B420" s="116">
        <v>706.15</v>
      </c>
      <c r="C420" s="116">
        <v>693.9</v>
      </c>
      <c r="D420" s="116">
        <v>692.1</v>
      </c>
      <c r="E420" s="116">
        <v>705.15</v>
      </c>
      <c r="F420" s="116">
        <v>693.9</v>
      </c>
      <c r="G420">
        <v>171201</v>
      </c>
      <c r="H420" s="116"/>
      <c r="I420" s="116"/>
      <c r="L420" s="170">
        <v>45870</v>
      </c>
      <c r="M420" s="116">
        <v>693.9</v>
      </c>
      <c r="N420" s="116">
        <v>706.25</v>
      </c>
      <c r="O420" s="116">
        <v>692</v>
      </c>
      <c r="P420" s="116">
        <v>703</v>
      </c>
      <c r="Q420" s="116">
        <v>693.9</v>
      </c>
      <c r="R420">
        <v>1312820</v>
      </c>
    </row>
    <row r="421" spans="1:18" x14ac:dyDescent="0.25">
      <c r="A421" s="170">
        <v>45873</v>
      </c>
      <c r="B421" s="116">
        <v>695.15</v>
      </c>
      <c r="C421" s="116">
        <v>693.75</v>
      </c>
      <c r="D421" s="116">
        <v>685.3</v>
      </c>
      <c r="E421" s="116">
        <v>693</v>
      </c>
      <c r="F421" s="116">
        <v>693.75</v>
      </c>
      <c r="G421">
        <v>86841</v>
      </c>
      <c r="H421" s="116"/>
      <c r="I421" s="116"/>
      <c r="L421" s="170">
        <v>45873</v>
      </c>
      <c r="M421" s="116">
        <v>694</v>
      </c>
      <c r="N421" s="116">
        <v>696</v>
      </c>
      <c r="O421" s="116">
        <v>685.1</v>
      </c>
      <c r="P421" s="116">
        <v>693.6</v>
      </c>
      <c r="Q421" s="116">
        <v>694</v>
      </c>
      <c r="R421">
        <v>694623</v>
      </c>
    </row>
    <row r="422" spans="1:18" x14ac:dyDescent="0.25">
      <c r="A422" s="170">
        <v>45874</v>
      </c>
      <c r="B422" s="116">
        <v>697.05</v>
      </c>
      <c r="C422" s="116">
        <v>687.9</v>
      </c>
      <c r="D422" s="116">
        <v>686.1</v>
      </c>
      <c r="E422" s="116">
        <v>693.75</v>
      </c>
      <c r="F422" s="116">
        <v>687.9</v>
      </c>
      <c r="G422">
        <v>24478</v>
      </c>
      <c r="H422" s="116"/>
      <c r="I422" s="116"/>
      <c r="L422" s="170">
        <v>45874</v>
      </c>
      <c r="M422" s="116">
        <v>688.1</v>
      </c>
      <c r="N422" s="116">
        <v>697.85</v>
      </c>
      <c r="O422" s="116">
        <v>686</v>
      </c>
      <c r="P422" s="116">
        <v>694</v>
      </c>
      <c r="Q422" s="116">
        <v>688.1</v>
      </c>
      <c r="R422">
        <v>485545</v>
      </c>
    </row>
    <row r="423" spans="1:18" x14ac:dyDescent="0.25">
      <c r="A423" s="170">
        <v>45875</v>
      </c>
      <c r="B423" s="116">
        <v>690.95</v>
      </c>
      <c r="C423" s="116">
        <v>668.4</v>
      </c>
      <c r="D423" s="116">
        <v>667</v>
      </c>
      <c r="E423" s="116">
        <v>685.65</v>
      </c>
      <c r="F423" s="116">
        <v>668.4</v>
      </c>
      <c r="G423">
        <v>69857</v>
      </c>
      <c r="H423" s="116"/>
      <c r="I423" s="116"/>
      <c r="L423" s="170">
        <v>45875</v>
      </c>
      <c r="M423" s="116">
        <v>668.5</v>
      </c>
      <c r="N423" s="116">
        <v>691.45</v>
      </c>
      <c r="O423" s="116">
        <v>667.05</v>
      </c>
      <c r="P423" s="116">
        <v>688.3</v>
      </c>
      <c r="Q423" s="116">
        <v>668.5</v>
      </c>
      <c r="R423">
        <v>1330543</v>
      </c>
    </row>
    <row r="424" spans="1:18" x14ac:dyDescent="0.25">
      <c r="A424" s="170">
        <v>45876</v>
      </c>
      <c r="B424" s="116">
        <v>671.25</v>
      </c>
      <c r="C424" s="116">
        <v>668.45</v>
      </c>
      <c r="D424" s="116">
        <v>652.5</v>
      </c>
      <c r="E424" s="116">
        <v>665.05</v>
      </c>
      <c r="F424" s="116">
        <v>668.45</v>
      </c>
      <c r="G424">
        <v>56156</v>
      </c>
      <c r="H424" s="116"/>
      <c r="I424" s="116"/>
      <c r="L424" s="170">
        <v>45876</v>
      </c>
      <c r="M424" s="116">
        <v>668.2</v>
      </c>
      <c r="N424" s="116">
        <v>671.4</v>
      </c>
      <c r="O424" s="116">
        <v>652.5</v>
      </c>
      <c r="P424" s="116">
        <v>665.1</v>
      </c>
      <c r="Q424" s="116">
        <v>668.2</v>
      </c>
      <c r="R424">
        <v>1124636</v>
      </c>
    </row>
    <row r="425" spans="1:18" x14ac:dyDescent="0.25">
      <c r="A425" s="170">
        <v>45877</v>
      </c>
      <c r="B425" s="116">
        <v>671.15</v>
      </c>
      <c r="C425" s="116">
        <v>659.1</v>
      </c>
      <c r="D425" s="116">
        <v>656</v>
      </c>
      <c r="E425" s="116">
        <v>668.45</v>
      </c>
      <c r="F425" s="116">
        <v>659.1</v>
      </c>
      <c r="G425">
        <v>68450</v>
      </c>
      <c r="H425" s="116"/>
      <c r="I425" s="116"/>
      <c r="L425" s="170">
        <v>45877</v>
      </c>
      <c r="M425" s="116">
        <v>659.2</v>
      </c>
      <c r="N425" s="116">
        <v>671</v>
      </c>
      <c r="O425" s="116">
        <v>656</v>
      </c>
      <c r="P425" s="116">
        <v>668.5</v>
      </c>
      <c r="Q425" s="116">
        <v>659.2</v>
      </c>
      <c r="R425">
        <v>591462</v>
      </c>
    </row>
    <row r="426" spans="1:18" x14ac:dyDescent="0.25">
      <c r="A426" s="170">
        <v>45880</v>
      </c>
      <c r="B426" s="116">
        <v>662.4</v>
      </c>
      <c r="C426" s="116">
        <v>659.65</v>
      </c>
      <c r="D426" s="116">
        <v>653.4</v>
      </c>
      <c r="E426" s="116">
        <v>659.2</v>
      </c>
      <c r="F426" s="116">
        <v>659.65</v>
      </c>
      <c r="G426">
        <v>35696</v>
      </c>
      <c r="H426" s="116"/>
      <c r="I426" s="116"/>
      <c r="L426" s="170">
        <v>45880</v>
      </c>
      <c r="M426" s="116">
        <v>660.1</v>
      </c>
      <c r="N426" s="116">
        <v>662.2</v>
      </c>
      <c r="O426" s="116">
        <v>653.29999999999995</v>
      </c>
      <c r="P426" s="116">
        <v>659.2</v>
      </c>
      <c r="Q426" s="116">
        <v>660.1</v>
      </c>
      <c r="R426">
        <v>489217</v>
      </c>
    </row>
    <row r="427" spans="1:18" x14ac:dyDescent="0.25">
      <c r="A427" s="170">
        <v>45881</v>
      </c>
      <c r="B427" s="116">
        <v>669.25</v>
      </c>
      <c r="C427" s="116">
        <v>659.5</v>
      </c>
      <c r="D427" s="116">
        <v>657</v>
      </c>
      <c r="E427" s="116">
        <v>667.75</v>
      </c>
      <c r="F427" s="116">
        <v>659.5</v>
      </c>
      <c r="G427">
        <v>40785</v>
      </c>
      <c r="H427" s="116"/>
      <c r="I427" s="116"/>
      <c r="L427" s="170">
        <v>45881</v>
      </c>
      <c r="M427" s="116">
        <v>659.2</v>
      </c>
      <c r="N427" s="116">
        <v>669.8</v>
      </c>
      <c r="O427" s="116">
        <v>657.2</v>
      </c>
      <c r="P427" s="116">
        <v>664</v>
      </c>
      <c r="Q427" s="116">
        <v>659.2</v>
      </c>
      <c r="R427">
        <v>671972</v>
      </c>
    </row>
    <row r="428" spans="1:18" x14ac:dyDescent="0.25">
      <c r="A428" s="170">
        <v>45882</v>
      </c>
      <c r="B428" s="116">
        <v>669.7</v>
      </c>
      <c r="C428" s="116">
        <v>666.35</v>
      </c>
      <c r="D428" s="116">
        <v>660.05</v>
      </c>
      <c r="E428" s="116">
        <v>660.25</v>
      </c>
      <c r="F428" s="116">
        <v>666.35</v>
      </c>
      <c r="G428">
        <v>67591</v>
      </c>
      <c r="H428" s="116"/>
      <c r="I428" s="116"/>
      <c r="L428" s="170">
        <v>45882</v>
      </c>
      <c r="M428" s="116">
        <v>666.75</v>
      </c>
      <c r="N428" s="116">
        <v>669.7</v>
      </c>
      <c r="O428" s="116">
        <v>659.8</v>
      </c>
      <c r="P428" s="116">
        <v>662</v>
      </c>
      <c r="Q428" s="116">
        <v>666.75</v>
      </c>
      <c r="R428">
        <v>555429</v>
      </c>
    </row>
    <row r="429" spans="1:18" x14ac:dyDescent="0.25">
      <c r="A429" s="170">
        <v>45883</v>
      </c>
      <c r="B429" s="116">
        <v>672.5</v>
      </c>
      <c r="C429" s="116">
        <v>663.7</v>
      </c>
      <c r="D429" s="116">
        <v>662.15</v>
      </c>
      <c r="E429" s="116">
        <v>669.65</v>
      </c>
      <c r="F429" s="116">
        <v>663.7</v>
      </c>
      <c r="G429">
        <v>27731</v>
      </c>
      <c r="H429" s="116"/>
      <c r="I429" s="116"/>
      <c r="L429" s="170">
        <v>45883</v>
      </c>
      <c r="M429" s="116">
        <v>663.35</v>
      </c>
      <c r="N429" s="116">
        <v>672.65</v>
      </c>
      <c r="O429" s="116">
        <v>662</v>
      </c>
      <c r="P429" s="116">
        <v>668.4</v>
      </c>
      <c r="Q429" s="116">
        <v>663.35</v>
      </c>
      <c r="R429">
        <v>467036</v>
      </c>
    </row>
    <row r="430" spans="1:18" x14ac:dyDescent="0.25">
      <c r="A430" s="170">
        <v>45887</v>
      </c>
      <c r="B430" s="116">
        <v>676</v>
      </c>
      <c r="C430" s="116">
        <v>671.65</v>
      </c>
      <c r="D430" s="116">
        <v>666.35</v>
      </c>
      <c r="E430" s="116">
        <v>669.2</v>
      </c>
      <c r="F430" s="116">
        <v>671.65</v>
      </c>
      <c r="G430">
        <v>65782</v>
      </c>
      <c r="H430" s="116"/>
      <c r="I430" s="116"/>
      <c r="L430" s="170">
        <v>45887</v>
      </c>
      <c r="M430" s="116">
        <v>671.75</v>
      </c>
      <c r="N430" s="116">
        <v>675.7</v>
      </c>
      <c r="O430" s="116">
        <v>666.35</v>
      </c>
      <c r="P430" s="116">
        <v>671</v>
      </c>
      <c r="Q430" s="116">
        <v>671.75</v>
      </c>
      <c r="R430">
        <v>507010</v>
      </c>
    </row>
    <row r="431" spans="1:18" x14ac:dyDescent="0.25">
      <c r="A431" s="170">
        <v>45888</v>
      </c>
      <c r="B431" s="116">
        <v>684.35</v>
      </c>
      <c r="C431" s="116">
        <v>682.95</v>
      </c>
      <c r="D431" s="116">
        <v>670.05</v>
      </c>
      <c r="E431" s="116">
        <v>671.25</v>
      </c>
      <c r="F431" s="116">
        <v>682.95</v>
      </c>
      <c r="G431">
        <v>36294</v>
      </c>
      <c r="H431" s="116"/>
      <c r="I431" s="116"/>
      <c r="L431" s="170">
        <v>45888</v>
      </c>
      <c r="M431" s="116">
        <v>682.75</v>
      </c>
      <c r="N431" s="116">
        <v>684</v>
      </c>
      <c r="O431" s="116">
        <v>670.05</v>
      </c>
      <c r="P431" s="116">
        <v>671.95</v>
      </c>
      <c r="Q431" s="116">
        <v>682.75</v>
      </c>
      <c r="R431">
        <v>618239</v>
      </c>
    </row>
    <row r="432" spans="1:18" x14ac:dyDescent="0.25">
      <c r="A432" s="170">
        <v>45889</v>
      </c>
      <c r="B432" s="116">
        <v>693.95</v>
      </c>
      <c r="C432" s="116">
        <v>688.75</v>
      </c>
      <c r="D432" s="116">
        <v>680.45</v>
      </c>
      <c r="E432" s="116">
        <v>682.75</v>
      </c>
      <c r="F432" s="116">
        <v>688.75</v>
      </c>
      <c r="G432">
        <v>69892</v>
      </c>
      <c r="H432" s="116"/>
      <c r="I432" s="116"/>
      <c r="L432" s="170">
        <v>45889</v>
      </c>
      <c r="M432" s="116">
        <v>689</v>
      </c>
      <c r="N432" s="116">
        <v>694</v>
      </c>
      <c r="O432" s="116">
        <v>680.25</v>
      </c>
      <c r="P432" s="116">
        <v>682.7</v>
      </c>
      <c r="Q432" s="116">
        <v>689</v>
      </c>
      <c r="R432">
        <v>655106</v>
      </c>
    </row>
    <row r="433" spans="1:18" x14ac:dyDescent="0.25">
      <c r="A433" s="170">
        <v>45890</v>
      </c>
      <c r="B433" s="116">
        <v>695.4</v>
      </c>
      <c r="C433" s="116">
        <v>686.75</v>
      </c>
      <c r="D433" s="116">
        <v>685.4</v>
      </c>
      <c r="E433" s="116">
        <v>695.4</v>
      </c>
      <c r="F433" s="116">
        <v>686.75</v>
      </c>
      <c r="G433">
        <v>35801</v>
      </c>
      <c r="H433" s="116"/>
      <c r="I433" s="116"/>
      <c r="L433" s="170">
        <v>45890</v>
      </c>
      <c r="M433" s="116">
        <v>686.55</v>
      </c>
      <c r="N433" s="116">
        <v>694.55</v>
      </c>
      <c r="O433" s="116">
        <v>685.2</v>
      </c>
      <c r="P433" s="116">
        <v>692.2</v>
      </c>
      <c r="Q433" s="116">
        <v>686.55</v>
      </c>
      <c r="R433">
        <v>465186</v>
      </c>
    </row>
    <row r="434" spans="1:18" x14ac:dyDescent="0.25">
      <c r="A434" s="170">
        <v>45891</v>
      </c>
      <c r="B434" s="116">
        <v>689.85</v>
      </c>
      <c r="C434" s="116">
        <v>683.75</v>
      </c>
      <c r="D434" s="116">
        <v>682.35</v>
      </c>
      <c r="E434" s="116">
        <v>686.25</v>
      </c>
      <c r="F434" s="116">
        <v>683.75</v>
      </c>
      <c r="G434">
        <v>49608</v>
      </c>
      <c r="H434" s="116"/>
      <c r="I434" s="116"/>
      <c r="L434" s="170">
        <v>45891</v>
      </c>
      <c r="M434" s="116">
        <v>683.6</v>
      </c>
      <c r="N434" s="116">
        <v>689.1</v>
      </c>
      <c r="O434" s="116">
        <v>682.3</v>
      </c>
      <c r="P434" s="116">
        <v>686.95</v>
      </c>
      <c r="Q434" s="116">
        <v>683.6</v>
      </c>
      <c r="R434">
        <v>291916</v>
      </c>
    </row>
    <row r="435" spans="1:18" x14ac:dyDescent="0.25">
      <c r="A435" s="170">
        <v>45894</v>
      </c>
      <c r="B435" s="116">
        <v>693.9</v>
      </c>
      <c r="C435" s="116">
        <v>685.3</v>
      </c>
      <c r="D435" s="116">
        <v>684.25</v>
      </c>
      <c r="E435" s="116">
        <v>689.95</v>
      </c>
      <c r="F435" s="116">
        <v>685.3</v>
      </c>
      <c r="G435">
        <v>62838</v>
      </c>
      <c r="H435" s="116"/>
      <c r="I435" s="116"/>
      <c r="L435" s="170">
        <v>45894</v>
      </c>
      <c r="M435" s="116">
        <v>685.15</v>
      </c>
      <c r="N435" s="116">
        <v>693.85</v>
      </c>
      <c r="O435" s="116">
        <v>684</v>
      </c>
      <c r="P435" s="116">
        <v>690</v>
      </c>
      <c r="Q435" s="116">
        <v>685.15</v>
      </c>
      <c r="R435">
        <v>583277</v>
      </c>
    </row>
    <row r="436" spans="1:18" x14ac:dyDescent="0.25">
      <c r="A436" s="170">
        <v>45895</v>
      </c>
      <c r="B436" s="116">
        <v>687</v>
      </c>
      <c r="C436" s="116">
        <v>679.1</v>
      </c>
      <c r="D436" s="116">
        <v>676.25</v>
      </c>
      <c r="E436" s="116">
        <v>683.05</v>
      </c>
      <c r="F436" s="116">
        <v>679.1</v>
      </c>
      <c r="G436">
        <v>67503</v>
      </c>
      <c r="H436" s="116"/>
      <c r="I436" s="116"/>
      <c r="L436" s="170">
        <v>45895</v>
      </c>
      <c r="M436" s="116">
        <v>679.15</v>
      </c>
      <c r="N436" s="116">
        <v>687.5</v>
      </c>
      <c r="O436" s="116">
        <v>676.35</v>
      </c>
      <c r="P436" s="116">
        <v>683.75</v>
      </c>
      <c r="Q436" s="116">
        <v>679.15</v>
      </c>
      <c r="R436">
        <v>664263</v>
      </c>
    </row>
    <row r="437" spans="1:18" x14ac:dyDescent="0.25">
      <c r="A437" s="170">
        <v>45897</v>
      </c>
      <c r="B437" s="116">
        <v>678.9</v>
      </c>
      <c r="C437" s="116">
        <v>662.9</v>
      </c>
      <c r="D437" s="116">
        <v>660</v>
      </c>
      <c r="E437" s="116">
        <v>676.5</v>
      </c>
      <c r="F437" s="116">
        <v>662.9</v>
      </c>
      <c r="G437">
        <v>34016</v>
      </c>
      <c r="H437" s="116"/>
      <c r="I437" s="116"/>
      <c r="L437" s="170">
        <v>45897</v>
      </c>
      <c r="M437" s="116">
        <v>662.15</v>
      </c>
      <c r="N437" s="116">
        <v>679.15</v>
      </c>
      <c r="O437" s="116">
        <v>659.2</v>
      </c>
      <c r="P437" s="116">
        <v>677</v>
      </c>
      <c r="Q437" s="116">
        <v>662.15</v>
      </c>
      <c r="R437">
        <v>715484</v>
      </c>
    </row>
    <row r="438" spans="1:18" x14ac:dyDescent="0.25">
      <c r="A438" s="170">
        <v>45898</v>
      </c>
      <c r="B438" s="116">
        <v>668.25</v>
      </c>
      <c r="C438" s="116">
        <v>657.35</v>
      </c>
      <c r="D438" s="116">
        <v>655.35</v>
      </c>
      <c r="E438" s="116">
        <v>665</v>
      </c>
      <c r="F438" s="116">
        <v>657.35</v>
      </c>
      <c r="G438">
        <v>75585</v>
      </c>
      <c r="H438" s="116"/>
      <c r="I438" s="116"/>
      <c r="L438" s="170">
        <v>45898</v>
      </c>
      <c r="M438" s="116">
        <v>657.25</v>
      </c>
      <c r="N438" s="116">
        <v>668</v>
      </c>
      <c r="O438" s="116">
        <v>655</v>
      </c>
      <c r="P438" s="116">
        <v>664.95</v>
      </c>
      <c r="Q438" s="116">
        <v>657.25</v>
      </c>
      <c r="R438">
        <v>432250</v>
      </c>
    </row>
    <row r="439" spans="1:18" x14ac:dyDescent="0.25">
      <c r="A439" s="170">
        <v>45901</v>
      </c>
      <c r="B439" s="116">
        <v>678.9</v>
      </c>
      <c r="C439" s="116">
        <v>677.75</v>
      </c>
      <c r="D439" s="116">
        <v>653</v>
      </c>
      <c r="E439" s="116">
        <v>657.35</v>
      </c>
      <c r="F439" s="116">
        <v>677.75</v>
      </c>
      <c r="G439">
        <v>111003</v>
      </c>
      <c r="H439" s="116"/>
      <c r="I439" s="116"/>
      <c r="L439" s="170">
        <v>45901</v>
      </c>
      <c r="M439" s="116">
        <v>677.15</v>
      </c>
      <c r="N439" s="116">
        <v>679</v>
      </c>
      <c r="O439" s="116">
        <v>652</v>
      </c>
      <c r="P439" s="116">
        <v>657.25</v>
      </c>
      <c r="Q439" s="116">
        <v>677.15</v>
      </c>
      <c r="R439">
        <v>810099</v>
      </c>
    </row>
    <row r="440" spans="1:18" x14ac:dyDescent="0.25">
      <c r="A440" s="170">
        <v>45902</v>
      </c>
      <c r="B440" s="116">
        <v>690</v>
      </c>
      <c r="C440" s="116">
        <v>680.9</v>
      </c>
      <c r="D440" s="116">
        <v>673.2</v>
      </c>
      <c r="E440" s="116">
        <v>673.2</v>
      </c>
      <c r="F440" s="116">
        <v>680.9</v>
      </c>
      <c r="G440">
        <v>62796</v>
      </c>
      <c r="H440" s="116"/>
      <c r="I440" s="116"/>
      <c r="L440" s="170">
        <v>45902</v>
      </c>
      <c r="M440" s="116">
        <v>681.1</v>
      </c>
      <c r="N440" s="116">
        <v>690</v>
      </c>
      <c r="O440" s="116">
        <v>674</v>
      </c>
      <c r="P440" s="116">
        <v>677.15</v>
      </c>
      <c r="Q440" s="116">
        <v>681.1</v>
      </c>
      <c r="R440">
        <v>625279</v>
      </c>
    </row>
    <row r="441" spans="1:18" x14ac:dyDescent="0.25">
      <c r="A441" s="170">
        <v>45903</v>
      </c>
      <c r="B441" s="116">
        <v>687</v>
      </c>
      <c r="C441" s="116">
        <v>684.9</v>
      </c>
      <c r="D441" s="116">
        <v>678.7</v>
      </c>
      <c r="E441" s="116">
        <v>684</v>
      </c>
      <c r="F441" s="116">
        <v>684.9</v>
      </c>
      <c r="G441">
        <v>20935</v>
      </c>
      <c r="H441" s="116"/>
      <c r="I441" s="116"/>
      <c r="L441" s="170">
        <v>45903</v>
      </c>
      <c r="M441" s="116">
        <v>684.8</v>
      </c>
      <c r="N441" s="116">
        <v>686.8</v>
      </c>
      <c r="O441" s="116">
        <v>677.95</v>
      </c>
      <c r="P441" s="116">
        <v>684.6</v>
      </c>
      <c r="Q441" s="116">
        <v>684.8</v>
      </c>
      <c r="R441">
        <v>408618</v>
      </c>
    </row>
    <row r="442" spans="1:18" x14ac:dyDescent="0.25">
      <c r="A442" s="170">
        <v>45904</v>
      </c>
      <c r="B442" s="116">
        <v>690.5</v>
      </c>
      <c r="C442" s="116">
        <v>675.9</v>
      </c>
      <c r="D442" s="116">
        <v>674.1</v>
      </c>
      <c r="E442" s="116">
        <v>690</v>
      </c>
      <c r="F442" s="116">
        <v>675.9</v>
      </c>
      <c r="G442">
        <v>52717</v>
      </c>
      <c r="H442" s="116"/>
      <c r="I442" s="116"/>
      <c r="L442" s="170">
        <v>45904</v>
      </c>
      <c r="M442" s="116">
        <v>676.05</v>
      </c>
      <c r="N442" s="116">
        <v>690.95</v>
      </c>
      <c r="O442" s="116">
        <v>674.3</v>
      </c>
      <c r="P442" s="116">
        <v>689.5</v>
      </c>
      <c r="Q442" s="116">
        <v>676.05</v>
      </c>
      <c r="R442">
        <v>376569</v>
      </c>
    </row>
    <row r="443" spans="1:18" x14ac:dyDescent="0.25">
      <c r="A443" s="170">
        <v>45905</v>
      </c>
      <c r="B443" s="116">
        <v>680.25</v>
      </c>
      <c r="C443" s="116">
        <v>672.35</v>
      </c>
      <c r="D443" s="116">
        <v>666.8</v>
      </c>
      <c r="E443" s="116">
        <v>676.25</v>
      </c>
      <c r="F443" s="116">
        <v>672.35</v>
      </c>
      <c r="G443">
        <v>37288</v>
      </c>
      <c r="H443" s="116"/>
      <c r="I443" s="116"/>
      <c r="L443" s="170">
        <v>45905</v>
      </c>
      <c r="M443" s="116">
        <v>672.1</v>
      </c>
      <c r="N443" s="116">
        <v>680.6</v>
      </c>
      <c r="O443" s="116">
        <v>666.4</v>
      </c>
      <c r="P443" s="116">
        <v>676.2</v>
      </c>
      <c r="Q443" s="116">
        <v>672.1</v>
      </c>
      <c r="R443">
        <v>582676</v>
      </c>
    </row>
    <row r="444" spans="1:18" x14ac:dyDescent="0.25">
      <c r="A444" s="170">
        <v>45908</v>
      </c>
      <c r="B444" s="116">
        <v>683.7</v>
      </c>
      <c r="C444" s="116">
        <v>678.95</v>
      </c>
      <c r="D444" s="116">
        <v>672.35</v>
      </c>
      <c r="E444" s="116">
        <v>672.5</v>
      </c>
      <c r="F444" s="116">
        <v>678.95</v>
      </c>
      <c r="G444">
        <v>76548</v>
      </c>
      <c r="H444" s="116"/>
      <c r="I444" s="116"/>
      <c r="L444" s="170">
        <v>45908</v>
      </c>
      <c r="M444" s="116">
        <v>678.2</v>
      </c>
      <c r="N444" s="116">
        <v>684</v>
      </c>
      <c r="O444" s="116">
        <v>672.8</v>
      </c>
      <c r="P444" s="116">
        <v>674.05</v>
      </c>
      <c r="Q444" s="116">
        <v>678.2</v>
      </c>
      <c r="R444">
        <v>527291</v>
      </c>
    </row>
    <row r="445" spans="1:18" x14ac:dyDescent="0.25">
      <c r="A445" s="170">
        <v>45909</v>
      </c>
      <c r="B445" s="116">
        <v>689</v>
      </c>
      <c r="C445" s="116">
        <v>679.85</v>
      </c>
      <c r="D445" s="116">
        <v>679</v>
      </c>
      <c r="E445" s="116">
        <v>679.2</v>
      </c>
      <c r="F445" s="116">
        <v>679.85</v>
      </c>
      <c r="G445">
        <v>67325</v>
      </c>
      <c r="H445" s="116"/>
      <c r="I445" s="116"/>
      <c r="L445" s="170">
        <v>45909</v>
      </c>
      <c r="M445" s="116">
        <v>679.55</v>
      </c>
      <c r="N445" s="116">
        <v>689.1</v>
      </c>
      <c r="O445" s="116">
        <v>678.25</v>
      </c>
      <c r="P445" s="116">
        <v>680.1</v>
      </c>
      <c r="Q445" s="116">
        <v>679.55</v>
      </c>
      <c r="R445">
        <v>598002</v>
      </c>
    </row>
    <row r="446" spans="1:18" x14ac:dyDescent="0.25">
      <c r="A446" s="170">
        <v>45910</v>
      </c>
      <c r="B446" s="116">
        <v>711.1</v>
      </c>
      <c r="C446" s="116">
        <v>704.95</v>
      </c>
      <c r="D446" s="116">
        <v>681.55</v>
      </c>
      <c r="E446" s="116">
        <v>681.55</v>
      </c>
      <c r="F446" s="116">
        <v>704.95</v>
      </c>
      <c r="G446">
        <v>235653</v>
      </c>
      <c r="H446" s="116"/>
      <c r="I446" s="116"/>
      <c r="L446" s="170">
        <v>45910</v>
      </c>
      <c r="M446" s="116">
        <v>704.85</v>
      </c>
      <c r="N446" s="116">
        <v>711.9</v>
      </c>
      <c r="O446" s="116">
        <v>682.05</v>
      </c>
      <c r="P446" s="116">
        <v>683.8</v>
      </c>
      <c r="Q446" s="116">
        <v>704.85</v>
      </c>
      <c r="R446">
        <v>2612862</v>
      </c>
    </row>
    <row r="447" spans="1:18" x14ac:dyDescent="0.25">
      <c r="A447" s="170">
        <v>45911</v>
      </c>
      <c r="B447" s="116">
        <v>709</v>
      </c>
      <c r="C447" s="116">
        <v>701.7</v>
      </c>
      <c r="D447" s="116">
        <v>698</v>
      </c>
      <c r="E447" s="116">
        <v>705.05</v>
      </c>
      <c r="F447" s="116">
        <v>701.7</v>
      </c>
      <c r="G447">
        <v>87183</v>
      </c>
      <c r="H447" s="116"/>
      <c r="I447" s="116"/>
      <c r="L447" s="170">
        <v>45911</v>
      </c>
      <c r="M447" s="116">
        <v>702.1</v>
      </c>
      <c r="N447" s="116">
        <v>709</v>
      </c>
      <c r="O447" s="116">
        <v>698</v>
      </c>
      <c r="P447" s="116">
        <v>709</v>
      </c>
      <c r="Q447" s="116">
        <v>702.1</v>
      </c>
      <c r="R447">
        <v>902219</v>
      </c>
    </row>
    <row r="448" spans="1:18" x14ac:dyDescent="0.25">
      <c r="A448" s="170">
        <v>45912</v>
      </c>
      <c r="B448" s="116">
        <v>707.45</v>
      </c>
      <c r="C448" s="116">
        <v>701.85</v>
      </c>
      <c r="D448" s="116">
        <v>700</v>
      </c>
      <c r="E448" s="116">
        <v>702.65</v>
      </c>
      <c r="F448" s="116">
        <v>701.85</v>
      </c>
      <c r="G448">
        <v>40952</v>
      </c>
      <c r="H448" s="116"/>
      <c r="I448" s="116"/>
      <c r="L448" s="170">
        <v>45912</v>
      </c>
      <c r="M448" s="116">
        <v>702.1</v>
      </c>
      <c r="N448" s="116">
        <v>707.3</v>
      </c>
      <c r="O448" s="116">
        <v>700</v>
      </c>
      <c r="P448" s="116">
        <v>703</v>
      </c>
      <c r="Q448" s="116">
        <v>702.1</v>
      </c>
      <c r="R448">
        <v>705641</v>
      </c>
    </row>
    <row r="449" spans="1:18" x14ac:dyDescent="0.25">
      <c r="A449" s="170">
        <v>45915</v>
      </c>
      <c r="B449" s="116">
        <v>721</v>
      </c>
      <c r="C449" s="116">
        <v>711.2</v>
      </c>
      <c r="D449" s="116">
        <v>708</v>
      </c>
      <c r="E449" s="116">
        <v>713</v>
      </c>
      <c r="F449" s="116">
        <v>711.2</v>
      </c>
      <c r="G449">
        <v>102682</v>
      </c>
      <c r="H449" s="116"/>
      <c r="I449" s="116"/>
      <c r="L449" s="170">
        <v>45915</v>
      </c>
      <c r="M449" s="116">
        <v>711.45</v>
      </c>
      <c r="N449" s="116">
        <v>720.75</v>
      </c>
      <c r="O449" s="116">
        <v>707.75</v>
      </c>
      <c r="P449" s="116">
        <v>710.15</v>
      </c>
      <c r="Q449" s="116">
        <v>711.45</v>
      </c>
      <c r="R449">
        <v>2115248</v>
      </c>
    </row>
    <row r="450" spans="1:18" x14ac:dyDescent="0.25">
      <c r="A450" s="170">
        <v>45916</v>
      </c>
      <c r="B450" s="116">
        <v>715.95</v>
      </c>
      <c r="C450" s="116">
        <v>710.95</v>
      </c>
      <c r="D450" s="116">
        <v>706.5</v>
      </c>
      <c r="E450" s="116">
        <v>713.95</v>
      </c>
      <c r="F450" s="116">
        <v>710.95</v>
      </c>
      <c r="G450">
        <v>49605</v>
      </c>
      <c r="H450" s="116"/>
      <c r="I450" s="116"/>
      <c r="L450" s="170">
        <v>45916</v>
      </c>
      <c r="M450" s="116">
        <v>711.2</v>
      </c>
      <c r="N450" s="116">
        <v>715</v>
      </c>
      <c r="O450" s="116">
        <v>706</v>
      </c>
      <c r="P450" s="116">
        <v>711.95</v>
      </c>
      <c r="Q450" s="116">
        <v>711.2</v>
      </c>
      <c r="R450">
        <v>866794</v>
      </c>
    </row>
    <row r="451" spans="1:18" x14ac:dyDescent="0.25">
      <c r="A451" s="170">
        <v>45917</v>
      </c>
      <c r="B451" s="116">
        <v>719.45</v>
      </c>
      <c r="C451" s="116">
        <v>714.05</v>
      </c>
      <c r="D451" s="116">
        <v>711.4</v>
      </c>
      <c r="E451" s="116">
        <v>715</v>
      </c>
      <c r="F451" s="116">
        <v>714.05</v>
      </c>
      <c r="G451">
        <v>52174</v>
      </c>
      <c r="H451" s="116"/>
      <c r="I451" s="116"/>
      <c r="L451" s="170">
        <v>45917</v>
      </c>
      <c r="M451" s="116">
        <v>714</v>
      </c>
      <c r="N451" s="116">
        <v>719.75</v>
      </c>
      <c r="O451" s="116">
        <v>711</v>
      </c>
      <c r="P451" s="116">
        <v>714.5</v>
      </c>
      <c r="Q451" s="116">
        <v>714</v>
      </c>
      <c r="R451">
        <v>956224</v>
      </c>
    </row>
    <row r="452" spans="1:18" x14ac:dyDescent="0.25">
      <c r="A452" s="170">
        <v>45918</v>
      </c>
      <c r="B452" s="116">
        <v>724.4</v>
      </c>
      <c r="C452" s="116">
        <v>717.8</v>
      </c>
      <c r="D452" s="116">
        <v>713.6</v>
      </c>
      <c r="E452" s="116">
        <v>720</v>
      </c>
      <c r="F452" s="116">
        <v>717.8</v>
      </c>
      <c r="G452">
        <v>147675</v>
      </c>
      <c r="H452" s="116"/>
      <c r="I452" s="116"/>
      <c r="L452" s="170">
        <v>45918</v>
      </c>
      <c r="M452" s="116">
        <v>717.4</v>
      </c>
      <c r="N452" s="116">
        <v>724.2</v>
      </c>
      <c r="O452" s="116">
        <v>713.3</v>
      </c>
      <c r="P452" s="116">
        <v>719</v>
      </c>
      <c r="Q452" s="116">
        <v>717.4</v>
      </c>
      <c r="R452">
        <v>1249512</v>
      </c>
    </row>
    <row r="453" spans="1:18" x14ac:dyDescent="0.25">
      <c r="A453" s="170">
        <v>45919</v>
      </c>
      <c r="B453" s="116">
        <v>725.3</v>
      </c>
      <c r="C453" s="116">
        <v>724.25</v>
      </c>
      <c r="D453" s="116">
        <v>713.25</v>
      </c>
      <c r="E453" s="116">
        <v>716.65</v>
      </c>
      <c r="F453" s="116">
        <v>724.25</v>
      </c>
      <c r="G453">
        <v>136476</v>
      </c>
      <c r="H453" s="116"/>
      <c r="I453" s="116"/>
      <c r="L453" s="170">
        <v>45919</v>
      </c>
      <c r="M453" s="116">
        <v>724.4</v>
      </c>
      <c r="N453" s="116">
        <v>725.75</v>
      </c>
      <c r="O453" s="116">
        <v>713.45</v>
      </c>
      <c r="P453" s="116">
        <v>717.4</v>
      </c>
      <c r="Q453" s="116">
        <v>724.4</v>
      </c>
      <c r="R453">
        <v>2262078</v>
      </c>
    </row>
    <row r="454" spans="1:18" x14ac:dyDescent="0.25">
      <c r="A454" s="170">
        <v>45922</v>
      </c>
      <c r="B454" s="116">
        <v>713.15</v>
      </c>
      <c r="C454" s="116">
        <v>702.4</v>
      </c>
      <c r="D454" s="116">
        <v>700.3</v>
      </c>
      <c r="E454" s="116">
        <v>711.2</v>
      </c>
      <c r="F454" s="116">
        <v>702.4</v>
      </c>
      <c r="G454">
        <v>110896</v>
      </c>
      <c r="H454" s="116"/>
      <c r="I454" s="116"/>
      <c r="L454" s="170">
        <v>45922</v>
      </c>
      <c r="M454" s="116">
        <v>702.25</v>
      </c>
      <c r="N454" s="116">
        <v>713.9</v>
      </c>
      <c r="O454" s="116">
        <v>700</v>
      </c>
      <c r="P454" s="116">
        <v>710</v>
      </c>
      <c r="Q454" s="116">
        <v>702.25</v>
      </c>
      <c r="R454">
        <v>1560556</v>
      </c>
    </row>
    <row r="455" spans="1:18" x14ac:dyDescent="0.25">
      <c r="A455" s="170">
        <v>45923</v>
      </c>
      <c r="B455" s="116">
        <v>706.95</v>
      </c>
      <c r="C455" s="116">
        <v>697.75</v>
      </c>
      <c r="D455" s="116">
        <v>695.85</v>
      </c>
      <c r="E455" s="116">
        <v>701.05</v>
      </c>
      <c r="F455" s="116">
        <v>697.75</v>
      </c>
      <c r="G455">
        <v>105365</v>
      </c>
      <c r="H455" s="116"/>
      <c r="I455" s="116"/>
      <c r="L455" s="170">
        <v>45923</v>
      </c>
      <c r="M455" s="116">
        <v>697.8</v>
      </c>
      <c r="N455" s="116">
        <v>706.7</v>
      </c>
      <c r="O455" s="116">
        <v>695.8</v>
      </c>
      <c r="P455" s="116">
        <v>702.25</v>
      </c>
      <c r="Q455" s="116">
        <v>697.8</v>
      </c>
      <c r="R455">
        <v>743334</v>
      </c>
    </row>
    <row r="456" spans="1:18" x14ac:dyDescent="0.25">
      <c r="A456" s="170">
        <v>45924</v>
      </c>
      <c r="B456" s="116">
        <v>700.2</v>
      </c>
      <c r="C456" s="116">
        <v>684.45</v>
      </c>
      <c r="D456" s="116">
        <v>683.45</v>
      </c>
      <c r="E456" s="116">
        <v>697.8</v>
      </c>
      <c r="F456" s="116">
        <v>684.45</v>
      </c>
      <c r="G456">
        <v>65096</v>
      </c>
      <c r="H456" s="116"/>
      <c r="I456" s="116"/>
      <c r="L456" s="170">
        <v>45924</v>
      </c>
      <c r="M456" s="116">
        <v>684.55</v>
      </c>
      <c r="N456" s="116">
        <v>700.95</v>
      </c>
      <c r="O456" s="116">
        <v>682.35</v>
      </c>
      <c r="P456" s="116">
        <v>700</v>
      </c>
      <c r="Q456" s="116">
        <v>684.55</v>
      </c>
      <c r="R456">
        <v>808907</v>
      </c>
    </row>
    <row r="457" spans="1:18" x14ac:dyDescent="0.25">
      <c r="A457" s="170">
        <v>45925</v>
      </c>
      <c r="B457" s="116">
        <v>688.2</v>
      </c>
      <c r="C457" s="116">
        <v>680.4</v>
      </c>
      <c r="D457" s="116">
        <v>678.3</v>
      </c>
      <c r="E457" s="116">
        <v>683.7</v>
      </c>
      <c r="F457" s="116">
        <v>680.4</v>
      </c>
      <c r="G457">
        <v>28020</v>
      </c>
      <c r="H457" s="116"/>
      <c r="I457" s="116"/>
      <c r="L457" s="170">
        <v>45925</v>
      </c>
      <c r="M457" s="116">
        <v>680.15</v>
      </c>
      <c r="N457" s="116">
        <v>688.65</v>
      </c>
      <c r="O457" s="116">
        <v>678</v>
      </c>
      <c r="P457" s="116">
        <v>684</v>
      </c>
      <c r="Q457" s="116">
        <v>680.15</v>
      </c>
      <c r="R457">
        <v>632219</v>
      </c>
    </row>
    <row r="458" spans="1:18" x14ac:dyDescent="0.25">
      <c r="A458" s="170">
        <v>45926</v>
      </c>
      <c r="B458" s="116">
        <v>680.9</v>
      </c>
      <c r="C458" s="116">
        <v>667.7</v>
      </c>
      <c r="D458" s="116">
        <v>665.55</v>
      </c>
      <c r="E458" s="116">
        <v>678.05</v>
      </c>
      <c r="F458" s="116">
        <v>667.7</v>
      </c>
      <c r="G458">
        <v>91125</v>
      </c>
      <c r="H458" s="116"/>
      <c r="I458" s="116"/>
      <c r="L458" s="170">
        <v>45926</v>
      </c>
      <c r="M458" s="116">
        <v>667.3</v>
      </c>
      <c r="N458" s="116">
        <v>681</v>
      </c>
      <c r="O458" s="116">
        <v>665.1</v>
      </c>
      <c r="P458" s="116">
        <v>680.1</v>
      </c>
      <c r="Q458" s="116">
        <v>667.3</v>
      </c>
      <c r="R458">
        <v>704757</v>
      </c>
    </row>
    <row r="459" spans="1:18" x14ac:dyDescent="0.25">
      <c r="A459" s="170">
        <v>45929</v>
      </c>
      <c r="B459" s="116">
        <v>679.55</v>
      </c>
      <c r="C459" s="116">
        <v>676.55</v>
      </c>
      <c r="D459" s="116">
        <v>667.25</v>
      </c>
      <c r="E459" s="116">
        <v>671.9</v>
      </c>
      <c r="F459" s="116">
        <v>676.55</v>
      </c>
      <c r="G459">
        <v>94749</v>
      </c>
      <c r="H459" s="116"/>
      <c r="I459" s="116"/>
      <c r="L459" s="170">
        <v>45929</v>
      </c>
      <c r="M459" s="116">
        <v>676.2</v>
      </c>
      <c r="N459" s="116">
        <v>679.75</v>
      </c>
      <c r="O459" s="116">
        <v>666.8</v>
      </c>
      <c r="P459" s="116">
        <v>670</v>
      </c>
      <c r="Q459" s="116">
        <v>676.2</v>
      </c>
      <c r="R459">
        <v>749442</v>
      </c>
    </row>
    <row r="460" spans="1:18" x14ac:dyDescent="0.25">
      <c r="A460" s="170">
        <v>45930</v>
      </c>
      <c r="B460" s="116">
        <v>680.8</v>
      </c>
      <c r="C460" s="116">
        <v>669.4</v>
      </c>
      <c r="D460" s="116">
        <v>665.4</v>
      </c>
      <c r="E460" s="116">
        <v>673.45</v>
      </c>
      <c r="F460" s="116">
        <v>669.4</v>
      </c>
      <c r="G460">
        <v>88544</v>
      </c>
      <c r="H460" s="116"/>
      <c r="I460" s="116"/>
      <c r="L460" s="170">
        <v>45930</v>
      </c>
      <c r="M460" s="116">
        <v>669.5</v>
      </c>
      <c r="N460" s="116">
        <v>680.7</v>
      </c>
      <c r="O460" s="116">
        <v>665</v>
      </c>
      <c r="P460" s="116">
        <v>676.9</v>
      </c>
      <c r="Q460" s="116">
        <v>669.5</v>
      </c>
      <c r="R460">
        <v>660364</v>
      </c>
    </row>
    <row r="461" spans="1:18" x14ac:dyDescent="0.25">
      <c r="A461" s="170">
        <v>45931</v>
      </c>
      <c r="B461" s="116">
        <v>692.25</v>
      </c>
      <c r="C461" s="116">
        <v>689.95</v>
      </c>
      <c r="D461" s="116">
        <v>668</v>
      </c>
      <c r="E461" s="116">
        <v>673.65</v>
      </c>
      <c r="F461" s="116">
        <v>689.95</v>
      </c>
      <c r="G461">
        <v>50895</v>
      </c>
      <c r="H461" s="116"/>
      <c r="I461" s="116"/>
      <c r="L461" s="170">
        <v>45931</v>
      </c>
      <c r="M461" s="116">
        <v>690.4</v>
      </c>
      <c r="N461" s="116">
        <v>692.35</v>
      </c>
      <c r="O461" s="116">
        <v>667.5</v>
      </c>
      <c r="P461" s="116">
        <v>670</v>
      </c>
      <c r="Q461" s="116">
        <v>690.4</v>
      </c>
      <c r="R461">
        <v>980727</v>
      </c>
    </row>
    <row r="462" spans="1:18" x14ac:dyDescent="0.25">
      <c r="A462" s="170">
        <v>45933</v>
      </c>
      <c r="B462" s="116">
        <v>708.75</v>
      </c>
      <c r="C462" s="116">
        <v>707.2</v>
      </c>
      <c r="D462" s="116">
        <v>686.25</v>
      </c>
      <c r="E462" s="116">
        <v>690.55</v>
      </c>
      <c r="F462" s="116">
        <v>707.2</v>
      </c>
      <c r="G462">
        <v>61731</v>
      </c>
      <c r="H462" s="116"/>
      <c r="I462" s="116"/>
      <c r="L462" s="170">
        <v>45933</v>
      </c>
      <c r="M462" s="116">
        <v>707.05</v>
      </c>
      <c r="N462" s="116">
        <v>709</v>
      </c>
      <c r="O462" s="116">
        <v>686.15</v>
      </c>
      <c r="P462" s="116">
        <v>693</v>
      </c>
      <c r="Q462" s="116">
        <v>707.05</v>
      </c>
      <c r="R462">
        <v>1311909</v>
      </c>
    </row>
    <row r="463" spans="1:18" x14ac:dyDescent="0.25">
      <c r="A463" s="170">
        <v>45936</v>
      </c>
      <c r="B463" s="116">
        <v>715</v>
      </c>
      <c r="C463" s="116">
        <v>710.35</v>
      </c>
      <c r="D463" s="116">
        <v>703.4</v>
      </c>
      <c r="E463" s="116">
        <v>707.25</v>
      </c>
      <c r="F463" s="116">
        <v>710.35</v>
      </c>
      <c r="G463">
        <v>118001</v>
      </c>
      <c r="H463" s="116"/>
      <c r="I463" s="116"/>
      <c r="L463" s="170">
        <v>45936</v>
      </c>
      <c r="M463" s="116">
        <v>710.85</v>
      </c>
      <c r="N463" s="116">
        <v>714.9</v>
      </c>
      <c r="O463" s="116">
        <v>703.6</v>
      </c>
      <c r="P463" s="116">
        <v>708</v>
      </c>
      <c r="Q463" s="116">
        <v>710.85</v>
      </c>
      <c r="R463">
        <v>999799</v>
      </c>
    </row>
    <row r="464" spans="1:18" x14ac:dyDescent="0.25">
      <c r="A464" s="170">
        <v>45937</v>
      </c>
      <c r="B464" s="116">
        <v>718.1</v>
      </c>
      <c r="C464" s="116">
        <v>712.85</v>
      </c>
      <c r="D464" s="116">
        <v>709.2</v>
      </c>
      <c r="E464" s="116">
        <v>710.2</v>
      </c>
      <c r="F464" s="116">
        <v>712.85</v>
      </c>
      <c r="G464">
        <v>49369</v>
      </c>
      <c r="H464" s="116"/>
      <c r="I464" s="116"/>
      <c r="L464" s="170">
        <v>45937</v>
      </c>
      <c r="M464" s="116">
        <v>712.95</v>
      </c>
      <c r="N464" s="116">
        <v>718.5</v>
      </c>
      <c r="O464" s="116">
        <v>709.05</v>
      </c>
      <c r="P464" s="116">
        <v>711</v>
      </c>
      <c r="Q464" s="116">
        <v>712.95</v>
      </c>
      <c r="R464">
        <v>1047843</v>
      </c>
    </row>
    <row r="465" spans="1:18" x14ac:dyDescent="0.25">
      <c r="A465" s="170">
        <v>45938</v>
      </c>
      <c r="B465" s="116">
        <v>718.2</v>
      </c>
      <c r="C465" s="116">
        <v>708.9</v>
      </c>
      <c r="D465" s="116">
        <v>706.25</v>
      </c>
      <c r="E465" s="116">
        <v>710.05</v>
      </c>
      <c r="F465" s="116">
        <v>708.9</v>
      </c>
      <c r="G465">
        <v>36679</v>
      </c>
      <c r="H465" s="116"/>
      <c r="I465" s="116"/>
      <c r="L465" s="170">
        <v>45938</v>
      </c>
      <c r="M465" s="116">
        <v>708.55</v>
      </c>
      <c r="N465" s="116">
        <v>718.95</v>
      </c>
      <c r="O465" s="116">
        <v>706.15</v>
      </c>
      <c r="P465" s="116">
        <v>710.8</v>
      </c>
      <c r="Q465" s="116">
        <v>708.55</v>
      </c>
      <c r="R465">
        <v>665696</v>
      </c>
    </row>
    <row r="466" spans="1:18" x14ac:dyDescent="0.25">
      <c r="A466" s="170">
        <v>45939</v>
      </c>
      <c r="B466" s="116">
        <v>719</v>
      </c>
      <c r="C466" s="116">
        <v>717.3</v>
      </c>
      <c r="D466" s="116">
        <v>707.2</v>
      </c>
      <c r="E466" s="116">
        <v>708.85</v>
      </c>
      <c r="F466" s="116">
        <v>717.3</v>
      </c>
      <c r="G466">
        <v>102429</v>
      </c>
      <c r="H466" s="116"/>
      <c r="I466" s="116"/>
      <c r="L466" s="170">
        <v>45939</v>
      </c>
      <c r="M466" s="116">
        <v>717.6</v>
      </c>
      <c r="N466" s="116">
        <v>718.95</v>
      </c>
      <c r="O466" s="116">
        <v>708</v>
      </c>
      <c r="P466" s="116">
        <v>708</v>
      </c>
      <c r="Q466" s="116">
        <v>717.6</v>
      </c>
      <c r="R466">
        <v>838331</v>
      </c>
    </row>
    <row r="467" spans="1:18" x14ac:dyDescent="0.25">
      <c r="A467" s="170">
        <v>45940</v>
      </c>
      <c r="B467" s="116">
        <v>722.7</v>
      </c>
      <c r="C467" s="116">
        <v>714.25</v>
      </c>
      <c r="D467" s="116">
        <v>713.3</v>
      </c>
      <c r="E467" s="116">
        <v>718.25</v>
      </c>
      <c r="F467" s="116">
        <v>714.25</v>
      </c>
      <c r="G467">
        <v>40020</v>
      </c>
      <c r="H467" s="116"/>
      <c r="I467" s="116"/>
      <c r="L467" s="170">
        <v>45940</v>
      </c>
      <c r="M467" s="116">
        <v>714.35</v>
      </c>
      <c r="N467" s="116">
        <v>722.65</v>
      </c>
      <c r="O467" s="116">
        <v>713</v>
      </c>
      <c r="P467" s="116">
        <v>719</v>
      </c>
      <c r="Q467" s="116">
        <v>714.35</v>
      </c>
      <c r="R467">
        <v>562514</v>
      </c>
    </row>
    <row r="468" spans="1:18" x14ac:dyDescent="0.25">
      <c r="A468" s="170">
        <v>45943</v>
      </c>
      <c r="B468" s="116">
        <v>712.1</v>
      </c>
      <c r="C468" s="116">
        <v>700.65</v>
      </c>
      <c r="D468" s="116">
        <v>699.3</v>
      </c>
      <c r="E468" s="116">
        <v>710</v>
      </c>
      <c r="F468" s="116">
        <v>700.65</v>
      </c>
      <c r="G468">
        <v>33847</v>
      </c>
      <c r="H468" s="116"/>
      <c r="I468" s="116"/>
      <c r="L468" s="170">
        <v>45943</v>
      </c>
      <c r="M468" s="116">
        <v>700.7</v>
      </c>
      <c r="N468" s="116">
        <v>712.5</v>
      </c>
      <c r="O468" s="116">
        <v>699.35</v>
      </c>
      <c r="P468" s="116">
        <v>709.2</v>
      </c>
      <c r="Q468" s="116">
        <v>700.7</v>
      </c>
      <c r="R468">
        <v>590082</v>
      </c>
    </row>
    <row r="469" spans="1:18" x14ac:dyDescent="0.25">
      <c r="A469" s="170">
        <v>45944</v>
      </c>
      <c r="B469" s="116">
        <v>704.1</v>
      </c>
      <c r="C469" s="116">
        <v>687.9</v>
      </c>
      <c r="D469" s="116">
        <v>687</v>
      </c>
      <c r="E469" s="116">
        <v>700.75</v>
      </c>
      <c r="F469" s="116">
        <v>687.9</v>
      </c>
      <c r="G469">
        <v>34425</v>
      </c>
      <c r="H469" s="116"/>
      <c r="I469" s="116"/>
      <c r="L469" s="170">
        <v>45944</v>
      </c>
      <c r="M469" s="116">
        <v>688</v>
      </c>
      <c r="N469" s="116">
        <v>703.8</v>
      </c>
      <c r="O469" s="116">
        <v>687.1</v>
      </c>
      <c r="P469" s="116">
        <v>701.5</v>
      </c>
      <c r="Q469" s="116">
        <v>688</v>
      </c>
      <c r="R469">
        <v>734055</v>
      </c>
    </row>
    <row r="470" spans="1:18" x14ac:dyDescent="0.25">
      <c r="A470" s="170">
        <v>45945</v>
      </c>
      <c r="B470" s="116">
        <v>697</v>
      </c>
      <c r="C470" s="116">
        <v>695</v>
      </c>
      <c r="D470" s="116">
        <v>686.7</v>
      </c>
      <c r="E470" s="116">
        <v>688</v>
      </c>
      <c r="F470" s="116">
        <v>695</v>
      </c>
      <c r="G470">
        <v>43379</v>
      </c>
      <c r="H470" s="116"/>
      <c r="I470" s="116"/>
      <c r="L470" s="170">
        <v>45945</v>
      </c>
      <c r="M470" s="116">
        <v>695.3</v>
      </c>
      <c r="N470" s="116">
        <v>698.35</v>
      </c>
      <c r="O470" s="116">
        <v>686.2</v>
      </c>
      <c r="P470" s="116">
        <v>687.5</v>
      </c>
      <c r="Q470" s="116">
        <v>695.3</v>
      </c>
      <c r="R470">
        <v>573650</v>
      </c>
    </row>
    <row r="471" spans="1:18" x14ac:dyDescent="0.25">
      <c r="A471" s="170">
        <v>45946</v>
      </c>
      <c r="B471" s="116">
        <v>698.3</v>
      </c>
      <c r="C471" s="116">
        <v>692.35</v>
      </c>
      <c r="D471" s="116">
        <v>688.5</v>
      </c>
      <c r="E471" s="116">
        <v>697</v>
      </c>
      <c r="F471" s="116">
        <v>692.35</v>
      </c>
      <c r="G471">
        <v>28481</v>
      </c>
      <c r="H471" s="116"/>
      <c r="I471" s="116"/>
      <c r="L471" s="170">
        <v>45946</v>
      </c>
      <c r="M471" s="116">
        <v>692.1</v>
      </c>
      <c r="N471" s="116">
        <v>698.5</v>
      </c>
      <c r="O471" s="116">
        <v>688.8</v>
      </c>
      <c r="P471" s="116">
        <v>697.4</v>
      </c>
      <c r="Q471" s="116">
        <v>692.1</v>
      </c>
      <c r="R471">
        <v>415722</v>
      </c>
    </row>
    <row r="472" spans="1:18" x14ac:dyDescent="0.25">
      <c r="A472" s="170">
        <v>45947</v>
      </c>
      <c r="B472" s="116">
        <v>695</v>
      </c>
      <c r="C472" s="116">
        <v>685.55</v>
      </c>
      <c r="D472" s="116">
        <v>682.85</v>
      </c>
      <c r="E472" s="116">
        <v>694.05</v>
      </c>
      <c r="F472" s="116">
        <v>685.55</v>
      </c>
      <c r="G472">
        <v>107232</v>
      </c>
      <c r="H472" s="116"/>
      <c r="I472" s="116"/>
      <c r="L472" s="170">
        <v>45947</v>
      </c>
      <c r="M472" s="116">
        <v>685.2</v>
      </c>
      <c r="N472" s="116">
        <v>695.9</v>
      </c>
      <c r="O472" s="116">
        <v>682.75</v>
      </c>
      <c r="P472" s="116">
        <v>695</v>
      </c>
      <c r="Q472" s="116">
        <v>685.2</v>
      </c>
      <c r="R472">
        <v>573478</v>
      </c>
    </row>
    <row r="473" spans="1:18" x14ac:dyDescent="0.25">
      <c r="A473" s="170">
        <v>45950</v>
      </c>
      <c r="B473" s="116">
        <v>689.95</v>
      </c>
      <c r="C473" s="116">
        <v>681.25</v>
      </c>
      <c r="D473" s="116">
        <v>672.5</v>
      </c>
      <c r="E473" s="116">
        <v>689.95</v>
      </c>
      <c r="F473" s="116">
        <v>681.25</v>
      </c>
      <c r="G473">
        <v>112797</v>
      </c>
      <c r="H473" s="116"/>
      <c r="I473" s="116"/>
      <c r="L473" s="170">
        <v>45950</v>
      </c>
      <c r="M473" s="116">
        <v>680.85</v>
      </c>
      <c r="N473" s="116">
        <v>687.6</v>
      </c>
      <c r="O473" s="116">
        <v>672.5</v>
      </c>
      <c r="P473" s="116">
        <v>686.8</v>
      </c>
      <c r="Q473" s="116">
        <v>680.85</v>
      </c>
      <c r="R473">
        <v>859888</v>
      </c>
    </row>
    <row r="474" spans="1:18" x14ac:dyDescent="0.25">
      <c r="A474" s="170">
        <v>45951</v>
      </c>
      <c r="B474" s="116">
        <v>687.9</v>
      </c>
      <c r="C474" s="116">
        <v>685.1</v>
      </c>
      <c r="D474" s="116">
        <v>682.8</v>
      </c>
      <c r="E474" s="116">
        <v>683.45</v>
      </c>
      <c r="F474" s="116">
        <v>685.1</v>
      </c>
      <c r="G474">
        <v>51111</v>
      </c>
      <c r="H474" s="116"/>
      <c r="I474" s="116"/>
      <c r="L474" s="170">
        <v>45951</v>
      </c>
      <c r="M474" s="116">
        <v>685</v>
      </c>
      <c r="N474" s="116">
        <v>687.45</v>
      </c>
      <c r="O474" s="116">
        <v>680.85</v>
      </c>
      <c r="P474" s="116">
        <v>684.95</v>
      </c>
      <c r="Q474" s="116">
        <v>685</v>
      </c>
      <c r="R474">
        <v>251178</v>
      </c>
    </row>
    <row r="475" spans="1:18" x14ac:dyDescent="0.25">
      <c r="A475" s="170">
        <v>45953</v>
      </c>
      <c r="B475" s="116">
        <v>699.5</v>
      </c>
      <c r="C475" s="116">
        <v>691.45</v>
      </c>
      <c r="D475" s="116">
        <v>688.3</v>
      </c>
      <c r="E475" s="116">
        <v>688.3</v>
      </c>
      <c r="F475" s="116">
        <v>691.45</v>
      </c>
      <c r="G475">
        <v>85942</v>
      </c>
      <c r="H475" s="116"/>
      <c r="I475" s="116"/>
      <c r="L475" s="170">
        <v>45953</v>
      </c>
      <c r="M475" s="116">
        <v>691.4</v>
      </c>
      <c r="N475" s="116">
        <v>699.55</v>
      </c>
      <c r="O475" s="116">
        <v>689</v>
      </c>
      <c r="P475" s="116">
        <v>689.15</v>
      </c>
      <c r="Q475" s="116">
        <v>691.4</v>
      </c>
      <c r="R475">
        <v>802480</v>
      </c>
    </row>
    <row r="476" spans="1:18" x14ac:dyDescent="0.25">
      <c r="A476" s="170">
        <v>45954</v>
      </c>
      <c r="B476" s="116">
        <v>697.4</v>
      </c>
      <c r="C476" s="116">
        <v>689.3</v>
      </c>
      <c r="D476" s="116">
        <v>688</v>
      </c>
      <c r="E476" s="116">
        <v>692.2</v>
      </c>
      <c r="F476" s="116">
        <v>689.3</v>
      </c>
      <c r="G476">
        <v>48877</v>
      </c>
      <c r="H476" s="116"/>
      <c r="I476" s="116"/>
      <c r="L476" s="170">
        <v>45954</v>
      </c>
      <c r="M476" s="116">
        <v>689.65</v>
      </c>
      <c r="N476" s="116">
        <v>697.55</v>
      </c>
      <c r="O476" s="116">
        <v>688</v>
      </c>
      <c r="P476" s="116">
        <v>692.95</v>
      </c>
      <c r="Q476" s="116">
        <v>689.65</v>
      </c>
      <c r="R476">
        <v>361319</v>
      </c>
    </row>
    <row r="477" spans="1:18" x14ac:dyDescent="0.25">
      <c r="A477" s="170">
        <v>45957</v>
      </c>
      <c r="B477" s="116">
        <v>698.95</v>
      </c>
      <c r="C477" s="116">
        <v>695.7</v>
      </c>
      <c r="D477" s="116">
        <v>689.65</v>
      </c>
      <c r="E477" s="116">
        <v>689.65</v>
      </c>
      <c r="F477" s="116">
        <v>695.7</v>
      </c>
      <c r="G477">
        <v>34224</v>
      </c>
      <c r="H477" s="116"/>
      <c r="I477" s="116"/>
      <c r="L477" s="170">
        <v>45957</v>
      </c>
      <c r="M477" s="116">
        <v>695.8</v>
      </c>
      <c r="N477" s="116">
        <v>699.1</v>
      </c>
      <c r="O477" s="116">
        <v>691</v>
      </c>
      <c r="P477" s="116">
        <v>691</v>
      </c>
      <c r="Q477" s="116">
        <v>695.8</v>
      </c>
      <c r="R477">
        <v>527137</v>
      </c>
    </row>
    <row r="478" spans="1:18" x14ac:dyDescent="0.25">
      <c r="A478" s="170">
        <v>45958</v>
      </c>
      <c r="B478" s="116">
        <v>703.45</v>
      </c>
      <c r="C478" s="116">
        <v>695.7</v>
      </c>
      <c r="D478" s="116">
        <v>692.5</v>
      </c>
      <c r="E478" s="116">
        <v>696.95</v>
      </c>
      <c r="F478" s="116">
        <v>695.7</v>
      </c>
      <c r="G478">
        <v>40696</v>
      </c>
      <c r="H478" s="116"/>
      <c r="I478" s="116"/>
      <c r="L478" s="170">
        <v>45958</v>
      </c>
      <c r="M478" s="116">
        <v>695.5</v>
      </c>
      <c r="N478" s="116">
        <v>703.45</v>
      </c>
      <c r="O478" s="116">
        <v>692.1</v>
      </c>
      <c r="P478" s="116">
        <v>697</v>
      </c>
      <c r="Q478" s="116">
        <v>695.5</v>
      </c>
      <c r="R478">
        <v>858527</v>
      </c>
    </row>
    <row r="479" spans="1:18" x14ac:dyDescent="0.25">
      <c r="A479" s="170">
        <v>45959</v>
      </c>
      <c r="B479" s="116">
        <v>703</v>
      </c>
      <c r="C479" s="116">
        <v>701</v>
      </c>
      <c r="D479" s="116">
        <v>695.05</v>
      </c>
      <c r="E479" s="116">
        <v>699</v>
      </c>
      <c r="F479" s="116">
        <v>701</v>
      </c>
      <c r="G479">
        <v>72513</v>
      </c>
      <c r="H479" s="116"/>
      <c r="I479" s="116"/>
      <c r="L479" s="170">
        <v>45959</v>
      </c>
      <c r="M479" s="116">
        <v>701.15</v>
      </c>
      <c r="N479" s="116">
        <v>702.9</v>
      </c>
      <c r="O479" s="116">
        <v>694.85</v>
      </c>
      <c r="P479" s="116">
        <v>700.65</v>
      </c>
      <c r="Q479" s="116">
        <v>701.15</v>
      </c>
      <c r="R479">
        <v>456431</v>
      </c>
    </row>
    <row r="480" spans="1:18" x14ac:dyDescent="0.25">
      <c r="A480" s="170">
        <v>45960</v>
      </c>
      <c r="B480" s="116">
        <v>707.8</v>
      </c>
      <c r="C480" s="116">
        <v>699.85</v>
      </c>
      <c r="D480" s="116">
        <v>697.95</v>
      </c>
      <c r="E480" s="116">
        <v>702</v>
      </c>
      <c r="F480" s="116">
        <v>699.85</v>
      </c>
      <c r="G480">
        <v>53544</v>
      </c>
      <c r="H480" s="116"/>
      <c r="I480" s="116"/>
      <c r="L480" s="170">
        <v>45960</v>
      </c>
      <c r="M480" s="116">
        <v>699.9</v>
      </c>
      <c r="N480" s="116">
        <v>707.75</v>
      </c>
      <c r="O480" s="116">
        <v>698</v>
      </c>
      <c r="P480" s="116">
        <v>701.15</v>
      </c>
      <c r="Q480" s="116">
        <v>699.9</v>
      </c>
      <c r="R480">
        <v>504066</v>
      </c>
    </row>
    <row r="481" spans="1:18" x14ac:dyDescent="0.25">
      <c r="A481" s="170">
        <v>45961</v>
      </c>
      <c r="B481" s="116">
        <v>703.6</v>
      </c>
      <c r="C481" s="116">
        <v>692.05</v>
      </c>
      <c r="D481" s="116">
        <v>691</v>
      </c>
      <c r="E481" s="116">
        <v>699.9</v>
      </c>
      <c r="F481" s="116">
        <v>692.05</v>
      </c>
      <c r="G481">
        <v>19682</v>
      </c>
      <c r="H481" s="116"/>
      <c r="I481" s="116"/>
      <c r="L481" s="170">
        <v>45961</v>
      </c>
      <c r="M481" s="116">
        <v>692.25</v>
      </c>
      <c r="N481" s="116">
        <v>703.9</v>
      </c>
      <c r="O481" s="116">
        <v>690.75</v>
      </c>
      <c r="P481" s="116">
        <v>699.9</v>
      </c>
      <c r="Q481" s="116">
        <v>692.25</v>
      </c>
      <c r="R481">
        <v>452789</v>
      </c>
    </row>
    <row r="482" spans="1:18" x14ac:dyDescent="0.25">
      <c r="A482" s="170">
        <v>45964</v>
      </c>
      <c r="B482" s="116">
        <v>701.25</v>
      </c>
      <c r="C482" s="116">
        <v>696.25</v>
      </c>
      <c r="D482" s="116">
        <v>688.7</v>
      </c>
      <c r="E482" s="116">
        <v>701.25</v>
      </c>
      <c r="F482" s="116">
        <v>696.25</v>
      </c>
      <c r="G482">
        <v>18487</v>
      </c>
      <c r="H482" s="116"/>
      <c r="I482" s="116"/>
      <c r="L482" s="170">
        <v>45964</v>
      </c>
      <c r="M482" s="116">
        <v>696.25</v>
      </c>
      <c r="N482" s="116">
        <v>698</v>
      </c>
      <c r="O482" s="116">
        <v>689</v>
      </c>
      <c r="P482" s="116">
        <v>692.25</v>
      </c>
      <c r="Q482" s="116">
        <v>696.25</v>
      </c>
      <c r="R482">
        <v>414386</v>
      </c>
    </row>
    <row r="483" spans="1:18" x14ac:dyDescent="0.25">
      <c r="A483" s="170">
        <v>45965</v>
      </c>
      <c r="B483" s="116">
        <v>701.75</v>
      </c>
      <c r="C483" s="116">
        <v>686.55</v>
      </c>
      <c r="D483" s="116">
        <v>684.4</v>
      </c>
      <c r="E483" s="116">
        <v>701.75</v>
      </c>
      <c r="F483" s="116">
        <v>686.55</v>
      </c>
      <c r="G483">
        <v>62064</v>
      </c>
      <c r="H483" s="116"/>
      <c r="I483" s="116"/>
      <c r="L483" s="170">
        <v>45965</v>
      </c>
      <c r="M483" s="116">
        <v>686.8</v>
      </c>
      <c r="N483" s="116">
        <v>700.65</v>
      </c>
      <c r="O483" s="116">
        <v>684.4</v>
      </c>
      <c r="P483" s="116">
        <v>700.65</v>
      </c>
      <c r="Q483" s="116">
        <v>686.8</v>
      </c>
      <c r="R483">
        <v>503812</v>
      </c>
    </row>
    <row r="484" spans="1:18" x14ac:dyDescent="0.25">
      <c r="A484" s="170">
        <v>45967</v>
      </c>
      <c r="B484" s="116">
        <v>687.95</v>
      </c>
      <c r="C484" s="116">
        <v>677.55</v>
      </c>
      <c r="D484" s="116">
        <v>675.9</v>
      </c>
      <c r="E484" s="116">
        <v>686.55</v>
      </c>
      <c r="F484" s="116">
        <v>677.55</v>
      </c>
      <c r="G484">
        <v>23241</v>
      </c>
      <c r="H484" s="116"/>
      <c r="I484" s="116"/>
      <c r="L484" s="170">
        <v>45967</v>
      </c>
      <c r="M484" s="116">
        <v>676.9</v>
      </c>
      <c r="N484" s="116">
        <v>688.45</v>
      </c>
      <c r="O484" s="116">
        <v>675.15</v>
      </c>
      <c r="P484" s="116">
        <v>686.8</v>
      </c>
      <c r="Q484" s="116">
        <v>676.9</v>
      </c>
      <c r="R484">
        <v>442859</v>
      </c>
    </row>
    <row r="485" spans="1:18" x14ac:dyDescent="0.25">
      <c r="A485" s="170">
        <v>45968</v>
      </c>
      <c r="B485" s="116">
        <v>676</v>
      </c>
      <c r="C485" s="116">
        <v>673.15</v>
      </c>
      <c r="D485" s="116">
        <v>666.8</v>
      </c>
      <c r="E485" s="116">
        <v>672.55</v>
      </c>
      <c r="F485" s="116">
        <v>673.15</v>
      </c>
      <c r="G485">
        <v>82323</v>
      </c>
      <c r="H485" s="116"/>
      <c r="I485" s="116"/>
      <c r="L485" s="170">
        <v>45968</v>
      </c>
      <c r="M485" s="116">
        <v>672.95</v>
      </c>
      <c r="N485" s="116">
        <v>676.25</v>
      </c>
      <c r="O485" s="116">
        <v>667.1</v>
      </c>
      <c r="P485" s="116">
        <v>675</v>
      </c>
      <c r="Q485" s="116">
        <v>672.95</v>
      </c>
      <c r="R485">
        <v>451765</v>
      </c>
    </row>
    <row r="486" spans="1:18" x14ac:dyDescent="0.25">
      <c r="A486" s="170">
        <v>45971</v>
      </c>
      <c r="B486" s="116">
        <v>682.9</v>
      </c>
      <c r="C486" s="116">
        <v>678.75</v>
      </c>
      <c r="D486" s="116">
        <v>671.4</v>
      </c>
      <c r="E486" s="116">
        <v>673.6</v>
      </c>
      <c r="F486" s="116">
        <v>678.75</v>
      </c>
      <c r="G486">
        <v>60100</v>
      </c>
      <c r="H486" s="116"/>
      <c r="I486" s="116"/>
      <c r="L486" s="170">
        <v>45971</v>
      </c>
      <c r="M486" s="116">
        <v>678.9</v>
      </c>
      <c r="N486" s="116">
        <v>682.95</v>
      </c>
      <c r="O486" s="116">
        <v>671.25</v>
      </c>
      <c r="P486" s="116">
        <v>673.7</v>
      </c>
      <c r="Q486" s="116">
        <v>678.9</v>
      </c>
      <c r="R486">
        <v>433778</v>
      </c>
    </row>
    <row r="487" spans="1:18" x14ac:dyDescent="0.25">
      <c r="A487" s="170">
        <v>45972</v>
      </c>
      <c r="B487" s="116">
        <v>685.85</v>
      </c>
      <c r="C487" s="116">
        <v>684.7</v>
      </c>
      <c r="D487" s="116">
        <v>671.25</v>
      </c>
      <c r="E487" s="116">
        <v>679</v>
      </c>
      <c r="F487" s="116">
        <v>684.7</v>
      </c>
      <c r="G487">
        <v>23044</v>
      </c>
      <c r="H487" s="116"/>
      <c r="I487" s="116"/>
      <c r="L487" s="170">
        <v>45972</v>
      </c>
      <c r="M487" s="116">
        <v>684.85</v>
      </c>
      <c r="N487" s="116">
        <v>685.9</v>
      </c>
      <c r="O487" s="116">
        <v>670.9</v>
      </c>
      <c r="P487" s="116">
        <v>678.9</v>
      </c>
      <c r="Q487" s="116">
        <v>684.85</v>
      </c>
      <c r="R487">
        <v>535040</v>
      </c>
    </row>
    <row r="488" spans="1:18" x14ac:dyDescent="0.25">
      <c r="A488" s="170">
        <v>45973</v>
      </c>
      <c r="B488" s="116">
        <v>702.1</v>
      </c>
      <c r="C488" s="116">
        <v>695.65</v>
      </c>
      <c r="D488" s="116">
        <v>687.95</v>
      </c>
      <c r="E488" s="116">
        <v>687.95</v>
      </c>
      <c r="F488" s="116">
        <v>695.65</v>
      </c>
      <c r="G488">
        <v>42420</v>
      </c>
      <c r="H488" s="116"/>
      <c r="I488" s="116"/>
      <c r="L488" s="170">
        <v>45973</v>
      </c>
      <c r="M488" s="116">
        <v>696.1</v>
      </c>
      <c r="N488" s="116">
        <v>702.45</v>
      </c>
      <c r="O488" s="116">
        <v>688.2</v>
      </c>
      <c r="P488" s="116">
        <v>690</v>
      </c>
      <c r="Q488" s="116">
        <v>696.1</v>
      </c>
      <c r="R488">
        <v>1012946</v>
      </c>
    </row>
    <row r="489" spans="1:18" x14ac:dyDescent="0.25">
      <c r="A489" s="170">
        <v>45974</v>
      </c>
      <c r="B489" s="116">
        <v>699.15</v>
      </c>
      <c r="C489" s="116">
        <v>686.2</v>
      </c>
      <c r="D489" s="116">
        <v>683.9</v>
      </c>
      <c r="E489" s="116">
        <v>696</v>
      </c>
      <c r="F489" s="116">
        <v>686.2</v>
      </c>
      <c r="G489">
        <v>22740</v>
      </c>
      <c r="H489" s="116"/>
      <c r="I489" s="116"/>
      <c r="L489" s="170">
        <v>45974</v>
      </c>
      <c r="M489" s="116">
        <v>686</v>
      </c>
      <c r="N489" s="116">
        <v>699.4</v>
      </c>
      <c r="O489" s="116">
        <v>680.35</v>
      </c>
      <c r="P489" s="116">
        <v>696.1</v>
      </c>
      <c r="Q489" s="116">
        <v>686</v>
      </c>
      <c r="R489">
        <v>695833</v>
      </c>
    </row>
    <row r="490" spans="1:18" x14ac:dyDescent="0.25">
      <c r="A490" s="170">
        <v>45975</v>
      </c>
      <c r="B490" s="116">
        <v>689.55</v>
      </c>
      <c r="C490" s="116">
        <v>679.75</v>
      </c>
      <c r="D490" s="116">
        <v>675.3</v>
      </c>
      <c r="E490" s="116">
        <v>689.55</v>
      </c>
      <c r="F490" s="116">
        <v>679.75</v>
      </c>
      <c r="G490">
        <v>63937</v>
      </c>
      <c r="H490" s="116"/>
      <c r="I490" s="116"/>
      <c r="L490" s="170">
        <v>45975</v>
      </c>
      <c r="M490" s="116">
        <v>679.85</v>
      </c>
      <c r="N490" s="116">
        <v>689.65</v>
      </c>
      <c r="O490" s="116">
        <v>675.25</v>
      </c>
      <c r="P490" s="116">
        <v>686</v>
      </c>
      <c r="Q490" s="116">
        <v>679.85</v>
      </c>
      <c r="R490">
        <v>528375</v>
      </c>
    </row>
    <row r="491" spans="1:18" x14ac:dyDescent="0.25">
      <c r="A491" s="170">
        <v>45978</v>
      </c>
      <c r="B491" s="116">
        <v>686</v>
      </c>
      <c r="C491" s="116">
        <v>681.8</v>
      </c>
      <c r="D491" s="116">
        <v>678.45</v>
      </c>
      <c r="E491" s="116">
        <v>678.5</v>
      </c>
      <c r="F491" s="116">
        <v>681.8</v>
      </c>
      <c r="G491">
        <v>26359</v>
      </c>
      <c r="H491" s="116"/>
      <c r="I491" s="116"/>
      <c r="L491" s="170">
        <v>45978</v>
      </c>
      <c r="M491" s="116">
        <v>682.8</v>
      </c>
      <c r="N491" s="116">
        <v>685.95</v>
      </c>
      <c r="O491" s="116">
        <v>676.8</v>
      </c>
      <c r="P491" s="116">
        <v>677.05</v>
      </c>
      <c r="Q491" s="116">
        <v>682.8</v>
      </c>
      <c r="R491">
        <v>349190</v>
      </c>
    </row>
    <row r="492" spans="1:18" x14ac:dyDescent="0.25">
      <c r="A492" s="170">
        <v>45979</v>
      </c>
      <c r="B492" s="116">
        <v>692.85</v>
      </c>
      <c r="C492" s="116">
        <v>674.9</v>
      </c>
      <c r="D492" s="116">
        <v>674.25</v>
      </c>
      <c r="E492" s="116">
        <v>692.85</v>
      </c>
      <c r="F492" s="116">
        <v>674.9</v>
      </c>
      <c r="G492">
        <v>17743</v>
      </c>
      <c r="H492" s="116"/>
      <c r="I492" s="116"/>
      <c r="L492" s="170">
        <v>45979</v>
      </c>
      <c r="M492" s="116">
        <v>675.05</v>
      </c>
      <c r="N492" s="116">
        <v>683.15</v>
      </c>
      <c r="O492" s="116">
        <v>674.25</v>
      </c>
      <c r="P492" s="116">
        <v>682.8</v>
      </c>
      <c r="Q492" s="116">
        <v>675.05</v>
      </c>
      <c r="R492">
        <v>402726</v>
      </c>
    </row>
    <row r="493" spans="1:18" x14ac:dyDescent="0.25">
      <c r="A493" s="170">
        <v>45980</v>
      </c>
      <c r="B493" s="116">
        <v>685</v>
      </c>
      <c r="C493" s="116">
        <v>682.3</v>
      </c>
      <c r="D493" s="116">
        <v>674.2</v>
      </c>
      <c r="E493" s="116">
        <v>674.9</v>
      </c>
      <c r="F493" s="116">
        <v>682.3</v>
      </c>
      <c r="G493">
        <v>22645</v>
      </c>
      <c r="H493" s="116"/>
      <c r="I493" s="116"/>
      <c r="L493" s="170">
        <v>45980</v>
      </c>
      <c r="M493" s="116">
        <v>682.3</v>
      </c>
      <c r="N493" s="116">
        <v>685.1</v>
      </c>
      <c r="O493" s="116">
        <v>674.15</v>
      </c>
      <c r="P493" s="116">
        <v>675.05</v>
      </c>
      <c r="Q493" s="116">
        <v>682.3</v>
      </c>
      <c r="R493">
        <v>661254</v>
      </c>
    </row>
    <row r="494" spans="1:18" x14ac:dyDescent="0.25">
      <c r="A494" s="170">
        <v>45981</v>
      </c>
      <c r="B494" s="116">
        <v>686.3</v>
      </c>
      <c r="C494" s="116">
        <v>679.65</v>
      </c>
      <c r="D494" s="116">
        <v>677.15</v>
      </c>
      <c r="E494" s="116">
        <v>686</v>
      </c>
      <c r="F494" s="116">
        <v>679.65</v>
      </c>
      <c r="G494">
        <v>52553</v>
      </c>
      <c r="H494" s="116"/>
      <c r="I494" s="116"/>
      <c r="L494" s="170">
        <v>45981</v>
      </c>
      <c r="M494" s="116">
        <v>679.8</v>
      </c>
      <c r="N494" s="116">
        <v>686.9</v>
      </c>
      <c r="O494" s="116">
        <v>677.3</v>
      </c>
      <c r="P494" s="116">
        <v>686.3</v>
      </c>
      <c r="Q494" s="116">
        <v>679.8</v>
      </c>
      <c r="R494">
        <v>416194</v>
      </c>
    </row>
    <row r="495" spans="1:18" x14ac:dyDescent="0.25">
      <c r="A495" s="170">
        <v>45982</v>
      </c>
      <c r="B495" s="116">
        <v>679.7</v>
      </c>
      <c r="C495" s="116">
        <v>670.35</v>
      </c>
      <c r="D495" s="116">
        <v>669</v>
      </c>
      <c r="E495" s="116">
        <v>675.65</v>
      </c>
      <c r="F495" s="116">
        <v>670.35</v>
      </c>
      <c r="G495">
        <v>26222</v>
      </c>
      <c r="H495" s="116"/>
      <c r="I495" s="116"/>
      <c r="L495" s="170">
        <v>45982</v>
      </c>
      <c r="M495" s="116">
        <v>670.45</v>
      </c>
      <c r="N495" s="116">
        <v>679.75</v>
      </c>
      <c r="O495" s="116">
        <v>668</v>
      </c>
      <c r="P495" s="116">
        <v>679</v>
      </c>
      <c r="Q495" s="116">
        <v>670.45</v>
      </c>
      <c r="R495">
        <v>490581</v>
      </c>
    </row>
    <row r="496" spans="1:18" x14ac:dyDescent="0.25">
      <c r="A496" s="170">
        <v>45985</v>
      </c>
      <c r="B496" s="116">
        <v>682.25</v>
      </c>
      <c r="C496" s="116">
        <v>678.25</v>
      </c>
      <c r="D496" s="116">
        <v>667.9</v>
      </c>
      <c r="E496" s="116">
        <v>668</v>
      </c>
      <c r="F496" s="116">
        <v>678.25</v>
      </c>
      <c r="G496">
        <v>33431</v>
      </c>
      <c r="H496" s="116"/>
      <c r="I496" s="116"/>
      <c r="L496" s="170">
        <v>45985</v>
      </c>
      <c r="M496" s="116">
        <v>677.95</v>
      </c>
      <c r="N496" s="116">
        <v>682.35</v>
      </c>
      <c r="O496" s="116">
        <v>667</v>
      </c>
      <c r="P496" s="116">
        <v>667</v>
      </c>
      <c r="Q496" s="116">
        <v>677.95</v>
      </c>
      <c r="R496">
        <v>1472654</v>
      </c>
    </row>
    <row r="497" spans="1:18" x14ac:dyDescent="0.25">
      <c r="A497" s="170">
        <v>45986</v>
      </c>
      <c r="B497" s="116">
        <v>678.6</v>
      </c>
      <c r="C497" s="116">
        <v>668.7</v>
      </c>
      <c r="D497" s="116">
        <v>666</v>
      </c>
      <c r="E497" s="116">
        <v>675.5</v>
      </c>
      <c r="F497" s="116">
        <v>668.7</v>
      </c>
      <c r="G497">
        <v>54230</v>
      </c>
      <c r="H497" s="116"/>
      <c r="I497" s="116"/>
      <c r="L497" s="170">
        <v>45986</v>
      </c>
      <c r="M497" s="116">
        <v>669.5</v>
      </c>
      <c r="N497" s="116">
        <v>677.95</v>
      </c>
      <c r="O497" s="116">
        <v>668</v>
      </c>
      <c r="P497" s="116">
        <v>676</v>
      </c>
      <c r="Q497" s="116">
        <v>669.5</v>
      </c>
      <c r="R497">
        <v>530688</v>
      </c>
    </row>
    <row r="498" spans="1:18" x14ac:dyDescent="0.25">
      <c r="A498" s="170">
        <v>45987</v>
      </c>
      <c r="B498" s="116">
        <v>686</v>
      </c>
      <c r="C498" s="116">
        <v>682.6</v>
      </c>
      <c r="D498" s="116">
        <v>670.3</v>
      </c>
      <c r="E498" s="116">
        <v>671</v>
      </c>
      <c r="F498" s="116">
        <v>682.6</v>
      </c>
      <c r="G498">
        <v>28113</v>
      </c>
      <c r="H498" s="116"/>
      <c r="I498" s="116"/>
      <c r="L498" s="170">
        <v>45987</v>
      </c>
      <c r="M498" s="116">
        <v>683.3</v>
      </c>
      <c r="N498" s="116">
        <v>686.05</v>
      </c>
      <c r="O498" s="116">
        <v>670.25</v>
      </c>
      <c r="P498" s="116">
        <v>671.7</v>
      </c>
      <c r="Q498" s="116">
        <v>683.3</v>
      </c>
      <c r="R498">
        <v>650404</v>
      </c>
    </row>
    <row r="499" spans="1:18" x14ac:dyDescent="0.25">
      <c r="A499" s="170">
        <v>45988</v>
      </c>
      <c r="B499" s="116">
        <v>690</v>
      </c>
      <c r="C499" s="116">
        <v>677.75</v>
      </c>
      <c r="D499" s="116">
        <v>674</v>
      </c>
      <c r="E499" s="116">
        <v>683.05</v>
      </c>
      <c r="F499" s="116">
        <v>677.75</v>
      </c>
      <c r="G499">
        <v>28966</v>
      </c>
      <c r="H499" s="116"/>
      <c r="I499" s="116"/>
      <c r="L499" s="170">
        <v>45988</v>
      </c>
      <c r="M499" s="116">
        <v>677.55</v>
      </c>
      <c r="N499" s="116">
        <v>689.45</v>
      </c>
      <c r="O499" s="116">
        <v>674</v>
      </c>
      <c r="P499" s="116">
        <v>685</v>
      </c>
      <c r="Q499" s="116">
        <v>677.55</v>
      </c>
      <c r="R499">
        <v>601962</v>
      </c>
    </row>
    <row r="500" spans="1:18" x14ac:dyDescent="0.25">
      <c r="A500" s="170">
        <v>45989</v>
      </c>
      <c r="B500" s="116">
        <v>682.95</v>
      </c>
      <c r="C500" s="116">
        <v>679</v>
      </c>
      <c r="D500" s="116">
        <v>676.05</v>
      </c>
      <c r="E500" s="116">
        <v>680.15</v>
      </c>
      <c r="F500" s="116">
        <v>679</v>
      </c>
      <c r="G500">
        <v>40975</v>
      </c>
      <c r="H500" s="116"/>
      <c r="I500" s="116"/>
      <c r="L500" s="170">
        <v>45989</v>
      </c>
      <c r="M500" s="116">
        <v>679.05</v>
      </c>
      <c r="N500" s="116">
        <v>683.75</v>
      </c>
      <c r="O500" s="116">
        <v>675.8</v>
      </c>
      <c r="P500" s="116">
        <v>682</v>
      </c>
      <c r="Q500" s="116">
        <v>679.05</v>
      </c>
      <c r="R500">
        <v>458003</v>
      </c>
    </row>
    <row r="501" spans="1:18" x14ac:dyDescent="0.25">
      <c r="A501" s="170">
        <v>45992</v>
      </c>
      <c r="B501" s="116">
        <v>684</v>
      </c>
      <c r="C501" s="116">
        <v>680.25</v>
      </c>
      <c r="D501" s="116">
        <v>677.3</v>
      </c>
      <c r="E501" s="116">
        <v>679.45</v>
      </c>
      <c r="F501" s="116">
        <v>680.25</v>
      </c>
      <c r="G501">
        <v>46101</v>
      </c>
      <c r="H501" s="116"/>
      <c r="I501" s="116"/>
      <c r="L501" s="170">
        <v>45992</v>
      </c>
      <c r="M501" s="116">
        <v>680.25</v>
      </c>
      <c r="N501" s="116">
        <v>684</v>
      </c>
      <c r="O501" s="116">
        <v>677.25</v>
      </c>
      <c r="P501" s="116">
        <v>680.9</v>
      </c>
      <c r="Q501" s="116">
        <v>680.25</v>
      </c>
      <c r="R501">
        <v>379258</v>
      </c>
    </row>
    <row r="502" spans="1:18" x14ac:dyDescent="0.25">
      <c r="A502" s="170">
        <v>45993</v>
      </c>
      <c r="B502" s="116">
        <v>680.8</v>
      </c>
      <c r="C502" s="116">
        <v>676.65</v>
      </c>
      <c r="D502" s="116">
        <v>673.1</v>
      </c>
      <c r="E502" s="116">
        <v>680</v>
      </c>
      <c r="F502" s="116">
        <v>676.65</v>
      </c>
      <c r="G502">
        <v>50338</v>
      </c>
      <c r="H502" s="116"/>
      <c r="I502" s="116"/>
      <c r="L502" s="170">
        <v>45993</v>
      </c>
      <c r="M502" s="116">
        <v>676.4</v>
      </c>
      <c r="N502" s="116">
        <v>681.5</v>
      </c>
      <c r="O502" s="116">
        <v>673</v>
      </c>
      <c r="P502" s="116">
        <v>679.1</v>
      </c>
      <c r="Q502" s="116">
        <v>676.4</v>
      </c>
      <c r="R502">
        <v>301533</v>
      </c>
    </row>
    <row r="503" spans="1:18" x14ac:dyDescent="0.25">
      <c r="A503" s="170">
        <v>45994</v>
      </c>
      <c r="B503" s="116">
        <v>683.55</v>
      </c>
      <c r="C503" s="116">
        <v>671.15</v>
      </c>
      <c r="D503" s="116">
        <v>668.5</v>
      </c>
      <c r="E503" s="116">
        <v>676.85</v>
      </c>
      <c r="F503" s="116">
        <v>671.15</v>
      </c>
      <c r="G503">
        <v>57801</v>
      </c>
      <c r="H503" s="116"/>
      <c r="I503" s="116"/>
      <c r="L503" s="170">
        <v>45994</v>
      </c>
      <c r="M503" s="116">
        <v>671.15</v>
      </c>
      <c r="N503" s="116">
        <v>683.9</v>
      </c>
      <c r="O503" s="116">
        <v>668.5</v>
      </c>
      <c r="P503" s="116">
        <v>677.95</v>
      </c>
      <c r="Q503" s="116">
        <v>671.15</v>
      </c>
      <c r="R503">
        <v>589673</v>
      </c>
    </row>
    <row r="504" spans="1:18" x14ac:dyDescent="0.25">
      <c r="A504" s="170">
        <v>45995</v>
      </c>
      <c r="B504" s="116">
        <v>679.4</v>
      </c>
      <c r="C504" s="116">
        <v>674.1</v>
      </c>
      <c r="D504" s="116">
        <v>671.15</v>
      </c>
      <c r="E504" s="116">
        <v>671.15</v>
      </c>
      <c r="F504" s="116">
        <v>674.1</v>
      </c>
      <c r="G504">
        <v>50363</v>
      </c>
      <c r="H504" s="116"/>
      <c r="I504" s="116"/>
      <c r="L504" s="170">
        <v>45995</v>
      </c>
      <c r="M504" s="116">
        <v>674.45</v>
      </c>
      <c r="N504" s="116">
        <v>679.15</v>
      </c>
      <c r="O504" s="116">
        <v>671.15</v>
      </c>
      <c r="P504" s="116">
        <v>671.8</v>
      </c>
      <c r="Q504" s="116">
        <v>674.45</v>
      </c>
      <c r="R504">
        <v>350063</v>
      </c>
    </row>
    <row r="505" spans="1:18" x14ac:dyDescent="0.25">
      <c r="A505" s="170">
        <v>45996</v>
      </c>
      <c r="B505" s="116">
        <v>675.15</v>
      </c>
      <c r="C505" s="116">
        <v>666.5</v>
      </c>
      <c r="D505" s="116">
        <v>663.3</v>
      </c>
      <c r="E505" s="116">
        <v>675.15</v>
      </c>
      <c r="F505" s="116">
        <v>666.5</v>
      </c>
      <c r="G505">
        <v>33842</v>
      </c>
      <c r="H505" s="116"/>
      <c r="I505" s="116"/>
      <c r="L505" s="170">
        <v>45996</v>
      </c>
      <c r="M505" s="116">
        <v>666.45</v>
      </c>
      <c r="N505" s="116">
        <v>676.6</v>
      </c>
      <c r="O505" s="116">
        <v>663.5</v>
      </c>
      <c r="P505" s="116">
        <v>676.6</v>
      </c>
      <c r="Q505" s="116">
        <v>666.45</v>
      </c>
      <c r="R505">
        <v>530874</v>
      </c>
    </row>
    <row r="506" spans="1:18" x14ac:dyDescent="0.25">
      <c r="A506" s="170">
        <v>45999</v>
      </c>
      <c r="B506" s="116">
        <v>668.35</v>
      </c>
      <c r="C506" s="116">
        <v>651.15</v>
      </c>
      <c r="D506" s="116">
        <v>646.04999999999995</v>
      </c>
      <c r="E506" s="116">
        <v>663.65</v>
      </c>
      <c r="F506" s="116">
        <v>651.15</v>
      </c>
      <c r="G506">
        <v>88186</v>
      </c>
      <c r="H506" s="116"/>
      <c r="I506" s="116"/>
      <c r="L506" s="170">
        <v>45999</v>
      </c>
      <c r="M506" s="116">
        <v>650.85</v>
      </c>
      <c r="N506" s="116">
        <v>668.35</v>
      </c>
      <c r="O506" s="116">
        <v>645.1</v>
      </c>
      <c r="P506" s="116">
        <v>665</v>
      </c>
      <c r="Q506" s="116">
        <v>650.85</v>
      </c>
      <c r="R506">
        <v>635690</v>
      </c>
    </row>
    <row r="507" spans="1:18" x14ac:dyDescent="0.25">
      <c r="A507" s="170">
        <v>46000</v>
      </c>
      <c r="B507" s="116">
        <v>655.6</v>
      </c>
      <c r="C507" s="116">
        <v>652.1</v>
      </c>
      <c r="D507" s="116">
        <v>641</v>
      </c>
      <c r="E507" s="116">
        <v>648.1</v>
      </c>
      <c r="F507" s="116">
        <v>652.1</v>
      </c>
      <c r="G507">
        <v>73887</v>
      </c>
      <c r="H507" s="116"/>
      <c r="I507" s="116"/>
      <c r="L507" s="170">
        <v>46000</v>
      </c>
      <c r="M507" s="116">
        <v>652.1</v>
      </c>
      <c r="N507" s="116">
        <v>655.55</v>
      </c>
      <c r="O507" s="116">
        <v>641</v>
      </c>
      <c r="P507" s="116">
        <v>650.1</v>
      </c>
      <c r="Q507" s="116">
        <v>652.1</v>
      </c>
      <c r="R507">
        <v>528621</v>
      </c>
    </row>
    <row r="508" spans="1:18" x14ac:dyDescent="0.25">
      <c r="A508" s="170">
        <v>46001</v>
      </c>
      <c r="B508" s="116">
        <v>655.9</v>
      </c>
      <c r="C508" s="116">
        <v>642.95000000000005</v>
      </c>
      <c r="D508" s="116">
        <v>641.20000000000005</v>
      </c>
      <c r="E508" s="116">
        <v>652.29999999999995</v>
      </c>
      <c r="F508" s="116">
        <v>642.95000000000005</v>
      </c>
      <c r="G508">
        <v>71133</v>
      </c>
      <c r="H508" s="116"/>
      <c r="I508" s="116"/>
      <c r="L508" s="170">
        <v>46001</v>
      </c>
      <c r="M508" s="116">
        <v>643.29999999999995</v>
      </c>
      <c r="N508" s="116">
        <v>655.65</v>
      </c>
      <c r="O508" s="116">
        <v>640.5</v>
      </c>
      <c r="P508" s="116">
        <v>653</v>
      </c>
      <c r="Q508" s="116">
        <v>643.29999999999995</v>
      </c>
      <c r="R508">
        <v>505528</v>
      </c>
    </row>
    <row r="509" spans="1:18" x14ac:dyDescent="0.25">
      <c r="A509" s="170">
        <v>46002</v>
      </c>
      <c r="B509" s="116">
        <v>657.25</v>
      </c>
      <c r="C509" s="116">
        <v>655.55</v>
      </c>
      <c r="D509" s="116">
        <v>642.54999999999995</v>
      </c>
      <c r="E509" s="116">
        <v>644.04999999999995</v>
      </c>
      <c r="F509" s="116">
        <v>655.55</v>
      </c>
      <c r="G509">
        <v>27439</v>
      </c>
      <c r="H509" s="116"/>
      <c r="I509" s="116"/>
      <c r="L509" s="170">
        <v>46002</v>
      </c>
      <c r="M509" s="116">
        <v>655.75</v>
      </c>
      <c r="N509" s="116">
        <v>657.4</v>
      </c>
      <c r="O509" s="116">
        <v>642</v>
      </c>
      <c r="P509" s="116">
        <v>644.25</v>
      </c>
      <c r="Q509" s="116">
        <v>655.75</v>
      </c>
      <c r="R509">
        <v>573328</v>
      </c>
    </row>
    <row r="510" spans="1:18" x14ac:dyDescent="0.25">
      <c r="A510" s="170">
        <v>46003</v>
      </c>
      <c r="B510" s="116">
        <v>661</v>
      </c>
      <c r="C510" s="116">
        <v>660.15</v>
      </c>
      <c r="D510" s="116">
        <v>653.54999999999995</v>
      </c>
      <c r="E510" s="116">
        <v>658.85</v>
      </c>
      <c r="F510" s="116">
        <v>660.15</v>
      </c>
      <c r="G510">
        <v>27770</v>
      </c>
      <c r="H510" s="116"/>
      <c r="I510" s="116"/>
      <c r="L510" s="170">
        <v>46003</v>
      </c>
      <c r="M510" s="116">
        <v>660</v>
      </c>
      <c r="N510" s="116">
        <v>660.8</v>
      </c>
      <c r="O510" s="116">
        <v>653.04999999999995</v>
      </c>
      <c r="P510" s="116">
        <v>659.6</v>
      </c>
      <c r="Q510" s="116">
        <v>660</v>
      </c>
      <c r="R510">
        <v>358522</v>
      </c>
    </row>
    <row r="511" spans="1:18" x14ac:dyDescent="0.25">
      <c r="A511" s="170">
        <v>46006</v>
      </c>
      <c r="B511" s="116">
        <v>661.9</v>
      </c>
      <c r="C511" s="116">
        <v>657.45</v>
      </c>
      <c r="D511" s="116">
        <v>655.45</v>
      </c>
      <c r="E511" s="116">
        <v>656.15</v>
      </c>
      <c r="F511" s="116">
        <v>657.45</v>
      </c>
      <c r="G511">
        <v>43492</v>
      </c>
      <c r="H511" s="116"/>
      <c r="I511" s="116"/>
      <c r="L511" s="170">
        <v>46006</v>
      </c>
      <c r="M511" s="116">
        <v>657.3</v>
      </c>
      <c r="N511" s="116">
        <v>661.9</v>
      </c>
      <c r="O511" s="116">
        <v>655.15</v>
      </c>
      <c r="P511" s="116">
        <v>660</v>
      </c>
      <c r="Q511" s="116">
        <v>657.3</v>
      </c>
      <c r="R511">
        <v>386744</v>
      </c>
    </row>
    <row r="512" spans="1:18" x14ac:dyDescent="0.25">
      <c r="A512" s="170">
        <v>46007</v>
      </c>
      <c r="B512" s="116">
        <v>657.45</v>
      </c>
      <c r="C512" s="116">
        <v>650.35</v>
      </c>
      <c r="D512" s="116">
        <v>648.1</v>
      </c>
      <c r="E512" s="116">
        <v>655.15</v>
      </c>
      <c r="F512" s="116">
        <v>650.35</v>
      </c>
      <c r="G512">
        <v>48047</v>
      </c>
      <c r="H512" s="116"/>
      <c r="I512" s="116"/>
      <c r="L512" s="170">
        <v>46007</v>
      </c>
      <c r="M512" s="116">
        <v>650.35</v>
      </c>
      <c r="N512" s="116">
        <v>657.75</v>
      </c>
      <c r="O512" s="116">
        <v>648</v>
      </c>
      <c r="P512" s="116">
        <v>657</v>
      </c>
      <c r="Q512" s="116">
        <v>650.35</v>
      </c>
      <c r="R512">
        <v>329892</v>
      </c>
    </row>
    <row r="513" spans="1:18" x14ac:dyDescent="0.25">
      <c r="A513" s="170">
        <v>46008</v>
      </c>
      <c r="B513" s="116">
        <v>653.6</v>
      </c>
      <c r="C513" s="116">
        <v>641.79999999999995</v>
      </c>
      <c r="D513" s="116">
        <v>640</v>
      </c>
      <c r="E513" s="116">
        <v>648.15</v>
      </c>
      <c r="F513" s="116">
        <v>641.79999999999995</v>
      </c>
      <c r="G513">
        <v>69359</v>
      </c>
      <c r="H513" s="116"/>
      <c r="I513" s="116"/>
      <c r="L513" s="170">
        <v>46008</v>
      </c>
      <c r="M513" s="116">
        <v>641.79999999999995</v>
      </c>
      <c r="N513" s="116">
        <v>653.45000000000005</v>
      </c>
      <c r="O513" s="116">
        <v>639.70000000000005</v>
      </c>
      <c r="P513" s="116">
        <v>650.29999999999995</v>
      </c>
      <c r="Q513" s="116">
        <v>641.79999999999995</v>
      </c>
      <c r="R513">
        <v>671597</v>
      </c>
    </row>
    <row r="514" spans="1:18" x14ac:dyDescent="0.25">
      <c r="A514" s="170">
        <v>46009</v>
      </c>
      <c r="B514" s="116">
        <v>645.5</v>
      </c>
      <c r="C514" s="116">
        <v>642.9</v>
      </c>
      <c r="D514" s="116">
        <v>637</v>
      </c>
      <c r="E514" s="116">
        <v>639.25</v>
      </c>
      <c r="F514" s="116">
        <v>642.9</v>
      </c>
      <c r="G514">
        <v>59236</v>
      </c>
      <c r="H514" s="116"/>
      <c r="I514" s="116"/>
      <c r="L514" s="170">
        <v>46009</v>
      </c>
      <c r="M514" s="116">
        <v>643.04999999999995</v>
      </c>
      <c r="N514" s="116">
        <v>645.65</v>
      </c>
      <c r="O514" s="116">
        <v>636.5</v>
      </c>
      <c r="P514" s="116">
        <v>639.95000000000005</v>
      </c>
      <c r="Q514" s="116">
        <v>643.04999999999995</v>
      </c>
      <c r="R514">
        <v>378881</v>
      </c>
    </row>
    <row r="515" spans="1:18" x14ac:dyDescent="0.25">
      <c r="A515" s="170">
        <v>46010</v>
      </c>
      <c r="B515" s="116">
        <v>655.8</v>
      </c>
      <c r="C515" s="116">
        <v>654.1</v>
      </c>
      <c r="D515" s="116">
        <v>643.4</v>
      </c>
      <c r="E515" s="116">
        <v>643.4</v>
      </c>
      <c r="F515" s="116">
        <v>654.1</v>
      </c>
      <c r="G515">
        <v>34419</v>
      </c>
      <c r="H515" s="116"/>
      <c r="I515" s="116"/>
      <c r="L515" s="170">
        <v>46010</v>
      </c>
      <c r="M515" s="116">
        <v>654.20000000000005</v>
      </c>
      <c r="N515" s="116">
        <v>655.5</v>
      </c>
      <c r="O515" s="116">
        <v>643.4</v>
      </c>
      <c r="P515" s="116">
        <v>645</v>
      </c>
      <c r="Q515" s="116">
        <v>654.20000000000005</v>
      </c>
      <c r="R515">
        <v>640716</v>
      </c>
    </row>
    <row r="516" spans="1:18" x14ac:dyDescent="0.25">
      <c r="A516" s="170">
        <v>46013</v>
      </c>
      <c r="B516" s="116">
        <v>668</v>
      </c>
      <c r="C516" s="116">
        <v>663.45</v>
      </c>
      <c r="D516" s="116">
        <v>657.15</v>
      </c>
      <c r="E516" s="116">
        <v>657.5</v>
      </c>
      <c r="F516" s="116">
        <v>663.45</v>
      </c>
      <c r="G516">
        <v>31132</v>
      </c>
      <c r="H516" s="116"/>
      <c r="I516" s="116"/>
      <c r="L516" s="170">
        <v>46013</v>
      </c>
      <c r="M516" s="116">
        <v>663.4</v>
      </c>
      <c r="N516" s="116">
        <v>668.3</v>
      </c>
      <c r="O516" s="116">
        <v>657.45</v>
      </c>
      <c r="P516" s="116">
        <v>657.9</v>
      </c>
      <c r="Q516" s="116">
        <v>663.4</v>
      </c>
      <c r="R516">
        <v>553411</v>
      </c>
    </row>
    <row r="517" spans="1:18" x14ac:dyDescent="0.25">
      <c r="A517" s="170">
        <v>46014</v>
      </c>
      <c r="B517" s="116">
        <v>665.2</v>
      </c>
      <c r="C517" s="116">
        <v>662.75</v>
      </c>
      <c r="D517" s="116">
        <v>660.2</v>
      </c>
      <c r="E517" s="116">
        <v>664.2</v>
      </c>
      <c r="F517" s="116">
        <v>662.75</v>
      </c>
      <c r="G517">
        <v>53003</v>
      </c>
      <c r="H517" s="116"/>
      <c r="I517" s="116"/>
      <c r="L517" s="170">
        <v>46014</v>
      </c>
      <c r="M517" s="116">
        <v>663.35</v>
      </c>
      <c r="N517" s="116">
        <v>665.45</v>
      </c>
      <c r="O517" s="116">
        <v>660.15</v>
      </c>
      <c r="P517" s="116">
        <v>664.95</v>
      </c>
      <c r="Q517" s="116">
        <v>663.35</v>
      </c>
      <c r="R517">
        <v>369662</v>
      </c>
    </row>
    <row r="518" spans="1:18" x14ac:dyDescent="0.25">
      <c r="A518" s="170">
        <v>46015</v>
      </c>
      <c r="B518" s="116">
        <v>665</v>
      </c>
      <c r="C518" s="116">
        <v>657.35</v>
      </c>
      <c r="D518" s="116">
        <v>656.3</v>
      </c>
      <c r="E518" s="116">
        <v>662.8</v>
      </c>
      <c r="F518" s="116">
        <v>657.35</v>
      </c>
      <c r="G518">
        <v>34450</v>
      </c>
      <c r="H518" s="116"/>
      <c r="I518" s="116"/>
      <c r="L518" s="170">
        <v>46015</v>
      </c>
      <c r="M518" s="116">
        <v>657.6</v>
      </c>
      <c r="N518" s="116">
        <v>665.3</v>
      </c>
      <c r="O518" s="116">
        <v>656</v>
      </c>
      <c r="P518" s="116">
        <v>663.9</v>
      </c>
      <c r="Q518" s="116">
        <v>657.6</v>
      </c>
      <c r="R518">
        <v>318271</v>
      </c>
    </row>
    <row r="519" spans="1:18" x14ac:dyDescent="0.25">
      <c r="A519" s="170">
        <v>46017</v>
      </c>
      <c r="B519" s="116">
        <v>661.95</v>
      </c>
      <c r="C519" s="116">
        <v>654.35</v>
      </c>
      <c r="D519" s="116">
        <v>652.75</v>
      </c>
      <c r="E519" s="116">
        <v>655.55</v>
      </c>
      <c r="F519" s="116">
        <v>654.35</v>
      </c>
      <c r="G519">
        <v>15321</v>
      </c>
      <c r="H519" s="116"/>
      <c r="I519" s="116"/>
      <c r="L519" s="170">
        <v>46017</v>
      </c>
      <c r="M519" s="116">
        <v>654.54999999999995</v>
      </c>
      <c r="N519" s="116">
        <v>662.05</v>
      </c>
      <c r="O519" s="116">
        <v>652.45000000000005</v>
      </c>
      <c r="P519" s="116">
        <v>656</v>
      </c>
      <c r="Q519" s="116">
        <v>654.54999999999995</v>
      </c>
      <c r="R519">
        <v>343359</v>
      </c>
    </row>
    <row r="520" spans="1:18" x14ac:dyDescent="0.25">
      <c r="A520" s="170">
        <v>46020</v>
      </c>
      <c r="B520" s="116">
        <v>655.85</v>
      </c>
      <c r="C520" s="116">
        <v>651.15</v>
      </c>
      <c r="D520" s="116">
        <v>647.1</v>
      </c>
      <c r="E520" s="116">
        <v>653.4</v>
      </c>
      <c r="F520" s="116">
        <v>651.15</v>
      </c>
      <c r="G520">
        <v>23905</v>
      </c>
      <c r="H520" s="116"/>
      <c r="I520" s="116"/>
      <c r="L520" s="170">
        <v>46020</v>
      </c>
      <c r="M520" s="116">
        <v>651.20000000000005</v>
      </c>
      <c r="N520" s="116">
        <v>655.95</v>
      </c>
      <c r="O520" s="116">
        <v>647.1</v>
      </c>
      <c r="P520" s="116">
        <v>654.54999999999995</v>
      </c>
      <c r="Q520" s="116">
        <v>651.20000000000005</v>
      </c>
      <c r="R520">
        <v>408887</v>
      </c>
    </row>
    <row r="521" spans="1:18" x14ac:dyDescent="0.25">
      <c r="A521" s="170">
        <v>46021</v>
      </c>
      <c r="B521" s="116">
        <v>649.79999999999995</v>
      </c>
      <c r="C521" s="116">
        <v>639.1</v>
      </c>
      <c r="D521" s="116">
        <v>638.04999999999995</v>
      </c>
      <c r="E521" s="116">
        <v>649.20000000000005</v>
      </c>
      <c r="F521" s="116">
        <v>639.1</v>
      </c>
      <c r="G521">
        <v>34962</v>
      </c>
      <c r="H521" s="116"/>
      <c r="I521" s="116"/>
      <c r="L521" s="170">
        <v>46021</v>
      </c>
      <c r="M521" s="116">
        <v>638.75</v>
      </c>
      <c r="N521" s="116">
        <v>651.20000000000005</v>
      </c>
      <c r="O521" s="116">
        <v>638</v>
      </c>
      <c r="P521" s="116">
        <v>650.1</v>
      </c>
      <c r="Q521" s="116">
        <v>638.75</v>
      </c>
      <c r="R521">
        <v>614244</v>
      </c>
    </row>
    <row r="522" spans="1:18" x14ac:dyDescent="0.25">
      <c r="A522" s="170">
        <v>46022</v>
      </c>
      <c r="B522" s="116">
        <v>645</v>
      </c>
      <c r="C522" s="116">
        <v>642.1</v>
      </c>
      <c r="D522" s="116">
        <v>639</v>
      </c>
      <c r="E522" s="116">
        <v>639.35</v>
      </c>
      <c r="F522" s="116">
        <v>642.1</v>
      </c>
      <c r="G522">
        <v>67200</v>
      </c>
      <c r="H522" s="116"/>
      <c r="I522" s="116"/>
      <c r="L522" s="170">
        <v>46022</v>
      </c>
      <c r="M522" s="116">
        <v>643</v>
      </c>
      <c r="N522" s="116">
        <v>647.5</v>
      </c>
      <c r="O522" s="116">
        <v>639.04999999999995</v>
      </c>
      <c r="P522" s="116">
        <v>640.1</v>
      </c>
      <c r="Q522" s="116">
        <v>643</v>
      </c>
      <c r="R522">
        <v>374610</v>
      </c>
    </row>
    <row r="523" spans="1:18" x14ac:dyDescent="0.25">
      <c r="A523" s="170">
        <v>46023</v>
      </c>
      <c r="B523" s="116">
        <v>646.95000000000005</v>
      </c>
      <c r="C523" s="116">
        <v>644.04999999999995</v>
      </c>
      <c r="D523" s="116">
        <v>640.54999999999995</v>
      </c>
      <c r="E523" s="116">
        <v>646.95000000000005</v>
      </c>
      <c r="F523" s="116">
        <v>644.04999999999995</v>
      </c>
      <c r="G523">
        <v>29744</v>
      </c>
      <c r="H523" s="116"/>
      <c r="I523" s="116"/>
      <c r="L523" s="170">
        <v>46023</v>
      </c>
      <c r="M523" s="116">
        <v>644.25</v>
      </c>
      <c r="N523" s="116">
        <v>645.85</v>
      </c>
      <c r="O523" s="116">
        <v>640.4</v>
      </c>
      <c r="P523" s="116">
        <v>645</v>
      </c>
      <c r="Q523" s="116">
        <v>644.25</v>
      </c>
      <c r="R523">
        <v>357803</v>
      </c>
    </row>
    <row r="524" spans="1:18" x14ac:dyDescent="0.25">
      <c r="A524" s="170">
        <v>46024</v>
      </c>
      <c r="B524" s="116">
        <v>657.4</v>
      </c>
      <c r="C524" s="116">
        <v>656.1</v>
      </c>
      <c r="D524" s="116">
        <v>643.20000000000005</v>
      </c>
      <c r="E524" s="116">
        <v>644.4</v>
      </c>
      <c r="F524" s="116">
        <v>656.1</v>
      </c>
      <c r="G524">
        <v>31867</v>
      </c>
      <c r="H524" s="116"/>
      <c r="I524" s="116"/>
      <c r="L524" s="170">
        <v>46024</v>
      </c>
      <c r="M524" s="116">
        <v>655.95</v>
      </c>
      <c r="N524" s="116">
        <v>657</v>
      </c>
      <c r="O524" s="116">
        <v>643</v>
      </c>
      <c r="P524" s="116">
        <v>645.9</v>
      </c>
      <c r="Q524" s="116">
        <v>655.95</v>
      </c>
      <c r="R524">
        <v>568871</v>
      </c>
    </row>
    <row r="525" spans="1:18" x14ac:dyDescent="0.25">
      <c r="A525" s="170">
        <v>46027</v>
      </c>
      <c r="B525" s="116">
        <v>659.7</v>
      </c>
      <c r="C525" s="116">
        <v>651.29999999999995</v>
      </c>
      <c r="D525" s="116">
        <v>649.25</v>
      </c>
      <c r="E525" s="116">
        <v>654.20000000000005</v>
      </c>
      <c r="F525" s="116">
        <v>651.29999999999995</v>
      </c>
      <c r="G525">
        <v>81884</v>
      </c>
      <c r="H525" s="116"/>
      <c r="I525" s="116"/>
      <c r="L525" s="170">
        <v>46027</v>
      </c>
      <c r="M525" s="116">
        <v>651.04999999999995</v>
      </c>
      <c r="N525" s="116">
        <v>659.6</v>
      </c>
      <c r="O525" s="116">
        <v>649</v>
      </c>
      <c r="P525" s="116">
        <v>656</v>
      </c>
      <c r="Q525" s="116">
        <v>651.04999999999995</v>
      </c>
      <c r="R525">
        <v>646655</v>
      </c>
    </row>
    <row r="526" spans="1:18" x14ac:dyDescent="0.25">
      <c r="A526" s="170">
        <v>46028</v>
      </c>
      <c r="B526" s="116">
        <v>654.20000000000005</v>
      </c>
      <c r="C526" s="116">
        <v>648.9</v>
      </c>
      <c r="D526" s="116">
        <v>645.29999999999995</v>
      </c>
      <c r="E526" s="116">
        <v>650.35</v>
      </c>
      <c r="F526" s="116">
        <v>648.9</v>
      </c>
      <c r="G526">
        <v>50107</v>
      </c>
      <c r="H526" s="116"/>
      <c r="I526" s="116"/>
      <c r="L526" s="170">
        <v>46028</v>
      </c>
      <c r="M526" s="116">
        <v>649.15</v>
      </c>
      <c r="N526" s="116">
        <v>654.45000000000005</v>
      </c>
      <c r="O526" s="116">
        <v>645.6</v>
      </c>
      <c r="P526" s="116">
        <v>651.04999999999995</v>
      </c>
      <c r="Q526" s="116">
        <v>649.15</v>
      </c>
      <c r="R526">
        <v>388837</v>
      </c>
    </row>
    <row r="527" spans="1:18" x14ac:dyDescent="0.25">
      <c r="A527" s="170">
        <v>46029</v>
      </c>
      <c r="B527" s="116">
        <v>687.6</v>
      </c>
      <c r="C527" s="116">
        <v>683.45</v>
      </c>
      <c r="D527" s="116">
        <v>652.1</v>
      </c>
      <c r="E527" s="116">
        <v>652.1</v>
      </c>
      <c r="F527" s="116">
        <v>683.45</v>
      </c>
      <c r="G527">
        <v>464695</v>
      </c>
      <c r="H527" s="116"/>
      <c r="I527" s="116"/>
      <c r="L527" s="170">
        <v>46029</v>
      </c>
      <c r="M527" s="116">
        <v>683.5</v>
      </c>
      <c r="N527" s="116">
        <v>687.7</v>
      </c>
      <c r="O527" s="116">
        <v>651</v>
      </c>
      <c r="P527" s="116">
        <v>656</v>
      </c>
      <c r="Q527" s="116">
        <v>683.5</v>
      </c>
      <c r="R527">
        <v>9021028</v>
      </c>
    </row>
    <row r="528" spans="1:18" x14ac:dyDescent="0.25">
      <c r="A528" s="170">
        <v>46030</v>
      </c>
      <c r="B528" s="116">
        <v>690.2</v>
      </c>
      <c r="C528" s="116">
        <v>661.8</v>
      </c>
      <c r="D528" s="116">
        <v>660.2</v>
      </c>
      <c r="E528" s="116">
        <v>683.45</v>
      </c>
      <c r="F528" s="116">
        <v>661.8</v>
      </c>
      <c r="G528">
        <v>77074</v>
      </c>
      <c r="H528" s="116"/>
      <c r="I528" s="116"/>
      <c r="L528" s="170">
        <v>46030</v>
      </c>
      <c r="M528" s="116">
        <v>661.65</v>
      </c>
      <c r="N528" s="116">
        <v>690</v>
      </c>
      <c r="O528" s="116">
        <v>660.4</v>
      </c>
      <c r="P528" s="116">
        <v>683</v>
      </c>
      <c r="Q528" s="116">
        <v>661.65</v>
      </c>
      <c r="R528">
        <v>1864357</v>
      </c>
    </row>
    <row r="529" spans="1:18" x14ac:dyDescent="0.25">
      <c r="A529" s="170">
        <v>46031</v>
      </c>
      <c r="B529" s="116">
        <v>664.8</v>
      </c>
      <c r="C529" s="116">
        <v>652.85</v>
      </c>
      <c r="D529" s="116">
        <v>648.45000000000005</v>
      </c>
      <c r="E529" s="116">
        <v>660.15</v>
      </c>
      <c r="F529" s="116">
        <v>652.85</v>
      </c>
      <c r="G529">
        <v>142614</v>
      </c>
      <c r="H529" s="116"/>
      <c r="I529" s="116"/>
      <c r="L529" s="170">
        <v>46031</v>
      </c>
      <c r="M529" s="116">
        <v>652.75</v>
      </c>
      <c r="N529" s="116">
        <v>664.85</v>
      </c>
      <c r="O529" s="116">
        <v>648.70000000000005</v>
      </c>
      <c r="P529" s="116">
        <v>660.5</v>
      </c>
      <c r="Q529" s="116">
        <v>652.75</v>
      </c>
      <c r="R529">
        <v>903801</v>
      </c>
    </row>
    <row r="530" spans="1:18" x14ac:dyDescent="0.25">
      <c r="A530" s="170">
        <v>46034</v>
      </c>
      <c r="B530" s="116">
        <v>654.5</v>
      </c>
      <c r="C530" s="116">
        <v>652.6</v>
      </c>
      <c r="D530" s="116">
        <v>641.25</v>
      </c>
      <c r="E530" s="116">
        <v>649.75</v>
      </c>
      <c r="F530" s="116">
        <v>652.6</v>
      </c>
      <c r="G530">
        <v>90430</v>
      </c>
      <c r="H530" s="116"/>
      <c r="I530" s="116"/>
      <c r="L530" s="170">
        <v>46034</v>
      </c>
      <c r="M530" s="116">
        <v>652.70000000000005</v>
      </c>
      <c r="N530" s="116">
        <v>654.45000000000005</v>
      </c>
      <c r="O530" s="116">
        <v>641.5</v>
      </c>
      <c r="P530" s="116">
        <v>651</v>
      </c>
      <c r="Q530" s="116">
        <v>652.70000000000005</v>
      </c>
      <c r="R530">
        <v>511805</v>
      </c>
    </row>
    <row r="531" spans="1:18" x14ac:dyDescent="0.25">
      <c r="A531" s="170">
        <v>46035</v>
      </c>
      <c r="B531" s="116">
        <v>661.65</v>
      </c>
      <c r="C531" s="116">
        <v>660.25</v>
      </c>
      <c r="D531" s="116">
        <v>647.45000000000005</v>
      </c>
      <c r="E531" s="116">
        <v>659.25</v>
      </c>
      <c r="F531" s="116">
        <v>660.25</v>
      </c>
      <c r="G531">
        <v>31063</v>
      </c>
      <c r="H531" s="116"/>
      <c r="I531" s="116"/>
      <c r="L531" s="170">
        <v>46035</v>
      </c>
      <c r="M531" s="116">
        <v>660.25</v>
      </c>
      <c r="N531" s="116">
        <v>661.7</v>
      </c>
      <c r="O531" s="116">
        <v>647.5</v>
      </c>
      <c r="P531" s="116">
        <v>652</v>
      </c>
      <c r="Q531" s="116">
        <v>660.25</v>
      </c>
      <c r="R531">
        <v>830857</v>
      </c>
    </row>
    <row r="532" spans="1:18" x14ac:dyDescent="0.25">
      <c r="A532" s="170">
        <v>46036</v>
      </c>
      <c r="B532" s="116">
        <v>664.9</v>
      </c>
      <c r="C532" s="116">
        <v>646.65</v>
      </c>
      <c r="D532" s="116">
        <v>645.5</v>
      </c>
      <c r="E532" s="116">
        <v>662.6</v>
      </c>
      <c r="F532" s="116">
        <v>646.65</v>
      </c>
      <c r="G532">
        <v>85250</v>
      </c>
      <c r="H532" s="116"/>
      <c r="I532" s="116"/>
      <c r="L532" s="170">
        <v>46036</v>
      </c>
      <c r="M532" s="116">
        <v>646.65</v>
      </c>
      <c r="N532" s="116">
        <v>664.75</v>
      </c>
      <c r="O532" s="116">
        <v>645</v>
      </c>
      <c r="P532" s="116">
        <v>664.75</v>
      </c>
      <c r="Q532" s="116">
        <v>646.65</v>
      </c>
      <c r="R532">
        <v>1158638</v>
      </c>
    </row>
    <row r="533" spans="1:18" x14ac:dyDescent="0.25">
      <c r="A533" s="170">
        <v>46038</v>
      </c>
      <c r="B533" s="116">
        <v>657</v>
      </c>
      <c r="C533" s="116">
        <v>650.4</v>
      </c>
      <c r="D533" s="116">
        <v>647.25</v>
      </c>
      <c r="E533" s="116">
        <v>647.25</v>
      </c>
      <c r="F533" s="116">
        <v>650.4</v>
      </c>
      <c r="G533">
        <v>90290</v>
      </c>
      <c r="H533" s="116"/>
      <c r="I533" s="116"/>
      <c r="L533" s="170">
        <v>46038</v>
      </c>
      <c r="M533" s="116">
        <v>650.6</v>
      </c>
      <c r="N533" s="116">
        <v>657</v>
      </c>
      <c r="O533" s="116">
        <v>647.95000000000005</v>
      </c>
      <c r="P533" s="116">
        <v>647.95000000000005</v>
      </c>
      <c r="Q533" s="116">
        <v>650.6</v>
      </c>
      <c r="R533">
        <v>855667</v>
      </c>
    </row>
    <row r="534" spans="1:18" x14ac:dyDescent="0.25">
      <c r="A534" s="170">
        <v>46041</v>
      </c>
      <c r="B534" s="116">
        <v>679</v>
      </c>
      <c r="C534" s="116">
        <v>661.35</v>
      </c>
      <c r="D534" s="116">
        <v>638.29999999999995</v>
      </c>
      <c r="E534" s="116">
        <v>638.29999999999995</v>
      </c>
      <c r="F534" s="116">
        <v>661.35</v>
      </c>
      <c r="G534">
        <v>202471</v>
      </c>
      <c r="H534" s="116"/>
      <c r="I534" s="116"/>
      <c r="L534" s="170">
        <v>46041</v>
      </c>
      <c r="M534" s="116">
        <v>661.35</v>
      </c>
      <c r="N534" s="116">
        <v>679</v>
      </c>
      <c r="O534" s="116">
        <v>638.79999999999995</v>
      </c>
      <c r="P534" s="116">
        <v>639.25</v>
      </c>
      <c r="Q534" s="116">
        <v>661.35</v>
      </c>
      <c r="R534">
        <v>4669456</v>
      </c>
    </row>
    <row r="535" spans="1:18" x14ac:dyDescent="0.25">
      <c r="A535" s="170">
        <v>46042</v>
      </c>
      <c r="B535" s="116">
        <v>663.95</v>
      </c>
      <c r="C535" s="116">
        <v>647.95000000000005</v>
      </c>
      <c r="D535" s="116">
        <v>645.5</v>
      </c>
      <c r="E535" s="116">
        <v>660.05</v>
      </c>
      <c r="F535" s="116">
        <v>647.95000000000005</v>
      </c>
      <c r="G535">
        <v>132879</v>
      </c>
      <c r="H535" s="116"/>
      <c r="I535" s="116"/>
      <c r="L535" s="170">
        <v>46042</v>
      </c>
      <c r="M535" s="116">
        <v>647.45000000000005</v>
      </c>
      <c r="N535" s="116">
        <v>664.15</v>
      </c>
      <c r="O535" s="116">
        <v>644.6</v>
      </c>
      <c r="P535" s="116">
        <v>661.55</v>
      </c>
      <c r="Q535" s="116">
        <v>647.45000000000005</v>
      </c>
      <c r="R535">
        <v>1109131</v>
      </c>
    </row>
    <row r="536" spans="1:18" x14ac:dyDescent="0.25">
      <c r="A536" s="170">
        <v>46043</v>
      </c>
      <c r="B536" s="116">
        <v>650.5</v>
      </c>
      <c r="C536" s="116">
        <v>643.85</v>
      </c>
      <c r="D536" s="116">
        <v>632.1</v>
      </c>
      <c r="E536" s="116">
        <v>646.75</v>
      </c>
      <c r="F536" s="116">
        <v>643.85</v>
      </c>
      <c r="G536">
        <v>134404</v>
      </c>
      <c r="H536" s="116"/>
      <c r="I536" s="116"/>
      <c r="L536" s="170">
        <v>46043</v>
      </c>
      <c r="M536" s="116">
        <v>643.75</v>
      </c>
      <c r="N536" s="116">
        <v>650.20000000000005</v>
      </c>
      <c r="O536" s="116">
        <v>632.35</v>
      </c>
      <c r="P536" s="116">
        <v>646</v>
      </c>
      <c r="Q536" s="116">
        <v>643.75</v>
      </c>
      <c r="R536">
        <v>1219597</v>
      </c>
    </row>
    <row r="537" spans="1:18" x14ac:dyDescent="0.25">
      <c r="A537" s="170">
        <v>46044</v>
      </c>
      <c r="B537" s="116">
        <v>663</v>
      </c>
      <c r="C537" s="116">
        <v>652.35</v>
      </c>
      <c r="D537" s="116">
        <v>645.70000000000005</v>
      </c>
      <c r="E537" s="116">
        <v>645.70000000000005</v>
      </c>
      <c r="F537" s="116">
        <v>652.35</v>
      </c>
      <c r="G537">
        <v>82770</v>
      </c>
      <c r="H537" s="116"/>
      <c r="I537" s="116"/>
      <c r="L537" s="170">
        <v>46044</v>
      </c>
      <c r="M537" s="116">
        <v>652.15</v>
      </c>
      <c r="N537" s="116">
        <v>663.35</v>
      </c>
      <c r="O537" s="116">
        <v>645.5</v>
      </c>
      <c r="P537" s="116">
        <v>645.5</v>
      </c>
      <c r="Q537" s="116">
        <v>652.15</v>
      </c>
      <c r="R537">
        <v>795469</v>
      </c>
    </row>
    <row r="538" spans="1:18" x14ac:dyDescent="0.25">
      <c r="A538" s="170">
        <v>46045</v>
      </c>
      <c r="B538" s="116">
        <v>663.8</v>
      </c>
      <c r="C538" s="116">
        <v>657.5</v>
      </c>
      <c r="D538" s="116">
        <v>648.79999999999995</v>
      </c>
      <c r="E538" s="116">
        <v>651.1</v>
      </c>
      <c r="F538" s="116">
        <v>657.5</v>
      </c>
      <c r="G538">
        <v>107226</v>
      </c>
      <c r="H538" s="116"/>
      <c r="I538" s="116"/>
      <c r="L538" s="170">
        <v>46045</v>
      </c>
      <c r="M538" s="116">
        <v>657.55</v>
      </c>
      <c r="N538" s="116">
        <v>663.95</v>
      </c>
      <c r="O538" s="116">
        <v>649.1</v>
      </c>
      <c r="P538" s="116">
        <v>653</v>
      </c>
      <c r="Q538" s="116">
        <v>657.55</v>
      </c>
      <c r="R538">
        <v>1175442</v>
      </c>
    </row>
    <row r="539" spans="1:18" x14ac:dyDescent="0.25">
      <c r="A539" s="170">
        <v>46049</v>
      </c>
      <c r="B539" s="116">
        <v>657.95</v>
      </c>
      <c r="C539" s="116">
        <v>651.15</v>
      </c>
      <c r="D539" s="116">
        <v>644</v>
      </c>
      <c r="E539" s="116">
        <v>656.25</v>
      </c>
      <c r="F539" s="116">
        <v>651.15</v>
      </c>
      <c r="G539">
        <v>58853</v>
      </c>
      <c r="H539" s="116"/>
      <c r="I539" s="116"/>
      <c r="L539" s="170">
        <v>46049</v>
      </c>
      <c r="M539" s="116">
        <v>651.4</v>
      </c>
      <c r="N539" s="116">
        <v>657.9</v>
      </c>
      <c r="O539" s="116">
        <v>644</v>
      </c>
      <c r="P539" s="116">
        <v>657.55</v>
      </c>
      <c r="Q539" s="116">
        <v>651.4</v>
      </c>
      <c r="R539">
        <v>1094324</v>
      </c>
    </row>
    <row r="540" spans="1:18" x14ac:dyDescent="0.25">
      <c r="A540" s="170">
        <v>46050</v>
      </c>
      <c r="B540" s="116">
        <v>661.75</v>
      </c>
      <c r="C540" s="116">
        <v>660.3</v>
      </c>
      <c r="D540" s="116">
        <v>649.79999999999995</v>
      </c>
      <c r="E540" s="116">
        <v>652.20000000000005</v>
      </c>
      <c r="F540" s="116">
        <v>660.3</v>
      </c>
      <c r="G540">
        <v>27329</v>
      </c>
      <c r="H540" s="116"/>
      <c r="I540" s="116"/>
      <c r="L540" s="170">
        <v>46050</v>
      </c>
      <c r="M540" s="116">
        <v>660.65</v>
      </c>
      <c r="N540" s="116">
        <v>661.8</v>
      </c>
      <c r="O540" s="116">
        <v>649.4</v>
      </c>
      <c r="P540" s="116">
        <v>652.4</v>
      </c>
      <c r="Q540" s="116">
        <v>660.65</v>
      </c>
      <c r="R540">
        <v>586827</v>
      </c>
    </row>
    <row r="541" spans="1:18" x14ac:dyDescent="0.25">
      <c r="A541" s="170">
        <v>46051</v>
      </c>
      <c r="B541" s="116">
        <v>660.15</v>
      </c>
      <c r="C541" s="116">
        <v>651</v>
      </c>
      <c r="D541" s="116">
        <v>645.95000000000005</v>
      </c>
      <c r="E541" s="116">
        <v>658.85</v>
      </c>
      <c r="F541" s="116">
        <v>651</v>
      </c>
      <c r="G541">
        <v>41612</v>
      </c>
      <c r="H541" s="116"/>
      <c r="I541" s="116"/>
      <c r="L541" s="170">
        <v>46051</v>
      </c>
      <c r="M541" s="116">
        <v>651.25</v>
      </c>
      <c r="N541" s="116">
        <v>660.2</v>
      </c>
      <c r="O541" s="116">
        <v>646</v>
      </c>
      <c r="P541" s="116">
        <v>660</v>
      </c>
      <c r="Q541" s="116">
        <v>651.25</v>
      </c>
      <c r="R541">
        <v>668578</v>
      </c>
    </row>
    <row r="542" spans="1:18" x14ac:dyDescent="0.25">
      <c r="A542" s="170">
        <v>46052</v>
      </c>
      <c r="B542" s="116">
        <v>649.5</v>
      </c>
      <c r="C542" s="116">
        <v>645.9</v>
      </c>
      <c r="D542" s="116">
        <v>641.15</v>
      </c>
      <c r="E542" s="116">
        <v>647.95000000000005</v>
      </c>
      <c r="F542" s="116">
        <v>645.9</v>
      </c>
      <c r="G542">
        <v>28666</v>
      </c>
      <c r="H542" s="116"/>
      <c r="I542" s="116"/>
      <c r="L542" s="170">
        <v>46052</v>
      </c>
      <c r="M542" s="116">
        <v>645.95000000000005</v>
      </c>
      <c r="N542" s="116">
        <v>650</v>
      </c>
      <c r="O542" s="116">
        <v>641.04999999999995</v>
      </c>
      <c r="P542" s="116">
        <v>650</v>
      </c>
      <c r="Q542" s="116">
        <v>645.95000000000005</v>
      </c>
      <c r="R542">
        <v>745301</v>
      </c>
    </row>
    <row r="543" spans="1:18" x14ac:dyDescent="0.25">
      <c r="A543" s="170">
        <v>46054</v>
      </c>
      <c r="B543" s="116">
        <v>652.5</v>
      </c>
      <c r="C543" s="116">
        <v>638.79999999999995</v>
      </c>
      <c r="D543" s="116">
        <v>627.04999999999995</v>
      </c>
      <c r="E543" s="116">
        <v>645.25</v>
      </c>
      <c r="F543" s="116">
        <v>638.79999999999995</v>
      </c>
      <c r="G543">
        <v>42332</v>
      </c>
      <c r="H543" s="116"/>
      <c r="I543" s="116"/>
      <c r="L543" s="170">
        <v>46054</v>
      </c>
      <c r="M543" s="116">
        <v>638.70000000000005</v>
      </c>
      <c r="N543" s="116">
        <v>652.4</v>
      </c>
      <c r="O543" s="116">
        <v>627.04999999999995</v>
      </c>
      <c r="P543" s="116">
        <v>645.95000000000005</v>
      </c>
      <c r="Q543" s="116">
        <v>638.70000000000005</v>
      </c>
      <c r="R543">
        <v>587826</v>
      </c>
    </row>
    <row r="544" spans="1:18" x14ac:dyDescent="0.25">
      <c r="A544" s="170">
        <v>46055</v>
      </c>
      <c r="B544" s="116">
        <v>647.95000000000005</v>
      </c>
      <c r="C544" s="116">
        <v>645.70000000000005</v>
      </c>
      <c r="D544" s="116">
        <v>633.6</v>
      </c>
      <c r="E544" s="116">
        <v>637.54999999999995</v>
      </c>
      <c r="F544" s="116">
        <v>645.70000000000005</v>
      </c>
      <c r="G544">
        <v>65629</v>
      </c>
      <c r="H544" s="116"/>
      <c r="I544" s="116"/>
      <c r="L544" s="170">
        <v>46055</v>
      </c>
      <c r="M544" s="116">
        <v>645.85</v>
      </c>
      <c r="N544" s="116">
        <v>647.54999999999995</v>
      </c>
      <c r="O544" s="116">
        <v>633.25</v>
      </c>
      <c r="P544" s="116">
        <v>638.5</v>
      </c>
      <c r="Q544" s="116">
        <v>645.85</v>
      </c>
      <c r="R544">
        <v>479353</v>
      </c>
    </row>
    <row r="545" spans="1:18" x14ac:dyDescent="0.25">
      <c r="A545" s="170">
        <v>46056</v>
      </c>
      <c r="B545" s="116">
        <v>670</v>
      </c>
      <c r="C545" s="116">
        <v>659.8</v>
      </c>
      <c r="D545" s="116">
        <v>652.65</v>
      </c>
      <c r="E545" s="116">
        <v>669.9</v>
      </c>
      <c r="F545" s="116">
        <v>659.8</v>
      </c>
      <c r="G545">
        <v>46065</v>
      </c>
      <c r="H545" s="116"/>
      <c r="I545" s="116"/>
      <c r="L545" s="170">
        <v>46056</v>
      </c>
      <c r="M545" s="116">
        <v>659.5</v>
      </c>
      <c r="N545" s="116">
        <v>671.4</v>
      </c>
      <c r="O545" s="116">
        <v>652.79999999999995</v>
      </c>
      <c r="P545" s="116">
        <v>671.35</v>
      </c>
      <c r="Q545" s="116">
        <v>659.5</v>
      </c>
      <c r="R545">
        <v>956968</v>
      </c>
    </row>
    <row r="546" spans="1:18" x14ac:dyDescent="0.25">
      <c r="A546" s="170">
        <v>46057</v>
      </c>
      <c r="B546" s="116">
        <v>655.7</v>
      </c>
      <c r="C546" s="116">
        <v>650</v>
      </c>
      <c r="D546" s="116">
        <v>642</v>
      </c>
      <c r="E546" s="116">
        <v>655.7</v>
      </c>
      <c r="F546" s="116">
        <v>650</v>
      </c>
      <c r="G546">
        <v>100647</v>
      </c>
      <c r="H546" s="116"/>
      <c r="I546" s="116"/>
      <c r="L546" s="170">
        <v>46057</v>
      </c>
      <c r="M546" s="116">
        <v>650.35</v>
      </c>
      <c r="N546" s="116">
        <v>655</v>
      </c>
      <c r="O546" s="116">
        <v>641.79999999999995</v>
      </c>
      <c r="P546" s="116">
        <v>655</v>
      </c>
      <c r="Q546" s="116">
        <v>650.35</v>
      </c>
      <c r="R546">
        <v>816751</v>
      </c>
    </row>
    <row r="547" spans="1:18" x14ac:dyDescent="0.25">
      <c r="A547" s="170">
        <v>46058</v>
      </c>
      <c r="B547" s="116">
        <v>654</v>
      </c>
      <c r="C547" s="116">
        <v>642.45000000000005</v>
      </c>
      <c r="D547" s="116">
        <v>641.15</v>
      </c>
      <c r="E547" s="116">
        <v>644.35</v>
      </c>
      <c r="F547" s="116">
        <v>642.45000000000005</v>
      </c>
      <c r="G547">
        <v>20621</v>
      </c>
      <c r="H547" s="116"/>
      <c r="I547" s="116"/>
      <c r="L547" s="170">
        <v>46058</v>
      </c>
      <c r="M547" s="116">
        <v>642.75</v>
      </c>
      <c r="N547" s="116">
        <v>654.20000000000005</v>
      </c>
      <c r="O547" s="116">
        <v>641.04999999999995</v>
      </c>
      <c r="P547" s="116">
        <v>646.1</v>
      </c>
      <c r="Q547" s="116">
        <v>642.75</v>
      </c>
      <c r="R547">
        <v>513808</v>
      </c>
    </row>
    <row r="548" spans="1:18" x14ac:dyDescent="0.25">
      <c r="A548" s="170">
        <v>46059</v>
      </c>
      <c r="B548" s="116">
        <v>643</v>
      </c>
      <c r="C548" s="116">
        <v>617.5</v>
      </c>
      <c r="D548" s="116">
        <v>612.20000000000005</v>
      </c>
      <c r="E548" s="116">
        <v>640.75</v>
      </c>
      <c r="F548" s="116">
        <v>617.5</v>
      </c>
      <c r="G548">
        <v>125284</v>
      </c>
      <c r="H548" s="116"/>
      <c r="I548" s="116"/>
      <c r="L548" s="170">
        <v>46059</v>
      </c>
      <c r="M548" s="116">
        <v>617.65</v>
      </c>
      <c r="N548" s="116">
        <v>643.35</v>
      </c>
      <c r="O548" s="116">
        <v>612.25</v>
      </c>
      <c r="P548" s="116">
        <v>643</v>
      </c>
      <c r="Q548" s="116">
        <v>617.65</v>
      </c>
      <c r="R548">
        <v>2055179</v>
      </c>
    </row>
    <row r="549" spans="1:18" x14ac:dyDescent="0.25">
      <c r="A549" s="170">
        <v>46062</v>
      </c>
      <c r="B549" s="116">
        <v>624.45000000000005</v>
      </c>
      <c r="C549" s="116">
        <v>619.20000000000005</v>
      </c>
      <c r="D549" s="116">
        <v>618.4</v>
      </c>
      <c r="E549" s="116">
        <v>620</v>
      </c>
      <c r="F549" s="116">
        <v>619.20000000000005</v>
      </c>
      <c r="G549">
        <v>42915</v>
      </c>
      <c r="H549" s="116"/>
      <c r="I549" s="116"/>
      <c r="L549" s="170">
        <v>46062</v>
      </c>
      <c r="M549" s="116">
        <v>619.15</v>
      </c>
      <c r="N549" s="116">
        <v>624.6</v>
      </c>
      <c r="O549" s="116">
        <v>618.25</v>
      </c>
      <c r="P549" s="116">
        <v>619.20000000000005</v>
      </c>
      <c r="Q549" s="116">
        <v>619.15</v>
      </c>
      <c r="R549">
        <v>651194</v>
      </c>
    </row>
    <row r="550" spans="1:18" x14ac:dyDescent="0.25">
      <c r="A550" s="170">
        <v>46063</v>
      </c>
      <c r="B550" s="116">
        <v>636</v>
      </c>
      <c r="C550" s="116">
        <v>630.6</v>
      </c>
      <c r="D550" s="116">
        <v>618</v>
      </c>
      <c r="E550" s="116">
        <v>620.9</v>
      </c>
      <c r="F550" s="116">
        <v>630.6</v>
      </c>
      <c r="G550">
        <v>110961</v>
      </c>
      <c r="H550" s="116"/>
      <c r="I550" s="116"/>
      <c r="L550" s="170">
        <v>46063</v>
      </c>
      <c r="M550" s="116">
        <v>630.70000000000005</v>
      </c>
      <c r="N550" s="116">
        <v>636</v>
      </c>
      <c r="O550" s="116">
        <v>617.70000000000005</v>
      </c>
      <c r="P550" s="116">
        <v>621.54999999999995</v>
      </c>
      <c r="Q550" s="116">
        <v>630.70000000000005</v>
      </c>
      <c r="R550">
        <v>1054949</v>
      </c>
    </row>
    <row r="551" spans="1:18" x14ac:dyDescent="0.25">
      <c r="A551" s="170">
        <v>46064</v>
      </c>
      <c r="B551" s="116">
        <v>632.9</v>
      </c>
      <c r="C551" s="116">
        <v>627.9</v>
      </c>
      <c r="D551" s="116">
        <v>623.9</v>
      </c>
      <c r="E551" s="116">
        <v>632.9</v>
      </c>
      <c r="F551" s="116">
        <v>627.9</v>
      </c>
      <c r="G551">
        <v>30722</v>
      </c>
      <c r="H551" s="116"/>
      <c r="I551" s="116"/>
      <c r="L551" s="170">
        <v>46064</v>
      </c>
      <c r="M551" s="116">
        <v>627.95000000000005</v>
      </c>
      <c r="N551" s="116">
        <v>634</v>
      </c>
      <c r="O551" s="116">
        <v>623.29999999999995</v>
      </c>
      <c r="P551" s="116">
        <v>634</v>
      </c>
      <c r="Q551" s="116">
        <v>627.95000000000005</v>
      </c>
      <c r="R551">
        <v>455464</v>
      </c>
    </row>
    <row r="552" spans="1:18" x14ac:dyDescent="0.25">
      <c r="A552" s="170">
        <v>46065</v>
      </c>
      <c r="B552" s="116">
        <v>623</v>
      </c>
      <c r="C552" s="116">
        <v>615.04999999999995</v>
      </c>
      <c r="D552" s="116">
        <v>611.20000000000005</v>
      </c>
      <c r="E552" s="116">
        <v>622</v>
      </c>
      <c r="F552" s="116">
        <v>615.04999999999995</v>
      </c>
      <c r="G552">
        <v>44826</v>
      </c>
      <c r="H552" s="116"/>
      <c r="I552" s="116"/>
      <c r="L552" s="170">
        <v>46065</v>
      </c>
      <c r="M552" s="116">
        <v>614.75</v>
      </c>
      <c r="N552" s="116">
        <v>624</v>
      </c>
      <c r="O552" s="116">
        <v>611</v>
      </c>
      <c r="P552" s="116">
        <v>623</v>
      </c>
      <c r="Q552" s="116">
        <v>614.75</v>
      </c>
      <c r="R552">
        <v>1044351</v>
      </c>
    </row>
    <row r="553" spans="1:18" x14ac:dyDescent="0.25">
      <c r="A553" s="170">
        <v>46066</v>
      </c>
      <c r="B553" s="116">
        <v>606.5</v>
      </c>
      <c r="C553" s="116">
        <v>597.75</v>
      </c>
      <c r="D553" s="116">
        <v>575.6</v>
      </c>
      <c r="E553" s="116">
        <v>603.1</v>
      </c>
      <c r="F553" s="116">
        <v>597.75</v>
      </c>
      <c r="G553">
        <v>308248</v>
      </c>
      <c r="H553" s="116"/>
      <c r="I553" s="116"/>
      <c r="L553" s="170">
        <v>46066</v>
      </c>
      <c r="M553" s="116">
        <v>598.25</v>
      </c>
      <c r="N553" s="116">
        <v>607.04999999999995</v>
      </c>
      <c r="O553" s="116">
        <v>575.29999999999995</v>
      </c>
      <c r="P553" s="116">
        <v>603.5</v>
      </c>
      <c r="Q553" s="116">
        <v>598.25</v>
      </c>
      <c r="R553">
        <v>2899790</v>
      </c>
    </row>
    <row r="554" spans="1:18" x14ac:dyDescent="0.25">
      <c r="A554" s="170">
        <v>46069</v>
      </c>
      <c r="B554" s="116">
        <v>600.70000000000005</v>
      </c>
      <c r="C554" s="116">
        <v>597.54999999999995</v>
      </c>
      <c r="D554" s="116">
        <v>592.29999999999995</v>
      </c>
      <c r="E554" s="116">
        <v>598.85</v>
      </c>
      <c r="F554" s="116">
        <v>597.54999999999995</v>
      </c>
      <c r="G554">
        <v>48860</v>
      </c>
      <c r="H554" s="116"/>
      <c r="I554" s="116"/>
      <c r="L554" s="170">
        <v>46069</v>
      </c>
      <c r="M554" s="116">
        <v>597.45000000000005</v>
      </c>
      <c r="N554" s="116">
        <v>601.35</v>
      </c>
      <c r="O554" s="116">
        <v>592.25</v>
      </c>
      <c r="P554" s="116">
        <v>598</v>
      </c>
      <c r="Q554" s="116">
        <v>597.45000000000005</v>
      </c>
      <c r="R554">
        <v>657508</v>
      </c>
    </row>
    <row r="555" spans="1:18" x14ac:dyDescent="0.25">
      <c r="A555" s="170">
        <v>46070</v>
      </c>
      <c r="B555" s="116">
        <v>614.20000000000005</v>
      </c>
      <c r="C555" s="116">
        <v>603.9</v>
      </c>
      <c r="D555" s="116">
        <v>595.4</v>
      </c>
      <c r="E555" s="116">
        <v>596.04999999999995</v>
      </c>
      <c r="F555" s="116">
        <v>603.9</v>
      </c>
      <c r="G555">
        <v>88253</v>
      </c>
      <c r="H555" s="116"/>
      <c r="I555" s="116"/>
      <c r="L555" s="170">
        <v>46070</v>
      </c>
      <c r="M555" s="116">
        <v>603.95000000000005</v>
      </c>
      <c r="N555" s="116">
        <v>614.20000000000005</v>
      </c>
      <c r="O555" s="116">
        <v>596.1</v>
      </c>
      <c r="P555" s="116">
        <v>598</v>
      </c>
      <c r="Q555" s="116">
        <v>603.95000000000005</v>
      </c>
      <c r="R555">
        <v>824958</v>
      </c>
    </row>
    <row r="556" spans="1:18" x14ac:dyDescent="0.25">
      <c r="A556" s="170">
        <v>46071</v>
      </c>
      <c r="B556" s="116">
        <v>609.95000000000005</v>
      </c>
      <c r="C556" s="116">
        <v>604.54999999999995</v>
      </c>
      <c r="D556" s="116">
        <v>598.85</v>
      </c>
      <c r="E556" s="116">
        <v>608.5</v>
      </c>
      <c r="F556" s="116">
        <v>604.54999999999995</v>
      </c>
      <c r="G556">
        <v>44366</v>
      </c>
      <c r="H556" s="116"/>
      <c r="I556" s="116"/>
      <c r="L556" s="170">
        <v>46071</v>
      </c>
      <c r="M556" s="116">
        <v>604.95000000000005</v>
      </c>
      <c r="N556" s="116">
        <v>609</v>
      </c>
      <c r="O556" s="116">
        <v>598.6</v>
      </c>
      <c r="P556" s="116">
        <v>609</v>
      </c>
      <c r="Q556" s="116">
        <v>604.95000000000005</v>
      </c>
      <c r="R556">
        <v>611235</v>
      </c>
    </row>
    <row r="557" spans="1:18" x14ac:dyDescent="0.25">
      <c r="A557" s="170">
        <v>46072</v>
      </c>
      <c r="B557" s="116">
        <v>611.65</v>
      </c>
      <c r="C557" s="116">
        <v>601.15</v>
      </c>
      <c r="D557" s="116">
        <v>599.25</v>
      </c>
      <c r="E557" s="116">
        <v>605.04999999999995</v>
      </c>
      <c r="F557" s="116">
        <v>601.15</v>
      </c>
      <c r="G557">
        <v>24506</v>
      </c>
      <c r="H557" s="116"/>
      <c r="I557" s="116"/>
      <c r="L557" s="170">
        <v>46072</v>
      </c>
      <c r="M557" s="116">
        <v>601.5</v>
      </c>
      <c r="N557" s="116">
        <v>611.54999999999995</v>
      </c>
      <c r="O557" s="116">
        <v>599.25</v>
      </c>
      <c r="P557" s="116">
        <v>605.70000000000005</v>
      </c>
      <c r="Q557" s="116">
        <v>601.5</v>
      </c>
      <c r="R557">
        <v>707706</v>
      </c>
    </row>
    <row r="558" spans="1:18" x14ac:dyDescent="0.25">
      <c r="A558" s="170">
        <v>46073</v>
      </c>
      <c r="B558" s="116">
        <v>610.15</v>
      </c>
      <c r="C558" s="116">
        <v>607.29999999999995</v>
      </c>
      <c r="D558" s="116">
        <v>594.04999999999995</v>
      </c>
      <c r="E558" s="116">
        <v>599</v>
      </c>
      <c r="F558" s="116">
        <v>607.29999999999995</v>
      </c>
      <c r="G558">
        <v>30092</v>
      </c>
      <c r="H558" s="116"/>
      <c r="I558" s="116"/>
      <c r="L558" s="170">
        <v>46073</v>
      </c>
      <c r="M558" s="116">
        <v>607.70000000000005</v>
      </c>
      <c r="N558" s="116">
        <v>610.04999999999995</v>
      </c>
      <c r="O558" s="116">
        <v>593.79999999999995</v>
      </c>
      <c r="P558" s="116">
        <v>599.4</v>
      </c>
      <c r="Q558" s="116">
        <v>607.70000000000005</v>
      </c>
      <c r="R558">
        <v>971083</v>
      </c>
    </row>
    <row r="559" spans="1:18" x14ac:dyDescent="0.25">
      <c r="A559" s="170">
        <v>46076</v>
      </c>
      <c r="B559" s="116">
        <v>610.85</v>
      </c>
      <c r="C559" s="116">
        <v>600.95000000000005</v>
      </c>
      <c r="D559" s="116">
        <v>599</v>
      </c>
      <c r="E559" s="116">
        <v>610.85</v>
      </c>
      <c r="F559" s="116">
        <v>600.95000000000005</v>
      </c>
      <c r="G559">
        <v>45707</v>
      </c>
      <c r="H559" s="116"/>
      <c r="I559" s="116"/>
      <c r="L559" s="170">
        <v>46076</v>
      </c>
      <c r="M559" s="116">
        <v>600.54999999999995</v>
      </c>
      <c r="N559" s="116">
        <v>610.25</v>
      </c>
      <c r="O559" s="116">
        <v>598</v>
      </c>
      <c r="P559" s="116">
        <v>610</v>
      </c>
      <c r="Q559" s="116">
        <v>600.54999999999995</v>
      </c>
      <c r="R559">
        <v>593417</v>
      </c>
    </row>
    <row r="560" spans="1:18" x14ac:dyDescent="0.25">
      <c r="A560" s="170">
        <v>46077</v>
      </c>
      <c r="B560" s="116">
        <v>597.65</v>
      </c>
      <c r="C560" s="116">
        <v>572.35</v>
      </c>
      <c r="D560" s="116">
        <v>569</v>
      </c>
      <c r="E560" s="116">
        <v>597.65</v>
      </c>
      <c r="F560" s="116">
        <v>572.35</v>
      </c>
      <c r="G560">
        <v>199507</v>
      </c>
      <c r="H560" s="116"/>
      <c r="I560" s="116"/>
      <c r="L560" s="170">
        <v>46077</v>
      </c>
      <c r="M560" s="116">
        <v>572.15</v>
      </c>
      <c r="N560" s="116">
        <v>597.29999999999995</v>
      </c>
      <c r="O560" s="116">
        <v>568.79999999999995</v>
      </c>
      <c r="P560" s="116">
        <v>596</v>
      </c>
      <c r="Q560" s="116">
        <v>572.15</v>
      </c>
      <c r="R560">
        <v>1747763</v>
      </c>
    </row>
    <row r="561" spans="1:18" x14ac:dyDescent="0.25">
      <c r="A561" s="170">
        <v>46078</v>
      </c>
      <c r="B561" s="116">
        <v>584.5</v>
      </c>
      <c r="C561" s="116">
        <v>577.6</v>
      </c>
      <c r="D561" s="116">
        <v>572</v>
      </c>
      <c r="E561" s="116">
        <v>572</v>
      </c>
      <c r="F561" s="116">
        <v>577.6</v>
      </c>
      <c r="G561">
        <v>116755</v>
      </c>
      <c r="H561" s="116"/>
      <c r="I561" s="116"/>
      <c r="L561" s="170">
        <v>46078</v>
      </c>
      <c r="M561" s="116">
        <v>577.75</v>
      </c>
      <c r="N561" s="116">
        <v>584.65</v>
      </c>
      <c r="O561" s="116">
        <v>573</v>
      </c>
      <c r="P561" s="116">
        <v>573</v>
      </c>
      <c r="Q561" s="116">
        <v>577.75</v>
      </c>
      <c r="R561">
        <v>891075</v>
      </c>
    </row>
    <row r="562" spans="1:18" x14ac:dyDescent="0.25">
      <c r="A562" s="170">
        <v>46079</v>
      </c>
      <c r="B562" s="116">
        <v>588.1</v>
      </c>
      <c r="C562" s="116">
        <v>583.20000000000005</v>
      </c>
      <c r="D562" s="116">
        <v>575.45000000000005</v>
      </c>
      <c r="E562" s="116">
        <v>578</v>
      </c>
      <c r="F562" s="116">
        <v>583.20000000000005</v>
      </c>
      <c r="G562">
        <v>50285</v>
      </c>
      <c r="H562" s="116"/>
      <c r="I562" s="116"/>
      <c r="L562" s="170">
        <v>46079</v>
      </c>
      <c r="M562" s="116">
        <v>583</v>
      </c>
      <c r="N562" s="116">
        <v>588</v>
      </c>
      <c r="O562" s="116">
        <v>575.5</v>
      </c>
      <c r="P562" s="116">
        <v>578.54999999999995</v>
      </c>
      <c r="Q562" s="116">
        <v>583</v>
      </c>
      <c r="R562">
        <v>779370</v>
      </c>
    </row>
    <row r="563" spans="1:18" x14ac:dyDescent="0.25">
      <c r="A563" s="170">
        <v>46080</v>
      </c>
      <c r="B563" s="116">
        <v>596</v>
      </c>
      <c r="C563" s="116">
        <v>585.45000000000005</v>
      </c>
      <c r="D563" s="116">
        <v>580.1</v>
      </c>
      <c r="E563" s="116">
        <v>580.1</v>
      </c>
      <c r="F563" s="116">
        <v>585.45000000000005</v>
      </c>
      <c r="G563">
        <v>69851</v>
      </c>
      <c r="H563" s="116"/>
      <c r="I563" s="116"/>
      <c r="L563" s="170">
        <v>46080</v>
      </c>
      <c r="M563" s="116">
        <v>585.45000000000005</v>
      </c>
      <c r="N563" s="116">
        <v>596.04999999999995</v>
      </c>
      <c r="O563" s="116">
        <v>582.79999999999995</v>
      </c>
      <c r="P563" s="116">
        <v>586</v>
      </c>
      <c r="Q563" s="116">
        <v>585.45000000000005</v>
      </c>
      <c r="R563">
        <v>724585</v>
      </c>
    </row>
    <row r="564" spans="1:18" x14ac:dyDescent="0.25">
      <c r="A564" s="170">
        <v>46083</v>
      </c>
      <c r="B564" s="116">
        <v>585.65</v>
      </c>
      <c r="C564" s="116">
        <v>580.20000000000005</v>
      </c>
      <c r="D564" s="116">
        <v>561.85</v>
      </c>
      <c r="E564" s="116">
        <v>561.85</v>
      </c>
      <c r="F564" s="116">
        <v>580.20000000000005</v>
      </c>
      <c r="G564">
        <v>138181</v>
      </c>
      <c r="H564" s="116"/>
      <c r="I564" s="116"/>
      <c r="L564" s="170">
        <v>46083</v>
      </c>
      <c r="M564" s="116">
        <v>580.4</v>
      </c>
      <c r="N564" s="116">
        <v>585.70000000000005</v>
      </c>
      <c r="O564" s="116">
        <v>567</v>
      </c>
      <c r="P564" s="116">
        <v>568</v>
      </c>
      <c r="Q564" s="116">
        <v>580.4</v>
      </c>
      <c r="R564">
        <v>1019890</v>
      </c>
    </row>
    <row r="565" spans="1:18" x14ac:dyDescent="0.25">
      <c r="A565" s="170">
        <v>46085</v>
      </c>
      <c r="B565" s="116">
        <v>578.25</v>
      </c>
      <c r="C565" s="116">
        <v>572</v>
      </c>
      <c r="D565" s="116">
        <v>568.85</v>
      </c>
      <c r="E565" s="116">
        <v>568.85</v>
      </c>
      <c r="F565" s="116">
        <v>572</v>
      </c>
      <c r="G565">
        <v>54058</v>
      </c>
      <c r="H565" s="116"/>
      <c r="I565" s="116"/>
      <c r="L565" s="170">
        <v>46085</v>
      </c>
      <c r="M565" s="116">
        <v>571.95000000000005</v>
      </c>
      <c r="N565" s="116">
        <v>577.9</v>
      </c>
      <c r="O565" s="116">
        <v>570.15</v>
      </c>
      <c r="P565" s="116">
        <v>571</v>
      </c>
      <c r="Q565" s="116">
        <v>571.95000000000005</v>
      </c>
      <c r="R565">
        <v>942117</v>
      </c>
    </row>
    <row r="566" spans="1:18" x14ac:dyDescent="0.25">
      <c r="A566" s="170">
        <v>46086</v>
      </c>
      <c r="B566" s="116">
        <v>577.95000000000005</v>
      </c>
      <c r="C566" s="116">
        <v>575.85</v>
      </c>
      <c r="D566" s="116">
        <v>570.15</v>
      </c>
      <c r="E566" s="116">
        <v>572.04999999999995</v>
      </c>
      <c r="F566" s="116">
        <v>575.85</v>
      </c>
      <c r="G566">
        <v>78724</v>
      </c>
      <c r="H566" s="116"/>
      <c r="I566" s="116"/>
      <c r="L566" s="170">
        <v>46086</v>
      </c>
      <c r="M566" s="116">
        <v>576.1</v>
      </c>
      <c r="N566" s="116">
        <v>578.54999999999995</v>
      </c>
      <c r="O566" s="116">
        <v>570.04999999999995</v>
      </c>
      <c r="P566" s="116">
        <v>573</v>
      </c>
      <c r="Q566" s="116">
        <v>576.1</v>
      </c>
      <c r="R566">
        <v>561922</v>
      </c>
    </row>
    <row r="567" spans="1:18" x14ac:dyDescent="0.25">
      <c r="A567" s="170">
        <v>46087</v>
      </c>
      <c r="B567" s="116">
        <v>584.75</v>
      </c>
      <c r="C567" s="116">
        <v>576.29999999999995</v>
      </c>
      <c r="D567" s="116">
        <v>571.04999999999995</v>
      </c>
      <c r="E567" s="116">
        <v>571.04999999999995</v>
      </c>
      <c r="F567" s="116">
        <v>576.29999999999995</v>
      </c>
      <c r="G567">
        <v>20840</v>
      </c>
      <c r="H567" s="116"/>
      <c r="I567" s="116"/>
      <c r="L567" s="170">
        <v>46087</v>
      </c>
      <c r="M567" s="116">
        <v>576.5</v>
      </c>
      <c r="N567" s="116">
        <v>585</v>
      </c>
      <c r="O567" s="116">
        <v>572.5</v>
      </c>
      <c r="P567" s="116">
        <v>572.5</v>
      </c>
      <c r="Q567" s="116">
        <v>576.5</v>
      </c>
      <c r="R567">
        <v>575421</v>
      </c>
    </row>
    <row r="568" spans="1:18" x14ac:dyDescent="0.25">
      <c r="A568" s="170">
        <v>46090</v>
      </c>
      <c r="B568" s="116">
        <v>571.04999999999995</v>
      </c>
      <c r="C568" s="116">
        <v>565.95000000000005</v>
      </c>
      <c r="D568" s="116">
        <v>558.9</v>
      </c>
      <c r="E568" s="116">
        <v>571.04999999999995</v>
      </c>
      <c r="F568" s="116">
        <v>565.95000000000005</v>
      </c>
      <c r="G568">
        <v>48775</v>
      </c>
      <c r="H568" s="116"/>
      <c r="I568" s="116"/>
      <c r="L568" s="170">
        <v>46090</v>
      </c>
      <c r="M568" s="116">
        <v>566.1</v>
      </c>
      <c r="N568" s="116">
        <v>570</v>
      </c>
      <c r="O568" s="116">
        <v>558.79999999999995</v>
      </c>
      <c r="P568" s="116">
        <v>570</v>
      </c>
      <c r="Q568" s="116">
        <v>566.1</v>
      </c>
      <c r="R568">
        <v>941151</v>
      </c>
    </row>
    <row r="569" spans="1:18" x14ac:dyDescent="0.25">
      <c r="A569" s="170">
        <v>46091</v>
      </c>
      <c r="B569" s="116">
        <v>572.95000000000005</v>
      </c>
      <c r="C569" s="116">
        <v>566.9</v>
      </c>
      <c r="D569" s="116">
        <v>559.4</v>
      </c>
      <c r="E569" s="116">
        <v>568.9</v>
      </c>
      <c r="F569" s="116">
        <v>566.9</v>
      </c>
      <c r="G569">
        <v>50918</v>
      </c>
      <c r="H569" s="116"/>
      <c r="I569" s="116"/>
      <c r="L569" s="170">
        <v>46091</v>
      </c>
      <c r="M569" s="116">
        <v>568</v>
      </c>
      <c r="N569" s="116">
        <v>573</v>
      </c>
      <c r="O569" s="116">
        <v>559</v>
      </c>
      <c r="P569" s="116">
        <v>570.1</v>
      </c>
      <c r="Q569" s="116">
        <v>568</v>
      </c>
      <c r="R569">
        <v>805693</v>
      </c>
    </row>
    <row r="570" spans="1:18" x14ac:dyDescent="0.25">
      <c r="A570" s="170">
        <v>46092</v>
      </c>
      <c r="B570" s="116">
        <v>574</v>
      </c>
      <c r="C570" s="116">
        <v>556.79999999999995</v>
      </c>
      <c r="D570" s="116">
        <v>555.25</v>
      </c>
      <c r="E570" s="116">
        <v>567.5</v>
      </c>
      <c r="F570" s="116">
        <v>556.79999999999995</v>
      </c>
      <c r="G570">
        <v>38820</v>
      </c>
      <c r="H570" s="116"/>
      <c r="I570" s="116"/>
      <c r="L570" s="170">
        <v>46092</v>
      </c>
      <c r="M570" s="116">
        <v>556.9</v>
      </c>
      <c r="N570" s="116">
        <v>574</v>
      </c>
      <c r="O570" s="116">
        <v>555.1</v>
      </c>
      <c r="P570" s="116">
        <v>568</v>
      </c>
      <c r="Q570" s="116">
        <v>556.9</v>
      </c>
      <c r="R570">
        <v>847444</v>
      </c>
    </row>
    <row r="571" spans="1:18" x14ac:dyDescent="0.25">
      <c r="A571" s="170">
        <v>46093</v>
      </c>
      <c r="B571" s="116">
        <v>559</v>
      </c>
      <c r="C571" s="116">
        <v>552.45000000000005</v>
      </c>
      <c r="D571" s="116">
        <v>544.5</v>
      </c>
      <c r="E571" s="116">
        <v>556.6</v>
      </c>
      <c r="F571" s="116">
        <v>552.45000000000005</v>
      </c>
      <c r="G571">
        <v>67459</v>
      </c>
      <c r="H571" s="116"/>
      <c r="I571" s="116"/>
      <c r="L571" s="170">
        <v>46093</v>
      </c>
      <c r="M571" s="116">
        <v>551.85</v>
      </c>
      <c r="N571" s="116">
        <v>559.4</v>
      </c>
      <c r="O571" s="116">
        <v>544.45000000000005</v>
      </c>
      <c r="P571" s="116">
        <v>555</v>
      </c>
      <c r="Q571" s="116">
        <v>551.85</v>
      </c>
      <c r="R571">
        <v>822824</v>
      </c>
    </row>
    <row r="572" spans="1:18" x14ac:dyDescent="0.25">
      <c r="A572" s="170">
        <v>46094</v>
      </c>
      <c r="B572" s="116">
        <v>552.4</v>
      </c>
      <c r="C572" s="116">
        <v>540.15</v>
      </c>
      <c r="D572" s="116">
        <v>537.20000000000005</v>
      </c>
      <c r="E572" s="116">
        <v>548.65</v>
      </c>
      <c r="F572" s="116">
        <v>540.15</v>
      </c>
      <c r="G572">
        <v>126051</v>
      </c>
      <c r="H572" s="116"/>
      <c r="I572" s="116"/>
      <c r="L572" s="170">
        <v>46094</v>
      </c>
      <c r="M572" s="116">
        <v>540.35</v>
      </c>
      <c r="N572" s="116">
        <v>551</v>
      </c>
      <c r="O572" s="116">
        <v>537.20000000000005</v>
      </c>
      <c r="P572" s="116">
        <v>550</v>
      </c>
      <c r="Q572" s="116">
        <v>540.35</v>
      </c>
      <c r="R572">
        <v>893902</v>
      </c>
    </row>
    <row r="573" spans="1:18" x14ac:dyDescent="0.25">
      <c r="A573" s="170">
        <v>46097</v>
      </c>
      <c r="B573" s="116">
        <v>540.15</v>
      </c>
      <c r="C573" s="116">
        <v>528.54999999999995</v>
      </c>
      <c r="D573" s="116">
        <v>521.1</v>
      </c>
      <c r="E573" s="116">
        <v>540.15</v>
      </c>
      <c r="F573" s="116">
        <v>528.54999999999995</v>
      </c>
      <c r="G573">
        <v>80515</v>
      </c>
      <c r="H573" s="116"/>
      <c r="I573" s="116"/>
      <c r="L573" s="170">
        <v>46097</v>
      </c>
      <c r="M573" s="116">
        <v>528.15</v>
      </c>
      <c r="N573" s="116">
        <v>541.25</v>
      </c>
      <c r="O573" s="116">
        <v>521.54999999999995</v>
      </c>
      <c r="P573" s="116">
        <v>540</v>
      </c>
      <c r="Q573" s="116">
        <v>528.15</v>
      </c>
      <c r="R573">
        <v>1235514</v>
      </c>
    </row>
    <row r="574" spans="1:18" x14ac:dyDescent="0.25">
      <c r="A574" s="170">
        <v>46098</v>
      </c>
      <c r="B574" s="116">
        <v>532.1</v>
      </c>
      <c r="C574" s="116">
        <v>524.70000000000005</v>
      </c>
      <c r="D574" s="116">
        <v>520.1</v>
      </c>
      <c r="E574" s="116">
        <v>529.35</v>
      </c>
      <c r="F574" s="116">
        <v>524.70000000000005</v>
      </c>
      <c r="G574">
        <v>119490</v>
      </c>
      <c r="H574" s="116"/>
      <c r="I574" s="116"/>
      <c r="L574" s="170">
        <v>46098</v>
      </c>
      <c r="M574" s="116">
        <v>524.85</v>
      </c>
      <c r="N574" s="116">
        <v>532.65</v>
      </c>
      <c r="O574" s="116">
        <v>520</v>
      </c>
      <c r="P574" s="116">
        <v>530</v>
      </c>
      <c r="Q574" s="116">
        <v>524.85</v>
      </c>
      <c r="R574">
        <v>935421</v>
      </c>
    </row>
    <row r="575" spans="1:18" x14ac:dyDescent="0.25">
      <c r="A575" s="170">
        <v>46099</v>
      </c>
      <c r="B575" s="116">
        <v>561.25</v>
      </c>
      <c r="C575" s="116">
        <v>548.65</v>
      </c>
      <c r="D575" s="116">
        <v>525.35</v>
      </c>
      <c r="E575" s="116">
        <v>525.35</v>
      </c>
      <c r="F575" s="116">
        <v>548.65</v>
      </c>
      <c r="G575">
        <v>122299</v>
      </c>
      <c r="H575" s="116"/>
      <c r="I575" s="116"/>
      <c r="L575" s="170">
        <v>46099</v>
      </c>
      <c r="M575" s="116">
        <v>548.6</v>
      </c>
      <c r="N575" s="116">
        <v>561.54999999999995</v>
      </c>
      <c r="O575" s="116">
        <v>526.15</v>
      </c>
      <c r="P575" s="116">
        <v>526.15</v>
      </c>
      <c r="Q575" s="116">
        <v>548.6</v>
      </c>
      <c r="R575">
        <v>3031766</v>
      </c>
    </row>
    <row r="576" spans="1:18" x14ac:dyDescent="0.25">
      <c r="A576" s="170">
        <v>46100</v>
      </c>
      <c r="B576" s="116">
        <v>543</v>
      </c>
      <c r="C576" s="116">
        <v>522.65</v>
      </c>
      <c r="D576" s="116">
        <v>521.25</v>
      </c>
      <c r="E576" s="116">
        <v>543</v>
      </c>
      <c r="F576" s="116">
        <v>522.65</v>
      </c>
      <c r="G576">
        <v>114575</v>
      </c>
      <c r="H576" s="116"/>
      <c r="I576" s="116"/>
      <c r="L576" s="170">
        <v>46100</v>
      </c>
      <c r="M576" s="116">
        <v>522.5</v>
      </c>
      <c r="N576" s="116">
        <v>542.5</v>
      </c>
      <c r="O576" s="116">
        <v>521</v>
      </c>
      <c r="P576" s="116">
        <v>542.5</v>
      </c>
      <c r="Q576" s="116">
        <v>522.5</v>
      </c>
      <c r="R576">
        <v>1299226</v>
      </c>
    </row>
    <row r="577" spans="1:18" x14ac:dyDescent="0.25">
      <c r="A577" s="170">
        <v>46101</v>
      </c>
      <c r="B577" s="116">
        <v>543</v>
      </c>
      <c r="C577" s="116">
        <v>539.54999999999995</v>
      </c>
      <c r="D577" s="116">
        <v>531.5</v>
      </c>
      <c r="E577" s="116">
        <v>531.54999999999995</v>
      </c>
      <c r="F577" s="116">
        <v>539.54999999999995</v>
      </c>
      <c r="G577">
        <v>122141</v>
      </c>
      <c r="H577" s="116"/>
      <c r="I577" s="116"/>
      <c r="L577" s="170">
        <v>46101</v>
      </c>
      <c r="M577" s="116">
        <v>539.65</v>
      </c>
      <c r="N577" s="116">
        <v>543.1</v>
      </c>
      <c r="O577" s="116">
        <v>531</v>
      </c>
      <c r="P577" s="116">
        <v>531</v>
      </c>
      <c r="Q577" s="116">
        <v>539.65</v>
      </c>
      <c r="R577">
        <v>1210072</v>
      </c>
    </row>
    <row r="578" spans="1:18" x14ac:dyDescent="0.25">
      <c r="A578" s="170">
        <v>46104</v>
      </c>
      <c r="B578" s="116">
        <v>539</v>
      </c>
      <c r="C578" s="116">
        <v>518.95000000000005</v>
      </c>
      <c r="D578" s="116">
        <v>516.70000000000005</v>
      </c>
      <c r="E578" s="116">
        <v>529.35</v>
      </c>
      <c r="F578" s="116">
        <v>518.95000000000005</v>
      </c>
      <c r="G578">
        <v>98565</v>
      </c>
      <c r="H578" s="116"/>
      <c r="I578" s="116"/>
      <c r="L578" s="170">
        <v>46104</v>
      </c>
      <c r="M578" s="116">
        <v>519</v>
      </c>
      <c r="N578" s="116">
        <v>539.45000000000005</v>
      </c>
      <c r="O578" s="116">
        <v>517</v>
      </c>
      <c r="P578" s="116">
        <v>530.65</v>
      </c>
      <c r="Q578" s="116">
        <v>519</v>
      </c>
      <c r="R578">
        <v>1257876</v>
      </c>
    </row>
    <row r="579" spans="1:18" x14ac:dyDescent="0.25">
      <c r="A579" s="170">
        <v>46105</v>
      </c>
      <c r="B579" s="116">
        <v>536.70000000000005</v>
      </c>
      <c r="C579" s="116">
        <v>530.75</v>
      </c>
      <c r="D579" s="116">
        <v>521.25</v>
      </c>
      <c r="E579" s="116">
        <v>528.35</v>
      </c>
      <c r="F579" s="116">
        <v>530.75</v>
      </c>
      <c r="G579">
        <v>59121</v>
      </c>
      <c r="H579" s="116"/>
      <c r="I579" s="116"/>
      <c r="L579" s="170">
        <v>46105</v>
      </c>
      <c r="M579" s="116">
        <v>530.4</v>
      </c>
      <c r="N579" s="116">
        <v>537</v>
      </c>
      <c r="O579" s="116">
        <v>521.20000000000005</v>
      </c>
      <c r="P579" s="116">
        <v>529</v>
      </c>
      <c r="Q579" s="116">
        <v>530.4</v>
      </c>
      <c r="R579">
        <v>1337692</v>
      </c>
    </row>
    <row r="580" spans="1:18" x14ac:dyDescent="0.25">
      <c r="A580" s="170">
        <v>46106</v>
      </c>
      <c r="B580" s="116">
        <v>548.20000000000005</v>
      </c>
      <c r="C580" s="116">
        <v>543.79999999999995</v>
      </c>
      <c r="D580" s="116">
        <v>534.4</v>
      </c>
      <c r="E580" s="116">
        <v>534.4</v>
      </c>
      <c r="F580" s="116">
        <v>543.79999999999995</v>
      </c>
      <c r="G580">
        <v>141148</v>
      </c>
      <c r="H580" s="116"/>
      <c r="I580" s="116"/>
      <c r="L580" s="170">
        <v>46106</v>
      </c>
      <c r="M580" s="116">
        <v>543.85</v>
      </c>
      <c r="N580" s="116">
        <v>548.29999999999995</v>
      </c>
      <c r="O580" s="116">
        <v>534.75</v>
      </c>
      <c r="P580" s="116">
        <v>534.95000000000005</v>
      </c>
      <c r="Q580" s="116">
        <v>543.85</v>
      </c>
      <c r="R580">
        <v>1117795</v>
      </c>
    </row>
    <row r="581" spans="1:18" x14ac:dyDescent="0.25">
      <c r="A581" s="170">
        <v>46108</v>
      </c>
      <c r="B581" s="116">
        <v>552.04999999999995</v>
      </c>
      <c r="C581" s="116">
        <v>539.5</v>
      </c>
      <c r="D581" s="116">
        <v>531.70000000000005</v>
      </c>
      <c r="E581" s="116">
        <v>541.54999999999995</v>
      </c>
      <c r="F581" s="116">
        <v>539.5</v>
      </c>
      <c r="G581">
        <v>104534</v>
      </c>
      <c r="H581" s="116"/>
      <c r="I581" s="116"/>
      <c r="L581" s="170">
        <v>46108</v>
      </c>
      <c r="M581" s="116">
        <v>539.35</v>
      </c>
      <c r="N581" s="116">
        <v>552.45000000000005</v>
      </c>
      <c r="O581" s="116">
        <v>531.65</v>
      </c>
      <c r="P581" s="116">
        <v>543.35</v>
      </c>
      <c r="Q581" s="116">
        <v>539.35</v>
      </c>
      <c r="R581">
        <v>3383694</v>
      </c>
    </row>
    <row r="582" spans="1:18" x14ac:dyDescent="0.25">
      <c r="A582" s="170">
        <v>46111</v>
      </c>
      <c r="B582" s="116">
        <v>539.75</v>
      </c>
      <c r="C582" s="116">
        <v>509.45</v>
      </c>
      <c r="D582" s="116">
        <v>507.5</v>
      </c>
      <c r="E582" s="116">
        <v>533.15</v>
      </c>
      <c r="F582" s="116">
        <v>509.45</v>
      </c>
      <c r="G582">
        <v>301235</v>
      </c>
      <c r="H582" s="116"/>
      <c r="I582" s="116"/>
      <c r="L582" s="170">
        <v>46111</v>
      </c>
      <c r="M582" s="116">
        <v>509.2</v>
      </c>
      <c r="N582" s="116">
        <v>539.1</v>
      </c>
      <c r="O582" s="116">
        <v>507.4</v>
      </c>
      <c r="P582" s="116">
        <v>537</v>
      </c>
      <c r="Q582" s="116">
        <v>509.2</v>
      </c>
      <c r="R582">
        <v>2327922</v>
      </c>
    </row>
    <row r="583" spans="1:18" x14ac:dyDescent="0.25">
      <c r="A583" s="170">
        <v>46113</v>
      </c>
      <c r="B583" s="116">
        <v>539.1</v>
      </c>
      <c r="C583" s="116">
        <v>530.75</v>
      </c>
      <c r="D583" s="116">
        <v>515.45000000000005</v>
      </c>
      <c r="E583" s="116">
        <v>515.45000000000005</v>
      </c>
      <c r="F583" s="116">
        <v>530.75</v>
      </c>
      <c r="G583">
        <v>136811</v>
      </c>
      <c r="H583" s="116"/>
      <c r="I583" s="116"/>
      <c r="L583" s="170">
        <v>46113</v>
      </c>
      <c r="M583" s="116">
        <v>531.04999999999995</v>
      </c>
      <c r="N583" s="116">
        <v>539.20000000000005</v>
      </c>
      <c r="O583" s="116">
        <v>519</v>
      </c>
      <c r="P583" s="116">
        <v>519</v>
      </c>
      <c r="Q583" s="116">
        <v>531.04999999999995</v>
      </c>
      <c r="R583">
        <v>1067785</v>
      </c>
    </row>
    <row r="584" spans="1:18" x14ac:dyDescent="0.25">
      <c r="A584" s="170">
        <v>46114</v>
      </c>
      <c r="B584" s="116">
        <v>543</v>
      </c>
      <c r="C584" s="116">
        <v>541.04999999999995</v>
      </c>
      <c r="D584" s="116">
        <v>516.54999999999995</v>
      </c>
      <c r="E584" s="116">
        <v>530.5</v>
      </c>
      <c r="F584" s="116">
        <v>541.04999999999995</v>
      </c>
      <c r="G584">
        <v>41551</v>
      </c>
      <c r="H584" s="116"/>
      <c r="I584" s="116"/>
      <c r="L584" s="170">
        <v>46114</v>
      </c>
      <c r="M584" s="116">
        <v>541.1</v>
      </c>
      <c r="N584" s="116">
        <v>543</v>
      </c>
      <c r="O584" s="116">
        <v>517</v>
      </c>
      <c r="P584" s="116">
        <v>528.35</v>
      </c>
      <c r="Q584" s="116">
        <v>541.1</v>
      </c>
      <c r="R584">
        <v>958077</v>
      </c>
    </row>
    <row r="585" spans="1:18" x14ac:dyDescent="0.25">
      <c r="A585" s="170">
        <v>46118</v>
      </c>
      <c r="B585" s="116">
        <v>544.45000000000005</v>
      </c>
      <c r="C585" s="116">
        <v>543.35</v>
      </c>
      <c r="D585" s="116">
        <v>537</v>
      </c>
      <c r="E585" s="116">
        <v>542.1</v>
      </c>
      <c r="F585" s="116">
        <v>543.35</v>
      </c>
      <c r="G585">
        <v>43758</v>
      </c>
      <c r="H585" s="116"/>
      <c r="I585" s="116"/>
      <c r="L585" s="170">
        <v>46118</v>
      </c>
      <c r="M585" s="116">
        <v>543.29999999999995</v>
      </c>
      <c r="N585" s="116">
        <v>544.54999999999995</v>
      </c>
      <c r="O585" s="116">
        <v>536.75</v>
      </c>
      <c r="P585" s="116">
        <v>543.75</v>
      </c>
      <c r="Q585" s="116">
        <v>543.29999999999995</v>
      </c>
      <c r="R585">
        <v>640027</v>
      </c>
    </row>
    <row r="586" spans="1:18" x14ac:dyDescent="0.25">
      <c r="A586" s="170">
        <v>46119</v>
      </c>
      <c r="B586" s="116">
        <v>565</v>
      </c>
      <c r="C586" s="116">
        <v>551.04999999999995</v>
      </c>
      <c r="D586" s="116">
        <v>536.04999999999995</v>
      </c>
      <c r="E586" s="116">
        <v>541.29999999999995</v>
      </c>
      <c r="F586" s="116">
        <v>551.04999999999995</v>
      </c>
      <c r="G586">
        <v>68803</v>
      </c>
      <c r="H586" s="116"/>
      <c r="I586" s="116"/>
      <c r="L586" s="170">
        <v>46119</v>
      </c>
      <c r="M586" s="116">
        <v>548.54999999999995</v>
      </c>
      <c r="N586" s="116">
        <v>549.95000000000005</v>
      </c>
      <c r="O586" s="116">
        <v>536.04999999999995</v>
      </c>
      <c r="P586" s="116">
        <v>540.6</v>
      </c>
      <c r="Q586" s="116">
        <v>548.54999999999995</v>
      </c>
      <c r="R586">
        <v>747616</v>
      </c>
    </row>
    <row r="587" spans="1:18" x14ac:dyDescent="0.25">
      <c r="A587" s="170">
        <v>46120</v>
      </c>
      <c r="B587" s="116">
        <v>566.04999999999995</v>
      </c>
      <c r="C587" s="116">
        <v>561.6</v>
      </c>
      <c r="D587" s="116">
        <v>554.79999999999995</v>
      </c>
      <c r="E587" s="116">
        <v>566</v>
      </c>
      <c r="F587" s="116">
        <v>561.6</v>
      </c>
      <c r="G587">
        <v>100798</v>
      </c>
      <c r="H587" s="116"/>
      <c r="I587" s="116"/>
      <c r="L587" s="170">
        <v>46120</v>
      </c>
      <c r="M587" s="116">
        <v>561.35</v>
      </c>
      <c r="N587" s="116">
        <v>566</v>
      </c>
      <c r="O587" s="116">
        <v>554.9</v>
      </c>
      <c r="P587" s="116">
        <v>566</v>
      </c>
      <c r="Q587" s="116">
        <v>561.35</v>
      </c>
      <c r="R587">
        <v>741327</v>
      </c>
    </row>
    <row r="588" spans="1:18" x14ac:dyDescent="0.25">
      <c r="A588" s="170">
        <v>46121</v>
      </c>
      <c r="B588" s="116">
        <v>566.25</v>
      </c>
      <c r="C588" s="116">
        <v>559.70000000000005</v>
      </c>
      <c r="D588" s="116">
        <v>553.54999999999995</v>
      </c>
      <c r="E588" s="116">
        <v>561.6</v>
      </c>
      <c r="F588" s="116">
        <v>559.70000000000005</v>
      </c>
      <c r="G588">
        <v>95294</v>
      </c>
      <c r="H588" s="116"/>
      <c r="I588" s="116"/>
      <c r="L588" s="170">
        <v>46121</v>
      </c>
      <c r="M588" s="116">
        <v>558.9</v>
      </c>
      <c r="N588" s="116">
        <v>566.35</v>
      </c>
      <c r="O588" s="116">
        <v>553.9</v>
      </c>
      <c r="P588" s="116">
        <v>561.35</v>
      </c>
      <c r="Q588" s="116">
        <v>558.9</v>
      </c>
      <c r="R588">
        <v>741057</v>
      </c>
    </row>
    <row r="589" spans="1:18" x14ac:dyDescent="0.25">
      <c r="A589" s="170">
        <v>46122</v>
      </c>
      <c r="B589" s="116">
        <v>569.85</v>
      </c>
      <c r="C589" s="116">
        <v>566.29999999999995</v>
      </c>
      <c r="D589" s="116">
        <v>557.6</v>
      </c>
      <c r="E589" s="116">
        <v>565</v>
      </c>
      <c r="F589" s="116">
        <v>566.29999999999995</v>
      </c>
      <c r="G589">
        <v>77669</v>
      </c>
      <c r="H589" s="116"/>
      <c r="I589" s="116"/>
      <c r="L589" s="170">
        <v>46122</v>
      </c>
      <c r="M589" s="116">
        <v>566.25</v>
      </c>
      <c r="N589" s="116">
        <v>569.70000000000005</v>
      </c>
      <c r="O589" s="116">
        <v>557.4</v>
      </c>
      <c r="P589" s="116">
        <v>564.70000000000005</v>
      </c>
      <c r="Q589" s="116">
        <v>566.25</v>
      </c>
      <c r="R589">
        <v>720167</v>
      </c>
    </row>
    <row r="590" spans="1:18" x14ac:dyDescent="0.25">
      <c r="A590" s="170">
        <v>46125</v>
      </c>
      <c r="B590" s="116">
        <v>563.95000000000005</v>
      </c>
      <c r="C590" s="116">
        <v>560.35</v>
      </c>
      <c r="D590" s="116">
        <v>551.65</v>
      </c>
      <c r="E590" s="116">
        <v>558.04999999999995</v>
      </c>
      <c r="F590" s="116">
        <v>560.35</v>
      </c>
      <c r="G590">
        <v>78315</v>
      </c>
      <c r="H590" s="116"/>
      <c r="I590" s="116"/>
      <c r="L590" s="170">
        <v>46125</v>
      </c>
      <c r="M590" s="116">
        <v>560.35</v>
      </c>
      <c r="N590" s="116">
        <v>563.9</v>
      </c>
      <c r="O590" s="116">
        <v>551.65</v>
      </c>
      <c r="P590" s="116">
        <v>563</v>
      </c>
      <c r="Q590" s="116">
        <v>560.35</v>
      </c>
      <c r="R590">
        <v>584101</v>
      </c>
    </row>
    <row r="591" spans="1:18" x14ac:dyDescent="0.25">
      <c r="A591" s="170">
        <v>46127</v>
      </c>
      <c r="B591" s="116">
        <v>577.54999999999995</v>
      </c>
      <c r="C591" s="116">
        <v>575.85</v>
      </c>
      <c r="D591" s="116">
        <v>568</v>
      </c>
      <c r="E591" s="116">
        <v>569.95000000000005</v>
      </c>
      <c r="F591" s="116">
        <v>575.85</v>
      </c>
      <c r="G591">
        <v>72057</v>
      </c>
      <c r="H591" s="116"/>
      <c r="I591" s="116"/>
      <c r="L591" s="170">
        <v>46127</v>
      </c>
      <c r="M591" s="116">
        <v>575.70000000000005</v>
      </c>
      <c r="N591" s="116">
        <v>577.4</v>
      </c>
      <c r="O591" s="116">
        <v>567</v>
      </c>
      <c r="P591" s="116">
        <v>572</v>
      </c>
      <c r="Q591" s="116">
        <v>575.70000000000005</v>
      </c>
      <c r="R591">
        <v>610713</v>
      </c>
    </row>
    <row r="592" spans="1:18" x14ac:dyDescent="0.25">
      <c r="A592" s="170">
        <v>46128</v>
      </c>
      <c r="B592" s="116">
        <v>592</v>
      </c>
      <c r="C592" s="116">
        <v>586.85</v>
      </c>
      <c r="D592" s="116">
        <v>578.70000000000005</v>
      </c>
      <c r="E592" s="116">
        <v>580.35</v>
      </c>
      <c r="F592" s="116">
        <v>586.85</v>
      </c>
      <c r="G592">
        <v>94778</v>
      </c>
      <c r="H592" s="116"/>
      <c r="I592" s="116"/>
      <c r="L592" s="170">
        <v>46128</v>
      </c>
      <c r="M592" s="116">
        <v>586.70000000000005</v>
      </c>
      <c r="N592" s="116">
        <v>592.20000000000005</v>
      </c>
      <c r="O592" s="116">
        <v>578.54999999999995</v>
      </c>
      <c r="P592" s="116">
        <v>580.95000000000005</v>
      </c>
      <c r="Q592" s="116">
        <v>586.70000000000005</v>
      </c>
      <c r="R592">
        <v>874908</v>
      </c>
    </row>
    <row r="593" spans="1:18" x14ac:dyDescent="0.25">
      <c r="A593" s="170">
        <v>46129</v>
      </c>
      <c r="B593" s="116">
        <v>596.54999999999995</v>
      </c>
      <c r="C593" s="116">
        <v>589.15</v>
      </c>
      <c r="D593" s="116">
        <v>582.6</v>
      </c>
      <c r="E593" s="116">
        <v>586.35</v>
      </c>
      <c r="F593" s="116">
        <v>589.15</v>
      </c>
      <c r="G593">
        <v>87384</v>
      </c>
      <c r="H593" s="116"/>
      <c r="I593" s="116"/>
      <c r="L593" s="170">
        <v>46129</v>
      </c>
      <c r="M593" s="116">
        <v>589.29999999999995</v>
      </c>
      <c r="N593" s="116">
        <v>596.35</v>
      </c>
      <c r="O593" s="116">
        <v>581.29999999999995</v>
      </c>
      <c r="P593" s="116">
        <v>587</v>
      </c>
      <c r="Q593" s="116">
        <v>589.29999999999995</v>
      </c>
      <c r="R593">
        <v>567779</v>
      </c>
    </row>
    <row r="594" spans="1:18" x14ac:dyDescent="0.25">
      <c r="A594" s="170">
        <v>46132</v>
      </c>
      <c r="B594" s="116">
        <v>597.9</v>
      </c>
      <c r="C594" s="116">
        <v>576.04999999999995</v>
      </c>
      <c r="D594" s="116">
        <v>573.15</v>
      </c>
      <c r="E594" s="116">
        <v>597.9</v>
      </c>
      <c r="F594" s="116">
        <v>576.04999999999995</v>
      </c>
      <c r="G594">
        <v>45069</v>
      </c>
      <c r="H594" s="116"/>
      <c r="I594" s="116"/>
      <c r="L594" s="170">
        <v>46132</v>
      </c>
      <c r="M594" s="116">
        <v>576.45000000000005</v>
      </c>
      <c r="N594" s="116">
        <v>589.95000000000005</v>
      </c>
      <c r="O594" s="116">
        <v>572.54999999999995</v>
      </c>
      <c r="P594" s="116">
        <v>589.29999999999995</v>
      </c>
      <c r="Q594" s="116">
        <v>576.45000000000005</v>
      </c>
      <c r="R594">
        <v>541738</v>
      </c>
    </row>
    <row r="595" spans="1:18" x14ac:dyDescent="0.25">
      <c r="A595" s="170">
        <v>46133</v>
      </c>
      <c r="B595" s="116">
        <v>587.4</v>
      </c>
      <c r="C595" s="116">
        <v>583.79999999999995</v>
      </c>
      <c r="D595" s="116">
        <v>571.20000000000005</v>
      </c>
      <c r="E595" s="116">
        <v>576</v>
      </c>
      <c r="F595" s="116">
        <v>583.79999999999995</v>
      </c>
      <c r="G595">
        <v>35829</v>
      </c>
      <c r="H595" s="116"/>
      <c r="I595" s="116"/>
      <c r="L595" s="170">
        <v>46133</v>
      </c>
      <c r="M595" s="116">
        <v>583.45000000000005</v>
      </c>
      <c r="N595" s="116">
        <v>587.45000000000005</v>
      </c>
      <c r="O595" s="116">
        <v>573</v>
      </c>
      <c r="P595" s="116">
        <v>575</v>
      </c>
      <c r="Q595" s="116">
        <v>583.45000000000005</v>
      </c>
      <c r="R595">
        <v>570359</v>
      </c>
    </row>
    <row r="596" spans="1:18" x14ac:dyDescent="0.25">
      <c r="A596" s="170">
        <v>46134</v>
      </c>
      <c r="B596" s="116">
        <v>580.04999999999995</v>
      </c>
      <c r="C596" s="116">
        <v>575.25</v>
      </c>
      <c r="D596" s="116">
        <v>573</v>
      </c>
      <c r="E596" s="116">
        <v>580</v>
      </c>
      <c r="F596" s="116">
        <v>575.25</v>
      </c>
      <c r="G596">
        <v>69738</v>
      </c>
      <c r="H596" s="116"/>
      <c r="I596" s="116"/>
      <c r="L596" s="170">
        <v>46134</v>
      </c>
      <c r="M596" s="116">
        <v>575.29999999999995</v>
      </c>
      <c r="N596" s="116">
        <v>580</v>
      </c>
      <c r="O596" s="116">
        <v>572.85</v>
      </c>
      <c r="P596" s="116">
        <v>579.45000000000005</v>
      </c>
      <c r="Q596" s="116">
        <v>575.29999999999995</v>
      </c>
      <c r="R596">
        <v>721477</v>
      </c>
    </row>
    <row r="597" spans="1:18" x14ac:dyDescent="0.25">
      <c r="A597" s="170">
        <v>46135</v>
      </c>
      <c r="B597" s="116">
        <v>576</v>
      </c>
      <c r="C597" s="116">
        <v>563.9</v>
      </c>
      <c r="D597" s="116">
        <v>562.4</v>
      </c>
      <c r="E597" s="116">
        <v>575.25</v>
      </c>
      <c r="F597" s="116">
        <v>563.9</v>
      </c>
      <c r="G597">
        <v>40621</v>
      </c>
      <c r="H597" s="116"/>
      <c r="I597" s="116"/>
      <c r="L597" s="170">
        <v>46135</v>
      </c>
      <c r="M597" s="116">
        <v>563.5</v>
      </c>
      <c r="N597" s="116">
        <v>576</v>
      </c>
      <c r="O597" s="116">
        <v>562</v>
      </c>
      <c r="P597" s="116">
        <v>574.70000000000005</v>
      </c>
      <c r="Q597" s="116">
        <v>563.5</v>
      </c>
      <c r="R597">
        <v>850212</v>
      </c>
    </row>
    <row r="598" spans="1:18" x14ac:dyDescent="0.25">
      <c r="A598" s="170">
        <v>46136</v>
      </c>
      <c r="B598" s="116">
        <v>571.75</v>
      </c>
      <c r="C598" s="116">
        <v>569.15</v>
      </c>
      <c r="D598" s="116">
        <v>552</v>
      </c>
      <c r="E598" s="116">
        <v>564</v>
      </c>
      <c r="F598" s="116">
        <v>569.15</v>
      </c>
      <c r="G598">
        <v>92476</v>
      </c>
      <c r="H598" s="116"/>
      <c r="I598" s="116"/>
      <c r="L598" s="170">
        <v>46136</v>
      </c>
      <c r="M598" s="116">
        <v>569.15</v>
      </c>
      <c r="N598" s="116">
        <v>571.9</v>
      </c>
      <c r="O598" s="116">
        <v>551.85</v>
      </c>
      <c r="P598" s="116">
        <v>562.79999999999995</v>
      </c>
      <c r="Q598" s="116">
        <v>569.15</v>
      </c>
      <c r="R598">
        <v>1176327</v>
      </c>
    </row>
    <row r="599" spans="1:18" x14ac:dyDescent="0.25">
      <c r="A599" s="170">
        <v>46139</v>
      </c>
      <c r="B599" s="116">
        <v>604.79999999999995</v>
      </c>
      <c r="C599" s="116">
        <v>592.54999999999995</v>
      </c>
      <c r="D599" s="116">
        <v>569.79999999999995</v>
      </c>
      <c r="E599" s="116">
        <v>569.79999999999995</v>
      </c>
      <c r="F599" s="116">
        <v>592.54999999999995</v>
      </c>
      <c r="G599">
        <v>187589</v>
      </c>
      <c r="H599" s="116"/>
      <c r="I599" s="116"/>
      <c r="L599" s="170">
        <v>46139</v>
      </c>
      <c r="M599" s="116">
        <v>592.79999999999995</v>
      </c>
      <c r="N599" s="116">
        <v>605</v>
      </c>
      <c r="O599" s="116">
        <v>569.15</v>
      </c>
      <c r="P599" s="116">
        <v>570.5</v>
      </c>
      <c r="Q599" s="116">
        <v>592.79999999999995</v>
      </c>
      <c r="R599">
        <v>2082715</v>
      </c>
    </row>
    <row r="600" spans="1:18" x14ac:dyDescent="0.25">
      <c r="A600" s="170">
        <v>46140</v>
      </c>
      <c r="B600" s="116">
        <v>595.15</v>
      </c>
      <c r="C600" s="116">
        <v>569.9</v>
      </c>
      <c r="D600" s="116">
        <v>566.1</v>
      </c>
      <c r="E600" s="116">
        <v>594.95000000000005</v>
      </c>
      <c r="F600" s="116">
        <v>569.9</v>
      </c>
      <c r="G600">
        <v>93417</v>
      </c>
      <c r="H600" s="116"/>
      <c r="I600" s="116"/>
      <c r="L600" s="170">
        <v>46140</v>
      </c>
      <c r="M600" s="116">
        <v>569.79999999999995</v>
      </c>
      <c r="N600" s="116">
        <v>595</v>
      </c>
      <c r="O600" s="116">
        <v>565.79999999999995</v>
      </c>
      <c r="P600" s="116">
        <v>592.9</v>
      </c>
      <c r="Q600" s="116">
        <v>569.79999999999995</v>
      </c>
      <c r="R600">
        <v>2149178</v>
      </c>
    </row>
    <row r="601" spans="1:18" x14ac:dyDescent="0.25">
      <c r="A601" s="170">
        <v>46141</v>
      </c>
      <c r="B601" s="116">
        <v>577.85</v>
      </c>
      <c r="C601" s="116">
        <v>572.20000000000005</v>
      </c>
      <c r="D601" s="116">
        <v>570</v>
      </c>
      <c r="E601" s="116">
        <v>570.35</v>
      </c>
      <c r="F601" s="116">
        <v>572.20000000000005</v>
      </c>
      <c r="G601">
        <v>79227</v>
      </c>
      <c r="H601" s="116"/>
      <c r="I601" s="116"/>
      <c r="L601" s="170">
        <v>46141</v>
      </c>
      <c r="M601" s="116">
        <v>572.20000000000005</v>
      </c>
      <c r="N601" s="116">
        <v>578.04999999999995</v>
      </c>
      <c r="O601" s="116">
        <v>570</v>
      </c>
      <c r="P601" s="116">
        <v>571.54999999999995</v>
      </c>
      <c r="Q601" s="116">
        <v>572.20000000000005</v>
      </c>
      <c r="R601">
        <v>621869</v>
      </c>
    </row>
    <row r="602" spans="1:18" x14ac:dyDescent="0.25">
      <c r="A602" s="170">
        <v>46142</v>
      </c>
      <c r="B602" s="116">
        <v>594.15</v>
      </c>
      <c r="C602" s="116">
        <v>581.35</v>
      </c>
      <c r="D602" s="116">
        <v>565.35</v>
      </c>
      <c r="E602" s="116">
        <v>570</v>
      </c>
      <c r="F602" s="116">
        <v>581.35</v>
      </c>
      <c r="G602">
        <v>142650</v>
      </c>
      <c r="H602" s="116"/>
      <c r="I602" s="116"/>
      <c r="L602" s="170">
        <v>46142</v>
      </c>
      <c r="M602" s="116">
        <v>581.35</v>
      </c>
      <c r="N602" s="116">
        <v>594.20000000000005</v>
      </c>
      <c r="O602" s="116">
        <v>565.5</v>
      </c>
      <c r="P602" s="116">
        <v>568.70000000000005</v>
      </c>
      <c r="Q602" s="116">
        <v>581.35</v>
      </c>
      <c r="R602">
        <v>1299478</v>
      </c>
    </row>
    <row r="603" spans="1:18" x14ac:dyDescent="0.25">
      <c r="A603" s="170">
        <v>46146</v>
      </c>
      <c r="B603" s="116">
        <v>593</v>
      </c>
      <c r="C603" s="116">
        <v>591.29999999999995</v>
      </c>
      <c r="D603" s="116">
        <v>578.65</v>
      </c>
      <c r="E603" s="116">
        <v>583.85</v>
      </c>
      <c r="F603" s="116">
        <v>591.29999999999995</v>
      </c>
      <c r="G603">
        <v>92755</v>
      </c>
      <c r="H603" s="116"/>
      <c r="I603" s="116"/>
      <c r="L603" s="170">
        <v>46146</v>
      </c>
      <c r="M603" s="116">
        <v>591.04999999999995</v>
      </c>
      <c r="N603" s="116">
        <v>593.4</v>
      </c>
      <c r="O603" s="116">
        <v>578.25</v>
      </c>
      <c r="P603" s="116">
        <v>584.29999999999995</v>
      </c>
      <c r="Q603" s="116">
        <v>591.04999999999995</v>
      </c>
      <c r="R603">
        <v>1052945</v>
      </c>
    </row>
    <row r="604" spans="1:18" x14ac:dyDescent="0.25">
      <c r="A604" s="170">
        <v>46147</v>
      </c>
      <c r="B604" s="116">
        <v>659.65</v>
      </c>
      <c r="C604" s="116">
        <v>623.04999999999995</v>
      </c>
      <c r="D604" s="116">
        <v>602</v>
      </c>
      <c r="E604" s="116">
        <v>602</v>
      </c>
      <c r="F604" s="116">
        <v>623.04999999999995</v>
      </c>
      <c r="G604">
        <v>2245853</v>
      </c>
      <c r="H604" s="116"/>
      <c r="I604" s="116"/>
      <c r="L604" s="170">
        <v>46147</v>
      </c>
      <c r="M604" s="116">
        <v>624.04999999999995</v>
      </c>
      <c r="N604" s="116">
        <v>659.8</v>
      </c>
      <c r="O604" s="116">
        <v>602.04999999999995</v>
      </c>
      <c r="P604" s="116">
        <v>602.04999999999995</v>
      </c>
      <c r="Q604" s="116">
        <v>624.04999999999995</v>
      </c>
      <c r="R604">
        <v>30600973</v>
      </c>
    </row>
    <row r="605" spans="1:18" x14ac:dyDescent="0.25">
      <c r="A605" s="170">
        <v>46148</v>
      </c>
      <c r="B605" s="116">
        <v>638.45000000000005</v>
      </c>
      <c r="C605" s="116">
        <v>627.95000000000005</v>
      </c>
      <c r="D605" s="116">
        <v>622</v>
      </c>
      <c r="E605" s="116">
        <v>635.5</v>
      </c>
      <c r="F605" s="116">
        <v>627.95000000000005</v>
      </c>
      <c r="G605">
        <v>129750</v>
      </c>
      <c r="H605" s="116"/>
      <c r="I605" s="116"/>
      <c r="L605" s="170">
        <v>46148</v>
      </c>
      <c r="M605" s="116">
        <v>627.70000000000005</v>
      </c>
      <c r="N605" s="116">
        <v>638.5</v>
      </c>
      <c r="O605" s="116">
        <v>621.15</v>
      </c>
      <c r="P605" s="116">
        <v>634</v>
      </c>
      <c r="Q605" s="116">
        <v>627.70000000000005</v>
      </c>
      <c r="R605">
        <v>1902594</v>
      </c>
    </row>
    <row r="606" spans="1:18" x14ac:dyDescent="0.25">
      <c r="A606" s="170">
        <v>46149</v>
      </c>
      <c r="B606" s="116">
        <v>635.29999999999995</v>
      </c>
      <c r="C606" s="116">
        <v>630.75</v>
      </c>
      <c r="D606" s="116">
        <v>621.65</v>
      </c>
      <c r="E606" s="116">
        <v>629.79999999999995</v>
      </c>
      <c r="F606" s="116">
        <v>630.75</v>
      </c>
      <c r="G606">
        <v>142333</v>
      </c>
      <c r="H606" s="116"/>
      <c r="I606" s="116"/>
      <c r="L606" s="170">
        <v>46149</v>
      </c>
      <c r="M606" s="116">
        <v>629.25</v>
      </c>
      <c r="N606" s="116">
        <v>635.4</v>
      </c>
      <c r="O606" s="116">
        <v>621.9</v>
      </c>
      <c r="P606" s="116">
        <v>630.5</v>
      </c>
      <c r="Q606" s="116">
        <v>629.25</v>
      </c>
      <c r="R606">
        <v>1324219</v>
      </c>
    </row>
    <row r="607" spans="1:18" x14ac:dyDescent="0.25">
      <c r="A607" s="170">
        <v>46150</v>
      </c>
      <c r="B607" s="116">
        <v>635.5</v>
      </c>
      <c r="C607" s="116">
        <v>630.70000000000005</v>
      </c>
      <c r="D607" s="116">
        <v>624.9</v>
      </c>
      <c r="E607" s="116">
        <v>630</v>
      </c>
      <c r="F607" s="116">
        <v>630.70000000000005</v>
      </c>
      <c r="G607">
        <v>152994</v>
      </c>
      <c r="H607" s="116"/>
      <c r="I607" s="116"/>
      <c r="L607" s="170">
        <v>46150</v>
      </c>
      <c r="M607" s="116">
        <v>630.95000000000005</v>
      </c>
      <c r="N607" s="116">
        <v>636</v>
      </c>
      <c r="O607" s="116">
        <v>624.75</v>
      </c>
      <c r="P607" s="116">
        <v>629</v>
      </c>
      <c r="Q607" s="116">
        <v>630.95000000000005</v>
      </c>
      <c r="R607">
        <v>925870</v>
      </c>
    </row>
    <row r="608" spans="1:18" x14ac:dyDescent="0.25">
      <c r="A608" s="170">
        <v>46153</v>
      </c>
      <c r="B608" s="116">
        <v>642.65</v>
      </c>
      <c r="C608" s="116">
        <v>631.5</v>
      </c>
      <c r="D608" s="116">
        <v>621.04999999999995</v>
      </c>
      <c r="E608" s="116">
        <v>630.65</v>
      </c>
      <c r="F608" s="116">
        <v>631.5</v>
      </c>
      <c r="G608">
        <v>102654</v>
      </c>
      <c r="H608" s="116"/>
      <c r="I608" s="116"/>
      <c r="L608" s="170">
        <v>46153</v>
      </c>
      <c r="M608" s="116">
        <v>631</v>
      </c>
      <c r="N608" s="116">
        <v>642.5</v>
      </c>
      <c r="O608" s="116">
        <v>621.54999999999995</v>
      </c>
      <c r="P608" s="116">
        <v>628.85</v>
      </c>
      <c r="Q608" s="116">
        <v>631</v>
      </c>
      <c r="R608">
        <v>1579627</v>
      </c>
    </row>
    <row r="609" spans="1:18" x14ac:dyDescent="0.25">
      <c r="A609" s="170">
        <v>46154</v>
      </c>
      <c r="B609" s="116">
        <v>629.35</v>
      </c>
      <c r="C609" s="116">
        <v>615.5</v>
      </c>
      <c r="D609" s="116">
        <v>612.6</v>
      </c>
      <c r="E609" s="116">
        <v>629.04999999999995</v>
      </c>
      <c r="F609" s="116">
        <v>615.5</v>
      </c>
      <c r="G609">
        <v>203527</v>
      </c>
      <c r="H609" s="116"/>
      <c r="I609" s="116"/>
      <c r="L609" s="170">
        <v>46154</v>
      </c>
      <c r="M609" s="116">
        <v>615.9</v>
      </c>
      <c r="N609" s="116">
        <v>630.29999999999995</v>
      </c>
      <c r="O609" s="116">
        <v>613</v>
      </c>
      <c r="P609" s="116">
        <v>630.29999999999995</v>
      </c>
      <c r="Q609" s="116">
        <v>615.9</v>
      </c>
      <c r="R609">
        <v>1199966</v>
      </c>
    </row>
    <row r="610" spans="1:18" x14ac:dyDescent="0.25">
      <c r="A610" s="170">
        <v>46155</v>
      </c>
      <c r="B610" s="116">
        <v>628</v>
      </c>
      <c r="C610" s="116">
        <v>625.9</v>
      </c>
      <c r="D610" s="116">
        <v>611.04999999999995</v>
      </c>
      <c r="E610" s="116">
        <v>611.04999999999995</v>
      </c>
      <c r="F610" s="116">
        <v>625.9</v>
      </c>
      <c r="G610">
        <v>64058</v>
      </c>
      <c r="H610" s="116"/>
      <c r="I610" s="116"/>
      <c r="L610" s="170">
        <v>46155</v>
      </c>
      <c r="M610" s="116">
        <v>626.1</v>
      </c>
      <c r="N610" s="116">
        <v>628.4</v>
      </c>
      <c r="O610" s="116">
        <v>613</v>
      </c>
      <c r="P610" s="116">
        <v>613</v>
      </c>
      <c r="Q610" s="116">
        <v>626.1</v>
      </c>
      <c r="R610">
        <v>833432</v>
      </c>
    </row>
    <row r="611" spans="1:18" x14ac:dyDescent="0.25">
      <c r="A611" s="170">
        <v>46156</v>
      </c>
      <c r="B611" s="116">
        <v>631</v>
      </c>
      <c r="C611" s="116">
        <v>623.79999999999995</v>
      </c>
      <c r="D611" s="116">
        <v>612.35</v>
      </c>
      <c r="E611" s="116">
        <v>627.15</v>
      </c>
      <c r="F611" s="116">
        <v>623.79999999999995</v>
      </c>
      <c r="G611">
        <v>43633</v>
      </c>
      <c r="H611" s="116"/>
      <c r="I611" s="116"/>
      <c r="L611" s="170">
        <v>46156</v>
      </c>
      <c r="M611" s="116">
        <v>622.85</v>
      </c>
      <c r="N611" s="116">
        <v>631.45000000000005</v>
      </c>
      <c r="O611" s="116">
        <v>611.9</v>
      </c>
      <c r="P611" s="116">
        <v>627.35</v>
      </c>
      <c r="Q611" s="116">
        <v>622.85</v>
      </c>
      <c r="R611">
        <v>775327</v>
      </c>
    </row>
    <row r="612" spans="1:18" x14ac:dyDescent="0.25">
      <c r="A612" s="170">
        <v>46157</v>
      </c>
      <c r="B612" s="116">
        <v>630</v>
      </c>
      <c r="C612" s="116">
        <v>620.5</v>
      </c>
      <c r="D612" s="116">
        <v>618.4</v>
      </c>
      <c r="E612" s="116">
        <v>620.15</v>
      </c>
      <c r="F612" s="116">
        <v>620.5</v>
      </c>
      <c r="G612">
        <v>71699</v>
      </c>
      <c r="H612" s="116"/>
      <c r="I612" s="116"/>
      <c r="L612" s="170">
        <v>46157</v>
      </c>
      <c r="M612" s="116">
        <v>620.45000000000005</v>
      </c>
      <c r="N612" s="116">
        <v>630.5</v>
      </c>
      <c r="O612" s="116">
        <v>618.15</v>
      </c>
      <c r="P612" s="116">
        <v>623</v>
      </c>
      <c r="Q612" s="116">
        <v>620.45000000000005</v>
      </c>
      <c r="R612">
        <v>542706</v>
      </c>
    </row>
    <row r="613" spans="1:18" x14ac:dyDescent="0.25">
      <c r="A613" s="170">
        <v>46160</v>
      </c>
      <c r="B613" s="116">
        <v>632.4</v>
      </c>
      <c r="C613" s="116">
        <v>629.20000000000005</v>
      </c>
      <c r="D613" s="116">
        <v>609</v>
      </c>
      <c r="E613" s="116">
        <v>618.20000000000005</v>
      </c>
      <c r="F613" s="116">
        <v>629.20000000000005</v>
      </c>
      <c r="G613">
        <v>113408</v>
      </c>
      <c r="H613" s="116"/>
      <c r="I613" s="116"/>
      <c r="L613" s="170">
        <v>46160</v>
      </c>
      <c r="M613" s="116">
        <v>629.4</v>
      </c>
      <c r="N613" s="116">
        <v>633</v>
      </c>
      <c r="O613" s="116">
        <v>609</v>
      </c>
      <c r="P613" s="116">
        <v>620</v>
      </c>
      <c r="Q613" s="116">
        <v>629.4</v>
      </c>
      <c r="R613">
        <v>1139487</v>
      </c>
    </row>
    <row r="614" spans="1:18" x14ac:dyDescent="0.25">
      <c r="A614" s="170">
        <v>46161</v>
      </c>
      <c r="B614" s="116">
        <v>671</v>
      </c>
      <c r="C614" s="116">
        <v>668.4</v>
      </c>
      <c r="D614" s="116">
        <v>629.95000000000005</v>
      </c>
      <c r="E614" s="116">
        <v>630</v>
      </c>
      <c r="F614" s="116">
        <v>668.4</v>
      </c>
      <c r="G614">
        <v>236072</v>
      </c>
      <c r="H614" s="116"/>
      <c r="I614" s="116"/>
      <c r="L614" s="170">
        <v>46161</v>
      </c>
      <c r="M614" s="116">
        <v>668.55</v>
      </c>
      <c r="N614" s="116">
        <v>672</v>
      </c>
      <c r="O614" s="116">
        <v>629.4</v>
      </c>
      <c r="P614" s="116">
        <v>629.4</v>
      </c>
      <c r="Q614" s="116">
        <v>668.55</v>
      </c>
      <c r="R614">
        <v>4473149</v>
      </c>
    </row>
    <row r="615" spans="1:18" x14ac:dyDescent="0.25">
      <c r="A615" s="170">
        <v>46162</v>
      </c>
      <c r="B615" s="116">
        <v>679.9</v>
      </c>
      <c r="C615" s="116">
        <v>674.2</v>
      </c>
      <c r="D615" s="116">
        <v>660</v>
      </c>
      <c r="E615" s="116">
        <v>668.75</v>
      </c>
      <c r="F615" s="116">
        <v>674.2</v>
      </c>
      <c r="G615">
        <v>94713</v>
      </c>
      <c r="H615" s="116"/>
      <c r="I615" s="116"/>
      <c r="L615" s="170">
        <v>46162</v>
      </c>
      <c r="M615" s="116">
        <v>674.45</v>
      </c>
      <c r="N615" s="116">
        <v>679.8</v>
      </c>
      <c r="O615" s="116">
        <v>659.25</v>
      </c>
      <c r="P615" s="116">
        <v>666.85</v>
      </c>
      <c r="Q615" s="116">
        <v>674.45</v>
      </c>
      <c r="R615">
        <v>2103852</v>
      </c>
    </row>
    <row r="616" spans="1:18" x14ac:dyDescent="0.25">
      <c r="A616" s="170">
        <v>46163</v>
      </c>
      <c r="B616" s="116">
        <v>685.4</v>
      </c>
      <c r="C616" s="116">
        <v>664.35</v>
      </c>
      <c r="D616" s="116">
        <v>662.65</v>
      </c>
      <c r="E616" s="116">
        <v>675.55</v>
      </c>
      <c r="F616" s="116">
        <v>664.35</v>
      </c>
      <c r="G616">
        <v>78142</v>
      </c>
      <c r="H616" s="116"/>
      <c r="I616" s="116"/>
      <c r="L616" s="170">
        <v>46163</v>
      </c>
      <c r="M616" s="116">
        <v>664.1</v>
      </c>
      <c r="N616" s="116">
        <v>685.65</v>
      </c>
      <c r="O616" s="116">
        <v>662.05</v>
      </c>
      <c r="P616" s="116">
        <v>677.2</v>
      </c>
      <c r="Q616" s="116">
        <v>664.1</v>
      </c>
      <c r="R616">
        <v>1304625</v>
      </c>
    </row>
    <row r="617" spans="1:18" x14ac:dyDescent="0.25">
      <c r="A617" s="170">
        <v>46164</v>
      </c>
      <c r="B617" s="116">
        <v>672.95</v>
      </c>
      <c r="C617" s="116">
        <v>670.9</v>
      </c>
      <c r="D617" s="116">
        <v>656.55</v>
      </c>
      <c r="E617" s="116">
        <v>662.25</v>
      </c>
      <c r="F617" s="116">
        <v>670.9</v>
      </c>
      <c r="G617">
        <v>109733</v>
      </c>
      <c r="H617" s="116"/>
      <c r="I617" s="116"/>
      <c r="L617" s="170">
        <v>46164</v>
      </c>
      <c r="M617" s="116">
        <v>671.35</v>
      </c>
      <c r="N617" s="116">
        <v>673</v>
      </c>
      <c r="O617" s="116">
        <v>656.35</v>
      </c>
      <c r="P617" s="116">
        <v>663</v>
      </c>
      <c r="Q617" s="116">
        <v>671.35</v>
      </c>
      <c r="R617">
        <v>898064</v>
      </c>
    </row>
    <row r="618" spans="1:18" x14ac:dyDescent="0.25">
      <c r="A618" s="170">
        <v>46167</v>
      </c>
      <c r="B618" s="116">
        <v>678</v>
      </c>
      <c r="C618" s="116">
        <v>677.05</v>
      </c>
      <c r="D618" s="116">
        <v>664.05</v>
      </c>
      <c r="E618" s="116">
        <v>675.95</v>
      </c>
      <c r="F618" s="116">
        <v>677.05</v>
      </c>
      <c r="G618">
        <v>68844</v>
      </c>
      <c r="H618" s="116"/>
      <c r="I618" s="116"/>
      <c r="L618" s="170">
        <v>46167</v>
      </c>
      <c r="M618" s="116">
        <v>677.3</v>
      </c>
      <c r="N618" s="116">
        <v>678.15</v>
      </c>
      <c r="O618" s="116">
        <v>664.1</v>
      </c>
      <c r="P618" s="116">
        <v>674.95</v>
      </c>
      <c r="Q618" s="116">
        <v>677.3</v>
      </c>
      <c r="R618">
        <v>824834</v>
      </c>
    </row>
    <row r="619" spans="1:18" x14ac:dyDescent="0.25">
      <c r="A619" s="170">
        <v>46168</v>
      </c>
      <c r="B619" s="116">
        <v>708.85</v>
      </c>
      <c r="C619" s="116">
        <v>705.6</v>
      </c>
      <c r="D619" s="116">
        <v>677</v>
      </c>
      <c r="E619" s="116">
        <v>679.85</v>
      </c>
      <c r="F619" s="116">
        <v>705.6</v>
      </c>
      <c r="G619">
        <v>161321</v>
      </c>
      <c r="H619" s="116"/>
      <c r="I619" s="116"/>
      <c r="L619" s="170">
        <v>46168</v>
      </c>
      <c r="M619" s="116">
        <v>706.3</v>
      </c>
      <c r="N619" s="116">
        <v>709</v>
      </c>
      <c r="O619" s="116">
        <v>675.05</v>
      </c>
      <c r="P619" s="116">
        <v>679</v>
      </c>
      <c r="Q619" s="116">
        <v>706.3</v>
      </c>
      <c r="R619">
        <v>3060163</v>
      </c>
    </row>
    <row r="620" spans="1:18" x14ac:dyDescent="0.25">
      <c r="A620" s="170">
        <v>46169</v>
      </c>
      <c r="B620" s="116">
        <v>725.75</v>
      </c>
      <c r="C620" s="116">
        <v>719</v>
      </c>
      <c r="D620" s="116">
        <v>707.1</v>
      </c>
      <c r="E620" s="116">
        <v>711.95</v>
      </c>
      <c r="F620" s="116">
        <v>719</v>
      </c>
      <c r="G620">
        <v>143841</v>
      </c>
      <c r="H620" s="116"/>
      <c r="I620" s="116"/>
      <c r="L620" s="170">
        <v>46169</v>
      </c>
      <c r="M620" s="116">
        <v>719.75</v>
      </c>
      <c r="N620" s="116">
        <v>725.65</v>
      </c>
      <c r="O620" s="116">
        <v>707.1</v>
      </c>
      <c r="P620" s="116">
        <v>711</v>
      </c>
      <c r="Q620" s="116">
        <v>719.75</v>
      </c>
      <c r="R620">
        <v>2564736</v>
      </c>
    </row>
    <row r="621" spans="1:18" x14ac:dyDescent="0.25">
      <c r="A621" s="170">
        <v>46171</v>
      </c>
      <c r="B621" s="116">
        <v>729.15</v>
      </c>
      <c r="C621" s="116">
        <v>705.25</v>
      </c>
      <c r="D621" s="116">
        <v>701</v>
      </c>
      <c r="E621" s="116">
        <v>729.15</v>
      </c>
      <c r="F621" s="116">
        <v>705.25</v>
      </c>
      <c r="G621">
        <v>72444</v>
      </c>
      <c r="H621" s="116"/>
      <c r="I621" s="116"/>
      <c r="L621" s="170">
        <v>46171</v>
      </c>
      <c r="M621" s="116">
        <v>705.3</v>
      </c>
      <c r="N621" s="116">
        <v>729</v>
      </c>
      <c r="O621" s="116">
        <v>701</v>
      </c>
      <c r="P621" s="116">
        <v>725</v>
      </c>
      <c r="Q621" s="116">
        <v>705.3</v>
      </c>
      <c r="R621">
        <v>1313910</v>
      </c>
    </row>
    <row r="622" spans="1:18" x14ac:dyDescent="0.25">
      <c r="A622" s="170">
        <v>46174</v>
      </c>
      <c r="B622" s="116">
        <v>723.35</v>
      </c>
      <c r="C622" s="116">
        <v>714.5</v>
      </c>
      <c r="D622" s="116">
        <v>706.35</v>
      </c>
      <c r="E622" s="116">
        <v>706.95</v>
      </c>
      <c r="F622" s="116">
        <v>714.5</v>
      </c>
      <c r="G622">
        <v>67112</v>
      </c>
      <c r="H622" s="116"/>
      <c r="I622" s="116"/>
      <c r="L622" s="170">
        <v>46174</v>
      </c>
      <c r="M622" s="116">
        <v>714.8</v>
      </c>
      <c r="N622" s="116">
        <v>723.55</v>
      </c>
      <c r="O622" s="116">
        <v>706.05</v>
      </c>
      <c r="P622" s="116">
        <v>706.05</v>
      </c>
      <c r="Q622" s="116">
        <v>714.8</v>
      </c>
      <c r="R622">
        <v>1603614</v>
      </c>
    </row>
    <row r="623" spans="1:18" x14ac:dyDescent="0.25">
      <c r="A623" s="170">
        <v>46175</v>
      </c>
      <c r="B623" s="116">
        <v>742</v>
      </c>
      <c r="C623" s="116">
        <v>738.7</v>
      </c>
      <c r="D623" s="116">
        <v>708.65</v>
      </c>
      <c r="E623" s="116">
        <v>712.7</v>
      </c>
      <c r="F623" s="116">
        <v>738.7</v>
      </c>
      <c r="G623">
        <v>130126</v>
      </c>
      <c r="H623" s="116"/>
      <c r="I623" s="116"/>
      <c r="L623" s="170">
        <v>46175</v>
      </c>
      <c r="M623" s="116">
        <v>737.95</v>
      </c>
      <c r="N623" s="116">
        <v>742.05</v>
      </c>
      <c r="O623" s="116">
        <v>708.05</v>
      </c>
      <c r="P623" s="116">
        <v>711.05</v>
      </c>
      <c r="Q623" s="116">
        <v>737.95</v>
      </c>
      <c r="R623">
        <v>2515331</v>
      </c>
    </row>
    <row r="624" spans="1:18" x14ac:dyDescent="0.25">
      <c r="A624" s="170">
        <v>46176</v>
      </c>
      <c r="B624" s="116">
        <v>740.2</v>
      </c>
      <c r="C624" s="116">
        <v>731.2</v>
      </c>
      <c r="D624" s="116">
        <v>706.35</v>
      </c>
      <c r="E624" s="116">
        <v>740.2</v>
      </c>
      <c r="F624" s="116">
        <v>731.2</v>
      </c>
      <c r="G624">
        <v>194132</v>
      </c>
      <c r="H624" s="116"/>
      <c r="I624" s="116"/>
      <c r="L624" s="170">
        <v>46176</v>
      </c>
      <c r="M624" s="116">
        <v>731.05</v>
      </c>
      <c r="N624" s="116">
        <v>741</v>
      </c>
      <c r="O624" s="116">
        <v>705.8</v>
      </c>
      <c r="P624" s="116">
        <v>741</v>
      </c>
      <c r="Q624" s="116">
        <v>731.05</v>
      </c>
      <c r="R624">
        <v>1460058</v>
      </c>
    </row>
    <row r="625" spans="1:18" x14ac:dyDescent="0.25">
      <c r="A625" s="170">
        <v>46177</v>
      </c>
      <c r="B625" s="116">
        <v>751.2</v>
      </c>
      <c r="C625" s="116">
        <v>748.8</v>
      </c>
      <c r="D625" s="116">
        <v>721</v>
      </c>
      <c r="E625" s="116">
        <v>726.15</v>
      </c>
      <c r="F625" s="116">
        <v>748.8</v>
      </c>
      <c r="G625">
        <v>255612</v>
      </c>
      <c r="H625" s="116"/>
      <c r="I625" s="116"/>
      <c r="L625" s="170">
        <v>46177</v>
      </c>
      <c r="M625" s="116">
        <v>748.35</v>
      </c>
      <c r="N625" s="116">
        <v>751.65</v>
      </c>
      <c r="O625" s="116">
        <v>720</v>
      </c>
      <c r="P625" s="116">
        <v>727.7</v>
      </c>
      <c r="Q625" s="116">
        <v>748.35</v>
      </c>
      <c r="R625">
        <v>1787739</v>
      </c>
    </row>
    <row r="626" spans="1:18" x14ac:dyDescent="0.25">
      <c r="A626" s="170">
        <v>46178</v>
      </c>
      <c r="B626" s="116">
        <v>775</v>
      </c>
      <c r="C626" s="116">
        <v>770.6</v>
      </c>
      <c r="D626" s="116">
        <v>750</v>
      </c>
      <c r="E626" s="116">
        <v>750</v>
      </c>
      <c r="F626" s="116">
        <v>770.6</v>
      </c>
      <c r="G626">
        <v>378890</v>
      </c>
      <c r="H626" s="116"/>
      <c r="I626" s="116"/>
      <c r="L626" s="170">
        <v>46178</v>
      </c>
      <c r="M626" s="116">
        <v>771.2</v>
      </c>
      <c r="N626" s="116">
        <v>776</v>
      </c>
      <c r="O626" s="116">
        <v>750</v>
      </c>
      <c r="P626" s="116">
        <v>750.65</v>
      </c>
      <c r="Q626" s="116">
        <v>771.2</v>
      </c>
      <c r="R626">
        <v>3001493</v>
      </c>
    </row>
    <row r="627" spans="1:18" x14ac:dyDescent="0.25">
      <c r="A627" s="170">
        <v>46181</v>
      </c>
      <c r="B627" s="116">
        <v>781</v>
      </c>
      <c r="C627" s="116">
        <v>779.3</v>
      </c>
      <c r="D627" s="116">
        <v>761.5</v>
      </c>
      <c r="E627" s="116">
        <v>771</v>
      </c>
      <c r="F627" s="116">
        <v>779.3</v>
      </c>
      <c r="G627">
        <v>130982</v>
      </c>
      <c r="H627" s="116"/>
      <c r="I627" s="116"/>
      <c r="L627" s="170">
        <v>46181</v>
      </c>
      <c r="M627" s="116">
        <v>779.6</v>
      </c>
      <c r="N627" s="116">
        <v>781.5</v>
      </c>
      <c r="O627" s="116">
        <v>761.45</v>
      </c>
      <c r="P627" s="116">
        <v>765</v>
      </c>
      <c r="Q627" s="116">
        <v>779.6</v>
      </c>
      <c r="R627">
        <v>3771412</v>
      </c>
    </row>
    <row r="628" spans="1:18" x14ac:dyDescent="0.25">
      <c r="A628" s="170">
        <v>46182</v>
      </c>
      <c r="B628" s="116">
        <v>784.3</v>
      </c>
      <c r="C628" s="116">
        <v>745.85</v>
      </c>
      <c r="D628" s="116">
        <v>741.85</v>
      </c>
      <c r="E628" s="116">
        <v>780.95</v>
      </c>
      <c r="F628" s="116">
        <v>745.85</v>
      </c>
      <c r="G628">
        <v>112470</v>
      </c>
      <c r="H628" s="116"/>
      <c r="I628" s="116"/>
      <c r="L628" s="170">
        <v>46182</v>
      </c>
      <c r="M628" s="116">
        <v>745.1</v>
      </c>
      <c r="N628" s="116">
        <v>784</v>
      </c>
      <c r="O628" s="116">
        <v>741</v>
      </c>
      <c r="P628" s="116">
        <v>780</v>
      </c>
      <c r="Q628" s="116">
        <v>745.1</v>
      </c>
      <c r="R628">
        <v>1783652</v>
      </c>
    </row>
    <row r="629" spans="1:18" x14ac:dyDescent="0.25">
      <c r="A629" s="170">
        <v>46183</v>
      </c>
      <c r="B629" s="116">
        <v>761.85</v>
      </c>
      <c r="C629" s="116">
        <v>758</v>
      </c>
      <c r="D629" s="116">
        <v>735.85</v>
      </c>
      <c r="E629" s="116">
        <v>744.5</v>
      </c>
      <c r="F629" s="116">
        <v>758</v>
      </c>
      <c r="G629">
        <v>241549</v>
      </c>
      <c r="H629" s="116"/>
      <c r="I629" s="116"/>
      <c r="L629" s="170">
        <v>46183</v>
      </c>
      <c r="M629" s="116">
        <v>758.2</v>
      </c>
      <c r="N629" s="116">
        <v>762</v>
      </c>
      <c r="O629" s="116">
        <v>735.7</v>
      </c>
      <c r="P629" s="116">
        <v>745.2</v>
      </c>
      <c r="Q629" s="116">
        <v>758.2</v>
      </c>
      <c r="R629">
        <v>1378399</v>
      </c>
    </row>
    <row r="630" spans="1:18" x14ac:dyDescent="0.25">
      <c r="A630" s="170">
        <v>46184</v>
      </c>
      <c r="B630" s="116">
        <v>756.35</v>
      </c>
      <c r="C630" s="116">
        <v>730.35</v>
      </c>
      <c r="D630" s="116">
        <v>725.8</v>
      </c>
      <c r="E630" s="116">
        <v>756.35</v>
      </c>
      <c r="F630" s="116">
        <v>730.35</v>
      </c>
      <c r="G630">
        <v>140985</v>
      </c>
      <c r="H630" s="116"/>
      <c r="I630" s="116"/>
      <c r="L630" s="170">
        <v>46184</v>
      </c>
      <c r="M630" s="116">
        <v>731.45</v>
      </c>
      <c r="N630" s="116">
        <v>754.3</v>
      </c>
      <c r="O630" s="116">
        <v>725.85</v>
      </c>
      <c r="P630" s="116">
        <v>753.9</v>
      </c>
      <c r="Q630" s="116">
        <v>731.45</v>
      </c>
      <c r="R630">
        <v>1022033</v>
      </c>
    </row>
    <row r="631" spans="1:18" x14ac:dyDescent="0.25">
      <c r="A631" s="170">
        <v>46185</v>
      </c>
      <c r="B631" s="116">
        <v>763.25</v>
      </c>
      <c r="C631" s="116">
        <v>760.9</v>
      </c>
      <c r="D631" s="116">
        <v>737.8</v>
      </c>
      <c r="E631" s="116">
        <v>744.5</v>
      </c>
      <c r="F631" s="116">
        <v>760.9</v>
      </c>
      <c r="G631">
        <v>551090</v>
      </c>
      <c r="H631" s="116"/>
      <c r="I631" s="116"/>
      <c r="L631" s="170">
        <v>46185</v>
      </c>
      <c r="M631" s="116">
        <v>761</v>
      </c>
      <c r="N631" s="116">
        <v>763.8</v>
      </c>
      <c r="O631" s="116">
        <v>737</v>
      </c>
      <c r="P631" s="116">
        <v>740</v>
      </c>
      <c r="Q631" s="116">
        <v>761</v>
      </c>
      <c r="R631">
        <v>1516932</v>
      </c>
    </row>
    <row r="632" spans="1:18" x14ac:dyDescent="0.25">
      <c r="A632" s="170">
        <v>46188</v>
      </c>
      <c r="B632" s="116">
        <v>773.9</v>
      </c>
      <c r="C632" s="116">
        <v>771.45</v>
      </c>
      <c r="D632" s="116">
        <v>758.05</v>
      </c>
      <c r="E632" s="116">
        <v>769.95</v>
      </c>
      <c r="F632" s="116">
        <v>771.45</v>
      </c>
      <c r="G632">
        <v>83941</v>
      </c>
      <c r="H632" s="116"/>
      <c r="I632" s="116"/>
      <c r="L632" s="170">
        <v>46188</v>
      </c>
      <c r="M632" s="116">
        <v>771.9</v>
      </c>
      <c r="N632" s="116">
        <v>774</v>
      </c>
      <c r="O632" s="116">
        <v>757.1</v>
      </c>
      <c r="P632" s="116">
        <v>766</v>
      </c>
      <c r="Q632" s="116">
        <v>771.9</v>
      </c>
      <c r="R632">
        <v>1357665</v>
      </c>
    </row>
    <row r="633" spans="1:18" x14ac:dyDescent="0.25">
      <c r="A633" s="170">
        <v>46189</v>
      </c>
      <c r="B633" s="116">
        <v>778.4</v>
      </c>
      <c r="C633" s="116">
        <v>768.9</v>
      </c>
      <c r="D633" s="116">
        <v>762.65</v>
      </c>
      <c r="E633" s="116">
        <v>773.5</v>
      </c>
      <c r="F633" s="116">
        <v>768.9</v>
      </c>
      <c r="G633">
        <v>51063</v>
      </c>
      <c r="H633" s="116"/>
      <c r="I633" s="116"/>
      <c r="L633" s="170">
        <v>46189</v>
      </c>
      <c r="M633" s="116">
        <v>769.95</v>
      </c>
      <c r="N633" s="116">
        <v>777.2</v>
      </c>
      <c r="O633" s="116">
        <v>762</v>
      </c>
      <c r="P633" s="116">
        <v>775</v>
      </c>
      <c r="Q633" s="116">
        <v>769.95</v>
      </c>
      <c r="R633">
        <v>735803</v>
      </c>
    </row>
    <row r="634" spans="1:18" x14ac:dyDescent="0.25">
      <c r="A634" s="170">
        <v>46190</v>
      </c>
      <c r="B634" s="116">
        <v>778.8</v>
      </c>
      <c r="C634" s="116">
        <v>773.75</v>
      </c>
      <c r="D634" s="116">
        <v>763.05</v>
      </c>
      <c r="E634" s="116">
        <v>776.35</v>
      </c>
      <c r="F634" s="116">
        <v>773.75</v>
      </c>
      <c r="G634">
        <v>65317</v>
      </c>
      <c r="H634" s="116"/>
      <c r="I634" s="116"/>
      <c r="L634" s="170">
        <v>46190</v>
      </c>
      <c r="M634" s="116">
        <v>773.55</v>
      </c>
      <c r="N634" s="116">
        <v>779.1</v>
      </c>
      <c r="O634" s="116">
        <v>762.5</v>
      </c>
      <c r="P634" s="116">
        <v>771</v>
      </c>
      <c r="Q634" s="116">
        <v>773.55</v>
      </c>
      <c r="R634">
        <v>1275758</v>
      </c>
    </row>
    <row r="635" spans="1:18" x14ac:dyDescent="0.25">
      <c r="A635" s="170"/>
      <c r="B635" s="116"/>
      <c r="C635" s="116"/>
      <c r="D635" s="116"/>
      <c r="E635" s="116"/>
      <c r="F635" s="116"/>
      <c r="H635" s="116"/>
      <c r="I635" s="116"/>
      <c r="L635" s="170"/>
    </row>
    <row r="636" spans="1:18" x14ac:dyDescent="0.25">
      <c r="A636" s="170"/>
      <c r="B636" s="116"/>
      <c r="C636" s="116"/>
      <c r="D636" s="116"/>
      <c r="E636" s="116"/>
      <c r="F636" s="116"/>
      <c r="H636" s="116"/>
      <c r="I636" s="116"/>
      <c r="L636" s="170"/>
    </row>
    <row r="637" spans="1:18" x14ac:dyDescent="0.25">
      <c r="A637" s="170"/>
      <c r="B637" s="116"/>
      <c r="C637" s="116"/>
      <c r="D637" s="116"/>
      <c r="E637" s="116"/>
      <c r="F637" s="116"/>
      <c r="H637" s="116"/>
      <c r="I637" s="116"/>
      <c r="L637" s="170"/>
    </row>
    <row r="638" spans="1:18" x14ac:dyDescent="0.25">
      <c r="A638" s="170"/>
      <c r="B638" s="116"/>
      <c r="C638" s="116"/>
      <c r="D638" s="116"/>
      <c r="E638" s="116"/>
      <c r="F638" s="116"/>
      <c r="H638" s="116"/>
      <c r="I638" s="116"/>
      <c r="L638" s="170"/>
    </row>
    <row r="639" spans="1:18" x14ac:dyDescent="0.25">
      <c r="A639" s="170"/>
      <c r="B639" s="116"/>
      <c r="C639" s="116"/>
      <c r="D639" s="116"/>
      <c r="E639" s="116"/>
      <c r="F639" s="116"/>
      <c r="H639" s="116"/>
      <c r="I639" s="116"/>
      <c r="L639" s="170"/>
    </row>
    <row r="640" spans="1:18" x14ac:dyDescent="0.25">
      <c r="A640" s="170"/>
      <c r="B640" s="116"/>
      <c r="C640" s="116"/>
      <c r="D640" s="116"/>
      <c r="E640" s="116"/>
      <c r="F640" s="116"/>
      <c r="H640" s="116"/>
      <c r="I640" s="116"/>
      <c r="L640" s="170"/>
    </row>
    <row r="641" spans="1:12" x14ac:dyDescent="0.25">
      <c r="A641" s="170"/>
      <c r="B641" s="116"/>
      <c r="C641" s="116"/>
      <c r="D641" s="116"/>
      <c r="E641" s="116"/>
      <c r="F641" s="116"/>
      <c r="H641" s="116"/>
      <c r="I641" s="116"/>
      <c r="L641" s="170"/>
    </row>
    <row r="642" spans="1:12" x14ac:dyDescent="0.25">
      <c r="A642" s="170"/>
      <c r="B642" s="116"/>
      <c r="C642" s="116"/>
      <c r="D642" s="116"/>
      <c r="E642" s="116"/>
      <c r="F642" s="116"/>
      <c r="H642" s="116"/>
      <c r="I642" s="116"/>
      <c r="L642" s="170"/>
    </row>
    <row r="643" spans="1:12" x14ac:dyDescent="0.25">
      <c r="A643" s="170"/>
      <c r="B643" s="116"/>
      <c r="C643" s="116"/>
      <c r="D643" s="116"/>
      <c r="E643" s="116"/>
      <c r="F643" s="116"/>
      <c r="H643" s="116"/>
      <c r="I643" s="116"/>
      <c r="L643" s="170"/>
    </row>
    <row r="644" spans="1:12" x14ac:dyDescent="0.25">
      <c r="A644" s="170"/>
      <c r="B644" s="116"/>
      <c r="C644" s="116"/>
      <c r="D644" s="116"/>
      <c r="E644" s="116"/>
      <c r="F644" s="116"/>
      <c r="H644" s="116"/>
      <c r="I644" s="116"/>
      <c r="L644" s="170"/>
    </row>
    <row r="645" spans="1:12" x14ac:dyDescent="0.25">
      <c r="A645" s="170"/>
      <c r="B645" s="116"/>
      <c r="C645" s="116"/>
      <c r="D645" s="116"/>
      <c r="E645" s="116"/>
      <c r="F645" s="116"/>
      <c r="H645" s="116"/>
      <c r="I645" s="116"/>
      <c r="L645" s="170"/>
    </row>
    <row r="646" spans="1:12" x14ac:dyDescent="0.25">
      <c r="A646" s="170"/>
      <c r="B646" s="116"/>
      <c r="C646" s="116"/>
      <c r="D646" s="116"/>
      <c r="E646" s="116"/>
      <c r="F646" s="116"/>
      <c r="H646" s="116"/>
      <c r="I646" s="116"/>
      <c r="L646" s="170"/>
    </row>
    <row r="647" spans="1:12" x14ac:dyDescent="0.25">
      <c r="A647" s="170"/>
      <c r="B647" s="116"/>
      <c r="C647" s="116"/>
      <c r="D647" s="116"/>
      <c r="E647" s="116"/>
      <c r="F647" s="116"/>
      <c r="H647" s="116"/>
      <c r="I647" s="116"/>
      <c r="L647" s="170"/>
    </row>
    <row r="648" spans="1:12" x14ac:dyDescent="0.25">
      <c r="A648" s="170"/>
      <c r="B648" s="116"/>
      <c r="C648" s="116"/>
      <c r="D648" s="116"/>
      <c r="E648" s="116"/>
      <c r="F648" s="116"/>
      <c r="H648" s="116"/>
      <c r="I648" s="116"/>
      <c r="L648" s="170"/>
    </row>
    <row r="649" spans="1:12" x14ac:dyDescent="0.25">
      <c r="A649" s="170"/>
      <c r="B649" s="116"/>
      <c r="C649" s="116"/>
      <c r="D649" s="116"/>
      <c r="E649" s="116"/>
      <c r="F649" s="116"/>
      <c r="H649" s="116"/>
      <c r="I649" s="116"/>
      <c r="L649" s="170"/>
    </row>
    <row r="650" spans="1:12" x14ac:dyDescent="0.25">
      <c r="A650" s="170"/>
      <c r="B650" s="116"/>
      <c r="C650" s="116"/>
      <c r="D650" s="116"/>
      <c r="E650" s="116"/>
      <c r="F650" s="116"/>
      <c r="H650" s="116"/>
      <c r="I650" s="116"/>
      <c r="L650" s="170"/>
    </row>
    <row r="651" spans="1:12" x14ac:dyDescent="0.25">
      <c r="A651" s="170"/>
      <c r="B651" s="116"/>
      <c r="C651" s="116"/>
      <c r="D651" s="116"/>
      <c r="E651" s="116"/>
      <c r="F651" s="116"/>
      <c r="H651" s="116"/>
      <c r="I651" s="116"/>
      <c r="L651" s="170"/>
    </row>
    <row r="652" spans="1:12" x14ac:dyDescent="0.25">
      <c r="A652" s="170"/>
      <c r="B652" s="116"/>
      <c r="C652" s="116"/>
      <c r="D652" s="116"/>
      <c r="E652" s="116"/>
      <c r="F652" s="116"/>
      <c r="H652" s="116"/>
      <c r="I652" s="116"/>
      <c r="L652" s="170"/>
    </row>
    <row r="653" spans="1:12" x14ac:dyDescent="0.25">
      <c r="A653" s="170"/>
      <c r="B653" s="116"/>
      <c r="C653" s="116"/>
      <c r="D653" s="116"/>
      <c r="E653" s="116"/>
      <c r="F653" s="116"/>
      <c r="H653" s="116"/>
      <c r="I653" s="116"/>
      <c r="L653" s="170"/>
    </row>
    <row r="654" spans="1:12" x14ac:dyDescent="0.25">
      <c r="A654" s="170"/>
      <c r="B654" s="116"/>
      <c r="C654" s="116"/>
      <c r="D654" s="116"/>
      <c r="E654" s="116"/>
      <c r="F654" s="116"/>
      <c r="H654" s="116"/>
      <c r="I654" s="116"/>
      <c r="L654" s="170"/>
    </row>
    <row r="655" spans="1:12" x14ac:dyDescent="0.25">
      <c r="A655" s="170"/>
      <c r="B655" s="116"/>
      <c r="C655" s="116"/>
      <c r="D655" s="116"/>
      <c r="E655" s="116"/>
      <c r="F655" s="116"/>
      <c r="H655" s="116"/>
      <c r="I655" s="116"/>
      <c r="L655" s="170"/>
    </row>
    <row r="656" spans="1:12" x14ac:dyDescent="0.25">
      <c r="A656" s="170"/>
      <c r="B656" s="116"/>
      <c r="C656" s="116"/>
      <c r="D656" s="116"/>
      <c r="E656" s="116"/>
      <c r="F656" s="116"/>
      <c r="H656" s="116"/>
      <c r="I656" s="116"/>
      <c r="L656" s="170"/>
    </row>
    <row r="657" spans="1:12" x14ac:dyDescent="0.25">
      <c r="A657" s="170"/>
      <c r="B657" s="116"/>
      <c r="C657" s="116"/>
      <c r="D657" s="116"/>
      <c r="E657" s="116"/>
      <c r="F657" s="116"/>
      <c r="H657" s="116"/>
      <c r="I657" s="116"/>
      <c r="L657" s="170"/>
    </row>
    <row r="658" spans="1:12" x14ac:dyDescent="0.25">
      <c r="A658" s="170"/>
      <c r="B658" s="116"/>
      <c r="C658" s="116"/>
      <c r="D658" s="116"/>
      <c r="E658" s="116"/>
      <c r="F658" s="116"/>
      <c r="H658" s="116"/>
      <c r="I658" s="116"/>
      <c r="L658" s="170"/>
    </row>
    <row r="659" spans="1:12" x14ac:dyDescent="0.25">
      <c r="A659" s="170"/>
      <c r="B659" s="116"/>
      <c r="C659" s="116"/>
      <c r="D659" s="116"/>
      <c r="E659" s="116"/>
      <c r="F659" s="116"/>
      <c r="H659" s="116"/>
      <c r="I659" s="116"/>
      <c r="L659" s="170"/>
    </row>
    <row r="660" spans="1:12" x14ac:dyDescent="0.25">
      <c r="A660" s="170"/>
      <c r="B660" s="116"/>
      <c r="C660" s="116"/>
      <c r="D660" s="116"/>
      <c r="E660" s="116"/>
      <c r="F660" s="116"/>
      <c r="H660" s="116"/>
      <c r="I660" s="116"/>
      <c r="L660" s="170"/>
    </row>
    <row r="661" spans="1:12" x14ac:dyDescent="0.25">
      <c r="A661" s="170"/>
      <c r="B661" s="116"/>
      <c r="C661" s="116"/>
      <c r="D661" s="116"/>
      <c r="E661" s="116"/>
      <c r="F661" s="116"/>
      <c r="H661" s="116"/>
      <c r="I661" s="116"/>
      <c r="L661" s="170"/>
    </row>
    <row r="662" spans="1:12" x14ac:dyDescent="0.25">
      <c r="A662" s="170"/>
      <c r="B662" s="116"/>
      <c r="C662" s="116"/>
      <c r="D662" s="116"/>
      <c r="E662" s="116"/>
      <c r="F662" s="116"/>
      <c r="H662" s="116"/>
      <c r="I662" s="116"/>
      <c r="L662" s="170"/>
    </row>
    <row r="663" spans="1:12" x14ac:dyDescent="0.25">
      <c r="A663" s="170"/>
      <c r="B663" s="116"/>
      <c r="C663" s="116"/>
      <c r="D663" s="116"/>
      <c r="E663" s="116"/>
      <c r="F663" s="116"/>
      <c r="H663" s="116"/>
      <c r="I663" s="116"/>
      <c r="L663" s="170"/>
    </row>
    <row r="664" spans="1:12" x14ac:dyDescent="0.25">
      <c r="A664" s="170"/>
      <c r="B664" s="116"/>
      <c r="C664" s="116"/>
      <c r="D664" s="116"/>
      <c r="E664" s="116"/>
      <c r="F664" s="116"/>
      <c r="H664" s="116"/>
      <c r="I664" s="116"/>
      <c r="L664" s="170"/>
    </row>
    <row r="665" spans="1:12" x14ac:dyDescent="0.25">
      <c r="A665" s="170"/>
      <c r="B665" s="116"/>
      <c r="C665" s="116"/>
      <c r="D665" s="116"/>
      <c r="E665" s="116"/>
      <c r="F665" s="116"/>
      <c r="H665" s="116"/>
      <c r="I665" s="116"/>
      <c r="L665" s="170"/>
    </row>
    <row r="666" spans="1:12" x14ac:dyDescent="0.25">
      <c r="A666" s="170"/>
      <c r="B666" s="116"/>
      <c r="C666" s="116"/>
      <c r="D666" s="116"/>
      <c r="E666" s="116"/>
      <c r="F666" s="116"/>
      <c r="H666" s="116"/>
      <c r="I666" s="116"/>
      <c r="L666" s="170"/>
    </row>
    <row r="667" spans="1:12" x14ac:dyDescent="0.25">
      <c r="A667" s="170"/>
      <c r="B667" s="116"/>
      <c r="C667" s="116"/>
      <c r="D667" s="116"/>
      <c r="E667" s="116"/>
      <c r="F667" s="116"/>
      <c r="H667" s="116"/>
      <c r="I667" s="116"/>
      <c r="L667" s="170"/>
    </row>
    <row r="668" spans="1:12" x14ac:dyDescent="0.25">
      <c r="A668" s="170"/>
      <c r="B668" s="116"/>
      <c r="C668" s="116"/>
      <c r="D668" s="116"/>
      <c r="E668" s="116"/>
      <c r="F668" s="116"/>
      <c r="H668" s="116"/>
      <c r="I668" s="116"/>
      <c r="L668" s="170"/>
    </row>
    <row r="669" spans="1:12" x14ac:dyDescent="0.25">
      <c r="A669" s="170"/>
      <c r="B669" s="116"/>
      <c r="C669" s="116"/>
      <c r="D669" s="116"/>
      <c r="E669" s="116"/>
      <c r="F669" s="116"/>
      <c r="H669" s="116"/>
      <c r="I669" s="116"/>
      <c r="L669" s="170"/>
    </row>
    <row r="670" spans="1:12" x14ac:dyDescent="0.25">
      <c r="A670" s="170"/>
      <c r="B670" s="116"/>
      <c r="C670" s="116"/>
      <c r="D670" s="116"/>
      <c r="E670" s="116"/>
      <c r="F670" s="116"/>
      <c r="H670" s="116"/>
      <c r="I670" s="116"/>
      <c r="L670" s="170"/>
    </row>
    <row r="671" spans="1:12" x14ac:dyDescent="0.25">
      <c r="A671" s="170"/>
      <c r="B671" s="116"/>
      <c r="C671" s="116"/>
      <c r="D671" s="116"/>
      <c r="E671" s="116"/>
      <c r="F671" s="116"/>
      <c r="H671" s="116"/>
      <c r="I671" s="116"/>
      <c r="L671" s="170"/>
    </row>
    <row r="672" spans="1:12" x14ac:dyDescent="0.25">
      <c r="A672" s="170"/>
      <c r="B672" s="116"/>
      <c r="C672" s="116"/>
      <c r="D672" s="116"/>
      <c r="E672" s="116"/>
      <c r="F672" s="116"/>
      <c r="H672" s="116"/>
      <c r="I672" s="116"/>
      <c r="L672" s="170"/>
    </row>
    <row r="673" spans="1:12" x14ac:dyDescent="0.25">
      <c r="A673" s="170"/>
      <c r="B673" s="116"/>
      <c r="C673" s="116"/>
      <c r="D673" s="116"/>
      <c r="E673" s="116"/>
      <c r="F673" s="116"/>
      <c r="H673" s="116"/>
      <c r="I673" s="116"/>
      <c r="L673" s="170"/>
    </row>
    <row r="674" spans="1:12" x14ac:dyDescent="0.25">
      <c r="A674" s="170"/>
      <c r="B674" s="116"/>
      <c r="C674" s="116"/>
      <c r="D674" s="116"/>
      <c r="E674" s="116"/>
      <c r="F674" s="116"/>
      <c r="H674" s="116"/>
      <c r="I674" s="116"/>
      <c r="L674" s="170"/>
    </row>
    <row r="675" spans="1:12" x14ac:dyDescent="0.25">
      <c r="A675" s="170"/>
      <c r="B675" s="116"/>
      <c r="C675" s="116"/>
      <c r="D675" s="116"/>
      <c r="E675" s="116"/>
      <c r="F675" s="116"/>
      <c r="H675" s="116"/>
      <c r="I675" s="116"/>
      <c r="L675" s="170"/>
    </row>
    <row r="676" spans="1:12" x14ac:dyDescent="0.25">
      <c r="A676" s="170"/>
      <c r="B676" s="116"/>
      <c r="C676" s="116"/>
      <c r="D676" s="116"/>
      <c r="E676" s="116"/>
      <c r="F676" s="116"/>
      <c r="H676" s="116"/>
      <c r="I676" s="116"/>
      <c r="L676" s="170"/>
    </row>
    <row r="677" spans="1:12" x14ac:dyDescent="0.25">
      <c r="A677" s="170"/>
      <c r="B677" s="116"/>
      <c r="C677" s="116"/>
      <c r="D677" s="116"/>
      <c r="E677" s="116"/>
      <c r="F677" s="116"/>
      <c r="H677" s="116"/>
      <c r="I677" s="116"/>
      <c r="L677" s="170"/>
    </row>
    <row r="678" spans="1:12" x14ac:dyDescent="0.25">
      <c r="A678" s="170"/>
      <c r="B678" s="116"/>
      <c r="C678" s="116"/>
      <c r="D678" s="116"/>
      <c r="E678" s="116"/>
      <c r="F678" s="116"/>
      <c r="H678" s="116"/>
      <c r="I678" s="116"/>
      <c r="L678" s="170"/>
    </row>
    <row r="679" spans="1:12" x14ac:dyDescent="0.25">
      <c r="A679" s="170"/>
      <c r="B679" s="116"/>
      <c r="C679" s="116"/>
      <c r="D679" s="116"/>
      <c r="E679" s="116"/>
      <c r="F679" s="116"/>
      <c r="H679" s="116"/>
      <c r="I679" s="116"/>
      <c r="L679" s="170"/>
    </row>
    <row r="680" spans="1:12" x14ac:dyDescent="0.25">
      <c r="A680" s="170"/>
      <c r="B680" s="116"/>
      <c r="C680" s="116"/>
      <c r="D680" s="116"/>
      <c r="E680" s="116"/>
      <c r="F680" s="116"/>
      <c r="H680" s="116"/>
      <c r="I680" s="116"/>
      <c r="L680" s="170"/>
    </row>
    <row r="681" spans="1:12" x14ac:dyDescent="0.25">
      <c r="A681" s="170"/>
      <c r="B681" s="116"/>
      <c r="C681" s="116"/>
      <c r="D681" s="116"/>
      <c r="E681" s="116"/>
      <c r="F681" s="116"/>
      <c r="H681" s="116"/>
      <c r="I681" s="116"/>
      <c r="L681" s="170"/>
    </row>
    <row r="682" spans="1:12" x14ac:dyDescent="0.25">
      <c r="A682" s="170"/>
      <c r="B682" s="116"/>
      <c r="C682" s="116"/>
      <c r="D682" s="116"/>
      <c r="E682" s="116"/>
      <c r="F682" s="116"/>
      <c r="H682" s="116"/>
      <c r="I682" s="116"/>
      <c r="L682" s="170"/>
    </row>
    <row r="683" spans="1:12" x14ac:dyDescent="0.25">
      <c r="A683" s="170"/>
      <c r="B683" s="116"/>
      <c r="C683" s="116"/>
      <c r="D683" s="116"/>
      <c r="E683" s="116"/>
      <c r="F683" s="116"/>
      <c r="H683" s="116"/>
      <c r="I683" s="116"/>
      <c r="L683" s="170"/>
    </row>
    <row r="684" spans="1:12" x14ac:dyDescent="0.25">
      <c r="A684" s="170"/>
      <c r="B684" s="116"/>
      <c r="C684" s="116"/>
      <c r="D684" s="116"/>
      <c r="E684" s="116"/>
      <c r="F684" s="116"/>
      <c r="H684" s="116"/>
      <c r="I684" s="116"/>
      <c r="L684" s="170"/>
    </row>
    <row r="685" spans="1:12" x14ac:dyDescent="0.25">
      <c r="A685" s="170"/>
      <c r="B685" s="116"/>
      <c r="C685" s="116"/>
      <c r="D685" s="116"/>
      <c r="E685" s="116"/>
      <c r="F685" s="116"/>
      <c r="H685" s="116"/>
      <c r="I685" s="116"/>
      <c r="L685" s="170"/>
    </row>
    <row r="686" spans="1:12" x14ac:dyDescent="0.25">
      <c r="A686" s="170"/>
      <c r="B686" s="116"/>
      <c r="C686" s="116"/>
      <c r="D686" s="116"/>
      <c r="E686" s="116"/>
      <c r="F686" s="116"/>
      <c r="H686" s="116"/>
      <c r="I686" s="116"/>
      <c r="L686" s="170"/>
    </row>
    <row r="687" spans="1:12" x14ac:dyDescent="0.25">
      <c r="A687" s="170"/>
      <c r="B687" s="116"/>
      <c r="C687" s="116"/>
      <c r="D687" s="116"/>
      <c r="E687" s="116"/>
      <c r="F687" s="116"/>
      <c r="H687" s="116"/>
      <c r="I687" s="116"/>
      <c r="L687" s="170"/>
    </row>
    <row r="688" spans="1:12" x14ac:dyDescent="0.25">
      <c r="A688" s="170"/>
      <c r="B688" s="116"/>
      <c r="C688" s="116"/>
      <c r="D688" s="116"/>
      <c r="E688" s="116"/>
      <c r="F688" s="116"/>
      <c r="H688" s="116"/>
      <c r="I688" s="116"/>
      <c r="L688" s="170"/>
    </row>
    <row r="689" spans="1:12" x14ac:dyDescent="0.25">
      <c r="A689" s="170"/>
      <c r="B689" s="116"/>
      <c r="C689" s="116"/>
      <c r="D689" s="116"/>
      <c r="E689" s="116"/>
      <c r="F689" s="116"/>
      <c r="H689" s="116"/>
      <c r="I689" s="116"/>
      <c r="L689" s="170"/>
    </row>
    <row r="690" spans="1:12" x14ac:dyDescent="0.25">
      <c r="A690" s="170"/>
      <c r="B690" s="116"/>
      <c r="C690" s="116"/>
      <c r="D690" s="116"/>
      <c r="E690" s="116"/>
      <c r="F690" s="116"/>
      <c r="H690" s="116"/>
      <c r="I690" s="116"/>
      <c r="L690" s="170"/>
    </row>
    <row r="691" spans="1:12" x14ac:dyDescent="0.25">
      <c r="A691" s="170"/>
      <c r="B691" s="116"/>
      <c r="C691" s="116"/>
      <c r="D691" s="116"/>
      <c r="E691" s="116"/>
      <c r="F691" s="116"/>
      <c r="H691" s="116"/>
      <c r="I691" s="116"/>
      <c r="L691" s="170"/>
    </row>
    <row r="692" spans="1:12" x14ac:dyDescent="0.25">
      <c r="A692" s="170"/>
      <c r="B692" s="116"/>
      <c r="C692" s="116"/>
      <c r="D692" s="116"/>
      <c r="E692" s="116"/>
      <c r="F692" s="116"/>
      <c r="H692" s="116"/>
      <c r="I692" s="116"/>
      <c r="L692" s="170"/>
    </row>
    <row r="693" spans="1:12" x14ac:dyDescent="0.25">
      <c r="A693" s="170"/>
      <c r="B693" s="116"/>
      <c r="C693" s="116"/>
      <c r="D693" s="116"/>
      <c r="E693" s="116"/>
      <c r="F693" s="116"/>
      <c r="H693" s="116"/>
      <c r="I693" s="116"/>
      <c r="L693" s="170"/>
    </row>
    <row r="694" spans="1:12" x14ac:dyDescent="0.25">
      <c r="A694" s="170"/>
      <c r="B694" s="116"/>
      <c r="C694" s="116"/>
      <c r="D694" s="116"/>
      <c r="E694" s="116"/>
      <c r="F694" s="116"/>
      <c r="H694" s="116"/>
      <c r="I694" s="116"/>
      <c r="L694" s="170"/>
    </row>
    <row r="695" spans="1:12" x14ac:dyDescent="0.25">
      <c r="A695" s="170"/>
      <c r="B695" s="116"/>
      <c r="C695" s="116"/>
      <c r="D695" s="116"/>
      <c r="E695" s="116"/>
      <c r="F695" s="116"/>
      <c r="H695" s="116"/>
      <c r="I695" s="116"/>
      <c r="L695" s="170"/>
    </row>
    <row r="696" spans="1:12" x14ac:dyDescent="0.25">
      <c r="A696" s="170"/>
      <c r="B696" s="116"/>
      <c r="C696" s="116"/>
      <c r="D696" s="116"/>
      <c r="E696" s="116"/>
      <c r="F696" s="116"/>
      <c r="H696" s="116"/>
      <c r="I696" s="116"/>
      <c r="L696" s="170"/>
    </row>
    <row r="697" spans="1:12" x14ac:dyDescent="0.25">
      <c r="A697" s="170"/>
      <c r="B697" s="116"/>
      <c r="C697" s="116"/>
      <c r="D697" s="116"/>
      <c r="E697" s="116"/>
      <c r="F697" s="116"/>
      <c r="H697" s="116"/>
      <c r="I697" s="116"/>
      <c r="L697" s="170"/>
    </row>
    <row r="698" spans="1:12" x14ac:dyDescent="0.25">
      <c r="A698" s="170"/>
      <c r="B698" s="116"/>
      <c r="C698" s="116"/>
      <c r="D698" s="116"/>
      <c r="E698" s="116"/>
      <c r="F698" s="116"/>
      <c r="H698" s="116"/>
      <c r="I698" s="116"/>
      <c r="L698" s="170"/>
    </row>
    <row r="699" spans="1:12" x14ac:dyDescent="0.25">
      <c r="A699" s="170"/>
      <c r="B699" s="116"/>
      <c r="C699" s="116"/>
      <c r="D699" s="116"/>
      <c r="E699" s="116"/>
      <c r="F699" s="116"/>
      <c r="H699" s="116"/>
      <c r="I699" s="116"/>
      <c r="L699" s="170"/>
    </row>
    <row r="700" spans="1:12" x14ac:dyDescent="0.25">
      <c r="A700" s="170"/>
      <c r="B700" s="116"/>
      <c r="C700" s="116"/>
      <c r="D700" s="116"/>
      <c r="E700" s="116"/>
      <c r="F700" s="116"/>
      <c r="H700" s="116"/>
      <c r="I700" s="116"/>
      <c r="L700" s="170"/>
    </row>
    <row r="701" spans="1:12" x14ac:dyDescent="0.25">
      <c r="A701" s="170"/>
      <c r="B701" s="116"/>
      <c r="C701" s="116"/>
      <c r="D701" s="116"/>
      <c r="E701" s="116"/>
      <c r="F701" s="116"/>
      <c r="H701" s="116"/>
      <c r="I701" s="116"/>
      <c r="L701" s="170"/>
    </row>
    <row r="702" spans="1:12" x14ac:dyDescent="0.25">
      <c r="A702" s="170"/>
      <c r="B702" s="116"/>
      <c r="C702" s="116"/>
      <c r="D702" s="116"/>
      <c r="E702" s="116"/>
      <c r="F702" s="116"/>
      <c r="H702" s="116"/>
      <c r="I702" s="116"/>
      <c r="L702" s="170"/>
    </row>
    <row r="703" spans="1:12" x14ac:dyDescent="0.25">
      <c r="A703" s="170"/>
      <c r="B703" s="116"/>
      <c r="C703" s="116"/>
      <c r="D703" s="116"/>
      <c r="E703" s="116"/>
      <c r="F703" s="116"/>
      <c r="H703" s="116"/>
      <c r="I703" s="116"/>
      <c r="L703" s="170"/>
    </row>
    <row r="704" spans="1:12" x14ac:dyDescent="0.25">
      <c r="A704" s="170"/>
      <c r="B704" s="116"/>
      <c r="C704" s="116"/>
      <c r="D704" s="116"/>
      <c r="E704" s="116"/>
      <c r="F704" s="116"/>
      <c r="H704" s="116"/>
      <c r="I704" s="116"/>
      <c r="L704" s="170"/>
    </row>
    <row r="705" spans="1:12" x14ac:dyDescent="0.25">
      <c r="A705" s="170"/>
      <c r="B705" s="116"/>
      <c r="C705" s="116"/>
      <c r="D705" s="116"/>
      <c r="E705" s="116"/>
      <c r="F705" s="116"/>
      <c r="H705" s="116"/>
      <c r="I705" s="116"/>
      <c r="L705" s="170"/>
    </row>
    <row r="706" spans="1:12" x14ac:dyDescent="0.25">
      <c r="A706" s="170"/>
      <c r="B706" s="116"/>
      <c r="C706" s="116"/>
      <c r="D706" s="116"/>
      <c r="E706" s="116"/>
      <c r="F706" s="116"/>
      <c r="H706" s="116"/>
      <c r="I706" s="116"/>
      <c r="L706" s="170"/>
    </row>
    <row r="707" spans="1:12" x14ac:dyDescent="0.25">
      <c r="A707" s="170"/>
      <c r="B707" s="116"/>
      <c r="C707" s="116"/>
      <c r="D707" s="116"/>
      <c r="E707" s="116"/>
      <c r="F707" s="116"/>
      <c r="H707" s="116"/>
      <c r="I707" s="116"/>
      <c r="L707" s="170"/>
    </row>
    <row r="708" spans="1:12" x14ac:dyDescent="0.25">
      <c r="A708" s="170"/>
      <c r="B708" s="116"/>
      <c r="C708" s="116"/>
      <c r="D708" s="116"/>
      <c r="E708" s="116"/>
      <c r="F708" s="116"/>
      <c r="H708" s="116"/>
      <c r="I708" s="116"/>
      <c r="L708" s="170"/>
    </row>
    <row r="709" spans="1:12" x14ac:dyDescent="0.25">
      <c r="A709" s="170"/>
      <c r="B709" s="116"/>
      <c r="C709" s="116"/>
      <c r="D709" s="116"/>
      <c r="E709" s="116"/>
      <c r="F709" s="116"/>
      <c r="H709" s="116"/>
      <c r="I709" s="116"/>
      <c r="L709" s="170"/>
    </row>
    <row r="710" spans="1:12" x14ac:dyDescent="0.25">
      <c r="A710" s="170"/>
      <c r="B710" s="116"/>
      <c r="C710" s="116"/>
      <c r="D710" s="116"/>
      <c r="E710" s="116"/>
      <c r="F710" s="116"/>
      <c r="H710" s="116"/>
      <c r="I710" s="116"/>
      <c r="L710" s="170"/>
    </row>
    <row r="711" spans="1:12" x14ac:dyDescent="0.25">
      <c r="A711" s="170"/>
      <c r="B711" s="116"/>
      <c r="C711" s="116"/>
      <c r="D711" s="116"/>
      <c r="E711" s="116"/>
      <c r="F711" s="116"/>
      <c r="H711" s="116"/>
      <c r="I711" s="116"/>
      <c r="L711" s="170"/>
    </row>
    <row r="712" spans="1:12" x14ac:dyDescent="0.25">
      <c r="A712" s="170"/>
      <c r="B712" s="116"/>
      <c r="C712" s="116"/>
      <c r="D712" s="116"/>
      <c r="E712" s="116"/>
      <c r="F712" s="116"/>
      <c r="H712" s="116"/>
      <c r="I712" s="116"/>
      <c r="L712" s="170"/>
    </row>
    <row r="713" spans="1:12" x14ac:dyDescent="0.25">
      <c r="A713" s="170"/>
      <c r="B713" s="116"/>
      <c r="C713" s="116"/>
      <c r="D713" s="116"/>
      <c r="E713" s="116"/>
      <c r="F713" s="116"/>
      <c r="H713" s="116"/>
      <c r="I713" s="116"/>
      <c r="L713" s="170"/>
    </row>
    <row r="714" spans="1:12" x14ac:dyDescent="0.25">
      <c r="A714" s="170"/>
      <c r="B714" s="116"/>
      <c r="C714" s="116"/>
      <c r="D714" s="116"/>
      <c r="E714" s="116"/>
      <c r="F714" s="116"/>
      <c r="H714" s="116"/>
      <c r="I714" s="116"/>
      <c r="L714" s="170"/>
    </row>
    <row r="715" spans="1:12" x14ac:dyDescent="0.25">
      <c r="A715" s="170"/>
      <c r="B715" s="116"/>
      <c r="C715" s="116"/>
      <c r="D715" s="116"/>
      <c r="E715" s="116"/>
      <c r="F715" s="116"/>
      <c r="H715" s="116"/>
      <c r="I715" s="116"/>
      <c r="L715" s="170"/>
    </row>
    <row r="716" spans="1:12" x14ac:dyDescent="0.25">
      <c r="A716" s="170"/>
      <c r="B716" s="116"/>
      <c r="C716" s="116"/>
      <c r="D716" s="116"/>
      <c r="E716" s="116"/>
      <c r="F716" s="116"/>
      <c r="H716" s="116"/>
      <c r="I716" s="116"/>
      <c r="L716" s="170"/>
    </row>
    <row r="717" spans="1:12" x14ac:dyDescent="0.25">
      <c r="A717" s="170"/>
      <c r="B717" s="116"/>
      <c r="C717" s="116"/>
      <c r="D717" s="116"/>
      <c r="E717" s="116"/>
      <c r="F717" s="116"/>
      <c r="H717" s="116"/>
      <c r="I717" s="116"/>
      <c r="L717" s="170"/>
    </row>
    <row r="718" spans="1:12" x14ac:dyDescent="0.25">
      <c r="A718" s="170"/>
      <c r="B718" s="116"/>
      <c r="C718" s="116"/>
      <c r="D718" s="116"/>
      <c r="E718" s="116"/>
      <c r="F718" s="116"/>
      <c r="H718" s="116"/>
      <c r="I718" s="116"/>
      <c r="L718" s="170"/>
    </row>
    <row r="719" spans="1:12" x14ac:dyDescent="0.25">
      <c r="A719" s="170"/>
      <c r="B719" s="116"/>
      <c r="C719" s="116"/>
      <c r="D719" s="116"/>
      <c r="E719" s="116"/>
      <c r="F719" s="116"/>
      <c r="H719" s="116"/>
      <c r="I719" s="116"/>
      <c r="L719" s="170"/>
    </row>
    <row r="720" spans="1:12" x14ac:dyDescent="0.25">
      <c r="A720" s="170"/>
      <c r="B720" s="116"/>
      <c r="C720" s="116"/>
      <c r="D720" s="116"/>
      <c r="E720" s="116"/>
      <c r="F720" s="116"/>
      <c r="H720" s="116"/>
      <c r="I720" s="116"/>
      <c r="L720" s="170"/>
    </row>
    <row r="721" spans="1:12" x14ac:dyDescent="0.25">
      <c r="A721" s="170"/>
      <c r="B721" s="116"/>
      <c r="C721" s="116"/>
      <c r="D721" s="116"/>
      <c r="E721" s="116"/>
      <c r="F721" s="116"/>
      <c r="H721" s="116"/>
      <c r="I721" s="116"/>
      <c r="L721" s="170"/>
    </row>
    <row r="722" spans="1:12" x14ac:dyDescent="0.25">
      <c r="A722" s="170"/>
      <c r="B722" s="116"/>
      <c r="C722" s="116"/>
      <c r="D722" s="116"/>
      <c r="E722" s="116"/>
      <c r="F722" s="116"/>
      <c r="H722" s="116"/>
      <c r="I722" s="116"/>
      <c r="L722" s="170"/>
    </row>
    <row r="723" spans="1:12" x14ac:dyDescent="0.25">
      <c r="A723" s="170"/>
      <c r="B723" s="116"/>
      <c r="C723" s="116"/>
      <c r="D723" s="116"/>
      <c r="E723" s="116"/>
      <c r="F723" s="116"/>
      <c r="H723" s="116"/>
      <c r="I723" s="116"/>
      <c r="L723" s="170"/>
    </row>
    <row r="724" spans="1:12" x14ac:dyDescent="0.25">
      <c r="A724" s="170"/>
      <c r="B724" s="116"/>
      <c r="C724" s="116"/>
      <c r="D724" s="116"/>
      <c r="E724" s="116"/>
      <c r="F724" s="116"/>
      <c r="H724" s="116"/>
      <c r="I724" s="116"/>
      <c r="L724" s="170"/>
    </row>
    <row r="725" spans="1:12" x14ac:dyDescent="0.25">
      <c r="A725" s="170"/>
      <c r="B725" s="116"/>
      <c r="C725" s="116"/>
      <c r="D725" s="116"/>
      <c r="E725" s="116"/>
      <c r="F725" s="116"/>
      <c r="H725" s="116"/>
      <c r="I725" s="116"/>
      <c r="L725" s="170"/>
    </row>
    <row r="726" spans="1:12" x14ac:dyDescent="0.25">
      <c r="A726" s="170"/>
      <c r="B726" s="116"/>
      <c r="C726" s="116"/>
      <c r="D726" s="116"/>
      <c r="E726" s="116"/>
      <c r="F726" s="116"/>
      <c r="H726" s="116"/>
      <c r="I726" s="116"/>
      <c r="L726" s="170"/>
    </row>
    <row r="727" spans="1:12" x14ac:dyDescent="0.25">
      <c r="A727" s="170"/>
      <c r="B727" s="116"/>
      <c r="C727" s="116"/>
      <c r="D727" s="116"/>
      <c r="E727" s="116"/>
      <c r="F727" s="116"/>
      <c r="H727" s="116"/>
      <c r="I727" s="116"/>
      <c r="L727" s="170"/>
    </row>
    <row r="728" spans="1:12" x14ac:dyDescent="0.25">
      <c r="A728" s="170"/>
      <c r="B728" s="116"/>
      <c r="C728" s="116"/>
      <c r="D728" s="116"/>
      <c r="E728" s="116"/>
      <c r="F728" s="116"/>
      <c r="H728" s="116"/>
      <c r="I728" s="116"/>
      <c r="L728" s="170"/>
    </row>
    <row r="729" spans="1:12" x14ac:dyDescent="0.25">
      <c r="A729" s="170"/>
      <c r="B729" s="116"/>
      <c r="C729" s="116"/>
      <c r="D729" s="116"/>
      <c r="E729" s="116"/>
      <c r="F729" s="116"/>
      <c r="H729" s="116"/>
      <c r="I729" s="116"/>
      <c r="L729" s="170"/>
    </row>
    <row r="730" spans="1:12" x14ac:dyDescent="0.25">
      <c r="A730" s="170"/>
      <c r="B730" s="116"/>
      <c r="C730" s="116"/>
      <c r="D730" s="116"/>
      <c r="E730" s="116"/>
      <c r="F730" s="116"/>
      <c r="H730" s="116"/>
      <c r="I730" s="116"/>
      <c r="L730" s="170"/>
    </row>
    <row r="731" spans="1:12" x14ac:dyDescent="0.25">
      <c r="A731" s="170"/>
      <c r="B731" s="116"/>
      <c r="C731" s="116"/>
      <c r="D731" s="116"/>
      <c r="E731" s="116"/>
      <c r="F731" s="116"/>
      <c r="H731" s="116"/>
      <c r="I731" s="116"/>
      <c r="L731" s="170"/>
    </row>
    <row r="732" spans="1:12" x14ac:dyDescent="0.25">
      <c r="A732" s="170"/>
      <c r="B732" s="116"/>
      <c r="C732" s="116"/>
      <c r="D732" s="116"/>
      <c r="E732" s="116"/>
      <c r="F732" s="116"/>
      <c r="H732" s="116"/>
      <c r="I732" s="116"/>
      <c r="L732" s="170"/>
    </row>
    <row r="733" spans="1:12" x14ac:dyDescent="0.25">
      <c r="A733" s="170"/>
      <c r="B733" s="116"/>
      <c r="C733" s="116"/>
      <c r="D733" s="116"/>
      <c r="E733" s="116"/>
      <c r="F733" s="116"/>
      <c r="H733" s="116"/>
      <c r="I733" s="116"/>
      <c r="L733" s="170"/>
    </row>
    <row r="734" spans="1:12" x14ac:dyDescent="0.25">
      <c r="A734" s="170"/>
      <c r="B734" s="116"/>
      <c r="C734" s="116"/>
      <c r="D734" s="116"/>
      <c r="E734" s="116"/>
      <c r="F734" s="116"/>
      <c r="H734" s="116"/>
      <c r="I734" s="116"/>
      <c r="L734" s="170"/>
    </row>
    <row r="735" spans="1:12" x14ac:dyDescent="0.25">
      <c r="A735" s="170"/>
      <c r="B735" s="116"/>
      <c r="C735" s="116"/>
      <c r="D735" s="116"/>
      <c r="E735" s="116"/>
      <c r="F735" s="116"/>
      <c r="H735" s="116"/>
      <c r="I735" s="116"/>
      <c r="L735" s="170"/>
    </row>
    <row r="736" spans="1:12" x14ac:dyDescent="0.25">
      <c r="A736" s="170"/>
      <c r="B736" s="116"/>
      <c r="C736" s="116"/>
      <c r="D736" s="116"/>
      <c r="E736" s="116"/>
      <c r="F736" s="116"/>
      <c r="H736" s="116"/>
      <c r="I736" s="116"/>
      <c r="L736" s="170"/>
    </row>
    <row r="737" spans="1:12" x14ac:dyDescent="0.25">
      <c r="A737" s="170"/>
      <c r="B737" s="116"/>
      <c r="C737" s="116"/>
      <c r="D737" s="116"/>
      <c r="E737" s="116"/>
      <c r="F737" s="116"/>
      <c r="H737" s="116"/>
      <c r="I737" s="116"/>
      <c r="L737" s="170"/>
    </row>
    <row r="738" spans="1:12" x14ac:dyDescent="0.25">
      <c r="A738" s="170"/>
      <c r="B738" s="116"/>
      <c r="C738" s="116"/>
      <c r="D738" s="116"/>
      <c r="E738" s="116"/>
      <c r="F738" s="116"/>
      <c r="H738" s="116"/>
      <c r="I738" s="116"/>
      <c r="L738" s="170"/>
    </row>
    <row r="739" spans="1:12" x14ac:dyDescent="0.25">
      <c r="A739" s="170"/>
      <c r="B739" s="116"/>
      <c r="C739" s="116"/>
      <c r="D739" s="116"/>
      <c r="E739" s="116"/>
      <c r="F739" s="116"/>
      <c r="H739" s="116"/>
      <c r="I739" s="116"/>
      <c r="L739" s="170"/>
    </row>
    <row r="740" spans="1:12" x14ac:dyDescent="0.25">
      <c r="A740" s="170"/>
      <c r="B740" s="116"/>
      <c r="C740" s="116"/>
      <c r="D740" s="116"/>
      <c r="E740" s="116"/>
      <c r="F740" s="116"/>
      <c r="H740" s="116"/>
      <c r="I740" s="116"/>
      <c r="L740" s="170"/>
    </row>
    <row r="741" spans="1:12" x14ac:dyDescent="0.25">
      <c r="A741" s="170"/>
      <c r="B741" s="116"/>
      <c r="C741" s="116"/>
      <c r="D741" s="116"/>
      <c r="E741" s="116"/>
      <c r="F741" s="116"/>
      <c r="H741" s="116"/>
      <c r="I741" s="116"/>
      <c r="L741" s="170"/>
    </row>
    <row r="742" spans="1:12" x14ac:dyDescent="0.25">
      <c r="A742" s="170"/>
      <c r="B742" s="116"/>
      <c r="C742" s="116"/>
      <c r="D742" s="116"/>
      <c r="E742" s="116"/>
      <c r="F742" s="116"/>
      <c r="H742" s="116"/>
      <c r="I742" s="116"/>
      <c r="L742" s="170"/>
    </row>
    <row r="743" spans="1:12" x14ac:dyDescent="0.25">
      <c r="A743" s="170"/>
      <c r="B743" s="116"/>
      <c r="C743" s="116"/>
      <c r="D743" s="116"/>
      <c r="E743" s="116"/>
      <c r="F743" s="116"/>
      <c r="H743" s="116"/>
      <c r="I743" s="116"/>
      <c r="L743" s="170"/>
    </row>
    <row r="744" spans="1:12" x14ac:dyDescent="0.25">
      <c r="A744" s="170"/>
      <c r="B744" s="116"/>
      <c r="C744" s="116"/>
      <c r="D744" s="116"/>
      <c r="E744" s="116"/>
      <c r="F744" s="116"/>
      <c r="H744" s="116"/>
      <c r="I744" s="116"/>
      <c r="L744" s="170"/>
    </row>
    <row r="745" spans="1:12" x14ac:dyDescent="0.25">
      <c r="A745" s="170"/>
      <c r="B745" s="116"/>
      <c r="C745" s="116"/>
      <c r="D745" s="116"/>
      <c r="E745" s="116"/>
      <c r="F745" s="116"/>
      <c r="H745" s="116"/>
      <c r="I745" s="116"/>
      <c r="L745" s="170"/>
    </row>
    <row r="746" spans="1:12" x14ac:dyDescent="0.25">
      <c r="A746" s="170"/>
      <c r="B746" s="116"/>
      <c r="C746" s="116"/>
      <c r="D746" s="116"/>
      <c r="E746" s="116"/>
      <c r="F746" s="116"/>
      <c r="H746" s="116"/>
      <c r="I746" s="116"/>
      <c r="L746" s="170"/>
    </row>
    <row r="747" spans="1:12" x14ac:dyDescent="0.25">
      <c r="A747" s="170"/>
      <c r="B747" s="116"/>
      <c r="C747" s="116"/>
      <c r="D747" s="116"/>
      <c r="E747" s="116"/>
      <c r="F747" s="116"/>
      <c r="H747" s="116"/>
      <c r="I747" s="116"/>
      <c r="L747" s="170"/>
    </row>
    <row r="748" spans="1:12" x14ac:dyDescent="0.25">
      <c r="A748" s="170"/>
      <c r="B748" s="116"/>
      <c r="C748" s="116"/>
      <c r="D748" s="116"/>
      <c r="E748" s="116"/>
      <c r="F748" s="116"/>
      <c r="H748" s="116"/>
      <c r="I748" s="116"/>
      <c r="L748" s="170"/>
    </row>
    <row r="749" spans="1:12" x14ac:dyDescent="0.25">
      <c r="A749" s="170"/>
      <c r="B749" s="116"/>
      <c r="C749" s="116"/>
      <c r="D749" s="116"/>
      <c r="E749" s="116"/>
      <c r="F749" s="116"/>
      <c r="H749" s="116"/>
      <c r="I749" s="116"/>
      <c r="L749" s="170"/>
    </row>
    <row r="750" spans="1:12" x14ac:dyDescent="0.25">
      <c r="A750" s="170"/>
      <c r="B750" s="116"/>
      <c r="C750" s="116"/>
      <c r="D750" s="116"/>
      <c r="E750" s="116"/>
      <c r="F750" s="116"/>
      <c r="H750" s="116"/>
      <c r="I750" s="116"/>
      <c r="L750" s="170"/>
    </row>
    <row r="751" spans="1:12" x14ac:dyDescent="0.25">
      <c r="A751" s="170"/>
      <c r="B751" s="116"/>
      <c r="C751" s="116"/>
      <c r="D751" s="116"/>
      <c r="E751" s="116"/>
      <c r="F751" s="116"/>
      <c r="H751" s="116"/>
      <c r="I751" s="116"/>
      <c r="L751" s="170"/>
    </row>
    <row r="752" spans="1:12" x14ac:dyDescent="0.25">
      <c r="A752" s="170"/>
      <c r="B752" s="116"/>
      <c r="C752" s="116"/>
      <c r="D752" s="116"/>
      <c r="E752" s="116"/>
      <c r="F752" s="116"/>
      <c r="H752" s="116"/>
      <c r="I752" s="116"/>
      <c r="L752" s="170"/>
    </row>
    <row r="753" spans="1:12" x14ac:dyDescent="0.25">
      <c r="A753" s="170"/>
      <c r="B753" s="116"/>
      <c r="C753" s="116"/>
      <c r="D753" s="116"/>
      <c r="E753" s="116"/>
      <c r="F753" s="116"/>
      <c r="H753" s="116"/>
      <c r="I753" s="116"/>
      <c r="L753" s="170"/>
    </row>
    <row r="754" spans="1:12" x14ac:dyDescent="0.25">
      <c r="A754" s="170"/>
      <c r="B754" s="116"/>
      <c r="C754" s="116"/>
      <c r="D754" s="116"/>
      <c r="E754" s="116"/>
      <c r="F754" s="116"/>
      <c r="H754" s="116"/>
      <c r="I754" s="116"/>
      <c r="L754" s="170"/>
    </row>
    <row r="755" spans="1:12" x14ac:dyDescent="0.25">
      <c r="A755" s="170"/>
      <c r="B755" s="116"/>
      <c r="C755" s="116"/>
      <c r="D755" s="116"/>
      <c r="E755" s="116"/>
      <c r="F755" s="116"/>
      <c r="H755" s="116"/>
      <c r="I755" s="116"/>
      <c r="L755" s="170"/>
    </row>
    <row r="756" spans="1:12" x14ac:dyDescent="0.25">
      <c r="A756" s="170"/>
      <c r="B756" s="116"/>
      <c r="C756" s="116"/>
      <c r="D756" s="116"/>
      <c r="E756" s="116"/>
      <c r="F756" s="116"/>
      <c r="H756" s="116"/>
      <c r="I756" s="116"/>
      <c r="L756" s="170"/>
    </row>
    <row r="757" spans="1:12" x14ac:dyDescent="0.25">
      <c r="A757" s="170"/>
      <c r="B757" s="116"/>
      <c r="C757" s="116"/>
      <c r="D757" s="116"/>
      <c r="E757" s="116"/>
      <c r="F757" s="116"/>
      <c r="H757" s="116"/>
      <c r="I757" s="116"/>
      <c r="L757" s="170"/>
    </row>
    <row r="758" spans="1:12" x14ac:dyDescent="0.25">
      <c r="A758" s="170"/>
      <c r="B758" s="116"/>
      <c r="C758" s="116"/>
      <c r="D758" s="116"/>
      <c r="E758" s="116"/>
      <c r="F758" s="116"/>
      <c r="H758" s="116"/>
      <c r="I758" s="116"/>
      <c r="L758" s="170"/>
    </row>
    <row r="759" spans="1:12" x14ac:dyDescent="0.25">
      <c r="A759" s="170"/>
      <c r="B759" s="116"/>
      <c r="C759" s="116"/>
      <c r="D759" s="116"/>
      <c r="E759" s="116"/>
      <c r="F759" s="116"/>
      <c r="H759" s="116"/>
      <c r="I759" s="116"/>
      <c r="L759" s="170"/>
    </row>
    <row r="760" spans="1:12" x14ac:dyDescent="0.25">
      <c r="A760" s="170"/>
      <c r="B760" s="116"/>
      <c r="C760" s="116"/>
      <c r="D760" s="116"/>
      <c r="E760" s="116"/>
      <c r="F760" s="116"/>
      <c r="H760" s="116"/>
      <c r="I760" s="116"/>
      <c r="L760" s="170"/>
    </row>
    <row r="761" spans="1:12" x14ac:dyDescent="0.25">
      <c r="A761" s="170"/>
      <c r="B761" s="116"/>
      <c r="C761" s="116"/>
      <c r="D761" s="116"/>
      <c r="E761" s="116"/>
      <c r="F761" s="116"/>
      <c r="H761" s="116"/>
      <c r="I761" s="116"/>
      <c r="L761" s="170"/>
    </row>
    <row r="762" spans="1:12" x14ac:dyDescent="0.25">
      <c r="A762" s="170"/>
      <c r="B762" s="116"/>
      <c r="C762" s="116"/>
      <c r="D762" s="116"/>
      <c r="E762" s="116"/>
      <c r="F762" s="116"/>
      <c r="H762" s="116"/>
      <c r="I762" s="116"/>
      <c r="L762" s="170"/>
    </row>
    <row r="763" spans="1:12" x14ac:dyDescent="0.25">
      <c r="A763" s="170"/>
      <c r="B763" s="116"/>
      <c r="C763" s="116"/>
      <c r="D763" s="116"/>
      <c r="E763" s="116"/>
      <c r="F763" s="116"/>
      <c r="H763" s="116"/>
      <c r="I763" s="116"/>
      <c r="L763" s="170"/>
    </row>
    <row r="764" spans="1:12" x14ac:dyDescent="0.25">
      <c r="A764" s="170"/>
      <c r="B764" s="116"/>
      <c r="C764" s="116"/>
      <c r="D764" s="116"/>
      <c r="E764" s="116"/>
      <c r="F764" s="116"/>
      <c r="H764" s="116"/>
      <c r="I764" s="116"/>
      <c r="L764" s="170"/>
    </row>
    <row r="765" spans="1:12" x14ac:dyDescent="0.25">
      <c r="A765" s="170"/>
      <c r="B765" s="116"/>
      <c r="C765" s="116"/>
      <c r="D765" s="116"/>
      <c r="E765" s="116"/>
      <c r="F765" s="116"/>
      <c r="H765" s="116"/>
      <c r="I765" s="116"/>
      <c r="L765" s="170"/>
    </row>
    <row r="766" spans="1:12" x14ac:dyDescent="0.25">
      <c r="A766" s="170"/>
      <c r="B766" s="116"/>
      <c r="C766" s="116"/>
      <c r="D766" s="116"/>
      <c r="E766" s="116"/>
      <c r="F766" s="116"/>
      <c r="H766" s="116"/>
      <c r="I766" s="116"/>
      <c r="L766" s="170"/>
    </row>
    <row r="767" spans="1:12" x14ac:dyDescent="0.25">
      <c r="A767" s="170"/>
      <c r="B767" s="116"/>
      <c r="C767" s="116"/>
      <c r="D767" s="116"/>
      <c r="E767" s="116"/>
      <c r="F767" s="116"/>
      <c r="H767" s="116"/>
      <c r="I767" s="116"/>
      <c r="L767" s="170"/>
    </row>
    <row r="768" spans="1:12" x14ac:dyDescent="0.25">
      <c r="A768" s="170"/>
      <c r="B768" s="116"/>
      <c r="C768" s="116"/>
      <c r="D768" s="116"/>
      <c r="E768" s="116"/>
      <c r="F768" s="116"/>
      <c r="H768" s="116"/>
      <c r="I768" s="116"/>
      <c r="L768" s="170"/>
    </row>
    <row r="769" spans="1:12" x14ac:dyDescent="0.25">
      <c r="A769" s="170"/>
      <c r="B769" s="116"/>
      <c r="C769" s="116"/>
      <c r="D769" s="116"/>
      <c r="E769" s="116"/>
      <c r="F769" s="116"/>
      <c r="H769" s="116"/>
      <c r="I769" s="116"/>
      <c r="L769" s="170"/>
    </row>
    <row r="770" spans="1:12" x14ac:dyDescent="0.25">
      <c r="A770" s="170"/>
      <c r="B770" s="116"/>
      <c r="C770" s="116"/>
      <c r="D770" s="116"/>
      <c r="E770" s="116"/>
      <c r="F770" s="116"/>
      <c r="H770" s="116"/>
      <c r="I770" s="116"/>
      <c r="L770" s="170"/>
    </row>
    <row r="771" spans="1:12" x14ac:dyDescent="0.25">
      <c r="A771" s="170"/>
      <c r="B771" s="116"/>
      <c r="C771" s="116"/>
      <c r="D771" s="116"/>
      <c r="E771" s="116"/>
      <c r="F771" s="116"/>
      <c r="H771" s="116"/>
      <c r="I771" s="116"/>
      <c r="L771" s="170"/>
    </row>
    <row r="772" spans="1:12" x14ac:dyDescent="0.25">
      <c r="A772" s="170"/>
      <c r="B772" s="116"/>
      <c r="C772" s="116"/>
      <c r="D772" s="116"/>
      <c r="E772" s="116"/>
      <c r="F772" s="116"/>
      <c r="H772" s="116"/>
      <c r="I772" s="116"/>
      <c r="L772" s="170"/>
    </row>
    <row r="773" spans="1:12" x14ac:dyDescent="0.25">
      <c r="A773" s="170"/>
      <c r="B773" s="116"/>
      <c r="C773" s="116"/>
      <c r="D773" s="116"/>
      <c r="E773" s="116"/>
      <c r="F773" s="116"/>
      <c r="H773" s="116"/>
      <c r="I773" s="116"/>
      <c r="L773" s="170"/>
    </row>
    <row r="774" spans="1:12" x14ac:dyDescent="0.25">
      <c r="A774" s="170"/>
      <c r="B774" s="116"/>
      <c r="C774" s="116"/>
      <c r="D774" s="116"/>
      <c r="E774" s="116"/>
      <c r="F774" s="116"/>
      <c r="H774" s="116"/>
      <c r="I774" s="116"/>
      <c r="L774" s="170"/>
    </row>
    <row r="775" spans="1:12" x14ac:dyDescent="0.25">
      <c r="A775" s="170"/>
      <c r="B775" s="116"/>
      <c r="C775" s="116"/>
      <c r="D775" s="116"/>
      <c r="E775" s="116"/>
      <c r="F775" s="116"/>
      <c r="H775" s="116"/>
      <c r="I775" s="116"/>
      <c r="L775" s="170"/>
    </row>
    <row r="776" spans="1:12" x14ac:dyDescent="0.25">
      <c r="A776" s="170"/>
      <c r="B776" s="116"/>
      <c r="C776" s="116"/>
      <c r="D776" s="116"/>
      <c r="E776" s="116"/>
      <c r="F776" s="116"/>
      <c r="H776" s="116"/>
      <c r="I776" s="116"/>
      <c r="L776" s="170"/>
    </row>
    <row r="777" spans="1:12" x14ac:dyDescent="0.25">
      <c r="A777" s="170"/>
      <c r="B777" s="116"/>
      <c r="C777" s="116"/>
      <c r="D777" s="116"/>
      <c r="E777" s="116"/>
      <c r="F777" s="116"/>
      <c r="H777" s="116"/>
      <c r="I777" s="116"/>
      <c r="L777" s="170"/>
    </row>
    <row r="778" spans="1:12" x14ac:dyDescent="0.25">
      <c r="A778" s="170"/>
      <c r="B778" s="116"/>
      <c r="C778" s="116"/>
      <c r="D778" s="116"/>
      <c r="E778" s="116"/>
      <c r="F778" s="116"/>
      <c r="H778" s="116"/>
      <c r="I778" s="116"/>
      <c r="L778" s="170"/>
    </row>
    <row r="779" spans="1:12" x14ac:dyDescent="0.25">
      <c r="A779" s="170"/>
      <c r="B779" s="116"/>
      <c r="C779" s="116"/>
      <c r="D779" s="116"/>
      <c r="E779" s="116"/>
      <c r="F779" s="116"/>
      <c r="H779" s="116"/>
      <c r="I779" s="116"/>
      <c r="L779" s="170"/>
    </row>
    <row r="780" spans="1:12" x14ac:dyDescent="0.25">
      <c r="A780" s="170"/>
      <c r="B780" s="116"/>
      <c r="C780" s="116"/>
      <c r="D780" s="116"/>
      <c r="E780" s="116"/>
      <c r="F780" s="116"/>
      <c r="H780" s="116"/>
      <c r="I780" s="116"/>
      <c r="L780" s="170"/>
    </row>
    <row r="781" spans="1:12" x14ac:dyDescent="0.25">
      <c r="A781" s="170"/>
      <c r="B781" s="116"/>
      <c r="C781" s="116"/>
      <c r="D781" s="116"/>
      <c r="E781" s="116"/>
      <c r="F781" s="116"/>
      <c r="H781" s="116"/>
      <c r="I781" s="116"/>
      <c r="L781" s="170"/>
    </row>
    <row r="782" spans="1:12" x14ac:dyDescent="0.25">
      <c r="A782" s="170"/>
      <c r="B782" s="116"/>
      <c r="C782" s="116"/>
      <c r="D782" s="116"/>
      <c r="E782" s="116"/>
      <c r="F782" s="116"/>
      <c r="H782" s="116"/>
      <c r="I782" s="116"/>
      <c r="L782" s="170"/>
    </row>
    <row r="783" spans="1:12" x14ac:dyDescent="0.25">
      <c r="A783" s="170"/>
      <c r="B783" s="116"/>
      <c r="C783" s="116"/>
      <c r="D783" s="116"/>
      <c r="E783" s="116"/>
      <c r="F783" s="116"/>
      <c r="H783" s="116"/>
      <c r="I783" s="116"/>
      <c r="L783" s="170"/>
    </row>
    <row r="784" spans="1:12" x14ac:dyDescent="0.25">
      <c r="A784" s="170"/>
      <c r="B784" s="116"/>
      <c r="C784" s="116"/>
      <c r="D784" s="116"/>
      <c r="E784" s="116"/>
      <c r="F784" s="116"/>
      <c r="H784" s="116"/>
      <c r="I784" s="116"/>
      <c r="L784" s="170"/>
    </row>
    <row r="785" spans="1:18" x14ac:dyDescent="0.25">
      <c r="A785" s="170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2026-06-17T16:53:52Z</dcterms:modified>
  <cp:category/>
  <cp:contentStatus/>
</cp:coreProperties>
</file>