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5739DE3-5D95-4464-871C-527C688B619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7" i="1" l="1"/>
  <c r="CL5" i="1" l="1"/>
  <c r="CL247" i="1"/>
  <c r="CR5" i="1"/>
  <c r="CN5" i="1"/>
  <c r="CO5" i="1" s="1"/>
  <c r="CP5" i="1" s="1"/>
  <c r="CM4" i="1"/>
  <c r="CK5" i="1"/>
  <c r="CS5" i="1" l="1"/>
  <c r="CT5" i="1" s="1"/>
  <c r="CN4" i="1"/>
  <c r="AA4" i="1"/>
  <c r="Z4" i="1"/>
  <c r="Y4" i="1"/>
  <c r="X4" i="1"/>
  <c r="W4" i="1"/>
  <c r="V4" i="1"/>
  <c r="U4" i="1"/>
  <c r="T4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CJ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4" i="1"/>
  <c r="AB17" i="1"/>
  <c r="AC17" i="1"/>
  <c r="AD17" i="1"/>
  <c r="AE17" i="1"/>
  <c r="AB30" i="1"/>
  <c r="AC30" i="1"/>
  <c r="AD30" i="1"/>
  <c r="AE30" i="1"/>
  <c r="AE29" i="1"/>
  <c r="AD29" i="1"/>
  <c r="AC29" i="1"/>
  <c r="AB29" i="1"/>
  <c r="AJ217" i="1"/>
  <c r="AB5" i="2"/>
  <c r="AB112" i="2" s="1"/>
  <c r="AA81" i="1" s="1"/>
  <c r="AB13" i="2"/>
  <c r="AA32" i="1" s="1"/>
  <c r="AB21" i="2"/>
  <c r="AB29" i="2"/>
  <c r="AA55" i="1" s="1"/>
  <c r="AB40" i="2"/>
  <c r="AB48" i="2"/>
  <c r="AA133" i="1" s="1"/>
  <c r="AB56" i="2"/>
  <c r="AA135" i="1" s="1"/>
  <c r="AE12" i="2"/>
  <c r="AE24" i="2"/>
  <c r="AE36" i="2"/>
  <c r="AE51" i="2"/>
  <c r="AB10" i="2"/>
  <c r="AB26" i="2"/>
  <c r="AB45" i="2"/>
  <c r="AA130" i="1" s="1"/>
  <c r="AD60" i="2"/>
  <c r="AD68" i="2"/>
  <c r="AD76" i="2"/>
  <c r="AD84" i="2"/>
  <c r="AD92" i="2"/>
  <c r="AD104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E69" i="2"/>
  <c r="AE93" i="2"/>
  <c r="AD36" i="2"/>
  <c r="AF99" i="2"/>
  <c r="AE33" i="2"/>
  <c r="AC20" i="2"/>
  <c r="AF108" i="2"/>
  <c r="AF5" i="2"/>
  <c r="AF113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53" i="1" s="1"/>
  <c r="AA188" i="1" s="1"/>
  <c r="AB85" i="2"/>
  <c r="AA178" i="1" s="1"/>
  <c r="AB93" i="2"/>
  <c r="AA180" i="1" s="1"/>
  <c r="AB105" i="2"/>
  <c r="AC93" i="2"/>
  <c r="AF18" i="2"/>
  <c r="AF53" i="2"/>
  <c r="AE13" i="2"/>
  <c r="AE40" i="2"/>
  <c r="AC61" i="2"/>
  <c r="AC73" i="2"/>
  <c r="AC85" i="2"/>
  <c r="AE106" i="2"/>
  <c r="AB32" i="2"/>
  <c r="AA53" i="1" s="1"/>
  <c r="AF64" i="2"/>
  <c r="AB68" i="2"/>
  <c r="AA144" i="1" s="1"/>
  <c r="AB84" i="2"/>
  <c r="AB104" i="2"/>
  <c r="AE61" i="2"/>
  <c r="AC88" i="2"/>
  <c r="AC36" i="2"/>
  <c r="AB74" i="2"/>
  <c r="AB90" i="2"/>
  <c r="AB110" i="2"/>
  <c r="AA75" i="1" s="1"/>
  <c r="AC70" i="2"/>
  <c r="AC94" i="2"/>
  <c r="AB41" i="2"/>
  <c r="AA125" i="1" s="1"/>
  <c r="AC108" i="2"/>
  <c r="AF46" i="2"/>
  <c r="AF24" i="2"/>
  <c r="AB75" i="2"/>
  <c r="AA167" i="1" s="1"/>
  <c r="AC6" i="2"/>
  <c r="AC57" i="2"/>
  <c r="AC95" i="2"/>
  <c r="AF60" i="2"/>
  <c r="AE7" i="2"/>
  <c r="AE65" i="2"/>
  <c r="AD12" i="2"/>
  <c r="AF83" i="2"/>
  <c r="AB12" i="2"/>
  <c r="AA23" i="1" s="1"/>
  <c r="AC83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F112" i="2"/>
  <c r="AE73" i="2"/>
  <c r="AE97" i="2"/>
  <c r="AD93" i="2"/>
  <c r="AC74" i="2"/>
  <c r="AD46" i="2"/>
  <c r="AC72" i="2"/>
  <c r="AC96" i="2"/>
  <c r="AC60" i="2"/>
  <c r="AF96" i="2"/>
  <c r="AC78" i="2"/>
  <c r="AC106" i="2"/>
  <c r="AC76" i="2"/>
  <c r="AC43" i="2"/>
  <c r="AB57" i="2"/>
  <c r="AA163" i="1" s="1"/>
  <c r="AD110" i="2"/>
  <c r="AD42" i="2"/>
  <c r="AE56" i="2"/>
  <c r="AC81" i="2"/>
  <c r="AF22" i="2"/>
  <c r="AE59" i="2"/>
  <c r="AC32" i="2"/>
  <c r="AD85" i="2"/>
  <c r="AE49" i="2"/>
  <c r="AE70" i="2"/>
  <c r="AC64" i="2"/>
  <c r="AE35" i="2"/>
  <c r="AD55" i="2"/>
  <c r="AB47" i="2"/>
  <c r="AA132" i="1" s="1"/>
  <c r="AF66" i="2"/>
  <c r="AF98" i="2"/>
  <c r="AB7" i="2"/>
  <c r="AA17" i="1" s="1"/>
  <c r="AB15" i="2"/>
  <c r="AA31" i="1" s="1"/>
  <c r="AB23" i="2"/>
  <c r="AA43" i="1" s="1"/>
  <c r="AB31" i="2"/>
  <c r="AB42" i="2"/>
  <c r="AA126" i="1" s="1"/>
  <c r="AB50" i="2"/>
  <c r="AA157" i="1" s="1"/>
  <c r="AB58" i="2"/>
  <c r="AC15" i="2"/>
  <c r="AC27" i="2"/>
  <c r="AC42" i="2"/>
  <c r="AC54" i="2"/>
  <c r="AB14" i="2"/>
  <c r="AA28" i="1" s="1"/>
  <c r="AB30" i="2"/>
  <c r="AA47" i="1" s="1"/>
  <c r="AB49" i="2"/>
  <c r="AA171" i="1" s="1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C8" i="2"/>
  <c r="AC98" i="2"/>
  <c r="AF74" i="2"/>
  <c r="AC24" i="2"/>
  <c r="AC16" i="2"/>
  <c r="AB82" i="2"/>
  <c r="AB98" i="2"/>
  <c r="AC82" i="2"/>
  <c r="AD66" i="2"/>
  <c r="AD98" i="2"/>
  <c r="AE5" i="2"/>
  <c r="AE94" i="2"/>
  <c r="AC62" i="2"/>
  <c r="AB59" i="2"/>
  <c r="AB99" i="2"/>
  <c r="AF45" i="2"/>
  <c r="AC30" i="2"/>
  <c r="AB24" i="2"/>
  <c r="AD28" i="2"/>
  <c r="AC59" i="2"/>
  <c r="AD61" i="2"/>
  <c r="AC51" i="2"/>
  <c r="AF8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40" i="1" s="1"/>
  <c r="AB71" i="2"/>
  <c r="AA148" i="1" s="1"/>
  <c r="AB79" i="2"/>
  <c r="AA154" i="1" s="1"/>
  <c r="AB87" i="2"/>
  <c r="AA134" i="1" s="1"/>
  <c r="AB95" i="2"/>
  <c r="AA179" i="1" s="1"/>
  <c r="AB107" i="2"/>
  <c r="AA86" i="1" s="1"/>
  <c r="AE104" i="2"/>
  <c r="AF26" i="2"/>
  <c r="AD59" i="2"/>
  <c r="AC18" i="2"/>
  <c r="AC45" i="2"/>
  <c r="AE64" i="2"/>
  <c r="AE76" i="2"/>
  <c r="AE88" i="2"/>
  <c r="AB8" i="2"/>
  <c r="AB43" i="2"/>
  <c r="AA127" i="1" s="1"/>
  <c r="AE15" i="2"/>
  <c r="AB72" i="2"/>
  <c r="AA150" i="1" s="1"/>
  <c r="AB88" i="2"/>
  <c r="AB108" i="2"/>
  <c r="AA87" i="1" s="1"/>
  <c r="AE71" i="2"/>
  <c r="AE95" i="2"/>
  <c r="AE58" i="2"/>
  <c r="AB78" i="2"/>
  <c r="AA168" i="1" s="1"/>
  <c r="AB94" i="2"/>
  <c r="AE11" i="2"/>
  <c r="AE77" i="2"/>
  <c r="AE105" i="2"/>
  <c r="AE48" i="2"/>
  <c r="AC77" i="2"/>
  <c r="AD11" i="2"/>
  <c r="AC28" i="2"/>
  <c r="AF90" i="2"/>
  <c r="AF110" i="2"/>
  <c r="AF80" i="2"/>
  <c r="AC104" i="2"/>
  <c r="AC110" i="2"/>
  <c r="AD7" i="2"/>
  <c r="AE29" i="2"/>
  <c r="AC69" i="2"/>
  <c r="AF57" i="2"/>
  <c r="AD95" i="2"/>
  <c r="AC80" i="2"/>
  <c r="AD105" i="2"/>
  <c r="AF11" i="2"/>
  <c r="AF27" i="2"/>
  <c r="AF54" i="2"/>
  <c r="AE22" i="2"/>
  <c r="AF8" i="2"/>
  <c r="AF43" i="2"/>
  <c r="AB67" i="2"/>
  <c r="AA145" i="1" s="1"/>
  <c r="AB83" i="2"/>
  <c r="AA172" i="1" s="1"/>
  <c r="AB91" i="2"/>
  <c r="AF10" i="2"/>
  <c r="AB80" i="2"/>
  <c r="AA155" i="1" s="1"/>
  <c r="AB86" i="2"/>
  <c r="AA143" i="1" s="1"/>
  <c r="AC50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B28" i="2"/>
  <c r="AB60" i="2"/>
  <c r="AE21" i="2"/>
  <c r="AC65" i="2"/>
  <c r="AC89" i="2"/>
  <c r="AB70" i="2"/>
  <c r="AB106" i="2"/>
  <c r="AA85" i="1" s="1"/>
  <c r="AD47" i="2"/>
  <c r="AF59" i="2"/>
  <c r="AF91" i="2"/>
  <c r="AC90" i="2"/>
  <c r="AB9" i="2"/>
  <c r="AB17" i="2"/>
  <c r="AA29" i="1" s="1"/>
  <c r="AB25" i="2"/>
  <c r="AA44" i="1" s="1"/>
  <c r="AB33" i="2"/>
  <c r="AA54" i="1" s="1"/>
  <c r="AB44" i="2"/>
  <c r="AB52" i="2"/>
  <c r="AA159" i="1" s="1"/>
  <c r="AE6" i="2"/>
  <c r="AE18" i="2"/>
  <c r="AE30" i="2"/>
  <c r="AE45" i="2"/>
  <c r="AE57" i="2"/>
  <c r="AB18" i="2"/>
  <c r="AA33" i="1" s="1"/>
  <c r="AB34" i="2"/>
  <c r="AB53" i="2"/>
  <c r="AD64" i="2"/>
  <c r="AD72" i="2"/>
  <c r="AD80" i="2"/>
  <c r="AD88" i="2"/>
  <c r="AD96" i="2"/>
  <c r="AD108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E27" i="2"/>
  <c r="AE81" i="2"/>
  <c r="AE109" i="2"/>
  <c r="AC7" i="2"/>
  <c r="AF36" i="2"/>
  <c r="AB65" i="2"/>
  <c r="AB81" i="2"/>
  <c r="AB97" i="2"/>
  <c r="AF34" i="2"/>
  <c r="AD63" i="2"/>
  <c r="AE25" i="2"/>
  <c r="AC79" i="2"/>
  <c r="AC91" i="2"/>
  <c r="AB16" i="2"/>
  <c r="AB51" i="2"/>
  <c r="AA158" i="1" s="1"/>
  <c r="AC47" i="2"/>
  <c r="AB76" i="2"/>
  <c r="AA152" i="1" s="1"/>
  <c r="AA187" i="1" s="1"/>
  <c r="AB92" i="2"/>
  <c r="AB66" i="2"/>
  <c r="AD90" i="2"/>
  <c r="AE82" i="2"/>
  <c r="AB96" i="2"/>
  <c r="AE89" i="2"/>
  <c r="AC35" i="2"/>
  <c r="AD9" i="2"/>
  <c r="AD44" i="2"/>
  <c r="AD27" i="2"/>
  <c r="AF82" i="2"/>
  <c r="AC84" i="2"/>
  <c r="AF9" i="2"/>
  <c r="AF17" i="2"/>
  <c r="AF25" i="2"/>
  <c r="AF33" i="2"/>
  <c r="AF44" i="2"/>
  <c r="AF52" i="2"/>
  <c r="AC19" i="2"/>
  <c r="AC31" i="2"/>
  <c r="AC46" i="2"/>
  <c r="AC58" i="2"/>
  <c r="AF20" i="2"/>
  <c r="AF55" i="2"/>
  <c r="AB73" i="2"/>
  <c r="AA151" i="1" s="1"/>
  <c r="AB89" i="2"/>
  <c r="AB109" i="2"/>
  <c r="AC109" i="2"/>
  <c r="AE52" i="2"/>
  <c r="AC67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6" i="2"/>
  <c r="AB36" i="2"/>
  <c r="AB64" i="2"/>
  <c r="AA141" i="1" s="1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E46" i="2"/>
  <c r="AE85" i="2"/>
  <c r="AB11" i="2"/>
  <c r="AA21" i="1" s="1"/>
  <c r="AB19" i="2"/>
  <c r="AA30" i="1" s="1"/>
  <c r="AB27" i="2"/>
  <c r="AA40" i="1" s="1"/>
  <c r="AB35" i="2"/>
  <c r="AA59" i="1" s="1"/>
  <c r="AB46" i="2"/>
  <c r="AB54" i="2"/>
  <c r="AA161" i="1" s="1"/>
  <c r="AC9" i="2"/>
  <c r="AC21" i="2"/>
  <c r="AC33" i="2"/>
  <c r="AC48" i="2"/>
  <c r="AB6" i="2"/>
  <c r="AA16" i="1" s="1"/>
  <c r="AB22" i="2"/>
  <c r="AD74" i="2"/>
  <c r="AD82" i="2"/>
  <c r="AD79" i="2"/>
  <c r="AD69" i="2"/>
  <c r="AC86" i="2"/>
  <c r="AF19" i="2"/>
  <c r="AF35" i="2"/>
  <c r="AE10" i="2"/>
  <c r="AE34" i="2"/>
  <c r="AE83" i="2"/>
  <c r="AC11" i="2"/>
  <c r="AD25" i="2"/>
  <c r="AF67" i="2"/>
  <c r="AF111" i="2"/>
  <c r="AC71" i="2"/>
  <c r="AF72" i="2"/>
  <c r="AC66" i="2"/>
  <c r="AD20" i="2"/>
  <c r="AC23" i="2"/>
  <c r="AF75" i="2"/>
  <c r="AE9" i="2"/>
  <c r="AE98" i="2"/>
  <c r="AB111" i="2" l="1"/>
  <c r="AA181" i="1"/>
  <c r="AA260" i="1"/>
  <c r="AA202" i="1"/>
  <c r="AA261" i="1"/>
  <c r="AA18" i="1"/>
  <c r="AA239" i="1"/>
  <c r="AA156" i="1"/>
  <c r="AA191" i="1"/>
  <c r="AA139" i="1"/>
  <c r="AA142" i="1" s="1"/>
  <c r="AA146" i="1" s="1"/>
  <c r="AA128" i="1"/>
  <c r="AA169" i="1"/>
  <c r="AA162" i="1"/>
  <c r="AA164" i="1" s="1"/>
  <c r="AA193" i="1" s="1"/>
  <c r="AA192" i="1" s="1"/>
  <c r="AA136" i="1"/>
  <c r="AA34" i="1"/>
  <c r="AA35" i="1" s="1"/>
  <c r="T5" i="1"/>
  <c r="CO4" i="1"/>
  <c r="V5" i="1"/>
  <c r="Z5" i="1"/>
  <c r="X5" i="1"/>
  <c r="AA5" i="1"/>
  <c r="W5" i="1"/>
  <c r="U5" i="1"/>
  <c r="Y5" i="1"/>
  <c r="B1" i="9"/>
  <c r="AD113" i="2"/>
  <c r="AE112" i="2"/>
  <c r="A1" i="9"/>
  <c r="AC111" i="2"/>
  <c r="AC113" i="2"/>
  <c r="AE113" i="2"/>
  <c r="L1" i="9"/>
  <c r="AE111" i="2"/>
  <c r="AD112" i="2"/>
  <c r="AB113" i="2"/>
  <c r="AA82" i="1" s="1"/>
  <c r="AC112" i="2"/>
  <c r="AD111" i="2"/>
  <c r="AA252" i="1" l="1"/>
  <c r="AA106" i="1"/>
  <c r="AA24" i="1"/>
  <c r="AA165" i="1"/>
  <c r="AA190" i="1"/>
  <c r="AA254" i="1"/>
  <c r="AA256" i="1"/>
  <c r="AA173" i="1"/>
  <c r="AA176" i="1"/>
  <c r="AA117" i="1" s="1"/>
  <c r="AA137" i="1"/>
  <c r="AA183" i="1"/>
  <c r="AA41" i="1"/>
  <c r="AA45" i="1"/>
  <c r="CP4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K247" i="1"/>
  <c r="CK144" i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H160" i="1"/>
  <c r="CJ247" i="1"/>
  <c r="Z247" i="1"/>
  <c r="AA25" i="1" l="1"/>
  <c r="AA36" i="1"/>
  <c r="AA194" i="1"/>
  <c r="AA189" i="1"/>
  <c r="AA174" i="1"/>
  <c r="CQ4" i="1"/>
  <c r="AB4" i="1"/>
  <c r="CI247" i="1"/>
  <c r="CG144" i="1"/>
  <c r="CG247" i="1"/>
  <c r="CH247" i="1"/>
  <c r="AB21" i="1"/>
  <c r="AC21" i="1"/>
  <c r="AD21" i="1"/>
  <c r="AE21" i="1"/>
  <c r="AB22" i="1"/>
  <c r="AC22" i="1"/>
  <c r="AD22" i="1"/>
  <c r="AE22" i="1"/>
  <c r="AB32" i="1"/>
  <c r="AC32" i="1"/>
  <c r="AD32" i="1"/>
  <c r="AE32" i="1"/>
  <c r="AB33" i="1"/>
  <c r="AC33" i="1"/>
  <c r="AD33" i="1"/>
  <c r="AE33" i="1"/>
  <c r="AB55" i="1"/>
  <c r="AC55" i="1"/>
  <c r="AD55" i="1"/>
  <c r="AE55" i="1"/>
  <c r="AB167" i="1"/>
  <c r="AC167" i="1"/>
  <c r="AD167" i="1"/>
  <c r="AE167" i="1"/>
  <c r="AB181" i="1"/>
  <c r="AC181" i="1"/>
  <c r="AD181" i="1"/>
  <c r="AE181" i="1"/>
  <c r="CE144" i="1"/>
  <c r="CE247" i="1"/>
  <c r="CF247" i="1"/>
  <c r="AI205" i="1"/>
  <c r="AI210" i="1"/>
  <c r="AI214" i="1"/>
  <c r="AI217" i="1"/>
  <c r="AI247" i="1"/>
  <c r="Y247" i="1"/>
  <c r="AM144" i="1"/>
  <c r="AO144" i="1"/>
  <c r="AQ144" i="1"/>
  <c r="AS144" i="1"/>
  <c r="AU144" i="1"/>
  <c r="AW144" i="1"/>
  <c r="AY144" i="1"/>
  <c r="BA144" i="1"/>
  <c r="BC144" i="1"/>
  <c r="BE144" i="1"/>
  <c r="BG144" i="1"/>
  <c r="BI144" i="1"/>
  <c r="BK144" i="1"/>
  <c r="BM144" i="1"/>
  <c r="BO144" i="1"/>
  <c r="BQ144" i="1"/>
  <c r="BS144" i="1"/>
  <c r="BU144" i="1"/>
  <c r="BW144" i="1"/>
  <c r="BY144" i="1"/>
  <c r="CA144" i="1"/>
  <c r="CC144" i="1"/>
  <c r="CD247" i="1"/>
  <c r="CC247" i="1"/>
  <c r="AJ247" i="1"/>
  <c r="AK247" i="1"/>
  <c r="AL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0" i="1" l="1"/>
  <c r="AA241" i="1" s="1"/>
  <c r="AA120" i="1"/>
  <c r="AA37" i="1"/>
  <c r="AA42" i="1"/>
  <c r="AB5" i="1"/>
  <c r="CR4" i="1"/>
  <c r="Y1" i="1"/>
  <c r="Z1" i="1" s="1"/>
  <c r="AA63" i="1" l="1"/>
  <c r="AA46" i="1"/>
  <c r="CS4" i="1"/>
  <c r="AA1" i="1"/>
  <c r="AB1" i="1" s="1"/>
  <c r="AC1" i="1" s="1"/>
  <c r="AD1" i="1" s="1"/>
  <c r="AE1" i="1" s="1"/>
  <c r="AA48" i="1" l="1"/>
  <c r="AA49" i="1"/>
  <c r="CT4" i="1"/>
  <c r="A1" i="3"/>
  <c r="AA50" i="1" l="1"/>
  <c r="AA253" i="1" s="1"/>
  <c r="AA56" i="1"/>
  <c r="AA242" i="1"/>
  <c r="CU4" i="1"/>
  <c r="AC4" i="1"/>
  <c r="A1" i="6"/>
  <c r="A1" i="4"/>
  <c r="BU9" i="3"/>
  <c r="BU15" i="3"/>
  <c r="BU21" i="3"/>
  <c r="BU27" i="3"/>
  <c r="BU33" i="3"/>
  <c r="BU39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8" i="1" s="1"/>
  <c r="BT25" i="3"/>
  <c r="BP28" i="3"/>
  <c r="BE37" i="3"/>
  <c r="BN13" i="3"/>
  <c r="BQ10" i="3"/>
  <c r="BQ16" i="3"/>
  <c r="BQ22" i="3"/>
  <c r="BQ28" i="3"/>
  <c r="BQ34" i="3"/>
  <c r="BQ40" i="3"/>
  <c r="BR5" i="3"/>
  <c r="BR11" i="3"/>
  <c r="BS41" i="3"/>
  <c r="BT14" i="3"/>
  <c r="BM31" i="3"/>
  <c r="BL10" i="3"/>
  <c r="BH30" i="3"/>
  <c r="BE12" i="3"/>
  <c r="BM32" i="3"/>
  <c r="BF46" i="3"/>
  <c r="CL72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23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FC6" i="4" a="1"/>
  <c r="FE15" i="4" a="1"/>
  <c r="FA14" i="4" a="1"/>
  <c r="Z106" i="2"/>
  <c r="BD41" i="3"/>
  <c r="Y56" i="2"/>
  <c r="BB10" i="3"/>
  <c r="Y110" i="2"/>
  <c r="FD11" i="4" a="1"/>
  <c r="FB5" i="4" a="1"/>
  <c r="BU10" i="3"/>
  <c r="BU16" i="3"/>
  <c r="BU22" i="3"/>
  <c r="BU28" i="3"/>
  <c r="BU34" i="3"/>
  <c r="BU40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22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J14" i="3"/>
  <c r="BN28" i="3"/>
  <c r="BT37" i="3"/>
  <c r="BP40" i="3"/>
  <c r="BG40" i="3"/>
  <c r="BF17" i="3"/>
  <c r="CL29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BQ5" i="3"/>
  <c r="BQ62" i="3" s="1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CL17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M25" i="3"/>
  <c r="BI41" i="3"/>
  <c r="BL18" i="3"/>
  <c r="BF35" i="3"/>
  <c r="CL54" i="1" s="1"/>
  <c r="BG11" i="3"/>
  <c r="BE28" i="3"/>
  <c r="BJ8" i="3"/>
  <c r="BF28" i="3"/>
  <c r="CL40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AA70" i="2"/>
  <c r="Z32" i="2"/>
  <c r="BC30" i="3"/>
  <c r="BB39" i="3"/>
  <c r="Y89" i="2"/>
  <c r="FA6" i="4" a="1"/>
  <c r="FE12" i="4" a="1"/>
  <c r="FC5" i="4" a="1"/>
  <c r="EY5" i="4" a="1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16" i="1" s="1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74" i="2"/>
  <c r="Y82" i="2"/>
  <c r="BB26" i="3"/>
  <c r="BB42" i="3"/>
  <c r="Z34" i="2"/>
  <c r="Z51" i="2"/>
  <c r="BB11" i="3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53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F42" i="3"/>
  <c r="CL59" i="1" s="1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30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N10" i="3"/>
  <c r="BF30" i="3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21" i="1" s="1"/>
  <c r="CL9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43" i="1" s="1"/>
  <c r="BG5" i="3"/>
  <c r="BG59" i="3" s="1"/>
  <c r="BK25" i="3"/>
  <c r="BF18" i="3"/>
  <c r="CL33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G32" i="3"/>
  <c r="BL8" i="3"/>
  <c r="BF25" i="3"/>
  <c r="CL44" i="1" s="1"/>
  <c r="BH42" i="3"/>
  <c r="BE18" i="3"/>
  <c r="BI34" i="3"/>
  <c r="BL35" i="3"/>
  <c r="Y13" i="2"/>
  <c r="AA19" i="2"/>
  <c r="AA77" i="2"/>
  <c r="Y10" i="2"/>
  <c r="Y72" i="2"/>
  <c r="Y32" i="2"/>
  <c r="BD33" i="3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55" i="1" s="1"/>
  <c r="BT16" i="3"/>
  <c r="BP41" i="3"/>
  <c r="BP13" i="3"/>
  <c r="BG8" i="3"/>
  <c r="BE13" i="3"/>
  <c r="BM17" i="3"/>
  <c r="BK22" i="3"/>
  <c r="BK36" i="3"/>
  <c r="BF15" i="3"/>
  <c r="CL32" i="1" s="1"/>
  <c r="BH34" i="3"/>
  <c r="BM14" i="3"/>
  <c r="BG35" i="3"/>
  <c r="BH15" i="3"/>
  <c r="BF14" i="3"/>
  <c r="CL31" i="1" s="1"/>
  <c r="BH33" i="3"/>
  <c r="BL25" i="3"/>
  <c r="BF24" i="3"/>
  <c r="BT9" i="3"/>
  <c r="BP14" i="3"/>
  <c r="BI33" i="3"/>
  <c r="BN9" i="3"/>
  <c r="BH26" i="3"/>
  <c r="BF45" i="3"/>
  <c r="CL71" i="1" s="1"/>
  <c r="BK19" i="3"/>
  <c r="BK35" i="3"/>
  <c r="BJ40" i="3"/>
  <c r="Y83" i="2"/>
  <c r="Y88" i="2"/>
  <c r="BU8" i="3"/>
  <c r="BU14" i="3"/>
  <c r="BU20" i="3"/>
  <c r="BU26" i="3"/>
  <c r="BU32" i="3"/>
  <c r="BU38" i="3"/>
  <c r="BU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47" i="1" s="1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BQ9" i="3"/>
  <c r="BQ15" i="3"/>
  <c r="BQ21" i="3"/>
  <c r="BQ27" i="3"/>
  <c r="BQ33" i="3"/>
  <c r="BQ39" i="3"/>
  <c r="BQ56" i="3"/>
  <c r="BR10" i="3"/>
  <c r="BO39" i="3"/>
  <c r="BT41" i="3"/>
  <c r="BG28" i="3"/>
  <c r="BJ7" i="3"/>
  <c r="BL26" i="3"/>
  <c r="BM8" i="3"/>
  <c r="BK29" i="3"/>
  <c r="BJ32" i="3"/>
  <c r="BO21" i="3"/>
  <c r="BJ17" i="3"/>
  <c r="BP19" i="3"/>
  <c r="BH8" i="3"/>
  <c r="BN26" i="3"/>
  <c r="BM45" i="3"/>
  <c r="BI38" i="3"/>
  <c r="Z76" i="2"/>
  <c r="AA90" i="2"/>
  <c r="BC37" i="3"/>
  <c r="BD39" i="3"/>
  <c r="Z20" i="2"/>
  <c r="Z5" i="2"/>
  <c r="Z70" i="2"/>
  <c r="BC13" i="3"/>
  <c r="BC42" i="3"/>
  <c r="AA20" i="2"/>
  <c r="Z90" i="2"/>
  <c r="Y77" i="2"/>
  <c r="X6" i="2"/>
  <c r="BA33" i="3"/>
  <c r="Y86" i="2"/>
  <c r="Y59" i="2"/>
  <c r="Y52" i="2"/>
  <c r="BD27" i="3"/>
  <c r="Z7" i="2"/>
  <c r="Y97" i="2"/>
  <c r="FA7" i="4" a="1"/>
  <c r="FB7" i="4" a="1"/>
  <c r="EZ15" i="4" a="1"/>
  <c r="EX14" i="4" a="1"/>
  <c r="FB16" i="4" a="1"/>
  <c r="Z41" i="2"/>
  <c r="BB34" i="3"/>
  <c r="EZ8" i="4" a="1"/>
  <c r="FC13" i="4" a="1"/>
  <c r="FF13" i="4" a="1"/>
  <c r="Y5" i="2"/>
  <c r="AA25" i="2"/>
  <c r="BO24" i="3"/>
  <c r="BF31" i="3"/>
  <c r="BP7" i="3"/>
  <c r="BH18" i="3"/>
  <c r="BJ36" i="3"/>
  <c r="BF13" i="3"/>
  <c r="BE40" i="3"/>
  <c r="AA110" i="2"/>
  <c r="AA29" i="2"/>
  <c r="BB45" i="3"/>
  <c r="BA16" i="3"/>
  <c r="Y43" i="2"/>
  <c r="Y80" i="2"/>
  <c r="AA26" i="2"/>
  <c r="BB16" i="3"/>
  <c r="BA28" i="3"/>
  <c r="AA42" i="2"/>
  <c r="AA98" i="2"/>
  <c r="Y84" i="2"/>
  <c r="BA12" i="3"/>
  <c r="BC36" i="3"/>
  <c r="Y66" i="2"/>
  <c r="Z24" i="2"/>
  <c r="Z52" i="2"/>
  <c r="BC40" i="3"/>
  <c r="FA11" i="4" a="1"/>
  <c r="EX15" i="4" a="1"/>
  <c r="EY6" i="4" a="1"/>
  <c r="Y41" i="2"/>
  <c r="EZ11" i="4" a="1"/>
  <c r="FC16" i="4" a="1"/>
  <c r="EX7" i="4" a="1"/>
  <c r="EX8" i="4" a="1"/>
  <c r="FE16" i="4" a="1"/>
  <c r="BC14" i="3"/>
  <c r="BD45" i="3"/>
  <c r="Y90" i="2"/>
  <c r="BA14" i="3"/>
  <c r="BC33" i="3"/>
  <c r="Z71" i="2"/>
  <c r="BB28" i="3"/>
  <c r="Y63" i="2"/>
  <c r="FD14" i="4" a="1"/>
  <c r="EZ14" i="4" a="1"/>
  <c r="FC11" i="4" a="1"/>
  <c r="BD6" i="3"/>
  <c r="BR16" i="3"/>
  <c r="BO27" i="3"/>
  <c r="BJ41" i="3"/>
  <c r="BK6" i="3"/>
  <c r="BN27" i="3"/>
  <c r="BJ46" i="3"/>
  <c r="BL20" i="3"/>
  <c r="BJ16" i="3"/>
  <c r="Z48" i="2"/>
  <c r="AA78" i="2"/>
  <c r="BB9" i="3"/>
  <c r="BA19" i="3"/>
  <c r="Z110" i="2"/>
  <c r="Z53" i="2"/>
  <c r="Y50" i="2"/>
  <c r="BD11" i="3"/>
  <c r="BD19" i="3"/>
  <c r="AA5" i="2"/>
  <c r="Z94" i="2"/>
  <c r="Y81" i="2"/>
  <c r="BC31" i="3"/>
  <c r="BB7" i="3"/>
  <c r="BD16" i="3"/>
  <c r="AA43" i="2"/>
  <c r="AA83" i="2"/>
  <c r="BD5" i="3"/>
  <c r="Z18" i="2"/>
  <c r="AA27" i="2"/>
  <c r="Y29" i="2"/>
  <c r="FB8" i="4" a="1"/>
  <c r="BR22" i="3"/>
  <c r="BO30" i="3"/>
  <c r="BK9" i="3"/>
  <c r="BE9" i="3"/>
  <c r="BN37" i="3"/>
  <c r="BJ38" i="3"/>
  <c r="BL28" i="3"/>
  <c r="BH7" i="3"/>
  <c r="Y104" i="2"/>
  <c r="Y99" i="2"/>
  <c r="BA31" i="3"/>
  <c r="BA22" i="3"/>
  <c r="Y42" i="2"/>
  <c r="Z96" i="2"/>
  <c r="Y15" i="2"/>
  <c r="FD6" i="4" a="1"/>
  <c r="FA9" i="4" a="1"/>
  <c r="AA71" i="2"/>
  <c r="BB33" i="3"/>
  <c r="AA31" i="2"/>
  <c r="Z27" i="2"/>
  <c r="Z60" i="2"/>
  <c r="FE8" i="4" a="1"/>
  <c r="BA30" i="3"/>
  <c r="FF8" i="4" a="1"/>
  <c r="EX12" i="4" a="1"/>
  <c r="Z28" i="2"/>
  <c r="BB40" i="3"/>
  <c r="FC9" i="4" a="1"/>
  <c r="FE9" i="4" a="1"/>
  <c r="FB15" i="4" a="1"/>
  <c r="FF7" i="4" a="1"/>
  <c r="BG36" i="3"/>
  <c r="Z79" i="2"/>
  <c r="AA99" i="2"/>
  <c r="EX11" i="4" a="1"/>
  <c r="BM39" i="3"/>
  <c r="BB30" i="3"/>
  <c r="BA15" i="3"/>
  <c r="Z46" i="2"/>
  <c r="Z87" i="2"/>
  <c r="BC6" i="3"/>
  <c r="Y27" i="2"/>
  <c r="AA15" i="2"/>
  <c r="FD8" i="4" a="1"/>
  <c r="FD9" i="4" a="1"/>
  <c r="BR28" i="3"/>
  <c r="BO33" i="3"/>
  <c r="BI20" i="3"/>
  <c r="BI11" i="3"/>
  <c r="BE8" i="3"/>
  <c r="BL33" i="3"/>
  <c r="BL30" i="3"/>
  <c r="BL13" i="3"/>
  <c r="Z89" i="2"/>
  <c r="Z9" i="2"/>
  <c r="BB17" i="3"/>
  <c r="BD23" i="3"/>
  <c r="Y44" i="2"/>
  <c r="Z44" i="2"/>
  <c r="Z19" i="2"/>
  <c r="BA35" i="3"/>
  <c r="AA104" i="2"/>
  <c r="AA32" i="2"/>
  <c r="BC34" i="3"/>
  <c r="Y107" i="2"/>
  <c r="Z17" i="2"/>
  <c r="FE5" i="4" a="1"/>
  <c r="FD15" i="4" a="1"/>
  <c r="EY15" i="4" a="1"/>
  <c r="EZ13" i="4" a="1"/>
  <c r="BC5" i="3"/>
  <c r="Z56" i="2"/>
  <c r="FC14" i="4" a="1"/>
  <c r="FB9" i="4" a="1"/>
  <c r="Y105" i="2"/>
  <c r="EX5" i="4" a="1"/>
  <c r="EY9" i="4" a="1"/>
  <c r="EX9" i="4" a="1"/>
  <c r="BE27" i="3"/>
  <c r="BK23" i="3"/>
  <c r="Z108" i="2"/>
  <c r="BB25" i="3"/>
  <c r="Y78" i="2"/>
  <c r="Y11" i="2"/>
  <c r="BC9" i="3"/>
  <c r="BB36" i="3"/>
  <c r="FD12" i="4" a="1"/>
  <c r="BP37" i="3"/>
  <c r="AA51" i="2"/>
  <c r="BA45" i="3"/>
  <c r="AA30" i="2"/>
  <c r="Z23" i="2"/>
  <c r="AA82" i="2"/>
  <c r="AA107" i="2"/>
  <c r="FB12" i="4" a="1"/>
  <c r="BR34" i="3"/>
  <c r="BO37" i="3"/>
  <c r="BM30" i="3"/>
  <c r="BM13" i="3"/>
  <c r="BI18" i="3"/>
  <c r="BL9" i="3"/>
  <c r="BJ37" i="3"/>
  <c r="BN40" i="3"/>
  <c r="Y28" i="2"/>
  <c r="AA93" i="2"/>
  <c r="BD18" i="3"/>
  <c r="BC12" i="3"/>
  <c r="AA66" i="2"/>
  <c r="Y62" i="2"/>
  <c r="AA58" i="2"/>
  <c r="BA32" i="3"/>
  <c r="BC45" i="3"/>
  <c r="Z35" i="2"/>
  <c r="AA84" i="2"/>
  <c r="AA89" i="2"/>
  <c r="BA8" i="3"/>
  <c r="Y7" i="2"/>
  <c r="BA13" i="3"/>
  <c r="BR40" i="3"/>
  <c r="BS45" i="3"/>
  <c r="BK41" i="3"/>
  <c r="BG16" i="3"/>
  <c r="BI28" i="3"/>
  <c r="BH11" i="3"/>
  <c r="BI6" i="3"/>
  <c r="AA14" i="2"/>
  <c r="Z13" i="2"/>
  <c r="BB32" i="3"/>
  <c r="BB37" i="3"/>
  <c r="Y19" i="2"/>
  <c r="AA50" i="2"/>
  <c r="Y61" i="2"/>
  <c r="BA36" i="3"/>
  <c r="AA88" i="2"/>
  <c r="Y8" i="2"/>
  <c r="AA96" i="2"/>
  <c r="Z99" i="2"/>
  <c r="AV10" i="3"/>
  <c r="AA97" i="2"/>
  <c r="BB35" i="3"/>
  <c r="BD31" i="3"/>
  <c r="Y79" i="2"/>
  <c r="BD40" i="3"/>
  <c r="BD20" i="3"/>
  <c r="FC12" i="4" a="1"/>
  <c r="FC8" i="4" a="1"/>
  <c r="EZ16" i="4" a="1"/>
  <c r="FB6" i="4" a="1"/>
  <c r="EZ9" i="4" a="1"/>
  <c r="Z12" i="2"/>
  <c r="BD8" i="3"/>
  <c r="Y45" i="2"/>
  <c r="BD9" i="3"/>
  <c r="BA21" i="3"/>
  <c r="Z8" i="2"/>
  <c r="BB29" i="3"/>
  <c r="FA8" i="4" a="1"/>
  <c r="FE6" i="4" a="1"/>
  <c r="FF5" i="4" a="1"/>
  <c r="BA37" i="3"/>
  <c r="AA34" i="2"/>
  <c r="BC22" i="3"/>
  <c r="BL7" i="3"/>
  <c r="Y60" i="2"/>
  <c r="Z57" i="2"/>
  <c r="Z105" i="2"/>
  <c r="BA10" i="3"/>
  <c r="Z43" i="2"/>
  <c r="FE14" i="4" a="1"/>
  <c r="BN7" i="3"/>
  <c r="BM35" i="3"/>
  <c r="Y94" i="2"/>
  <c r="BO6" i="3"/>
  <c r="BT27" i="3"/>
  <c r="BH37" i="3"/>
  <c r="BK18" i="3"/>
  <c r="BM38" i="3"/>
  <c r="BT19" i="3"/>
  <c r="BK7" i="3"/>
  <c r="Y64" i="2"/>
  <c r="AA47" i="2"/>
  <c r="BD21" i="3"/>
  <c r="BD29" i="3"/>
  <c r="W6" i="2"/>
  <c r="AA81" i="2"/>
  <c r="Z6" i="2"/>
  <c r="Y47" i="2"/>
  <c r="AA52" i="2"/>
  <c r="Z65" i="2"/>
  <c r="AA67" i="2"/>
  <c r="BC35" i="3"/>
  <c r="EX13" i="4" a="1"/>
  <c r="FD13" i="4" a="1"/>
  <c r="AA16" i="2"/>
  <c r="BC21" i="3"/>
  <c r="Z83" i="2"/>
  <c r="BA25" i="3"/>
  <c r="BP9" i="3"/>
  <c r="BE29" i="3"/>
  <c r="BD32" i="3"/>
  <c r="AA8" i="2"/>
  <c r="BA42" i="3"/>
  <c r="AA23" i="2"/>
  <c r="Z26" i="2"/>
  <c r="Y53" i="2"/>
  <c r="FA13" i="4" a="1"/>
  <c r="EZ6" i="4" a="1"/>
  <c r="BO18" i="3"/>
  <c r="BH17" i="3"/>
  <c r="BI30" i="3"/>
  <c r="AA87" i="2"/>
  <c r="Z61" i="2"/>
  <c r="BA41" i="3"/>
  <c r="Z98" i="2"/>
  <c r="BB8" i="3"/>
  <c r="BA38" i="3"/>
  <c r="EY7" i="4" a="1"/>
  <c r="FC15" i="4" a="1"/>
  <c r="BO9" i="3"/>
  <c r="BP10" i="3"/>
  <c r="BH31" i="3"/>
  <c r="BE21" i="3"/>
  <c r="BL27" i="3"/>
  <c r="BT18" i="3"/>
  <c r="BI14" i="3"/>
  <c r="AA40" i="2"/>
  <c r="Y26" i="2"/>
  <c r="Y35" i="2"/>
  <c r="BB22" i="3"/>
  <c r="Y6" i="2"/>
  <c r="Y49" i="2"/>
  <c r="AA6" i="2"/>
  <c r="AA41" i="2"/>
  <c r="Z92" i="2"/>
  <c r="AA46" i="2"/>
  <c r="BO12" i="3"/>
  <c r="BG26" i="3"/>
  <c r="BT24" i="3"/>
  <c r="BI23" i="3"/>
  <c r="BL29" i="3"/>
  <c r="BP26" i="3"/>
  <c r="BE22" i="3"/>
  <c r="Z66" i="2"/>
  <c r="C4" i="2"/>
  <c r="BB20" i="3"/>
  <c r="BA9" i="3"/>
  <c r="Z47" i="2"/>
  <c r="AA36" i="2"/>
  <c r="Y98" i="2"/>
  <c r="Z68" i="2"/>
  <c r="BA40" i="3"/>
  <c r="AA108" i="2"/>
  <c r="Z10" i="2"/>
  <c r="AA13" i="2"/>
  <c r="AA21" i="2"/>
  <c r="BB12" i="3"/>
  <c r="Y67" i="2"/>
  <c r="BD38" i="3"/>
  <c r="Y69" i="2"/>
  <c r="BA46" i="3"/>
  <c r="Z93" i="2"/>
  <c r="AA57" i="2"/>
  <c r="FF16" i="4" a="1"/>
  <c r="FA15" i="4" a="1"/>
  <c r="FE7" i="4" a="1"/>
  <c r="BO15" i="3"/>
  <c r="Z25" i="2"/>
  <c r="BP60" i="3"/>
  <c r="AA60" i="1" l="1"/>
  <c r="AA201" i="1"/>
  <c r="AA203" i="1" s="1"/>
  <c r="AA62" i="1"/>
  <c r="CL10" i="1"/>
  <c r="CL73" i="1"/>
  <c r="CL261" i="1"/>
  <c r="CL202" i="1"/>
  <c r="CL18" i="1"/>
  <c r="CL239" i="1"/>
  <c r="CL260" i="1"/>
  <c r="CL34" i="1"/>
  <c r="CK30" i="1"/>
  <c r="CK47" i="1"/>
  <c r="CK43" i="1"/>
  <c r="CK55" i="1"/>
  <c r="CK33" i="1"/>
  <c r="CK54" i="1"/>
  <c r="CK29" i="1"/>
  <c r="CK21" i="1"/>
  <c r="CK16" i="1"/>
  <c r="CK8" i="1" s="1"/>
  <c r="CK23" i="1"/>
  <c r="CK40" i="1"/>
  <c r="CK44" i="1"/>
  <c r="CK32" i="1"/>
  <c r="CK28" i="1"/>
  <c r="CK53" i="1"/>
  <c r="CK31" i="1"/>
  <c r="CK22" i="1"/>
  <c r="CK17" i="1"/>
  <c r="AC5" i="1"/>
  <c r="CV4" i="1"/>
  <c r="Z55" i="1"/>
  <c r="CH53" i="1"/>
  <c r="CH23" i="1"/>
  <c r="X134" i="1"/>
  <c r="X162" i="1" s="1"/>
  <c r="Z130" i="1"/>
  <c r="CH130" i="1" s="1"/>
  <c r="CI130" i="1" s="1"/>
  <c r="Z31" i="1"/>
  <c r="Z163" i="1"/>
  <c r="CH163" i="1" s="1"/>
  <c r="CH47" i="1"/>
  <c r="CJ53" i="1"/>
  <c r="CJ17" i="1"/>
  <c r="X75" i="1"/>
  <c r="Y126" i="1"/>
  <c r="X55" i="1"/>
  <c r="Y29" i="1"/>
  <c r="X140" i="1"/>
  <c r="X125" i="1"/>
  <c r="Y125" i="1"/>
  <c r="Y17" i="1"/>
  <c r="Z179" i="1"/>
  <c r="Z86" i="1"/>
  <c r="Y158" i="1"/>
  <c r="Y140" i="1"/>
  <c r="X161" i="1"/>
  <c r="Y127" i="1"/>
  <c r="Y180" i="1"/>
  <c r="CI54" i="1"/>
  <c r="Y168" i="1"/>
  <c r="Z167" i="1"/>
  <c r="CH167" i="1" s="1"/>
  <c r="X33" i="1"/>
  <c r="CH40" i="1"/>
  <c r="CH202" i="1" s="1"/>
  <c r="CJ31" i="1"/>
  <c r="CI55" i="1"/>
  <c r="CJ32" i="1"/>
  <c r="CH43" i="1"/>
  <c r="CG44" i="1"/>
  <c r="X154" i="1"/>
  <c r="Y135" i="1"/>
  <c r="X86" i="1"/>
  <c r="Z44" i="1"/>
  <c r="Z172" i="1"/>
  <c r="CH172" i="1" s="1"/>
  <c r="CI172" i="1" s="1"/>
  <c r="X179" i="1"/>
  <c r="Y54" i="1"/>
  <c r="Z171" i="1"/>
  <c r="CH171" i="1" s="1"/>
  <c r="CI171" i="1" s="1"/>
  <c r="Y159" i="1"/>
  <c r="X159" i="1"/>
  <c r="X40" i="1"/>
  <c r="X202" i="1" s="1"/>
  <c r="Z145" i="1"/>
  <c r="CH145" i="1" s="1"/>
  <c r="CI145" i="1" s="1"/>
  <c r="CH21" i="1"/>
  <c r="CG33" i="1"/>
  <c r="CJ29" i="1"/>
  <c r="Y40" i="1"/>
  <c r="Y202" i="1" s="1"/>
  <c r="Y148" i="1"/>
  <c r="Z127" i="1"/>
  <c r="CH127" i="1" s="1"/>
  <c r="CJ22" i="1"/>
  <c r="CG53" i="1"/>
  <c r="CG43" i="1"/>
  <c r="CI16" i="1"/>
  <c r="CG21" i="1"/>
  <c r="CG30" i="1"/>
  <c r="CH54" i="1"/>
  <c r="CH16" i="1"/>
  <c r="CH59" i="1"/>
  <c r="CG23" i="1"/>
  <c r="CJ44" i="1"/>
  <c r="CI53" i="1"/>
  <c r="CJ28" i="1"/>
  <c r="CN28" i="1" s="1"/>
  <c r="CR28" i="1" s="1"/>
  <c r="CV28" i="1" s="1"/>
  <c r="CZ28" i="1" s="1"/>
  <c r="X143" i="1"/>
  <c r="X139" i="1" s="1"/>
  <c r="Y134" i="1"/>
  <c r="Y162" i="1" s="1"/>
  <c r="Z43" i="1"/>
  <c r="AG44" i="1" s="1"/>
  <c r="Y53" i="1"/>
  <c r="X145" i="1"/>
  <c r="Y172" i="1"/>
  <c r="X17" i="1"/>
  <c r="X180" i="1"/>
  <c r="Z40" i="1"/>
  <c r="X135" i="1"/>
  <c r="X133" i="1"/>
  <c r="CI43" i="1"/>
  <c r="CH22" i="1"/>
  <c r="CI30" i="1"/>
  <c r="CH55" i="1"/>
  <c r="CJ72" i="1"/>
  <c r="CI72" i="1" s="1"/>
  <c r="CH72" i="1" s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CG31" i="1"/>
  <c r="CJ40" i="1"/>
  <c r="CG22" i="1"/>
  <c r="Z54" i="1"/>
  <c r="Z159" i="1"/>
  <c r="CH159" i="1" s="1"/>
  <c r="X47" i="1"/>
  <c r="Z53" i="1"/>
  <c r="X153" i="1"/>
  <c r="Y130" i="1"/>
  <c r="X163" i="1"/>
  <c r="Z32" i="1"/>
  <c r="X130" i="1"/>
  <c r="Z141" i="1"/>
  <c r="CH141" i="1" s="1"/>
  <c r="CI141" i="1" s="1"/>
  <c r="Z148" i="1"/>
  <c r="Z23" i="1"/>
  <c r="X21" i="1"/>
  <c r="Y85" i="1"/>
  <c r="Y178" i="1"/>
  <c r="Z178" i="1"/>
  <c r="X132" i="1"/>
  <c r="Y59" i="1"/>
  <c r="Y33" i="1"/>
  <c r="Y167" i="1"/>
  <c r="Z126" i="1"/>
  <c r="CH126" i="1" s="1"/>
  <c r="CI126" i="1" s="1"/>
  <c r="Y43" i="1"/>
  <c r="Y163" i="1"/>
  <c r="Z87" i="1"/>
  <c r="Z151" i="1"/>
  <c r="CH151" i="1" s="1"/>
  <c r="Z135" i="1"/>
  <c r="CH135" i="1" s="1"/>
  <c r="CI135" i="1" s="1"/>
  <c r="Y151" i="1"/>
  <c r="Y16" i="1"/>
  <c r="Y8" i="1" s="1"/>
  <c r="CG54" i="1"/>
  <c r="CJ71" i="1"/>
  <c r="CI71" i="1" s="1"/>
  <c r="CH71" i="1" s="1"/>
  <c r="CG71" i="1" s="1"/>
  <c r="CF71" i="1" s="1"/>
  <c r="CE71" i="1" s="1"/>
  <c r="CD71" i="1" s="1"/>
  <c r="CC71" i="1" s="1"/>
  <c r="CB71" i="1" s="1"/>
  <c r="CA71" i="1" s="1"/>
  <c r="BZ71" i="1" s="1"/>
  <c r="BY71" i="1" s="1"/>
  <c r="BX71" i="1" s="1"/>
  <c r="BW71" i="1" s="1"/>
  <c r="BV71" i="1" s="1"/>
  <c r="BU71" i="1" s="1"/>
  <c r="BT71" i="1" s="1"/>
  <c r="BS71" i="1" s="1"/>
  <c r="BR71" i="1" s="1"/>
  <c r="BQ71" i="1" s="1"/>
  <c r="BP71" i="1" s="1"/>
  <c r="BO71" i="1" s="1"/>
  <c r="BN71" i="1" s="1"/>
  <c r="BM71" i="1" s="1"/>
  <c r="BL71" i="1" s="1"/>
  <c r="BK71" i="1" s="1"/>
  <c r="BJ71" i="1" s="1"/>
  <c r="BI71" i="1" s="1"/>
  <c r="BH71" i="1" s="1"/>
  <c r="BG71" i="1" s="1"/>
  <c r="BF71" i="1" s="1"/>
  <c r="BE71" i="1" s="1"/>
  <c r="BD71" i="1" s="1"/>
  <c r="BC71" i="1" s="1"/>
  <c r="BB71" i="1" s="1"/>
  <c r="BA71" i="1" s="1"/>
  <c r="AZ71" i="1" s="1"/>
  <c r="AY71" i="1" s="1"/>
  <c r="AX71" i="1" s="1"/>
  <c r="AW71" i="1" s="1"/>
  <c r="AV71" i="1" s="1"/>
  <c r="AU71" i="1" s="1"/>
  <c r="AT71" i="1" s="1"/>
  <c r="AS71" i="1" s="1"/>
  <c r="AR71" i="1" s="1"/>
  <c r="AQ71" i="1" s="1"/>
  <c r="AP71" i="1" s="1"/>
  <c r="AO71" i="1" s="1"/>
  <c r="AN71" i="1" s="1"/>
  <c r="AM71" i="1" s="1"/>
  <c r="AL71" i="1" s="1"/>
  <c r="AK71" i="1" s="1"/>
  <c r="AJ71" i="1" s="1"/>
  <c r="AI71" i="1" s="1"/>
  <c r="CH33" i="1"/>
  <c r="CH30" i="1"/>
  <c r="CJ54" i="1"/>
  <c r="CG40" i="1"/>
  <c r="CI59" i="1"/>
  <c r="CI47" i="1"/>
  <c r="CG59" i="1"/>
  <c r="CH31" i="1"/>
  <c r="CJ16" i="1"/>
  <c r="CJ8" i="1" s="1"/>
  <c r="CI31" i="1"/>
  <c r="CJ23" i="1"/>
  <c r="CJ21" i="1"/>
  <c r="CJ9" i="1" s="1"/>
  <c r="CG16" i="1"/>
  <c r="CG8" i="1" s="1"/>
  <c r="CI29" i="1"/>
  <c r="CH28" i="1"/>
  <c r="CP28" i="1" s="1"/>
  <c r="CT28" i="1" s="1"/>
  <c r="CX28" i="1" s="1"/>
  <c r="DB28" i="1" s="1"/>
  <c r="CI40" i="1"/>
  <c r="CI202" i="1" s="1"/>
  <c r="CG32" i="1"/>
  <c r="X168" i="1"/>
  <c r="Y144" i="1"/>
  <c r="Y31" i="1"/>
  <c r="Z125" i="1"/>
  <c r="X44" i="1"/>
  <c r="Y143" i="1"/>
  <c r="Y139" i="1" s="1"/>
  <c r="Y55" i="1"/>
  <c r="Y23" i="1"/>
  <c r="X148" i="1"/>
  <c r="Y30" i="1"/>
  <c r="X31" i="1"/>
  <c r="X157" i="1"/>
  <c r="X85" i="1"/>
  <c r="Y155" i="1"/>
  <c r="Y179" i="1"/>
  <c r="Z152" i="1"/>
  <c r="Z140" i="1"/>
  <c r="CH140" i="1" s="1"/>
  <c r="Y154" i="1"/>
  <c r="Z21" i="1"/>
  <c r="Z16" i="1"/>
  <c r="Z8" i="1" s="1"/>
  <c r="Y153" i="1"/>
  <c r="Z59" i="1"/>
  <c r="Z157" i="1"/>
  <c r="CH157" i="1" s="1"/>
  <c r="Z143" i="1"/>
  <c r="Y21" i="1"/>
  <c r="Y9" i="1" s="1"/>
  <c r="Y171" i="1"/>
  <c r="X54" i="1"/>
  <c r="X155" i="1"/>
  <c r="Z154" i="1"/>
  <c r="CH154" i="1" s="1"/>
  <c r="Z47" i="1"/>
  <c r="Y28" i="1"/>
  <c r="X171" i="1"/>
  <c r="Z133" i="1"/>
  <c r="CH133" i="1" s="1"/>
  <c r="CI133" i="1" s="1"/>
  <c r="X87" i="1"/>
  <c r="X30" i="1"/>
  <c r="X126" i="1"/>
  <c r="Y75" i="1"/>
  <c r="Z85" i="1"/>
  <c r="X29" i="1"/>
  <c r="X127" i="1"/>
  <c r="Y86" i="1"/>
  <c r="Z134" i="1"/>
  <c r="CH134" i="1" s="1"/>
  <c r="CI134" i="1" s="1"/>
  <c r="Y44" i="1"/>
  <c r="Y132" i="1"/>
  <c r="X16" i="1"/>
  <c r="X239" i="1" s="1"/>
  <c r="CI32" i="1"/>
  <c r="CJ47" i="1"/>
  <c r="CH32" i="1"/>
  <c r="CI22" i="1"/>
  <c r="CJ43" i="1"/>
  <c r="CI23" i="1"/>
  <c r="CI21" i="1"/>
  <c r="CG47" i="1"/>
  <c r="CG28" i="1"/>
  <c r="CH44" i="1"/>
  <c r="CI44" i="1"/>
  <c r="CI28" i="1"/>
  <c r="CM28" i="1" s="1"/>
  <c r="CQ28" i="1" s="1"/>
  <c r="CU28" i="1" s="1"/>
  <c r="CY28" i="1" s="1"/>
  <c r="CJ30" i="1"/>
  <c r="CJ33" i="1"/>
  <c r="CH29" i="1"/>
  <c r="CE47" i="1"/>
  <c r="CG55" i="1"/>
  <c r="CJ55" i="1"/>
  <c r="CG17" i="1"/>
  <c r="CG29" i="1"/>
  <c r="CI33" i="1"/>
  <c r="CJ59" i="1"/>
  <c r="CH17" i="1"/>
  <c r="CI17" i="1"/>
  <c r="Y150" i="1"/>
  <c r="X59" i="1"/>
  <c r="Z132" i="1"/>
  <c r="CH132" i="1" s="1"/>
  <c r="CI132" i="1" s="1"/>
  <c r="Y141" i="1"/>
  <c r="Y32" i="1"/>
  <c r="X53" i="1"/>
  <c r="Z180" i="1"/>
  <c r="X23" i="1"/>
  <c r="Y157" i="1"/>
  <c r="Z168" i="1"/>
  <c r="CH168" i="1" s="1"/>
  <c r="X150" i="1"/>
  <c r="Y161" i="1"/>
  <c r="Y47" i="1"/>
  <c r="Z17" i="1"/>
  <c r="Z158" i="1"/>
  <c r="CH158" i="1" s="1"/>
  <c r="Y87" i="1"/>
  <c r="X43" i="1"/>
  <c r="X144" i="1"/>
  <c r="Z144" i="1"/>
  <c r="CH144" i="1" s="1"/>
  <c r="CI144" i="1" s="1"/>
  <c r="Z155" i="1"/>
  <c r="CH155" i="1" s="1"/>
  <c r="X141" i="1"/>
  <c r="Z28" i="1"/>
  <c r="Z153" i="1"/>
  <c r="CH153" i="1" s="1"/>
  <c r="Z150" i="1"/>
  <c r="CH150" i="1" s="1"/>
  <c r="X167" i="1"/>
  <c r="X158" i="1"/>
  <c r="Y133" i="1"/>
  <c r="Z29" i="1"/>
  <c r="Z30" i="1"/>
  <c r="Z75" i="1"/>
  <c r="Z33" i="1"/>
  <c r="X152" i="1"/>
  <c r="Y145" i="1"/>
  <c r="Y152" i="1"/>
  <c r="X172" i="1"/>
  <c r="X32" i="1"/>
  <c r="X28" i="1"/>
  <c r="Z161" i="1"/>
  <c r="CH161" i="1" s="1"/>
  <c r="X151" i="1"/>
  <c r="X178" i="1"/>
  <c r="JP9" i="4" s="1"/>
  <c r="JP16" i="4" s="1"/>
  <c r="JO16" i="4" s="1"/>
  <c r="JO9" i="4" s="1"/>
  <c r="JN9" i="4" s="1"/>
  <c r="JN16" i="4" s="1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4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G63" i="3"/>
  <c r="BA48" i="3"/>
  <c r="BK84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3" i="1" s="1"/>
  <c r="BB92" i="3"/>
  <c r="BB85" i="3"/>
  <c r="BB89" i="3"/>
  <c r="BG93" i="3"/>
  <c r="BH76" i="3"/>
  <c r="BF90" i="3"/>
  <c r="CL134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3" i="1" s="1"/>
  <c r="BF85" i="3"/>
  <c r="CL155" i="1" s="1"/>
  <c r="BQ74" i="3"/>
  <c r="BQ83" i="3"/>
  <c r="BU87" i="3"/>
  <c r="BR57" i="3"/>
  <c r="BV83" i="3"/>
  <c r="BT91" i="3"/>
  <c r="BO63" i="3"/>
  <c r="BO50" i="3"/>
  <c r="BO87" i="3"/>
  <c r="BS8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0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U58" i="3"/>
  <c r="BK70" i="3"/>
  <c r="BF87" i="3"/>
  <c r="CL160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2" i="1" s="1"/>
  <c r="BU66" i="3"/>
  <c r="BP67" i="3"/>
  <c r="BF79" i="3"/>
  <c r="CL151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2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26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V48" i="3"/>
  <c r="BP57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0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P92" i="3"/>
  <c r="BP5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1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41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2" i="1" s="1"/>
  <c r="CL187" i="1" s="1"/>
  <c r="Y111" i="2"/>
  <c r="BO83" i="3"/>
  <c r="BS81" i="3"/>
  <c r="BG48" i="3"/>
  <c r="BL73" i="3"/>
  <c r="BE69" i="3"/>
  <c r="BI87" i="3"/>
  <c r="BM63" i="3"/>
  <c r="BF56" i="3"/>
  <c r="CL125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BH59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1" i="1" s="1"/>
  <c r="CL191" i="1" s="1"/>
  <c r="BF66" i="3"/>
  <c r="CL159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82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GG14" i="4" a="1"/>
  <c r="FQ9" i="4" a="1"/>
  <c r="HA13" i="4" a="1"/>
  <c r="GF15" i="4" a="1"/>
  <c r="HD15" i="4" a="1"/>
  <c r="FZ16" i="4" a="1"/>
  <c r="GX16" i="4" a="1"/>
  <c r="GY14" i="4" a="1"/>
  <c r="FN12" i="4" a="1"/>
  <c r="HB14" i="4" a="1"/>
  <c r="BT49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7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8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H70" i="3"/>
  <c r="BG77" i="3"/>
  <c r="BH58" i="3"/>
  <c r="BL79" i="3"/>
  <c r="BF47" i="3"/>
  <c r="BU76" i="3"/>
  <c r="BT90" i="3"/>
  <c r="BO90" i="3"/>
  <c r="BS57" i="3"/>
  <c r="BU91" i="3"/>
  <c r="BR60" i="3"/>
  <c r="BV54" i="3"/>
  <c r="BV55" i="3"/>
  <c r="BT78" i="3"/>
  <c r="BN95" i="3"/>
  <c r="BN72" i="3"/>
  <c r="BF55" i="3"/>
  <c r="BS62" i="3"/>
  <c r="BH97" i="3"/>
  <c r="BE81" i="3"/>
  <c r="BM87" i="3"/>
  <c r="BJ47" i="3"/>
  <c r="BJ92" i="3"/>
  <c r="BK81" i="3"/>
  <c r="BK86" i="3"/>
  <c r="BK89" i="3"/>
  <c r="GR5" i="4" a="1"/>
  <c r="GH6" i="4" a="1"/>
  <c r="GA13" i="4" a="1"/>
  <c r="HD6" i="4" a="1"/>
  <c r="GX6" i="4" a="1"/>
  <c r="HG13" i="4" a="1"/>
  <c r="GI6" i="4" a="1"/>
  <c r="GN8" i="4" a="1"/>
  <c r="GP8" i="4" a="1"/>
  <c r="HD7" i="4" a="1"/>
  <c r="FX11" i="4" a="1"/>
  <c r="FN5" i="4" a="1"/>
  <c r="GR6" i="4" a="1"/>
  <c r="GZ12" i="4" a="1"/>
  <c r="FL8" i="4" a="1"/>
  <c r="GJ8" i="4" a="1"/>
  <c r="FR8" i="4" a="1"/>
  <c r="FG12" i="4" a="1"/>
  <c r="GB13" i="4" a="1"/>
  <c r="GF9" i="4" a="1"/>
  <c r="GV12" i="4" a="1"/>
  <c r="HC13" i="4" a="1"/>
  <c r="HH14" i="4" a="1"/>
  <c r="FJ14" i="4" a="1"/>
  <c r="GL15" i="4" a="1"/>
  <c r="FL16" i="4" a="1"/>
  <c r="GN16" i="4" a="1"/>
  <c r="FH13" i="4" a="1"/>
  <c r="GJ11" i="4" a="1"/>
  <c r="GQ14" i="4" a="1"/>
  <c r="GI14" i="4" a="1"/>
  <c r="GL12" i="4" a="1"/>
  <c r="HC14" i="4" a="1"/>
  <c r="GU15" i="4" a="1"/>
  <c r="FQ16" i="4" a="1"/>
  <c r="GO16" i="4" a="1"/>
  <c r="GY9" i="4" a="1"/>
  <c r="BC95" i="3"/>
  <c r="BD97" i="3"/>
  <c r="HD5" i="4" a="1"/>
  <c r="HH5" i="4" a="1"/>
  <c r="FN9" i="4" a="1"/>
  <c r="GI11" i="4" a="1"/>
  <c r="HF13" i="4" a="1"/>
  <c r="FO6" i="4" a="1"/>
  <c r="FN16" i="4" a="1"/>
  <c r="BC71" i="3"/>
  <c r="BH68" i="3"/>
  <c r="BH50" i="3"/>
  <c r="BE63" i="3"/>
  <c r="BF59" i="3"/>
  <c r="BR65" i="3"/>
  <c r="BN78" i="3"/>
  <c r="BS48" i="3"/>
  <c r="BS56" i="3"/>
  <c r="BU92" i="3"/>
  <c r="BR75" i="3"/>
  <c r="BV57" i="3"/>
  <c r="BV70" i="3"/>
  <c r="BT79" i="3"/>
  <c r="BN59" i="3"/>
  <c r="BN63" i="3"/>
  <c r="BF48" i="3"/>
  <c r="BS66" i="3"/>
  <c r="BH93" i="3"/>
  <c r="BI63" i="3"/>
  <c r="BM58" i="3"/>
  <c r="BJ58" i="3"/>
  <c r="BJ94" i="3"/>
  <c r="BK55" i="3"/>
  <c r="BK90" i="3"/>
  <c r="FK15" i="4" a="1"/>
  <c r="FN6" i="4" a="1"/>
  <c r="GZ8" i="4" a="1"/>
  <c r="GQ13" i="4" a="1"/>
  <c r="FS6" i="4" a="1"/>
  <c r="GR7" i="4" a="1"/>
  <c r="GO7" i="4" a="1"/>
  <c r="HB6" i="4" a="1"/>
  <c r="FJ11" i="4" a="1"/>
  <c r="GO9" i="4" a="1"/>
  <c r="GP5" i="4" a="1"/>
  <c r="GN14" i="4" a="1"/>
  <c r="GG13" i="4" a="1"/>
  <c r="GN15" i="4" a="1"/>
  <c r="GP16" i="4" a="1"/>
  <c r="HG14" i="4" a="1"/>
  <c r="FN15" i="4" a="1"/>
  <c r="GW15" i="4" a="1"/>
  <c r="FS16" i="4" a="1"/>
  <c r="GQ16" i="4" a="1"/>
  <c r="GC11" i="4" a="1"/>
  <c r="BC59" i="3"/>
  <c r="BC97" i="3"/>
  <c r="BR61" i="3"/>
  <c r="BF88" i="3"/>
  <c r="CL135" i="1" s="1"/>
  <c r="BH80" i="3"/>
  <c r="BE72" i="3"/>
  <c r="BF82" i="3"/>
  <c r="CL153" i="1" s="1"/>
  <c r="CL188" i="1" s="1"/>
  <c r="BR63" i="3"/>
  <c r="BO55" i="3"/>
  <c r="BS85" i="3"/>
  <c r="BS50" i="3"/>
  <c r="BU93" i="3"/>
  <c r="BR47" i="3"/>
  <c r="BV95" i="3"/>
  <c r="BV69" i="3"/>
  <c r="BT81" i="3"/>
  <c r="BN80" i="3"/>
  <c r="BN69" i="3"/>
  <c r="BF75" i="3"/>
  <c r="BS67" i="3"/>
  <c r="BH91" i="3"/>
  <c r="BI65" i="3"/>
  <c r="BF68" i="3"/>
  <c r="CL142" i="1" s="1"/>
  <c r="BJ66" i="3"/>
  <c r="BJ50" i="3"/>
  <c r="BK88" i="3"/>
  <c r="BK57" i="3"/>
  <c r="GE15" i="4" a="1"/>
  <c r="GL6" i="4" a="1"/>
  <c r="FR9" i="4" a="1"/>
  <c r="FH14" i="4" a="1"/>
  <c r="GQ6" i="4" a="1"/>
  <c r="FT8" i="4" a="1"/>
  <c r="GX8" i="4" a="1"/>
  <c r="FX7" i="4" a="1"/>
  <c r="FV11" i="4" a="1"/>
  <c r="FI5" i="4" a="1"/>
  <c r="FL6" i="4" a="1"/>
  <c r="GU6" i="4" a="1"/>
  <c r="FG7" i="4" a="1"/>
  <c r="FO9" i="4" a="1"/>
  <c r="FJ15" i="4" a="1"/>
  <c r="GA6" i="4" a="1"/>
  <c r="FT11" i="4" a="1"/>
  <c r="GW9" i="4" a="1"/>
  <c r="FZ12" i="4" a="1"/>
  <c r="GJ13" i="4" a="1"/>
  <c r="GL11" i="4" a="1"/>
  <c r="HD12" i="4" a="1"/>
  <c r="FI14" i="4" a="1"/>
  <c r="FY7" i="4" a="1"/>
  <c r="FZ14" i="4" a="1"/>
  <c r="GP15" i="4" a="1"/>
  <c r="FP16" i="4" a="1"/>
  <c r="GR16" i="4" a="1"/>
  <c r="GD14" i="4" a="1"/>
  <c r="GI12" i="4" a="1"/>
  <c r="FI15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C48" i="3"/>
  <c r="GX9" i="4" a="1"/>
  <c r="GP9" i="4" a="1"/>
  <c r="GO6" i="4" a="1"/>
  <c r="GR13" i="4" a="1"/>
  <c r="FQ14" i="4" a="1"/>
  <c r="HC9" i="4" a="1"/>
  <c r="GT15" i="4" a="1"/>
  <c r="FT16" i="4" a="1"/>
  <c r="GZ16" i="4" a="1"/>
  <c r="GP6" i="4" a="1"/>
  <c r="FM13" i="4" a="1"/>
  <c r="GN13" i="4" a="1"/>
  <c r="BD91" i="3"/>
  <c r="BP95" i="3"/>
  <c r="FO7" i="4" a="1"/>
  <c r="FK5" i="4" a="1"/>
  <c r="GN5" i="4" a="1"/>
  <c r="FS9" i="4" a="1"/>
  <c r="GP12" i="4" a="1"/>
  <c r="FM12" i="4" a="1"/>
  <c r="GJ14" i="4" a="1"/>
  <c r="HF14" i="4" a="1"/>
  <c r="GB16" i="4" a="1"/>
  <c r="FV8" i="4" a="1"/>
  <c r="GA15" i="4" a="1"/>
  <c r="GU9" i="4" a="1"/>
  <c r="HG15" i="4" a="1"/>
  <c r="BC84" i="3"/>
  <c r="BD84" i="3"/>
  <c r="HH13" i="4" a="1"/>
  <c r="GK15" i="4" a="1"/>
  <c r="GE16" i="4" a="1"/>
  <c r="HC16" i="4" a="1"/>
  <c r="BC83" i="3"/>
  <c r="BN84" i="3"/>
  <c r="BD49" i="3"/>
  <c r="BH82" i="3"/>
  <c r="BE80" i="3"/>
  <c r="BF93" i="3"/>
  <c r="BR54" i="3"/>
  <c r="BO59" i="3"/>
  <c r="BS73" i="3"/>
  <c r="BF97" i="3"/>
  <c r="BU95" i="3"/>
  <c r="BR85" i="3"/>
  <c r="BV67" i="3"/>
  <c r="BV73" i="3"/>
  <c r="BT65" i="3"/>
  <c r="BN54" i="3"/>
  <c r="BN81" i="3"/>
  <c r="AA111" i="2"/>
  <c r="BS74" i="3"/>
  <c r="BL54" i="3"/>
  <c r="BI71" i="3"/>
  <c r="BF74" i="3"/>
  <c r="CL145" i="1" s="1"/>
  <c r="BJ68" i="3"/>
  <c r="BJ57" i="3"/>
  <c r="BK83" i="3"/>
  <c r="BK94" i="3"/>
  <c r="FM5" i="4" a="1"/>
  <c r="FU7" i="4" a="1"/>
  <c r="GH9" i="4" a="1"/>
  <c r="HA14" i="4" a="1"/>
  <c r="HG6" i="4" a="1"/>
  <c r="FM9" i="4" a="1"/>
  <c r="GS9" i="4" a="1"/>
  <c r="FQ8" i="4" a="1"/>
  <c r="GS5" i="4" a="1"/>
  <c r="GI5" i="4" a="1"/>
  <c r="FR6" i="4" a="1"/>
  <c r="GM11" i="4" a="1"/>
  <c r="FZ7" i="4" a="1"/>
  <c r="GG7" i="4" a="1"/>
  <c r="GE6" i="4" a="1"/>
  <c r="GN7" i="4" a="1"/>
  <c r="GD11" i="4" a="1"/>
  <c r="FG11" i="4" a="1"/>
  <c r="GE12" i="4" a="1"/>
  <c r="GO13" i="4" a="1"/>
  <c r="HB11" i="4" a="1"/>
  <c r="FG13" i="4" a="1"/>
  <c r="FL14" i="4" a="1"/>
  <c r="GL9" i="4" a="1"/>
  <c r="GE14" i="4" a="1"/>
  <c r="GR15" i="4" a="1"/>
  <c r="FR16" i="4" a="1"/>
  <c r="GT16" i="4" a="1"/>
  <c r="FV15" i="4" a="1"/>
  <c r="GT12" i="4" a="1"/>
  <c r="FM15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Y113" i="2"/>
  <c r="FR15" i="4" a="1"/>
  <c r="GC7" i="4" a="1"/>
  <c r="FG5" i="4" a="1"/>
  <c r="GC8" i="4" a="1"/>
  <c r="GK5" i="4" a="1"/>
  <c r="FT5" i="4" a="1"/>
  <c r="FK7" i="4" a="1"/>
  <c r="FI12" i="4" a="1"/>
  <c r="HC7" i="4" a="1"/>
  <c r="FX8" i="4" a="1"/>
  <c r="FZ8" i="4" a="1"/>
  <c r="FJ8" i="4" a="1"/>
  <c r="FK11" i="4" a="1"/>
  <c r="GH12" i="4" a="1"/>
  <c r="HG11" i="4" a="1"/>
  <c r="FJ13" i="4" a="1"/>
  <c r="GV13" i="4" a="1"/>
  <c r="HC15" i="4" a="1"/>
  <c r="FY16" i="4" a="1"/>
  <c r="GW16" i="4" a="1"/>
  <c r="BC86" i="3"/>
  <c r="BD68" i="3"/>
  <c r="BB93" i="3"/>
  <c r="BO85" i="3"/>
  <c r="FW9" i="4" a="1"/>
  <c r="FN11" i="4" a="1"/>
  <c r="GE11" i="4" a="1"/>
  <c r="GI7" i="4" a="1"/>
  <c r="FR13" i="4" a="1"/>
  <c r="GG11" i="4" a="1"/>
  <c r="GX15" i="4" a="1"/>
  <c r="GS13" i="4" a="1"/>
  <c r="GI15" i="4" a="1"/>
  <c r="GC16" i="4" a="1"/>
  <c r="HA16" i="4" a="1"/>
  <c r="BC69" i="3"/>
  <c r="BD58" i="3"/>
  <c r="BD95" i="3"/>
  <c r="Z112" i="2"/>
  <c r="BG78" i="3"/>
  <c r="BU54" i="3"/>
  <c r="BL83" i="3"/>
  <c r="BE68" i="3"/>
  <c r="BQ89" i="3"/>
  <c r="BV64" i="3"/>
  <c r="BO66" i="3"/>
  <c r="BS68" i="3"/>
  <c r="BU62" i="3"/>
  <c r="BU64" i="3"/>
  <c r="BR69" i="3"/>
  <c r="BV84" i="3"/>
  <c r="BT58" i="3"/>
  <c r="BT60" i="3"/>
  <c r="BN90" i="3"/>
  <c r="BP54" i="3"/>
  <c r="BO69" i="3"/>
  <c r="BS49" i="3"/>
  <c r="BL95" i="3"/>
  <c r="BI56" i="3"/>
  <c r="BF58" i="3"/>
  <c r="CL127" i="1" s="1"/>
  <c r="BJ80" i="3"/>
  <c r="BJ63" i="3"/>
  <c r="BK75" i="3"/>
  <c r="BK56" i="3"/>
  <c r="FS5" i="4" a="1"/>
  <c r="GS7" i="4" a="1"/>
  <c r="GP14" i="4" a="1"/>
  <c r="FT15" i="4" a="1"/>
  <c r="GD8" i="4" a="1"/>
  <c r="GB15" i="4" a="1"/>
  <c r="BC63" i="3"/>
  <c r="BD47" i="3"/>
  <c r="BE79" i="3"/>
  <c r="BK65" i="3"/>
  <c r="GM5" i="4" a="1"/>
  <c r="FO5" i="4" a="1"/>
  <c r="FS8" i="4" a="1"/>
  <c r="GG5" i="4" a="1"/>
  <c r="GH11" i="4" a="1"/>
  <c r="FX14" i="4" a="1"/>
  <c r="FV6" i="4" a="1"/>
  <c r="HD16" i="4" a="1"/>
  <c r="FG14" i="4" a="1"/>
  <c r="BC55" i="3"/>
  <c r="GO14" i="4" a="1"/>
  <c r="GR11" i="4" a="1"/>
  <c r="FL15" i="4" a="1"/>
  <c r="GD16" i="4" a="1"/>
  <c r="GD15" i="4" a="1"/>
  <c r="FR14" i="4" a="1"/>
  <c r="BC74" i="3"/>
  <c r="BD72" i="3"/>
  <c r="BD90" i="3"/>
  <c r="BG65" i="3"/>
  <c r="BI73" i="3"/>
  <c r="BL64" i="3"/>
  <c r="BE70" i="3"/>
  <c r="BQ72" i="3"/>
  <c r="BV75" i="3"/>
  <c r="BO75" i="3"/>
  <c r="BS59" i="3"/>
  <c r="BU71" i="3"/>
  <c r="BU70" i="3"/>
  <c r="BR96" i="3"/>
  <c r="BV80" i="3"/>
  <c r="BT59" i="3"/>
  <c r="BT62" i="3"/>
  <c r="BN48" i="3"/>
  <c r="BP69" i="3"/>
  <c r="BO54" i="3"/>
  <c r="BS54" i="3"/>
  <c r="BE47" i="3"/>
  <c r="BI79" i="3"/>
  <c r="BF64" i="3"/>
  <c r="CL157" i="1" s="1"/>
  <c r="BJ96" i="3"/>
  <c r="BJ65" i="3"/>
  <c r="BK59" i="3"/>
  <c r="BK49" i="3"/>
  <c r="GC5" i="4" a="1"/>
  <c r="GU8" i="4" a="1"/>
  <c r="HH9" i="4" a="1"/>
  <c r="HA9" i="4" a="1"/>
  <c r="HA7" i="4" a="1"/>
  <c r="GJ6" i="4" a="1"/>
  <c r="FU5" i="4" a="1"/>
  <c r="FQ6" i="4" a="1"/>
  <c r="FH8" i="4" a="1"/>
  <c r="GV6" i="4" a="1"/>
  <c r="HG7" i="4" a="1"/>
  <c r="HB13" i="4" a="1"/>
  <c r="GZ5" i="4" a="1"/>
  <c r="HD9" i="4" a="1"/>
  <c r="GD9" i="4" a="1"/>
  <c r="HF5" i="4" a="1"/>
  <c r="FS7" i="4" a="1"/>
  <c r="GA11" i="4" a="1"/>
  <c r="GM12" i="4" a="1"/>
  <c r="GW13" i="4" a="1"/>
  <c r="FH12" i="4" a="1"/>
  <c r="FO13" i="4" a="1"/>
  <c r="FT14" i="4" a="1"/>
  <c r="FQ11" i="4" a="1"/>
  <c r="GU14" i="4" a="1"/>
  <c r="GV15" i="4" a="1"/>
  <c r="FV16" i="4" a="1"/>
  <c r="HB16" i="4" a="1"/>
  <c r="GJ7" i="4" a="1"/>
  <c r="FX13" i="4" a="1"/>
  <c r="FX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A65" i="3"/>
  <c r="BE56" i="3"/>
  <c r="BI97" i="3"/>
  <c r="BL93" i="3"/>
  <c r="BE88" i="3"/>
  <c r="BQ63" i="3"/>
  <c r="BV81" i="3"/>
  <c r="BO89" i="3"/>
  <c r="BS47" i="3"/>
  <c r="BU67" i="3"/>
  <c r="BR81" i="3"/>
  <c r="BR90" i="3"/>
  <c r="BV76" i="3"/>
  <c r="BT67" i="3"/>
  <c r="BT89" i="3"/>
  <c r="BN58" i="3"/>
  <c r="BS94" i="3"/>
  <c r="BI77" i="3"/>
  <c r="BF62" i="3"/>
  <c r="CL132" i="1" s="1"/>
  <c r="BJ95" i="3"/>
  <c r="BJ75" i="3"/>
  <c r="BK67" i="3"/>
  <c r="FL5" i="4" a="1"/>
  <c r="FR11" i="4" a="1"/>
  <c r="GD7" i="4" a="1"/>
  <c r="GB6" i="4" a="1"/>
  <c r="HF16" i="4" a="1"/>
  <c r="FG16" i="4" a="1"/>
  <c r="BC54" i="3"/>
  <c r="BD67" i="3"/>
  <c r="BM59" i="3"/>
  <c r="BB57" i="3"/>
  <c r="BL78" i="3"/>
  <c r="BI68" i="3"/>
  <c r="BQ90" i="3"/>
  <c r="BV60" i="3"/>
  <c r="BO94" i="3"/>
  <c r="BS77" i="3"/>
  <c r="BU69" i="3"/>
  <c r="BR88" i="3"/>
  <c r="BR94" i="3"/>
  <c r="BV58" i="3"/>
  <c r="BT72" i="3"/>
  <c r="BT48" i="3"/>
  <c r="BN60" i="3"/>
  <c r="BP90" i="3"/>
  <c r="BO56" i="3"/>
  <c r="BS58" i="3"/>
  <c r="BE54" i="3"/>
  <c r="BI50" i="3"/>
  <c r="BF96" i="3"/>
  <c r="CL171" i="1" s="1"/>
  <c r="BJ89" i="3"/>
  <c r="BJ77" i="3"/>
  <c r="BK48" i="3"/>
  <c r="BK97" i="3"/>
  <c r="GB5" i="4" a="1"/>
  <c r="FI6" i="4" a="1"/>
  <c r="FW6" i="4" a="1"/>
  <c r="GA5" i="4" a="1"/>
  <c r="GQ8" i="4" a="1"/>
  <c r="FX9" i="4" a="1"/>
  <c r="GL5" i="4" a="1"/>
  <c r="FV7" i="4" a="1"/>
  <c r="GB12" i="4" a="1"/>
  <c r="GP7" i="4" a="1"/>
  <c r="HC6" i="4" a="1"/>
  <c r="GV14" i="4" a="1"/>
  <c r="FM7" i="4" a="1"/>
  <c r="GF11" i="4" a="1"/>
  <c r="FJ5" i="4" a="1"/>
  <c r="GW6" i="4" a="1"/>
  <c r="FL12" i="4" a="1"/>
  <c r="GK11" i="4" a="1"/>
  <c r="GX12" i="4" a="1"/>
  <c r="GT7" i="4" a="1"/>
  <c r="FP12" i="4" a="1"/>
  <c r="FW13" i="4" a="1"/>
  <c r="GZ15" i="4" a="1"/>
  <c r="HB8" i="4" a="1"/>
  <c r="FI11" i="4" a="1"/>
  <c r="BF83" i="3"/>
  <c r="CL168" i="1" s="1"/>
  <c r="BA74" i="3"/>
  <c r="BL80" i="3"/>
  <c r="BI47" i="3"/>
  <c r="BQ81" i="3"/>
  <c r="BV85" i="3"/>
  <c r="BO57" i="3"/>
  <c r="BS97" i="3"/>
  <c r="BU82" i="3"/>
  <c r="BR86" i="3"/>
  <c r="BR97" i="3"/>
  <c r="BV61" i="3"/>
  <c r="BT76" i="3"/>
  <c r="BT95" i="3"/>
  <c r="BN62" i="3"/>
  <c r="BP75" i="3"/>
  <c r="BO73" i="3"/>
  <c r="BP55" i="3"/>
  <c r="BE89" i="3"/>
  <c r="BM69" i="3"/>
  <c r="BF72" i="3"/>
  <c r="CL143" i="1" s="1"/>
  <c r="BJ93" i="3"/>
  <c r="BJ79" i="3"/>
  <c r="BK85" i="3"/>
  <c r="BK47" i="3"/>
  <c r="GQ5" i="4" a="1"/>
  <c r="FG6" i="4" a="1"/>
  <c r="FZ6" i="4" a="1"/>
  <c r="FH5" i="4" a="1"/>
  <c r="HC8" i="4" a="1"/>
  <c r="GU11" i="4" a="1"/>
  <c r="FH6" i="4" a="1"/>
  <c r="HF8" i="4" a="1"/>
  <c r="GW12" i="4" a="1"/>
  <c r="FI8" i="4" a="1"/>
  <c r="GW7" i="4" a="1"/>
  <c r="FZ15" i="4" a="1"/>
  <c r="GF7" i="4" a="1"/>
  <c r="GZ6" i="4" a="1"/>
  <c r="FR5" i="4" a="1"/>
  <c r="HB7" i="4" a="1"/>
  <c r="GR12" i="4" a="1"/>
  <c r="GN11" i="4" a="1"/>
  <c r="HC12" i="4" a="1"/>
  <c r="FM8" i="4" a="1"/>
  <c r="FU12" i="4" a="1"/>
  <c r="FZ13" i="4" a="1"/>
  <c r="GR14" i="4" a="1"/>
  <c r="FK12" i="4" a="1"/>
  <c r="FP15" i="4" a="1"/>
  <c r="HF15" i="4" a="1"/>
  <c r="GF16" i="4" a="1"/>
  <c r="HH16" i="4" a="1"/>
  <c r="FV9" i="4" a="1"/>
  <c r="FK14" i="4" a="1"/>
  <c r="FM11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GJ9" i="4" a="1"/>
  <c r="GI13" i="4" a="1"/>
  <c r="FP8" i="4" a="1"/>
  <c r="FI7" i="4" a="1"/>
  <c r="GE5" i="4" a="1"/>
  <c r="FT6" i="4" a="1"/>
  <c r="GM7" i="4" a="1"/>
  <c r="FK8" i="4" a="1"/>
  <c r="GV5" i="4" a="1"/>
  <c r="HD11" i="4" a="1"/>
  <c r="FY13" i="4" a="1"/>
  <c r="GA9" i="4" a="1"/>
  <c r="GX13" i="4" a="1"/>
  <c r="HE14" i="4" a="1"/>
  <c r="HB12" i="4" a="1"/>
  <c r="GA12" i="4" a="1"/>
  <c r="FO16" i="4" a="1"/>
  <c r="GM16" i="4" a="1"/>
  <c r="GG9" i="4" a="1"/>
  <c r="BC67" i="3"/>
  <c r="BC77" i="3"/>
  <c r="BD59" i="3"/>
  <c r="BD79" i="3"/>
  <c r="BC76" i="3"/>
  <c r="BD66" i="3"/>
  <c r="GK6" i="4" a="1"/>
  <c r="FH11" i="4" a="1"/>
  <c r="FW12" i="4" a="1"/>
  <c r="HE11" i="4" a="1"/>
  <c r="HG12" i="4" a="1"/>
  <c r="BA50" i="3"/>
  <c r="BB65" i="3"/>
  <c r="BC60" i="3"/>
  <c r="BL82" i="3"/>
  <c r="BI57" i="3"/>
  <c r="BQ82" i="3"/>
  <c r="BT61" i="3"/>
  <c r="BO65" i="3"/>
  <c r="BS96" i="3"/>
  <c r="BU73" i="3"/>
  <c r="BR49" i="3"/>
  <c r="BR79" i="3"/>
  <c r="BV78" i="3"/>
  <c r="BT88" i="3"/>
  <c r="BT66" i="3"/>
  <c r="BN94" i="3"/>
  <c r="BP79" i="3"/>
  <c r="BO61" i="3"/>
  <c r="BP65" i="3"/>
  <c r="BE58" i="3"/>
  <c r="BM75" i="3"/>
  <c r="BJ74" i="3"/>
  <c r="BJ87" i="3"/>
  <c r="BJ81" i="3"/>
  <c r="BK87" i="3"/>
  <c r="BK96" i="3"/>
  <c r="FJ7" i="4" a="1"/>
  <c r="HH6" i="4" a="1"/>
  <c r="FT12" i="4" a="1"/>
  <c r="FV5" i="4" a="1"/>
  <c r="GA7" i="4" a="1"/>
  <c r="FQ12" i="4" a="1"/>
  <c r="GU7" i="4" a="1"/>
  <c r="GB9" i="4" a="1"/>
  <c r="GS14" i="4" a="1"/>
  <c r="HE5" i="4" a="1"/>
  <c r="GT9" i="4" a="1"/>
  <c r="GZ7" i="4" a="1"/>
  <c r="GW8" i="4" a="1"/>
  <c r="GY7" i="4" a="1"/>
  <c r="GS6" i="4" a="1"/>
  <c r="FT9" i="4" a="1"/>
  <c r="GK14" i="4" a="1"/>
  <c r="GS11" i="4" a="1"/>
  <c r="FQ13" i="4" a="1"/>
  <c r="FK9" i="4" a="1"/>
  <c r="FX12" i="4" a="1"/>
  <c r="GP13" i="4" a="1"/>
  <c r="GW14" i="4" a="1"/>
  <c r="FV12" i="4" a="1"/>
  <c r="FS15" i="4" a="1"/>
  <c r="HH15" i="4" a="1"/>
  <c r="GH16" i="4" a="1"/>
  <c r="HE7" i="4" a="1"/>
  <c r="GQ9" i="4" a="1"/>
  <c r="FV14" i="4" a="1"/>
  <c r="GD12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P73" i="3"/>
  <c r="BT84" i="3"/>
  <c r="BS61" i="3"/>
  <c r="BU90" i="3"/>
  <c r="BV79" i="3"/>
  <c r="BO96" i="3"/>
  <c r="BE59" i="3"/>
  <c r="BJ84" i="3"/>
  <c r="BJ64" i="3"/>
  <c r="BK76" i="3"/>
  <c r="BK79" i="3"/>
  <c r="HF7" i="4" a="1"/>
  <c r="GE9" i="4" a="1"/>
  <c r="HE12" i="4" a="1"/>
  <c r="GC6" i="4" a="1"/>
  <c r="FK6" i="4" a="1"/>
  <c r="GK7" i="4" a="1"/>
  <c r="FP11" i="4" a="1"/>
  <c r="FY12" i="4" a="1"/>
  <c r="BA55" i="3"/>
  <c r="BB74" i="3"/>
  <c r="BQ57" i="3"/>
  <c r="BL48" i="3"/>
  <c r="BI66" i="3"/>
  <c r="BQ87" i="3"/>
  <c r="BT80" i="3"/>
  <c r="BO79" i="3"/>
  <c r="BS91" i="3"/>
  <c r="BU89" i="3"/>
  <c r="BR72" i="3"/>
  <c r="BV50" i="3"/>
  <c r="BV96" i="3"/>
  <c r="BT56" i="3"/>
  <c r="BN89" i="3"/>
  <c r="BN68" i="3"/>
  <c r="BF73" i="3"/>
  <c r="BO93" i="3"/>
  <c r="BG84" i="3"/>
  <c r="BE65" i="3"/>
  <c r="BM47" i="3"/>
  <c r="BJ82" i="3"/>
  <c r="BJ91" i="3"/>
  <c r="BJ83" i="3"/>
  <c r="BK62" i="3"/>
  <c r="BK63" i="3"/>
  <c r="GH7" i="4" a="1"/>
  <c r="GQ7" i="4" a="1"/>
  <c r="GJ12" i="4" a="1"/>
  <c r="GH5" i="4" a="1"/>
  <c r="FL9" i="4" a="1"/>
  <c r="GO12" i="4" a="1"/>
  <c r="GO5" i="4" a="1"/>
  <c r="GM6" i="4" a="1"/>
  <c r="FO15" i="4" a="1"/>
  <c r="GD6" i="4" a="1"/>
  <c r="HF9" i="4" a="1"/>
  <c r="FI9" i="4" a="1"/>
  <c r="GU5" i="4" a="1"/>
  <c r="GN9" i="4" a="1"/>
  <c r="FR7" i="4" a="1"/>
  <c r="GM9" i="4" a="1"/>
  <c r="FG15" i="4" a="1"/>
  <c r="GV11" i="4" a="1"/>
  <c r="FT13" i="4" a="1"/>
  <c r="FP9" i="4" a="1"/>
  <c r="GC12" i="4" a="1"/>
  <c r="GU13" i="4" a="1"/>
  <c r="GZ14" i="4" a="1"/>
  <c r="GQ12" i="4" a="1"/>
  <c r="GH15" i="4" a="1"/>
  <c r="FH16" i="4" a="1"/>
  <c r="GJ16" i="4" a="1"/>
  <c r="GO11" i="4" a="1"/>
  <c r="HG9" i="4" a="1"/>
  <c r="GA14" i="4" a="1"/>
  <c r="GC13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B78" i="3"/>
  <c r="BH95" i="3"/>
  <c r="BL87" i="3"/>
  <c r="BF65" i="3"/>
  <c r="CL158" i="1" s="1"/>
  <c r="BU75" i="3"/>
  <c r="BO82" i="3"/>
  <c r="BR59" i="3"/>
  <c r="BV63" i="3"/>
  <c r="BT55" i="3"/>
  <c r="BN67" i="3"/>
  <c r="BN70" i="3"/>
  <c r="BF69" i="3"/>
  <c r="BG90" i="3"/>
  <c r="BM54" i="3"/>
  <c r="BK73" i="3"/>
  <c r="GF12" i="4" a="1"/>
  <c r="GJ15" i="4" a="1"/>
  <c r="FJ16" i="4" a="1"/>
  <c r="GL16" i="4" a="1"/>
  <c r="FS12" i="4" a="1"/>
  <c r="FU11" i="4" a="1"/>
  <c r="GL14" i="4" a="1"/>
  <c r="HE13" i="4" a="1"/>
  <c r="GX14" i="4" a="1"/>
  <c r="GS15" i="4" a="1"/>
  <c r="BC68" i="3"/>
  <c r="BC61" i="3"/>
  <c r="GL7" i="4" a="1"/>
  <c r="HA12" i="4" a="1"/>
  <c r="FO14" i="4" a="1"/>
  <c r="FN14" i="4" a="1"/>
  <c r="FH15" i="4" a="1"/>
  <c r="BC92" i="3"/>
  <c r="BD56" i="3"/>
  <c r="BD77" i="3"/>
  <c r="CO28" i="1" l="1"/>
  <c r="CS28" i="1" s="1"/>
  <c r="AF44" i="1"/>
  <c r="CH148" i="1"/>
  <c r="CI148" i="1" s="1"/>
  <c r="AA210" i="1"/>
  <c r="CL35" i="1"/>
  <c r="CL11" i="1"/>
  <c r="CL12" i="1" s="1"/>
  <c r="CL128" i="1"/>
  <c r="CL106" i="1"/>
  <c r="CL107" i="1" s="1"/>
  <c r="X187" i="1"/>
  <c r="CL156" i="1"/>
  <c r="CL24" i="1"/>
  <c r="CL100" i="1"/>
  <c r="CL169" i="1"/>
  <c r="CL146" i="1"/>
  <c r="CL164" i="1"/>
  <c r="CL136" i="1"/>
  <c r="CK18" i="1"/>
  <c r="Z9" i="1"/>
  <c r="Z10" i="1" s="1"/>
  <c r="CK34" i="1"/>
  <c r="CJ148" i="1"/>
  <c r="CJ125" i="1"/>
  <c r="CK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J160" i="1"/>
  <c r="JW14" i="4" s="1"/>
  <c r="JZ16" i="4" s="1"/>
  <c r="JZ21" i="4" s="1"/>
  <c r="JZ15" i="4" s="1"/>
  <c r="JQ15" i="4" s="1"/>
  <c r="KA9" i="4" s="1"/>
  <c r="JQ9" i="4" s="1"/>
  <c r="JQ21" i="4" s="1"/>
  <c r="CK85" i="1" s="1"/>
  <c r="JR9" i="4" s="1"/>
  <c r="CJ171" i="1"/>
  <c r="CK171" i="1" s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JZ14" i="4" s="1"/>
  <c r="KE7" i="4" s="1"/>
  <c r="KE8" i="4" s="1"/>
  <c r="KF7" i="4" s="1"/>
  <c r="CG82" i="1"/>
  <c r="CJ159" i="1"/>
  <c r="CJ151" i="1"/>
  <c r="JY9" i="4" s="1"/>
  <c r="KA16" i="4" s="1"/>
  <c r="JS16" i="4" s="1"/>
  <c r="JW9" i="4" s="1"/>
  <c r="JZ9" i="4" s="1"/>
  <c r="CJ133" i="1"/>
  <c r="CK133" i="1" s="1"/>
  <c r="CJ130" i="1"/>
  <c r="CK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KG16" i="4" s="1"/>
  <c r="JY16" i="4" s="1"/>
  <c r="JQ16" i="4" s="1"/>
  <c r="KH16" i="4" s="1"/>
  <c r="JV9" i="4" s="1"/>
  <c r="CJ152" i="1"/>
  <c r="CJ187" i="1" s="1"/>
  <c r="CK187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KE16" i="4" s="1"/>
  <c r="JW16" i="4" s="1"/>
  <c r="JW21" i="4" s="1"/>
  <c r="KF16" i="4" s="1"/>
  <c r="JX9" i="4" s="1"/>
  <c r="KH9" i="4" s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JX16" i="4" s="1"/>
  <c r="CJ172" i="1"/>
  <c r="CK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DA172" i="1" s="1"/>
  <c r="DB172" i="1" s="1"/>
  <c r="CJ127" i="1"/>
  <c r="CJ142" i="1"/>
  <c r="CK41" i="1" s="1"/>
  <c r="CJ157" i="1"/>
  <c r="JT16" i="4" s="1"/>
  <c r="KC9" i="4" s="1"/>
  <c r="CJ81" i="1"/>
  <c r="CJ154" i="1"/>
  <c r="CJ162" i="1"/>
  <c r="KB9" i="4" s="1"/>
  <c r="CJ167" i="1"/>
  <c r="CJ158" i="1"/>
  <c r="KC16" i="4" s="1"/>
  <c r="JU16" i="4" s="1"/>
  <c r="JW15" i="4" s="1"/>
  <c r="JS9" i="4" s="1"/>
  <c r="JT9" i="4" s="1"/>
  <c r="KB16" i="4" s="1"/>
  <c r="KB21" i="4" s="1"/>
  <c r="KE9" i="4" s="1"/>
  <c r="JR16" i="4" s="1"/>
  <c r="KA15" i="4" s="1"/>
  <c r="CK81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G15" i="4" s="1"/>
  <c r="KD9" i="4" s="1"/>
  <c r="CJ153" i="1"/>
  <c r="CH82" i="1"/>
  <c r="KD16" i="4" s="1"/>
  <c r="JV16" i="4" s="1"/>
  <c r="JV21" i="4" s="1"/>
  <c r="JU9" i="4" s="1"/>
  <c r="JQ8" i="4" s="1"/>
  <c r="KF9" i="4" s="1"/>
  <c r="X81" i="1"/>
  <c r="Z82" i="1"/>
  <c r="CJ161" i="1"/>
  <c r="CJ191" i="1" s="1"/>
  <c r="CK191" i="1" s="1"/>
  <c r="CJ155" i="1"/>
  <c r="Y82" i="1"/>
  <c r="CI82" i="1"/>
  <c r="KG9" i="4" s="1"/>
  <c r="JX7" i="4" s="1"/>
  <c r="Z81" i="1"/>
  <c r="CJ168" i="1"/>
  <c r="CK82" i="1"/>
  <c r="CJ150" i="1"/>
  <c r="CH81" i="1"/>
  <c r="CJ82" i="1"/>
  <c r="CJ163" i="1"/>
  <c r="CJ132" i="1"/>
  <c r="CK132" i="1" s="1"/>
  <c r="CM132" i="1" s="1"/>
  <c r="CG81" i="1"/>
  <c r="CJ141" i="1"/>
  <c r="CK141" i="1" s="1"/>
  <c r="CI81" i="1"/>
  <c r="Y10" i="1"/>
  <c r="CI9" i="1"/>
  <c r="CJ10" i="1"/>
  <c r="CH169" i="1"/>
  <c r="Z169" i="1"/>
  <c r="AA217" i="1" s="1"/>
  <c r="X9" i="1"/>
  <c r="CK106" i="1"/>
  <c r="CH8" i="1"/>
  <c r="CH9" i="1"/>
  <c r="Y156" i="1"/>
  <c r="X191" i="1"/>
  <c r="X8" i="1"/>
  <c r="CI8" i="1"/>
  <c r="CG9" i="1"/>
  <c r="CK9" i="1"/>
  <c r="CK10" i="1" s="1"/>
  <c r="CW4" i="1"/>
  <c r="Z156" i="1"/>
  <c r="AA204" i="1" s="1"/>
  <c r="Z162" i="1"/>
  <c r="CH162" i="1" s="1"/>
  <c r="CH164" i="1" s="1"/>
  <c r="CH193" i="1" s="1"/>
  <c r="X261" i="1"/>
  <c r="X156" i="1"/>
  <c r="X190" i="1" s="1"/>
  <c r="Y169" i="1"/>
  <c r="CG239" i="1"/>
  <c r="Y34" i="1"/>
  <c r="Y11" i="1" s="1"/>
  <c r="Y181" i="1"/>
  <c r="X18" i="1"/>
  <c r="Y142" i="1"/>
  <c r="X260" i="1"/>
  <c r="X188" i="1"/>
  <c r="Y187" i="1"/>
  <c r="X181" i="1"/>
  <c r="Z261" i="1"/>
  <c r="Z202" i="1"/>
  <c r="Y260" i="1"/>
  <c r="Y18" i="1"/>
  <c r="Y239" i="1"/>
  <c r="Y261" i="1"/>
  <c r="Y191" i="1"/>
  <c r="CH125" i="1"/>
  <c r="Z128" i="1"/>
  <c r="AA215" i="1" s="1"/>
  <c r="CH152" i="1"/>
  <c r="Z187" i="1"/>
  <c r="Z239" i="1"/>
  <c r="Z260" i="1"/>
  <c r="Z188" i="1"/>
  <c r="Z191" i="1"/>
  <c r="CH143" i="1"/>
  <c r="CI143" i="1" s="1"/>
  <c r="Z139" i="1"/>
  <c r="CH139" i="1" s="1"/>
  <c r="CG202" i="1"/>
  <c r="CG261" i="1"/>
  <c r="Y164" i="1"/>
  <c r="CH261" i="1"/>
  <c r="CG260" i="1"/>
  <c r="X142" i="1"/>
  <c r="CI239" i="1"/>
  <c r="CI18" i="1"/>
  <c r="CM141" i="1"/>
  <c r="CN141" i="1" s="1"/>
  <c r="CO141" i="1" s="1"/>
  <c r="CP141" i="1" s="1"/>
  <c r="CJ106" i="1"/>
  <c r="Y210" i="1"/>
  <c r="Y188" i="1"/>
  <c r="KB7" i="4"/>
  <c r="JQ14" i="4"/>
  <c r="CG18" i="1"/>
  <c r="Z181" i="1"/>
  <c r="Z18" i="1"/>
  <c r="X164" i="1"/>
  <c r="KD8" i="4"/>
  <c r="Y128" i="1"/>
  <c r="X136" i="1"/>
  <c r="X169" i="1"/>
  <c r="X128" i="1"/>
  <c r="X183" i="1" s="1"/>
  <c r="Y136" i="1"/>
  <c r="Z34" i="1"/>
  <c r="Z11" i="1" s="1"/>
  <c r="X34" i="1"/>
  <c r="X11" i="1" s="1"/>
  <c r="JX8" i="4"/>
  <c r="KG8" i="4"/>
  <c r="KB8" i="4"/>
  <c r="JR15" i="4"/>
  <c r="JS8" i="4"/>
  <c r="KE15" i="4"/>
  <c r="CI140" i="1"/>
  <c r="CJ140" i="1" s="1"/>
  <c r="CH260" i="1"/>
  <c r="CJ34" i="1"/>
  <c r="CJ11" i="1" s="1"/>
  <c r="CI136" i="1"/>
  <c r="CG34" i="1"/>
  <c r="CG11" i="1" s="1"/>
  <c r="CH18" i="1"/>
  <c r="CL19" i="1" s="1"/>
  <c r="CH34" i="1"/>
  <c r="CH11" i="1" s="1"/>
  <c r="CI260" i="1"/>
  <c r="CJ261" i="1"/>
  <c r="CH239" i="1"/>
  <c r="CJ239" i="1"/>
  <c r="CI261" i="1"/>
  <c r="CH188" i="1"/>
  <c r="CI188" i="1" s="1"/>
  <c r="CH191" i="1"/>
  <c r="CI191" i="1" s="1"/>
  <c r="CJ260" i="1"/>
  <c r="CJ18" i="1"/>
  <c r="Y81" i="1"/>
  <c r="X82" i="1"/>
  <c r="Z210" i="1"/>
  <c r="CI34" i="1"/>
  <c r="CI11" i="1" s="1"/>
  <c r="CI73" i="1"/>
  <c r="CJ202" i="1"/>
  <c r="Z136" i="1"/>
  <c r="CH73" i="1"/>
  <c r="CG73" i="1"/>
  <c r="CJ73" i="1"/>
  <c r="CH136" i="1"/>
  <c r="JP15" i="4"/>
  <c r="JP14" i="4"/>
  <c r="JP8" i="4"/>
  <c r="JP7" i="4"/>
  <c r="JP21" i="4"/>
  <c r="CJ85" i="1" s="1"/>
  <c r="JO21" i="4"/>
  <c r="CI85" i="1" s="1"/>
  <c r="JO7" i="4"/>
  <c r="JO15" i="4"/>
  <c r="JO14" i="4"/>
  <c r="JO8" i="4"/>
  <c r="JN21" i="4"/>
  <c r="CH85" i="1" s="1"/>
  <c r="JN15" i="4"/>
  <c r="JN14" i="4"/>
  <c r="JN7" i="4"/>
  <c r="JN8" i="4"/>
  <c r="CB21" i="1"/>
  <c r="CI210" i="1" l="1"/>
  <c r="Z164" i="1"/>
  <c r="AA205" i="1" s="1"/>
  <c r="AA206" i="1" s="1"/>
  <c r="AA207" i="1" s="1"/>
  <c r="Z217" i="1"/>
  <c r="CI217" i="1"/>
  <c r="CW28" i="1"/>
  <c r="DA28" i="1" s="1"/>
  <c r="CJ188" i="1"/>
  <c r="CK188" i="1" s="1"/>
  <c r="CL190" i="1"/>
  <c r="Y190" i="1"/>
  <c r="AA19" i="1"/>
  <c r="AA196" i="1"/>
  <c r="AA214" i="1"/>
  <c r="AA213" i="1" s="1"/>
  <c r="AA257" i="1"/>
  <c r="JR21" i="4"/>
  <c r="CL85" i="1" s="1"/>
  <c r="KC7" i="4" s="1"/>
  <c r="JZ7" i="4" s="1"/>
  <c r="KH7" i="4" s="1"/>
  <c r="CG10" i="1"/>
  <c r="JX21" i="4"/>
  <c r="JR7" i="4"/>
  <c r="JY21" i="4"/>
  <c r="KA21" i="4"/>
  <c r="JV15" i="4"/>
  <c r="JX14" i="4"/>
  <c r="JU8" i="4"/>
  <c r="JT14" i="4"/>
  <c r="CL25" i="1"/>
  <c r="CL36" i="1"/>
  <c r="CL189" i="1"/>
  <c r="CL256" i="1"/>
  <c r="CL254" i="1"/>
  <c r="CL176" i="1"/>
  <c r="CL117" i="1" s="1"/>
  <c r="CL137" i="1"/>
  <c r="KA7" i="4"/>
  <c r="JT8" i="4"/>
  <c r="JV14" i="4"/>
  <c r="JV7" i="4"/>
  <c r="JU7" i="4"/>
  <c r="JU15" i="4"/>
  <c r="CJ128" i="1"/>
  <c r="JR8" i="4"/>
  <c r="JS15" i="4"/>
  <c r="KH15" i="4"/>
  <c r="JS7" i="4"/>
  <c r="JW7" i="4"/>
  <c r="JY15" i="4"/>
  <c r="KB15" i="4"/>
  <c r="KF8" i="4"/>
  <c r="KC14" i="4"/>
  <c r="JZ8" i="4"/>
  <c r="JZ20" i="4" s="1"/>
  <c r="KD21" i="4"/>
  <c r="KF15" i="4"/>
  <c r="KF20" i="4" s="1"/>
  <c r="JY7" i="4"/>
  <c r="JT7" i="4"/>
  <c r="Z204" i="1"/>
  <c r="CK19" i="1"/>
  <c r="CL193" i="1"/>
  <c r="CL165" i="1"/>
  <c r="CL173" i="1" s="1"/>
  <c r="CL196" i="1"/>
  <c r="CL252" i="1"/>
  <c r="CK24" i="1"/>
  <c r="CL27" i="1" s="1"/>
  <c r="CL20" i="1"/>
  <c r="CK11" i="1"/>
  <c r="CK12" i="1" s="1"/>
  <c r="CK35" i="1"/>
  <c r="CJ210" i="1"/>
  <c r="CK148" i="1"/>
  <c r="CI24" i="1"/>
  <c r="CL233" i="1"/>
  <c r="CJ169" i="1"/>
  <c r="CJ156" i="1"/>
  <c r="CJ190" i="1" s="1"/>
  <c r="JW8" i="4"/>
  <c r="JR14" i="4"/>
  <c r="JR19" i="4" s="1"/>
  <c r="CL86" i="1" s="1"/>
  <c r="JX15" i="4"/>
  <c r="JX20" i="4" s="1"/>
  <c r="KH8" i="4"/>
  <c r="Z190" i="1"/>
  <c r="Z189" i="1" s="1"/>
  <c r="JS14" i="4"/>
  <c r="JS19" i="4" s="1"/>
  <c r="KG20" i="4"/>
  <c r="JU21" i="4"/>
  <c r="KG7" i="4"/>
  <c r="JT15" i="4"/>
  <c r="KG21" i="4"/>
  <c r="KD7" i="4"/>
  <c r="KA8" i="4"/>
  <c r="JQ7" i="4"/>
  <c r="KC21" i="4"/>
  <c r="KH14" i="4"/>
  <c r="JY14" i="4"/>
  <c r="KD14" i="4"/>
  <c r="KE21" i="4"/>
  <c r="KA14" i="4"/>
  <c r="KF21" i="4"/>
  <c r="KG14" i="4"/>
  <c r="KC8" i="4"/>
  <c r="JS21" i="4"/>
  <c r="KD15" i="4"/>
  <c r="JU14" i="4"/>
  <c r="KC15" i="4"/>
  <c r="KC20" i="4" s="1"/>
  <c r="JY8" i="4"/>
  <c r="KB14" i="4"/>
  <c r="JV8" i="4"/>
  <c r="JT21" i="4"/>
  <c r="CJ164" i="1"/>
  <c r="CJ193" i="1" s="1"/>
  <c r="CJ192" i="1" s="1"/>
  <c r="CK192" i="1" s="1"/>
  <c r="KH21" i="4"/>
  <c r="KF14" i="4"/>
  <c r="KF19" i="4" s="1"/>
  <c r="KE14" i="4"/>
  <c r="KE19" i="4" s="1"/>
  <c r="CH10" i="1"/>
  <c r="CH12" i="1" s="1"/>
  <c r="CM8" i="1"/>
  <c r="CJ136" i="1"/>
  <c r="CJ257" i="1" s="1"/>
  <c r="Z12" i="1"/>
  <c r="CK20" i="1"/>
  <c r="CJ139" i="1"/>
  <c r="CK139" i="1" s="1"/>
  <c r="CJ12" i="1"/>
  <c r="Y12" i="1"/>
  <c r="CX4" i="1"/>
  <c r="CJ146" i="1"/>
  <c r="CI10" i="1"/>
  <c r="CI12" i="1" s="1"/>
  <c r="X10" i="1"/>
  <c r="X12" i="1" s="1"/>
  <c r="X165" i="1"/>
  <c r="Y204" i="1"/>
  <c r="Z142" i="1"/>
  <c r="Z41" i="1" s="1"/>
  <c r="CH156" i="1"/>
  <c r="CH187" i="1"/>
  <c r="Z35" i="1"/>
  <c r="X35" i="1"/>
  <c r="X106" i="1"/>
  <c r="X24" i="1"/>
  <c r="Y146" i="1"/>
  <c r="Y252" i="1" s="1"/>
  <c r="Y41" i="1"/>
  <c r="Y106" i="1"/>
  <c r="Y35" i="1"/>
  <c r="Y19" i="1"/>
  <c r="Y196" i="1"/>
  <c r="Y24" i="1"/>
  <c r="CI125" i="1"/>
  <c r="CH128" i="1"/>
  <c r="CH256" i="1" s="1"/>
  <c r="Z183" i="1"/>
  <c r="Z256" i="1"/>
  <c r="AB141" i="1"/>
  <c r="CQ141" i="1"/>
  <c r="CR141" i="1" s="1"/>
  <c r="CS141" i="1" s="1"/>
  <c r="CT141" i="1" s="1"/>
  <c r="KE20" i="4"/>
  <c r="CG35" i="1"/>
  <c r="CG24" i="1"/>
  <c r="X137" i="1"/>
  <c r="JQ20" i="4"/>
  <c r="CK87" i="1" s="1"/>
  <c r="CI35" i="1"/>
  <c r="Y193" i="1"/>
  <c r="Y165" i="1"/>
  <c r="X146" i="1"/>
  <c r="X41" i="1"/>
  <c r="CH192" i="1"/>
  <c r="CI192" i="1" s="1"/>
  <c r="X256" i="1"/>
  <c r="Y217" i="1"/>
  <c r="Z196" i="1"/>
  <c r="Z19" i="1"/>
  <c r="Z24" i="1"/>
  <c r="AA26" i="1" s="1"/>
  <c r="Z106" i="1"/>
  <c r="Y183" i="1"/>
  <c r="Y256" i="1"/>
  <c r="X45" i="1"/>
  <c r="X176" i="1"/>
  <c r="X117" i="1" s="1"/>
  <c r="CI214" i="1"/>
  <c r="X193" i="1"/>
  <c r="Y205" i="1"/>
  <c r="Y257" i="1"/>
  <c r="Y214" i="1"/>
  <c r="Y176" i="1"/>
  <c r="Y117" i="1" s="1"/>
  <c r="CK136" i="1"/>
  <c r="Y45" i="1"/>
  <c r="Y137" i="1"/>
  <c r="Z176" i="1"/>
  <c r="Z117" i="1" s="1"/>
  <c r="Z214" i="1"/>
  <c r="CI20" i="1"/>
  <c r="CJ24" i="1"/>
  <c r="CJ107" i="1"/>
  <c r="CJ110" i="1" s="1"/>
  <c r="CH35" i="1"/>
  <c r="CJ233" i="1"/>
  <c r="CJ20" i="1"/>
  <c r="CJ35" i="1"/>
  <c r="CH24" i="1"/>
  <c r="CL26" i="1" s="1"/>
  <c r="CH20" i="1"/>
  <c r="Z137" i="1"/>
  <c r="Z45" i="1"/>
  <c r="Z257" i="1"/>
  <c r="CH176" i="1"/>
  <c r="CI257" i="1"/>
  <c r="CI139" i="1"/>
  <c r="CI142" i="1" s="1"/>
  <c r="CJ41" i="1" s="1"/>
  <c r="CH142" i="1"/>
  <c r="X189" i="1"/>
  <c r="CM187" i="1"/>
  <c r="CN132" i="1"/>
  <c r="CM188" i="1"/>
  <c r="CM191" i="1"/>
  <c r="CX171" i="1"/>
  <c r="CX125" i="1"/>
  <c r="JP20" i="4"/>
  <c r="CJ87" i="1" s="1"/>
  <c r="JP19" i="4"/>
  <c r="CJ86" i="1" s="1"/>
  <c r="JO19" i="4"/>
  <c r="CI86" i="1" s="1"/>
  <c r="JO20" i="4"/>
  <c r="CI87" i="1" s="1"/>
  <c r="JN20" i="4"/>
  <c r="CH87" i="1" s="1"/>
  <c r="JN19" i="4"/>
  <c r="CH86" i="1" s="1"/>
  <c r="KA20" i="4" l="1"/>
  <c r="Y189" i="1"/>
  <c r="Z193" i="1"/>
  <c r="Z165" i="1"/>
  <c r="Z205" i="1"/>
  <c r="Z206" i="1" s="1"/>
  <c r="CL110" i="1"/>
  <c r="CL102" i="1"/>
  <c r="JS20" i="4"/>
  <c r="KH20" i="4"/>
  <c r="JV19" i="4"/>
  <c r="JT20" i="4"/>
  <c r="KH19" i="4"/>
  <c r="JU19" i="4"/>
  <c r="JY20" i="4"/>
  <c r="JV20" i="4"/>
  <c r="CG12" i="1"/>
  <c r="CL174" i="1"/>
  <c r="KA19" i="4"/>
  <c r="CK36" i="1"/>
  <c r="CL39" i="1" s="1"/>
  <c r="KD19" i="4"/>
  <c r="JY19" i="4"/>
  <c r="JW19" i="4"/>
  <c r="JT19" i="4"/>
  <c r="KB19" i="4"/>
  <c r="JX19" i="4"/>
  <c r="KD20" i="4"/>
  <c r="JZ19" i="4"/>
  <c r="JW20" i="4"/>
  <c r="KC19" i="4"/>
  <c r="JQ19" i="4"/>
  <c r="CK86" i="1" s="1"/>
  <c r="JU20" i="4"/>
  <c r="KB20" i="4"/>
  <c r="JR20" i="4"/>
  <c r="CL87" i="1" s="1"/>
  <c r="CI25" i="1"/>
  <c r="CI36" i="1"/>
  <c r="CK25" i="1"/>
  <c r="CK26" i="1"/>
  <c r="CK27" i="1"/>
  <c r="CJ100" i="1"/>
  <c r="CJ102" i="1" s="1"/>
  <c r="CJ137" i="1"/>
  <c r="CL210" i="1"/>
  <c r="CK210" i="1"/>
  <c r="CK217" i="1"/>
  <c r="CJ256" i="1"/>
  <c r="CL192" i="1"/>
  <c r="CL194" i="1"/>
  <c r="CL42" i="1"/>
  <c r="CL46" i="1" s="1"/>
  <c r="CL37" i="1"/>
  <c r="CL240" i="1"/>
  <c r="CL241" i="1" s="1"/>
  <c r="KG19" i="4"/>
  <c r="CJ252" i="1"/>
  <c r="CJ254" i="1"/>
  <c r="CH190" i="1"/>
  <c r="CH165" i="1"/>
  <c r="Z36" i="1"/>
  <c r="Z25" i="1"/>
  <c r="CL111" i="1"/>
  <c r="CL115" i="1"/>
  <c r="CL118" i="1" s="1"/>
  <c r="CL103" i="1"/>
  <c r="CL257" i="1"/>
  <c r="CL214" i="1"/>
  <c r="CJ165" i="1"/>
  <c r="CJ173" i="1" s="1"/>
  <c r="CJ214" i="1"/>
  <c r="CM35" i="1"/>
  <c r="CY4" i="1"/>
  <c r="AD4" i="1"/>
  <c r="CN8" i="1"/>
  <c r="CM16" i="1"/>
  <c r="CM18" i="1" s="1"/>
  <c r="Z146" i="1"/>
  <c r="Y254" i="1"/>
  <c r="Y206" i="1"/>
  <c r="Y173" i="1"/>
  <c r="Y174" i="1" s="1"/>
  <c r="CI187" i="1"/>
  <c r="Z26" i="1"/>
  <c r="Y26" i="1"/>
  <c r="X36" i="1"/>
  <c r="X25" i="1"/>
  <c r="Y36" i="1"/>
  <c r="Y25" i="1"/>
  <c r="CH100" i="1"/>
  <c r="CH137" i="1"/>
  <c r="AC141" i="1"/>
  <c r="CU141" i="1"/>
  <c r="CV141" i="1" s="1"/>
  <c r="CW141" i="1" s="1"/>
  <c r="CX141" i="1" s="1"/>
  <c r="X252" i="1"/>
  <c r="X254" i="1"/>
  <c r="X173" i="1"/>
  <c r="X174" i="1" s="1"/>
  <c r="Y211" i="1"/>
  <c r="Y209" i="1" s="1"/>
  <c r="CG36" i="1"/>
  <c r="CG25" i="1"/>
  <c r="CK193" i="1"/>
  <c r="Y192" i="1"/>
  <c r="Y194" i="1"/>
  <c r="CI193" i="1"/>
  <c r="CI160" i="1"/>
  <c r="CM148" i="1"/>
  <c r="CJ189" i="1"/>
  <c r="CK189" i="1" s="1"/>
  <c r="CJ194" i="1"/>
  <c r="CI27" i="1"/>
  <c r="CH25" i="1"/>
  <c r="X192" i="1"/>
  <c r="X194" i="1"/>
  <c r="CM133" i="1"/>
  <c r="CJ27" i="1"/>
  <c r="CJ36" i="1"/>
  <c r="CJ25" i="1"/>
  <c r="CK214" i="1"/>
  <c r="CK257" i="1"/>
  <c r="CH36" i="1"/>
  <c r="CL38" i="1" s="1"/>
  <c r="CH27" i="1"/>
  <c r="CI45" i="1"/>
  <c r="CH117" i="1"/>
  <c r="CI146" i="1"/>
  <c r="CJ211" i="1" s="1"/>
  <c r="CJ209" i="1" s="1"/>
  <c r="CI41" i="1"/>
  <c r="CH146" i="1"/>
  <c r="CJ116" i="1"/>
  <c r="CJ112" i="1"/>
  <c r="CH116" i="1"/>
  <c r="CI115" i="1"/>
  <c r="CH115" i="1"/>
  <c r="CI116" i="1"/>
  <c r="CJ115" i="1"/>
  <c r="CJ111" i="1"/>
  <c r="CN188" i="1"/>
  <c r="CO132" i="1"/>
  <c r="CN191" i="1"/>
  <c r="CN187" i="1"/>
  <c r="CY125" i="1"/>
  <c r="CY171" i="1"/>
  <c r="CJ174" i="1" l="1"/>
  <c r="CJ104" i="1"/>
  <c r="CJ103" i="1"/>
  <c r="Z194" i="1"/>
  <c r="AA197" i="1" s="1"/>
  <c r="AA198" i="1" s="1"/>
  <c r="Z192" i="1"/>
  <c r="Z42" i="1"/>
  <c r="Z120" i="1"/>
  <c r="Z37" i="1"/>
  <c r="Z240" i="1"/>
  <c r="Z241" i="1" s="1"/>
  <c r="AA38" i="1"/>
  <c r="AA258" i="1"/>
  <c r="AA259" i="1" s="1"/>
  <c r="Z211" i="1"/>
  <c r="Z209" i="1" s="1"/>
  <c r="AA211" i="1"/>
  <c r="AA209" i="1" s="1"/>
  <c r="CK38" i="1"/>
  <c r="CL258" i="1"/>
  <c r="CL112" i="1"/>
  <c r="CL116" i="1"/>
  <c r="CL119" i="1" s="1"/>
  <c r="CL104" i="1"/>
  <c r="CK42" i="1"/>
  <c r="CK46" i="1" s="1"/>
  <c r="CK37" i="1"/>
  <c r="CI37" i="1"/>
  <c r="CI42" i="1"/>
  <c r="CI240" i="1"/>
  <c r="CI241" i="1" s="1"/>
  <c r="CH194" i="1"/>
  <c r="CL197" i="1" s="1"/>
  <c r="CH189" i="1"/>
  <c r="CI189" i="1" s="1"/>
  <c r="CL48" i="1"/>
  <c r="CL49" i="1"/>
  <c r="CK39" i="1"/>
  <c r="CL234" i="1"/>
  <c r="CL120" i="1"/>
  <c r="Z197" i="1"/>
  <c r="Z198" i="1" s="1"/>
  <c r="Z252" i="1"/>
  <c r="Z254" i="1"/>
  <c r="Z173" i="1"/>
  <c r="Z174" i="1" s="1"/>
  <c r="CN35" i="1"/>
  <c r="CZ4" i="1"/>
  <c r="CM19" i="1"/>
  <c r="CN16" i="1"/>
  <c r="CN18" i="1" s="1"/>
  <c r="CO8" i="1"/>
  <c r="AD5" i="1"/>
  <c r="CI258" i="1"/>
  <c r="CI259" i="1" s="1"/>
  <c r="CK120" i="1"/>
  <c r="X240" i="1"/>
  <c r="X241" i="1" s="1"/>
  <c r="X42" i="1"/>
  <c r="X120" i="1"/>
  <c r="CM25" i="1"/>
  <c r="CN25" i="1" s="1"/>
  <c r="CO25" i="1" s="1"/>
  <c r="X37" i="1"/>
  <c r="Y38" i="1"/>
  <c r="Y258" i="1"/>
  <c r="Y259" i="1" s="1"/>
  <c r="Z258" i="1"/>
  <c r="Z259" i="1" s="1"/>
  <c r="CH102" i="1"/>
  <c r="CH104" i="1"/>
  <c r="CH103" i="1"/>
  <c r="CY141" i="1"/>
  <c r="CZ141" i="1" s="1"/>
  <c r="DA141" i="1" s="1"/>
  <c r="DB141" i="1" s="1"/>
  <c r="AE141" i="1" s="1"/>
  <c r="AD141" i="1"/>
  <c r="Y120" i="1"/>
  <c r="Y42" i="1"/>
  <c r="Y37" i="1"/>
  <c r="Y240" i="1"/>
  <c r="Y241" i="1" s="1"/>
  <c r="Z38" i="1"/>
  <c r="Y197" i="1"/>
  <c r="Y198" i="1" s="1"/>
  <c r="CG37" i="1"/>
  <c r="CG42" i="1"/>
  <c r="CG46" i="1" s="1"/>
  <c r="CG240" i="1"/>
  <c r="CG241" i="1" s="1"/>
  <c r="CM210" i="1"/>
  <c r="CN148" i="1"/>
  <c r="CK190" i="1"/>
  <c r="CK194" i="1" s="1"/>
  <c r="CM192" i="1"/>
  <c r="CJ39" i="1"/>
  <c r="CJ258" i="1"/>
  <c r="CJ259" i="1" s="1"/>
  <c r="CJ240" i="1"/>
  <c r="CJ241" i="1" s="1"/>
  <c r="CH37" i="1"/>
  <c r="CH42" i="1"/>
  <c r="CH46" i="1" s="1"/>
  <c r="CH39" i="1"/>
  <c r="CH258" i="1"/>
  <c r="CI39" i="1"/>
  <c r="CH240" i="1"/>
  <c r="CH241" i="1" s="1"/>
  <c r="CJ234" i="1"/>
  <c r="CJ120" i="1"/>
  <c r="CJ37" i="1"/>
  <c r="CJ42" i="1"/>
  <c r="CN133" i="1"/>
  <c r="CM136" i="1"/>
  <c r="CM257" i="1" s="1"/>
  <c r="CI211" i="1"/>
  <c r="CI209" i="1" s="1"/>
  <c r="CH118" i="1"/>
  <c r="CH119" i="1"/>
  <c r="CK202" i="1"/>
  <c r="CK140" i="1"/>
  <c r="CH254" i="1"/>
  <c r="CH173" i="1"/>
  <c r="CH174" i="1" s="1"/>
  <c r="CP132" i="1"/>
  <c r="CO187" i="1"/>
  <c r="CO188" i="1"/>
  <c r="CO191" i="1"/>
  <c r="CZ171" i="1"/>
  <c r="CZ125" i="1"/>
  <c r="CM53" i="1"/>
  <c r="CN53" i="1" s="1"/>
  <c r="CO53" i="1" s="1"/>
  <c r="CP53" i="1" s="1"/>
  <c r="CQ53" i="1" s="1"/>
  <c r="CR53" i="1" s="1"/>
  <c r="CS53" i="1" s="1"/>
  <c r="CT53" i="1" s="1"/>
  <c r="CU53" i="1" s="1"/>
  <c r="CM54" i="1"/>
  <c r="Z46" i="1" l="1"/>
  <c r="Z63" i="1"/>
  <c r="AA218" i="1"/>
  <c r="AA219" i="1" s="1"/>
  <c r="AA221" i="1"/>
  <c r="CL259" i="1"/>
  <c r="CI46" i="1"/>
  <c r="CK48" i="1"/>
  <c r="CK49" i="1"/>
  <c r="CL52" i="1" s="1"/>
  <c r="CI190" i="1"/>
  <c r="CI154" i="1"/>
  <c r="CO35" i="1"/>
  <c r="CI49" i="1"/>
  <c r="CI48" i="1"/>
  <c r="CJ46" i="1"/>
  <c r="CL63" i="1"/>
  <c r="CL50" i="1"/>
  <c r="CL253" i="1" s="1"/>
  <c r="CL242" i="1"/>
  <c r="CL56" i="1"/>
  <c r="CL122" i="1"/>
  <c r="CL121" i="1"/>
  <c r="CK142" i="1"/>
  <c r="CL140" i="1"/>
  <c r="CL139" i="1" s="1"/>
  <c r="CN20" i="1"/>
  <c r="CN19" i="1"/>
  <c r="CM20" i="1"/>
  <c r="CO16" i="1"/>
  <c r="CO18" i="1" s="1"/>
  <c r="DA4" i="1"/>
  <c r="CP8" i="1"/>
  <c r="CK56" i="1"/>
  <c r="CK50" i="1"/>
  <c r="X63" i="1"/>
  <c r="X46" i="1"/>
  <c r="CP25" i="1"/>
  <c r="CN210" i="1"/>
  <c r="CO148" i="1"/>
  <c r="CH49" i="1"/>
  <c r="CL51" i="1" s="1"/>
  <c r="CH48" i="1"/>
  <c r="Y63" i="1"/>
  <c r="Y46" i="1"/>
  <c r="CG48" i="1"/>
  <c r="CG49" i="1"/>
  <c r="CN192" i="1"/>
  <c r="CM193" i="1"/>
  <c r="CM189" i="1"/>
  <c r="CO133" i="1"/>
  <c r="CN136" i="1"/>
  <c r="CN257" i="1" s="1"/>
  <c r="CM214" i="1"/>
  <c r="Z49" i="1"/>
  <c r="AA51" i="1" s="1"/>
  <c r="Z48" i="1"/>
  <c r="CP191" i="1"/>
  <c r="CP188" i="1"/>
  <c r="CP187" i="1"/>
  <c r="CQ132" i="1"/>
  <c r="DA125" i="1"/>
  <c r="DA171" i="1"/>
  <c r="CE73" i="1"/>
  <c r="AB53" i="1"/>
  <c r="AC53" i="1"/>
  <c r="CV53" i="1"/>
  <c r="CW53" i="1" s="1"/>
  <c r="CX53" i="1" s="1"/>
  <c r="CY53" i="1" s="1"/>
  <c r="AB43" i="1"/>
  <c r="CN54" i="1"/>
  <c r="CO54" i="1" s="1"/>
  <c r="CP54" i="1" s="1"/>
  <c r="CQ54" i="1" s="1"/>
  <c r="CP35" i="1" l="1"/>
  <c r="CQ35" i="1"/>
  <c r="CR35" i="1"/>
  <c r="CJ49" i="1"/>
  <c r="CJ48" i="1"/>
  <c r="CK51" i="1"/>
  <c r="CI50" i="1"/>
  <c r="CI253" i="1" s="1"/>
  <c r="CI242" i="1"/>
  <c r="CI56" i="1"/>
  <c r="CQ8" i="1"/>
  <c r="CL41" i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CX41" i="1" s="1"/>
  <c r="CY41" i="1" s="1"/>
  <c r="CZ41" i="1" s="1"/>
  <c r="DA41" i="1" s="1"/>
  <c r="DB41" i="1" s="1"/>
  <c r="CK146" i="1"/>
  <c r="CL60" i="1"/>
  <c r="CL201" i="1"/>
  <c r="CL203" i="1" s="1"/>
  <c r="CL74" i="1"/>
  <c r="CM139" i="1"/>
  <c r="CN139" i="1" s="1"/>
  <c r="CO139" i="1" s="1"/>
  <c r="CP139" i="1" s="1"/>
  <c r="CK52" i="1"/>
  <c r="CL235" i="1"/>
  <c r="CL211" i="1"/>
  <c r="CL209" i="1" s="1"/>
  <c r="CI127" i="1"/>
  <c r="CO19" i="1"/>
  <c r="DB4" i="1"/>
  <c r="CO20" i="1"/>
  <c r="CP16" i="1"/>
  <c r="CP18" i="1" s="1"/>
  <c r="X48" i="1"/>
  <c r="X49" i="1"/>
  <c r="X50" i="1" s="1"/>
  <c r="X253" i="1" s="1"/>
  <c r="CP148" i="1"/>
  <c r="CP210" i="1" s="1"/>
  <c r="CO210" i="1"/>
  <c r="CH56" i="1"/>
  <c r="CH50" i="1"/>
  <c r="CH253" i="1" s="1"/>
  <c r="CI52" i="1"/>
  <c r="CH242" i="1"/>
  <c r="Y48" i="1"/>
  <c r="Y49" i="1"/>
  <c r="Z51" i="1" s="1"/>
  <c r="CJ52" i="1"/>
  <c r="CJ242" i="1"/>
  <c r="CJ50" i="1"/>
  <c r="CJ253" i="1" s="1"/>
  <c r="CJ56" i="1"/>
  <c r="CL62" i="1" s="1"/>
  <c r="CJ235" i="1"/>
  <c r="CG56" i="1"/>
  <c r="CG50" i="1"/>
  <c r="CG253" i="1" s="1"/>
  <c r="CG242" i="1"/>
  <c r="CH52" i="1"/>
  <c r="CO192" i="1"/>
  <c r="CN193" i="1"/>
  <c r="CM190" i="1"/>
  <c r="CM194" i="1" s="1"/>
  <c r="CN189" i="1"/>
  <c r="CP133" i="1"/>
  <c r="CO136" i="1"/>
  <c r="CO257" i="1" s="1"/>
  <c r="CN214" i="1"/>
  <c r="Z56" i="1"/>
  <c r="Z50" i="1"/>
  <c r="Z253" i="1" s="1"/>
  <c r="Z242" i="1"/>
  <c r="CB73" i="1"/>
  <c r="BL73" i="1"/>
  <c r="CR132" i="1"/>
  <c r="CQ187" i="1"/>
  <c r="CQ191" i="1"/>
  <c r="CC73" i="1"/>
  <c r="CQ188" i="1"/>
  <c r="DB125" i="1"/>
  <c r="DB171" i="1"/>
  <c r="AL73" i="1"/>
  <c r="CF73" i="1"/>
  <c r="CD73" i="1"/>
  <c r="BY73" i="1"/>
  <c r="BZ73" i="1"/>
  <c r="CA73" i="1"/>
  <c r="CI128" i="1"/>
  <c r="CI60" i="1"/>
  <c r="CI74" i="1"/>
  <c r="CI201" i="1"/>
  <c r="CI203" i="1" s="1"/>
  <c r="AD53" i="1"/>
  <c r="AB54" i="1"/>
  <c r="CZ53" i="1"/>
  <c r="DA53" i="1" s="1"/>
  <c r="DB53" i="1" s="1"/>
  <c r="AE53" i="1" s="1"/>
  <c r="AC43" i="1"/>
  <c r="CR54" i="1"/>
  <c r="CS54" i="1" s="1"/>
  <c r="CT54" i="1" s="1"/>
  <c r="CU54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EO13" i="4" a="1"/>
  <c r="EV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P14" i="4" a="1"/>
  <c r="EO5" i="4" a="1"/>
  <c r="ET7" i="4" a="1"/>
  <c r="AT42" i="3"/>
  <c r="AU18" i="3"/>
  <c r="AF35" i="3"/>
  <c r="AZ36" i="3"/>
  <c r="AY26" i="3"/>
  <c r="AX16" i="3"/>
  <c r="AT21" i="3"/>
  <c r="V5" i="6" a="1"/>
  <c r="AS20" i="3"/>
  <c r="AU39" i="3"/>
  <c r="AU21" i="3"/>
  <c r="AN6" i="6" a="1"/>
  <c r="AK6" i="6" a="1"/>
  <c r="AF6" i="3"/>
  <c r="AW32" i="3"/>
  <c r="AV6" i="6" a="1"/>
  <c r="AS10" i="3"/>
  <c r="ER5" i="4" a="1"/>
  <c r="EN11" i="4" a="1"/>
  <c r="AF37" i="3"/>
  <c r="AT26" i="3"/>
  <c r="AF42" i="3"/>
  <c r="F46" i="3"/>
  <c r="AW15" i="3"/>
  <c r="AT33" i="3"/>
  <c r="EL6" i="4" a="1"/>
  <c r="EP11" i="4" a="1"/>
  <c r="ER6" i="4" a="1"/>
  <c r="AZ41" i="3"/>
  <c r="AW28" i="3"/>
  <c r="AW23" i="3"/>
  <c r="AU5" i="3"/>
  <c r="AZ11" i="3"/>
  <c r="J6" i="6" a="1"/>
  <c r="EV13" i="4" a="1"/>
  <c r="EO6" i="4" a="1"/>
  <c r="AV25" i="3"/>
  <c r="E5" i="6" a="1"/>
  <c r="AW13" i="3"/>
  <c r="AT27" i="3"/>
  <c r="AV45" i="3"/>
  <c r="AY8" i="3"/>
  <c r="AX27" i="3"/>
  <c r="AZ19" i="3"/>
  <c r="EV15" i="4" a="1"/>
  <c r="ET11" i="4" a="1"/>
  <c r="EP16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EM16" i="4" a="1"/>
  <c r="EW13" i="4" a="1"/>
  <c r="EN15" i="4" a="1"/>
  <c r="EL15" i="4" a="1"/>
  <c r="AX12" i="3"/>
  <c r="AZ6" i="3"/>
  <c r="AU9" i="3"/>
  <c r="AR6" i="3"/>
  <c r="AX40" i="3"/>
  <c r="AY31" i="3"/>
  <c r="AS37" i="3"/>
  <c r="AW34" i="3"/>
  <c r="AZ45" i="3"/>
  <c r="ES12" i="4" a="1"/>
  <c r="EV11" i="4" a="1"/>
  <c r="AW12" i="3"/>
  <c r="R6" i="6" a="1"/>
  <c r="AS8" i="3"/>
  <c r="C5" i="3"/>
  <c r="AX9" i="3"/>
  <c r="AU7" i="3"/>
  <c r="AF25" i="3"/>
  <c r="AX45" i="3"/>
  <c r="ER12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AZ18" i="3"/>
  <c r="AG6" i="6" a="1"/>
  <c r="AV5" i="3"/>
  <c r="AJ6" i="6" a="1"/>
  <c r="AS26" i="3"/>
  <c r="AF7" i="3"/>
  <c r="AV17" i="3"/>
  <c r="AS30" i="3"/>
  <c r="AY38" i="3"/>
  <c r="AW19" i="3"/>
  <c r="AV31" i="3"/>
  <c r="AC5" i="6" a="1"/>
  <c r="AT36" i="3"/>
  <c r="EP13" i="4" a="1"/>
  <c r="EQ15" i="4" a="1"/>
  <c r="EW15" i="4" a="1"/>
  <c r="ER8" i="4" a="1"/>
  <c r="EL9" i="4" a="1"/>
  <c r="EM12" i="4" a="1"/>
  <c r="EV8" i="4" a="1"/>
  <c r="EV12" i="4" a="1"/>
  <c r="ER9" i="4" a="1"/>
  <c r="AM6" i="6" a="1"/>
  <c r="AU20" i="3"/>
  <c r="AW29" i="3"/>
  <c r="AS11" i="3"/>
  <c r="AU45" i="3"/>
  <c r="AS5" i="6" a="1"/>
  <c r="AZ25" i="3"/>
  <c r="AX13" i="3"/>
  <c r="EO12" i="4" a="1"/>
  <c r="AW5" i="6" a="1"/>
  <c r="AU42" i="3"/>
  <c r="AT24" i="3"/>
  <c r="AV26" i="3"/>
  <c r="AU19" i="3"/>
  <c r="AY25" i="3"/>
  <c r="AQ6" i="6" a="1"/>
  <c r="AU12" i="3"/>
  <c r="ET12" i="4" a="1"/>
  <c r="EW9" i="4" a="1"/>
  <c r="AE6" i="6" a="1"/>
  <c r="AZ31" i="3"/>
  <c r="AU6" i="6" a="1"/>
  <c r="AY13" i="3"/>
  <c r="AS25" i="3"/>
  <c r="AF31" i="3"/>
  <c r="AU37" i="3"/>
  <c r="EM9" i="4" a="1"/>
  <c r="ES8" i="4" a="1"/>
  <c r="EW5" i="4" a="1"/>
  <c r="ET9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O8" i="4" a="1"/>
  <c r="AT8" i="3"/>
  <c r="AB6" i="6" a="1"/>
  <c r="AF19" i="3"/>
  <c r="AU28" i="3"/>
  <c r="AX26" i="3"/>
  <c r="AX41" i="3"/>
  <c r="AZ22" i="3"/>
  <c r="AF45" i="3"/>
  <c r="AT17" i="3"/>
  <c r="AF10" i="3"/>
  <c r="T5" i="6" a="1"/>
  <c r="AU27" i="3"/>
  <c r="AY42" i="3"/>
  <c r="EN7" i="4" a="1"/>
  <c r="ET15" i="4" a="1"/>
  <c r="F5" i="6" a="1"/>
  <c r="AZ23" i="3"/>
  <c r="AF39" i="3"/>
  <c r="EO1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T19" i="3"/>
  <c r="AS31" i="3"/>
  <c r="D5" i="6" a="1"/>
  <c r="AY39" i="3"/>
  <c r="AC6" i="6" a="1"/>
  <c r="EN5" i="4" a="1"/>
  <c r="ET6" i="4" a="1"/>
  <c r="EQ6" i="4" a="1"/>
  <c r="EQ7" i="4" a="1"/>
  <c r="EO15" i="4" a="1"/>
  <c r="EW6" i="4" a="1"/>
  <c r="ES9" i="4" a="1"/>
  <c r="AZ17" i="3"/>
  <c r="Y5" i="6" a="1"/>
  <c r="AX20" i="3"/>
  <c r="AV11" i="3"/>
  <c r="AX31" i="3"/>
  <c r="M6" i="6" a="1"/>
  <c r="AW40" i="3"/>
  <c r="AZ21" i="3"/>
  <c r="AX34" i="3"/>
  <c r="AX32" i="3"/>
  <c r="AF24" i="3"/>
  <c r="AY5" i="6" a="1"/>
  <c r="AZ15" i="3"/>
  <c r="AV18" i="3"/>
  <c r="AS28" i="3"/>
  <c r="AX5" i="6" a="1"/>
  <c r="ES5" i="4" a="1"/>
  <c r="EU7" i="4" a="1"/>
  <c r="ER7" i="4" a="1"/>
  <c r="EM6" i="4" a="1"/>
  <c r="AT10" i="3"/>
  <c r="AX6" i="3"/>
  <c r="AJ5" i="6" a="1"/>
  <c r="AU16" i="3"/>
  <c r="AX42" i="3"/>
  <c r="AX46" i="3"/>
  <c r="AF26" i="3"/>
  <c r="AW45" i="3"/>
  <c r="AX30" i="3"/>
  <c r="AW46" i="3"/>
  <c r="AI5" i="6" a="1"/>
  <c r="AV20" i="3"/>
  <c r="D6" i="6" a="1"/>
  <c r="EM7" i="4" a="1"/>
  <c r="ET14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ER14" i="4" a="1"/>
  <c r="EW8" i="4" a="1"/>
  <c r="EN6" i="4" a="1"/>
  <c r="EL12" i="4" a="1"/>
  <c r="L6" i="6" a="1"/>
  <c r="AU10" i="3"/>
  <c r="AU15" i="3"/>
  <c r="AV40" i="3"/>
  <c r="AT35" i="3"/>
  <c r="AZ46" i="3"/>
  <c r="AY15" i="3"/>
  <c r="AY37" i="3"/>
  <c r="ER11" i="4" a="1"/>
  <c r="EM5" i="4" a="1"/>
  <c r="EL13" i="4" a="1"/>
  <c r="ES13" i="4" a="1"/>
  <c r="AV38" i="3"/>
  <c r="AZ24" i="3"/>
  <c r="EQ8" i="4" a="1"/>
  <c r="AW6" i="3"/>
  <c r="AX38" i="3"/>
  <c r="AV29" i="3"/>
  <c r="F45" i="3"/>
  <c r="AV23" i="3"/>
  <c r="AF16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L7" i="4" a="1"/>
  <c r="ES11" i="4" a="1"/>
  <c r="AT31" i="3"/>
  <c r="AU23" i="3"/>
  <c r="AY35" i="3"/>
  <c r="AS34" i="3"/>
  <c r="AZ33" i="3"/>
  <c r="CK211" i="1" l="1"/>
  <c r="CK209" i="1" s="1"/>
  <c r="CM48" i="1"/>
  <c r="CN48" i="1"/>
  <c r="CS35" i="1"/>
  <c r="CT35" i="1" s="1"/>
  <c r="CR8" i="1"/>
  <c r="AB139" i="1"/>
  <c r="CQ139" i="1"/>
  <c r="CR139" i="1" s="1"/>
  <c r="CS139" i="1" s="1"/>
  <c r="CT139" i="1" s="1"/>
  <c r="CU35" i="1"/>
  <c r="X242" i="1"/>
  <c r="CQ16" i="1"/>
  <c r="CQ18" i="1" s="1"/>
  <c r="CQ20" i="1" s="1"/>
  <c r="CP20" i="1"/>
  <c r="CP19" i="1"/>
  <c r="AE4" i="1"/>
  <c r="CQ148" i="1"/>
  <c r="CQ210" i="1" s="1"/>
  <c r="Y56" i="1"/>
  <c r="Y215" i="1" s="1"/>
  <c r="Y213" i="1" s="1"/>
  <c r="Y242" i="1"/>
  <c r="X56" i="1"/>
  <c r="X60" i="1" s="1"/>
  <c r="Y50" i="1"/>
  <c r="Y253" i="1" s="1"/>
  <c r="Y51" i="1"/>
  <c r="CH201" i="1"/>
  <c r="CH203" i="1" s="1"/>
  <c r="CH74" i="1"/>
  <c r="CH60" i="1"/>
  <c r="CJ74" i="1"/>
  <c r="CJ201" i="1"/>
  <c r="CJ203" i="1" s="1"/>
  <c r="CJ60" i="1"/>
  <c r="CJ62" i="1"/>
  <c r="CG201" i="1"/>
  <c r="CG203" i="1" s="1"/>
  <c r="CG60" i="1"/>
  <c r="CG74" i="1"/>
  <c r="CP192" i="1"/>
  <c r="CO193" i="1"/>
  <c r="CN190" i="1"/>
  <c r="CN194" i="1" s="1"/>
  <c r="CO189" i="1"/>
  <c r="CQ133" i="1"/>
  <c r="CP136" i="1"/>
  <c r="CP257" i="1" s="1"/>
  <c r="CO214" i="1"/>
  <c r="BY30" i="1"/>
  <c r="CA17" i="1"/>
  <c r="CE30" i="1"/>
  <c r="CA30" i="1"/>
  <c r="CF30" i="1"/>
  <c r="CD30" i="1"/>
  <c r="BZ30" i="1"/>
  <c r="BL30" i="1"/>
  <c r="CC30" i="1"/>
  <c r="CB30" i="1"/>
  <c r="CF17" i="1"/>
  <c r="CD17" i="1"/>
  <c r="BY17" i="1"/>
  <c r="CE17" i="1"/>
  <c r="BZ17" i="1"/>
  <c r="CC17" i="1"/>
  <c r="CB17" i="1"/>
  <c r="BL17" i="1"/>
  <c r="Y201" i="1"/>
  <c r="Y203" i="1" s="1"/>
  <c r="Y207" i="1" s="1"/>
  <c r="Y221" i="1" s="1"/>
  <c r="Y62" i="1"/>
  <c r="Y60" i="1"/>
  <c r="X201" i="1"/>
  <c r="X203" i="1" s="1"/>
  <c r="Z201" i="1"/>
  <c r="Z203" i="1" s="1"/>
  <c r="Z207" i="1" s="1"/>
  <c r="Z221" i="1" s="1"/>
  <c r="Z215" i="1"/>
  <c r="Z213" i="1" s="1"/>
  <c r="Z62" i="1"/>
  <c r="Z60" i="1"/>
  <c r="CD33" i="1"/>
  <c r="CC53" i="1"/>
  <c r="CA16" i="1"/>
  <c r="CA8" i="1" s="1"/>
  <c r="CD47" i="1"/>
  <c r="AH7" i="6" s="1"/>
  <c r="CD43" i="1"/>
  <c r="CF44" i="1"/>
  <c r="BY53" i="1"/>
  <c r="BL53" i="1"/>
  <c r="CD54" i="1"/>
  <c r="AV7" i="6" s="1"/>
  <c r="CB28" i="1"/>
  <c r="R7" i="6" s="1"/>
  <c r="X7" i="6" s="1"/>
  <c r="CD53" i="1"/>
  <c r="CD23" i="1"/>
  <c r="V7" i="6" s="1"/>
  <c r="BY23" i="1"/>
  <c r="CB16" i="1"/>
  <c r="CB8" i="1" s="1"/>
  <c r="BY59" i="1"/>
  <c r="BL16" i="1"/>
  <c r="BL8" i="1" s="1"/>
  <c r="AW7" i="6" s="1"/>
  <c r="BY29" i="1"/>
  <c r="CA21" i="1"/>
  <c r="CB31" i="1"/>
  <c r="BZ44" i="1"/>
  <c r="O7" i="6" s="1"/>
  <c r="BL55" i="1"/>
  <c r="AQ7" i="6" s="1"/>
  <c r="CF16" i="1"/>
  <c r="CF8" i="1" s="1"/>
  <c r="JJ9" i="4" s="1"/>
  <c r="BY54" i="1"/>
  <c r="AM7" i="6" s="1"/>
  <c r="JM16" i="4" s="1"/>
  <c r="CF55" i="1"/>
  <c r="CA32" i="1"/>
  <c r="BL31" i="1"/>
  <c r="BL54" i="1"/>
  <c r="CF43" i="1"/>
  <c r="BL44" i="1"/>
  <c r="BZ53" i="1"/>
  <c r="CC33" i="1"/>
  <c r="CC29" i="1"/>
  <c r="JM9" i="4" s="1"/>
  <c r="CA29" i="1"/>
  <c r="JL16" i="4" s="1"/>
  <c r="BZ32" i="1"/>
  <c r="CB29" i="1"/>
  <c r="CC21" i="1"/>
  <c r="JK16" i="4" s="1"/>
  <c r="CA59" i="1"/>
  <c r="BZ22" i="1"/>
  <c r="CE23" i="1"/>
  <c r="CC22" i="1"/>
  <c r="C7" i="6" s="1"/>
  <c r="T7" i="6" s="1"/>
  <c r="BY32" i="1"/>
  <c r="CC54" i="1"/>
  <c r="CC16" i="1"/>
  <c r="CC8" i="1" s="1"/>
  <c r="CB43" i="1"/>
  <c r="JL9" i="4" s="1"/>
  <c r="CF47" i="1"/>
  <c r="AL7" i="6" s="1"/>
  <c r="BZ40" i="1"/>
  <c r="BZ202" i="1" s="1"/>
  <c r="BZ43" i="1"/>
  <c r="J7" i="6" s="1"/>
  <c r="BY55" i="1"/>
  <c r="Z7" i="6" s="1"/>
  <c r="BL28" i="1"/>
  <c r="CF21" i="1"/>
  <c r="CF31" i="1"/>
  <c r="BZ21" i="1"/>
  <c r="CA23" i="1"/>
  <c r="CD22" i="1"/>
  <c r="BL29" i="1"/>
  <c r="BY22" i="1"/>
  <c r="CE40" i="1"/>
  <c r="CE202" i="1" s="1"/>
  <c r="AD7" i="6" s="1"/>
  <c r="CF33" i="1"/>
  <c r="CE28" i="1"/>
  <c r="CA55" i="1"/>
  <c r="CD44" i="1"/>
  <c r="CB32" i="1"/>
  <c r="CD55" i="1"/>
  <c r="AP7" i="6" s="1"/>
  <c r="Y7" i="6" s="1"/>
  <c r="CA33" i="1"/>
  <c r="AA7" i="6" s="1"/>
  <c r="AJ7" i="6" s="1"/>
  <c r="BY16" i="1"/>
  <c r="BY8" i="1" s="1"/>
  <c r="BY31" i="1"/>
  <c r="CB47" i="1"/>
  <c r="CE33" i="1"/>
  <c r="I7" i="6" s="1"/>
  <c r="AK7" i="6" s="1"/>
  <c r="CE22" i="1"/>
  <c r="K7" i="6" s="1"/>
  <c r="F7" i="6" s="1"/>
  <c r="CB53" i="1"/>
  <c r="CF32" i="1"/>
  <c r="AC7" i="6" s="1"/>
  <c r="AE7" i="6" s="1"/>
  <c r="M7" i="6" s="1"/>
  <c r="Q7" i="6" s="1"/>
  <c r="CA54" i="1"/>
  <c r="BZ54" i="1"/>
  <c r="CA44" i="1"/>
  <c r="CF54" i="1"/>
  <c r="AU7" i="6" s="1"/>
  <c r="BL23" i="1"/>
  <c r="CE32" i="1"/>
  <c r="CB40" i="1"/>
  <c r="CB202" i="1" s="1"/>
  <c r="CC55" i="1"/>
  <c r="CC59" i="1"/>
  <c r="AX7" i="6" s="1"/>
  <c r="BZ31" i="1"/>
  <c r="AT7" i="6" s="1"/>
  <c r="S7" i="6" s="1"/>
  <c r="BY21" i="1"/>
  <c r="CE43" i="1"/>
  <c r="CA53" i="1"/>
  <c r="CB55" i="1"/>
  <c r="CA43" i="1"/>
  <c r="CF59" i="1"/>
  <c r="CF29" i="1"/>
  <c r="CA28" i="1"/>
  <c r="AN7" i="6" s="1"/>
  <c r="CE54" i="1"/>
  <c r="CC23" i="1"/>
  <c r="CE59" i="1"/>
  <c r="CF23" i="1"/>
  <c r="G7" i="6" s="1"/>
  <c r="BL40" i="1"/>
  <c r="AF7" i="6" s="1"/>
  <c r="CC28" i="1"/>
  <c r="CD28" i="1"/>
  <c r="JJ16" i="4" s="1"/>
  <c r="BY33" i="1"/>
  <c r="CB54" i="1"/>
  <c r="CE16" i="1"/>
  <c r="CE8" i="1" s="1"/>
  <c r="AB7" i="6" s="1"/>
  <c r="BL22" i="1"/>
  <c r="CD59" i="1"/>
  <c r="BY28" i="1"/>
  <c r="BZ23" i="1"/>
  <c r="CD29" i="1"/>
  <c r="L7" i="6" s="1"/>
  <c r="BL47" i="1"/>
  <c r="BZ16" i="1"/>
  <c r="BZ8" i="1" s="1"/>
  <c r="CA40" i="1"/>
  <c r="BZ47" i="1"/>
  <c r="BY40" i="1"/>
  <c r="BY202" i="1" s="1"/>
  <c r="AI7" i="6" s="1"/>
  <c r="CC47" i="1"/>
  <c r="D7" i="6" s="1"/>
  <c r="BZ29" i="1"/>
  <c r="AG7" i="6" s="1"/>
  <c r="BZ28" i="1"/>
  <c r="BL59" i="1"/>
  <c r="W7" i="6" s="1"/>
  <c r="CB59" i="1"/>
  <c r="CE55" i="1"/>
  <c r="CF28" i="1"/>
  <c r="CC31" i="1"/>
  <c r="CD31" i="1"/>
  <c r="CE21" i="1"/>
  <c r="BY43" i="1"/>
  <c r="CC43" i="1"/>
  <c r="BZ59" i="1"/>
  <c r="AS7" i="6" s="1"/>
  <c r="BZ55" i="1"/>
  <c r="CE44" i="1"/>
  <c r="CD21" i="1"/>
  <c r="BL43" i="1"/>
  <c r="CB22" i="1"/>
  <c r="CC40" i="1"/>
  <c r="CC202" i="1" s="1"/>
  <c r="BY47" i="1"/>
  <c r="H7" i="6" s="1"/>
  <c r="CA31" i="1"/>
  <c r="BZ33" i="1"/>
  <c r="CD16" i="1"/>
  <c r="CD8" i="1" s="1"/>
  <c r="AR7" i="6" s="1"/>
  <c r="CF22" i="1"/>
  <c r="BL21" i="1"/>
  <c r="BL32" i="1"/>
  <c r="JK9" i="4" s="1"/>
  <c r="AO7" i="6" s="1"/>
  <c r="CA47" i="1"/>
  <c r="BL33" i="1"/>
  <c r="CA22" i="1"/>
  <c r="CE53" i="1"/>
  <c r="CD32" i="1"/>
  <c r="P7" i="6" s="1"/>
  <c r="E7" i="6" s="1"/>
  <c r="U7" i="6" s="1"/>
  <c r="CC32" i="1"/>
  <c r="AY7" i="6" s="1"/>
  <c r="CD40" i="1"/>
  <c r="CB23" i="1"/>
  <c r="CC44" i="1"/>
  <c r="CB44" i="1"/>
  <c r="CE31" i="1"/>
  <c r="CE29" i="1"/>
  <c r="CF40" i="1"/>
  <c r="CF202" i="1" s="1"/>
  <c r="CB33" i="1"/>
  <c r="BY44" i="1"/>
  <c r="CF53" i="1"/>
  <c r="N7" i="6" s="1"/>
  <c r="CQ25" i="1"/>
  <c r="CI137" i="1"/>
  <c r="CI100" i="1"/>
  <c r="CS132" i="1"/>
  <c r="CR188" i="1"/>
  <c r="CR191" i="1"/>
  <c r="CR187" i="1"/>
  <c r="CJ215" i="1"/>
  <c r="CJ213" i="1" s="1"/>
  <c r="CJ63" i="1"/>
  <c r="CI215" i="1"/>
  <c r="CI213" i="1" s="1"/>
  <c r="AC54" i="1"/>
  <c r="CV54" i="1"/>
  <c r="CW54" i="1" s="1"/>
  <c r="CX54" i="1" s="1"/>
  <c r="CY54" i="1" s="1"/>
  <c r="AD43" i="1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X77" i="3"/>
  <c r="C82" i="3"/>
  <c r="AY83" i="3"/>
  <c r="AZ86" i="3"/>
  <c r="AX91" i="3"/>
  <c r="AU97" i="3"/>
  <c r="AY79" i="3"/>
  <c r="AV73" i="3"/>
  <c r="AW91" i="3"/>
  <c r="AS72" i="3"/>
  <c r="AX80" i="3"/>
  <c r="AS79" i="3"/>
  <c r="AW85" i="3"/>
  <c r="AU59" i="3"/>
  <c r="AT97" i="3"/>
  <c r="AS68" i="3"/>
  <c r="AU61" i="3"/>
  <c r="AF79" i="3"/>
  <c r="AW80" i="3"/>
  <c r="AS91" i="3"/>
  <c r="AT74" i="3"/>
  <c r="AT58" i="3"/>
  <c r="AV78" i="3"/>
  <c r="AW57" i="3"/>
  <c r="AY97" i="3"/>
  <c r="AY65" i="3"/>
  <c r="AS87" i="3"/>
  <c r="AU96" i="3"/>
  <c r="AU83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X63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W96" i="3"/>
  <c r="AW63" i="3"/>
  <c r="AY55" i="3"/>
  <c r="AX89" i="3"/>
  <c r="AT57" i="3"/>
  <c r="AW81" i="3"/>
  <c r="AS62" i="3"/>
  <c r="AF80" i="3"/>
  <c r="AW70" i="3"/>
  <c r="AX81" i="3"/>
  <c r="AW58" i="3"/>
  <c r="AY62" i="3"/>
  <c r="AS58" i="3"/>
  <c r="AZ54" i="3"/>
  <c r="AU80" i="3"/>
  <c r="AT87" i="3"/>
  <c r="C93" i="3"/>
  <c r="AX49" i="3"/>
  <c r="AF86" i="3"/>
  <c r="AX66" i="3"/>
  <c r="AS73" i="3"/>
  <c r="AZ84" i="3"/>
  <c r="AU72" i="3"/>
  <c r="AY71" i="3"/>
  <c r="AT71" i="3"/>
  <c r="AW89" i="3"/>
  <c r="AF49" i="3"/>
  <c r="AZ74" i="3"/>
  <c r="AT91" i="3"/>
  <c r="AZ50" i="3"/>
  <c r="C69" i="3"/>
  <c r="AX97" i="3"/>
  <c r="AF84" i="3"/>
  <c r="AZ57" i="3"/>
  <c r="AX72" i="3"/>
  <c r="AZ91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V93" i="3"/>
  <c r="C75" i="3"/>
  <c r="AZ58" i="3"/>
  <c r="AF97" i="3"/>
  <c r="AT64" i="3"/>
  <c r="AV68" i="3"/>
  <c r="AV49" i="3"/>
  <c r="AV90" i="3"/>
  <c r="AF63" i="3"/>
  <c r="AV96" i="3"/>
  <c r="AF89" i="3"/>
  <c r="AY54" i="3"/>
  <c r="AY84" i="3"/>
  <c r="AZ75" i="3"/>
  <c r="AS50" i="3"/>
  <c r="AT62" i="3"/>
  <c r="AZ67" i="3"/>
  <c r="AF74" i="3"/>
  <c r="AY96" i="3"/>
  <c r="AF75" i="3"/>
  <c r="AY92" i="3"/>
  <c r="AX94" i="3"/>
  <c r="AW83" i="3"/>
  <c r="AV9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S54" i="3"/>
  <c r="AV72" i="3"/>
  <c r="AU68" i="3"/>
  <c r="C79" i="3"/>
  <c r="AV69" i="3"/>
  <c r="C50" i="3"/>
  <c r="AZ96" i="3"/>
  <c r="AV48" i="3"/>
  <c r="AW68" i="3"/>
  <c r="AF67" i="3"/>
  <c r="AT90" i="3"/>
  <c r="AU78" i="3"/>
  <c r="AZ77" i="3"/>
  <c r="AZ60" i="3"/>
  <c r="AT61" i="3"/>
  <c r="AS55" i="3"/>
  <c r="AV66" i="3"/>
  <c r="AV92" i="3"/>
  <c r="AU81" i="3"/>
  <c r="AF92" i="3"/>
  <c r="AS48" i="3"/>
  <c r="AF59" i="3"/>
  <c r="AW67" i="3"/>
  <c r="AF95" i="3"/>
  <c r="AS63" i="3"/>
  <c r="AV67" i="3"/>
  <c r="AU71" i="3"/>
  <c r="AS56" i="3"/>
  <c r="C57" i="3"/>
  <c r="C95" i="3"/>
  <c r="AY59" i="3"/>
  <c r="AF71" i="3"/>
  <c r="AF96" i="3"/>
  <c r="AV63" i="3"/>
  <c r="AZ81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73" i="3"/>
  <c r="AW90" i="3"/>
  <c r="AY69" i="3"/>
  <c r="C83" i="3"/>
  <c r="AU55" i="3"/>
  <c r="AY95" i="3"/>
  <c r="C73" i="3"/>
  <c r="AU75" i="3"/>
  <c r="AF62" i="3"/>
  <c r="AT54" i="3"/>
  <c r="AF66" i="3"/>
  <c r="AZ68" i="3"/>
  <c r="AX57" i="3"/>
  <c r="C88" i="3"/>
  <c r="AW88" i="3"/>
  <c r="AU69" i="3"/>
  <c r="AS70" i="3"/>
  <c r="AF61" i="3"/>
  <c r="AS65" i="3"/>
  <c r="AT75" i="3"/>
  <c r="C71" i="3"/>
  <c r="AT94" i="3"/>
  <c r="AS96" i="3"/>
  <c r="AU94" i="3"/>
  <c r="AF65" i="3"/>
  <c r="AV94" i="3"/>
  <c r="AU90" i="3"/>
  <c r="AT50" i="3"/>
  <c r="C59" i="3"/>
  <c r="AT93" i="3"/>
  <c r="AU76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Z72" i="3"/>
  <c r="C80" i="3"/>
  <c r="AW95" i="3"/>
  <c r="C84" i="3"/>
  <c r="AZ66" i="3"/>
  <c r="AF83" i="3"/>
  <c r="AX60" i="3"/>
  <c r="AZ76" i="3"/>
  <c r="AS94" i="3"/>
  <c r="AW73" i="3"/>
  <c r="AF64" i="3"/>
  <c r="AX95" i="3"/>
  <c r="AU93" i="3"/>
  <c r="AW50" i="3"/>
  <c r="AF82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CR16" i="1" l="1"/>
  <c r="CR18" i="1" s="1"/>
  <c r="CO48" i="1"/>
  <c r="CP48" i="1"/>
  <c r="CQ48" i="1"/>
  <c r="CS8" i="1"/>
  <c r="AC139" i="1"/>
  <c r="CU139" i="1"/>
  <c r="CV139" i="1" s="1"/>
  <c r="CW139" i="1" s="1"/>
  <c r="CX139" i="1" s="1"/>
  <c r="CR148" i="1"/>
  <c r="BZ9" i="1"/>
  <c r="BY9" i="1"/>
  <c r="BY10" i="1" s="1"/>
  <c r="CV35" i="1"/>
  <c r="CD9" i="1"/>
  <c r="CD10" i="1" s="1"/>
  <c r="BZ10" i="1"/>
  <c r="BL9" i="1"/>
  <c r="BL10" i="1" s="1"/>
  <c r="CS16" i="1"/>
  <c r="CS18" i="1" s="1"/>
  <c r="CS20" i="1" s="1"/>
  <c r="CB9" i="1"/>
  <c r="CR20" i="1"/>
  <c r="CQ19" i="1"/>
  <c r="CF9" i="1"/>
  <c r="CF10" i="1" s="1"/>
  <c r="CB10" i="1"/>
  <c r="CC9" i="1"/>
  <c r="CC10" i="1" s="1"/>
  <c r="CR19" i="1"/>
  <c r="CE9" i="1"/>
  <c r="CE10" i="1" s="1"/>
  <c r="CA9" i="1"/>
  <c r="CA10" i="1" s="1"/>
  <c r="AE5" i="1"/>
  <c r="X62" i="1"/>
  <c r="CJ77" i="1"/>
  <c r="CA239" i="1"/>
  <c r="CB239" i="1"/>
  <c r="CC239" i="1"/>
  <c r="BZ239" i="1"/>
  <c r="CD239" i="1"/>
  <c r="CQ192" i="1"/>
  <c r="CP193" i="1"/>
  <c r="CO190" i="1"/>
  <c r="CO194" i="1" s="1"/>
  <c r="CP189" i="1"/>
  <c r="CR133" i="1"/>
  <c r="CQ136" i="1"/>
  <c r="CQ257" i="1" s="1"/>
  <c r="CP214" i="1"/>
  <c r="BZ133" i="1"/>
  <c r="CA133" i="1" s="1"/>
  <c r="BL81" i="1"/>
  <c r="CF82" i="1"/>
  <c r="CB154" i="1"/>
  <c r="CC154" i="1" s="1"/>
  <c r="CD161" i="1"/>
  <c r="CD191" i="1" s="1"/>
  <c r="CE191" i="1" s="1"/>
  <c r="CB172" i="1"/>
  <c r="CC172" i="1" s="1"/>
  <c r="BL132" i="1"/>
  <c r="BM132" i="1" s="1"/>
  <c r="CD141" i="1"/>
  <c r="CD132" i="1"/>
  <c r="CE132" i="1" s="1"/>
  <c r="CF135" i="1"/>
  <c r="CG135" i="1" s="1"/>
  <c r="CB135" i="1"/>
  <c r="CC135" i="1" s="1"/>
  <c r="CB160" i="1"/>
  <c r="CC160" i="1" s="1"/>
  <c r="CB152" i="1"/>
  <c r="CB187" i="1" s="1"/>
  <c r="CC187" i="1" s="1"/>
  <c r="BZ161" i="1"/>
  <c r="BZ191" i="1" s="1"/>
  <c r="CA191" i="1" s="1"/>
  <c r="BZ172" i="1"/>
  <c r="CA172" i="1" s="1"/>
  <c r="BZ162" i="1"/>
  <c r="CA162" i="1" s="1"/>
  <c r="BZ168" i="1"/>
  <c r="BZ158" i="1"/>
  <c r="CA158" i="1" s="1"/>
  <c r="BZ140" i="1"/>
  <c r="BL153" i="1"/>
  <c r="BL188" i="1" s="1"/>
  <c r="BM188" i="1" s="1"/>
  <c r="BL161" i="1"/>
  <c r="BL191" i="1" s="1"/>
  <c r="BM191" i="1" s="1"/>
  <c r="BL130" i="1"/>
  <c r="BM130" i="1" s="1"/>
  <c r="CA81" i="1"/>
  <c r="CF81" i="1"/>
  <c r="CF154" i="1"/>
  <c r="CG154" i="1" s="1"/>
  <c r="CF141" i="1"/>
  <c r="CB82" i="1"/>
  <c r="CF152" i="1"/>
  <c r="CF187" i="1" s="1"/>
  <c r="CG187" i="1" s="1"/>
  <c r="CG152" i="1" s="1"/>
  <c r="CF130" i="1"/>
  <c r="CG130" i="1" s="1"/>
  <c r="CB157" i="1"/>
  <c r="CC157" i="1" s="1"/>
  <c r="CF172" i="1"/>
  <c r="CG172" i="1" s="1"/>
  <c r="CB133" i="1"/>
  <c r="CC133" i="1" s="1"/>
  <c r="CB171" i="1"/>
  <c r="CC171" i="1" s="1"/>
  <c r="CD82" i="1"/>
  <c r="CB167" i="1"/>
  <c r="CD153" i="1"/>
  <c r="CD188" i="1" s="1"/>
  <c r="CE188" i="1" s="1"/>
  <c r="CD130" i="1"/>
  <c r="CE130" i="1" s="1"/>
  <c r="BL133" i="1"/>
  <c r="CD139" i="1"/>
  <c r="CD159" i="1"/>
  <c r="CE159" i="1" s="1"/>
  <c r="CD167" i="1"/>
  <c r="CD150" i="1"/>
  <c r="CE150" i="1" s="1"/>
  <c r="CF148" i="1"/>
  <c r="CF134" i="1"/>
  <c r="CG134" i="1" s="1"/>
  <c r="CB150" i="1"/>
  <c r="CC150" i="1" s="1"/>
  <c r="BL162" i="1"/>
  <c r="BM162" i="1" s="1"/>
  <c r="BL171" i="1"/>
  <c r="BM171" i="1" s="1"/>
  <c r="BL172" i="1"/>
  <c r="CB134" i="1"/>
  <c r="CC134" i="1" s="1"/>
  <c r="CE82" i="1"/>
  <c r="BZ167" i="1"/>
  <c r="BZ171" i="1"/>
  <c r="CA171" i="1" s="1"/>
  <c r="BZ127" i="1"/>
  <c r="BZ135" i="1"/>
  <c r="CA135" i="1" s="1"/>
  <c r="CF153" i="1"/>
  <c r="CF188" i="1" s="1"/>
  <c r="CG188" i="1" s="1"/>
  <c r="CG153" i="1" s="1"/>
  <c r="CF140" i="1"/>
  <c r="CF157" i="1"/>
  <c r="CB127" i="1"/>
  <c r="CB153" i="1"/>
  <c r="CB188" i="1" s="1"/>
  <c r="CC188" i="1" s="1"/>
  <c r="CD168" i="1"/>
  <c r="CD160" i="1"/>
  <c r="CE160" i="1" s="1"/>
  <c r="CB81" i="1"/>
  <c r="BZ163" i="1"/>
  <c r="CA163" i="1" s="1"/>
  <c r="BZ141" i="1"/>
  <c r="BZ125" i="1"/>
  <c r="BZ155" i="1"/>
  <c r="CA155" i="1" s="1"/>
  <c r="BZ82" i="1"/>
  <c r="BZ132" i="1"/>
  <c r="CA132" i="1" s="1"/>
  <c r="BZ134" i="1"/>
  <c r="CA134" i="1" s="1"/>
  <c r="BZ150" i="1"/>
  <c r="CA150" i="1" s="1"/>
  <c r="BZ139" i="1"/>
  <c r="BL141" i="1"/>
  <c r="BL157" i="1"/>
  <c r="BM157" i="1" s="1"/>
  <c r="CF132" i="1"/>
  <c r="CF161" i="1"/>
  <c r="CF191" i="1" s="1"/>
  <c r="CG191" i="1" s="1"/>
  <c r="CG161" i="1" s="1"/>
  <c r="CD162" i="1"/>
  <c r="CE162" i="1" s="1"/>
  <c r="CF162" i="1"/>
  <c r="CG162" i="1" s="1"/>
  <c r="CB139" i="1"/>
  <c r="CB162" i="1"/>
  <c r="CC162" i="1" s="1"/>
  <c r="BY82" i="1"/>
  <c r="CD171" i="1"/>
  <c r="CE171" i="1" s="1"/>
  <c r="CD143" i="1"/>
  <c r="CE143" i="1" s="1"/>
  <c r="BL168" i="1"/>
  <c r="CB161" i="1"/>
  <c r="CB191" i="1" s="1"/>
  <c r="CC191" i="1" s="1"/>
  <c r="CB126" i="1"/>
  <c r="CC126" i="1" s="1"/>
  <c r="BL158" i="1"/>
  <c r="BM158" i="1" s="1"/>
  <c r="CD135" i="1"/>
  <c r="CE135" i="1" s="1"/>
  <c r="CD155" i="1"/>
  <c r="CE155" i="1" s="1"/>
  <c r="CD127" i="1"/>
  <c r="CD154" i="1"/>
  <c r="CE154" i="1" s="1"/>
  <c r="CD163" i="1"/>
  <c r="CE163" i="1" s="1"/>
  <c r="CD148" i="1"/>
  <c r="CE148" i="1" s="1"/>
  <c r="CF125" i="1"/>
  <c r="CF126" i="1"/>
  <c r="CG126" i="1" s="1"/>
  <c r="CF159" i="1"/>
  <c r="CG159" i="1" s="1"/>
  <c r="CF171" i="1"/>
  <c r="CG171" i="1" s="1"/>
  <c r="CB168" i="1"/>
  <c r="CB148" i="1"/>
  <c r="AI82" i="1"/>
  <c r="BL155" i="1"/>
  <c r="BM155" i="1" s="1"/>
  <c r="BL143" i="1"/>
  <c r="BM143" i="1" s="1"/>
  <c r="BL134" i="1"/>
  <c r="BM134" i="1" s="1"/>
  <c r="CB132" i="1"/>
  <c r="CC132" i="1" s="1"/>
  <c r="BL154" i="1"/>
  <c r="BM154" i="1" s="1"/>
  <c r="BZ143" i="1"/>
  <c r="CA143" i="1" s="1"/>
  <c r="BZ81" i="1"/>
  <c r="BL160" i="1"/>
  <c r="BM160" i="1" s="1"/>
  <c r="CB140" i="1"/>
  <c r="CF155" i="1"/>
  <c r="CG155" i="1" s="1"/>
  <c r="CB155" i="1"/>
  <c r="CC155" i="1" s="1"/>
  <c r="CD81" i="1"/>
  <c r="CC82" i="1"/>
  <c r="CD126" i="1"/>
  <c r="CE126" i="1" s="1"/>
  <c r="BL127" i="1"/>
  <c r="CD133" i="1"/>
  <c r="CE133" i="1" s="1"/>
  <c r="CF167" i="1"/>
  <c r="CF160" i="1"/>
  <c r="CG160" i="1" s="1"/>
  <c r="CE81" i="1"/>
  <c r="BZ153" i="1"/>
  <c r="BZ188" i="1" s="1"/>
  <c r="CA188" i="1" s="1"/>
  <c r="BZ130" i="1"/>
  <c r="CA130" i="1" s="1"/>
  <c r="BZ152" i="1"/>
  <c r="BZ187" i="1" s="1"/>
  <c r="CA187" i="1" s="1"/>
  <c r="BZ126" i="1"/>
  <c r="CA126" i="1" s="1"/>
  <c r="BZ157" i="1"/>
  <c r="BZ159" i="1"/>
  <c r="CA159" i="1" s="1"/>
  <c r="BZ154" i="1"/>
  <c r="CA154" i="1" s="1"/>
  <c r="BZ148" i="1"/>
  <c r="CA148" i="1" s="1"/>
  <c r="BZ160" i="1"/>
  <c r="CA160" i="1" s="1"/>
  <c r="BL163" i="1"/>
  <c r="BM163" i="1" s="1"/>
  <c r="BL152" i="1"/>
  <c r="BL187" i="1" s="1"/>
  <c r="BM187" i="1" s="1"/>
  <c r="BL139" i="1"/>
  <c r="BL140" i="1"/>
  <c r="CA82" i="1"/>
  <c r="CF163" i="1"/>
  <c r="CG163" i="1" s="1"/>
  <c r="CF158" i="1"/>
  <c r="CG158" i="1" s="1"/>
  <c r="CF168" i="1"/>
  <c r="CB125" i="1"/>
  <c r="CC125" i="1" s="1"/>
  <c r="CF139" i="1"/>
  <c r="CF127" i="1"/>
  <c r="CG127" i="1" s="1"/>
  <c r="CF133" i="1"/>
  <c r="CG133" i="1" s="1"/>
  <c r="CD134" i="1"/>
  <c r="CE134" i="1" s="1"/>
  <c r="CB163" i="1"/>
  <c r="CC163" i="1" s="1"/>
  <c r="CB143" i="1"/>
  <c r="CC143" i="1" s="1"/>
  <c r="CB159" i="1"/>
  <c r="CC159" i="1" s="1"/>
  <c r="CD125" i="1"/>
  <c r="BL148" i="1"/>
  <c r="CB141" i="1"/>
  <c r="BL135" i="1"/>
  <c r="BM135" i="1" s="1"/>
  <c r="CD140" i="1"/>
  <c r="CD152" i="1"/>
  <c r="CD187" i="1" s="1"/>
  <c r="CE187" i="1" s="1"/>
  <c r="CD158" i="1"/>
  <c r="CE158" i="1" s="1"/>
  <c r="CD157" i="1"/>
  <c r="CE157" i="1" s="1"/>
  <c r="CD172" i="1"/>
  <c r="CE172" i="1" s="1"/>
  <c r="CF143" i="1"/>
  <c r="CG143" i="1" s="1"/>
  <c r="CF150" i="1"/>
  <c r="CG150" i="1" s="1"/>
  <c r="CC81" i="1"/>
  <c r="CB158" i="1"/>
  <c r="CC158" i="1" s="1"/>
  <c r="CB130" i="1"/>
  <c r="CC130" i="1" s="1"/>
  <c r="BL167" i="1"/>
  <c r="BL125" i="1"/>
  <c r="BM125" i="1" s="1"/>
  <c r="BL159" i="1"/>
  <c r="BM159" i="1" s="1"/>
  <c r="BL150" i="1"/>
  <c r="BM150" i="1" s="1"/>
  <c r="BL126" i="1"/>
  <c r="BM126" i="1" s="1"/>
  <c r="BL261" i="1"/>
  <c r="CH106" i="1"/>
  <c r="CH107" i="1" s="1"/>
  <c r="CB145" i="1"/>
  <c r="CC145" i="1" s="1"/>
  <c r="CF145" i="1"/>
  <c r="CG145" i="1" s="1"/>
  <c r="CD145" i="1"/>
  <c r="CE145" i="1" s="1"/>
  <c r="BL145" i="1"/>
  <c r="BM145" i="1" s="1"/>
  <c r="BZ145" i="1"/>
  <c r="CA145" i="1" s="1"/>
  <c r="BL151" i="1"/>
  <c r="CD151" i="1"/>
  <c r="CB151" i="1"/>
  <c r="CF151" i="1"/>
  <c r="BZ151" i="1"/>
  <c r="CA260" i="1"/>
  <c r="JJ21" i="4"/>
  <c r="CD85" i="1" s="1"/>
  <c r="CA18" i="1"/>
  <c r="CA24" i="1" s="1"/>
  <c r="CA25" i="1" s="1"/>
  <c r="JK14" i="4"/>
  <c r="BL18" i="1"/>
  <c r="BL24" i="1" s="1"/>
  <c r="BY18" i="1"/>
  <c r="BY24" i="1" s="1"/>
  <c r="BL202" i="1"/>
  <c r="CF18" i="1"/>
  <c r="AA66" i="1" s="1"/>
  <c r="CF260" i="1"/>
  <c r="JL21" i="4"/>
  <c r="CF85" i="1" s="1"/>
  <c r="Y218" i="1"/>
  <c r="Y219" i="1" s="1"/>
  <c r="CF106" i="1"/>
  <c r="CF107" i="1" s="1"/>
  <c r="CB34" i="1"/>
  <c r="CB11" i="1" s="1"/>
  <c r="CE239" i="1"/>
  <c r="CC261" i="1"/>
  <c r="CA34" i="1"/>
  <c r="CA11" i="1" s="1"/>
  <c r="CE260" i="1"/>
  <c r="CC260" i="1"/>
  <c r="JM7" i="4"/>
  <c r="CA261" i="1"/>
  <c r="JJ8" i="4"/>
  <c r="Z218" i="1"/>
  <c r="Z219" i="1" s="1"/>
  <c r="CF34" i="1"/>
  <c r="CF11" i="1" s="1"/>
  <c r="BZ260" i="1"/>
  <c r="BZ18" i="1"/>
  <c r="CA202" i="1"/>
  <c r="CD261" i="1"/>
  <c r="CB106" i="1"/>
  <c r="CB107" i="1" s="1"/>
  <c r="JK21" i="4"/>
  <c r="CE85" i="1" s="1"/>
  <c r="JK15" i="4"/>
  <c r="CD260" i="1"/>
  <c r="JL14" i="4"/>
  <c r="CC34" i="1"/>
  <c r="CC11" i="1" s="1"/>
  <c r="BY34" i="1"/>
  <c r="BY11" i="1" s="1"/>
  <c r="CI106" i="1"/>
  <c r="CI107" i="1" s="1"/>
  <c r="CI110" i="1" s="1"/>
  <c r="CF239" i="1"/>
  <c r="BY261" i="1"/>
  <c r="JL8" i="4"/>
  <c r="CE34" i="1"/>
  <c r="CE11" i="1" s="1"/>
  <c r="BL260" i="1"/>
  <c r="CE106" i="1"/>
  <c r="CE107" i="1" s="1"/>
  <c r="CD18" i="1"/>
  <c r="CD24" i="1" s="1"/>
  <c r="CH26" i="1" s="1"/>
  <c r="CC18" i="1"/>
  <c r="CD202" i="1"/>
  <c r="CE18" i="1"/>
  <c r="CG106" i="1"/>
  <c r="CG107" i="1" s="1"/>
  <c r="CD106" i="1"/>
  <c r="CD107" i="1" s="1"/>
  <c r="CB18" i="1"/>
  <c r="CB24" i="1" s="1"/>
  <c r="CB260" i="1"/>
  <c r="CC106" i="1"/>
  <c r="CC107" i="1" s="1"/>
  <c r="JJ15" i="4"/>
  <c r="CB261" i="1"/>
  <c r="BY260" i="1"/>
  <c r="CD34" i="1"/>
  <c r="CD11" i="1" s="1"/>
  <c r="JM8" i="4"/>
  <c r="JL7" i="4"/>
  <c r="CF261" i="1"/>
  <c r="JJ7" i="4"/>
  <c r="JK8" i="4"/>
  <c r="JM21" i="4"/>
  <c r="CG85" i="1" s="1"/>
  <c r="BZ261" i="1"/>
  <c r="CE261" i="1"/>
  <c r="JK7" i="4"/>
  <c r="BL34" i="1"/>
  <c r="BL11" i="1" s="1"/>
  <c r="JL15" i="4"/>
  <c r="BZ34" i="1"/>
  <c r="BZ11" i="1" s="1"/>
  <c r="JM14" i="4"/>
  <c r="JM15" i="4"/>
  <c r="JJ14" i="4"/>
  <c r="CI102" i="1"/>
  <c r="CI104" i="1"/>
  <c r="CI103" i="1"/>
  <c r="CR25" i="1"/>
  <c r="CS25" i="1" s="1"/>
  <c r="CS188" i="1"/>
  <c r="CS191" i="1"/>
  <c r="CS187" i="1"/>
  <c r="CT132" i="1"/>
  <c r="AD54" i="1"/>
  <c r="CZ54" i="1"/>
  <c r="DA54" i="1" s="1"/>
  <c r="DB54" i="1" s="1"/>
  <c r="AE43" i="1"/>
  <c r="U16" i="1"/>
  <c r="U8" i="1" s="1"/>
  <c r="V16" i="1"/>
  <c r="V8" i="1" s="1"/>
  <c r="W16" i="1"/>
  <c r="W8" i="1" s="1"/>
  <c r="CC12" i="1" l="1"/>
  <c r="CE12" i="1"/>
  <c r="CR48" i="1"/>
  <c r="CS48" i="1"/>
  <c r="CT48" i="1"/>
  <c r="CJ95" i="1"/>
  <c r="CJ94" i="1"/>
  <c r="CT8" i="1"/>
  <c r="CJ93" i="1"/>
  <c r="CR210" i="1"/>
  <c r="CS148" i="1"/>
  <c r="AD139" i="1"/>
  <c r="CY139" i="1"/>
  <c r="CZ139" i="1" s="1"/>
  <c r="DA139" i="1" s="1"/>
  <c r="DB139" i="1" s="1"/>
  <c r="AE139" i="1" s="1"/>
  <c r="BL12" i="1"/>
  <c r="CA12" i="1"/>
  <c r="CF97" i="1"/>
  <c r="CF12" i="1"/>
  <c r="CW35" i="1"/>
  <c r="BY12" i="1"/>
  <c r="CD12" i="1"/>
  <c r="CS19" i="1"/>
  <c r="CB12" i="1"/>
  <c r="BZ12" i="1"/>
  <c r="CT16" i="1"/>
  <c r="CT18" i="1" s="1"/>
  <c r="CT20" i="1" s="1"/>
  <c r="CQ193" i="1"/>
  <c r="CR192" i="1"/>
  <c r="CP190" i="1"/>
  <c r="CP194" i="1" s="1"/>
  <c r="CQ189" i="1"/>
  <c r="CS133" i="1"/>
  <c r="CR136" i="1"/>
  <c r="CR257" i="1" s="1"/>
  <c r="CQ214" i="1"/>
  <c r="BZ169" i="1"/>
  <c r="BL169" i="1"/>
  <c r="CB210" i="1"/>
  <c r="CA125" i="1"/>
  <c r="BZ128" i="1"/>
  <c r="BZ100" i="1" s="1"/>
  <c r="BL128" i="1"/>
  <c r="BL100" i="1" s="1"/>
  <c r="CB169" i="1"/>
  <c r="CC217" i="1" s="1"/>
  <c r="CG132" i="1"/>
  <c r="CG136" i="1" s="1"/>
  <c r="CF136" i="1"/>
  <c r="CD142" i="1"/>
  <c r="CE41" i="1" s="1"/>
  <c r="CC148" i="1"/>
  <c r="CD210" i="1" s="1"/>
  <c r="CE125" i="1"/>
  <c r="CD128" i="1"/>
  <c r="CD100" i="1" s="1"/>
  <c r="CD102" i="1" s="1"/>
  <c r="BM148" i="1"/>
  <c r="BM210" i="1" s="1"/>
  <c r="CD169" i="1"/>
  <c r="CF210" i="1"/>
  <c r="CE136" i="1"/>
  <c r="BM133" i="1"/>
  <c r="BM136" i="1" s="1"/>
  <c r="BL136" i="1"/>
  <c r="CG148" i="1"/>
  <c r="CG157" i="1"/>
  <c r="CG164" i="1" s="1"/>
  <c r="CF164" i="1"/>
  <c r="CF193" i="1" s="1"/>
  <c r="CF192" i="1" s="1"/>
  <c r="CG125" i="1"/>
  <c r="CG128" i="1" s="1"/>
  <c r="CF128" i="1"/>
  <c r="CF100" i="1" s="1"/>
  <c r="CF102" i="1" s="1"/>
  <c r="CA157" i="1"/>
  <c r="BZ164" i="1"/>
  <c r="BZ193" i="1" s="1"/>
  <c r="BZ192" i="1" s="1"/>
  <c r="BZ142" i="1"/>
  <c r="BZ146" i="1" s="1"/>
  <c r="CA136" i="1"/>
  <c r="CB142" i="1"/>
  <c r="CF169" i="1"/>
  <c r="BL142" i="1"/>
  <c r="CF142" i="1"/>
  <c r="CF146" i="1" s="1"/>
  <c r="CC136" i="1"/>
  <c r="CB136" i="1"/>
  <c r="CE210" i="1"/>
  <c r="BZ136" i="1"/>
  <c r="CB164" i="1"/>
  <c r="CB193" i="1" s="1"/>
  <c r="CB192" i="1" s="1"/>
  <c r="BL164" i="1"/>
  <c r="BL193" i="1" s="1"/>
  <c r="BL192" i="1" s="1"/>
  <c r="CD164" i="1"/>
  <c r="CD193" i="1" s="1"/>
  <c r="CD192" i="1" s="1"/>
  <c r="CB128" i="1"/>
  <c r="CD136" i="1"/>
  <c r="CH110" i="1"/>
  <c r="CH111" i="1"/>
  <c r="CH112" i="1"/>
  <c r="BM151" i="1"/>
  <c r="BL156" i="1"/>
  <c r="CE151" i="1"/>
  <c r="CD156" i="1"/>
  <c r="CC151" i="1"/>
  <c r="CB156" i="1"/>
  <c r="CG151" i="1"/>
  <c r="CG156" i="1" s="1"/>
  <c r="CG190" i="1" s="1"/>
  <c r="CG189" i="1" s="1"/>
  <c r="CF156" i="1"/>
  <c r="CA151" i="1"/>
  <c r="BZ156" i="1"/>
  <c r="CD110" i="1"/>
  <c r="CA35" i="1"/>
  <c r="CA20" i="1"/>
  <c r="JK19" i="4"/>
  <c r="CE86" i="1" s="1"/>
  <c r="BL35" i="1"/>
  <c r="CC19" i="1"/>
  <c r="CC35" i="1"/>
  <c r="CI233" i="1"/>
  <c r="CF24" i="1"/>
  <c r="CG20" i="1"/>
  <c r="CJ19" i="1"/>
  <c r="BY35" i="1"/>
  <c r="JL20" i="4"/>
  <c r="CF87" i="1" s="1"/>
  <c r="CF112" i="1" s="1"/>
  <c r="BZ24" i="1"/>
  <c r="CD26" i="1" s="1"/>
  <c r="CF35" i="1"/>
  <c r="Y66" i="1"/>
  <c r="JJ19" i="4"/>
  <c r="CD86" i="1" s="1"/>
  <c r="CD115" i="1" s="1"/>
  <c r="JM20" i="4"/>
  <c r="CG87" i="1" s="1"/>
  <c r="CD35" i="1"/>
  <c r="JM19" i="4"/>
  <c r="CG86" i="1" s="1"/>
  <c r="CE161" i="1"/>
  <c r="CE164" i="1" s="1"/>
  <c r="CE193" i="1" s="1"/>
  <c r="CE192" i="1" s="1"/>
  <c r="CF110" i="1"/>
  <c r="JJ20" i="4"/>
  <c r="CD87" i="1" s="1"/>
  <c r="CD116" i="1" s="1"/>
  <c r="JL19" i="4"/>
  <c r="CF86" i="1" s="1"/>
  <c r="JK20" i="4"/>
  <c r="CE87" i="1" s="1"/>
  <c r="CE116" i="1" s="1"/>
  <c r="CA36" i="1"/>
  <c r="CA240" i="1" s="1"/>
  <c r="CA241" i="1" s="1"/>
  <c r="CD196" i="1"/>
  <c r="CD19" i="1"/>
  <c r="BZ20" i="1"/>
  <c r="CD233" i="1"/>
  <c r="BZ35" i="1"/>
  <c r="CE152" i="1"/>
  <c r="CE196" i="1"/>
  <c r="CG196" i="1"/>
  <c r="CF19" i="1"/>
  <c r="CH233" i="1"/>
  <c r="CJ196" i="1"/>
  <c r="CE35" i="1"/>
  <c r="CC24" i="1"/>
  <c r="CC27" i="1" s="1"/>
  <c r="CF233" i="1"/>
  <c r="CB20" i="1"/>
  <c r="CH252" i="1"/>
  <c r="Z66" i="1"/>
  <c r="CE19" i="1"/>
  <c r="CG110" i="1"/>
  <c r="CE110" i="1"/>
  <c r="CG233" i="1"/>
  <c r="CF20" i="1"/>
  <c r="CF196" i="1"/>
  <c r="CE233" i="1"/>
  <c r="CC20" i="1"/>
  <c r="CC233" i="1"/>
  <c r="CE153" i="1"/>
  <c r="CB35" i="1"/>
  <c r="CB25" i="1"/>
  <c r="CB36" i="1"/>
  <c r="CB27" i="1"/>
  <c r="CD36" i="1"/>
  <c r="CH38" i="1" s="1"/>
  <c r="CD20" i="1"/>
  <c r="CH19" i="1"/>
  <c r="CI196" i="1"/>
  <c r="CI111" i="1"/>
  <c r="CE24" i="1"/>
  <c r="CE27" i="1" s="1"/>
  <c r="CI19" i="1"/>
  <c r="CD25" i="1"/>
  <c r="CI112" i="1"/>
  <c r="CG19" i="1"/>
  <c r="CE20" i="1"/>
  <c r="CH196" i="1"/>
  <c r="CA210" i="1"/>
  <c r="BL25" i="1"/>
  <c r="BL36" i="1"/>
  <c r="BY25" i="1"/>
  <c r="BY36" i="1"/>
  <c r="CT25" i="1"/>
  <c r="CU25" i="1" s="1"/>
  <c r="CT187" i="1"/>
  <c r="CT191" i="1"/>
  <c r="CU132" i="1"/>
  <c r="CT188" i="1"/>
  <c r="AE54" i="1"/>
  <c r="V239" i="1"/>
  <c r="W239" i="1"/>
  <c r="U239" i="1"/>
  <c r="CF36" i="1" l="1"/>
  <c r="AA68" i="1" s="1"/>
  <c r="AA67" i="1"/>
  <c r="CU48" i="1"/>
  <c r="CV48" i="1"/>
  <c r="CU8" i="1"/>
  <c r="CS210" i="1"/>
  <c r="CT148" i="1"/>
  <c r="CX35" i="1"/>
  <c r="CY35" i="1" s="1"/>
  <c r="CC210" i="1"/>
  <c r="CT19" i="1"/>
  <c r="CG257" i="1"/>
  <c r="CS192" i="1"/>
  <c r="CR193" i="1"/>
  <c r="CQ190" i="1"/>
  <c r="CQ194" i="1" s="1"/>
  <c r="CR189" i="1"/>
  <c r="CH210" i="1"/>
  <c r="CG210" i="1"/>
  <c r="CA217" i="1"/>
  <c r="BZ256" i="1"/>
  <c r="CT133" i="1"/>
  <c r="CS136" i="1"/>
  <c r="CS257" i="1" s="1"/>
  <c r="CD214" i="1"/>
  <c r="CF257" i="1"/>
  <c r="BM217" i="1"/>
  <c r="BL256" i="1"/>
  <c r="CF214" i="1"/>
  <c r="CF137" i="1"/>
  <c r="CR214" i="1"/>
  <c r="BL137" i="1"/>
  <c r="BL176" i="1"/>
  <c r="BL117" i="1" s="1"/>
  <c r="CA41" i="1"/>
  <c r="CA142" i="1"/>
  <c r="CB146" i="1"/>
  <c r="CC41" i="1"/>
  <c r="CC142" i="1"/>
  <c r="BZ176" i="1"/>
  <c r="BZ137" i="1"/>
  <c r="CF103" i="1"/>
  <c r="CD146" i="1"/>
  <c r="CE142" i="1"/>
  <c r="CE217" i="1"/>
  <c r="CD256" i="1"/>
  <c r="CA257" i="1"/>
  <c r="CA214" i="1"/>
  <c r="BM214" i="1"/>
  <c r="BM257" i="1"/>
  <c r="CH215" i="1"/>
  <c r="CG100" i="1"/>
  <c r="CG103" i="1" s="1"/>
  <c r="CG215" i="1"/>
  <c r="CG217" i="1"/>
  <c r="CF176" i="1"/>
  <c r="CF256" i="1"/>
  <c r="BM142" i="1"/>
  <c r="BM146" i="1" s="1"/>
  <c r="BL146" i="1"/>
  <c r="BL254" i="1" s="1"/>
  <c r="CG41" i="1"/>
  <c r="CG142" i="1"/>
  <c r="CH257" i="1"/>
  <c r="CH259" i="1" s="1"/>
  <c r="CH214" i="1"/>
  <c r="CG137" i="1"/>
  <c r="CG214" i="1"/>
  <c r="CB257" i="1"/>
  <c r="CB137" i="1"/>
  <c r="CB176" i="1"/>
  <c r="CB214" i="1"/>
  <c r="CB100" i="1"/>
  <c r="CB256" i="1"/>
  <c r="CC257" i="1"/>
  <c r="CC214" i="1"/>
  <c r="CE214" i="1"/>
  <c r="CD257" i="1"/>
  <c r="CD137" i="1"/>
  <c r="CD176" i="1"/>
  <c r="CE257" i="1"/>
  <c r="BL190" i="1"/>
  <c r="BL165" i="1"/>
  <c r="CD190" i="1"/>
  <c r="CD165" i="1"/>
  <c r="CB190" i="1"/>
  <c r="CB165" i="1"/>
  <c r="CF190" i="1"/>
  <c r="CF165" i="1"/>
  <c r="CF173" i="1" s="1"/>
  <c r="BZ190" i="1"/>
  <c r="BZ165" i="1"/>
  <c r="BZ173" i="1" s="1"/>
  <c r="CE111" i="1"/>
  <c r="CE115" i="1"/>
  <c r="BZ27" i="1"/>
  <c r="BZ36" i="1"/>
  <c r="BZ25" i="1"/>
  <c r="CA27" i="1"/>
  <c r="CG193" i="1"/>
  <c r="CH205" i="1"/>
  <c r="CG205" i="1"/>
  <c r="CJ26" i="1"/>
  <c r="CF25" i="1"/>
  <c r="CG27" i="1"/>
  <c r="CF26" i="1"/>
  <c r="BZ254" i="1"/>
  <c r="CF254" i="1"/>
  <c r="CF252" i="1"/>
  <c r="CF116" i="1"/>
  <c r="CF104" i="1"/>
  <c r="CG116" i="1"/>
  <c r="CG112" i="1"/>
  <c r="CG115" i="1"/>
  <c r="CG111" i="1"/>
  <c r="CF115" i="1"/>
  <c r="CF111" i="1"/>
  <c r="CG39" i="1"/>
  <c r="CI120" i="1"/>
  <c r="CG26" i="1"/>
  <c r="CC25" i="1"/>
  <c r="Y67" i="1"/>
  <c r="CC36" i="1"/>
  <c r="CC42" i="1" s="1"/>
  <c r="CC46" i="1" s="1"/>
  <c r="CD27" i="1"/>
  <c r="CC26" i="1"/>
  <c r="CD104" i="1"/>
  <c r="CD111" i="1"/>
  <c r="CE156" i="1"/>
  <c r="CD103" i="1"/>
  <c r="CE205" i="1"/>
  <c r="CG204" i="1"/>
  <c r="CD112" i="1"/>
  <c r="CF205" i="1"/>
  <c r="CA42" i="1"/>
  <c r="CA46" i="1" s="1"/>
  <c r="CA49" i="1" s="1"/>
  <c r="CA56" i="1" s="1"/>
  <c r="CA201" i="1" s="1"/>
  <c r="CA203" i="1" s="1"/>
  <c r="CI234" i="1"/>
  <c r="CA37" i="1"/>
  <c r="CG258" i="1"/>
  <c r="CE112" i="1"/>
  <c r="CF37" i="1"/>
  <c r="CF240" i="1"/>
  <c r="CF241" i="1" s="1"/>
  <c r="CJ38" i="1"/>
  <c r="CF42" i="1"/>
  <c r="CG165" i="1"/>
  <c r="CH204" i="1"/>
  <c r="CD37" i="1"/>
  <c r="CB37" i="1"/>
  <c r="CB240" i="1"/>
  <c r="CB241" i="1" s="1"/>
  <c r="CB42" i="1"/>
  <c r="CB46" i="1" s="1"/>
  <c r="CB39" i="1"/>
  <c r="CB258" i="1"/>
  <c r="CF38" i="1"/>
  <c r="CD240" i="1"/>
  <c r="CD241" i="1" s="1"/>
  <c r="CD42" i="1"/>
  <c r="CD46" i="1" s="1"/>
  <c r="CD49" i="1" s="1"/>
  <c r="CD242" i="1" s="1"/>
  <c r="CF27" i="1"/>
  <c r="CE26" i="1"/>
  <c r="CI26" i="1"/>
  <c r="Z67" i="1"/>
  <c r="CE36" i="1"/>
  <c r="CG234" i="1" s="1"/>
  <c r="CE25" i="1"/>
  <c r="BY42" i="1"/>
  <c r="BY46" i="1" s="1"/>
  <c r="BY37" i="1"/>
  <c r="BL42" i="1"/>
  <c r="BL46" i="1" s="1"/>
  <c r="BL37" i="1"/>
  <c r="CV25" i="1"/>
  <c r="CU187" i="1"/>
  <c r="CV132" i="1"/>
  <c r="CU188" i="1"/>
  <c r="CU191" i="1"/>
  <c r="AB158" i="1"/>
  <c r="A1" i="1"/>
  <c r="CW48" i="1" l="1"/>
  <c r="CX48" i="1"/>
  <c r="CY48" i="1"/>
  <c r="CZ48" i="1"/>
  <c r="CU16" i="1"/>
  <c r="CU18" i="1" s="1"/>
  <c r="CV8" i="1"/>
  <c r="CW8" i="1"/>
  <c r="CW16" i="1" s="1"/>
  <c r="CW18" i="1" s="1"/>
  <c r="CZ35" i="1"/>
  <c r="DA35" i="1" s="1"/>
  <c r="DB35" i="1" s="1"/>
  <c r="CT210" i="1"/>
  <c r="CU148" i="1"/>
  <c r="CG259" i="1"/>
  <c r="CW19" i="1"/>
  <c r="CF174" i="1"/>
  <c r="CT192" i="1"/>
  <c r="CS193" i="1"/>
  <c r="CR190" i="1"/>
  <c r="CR194" i="1" s="1"/>
  <c r="CS189" i="1"/>
  <c r="CA146" i="1"/>
  <c r="CB41" i="1"/>
  <c r="CB173" i="1"/>
  <c r="CB174" i="1" s="1"/>
  <c r="CD173" i="1"/>
  <c r="CD174" i="1" s="1"/>
  <c r="CU133" i="1"/>
  <c r="CT136" i="1"/>
  <c r="CT257" i="1" s="1"/>
  <c r="CB254" i="1"/>
  <c r="CB252" i="1"/>
  <c r="CE146" i="1"/>
  <c r="CF41" i="1"/>
  <c r="CS214" i="1"/>
  <c r="CB259" i="1"/>
  <c r="CG213" i="1"/>
  <c r="BZ174" i="1"/>
  <c r="CD41" i="1"/>
  <c r="CC146" i="1"/>
  <c r="BZ117" i="1"/>
  <c r="CA45" i="1"/>
  <c r="CD252" i="1"/>
  <c r="CD254" i="1"/>
  <c r="CH213" i="1"/>
  <c r="CG102" i="1"/>
  <c r="CG104" i="1"/>
  <c r="CF117" i="1"/>
  <c r="CG45" i="1"/>
  <c r="CH41" i="1"/>
  <c r="CG146" i="1"/>
  <c r="CB117" i="1"/>
  <c r="CC45" i="1"/>
  <c r="CD117" i="1"/>
  <c r="CE45" i="1"/>
  <c r="CF189" i="1"/>
  <c r="CF194" i="1"/>
  <c r="CJ197" i="1" s="1"/>
  <c r="BL194" i="1"/>
  <c r="BL189" i="1"/>
  <c r="CD194" i="1"/>
  <c r="CD189" i="1"/>
  <c r="CB194" i="1"/>
  <c r="CB189" i="1"/>
  <c r="BZ189" i="1"/>
  <c r="BZ194" i="1"/>
  <c r="CG206" i="1"/>
  <c r="CG207" i="1" s="1"/>
  <c r="BZ37" i="1"/>
  <c r="BZ42" i="1"/>
  <c r="CA258" i="1"/>
  <c r="CA259" i="1" s="1"/>
  <c r="CA39" i="1"/>
  <c r="BZ240" i="1"/>
  <c r="BZ241" i="1" s="1"/>
  <c r="CD38" i="1"/>
  <c r="BZ39" i="1"/>
  <c r="BZ258" i="1"/>
  <c r="CB120" i="1"/>
  <c r="CH206" i="1"/>
  <c r="CH207" i="1" s="1"/>
  <c r="CD120" i="1"/>
  <c r="CC258" i="1"/>
  <c r="CC259" i="1" s="1"/>
  <c r="CE204" i="1"/>
  <c r="CE206" i="1" s="1"/>
  <c r="CE165" i="1"/>
  <c r="CG192" i="1"/>
  <c r="CG194" i="1"/>
  <c r="CC240" i="1"/>
  <c r="CC241" i="1" s="1"/>
  <c r="CG38" i="1"/>
  <c r="Y68" i="1"/>
  <c r="CC37" i="1"/>
  <c r="CC234" i="1"/>
  <c r="CD258" i="1"/>
  <c r="CD259" i="1" s="1"/>
  <c r="CC120" i="1"/>
  <c r="CD234" i="1"/>
  <c r="CC39" i="1"/>
  <c r="CD39" i="1"/>
  <c r="CC38" i="1"/>
  <c r="CC49" i="1"/>
  <c r="CC48" i="1"/>
  <c r="CF46" i="1"/>
  <c r="CI63" i="1"/>
  <c r="CE190" i="1"/>
  <c r="CF204" i="1"/>
  <c r="CF206" i="1" s="1"/>
  <c r="CA48" i="1"/>
  <c r="CA74" i="1"/>
  <c r="CA127" i="1"/>
  <c r="CA128" i="1" s="1"/>
  <c r="CA100" i="1" s="1"/>
  <c r="CH51" i="1"/>
  <c r="CD48" i="1"/>
  <c r="CA60" i="1"/>
  <c r="CA242" i="1"/>
  <c r="CA50" i="1"/>
  <c r="CA253" i="1" s="1"/>
  <c r="CD50" i="1"/>
  <c r="CD253" i="1" s="1"/>
  <c r="CF120" i="1"/>
  <c r="CD63" i="1"/>
  <c r="CD56" i="1"/>
  <c r="CD60" i="1" s="1"/>
  <c r="CE39" i="1"/>
  <c r="CE120" i="1"/>
  <c r="CE234" i="1"/>
  <c r="CB48" i="1"/>
  <c r="CB49" i="1"/>
  <c r="CE258" i="1"/>
  <c r="CE259" i="1" s="1"/>
  <c r="CF258" i="1"/>
  <c r="CF259" i="1" s="1"/>
  <c r="CE240" i="1"/>
  <c r="CE241" i="1" s="1"/>
  <c r="Z68" i="1"/>
  <c r="CE38" i="1"/>
  <c r="CH120" i="1"/>
  <c r="CE37" i="1"/>
  <c r="CG120" i="1"/>
  <c r="CE42" i="1"/>
  <c r="CH234" i="1"/>
  <c r="CF39" i="1"/>
  <c r="CI38" i="1"/>
  <c r="CF234" i="1"/>
  <c r="BL49" i="1"/>
  <c r="BL48" i="1"/>
  <c r="BY48" i="1"/>
  <c r="BY49" i="1"/>
  <c r="CW25" i="1"/>
  <c r="CX25" i="1" s="1"/>
  <c r="CW132" i="1"/>
  <c r="CV187" i="1"/>
  <c r="CV191" i="1"/>
  <c r="CV188" i="1"/>
  <c r="AC158" i="1"/>
  <c r="CK72" i="1"/>
  <c r="DA48" i="1" l="1"/>
  <c r="DB48" i="1"/>
  <c r="CU19" i="1"/>
  <c r="CU20" i="1"/>
  <c r="CV16" i="1"/>
  <c r="CV18" i="1" s="1"/>
  <c r="CX8" i="1"/>
  <c r="CV148" i="1"/>
  <c r="CU210" i="1"/>
  <c r="CU192" i="1"/>
  <c r="CT193" i="1"/>
  <c r="CD119" i="1"/>
  <c r="CD122" i="1" s="1"/>
  <c r="CD118" i="1"/>
  <c r="CD121" i="1" s="1"/>
  <c r="CS190" i="1"/>
  <c r="CS194" i="1" s="1"/>
  <c r="CT189" i="1"/>
  <c r="CA211" i="1"/>
  <c r="CA209" i="1" s="1"/>
  <c r="CB211" i="1"/>
  <c r="CB209" i="1" s="1"/>
  <c r="CE211" i="1"/>
  <c r="CE209" i="1" s="1"/>
  <c r="CF211" i="1"/>
  <c r="CF209" i="1" s="1"/>
  <c r="CH211" i="1"/>
  <c r="CH209" i="1" s="1"/>
  <c r="CH221" i="1" s="1"/>
  <c r="CG211" i="1"/>
  <c r="CG209" i="1" s="1"/>
  <c r="CV133" i="1"/>
  <c r="CU136" i="1"/>
  <c r="CU257" i="1" s="1"/>
  <c r="CT214" i="1"/>
  <c r="CD211" i="1"/>
  <c r="CD209" i="1" s="1"/>
  <c r="CC211" i="1"/>
  <c r="CC209" i="1" s="1"/>
  <c r="CF197" i="1"/>
  <c r="CF118" i="1"/>
  <c r="CF121" i="1" s="1"/>
  <c r="CF119" i="1"/>
  <c r="CF122" i="1" s="1"/>
  <c r="CD197" i="1"/>
  <c r="CH197" i="1"/>
  <c r="BZ46" i="1"/>
  <c r="CB63" i="1"/>
  <c r="CD235" i="1"/>
  <c r="CF49" i="1"/>
  <c r="CF48" i="1"/>
  <c r="CC51" i="1"/>
  <c r="CG51" i="1"/>
  <c r="CC242" i="1"/>
  <c r="CC56" i="1"/>
  <c r="CC50" i="1"/>
  <c r="CC253" i="1" s="1"/>
  <c r="CD52" i="1"/>
  <c r="CE189" i="1"/>
  <c r="CE194" i="1"/>
  <c r="CA215" i="1"/>
  <c r="CA213" i="1" s="1"/>
  <c r="CA137" i="1"/>
  <c r="CC52" i="1"/>
  <c r="CD201" i="1"/>
  <c r="CD203" i="1" s="1"/>
  <c r="Y69" i="1"/>
  <c r="CD74" i="1"/>
  <c r="CH121" i="1"/>
  <c r="CH122" i="1"/>
  <c r="CF63" i="1"/>
  <c r="CH63" i="1"/>
  <c r="CG63" i="1"/>
  <c r="CE46" i="1"/>
  <c r="CB56" i="1"/>
  <c r="CB52" i="1"/>
  <c r="CB242" i="1"/>
  <c r="CB50" i="1"/>
  <c r="CB253" i="1" s="1"/>
  <c r="BL56" i="1"/>
  <c r="BL50" i="1"/>
  <c r="BL253" i="1" s="1"/>
  <c r="CM72" i="1"/>
  <c r="CN72" i="1" s="1"/>
  <c r="CO72" i="1" s="1"/>
  <c r="CP72" i="1" s="1"/>
  <c r="BY50" i="1"/>
  <c r="BY253" i="1" s="1"/>
  <c r="BY56" i="1"/>
  <c r="CY25" i="1"/>
  <c r="CZ25" i="1" s="1"/>
  <c r="CX132" i="1"/>
  <c r="CW188" i="1"/>
  <c r="CW187" i="1"/>
  <c r="CW191" i="1"/>
  <c r="AE158" i="1"/>
  <c r="AD158" i="1"/>
  <c r="CF242" i="1" l="1"/>
  <c r="AA69" i="1"/>
  <c r="CY8" i="1"/>
  <c r="CY16" i="1" s="1"/>
  <c r="CY18" i="1" s="1"/>
  <c r="CV20" i="1"/>
  <c r="CV19" i="1"/>
  <c r="CW20" i="1"/>
  <c r="CX16" i="1"/>
  <c r="CX18" i="1" s="1"/>
  <c r="CZ8" i="1"/>
  <c r="CY19" i="1"/>
  <c r="CQ72" i="1"/>
  <c r="CR72" i="1" s="1"/>
  <c r="CS72" i="1" s="1"/>
  <c r="CT72" i="1" s="1"/>
  <c r="AB72" i="1"/>
  <c r="AA72" i="1" s="1"/>
  <c r="Z72" i="1" s="1"/>
  <c r="Y72" i="1" s="1"/>
  <c r="X72" i="1" s="1"/>
  <c r="W72" i="1" s="1"/>
  <c r="V72" i="1" s="1"/>
  <c r="U72" i="1" s="1"/>
  <c r="T72" i="1" s="1"/>
  <c r="S72" i="1" s="1"/>
  <c r="R72" i="1" s="1"/>
  <c r="Q72" i="1" s="1"/>
  <c r="P72" i="1" s="1"/>
  <c r="O72" i="1" s="1"/>
  <c r="N72" i="1" s="1"/>
  <c r="M72" i="1" s="1"/>
  <c r="L72" i="1" s="1"/>
  <c r="K72" i="1" s="1"/>
  <c r="J72" i="1" s="1"/>
  <c r="I72" i="1" s="1"/>
  <c r="H72" i="1" s="1"/>
  <c r="G72" i="1" s="1"/>
  <c r="F72" i="1" s="1"/>
  <c r="E72" i="1" s="1"/>
  <c r="CW148" i="1"/>
  <c r="CV210" i="1"/>
  <c r="CU193" i="1"/>
  <c r="CV192" i="1"/>
  <c r="CG221" i="1"/>
  <c r="CG218" i="1"/>
  <c r="CG168" i="1" s="1"/>
  <c r="CG169" i="1" s="1"/>
  <c r="CG219" i="1" s="1"/>
  <c r="CT190" i="1"/>
  <c r="CT194" i="1" s="1"/>
  <c r="CU189" i="1"/>
  <c r="CW133" i="1"/>
  <c r="CV136" i="1"/>
  <c r="CV257" i="1" s="1"/>
  <c r="CU214" i="1"/>
  <c r="CF51" i="1"/>
  <c r="CF50" i="1"/>
  <c r="CF253" i="1" s="1"/>
  <c r="BZ49" i="1"/>
  <c r="BZ48" i="1"/>
  <c r="CJ51" i="1"/>
  <c r="CG52" i="1"/>
  <c r="CI235" i="1"/>
  <c r="CF56" i="1"/>
  <c r="CD62" i="1"/>
  <c r="CC60" i="1"/>
  <c r="CC127" i="1"/>
  <c r="CC128" i="1" s="1"/>
  <c r="CC74" i="1"/>
  <c r="CC201" i="1"/>
  <c r="CC203" i="1" s="1"/>
  <c r="CB74" i="1"/>
  <c r="CB60" i="1"/>
  <c r="CB201" i="1"/>
  <c r="CB203" i="1" s="1"/>
  <c r="CB215" i="1"/>
  <c r="CB213" i="1" s="1"/>
  <c r="CE49" i="1"/>
  <c r="CE48" i="1"/>
  <c r="BY201" i="1"/>
  <c r="BY203" i="1" s="1"/>
  <c r="BY60" i="1"/>
  <c r="BY74" i="1"/>
  <c r="BL201" i="1"/>
  <c r="BL203" i="1" s="1"/>
  <c r="BL74" i="1"/>
  <c r="BL60" i="1"/>
  <c r="DA25" i="1"/>
  <c r="DB25" i="1" s="1"/>
  <c r="CX191" i="1"/>
  <c r="CX188" i="1"/>
  <c r="CX187" i="1"/>
  <c r="CY132" i="1"/>
  <c r="AB134" i="1"/>
  <c r="AB144" i="1"/>
  <c r="AB143" i="1"/>
  <c r="AB135" i="1"/>
  <c r="AB130" i="1"/>
  <c r="AB159" i="1"/>
  <c r="AB151" i="1"/>
  <c r="AB126" i="1"/>
  <c r="CX19" i="1" l="1"/>
  <c r="CY20" i="1"/>
  <c r="CX20" i="1"/>
  <c r="CZ16" i="1"/>
  <c r="CZ18" i="1" s="1"/>
  <c r="DA8" i="1"/>
  <c r="DA16" i="1" s="1"/>
  <c r="DA18" i="1" s="1"/>
  <c r="DA19" i="1" s="1"/>
  <c r="AC72" i="1"/>
  <c r="CU72" i="1"/>
  <c r="CV72" i="1" s="1"/>
  <c r="CW72" i="1" s="1"/>
  <c r="CX72" i="1" s="1"/>
  <c r="CW210" i="1"/>
  <c r="CX148" i="1"/>
  <c r="CW192" i="1"/>
  <c r="CV193" i="1"/>
  <c r="CU190" i="1"/>
  <c r="CU194" i="1" s="1"/>
  <c r="CV189" i="1"/>
  <c r="CX133" i="1"/>
  <c r="CW136" i="1"/>
  <c r="CW257" i="1" s="1"/>
  <c r="CV214" i="1"/>
  <c r="CD77" i="1"/>
  <c r="CD94" i="1" s="1"/>
  <c r="BZ50" i="1"/>
  <c r="BZ253" i="1" s="1"/>
  <c r="BZ52" i="1"/>
  <c r="CC235" i="1"/>
  <c r="BZ56" i="1"/>
  <c r="CC62" i="1" s="1"/>
  <c r="BZ242" i="1"/>
  <c r="CD51" i="1"/>
  <c r="CA52" i="1"/>
  <c r="CG256" i="1"/>
  <c r="CH217" i="1"/>
  <c r="CH218" i="1" s="1"/>
  <c r="CH219" i="1" s="1"/>
  <c r="CG252" i="1"/>
  <c r="CG254" i="1"/>
  <c r="CG173" i="1"/>
  <c r="CG174" i="1" s="1"/>
  <c r="CG176" i="1"/>
  <c r="CF201" i="1"/>
  <c r="CF203" i="1" s="1"/>
  <c r="CF207" i="1" s="1"/>
  <c r="CF221" i="1" s="1"/>
  <c r="CF60" i="1"/>
  <c r="CF74" i="1"/>
  <c r="CI77" i="1" s="1"/>
  <c r="CI62" i="1"/>
  <c r="CC100" i="1"/>
  <c r="CC137" i="1"/>
  <c r="CC63" i="1" s="1"/>
  <c r="CC215" i="1"/>
  <c r="CC213" i="1" s="1"/>
  <c r="CD215" i="1"/>
  <c r="CD213" i="1" s="1"/>
  <c r="CG235" i="1"/>
  <c r="CI51" i="1"/>
  <c r="CH235" i="1"/>
  <c r="CE52" i="1"/>
  <c r="CE50" i="1"/>
  <c r="CE253" i="1" s="1"/>
  <c r="CE51" i="1"/>
  <c r="CF52" i="1"/>
  <c r="CE56" i="1"/>
  <c r="CF235" i="1"/>
  <c r="CE235" i="1"/>
  <c r="Z69" i="1"/>
  <c r="CE242" i="1"/>
  <c r="CY188" i="1"/>
  <c r="CZ132" i="1"/>
  <c r="CY187" i="1"/>
  <c r="CY191" i="1"/>
  <c r="AC144" i="1"/>
  <c r="AC134" i="1"/>
  <c r="AB172" i="1"/>
  <c r="AC130" i="1"/>
  <c r="AC159" i="1"/>
  <c r="AB155" i="1"/>
  <c r="AB162" i="1"/>
  <c r="AC151" i="1"/>
  <c r="AC135" i="1"/>
  <c r="AB163" i="1"/>
  <c r="AC126" i="1"/>
  <c r="AC143" i="1"/>
  <c r="CZ20" i="1" l="1"/>
  <c r="CZ19" i="1"/>
  <c r="DA20" i="1"/>
  <c r="AD72" i="1"/>
  <c r="CY72" i="1"/>
  <c r="CZ72" i="1" s="1"/>
  <c r="DA72" i="1" s="1"/>
  <c r="DB72" i="1" s="1"/>
  <c r="AE72" i="1" s="1"/>
  <c r="DB8" i="1"/>
  <c r="DB16" i="1" s="1"/>
  <c r="DB18" i="1" s="1"/>
  <c r="DB19" i="1" s="1"/>
  <c r="CY148" i="1"/>
  <c r="CX210" i="1"/>
  <c r="CE97" i="1"/>
  <c r="CW193" i="1"/>
  <c r="CX192" i="1"/>
  <c r="CV190" i="1"/>
  <c r="CV194" i="1" s="1"/>
  <c r="CW189" i="1"/>
  <c r="CY133" i="1"/>
  <c r="CX136" i="1"/>
  <c r="CX257" i="1" s="1"/>
  <c r="CW214" i="1"/>
  <c r="CD93" i="1"/>
  <c r="CD95" i="1"/>
  <c r="CB62" i="1"/>
  <c r="BZ74" i="1"/>
  <c r="BZ60" i="1"/>
  <c r="BZ201" i="1"/>
  <c r="BZ203" i="1" s="1"/>
  <c r="CH45" i="1"/>
  <c r="CG117" i="1"/>
  <c r="CI95" i="1"/>
  <c r="CI93" i="1"/>
  <c r="CI94" i="1"/>
  <c r="CE60" i="1"/>
  <c r="CE127" i="1"/>
  <c r="CE128" i="1" s="1"/>
  <c r="CE62" i="1" s="1"/>
  <c r="CE201" i="1"/>
  <c r="CE203" i="1" s="1"/>
  <c r="CE207" i="1" s="1"/>
  <c r="CE221" i="1" s="1"/>
  <c r="CE74" i="1"/>
  <c r="CF62" i="1"/>
  <c r="CG62" i="1"/>
  <c r="CH62" i="1"/>
  <c r="DA132" i="1"/>
  <c r="CZ191" i="1"/>
  <c r="CZ188" i="1"/>
  <c r="CZ187" i="1"/>
  <c r="AE144" i="1"/>
  <c r="AD144" i="1"/>
  <c r="AE134" i="1"/>
  <c r="AD134" i="1"/>
  <c r="AC172" i="1"/>
  <c r="AE159" i="1"/>
  <c r="AD159" i="1"/>
  <c r="AE151" i="1"/>
  <c r="AD151" i="1"/>
  <c r="AD126" i="1"/>
  <c r="AE126" i="1"/>
  <c r="AC162" i="1"/>
  <c r="AE135" i="1"/>
  <c r="AD135" i="1"/>
  <c r="AE143" i="1"/>
  <c r="AD143" i="1"/>
  <c r="AC163" i="1"/>
  <c r="AC155" i="1"/>
  <c r="AE130" i="1"/>
  <c r="AD130" i="1"/>
  <c r="DB20" i="1" l="1"/>
  <c r="CY210" i="1"/>
  <c r="CZ148" i="1"/>
  <c r="CZ210" i="1" s="1"/>
  <c r="CY192" i="1"/>
  <c r="CX193" i="1"/>
  <c r="CW190" i="1"/>
  <c r="CW194" i="1" s="1"/>
  <c r="CX189" i="1"/>
  <c r="CZ133" i="1"/>
  <c r="CY136" i="1"/>
  <c r="CY257" i="1" s="1"/>
  <c r="CX214" i="1"/>
  <c r="CC77" i="1"/>
  <c r="CB77" i="1"/>
  <c r="CG119" i="1"/>
  <c r="CG122" i="1" s="1"/>
  <c r="CG118" i="1"/>
  <c r="CG121" i="1" s="1"/>
  <c r="CF77" i="1"/>
  <c r="CH77" i="1"/>
  <c r="CG77" i="1"/>
  <c r="CE77" i="1"/>
  <c r="CE100" i="1"/>
  <c r="CF215" i="1"/>
  <c r="CF213" i="1" s="1"/>
  <c r="CE137" i="1"/>
  <c r="CE63" i="1" s="1"/>
  <c r="CE215" i="1"/>
  <c r="CE213" i="1" s="1"/>
  <c r="CE218" i="1" s="1"/>
  <c r="CE168" i="1" s="1"/>
  <c r="CE169" i="1" s="1"/>
  <c r="CE173" i="1" s="1"/>
  <c r="DA187" i="1"/>
  <c r="DA188" i="1"/>
  <c r="DA191" i="1"/>
  <c r="DB132" i="1"/>
  <c r="AE172" i="1"/>
  <c r="AD172" i="1"/>
  <c r="AE162" i="1"/>
  <c r="AD162" i="1"/>
  <c r="AE163" i="1"/>
  <c r="AD163" i="1"/>
  <c r="AE155" i="1"/>
  <c r="AD155" i="1"/>
  <c r="BY239" i="1"/>
  <c r="DA148" i="1" l="1"/>
  <c r="DB148" i="1" s="1"/>
  <c r="DB210" i="1" s="1"/>
  <c r="CD97" i="1"/>
  <c r="CY193" i="1"/>
  <c r="CZ192" i="1"/>
  <c r="DA133" i="1"/>
  <c r="CZ136" i="1"/>
  <c r="CX190" i="1"/>
  <c r="CX194" i="1" s="1"/>
  <c r="CY189" i="1"/>
  <c r="CY214" i="1"/>
  <c r="CE102" i="1"/>
  <c r="CE103" i="1"/>
  <c r="CE104" i="1"/>
  <c r="CE252" i="1"/>
  <c r="CE93" i="1"/>
  <c r="CE94" i="1"/>
  <c r="CI78" i="1"/>
  <c r="CE95" i="1"/>
  <c r="CE256" i="1"/>
  <c r="CG78" i="1"/>
  <c r="CG93" i="1"/>
  <c r="CG95" i="1"/>
  <c r="CG94" i="1"/>
  <c r="CE176" i="1"/>
  <c r="CE117" i="1" s="1"/>
  <c r="CE119" i="1" s="1"/>
  <c r="CE122" i="1" s="1"/>
  <c r="CF217" i="1"/>
  <c r="CF218" i="1" s="1"/>
  <c r="CF219" i="1" s="1"/>
  <c r="CE254" i="1"/>
  <c r="CH78" i="1"/>
  <c r="CH94" i="1"/>
  <c r="CH93" i="1"/>
  <c r="CH95" i="1"/>
  <c r="CE219" i="1"/>
  <c r="CF78" i="1"/>
  <c r="CJ78" i="1"/>
  <c r="CF95" i="1"/>
  <c r="CF93" i="1"/>
  <c r="CF94" i="1"/>
  <c r="DB188" i="1"/>
  <c r="DB187" i="1"/>
  <c r="DB191" i="1"/>
  <c r="CE174" i="1"/>
  <c r="AB28" i="1"/>
  <c r="DA210" i="1" l="1"/>
  <c r="DA192" i="1"/>
  <c r="CZ193" i="1"/>
  <c r="DA136" i="1"/>
  <c r="DB133" i="1"/>
  <c r="DB136" i="1" s="1"/>
  <c r="CZ214" i="1"/>
  <c r="CZ257" i="1"/>
  <c r="CY190" i="1"/>
  <c r="CY194" i="1" s="1"/>
  <c r="CZ189" i="1"/>
  <c r="CJ98" i="1"/>
  <c r="CH98" i="1"/>
  <c r="CF45" i="1"/>
  <c r="CI98" i="1"/>
  <c r="CG98" i="1"/>
  <c r="CE118" i="1"/>
  <c r="CE121" i="1" s="1"/>
  <c r="AC28" i="1"/>
  <c r="BY240" i="1"/>
  <c r="BY241" i="1" s="1"/>
  <c r="DB192" i="1" l="1"/>
  <c r="DB193" i="1" s="1"/>
  <c r="DA193" i="1"/>
  <c r="DA214" i="1"/>
  <c r="DA257" i="1"/>
  <c r="DB214" i="1"/>
  <c r="DB257" i="1"/>
  <c r="CZ190" i="1"/>
  <c r="CZ194" i="1" s="1"/>
  <c r="DA189" i="1"/>
  <c r="AD28" i="1"/>
  <c r="BY242" i="1"/>
  <c r="DA190" i="1" l="1"/>
  <c r="DA194" i="1" s="1"/>
  <c r="DB189" i="1"/>
  <c r="DB190" i="1" s="1"/>
  <c r="DB194" i="1" s="1"/>
  <c r="AE28" i="1"/>
  <c r="BI73" i="1" l="1"/>
  <c r="AT73" i="1"/>
  <c r="BT73" i="1"/>
  <c r="AV73" i="1"/>
  <c r="AX73" i="1"/>
  <c r="AR73" i="1"/>
  <c r="AO73" i="1" l="1"/>
  <c r="BK73" i="1"/>
  <c r="AN73" i="1"/>
  <c r="AW73" i="1"/>
  <c r="BB73" i="1"/>
  <c r="BM73" i="1"/>
  <c r="BQ73" i="1"/>
  <c r="AJ73" i="1"/>
  <c r="BS73" i="1"/>
  <c r="BR73" i="1"/>
  <c r="BO73" i="1"/>
  <c r="AM73" i="1"/>
  <c r="AI73" i="1"/>
  <c r="AP73" i="1"/>
  <c r="AZ73" i="1"/>
  <c r="AS73" i="1"/>
  <c r="BN73" i="1"/>
  <c r="BU73" i="1"/>
  <c r="BA73" i="1"/>
  <c r="BC73" i="1"/>
  <c r="AU73" i="1"/>
  <c r="BW73" i="1"/>
  <c r="BP73" i="1"/>
  <c r="BJ73" i="1"/>
  <c r="BH73" i="1"/>
  <c r="BX73" i="1"/>
  <c r="BG73" i="1"/>
  <c r="AQ73" i="1"/>
  <c r="AY73" i="1"/>
  <c r="AK73" i="1"/>
  <c r="BE73" i="1"/>
  <c r="BD73" i="1"/>
  <c r="BV73" i="1"/>
  <c r="BF73" i="1"/>
  <c r="BL239" i="1" l="1"/>
  <c r="AB148" i="1" l="1"/>
  <c r="CN85" i="1" l="1"/>
  <c r="AB210" i="1"/>
  <c r="CK71" i="1"/>
  <c r="CO85" i="1" l="1"/>
  <c r="CK73" i="1"/>
  <c r="CM71" i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M14" i="2"/>
  <c r="I14" i="2"/>
  <c r="D8" i="2"/>
  <c r="K10" i="2"/>
  <c r="R21" i="2"/>
  <c r="N31" i="2"/>
  <c r="L18" i="2"/>
  <c r="S8" i="2"/>
  <c r="R17" i="2"/>
  <c r="E5" i="2"/>
  <c r="N8" i="2"/>
  <c r="H5" i="2"/>
  <c r="O14" i="2"/>
  <c r="W45" i="3"/>
  <c r="D16" i="3"/>
  <c r="F33" i="3"/>
  <c r="E22" i="3"/>
  <c r="E35" i="3"/>
  <c r="F11" i="3"/>
  <c r="AO6" i="3"/>
  <c r="E46" i="3"/>
  <c r="G8" i="3"/>
  <c r="R45" i="3"/>
  <c r="BB8" i="4" a="1"/>
  <c r="CY6" i="4" a="1"/>
  <c r="BJ11" i="4" a="1"/>
  <c r="BJ12" i="4" a="1"/>
  <c r="AI16" i="4" a="1"/>
  <c r="DM6" i="4" a="1"/>
  <c r="DG8" i="4" a="1"/>
  <c r="BD6" i="4" a="1"/>
  <c r="DV7" i="4" a="1"/>
  <c r="CQ6" i="4" a="1"/>
  <c r="DH15" i="4" a="1"/>
  <c r="BG8" i="4" a="1"/>
  <c r="K15" i="4" a="1"/>
  <c r="DM15" i="4" a="1"/>
  <c r="DG13" i="4" a="1"/>
  <c r="BT13" i="4" a="1"/>
  <c r="V12" i="4" a="1"/>
  <c r="P14" i="4" a="1"/>
  <c r="AQ15" i="4" a="1"/>
  <c r="BE8" i="4" a="1"/>
  <c r="CX15" i="4" a="1"/>
  <c r="CI13" i="4" a="1"/>
  <c r="DD9" i="4" a="1"/>
  <c r="BD5" i="4" a="1"/>
  <c r="AU11" i="4" a="1"/>
  <c r="BS12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F13" i="2"/>
  <c r="O6" i="2"/>
  <c r="K87" i="2"/>
  <c r="O25" i="2"/>
  <c r="C34" i="2"/>
  <c r="V5" i="2"/>
  <c r="F9" i="2"/>
  <c r="D31" i="2"/>
  <c r="T21" i="2"/>
  <c r="Q57" i="2"/>
  <c r="S10" i="2"/>
  <c r="M6" i="2"/>
  <c r="N15" i="2"/>
  <c r="E5" i="3"/>
  <c r="F19" i="3"/>
  <c r="AD18" i="3"/>
  <c r="D39" i="3"/>
  <c r="E37" i="3"/>
  <c r="E38" i="3"/>
  <c r="D38" i="3"/>
  <c r="E34" i="3"/>
  <c r="D31" i="3"/>
  <c r="AR16" i="3"/>
  <c r="E16" i="4" a="1"/>
  <c r="DM5" i="4" a="1"/>
  <c r="BL13" i="4" a="1"/>
  <c r="AO12" i="4" a="1"/>
  <c r="AI14" i="4" a="1"/>
  <c r="S11" i="4" a="1"/>
  <c r="AK8" i="4" a="1"/>
  <c r="C15" i="4" a="1"/>
  <c r="D6" i="4" a="1"/>
  <c r="DP9" i="4" a="1"/>
  <c r="CT14" i="4" a="1"/>
  <c r="DI14" i="4" a="1"/>
  <c r="BZ5" i="4" a="1"/>
  <c r="AQ12" i="4" a="1"/>
  <c r="AE6" i="4" a="1"/>
  <c r="AG15" i="4" a="1"/>
  <c r="AQ13" i="4" a="1"/>
  <c r="AE7" i="4" a="1"/>
  <c r="CN14" i="4" a="1"/>
  <c r="AG9" i="4" a="1"/>
  <c r="X15" i="4" a="1"/>
  <c r="AD5" i="4" a="1"/>
  <c r="CU9" i="4" a="1"/>
  <c r="EC11" i="4" a="1"/>
  <c r="CP13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Q69" i="2"/>
  <c r="F75" i="2"/>
  <c r="O15" i="2"/>
  <c r="O12" i="2"/>
  <c r="R23" i="2"/>
  <c r="K16" i="2"/>
  <c r="T19" i="2"/>
  <c r="H15" i="2"/>
  <c r="Q59" i="2"/>
  <c r="R11" i="2"/>
  <c r="I11" i="2"/>
  <c r="E22" i="2"/>
  <c r="E45" i="2"/>
  <c r="G27" i="3"/>
  <c r="F25" i="3"/>
  <c r="D17" i="3"/>
  <c r="E23" i="3"/>
  <c r="F6" i="3"/>
  <c r="F34" i="3"/>
  <c r="Z46" i="3"/>
  <c r="G30" i="3"/>
  <c r="D7" i="3"/>
  <c r="AD11" i="3"/>
  <c r="EJ14" i="4" a="1"/>
  <c r="CK15" i="4" a="1"/>
  <c r="F12" i="4" a="1"/>
  <c r="BX9" i="4" a="1"/>
  <c r="AX11" i="4" a="1"/>
  <c r="BX8" i="4" a="1"/>
  <c r="BH5" i="4" a="1"/>
  <c r="L9" i="4" a="1"/>
  <c r="K7" i="4" a="1"/>
  <c r="CO6" i="4" a="1"/>
  <c r="BK13" i="4" a="1"/>
  <c r="DR5" i="4" a="1"/>
  <c r="BA5" i="4" a="1"/>
  <c r="BA9" i="4" a="1"/>
  <c r="BU8" i="4" a="1"/>
  <c r="M5" i="4" a="1"/>
  <c r="DC12" i="4" a="1"/>
  <c r="CV6" i="4" a="1"/>
  <c r="BR5" i="4" a="1"/>
  <c r="P9" i="4" a="1"/>
  <c r="BI5" i="4" a="1"/>
  <c r="DL13" i="4" a="1"/>
  <c r="C7" i="4" a="1"/>
  <c r="ED9" i="4" a="1"/>
  <c r="EB8" i="4" a="1"/>
  <c r="V5" i="4" a="1"/>
  <c r="EE12" i="4" a="1"/>
  <c r="EA15" i="4" a="1"/>
  <c r="BS16" i="4" a="1"/>
  <c r="AY12" i="4" a="1"/>
  <c r="U19" i="2"/>
  <c r="Q46" i="2"/>
  <c r="O19" i="2"/>
  <c r="J22" i="2"/>
  <c r="T29" i="2"/>
  <c r="R8" i="2"/>
  <c r="E8" i="2"/>
  <c r="V9" i="2"/>
  <c r="E17" i="2"/>
  <c r="R22" i="2"/>
  <c r="W19" i="2"/>
  <c r="D25" i="2"/>
  <c r="AR61" i="3"/>
  <c r="F22" i="3"/>
  <c r="G5" i="3"/>
  <c r="D12" i="3"/>
  <c r="G14" i="3"/>
  <c r="G9" i="3"/>
  <c r="E13" i="3"/>
  <c r="AR14" i="3"/>
  <c r="F15" i="3"/>
  <c r="AR23" i="3"/>
  <c r="AR35" i="3"/>
  <c r="AF7" i="4" a="1"/>
  <c r="CI15" i="4" a="1"/>
  <c r="EJ5" i="4" a="1"/>
  <c r="EI16" i="4" a="1"/>
  <c r="CR13" i="4" a="1"/>
  <c r="DU7" i="4" a="1"/>
  <c r="BD15" i="4" a="1"/>
  <c r="W11" i="4" a="1"/>
  <c r="C9" i="4" a="1"/>
  <c r="BW15" i="4" a="1"/>
  <c r="AZ7" i="4" a="1"/>
  <c r="CG12" i="4" a="1"/>
  <c r="BY13" i="4" a="1"/>
  <c r="M7" i="4" a="1"/>
  <c r="X7" i="4" a="1"/>
  <c r="CV9" i="4" a="1"/>
  <c r="AO11" i="4" a="1"/>
  <c r="DA7" i="4" a="1"/>
  <c r="CU6" i="4" a="1"/>
  <c r="M14" i="4" a="1"/>
  <c r="C8" i="4" a="1"/>
  <c r="AL5" i="4" a="1"/>
  <c r="BF12" i="4" a="1"/>
  <c r="AB9" i="4" a="1"/>
  <c r="AH5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T26" i="2"/>
  <c r="L17" i="2"/>
  <c r="R29" i="2"/>
  <c r="I20" i="2"/>
  <c r="G32" i="2"/>
  <c r="V36" i="2"/>
  <c r="M32" i="2"/>
  <c r="J20" i="2"/>
  <c r="AR69" i="3"/>
  <c r="M30" i="2"/>
  <c r="P21" i="2"/>
  <c r="U9" i="2"/>
  <c r="AM46" i="3"/>
  <c r="D13" i="3"/>
  <c r="AR21" i="3"/>
  <c r="D29" i="3"/>
  <c r="AH46" i="3"/>
  <c r="D9" i="3"/>
  <c r="AC45" i="3"/>
  <c r="G16" i="3"/>
  <c r="G29" i="3"/>
  <c r="E19" i="3"/>
  <c r="F28" i="3"/>
  <c r="CX7" i="4" a="1"/>
  <c r="BU6" i="4" a="1"/>
  <c r="AG7" i="4" a="1"/>
  <c r="CF7" i="4" a="1"/>
  <c r="D14" i="4" a="1"/>
  <c r="AC11" i="4" a="1"/>
  <c r="AD8" i="4" a="1"/>
  <c r="AI7" i="4" a="1"/>
  <c r="BV13" i="4" a="1"/>
  <c r="CF9" i="4" a="1"/>
  <c r="DH12" i="4" a="1"/>
  <c r="EK5" i="4" a="1"/>
  <c r="CW14" i="4" a="1"/>
  <c r="BM15" i="4" a="1"/>
  <c r="DF7" i="4" a="1"/>
  <c r="AE16" i="4" a="1"/>
  <c r="CO9" i="4" a="1"/>
  <c r="CO13" i="4" a="1"/>
  <c r="DE15" i="4" a="1"/>
  <c r="BI6" i="4" a="1"/>
  <c r="BO12" i="4" a="1"/>
  <c r="DP16" i="4" a="1"/>
  <c r="DW6" i="4" a="1"/>
  <c r="CN7" i="4" a="1"/>
  <c r="BI7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Q18" i="2"/>
  <c r="R10" i="2"/>
  <c r="W5" i="2"/>
  <c r="S16" i="2"/>
  <c r="H23" i="2"/>
  <c r="R9" i="2"/>
  <c r="G28" i="2"/>
  <c r="G9" i="2"/>
  <c r="AS49" i="3"/>
  <c r="S24" i="2"/>
  <c r="F14" i="2"/>
  <c r="S11" i="2"/>
  <c r="G7" i="3"/>
  <c r="G11" i="3"/>
  <c r="E39" i="3"/>
  <c r="F12" i="3"/>
  <c r="D23" i="3"/>
  <c r="AQ45" i="3"/>
  <c r="G10" i="3"/>
  <c r="AR20" i="3"/>
  <c r="E45" i="3"/>
  <c r="AM45" i="3"/>
  <c r="G25" i="3"/>
  <c r="AB12" i="4" a="1"/>
  <c r="Y16" i="4" a="1"/>
  <c r="AK9" i="4" a="1"/>
  <c r="AT14" i="4" a="1"/>
  <c r="BU12" i="4" a="1"/>
  <c r="CR8" i="4" a="1"/>
  <c r="BU7" i="4" a="1"/>
  <c r="DS12" i="4" a="1"/>
  <c r="CX14" i="4" a="1"/>
  <c r="CQ14" i="4" a="1"/>
  <c r="CB13" i="4" a="1"/>
  <c r="BN11" i="4" a="1"/>
  <c r="CQ13" i="4" a="1"/>
  <c r="CY16" i="4" a="1"/>
  <c r="CX6" i="4" a="1"/>
  <c r="BS7" i="4" a="1"/>
  <c r="V14" i="4" a="1"/>
  <c r="P16" i="4" a="1"/>
  <c r="AV16" i="4" a="1"/>
  <c r="BY5" i="4" a="1"/>
  <c r="CW7" i="4" a="1"/>
  <c r="AD7" i="4" a="1"/>
  <c r="DL11" i="4" a="1"/>
  <c r="AF8" i="4" a="1"/>
  <c r="BO5" i="4" a="1"/>
  <c r="DG5" i="4" a="1"/>
  <c r="DP12" i="4" a="1"/>
  <c r="AR12" i="4" a="1"/>
  <c r="EF5" i="4" a="1"/>
  <c r="CC16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K26" i="2"/>
  <c r="P7" i="2"/>
  <c r="V28" i="2"/>
  <c r="D24" i="2"/>
  <c r="J19" i="2"/>
  <c r="V18" i="2"/>
  <c r="K59" i="2"/>
  <c r="I25" i="2"/>
  <c r="T8" i="2"/>
  <c r="AR87" i="3"/>
  <c r="I34" i="2"/>
  <c r="C12" i="2"/>
  <c r="AR34" i="3"/>
  <c r="F18" i="3"/>
  <c r="AA45" i="3"/>
  <c r="AN45" i="3"/>
  <c r="V46" i="3"/>
  <c r="G21" i="3"/>
  <c r="AD5" i="3"/>
  <c r="F16" i="3"/>
  <c r="Y46" i="3"/>
  <c r="D46" i="3"/>
  <c r="AD9" i="4" a="1"/>
  <c r="DO14" i="4" a="1"/>
  <c r="Y5" i="4" a="1"/>
  <c r="CM12" i="4" a="1"/>
  <c r="BR12" i="4" a="1"/>
  <c r="E14" i="4" a="1"/>
  <c r="BV5" i="4" a="1"/>
  <c r="BS6" i="4" a="1"/>
  <c r="BP7" i="4" a="1"/>
  <c r="CD5" i="4" a="1"/>
  <c r="CS14" i="4" a="1"/>
  <c r="T7" i="4" a="1"/>
  <c r="DE14" i="4" a="1"/>
  <c r="R13" i="4" a="1"/>
  <c r="ED14" i="4" a="1"/>
  <c r="W5" i="4" a="1"/>
  <c r="DO12" i="4" a="1"/>
  <c r="I11" i="4" a="1"/>
  <c r="BH6" i="4" a="1"/>
  <c r="DE12" i="4" a="1"/>
  <c r="Y8" i="4" a="1"/>
  <c r="DX6" i="4" a="1"/>
  <c r="BI16" i="4" a="1"/>
  <c r="AY9" i="4" a="1"/>
  <c r="CM13" i="4" a="1"/>
  <c r="DQ11" i="4" a="1"/>
  <c r="EE11" i="4" a="1"/>
  <c r="CF12" i="4" a="1"/>
  <c r="ED6" i="4" a="1"/>
  <c r="CH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K11" i="2"/>
  <c r="V35" i="2"/>
  <c r="J26" i="2"/>
  <c r="R13" i="2"/>
  <c r="G14" i="2"/>
  <c r="J31" i="2"/>
  <c r="E28" i="2"/>
  <c r="M7" i="2"/>
  <c r="E7" i="2"/>
  <c r="AR54" i="3"/>
  <c r="H33" i="2"/>
  <c r="L27" i="2"/>
  <c r="AA46" i="3"/>
  <c r="AR41" i="3"/>
  <c r="AC46" i="3"/>
  <c r="E6" i="3"/>
  <c r="K46" i="3"/>
  <c r="G18" i="3"/>
  <c r="F37" i="3"/>
  <c r="AR18" i="3"/>
  <c r="AR29" i="3"/>
  <c r="J45" i="3"/>
  <c r="BO14" i="4" a="1"/>
  <c r="AX8" i="4" a="1"/>
  <c r="Z8" i="4" a="1"/>
  <c r="BC9" i="4" a="1"/>
  <c r="DG12" i="4" a="1"/>
  <c r="BI13" i="4" a="1"/>
  <c r="DT12" i="4" a="1"/>
  <c r="DF15" i="4" a="1"/>
  <c r="AJ14" i="4" a="1"/>
  <c r="AF16" i="4" a="1"/>
  <c r="EI14" i="4" a="1"/>
  <c r="T16" i="4" a="1"/>
  <c r="DG15" i="4" a="1"/>
  <c r="DN9" i="4" a="1"/>
  <c r="AK13" i="4" a="1"/>
  <c r="BK6" i="4" a="1"/>
  <c r="DU8" i="4" a="1"/>
  <c r="DC7" i="4" a="1"/>
  <c r="AO5" i="4" a="1"/>
  <c r="DG11" i="4" a="1"/>
  <c r="AM5" i="4" a="1"/>
  <c r="AK7" i="4" a="1"/>
  <c r="AK6" i="4" a="1"/>
  <c r="BL8" i="4" a="1"/>
  <c r="EK8" i="4" a="1"/>
  <c r="DN12" i="4" a="1"/>
  <c r="EJ7" i="4" a="1"/>
  <c r="CE5" i="4" a="1"/>
  <c r="CG8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G23" i="2"/>
  <c r="O17" i="2"/>
  <c r="D20" i="2"/>
  <c r="D7" i="2"/>
  <c r="C59" i="2"/>
  <c r="G27" i="2"/>
  <c r="P35" i="2"/>
  <c r="U5" i="2"/>
  <c r="F26" i="2"/>
  <c r="AR80" i="3"/>
  <c r="N20" i="2"/>
  <c r="X12" i="2"/>
  <c r="AQ6" i="3"/>
  <c r="AR12" i="3"/>
  <c r="D26" i="3"/>
  <c r="AR11" i="3"/>
  <c r="AR15" i="3"/>
  <c r="O46" i="3"/>
  <c r="AD12" i="3"/>
  <c r="E30" i="3"/>
  <c r="AR10" i="3"/>
  <c r="E8" i="3"/>
  <c r="CI14" i="4" a="1"/>
  <c r="BY8" i="4" a="1"/>
  <c r="BK8" i="4" a="1"/>
  <c r="AM11" i="4" a="1"/>
  <c r="Z15" i="4" a="1"/>
  <c r="DL15" i="4" a="1"/>
  <c r="DL14" i="4" a="1"/>
  <c r="DB14" i="4" a="1"/>
  <c r="AI11" i="4" a="1"/>
  <c r="EC7" i="4" a="1"/>
  <c r="CN16" i="4" a="1"/>
  <c r="EH16" i="4" a="1"/>
  <c r="CT8" i="4" a="1"/>
  <c r="EG16" i="4" a="1"/>
  <c r="J5" i="4" a="1"/>
  <c r="CN8" i="4" a="1"/>
  <c r="CJ5" i="4" a="1"/>
  <c r="D13" i="4" a="1"/>
  <c r="BT9" i="4" a="1"/>
  <c r="AI13" i="4" a="1"/>
  <c r="AY7" i="4" a="1"/>
  <c r="DQ9" i="4" a="1"/>
  <c r="DD13" i="4" a="1"/>
  <c r="BH14" i="4" a="1"/>
  <c r="EA13" i="4" a="1"/>
  <c r="DR11" i="4" a="1"/>
  <c r="AP15" i="4" a="1"/>
  <c r="CR5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O7" i="2"/>
  <c r="N36" i="2"/>
  <c r="N27" i="2"/>
  <c r="N33" i="2"/>
  <c r="M28" i="2"/>
  <c r="P13" i="2"/>
  <c r="H26" i="2"/>
  <c r="T20" i="2"/>
  <c r="K18" i="2"/>
  <c r="E27" i="2"/>
  <c r="N22" i="2"/>
  <c r="J34" i="2"/>
  <c r="D33" i="3"/>
  <c r="AD10" i="3"/>
  <c r="X45" i="3"/>
  <c r="V45" i="3"/>
  <c r="C46" i="3"/>
  <c r="M46" i="3"/>
  <c r="G23" i="3"/>
  <c r="E12" i="3"/>
  <c r="G20" i="3"/>
  <c r="G22" i="3"/>
  <c r="ED16" i="4" a="1"/>
  <c r="CY15" i="4" a="1"/>
  <c r="BM8" i="4" a="1"/>
  <c r="CZ16" i="4" a="1"/>
  <c r="DK7" i="4" a="1"/>
  <c r="DE11" i="4" a="1"/>
  <c r="BT7" i="4" a="1"/>
  <c r="DR16" i="4" a="1"/>
  <c r="BL9" i="4" a="1"/>
  <c r="Q12" i="4" a="1"/>
  <c r="DC9" i="4" a="1"/>
  <c r="DM12" i="4" a="1"/>
  <c r="EG5" i="4" a="1"/>
  <c r="AB11" i="4" a="1"/>
  <c r="U16" i="4" a="1"/>
  <c r="BL12" i="4" a="1"/>
  <c r="DY16" i="4" a="1"/>
  <c r="K14" i="4" a="1"/>
  <c r="CJ9" i="4" a="1"/>
  <c r="CC8" i="4" a="1"/>
  <c r="X5" i="4" a="1"/>
  <c r="W13" i="4" a="1"/>
  <c r="CP14" i="4" a="1"/>
  <c r="CF14" i="4" a="1"/>
  <c r="CM6" i="4" a="1"/>
  <c r="AP16" i="4" a="1"/>
  <c r="G12" i="4" a="1"/>
  <c r="AZ8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Q6" i="2"/>
  <c r="K32" i="2"/>
  <c r="V24" i="2"/>
  <c r="W31" i="2"/>
  <c r="N19" i="2"/>
  <c r="E10" i="2"/>
  <c r="X21" i="2"/>
  <c r="J32" i="2"/>
  <c r="W70" i="2"/>
  <c r="V19" i="2"/>
  <c r="H35" i="2"/>
  <c r="AR66" i="3"/>
  <c r="J46" i="3"/>
  <c r="D24" i="3"/>
  <c r="I46" i="3"/>
  <c r="N45" i="3"/>
  <c r="U45" i="3"/>
  <c r="D8" i="3"/>
  <c r="N46" i="3"/>
  <c r="G19" i="3"/>
  <c r="Y45" i="3"/>
  <c r="L45" i="3"/>
  <c r="DV16" i="4" a="1"/>
  <c r="BF9" i="4" a="1"/>
  <c r="AK11" i="4" a="1"/>
  <c r="AV9" i="4" a="1"/>
  <c r="CB7" i="4" a="1"/>
  <c r="EG12" i="4" a="1"/>
  <c r="CZ12" i="4" a="1"/>
  <c r="CG16" i="4" a="1"/>
  <c r="CN11" i="4" a="1"/>
  <c r="DF5" i="4" a="1"/>
  <c r="CM8" i="4" a="1"/>
  <c r="AC16" i="4" a="1"/>
  <c r="AH8" i="4" a="1"/>
  <c r="AR11" i="4" a="1"/>
  <c r="R14" i="4" a="1"/>
  <c r="P7" i="4" a="1"/>
  <c r="BH12" i="4" a="1"/>
  <c r="R11" i="4" a="1"/>
  <c r="CD8" i="4" a="1"/>
  <c r="CA8" i="4" a="1"/>
  <c r="CB9" i="4" a="1"/>
  <c r="BZ9" i="4" a="1"/>
  <c r="BQ9" i="4" a="1"/>
  <c r="O6" i="4" a="1"/>
  <c r="BK12" i="4" a="1"/>
  <c r="BE6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W46" i="2"/>
  <c r="X46" i="3"/>
  <c r="AJ12" i="4" a="1"/>
  <c r="DH8" i="4" a="1"/>
  <c r="DG16" i="4" a="1"/>
  <c r="BM14" i="4" a="1"/>
  <c r="BW16" i="4" a="1"/>
  <c r="CG14" i="4" a="1"/>
  <c r="AG14" i="4" a="1"/>
  <c r="DN15" i="4" a="1"/>
  <c r="AS5" i="4" a="1"/>
  <c r="DV6" i="4" a="1"/>
  <c r="CK13" i="4" a="1"/>
  <c r="I15" i="4" a="1"/>
  <c r="J12" i="4" a="1"/>
  <c r="Y7" i="4" a="1"/>
  <c r="CS6" i="4" a="1"/>
  <c r="BB5" i="4" a="1"/>
  <c r="DJ9" i="4" a="1"/>
  <c r="G9" i="4" a="1"/>
  <c r="DJ7" i="4" a="1"/>
  <c r="H15" i="4" a="1"/>
  <c r="AV14" i="4" a="1"/>
  <c r="K8" i="4" a="1"/>
  <c r="CU14" i="4" a="1"/>
  <c r="X11" i="4" a="1"/>
  <c r="CX16" i="4" a="1"/>
  <c r="CD7" i="4" a="1"/>
  <c r="CA5" i="4" a="1"/>
  <c r="AA14" i="4" a="1"/>
  <c r="CD13" i="4" a="1"/>
  <c r="EF9" i="4" a="1"/>
  <c r="AQ8" i="4" a="1"/>
  <c r="EH6" i="4" a="1"/>
  <c r="Z6" i="4" a="1"/>
  <c r="AF12" i="4" a="1"/>
  <c r="CN6" i="4" a="1"/>
  <c r="CH11" i="4" a="1"/>
  <c r="CG11" i="4" a="1"/>
  <c r="M15" i="4" a="1"/>
  <c r="CP5" i="4" a="1"/>
  <c r="BH13" i="4" a="1"/>
  <c r="EF16" i="4" a="1"/>
  <c r="DM9" i="4" a="1"/>
  <c r="CY5" i="4" a="1"/>
  <c r="DI11" i="4" a="1"/>
  <c r="CU7" i="4" a="1"/>
  <c r="AO16" i="4" a="1"/>
  <c r="CU15" i="4" a="1"/>
  <c r="DV9" i="4" a="1"/>
  <c r="CA14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BR8" i="4" a="1"/>
  <c r="DK15" i="4" a="1"/>
  <c r="BB7" i="4" a="1"/>
  <c r="CL7" i="4" a="1"/>
  <c r="AN5" i="4" a="1"/>
  <c r="DE6" i="4" a="1"/>
  <c r="BN5" i="4" a="1"/>
  <c r="CZ7" i="4" a="1"/>
  <c r="CY11" i="4" a="1"/>
  <c r="ED13" i="4" a="1"/>
  <c r="DS7" i="4" a="1"/>
  <c r="BQ12" i="4" a="1"/>
  <c r="DB11" i="4" a="1"/>
  <c r="G15" i="4" a="1"/>
  <c r="CX11" i="4" a="1"/>
  <c r="CI9" i="4" a="1"/>
  <c r="CY7" i="4" a="1"/>
  <c r="BX11" i="4" a="1"/>
  <c r="K11" i="4" a="1"/>
  <c r="AT7" i="4" a="1"/>
  <c r="DP13" i="4" a="1"/>
  <c r="CQ9" i="4" a="1"/>
  <c r="AI12" i="4" a="1"/>
  <c r="AJ6" i="4" a="1"/>
  <c r="D5" i="4" a="1"/>
  <c r="BU5" i="4" a="1"/>
  <c r="AX5" i="4" a="1"/>
  <c r="CR15" i="4" a="1"/>
  <c r="DZ15" i="4" a="1"/>
  <c r="BA12" i="4" a="1"/>
  <c r="CB11" i="4" a="1"/>
  <c r="DG6" i="4" a="1"/>
  <c r="DE9" i="4" a="1"/>
  <c r="BT5" i="4" a="1"/>
  <c r="O12" i="4" a="1"/>
  <c r="EI8" i="4" a="1"/>
  <c r="AZ11" i="4" a="1"/>
  <c r="CB6" i="4" a="1"/>
  <c r="DD14" i="4" a="1"/>
  <c r="EB7" i="4" a="1"/>
  <c r="AQ11" i="4" a="1"/>
  <c r="AE8" i="4" a="1"/>
  <c r="EJ8" i="4" a="1"/>
  <c r="DT15" i="4" a="1"/>
  <c r="W17" i="2"/>
  <c r="AR13" i="3"/>
  <c r="CF16" i="4" a="1"/>
  <c r="DQ13" i="4" a="1"/>
  <c r="DU5" i="4" a="1"/>
  <c r="EJ13" i="4" a="1"/>
  <c r="EI12" i="4" a="1"/>
  <c r="N12" i="4" a="1"/>
  <c r="G11" i="4" a="1"/>
  <c r="L16" i="4" a="1"/>
  <c r="BZ13" i="4" a="1"/>
  <c r="F13" i="4" a="1"/>
  <c r="AE15" i="4" a="1"/>
  <c r="CC14" i="4" a="1"/>
  <c r="R5" i="4" a="1"/>
  <c r="AV5" i="4" a="1"/>
  <c r="AL7" i="4" a="1"/>
  <c r="AV12" i="4" a="1"/>
  <c r="CG6" i="4" a="1"/>
  <c r="DO11" i="4" a="1"/>
  <c r="BL11" i="4" a="1"/>
  <c r="CQ7" i="4" a="1"/>
  <c r="EA14" i="4" a="1"/>
  <c r="DX14" i="4" a="1"/>
  <c r="BG6" i="4" a="1"/>
  <c r="BB12" i="4" a="1"/>
  <c r="AY13" i="4" a="1"/>
  <c r="S7" i="4" a="1"/>
  <c r="BL14" i="4" a="1"/>
  <c r="EC5" i="4" a="1"/>
  <c r="DX16" i="4" a="1"/>
  <c r="AT16" i="4" a="1"/>
  <c r="F14" i="4" a="1"/>
  <c r="DN7" i="4" a="1"/>
  <c r="AT9" i="4" a="1"/>
  <c r="AS16" i="4" a="1"/>
  <c r="BJ13" i="4" a="1"/>
  <c r="BU9" i="4" a="1"/>
  <c r="DU13" i="4" a="1"/>
  <c r="S14" i="4" a="1"/>
  <c r="CX9" i="4" a="1"/>
  <c r="CC12" i="4" a="1"/>
  <c r="BU11" i="4" a="1"/>
  <c r="BW8" i="4" a="1"/>
  <c r="AF5" i="4" a="1"/>
  <c r="DY12" i="4" a="1"/>
  <c r="DU15" i="4" a="1"/>
  <c r="BA13" i="4" a="1"/>
  <c r="BE16" i="4" a="1"/>
  <c r="Z12" i="4" a="1"/>
  <c r="AO6" i="4" a="1"/>
  <c r="T15" i="2"/>
  <c r="AR33" i="3"/>
  <c r="AN7" i="4" a="1"/>
  <c r="DZ16" i="4" a="1"/>
  <c r="AY6" i="4" a="1"/>
  <c r="V16" i="4" a="1"/>
  <c r="DX8" i="4" a="1"/>
  <c r="AZ12" i="4" a="1"/>
  <c r="EB6" i="4" a="1"/>
  <c r="BW7" i="4" a="1"/>
  <c r="CQ11" i="4" a="1"/>
  <c r="CL6" i="4" a="1"/>
  <c r="BJ7" i="4" a="1"/>
  <c r="AZ5" i="4" a="1"/>
  <c r="AX9" i="4" a="1"/>
  <c r="AE11" i="4" a="1"/>
  <c r="H14" i="4" a="1"/>
  <c r="DC16" i="4" a="1"/>
  <c r="BZ6" i="4" a="1"/>
  <c r="K6" i="4" a="1"/>
  <c r="D16" i="4" a="1"/>
  <c r="AB14" i="4" a="1"/>
  <c r="O9" i="4" a="1"/>
  <c r="DR8" i="4" a="1"/>
  <c r="CW11" i="4" a="1"/>
  <c r="U15" i="4" a="1"/>
  <c r="AW13" i="4" a="1"/>
  <c r="W9" i="4" a="1"/>
  <c r="AH6" i="4" a="1"/>
  <c r="M13" i="4" a="1"/>
  <c r="DH5" i="4" a="1"/>
  <c r="R9" i="4" a="1"/>
  <c r="AW8" i="4" a="1"/>
  <c r="CP6" i="4" a="1"/>
  <c r="EG9" i="4" a="1"/>
  <c r="EK7" i="4" a="1"/>
  <c r="DR15" i="4" a="1"/>
  <c r="AL14" i="4" a="1"/>
  <c r="BD7" i="4" a="1"/>
  <c r="BO11" i="4" a="1"/>
  <c r="DL8" i="4" a="1"/>
  <c r="E11" i="4" a="1"/>
  <c r="Z11" i="4" a="1"/>
  <c r="W14" i="4" a="1"/>
  <c r="DF8" i="4" a="1"/>
  <c r="ED8" i="4" a="1"/>
  <c r="P15" i="4" a="1"/>
  <c r="DB5" i="4" a="1"/>
  <c r="CV8" i="4" a="1"/>
  <c r="AL11" i="4" a="1"/>
  <c r="N8" i="4" a="1"/>
  <c r="AX14" i="4" a="1"/>
  <c r="P5" i="4" a="1"/>
  <c r="W7" i="4" a="1"/>
  <c r="J15" i="4" a="1"/>
  <c r="DM14" i="4" a="1"/>
  <c r="O14" i="4" a="1"/>
  <c r="DJ13" i="4" a="1"/>
  <c r="BS8" i="4" a="1"/>
  <c r="BC6" i="4" a="1"/>
  <c r="EG15" i="4" a="1"/>
  <c r="EI15" i="4" a="1"/>
  <c r="DM8" i="4" a="1"/>
  <c r="CE8" i="4" a="1"/>
  <c r="W30" i="2"/>
  <c r="AR40" i="3"/>
  <c r="AH13" i="4" a="1"/>
  <c r="BP11" i="4" a="1"/>
  <c r="DP5" i="4" a="1"/>
  <c r="AK12" i="4" a="1"/>
  <c r="DM13" i="4" a="1"/>
  <c r="AB15" i="4" a="1"/>
  <c r="AS15" i="4" a="1"/>
  <c r="AX13" i="4" a="1"/>
  <c r="AO7" i="4" a="1"/>
  <c r="AV11" i="4" a="1"/>
  <c r="U6" i="4" a="1"/>
  <c r="DC13" i="4" a="1"/>
  <c r="CF13" i="4" a="1"/>
  <c r="DP6" i="4" a="1"/>
  <c r="ED11" i="4" a="1"/>
  <c r="BR7" i="4" a="1"/>
  <c r="BX6" i="4" a="1"/>
  <c r="CP7" i="4" a="1"/>
  <c r="DN8" i="4" a="1"/>
  <c r="AH7" i="4" a="1"/>
  <c r="AK16" i="4" a="1"/>
  <c r="EF6" i="4" a="1"/>
  <c r="DA9" i="4" a="1"/>
  <c r="DL12" i="4" a="1"/>
  <c r="M12" i="4" a="1"/>
  <c r="DL7" i="4" a="1"/>
  <c r="DV8" i="4" a="1"/>
  <c r="Y9" i="4" a="1"/>
  <c r="AR7" i="4" a="1"/>
  <c r="CH16" i="4" a="1"/>
  <c r="CL5" i="4" a="1"/>
  <c r="N15" i="4" a="1"/>
  <c r="EK9" i="4" a="1"/>
  <c r="DH9" i="4" a="1"/>
  <c r="EB12" i="4" a="1"/>
  <c r="AD13" i="4" a="1"/>
  <c r="ED15" i="4" a="1"/>
  <c r="AX7" i="4" a="1"/>
  <c r="AE14" i="4" a="1"/>
  <c r="AQ14" i="4" a="1"/>
  <c r="CU12" i="4" a="1"/>
  <c r="CZ13" i="4" a="1"/>
  <c r="CB16" i="4" a="1"/>
  <c r="AU6" i="4" a="1"/>
  <c r="BA8" i="4" a="1"/>
  <c r="BL5" i="4" a="1"/>
  <c r="BX15" i="4" a="1"/>
  <c r="BD8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CG5" i="4" a="1"/>
  <c r="EE13" i="4" a="1"/>
  <c r="N6" i="4" a="1"/>
  <c r="CX12" i="4" a="1"/>
  <c r="BN15" i="4" a="1"/>
  <c r="Z13" i="4" a="1"/>
  <c r="DY9" i="4" a="1"/>
  <c r="DU14" i="4" a="1"/>
  <c r="EI7" i="4" a="1"/>
  <c r="AF15" i="4" a="1"/>
  <c r="AF6" i="4" a="1"/>
  <c r="AC7" i="4" a="1"/>
  <c r="AV13" i="4" a="1"/>
  <c r="CH9" i="4" a="1"/>
  <c r="BN14" i="4" a="1"/>
  <c r="DK8" i="4" a="1"/>
  <c r="H8" i="4" a="1"/>
  <c r="CL14" i="4" a="1"/>
  <c r="BE14" i="4" a="1"/>
  <c r="DY5" i="4" a="1"/>
  <c r="EF11" i="4" a="1"/>
  <c r="BH9" i="4" a="1"/>
  <c r="DE5" i="4" a="1"/>
  <c r="EE8" i="4" a="1"/>
  <c r="Y14" i="4" a="1"/>
  <c r="DI9" i="4" a="1"/>
  <c r="R20" i="2"/>
  <c r="AG46" i="3"/>
  <c r="BE11" i="4" a="1"/>
  <c r="CH7" i="4" a="1"/>
  <c r="CA12" i="4" a="1"/>
  <c r="EI9" i="4" a="1"/>
  <c r="AT15" i="4" a="1"/>
  <c r="AJ5" i="4" a="1"/>
  <c r="DW14" i="4" a="1"/>
  <c r="DN6" i="4" a="1"/>
  <c r="BD12" i="4" a="1"/>
  <c r="EH7" i="4" a="1"/>
  <c r="M16" i="4" a="1"/>
  <c r="N7" i="4" a="1"/>
  <c r="EK16" i="4" a="1"/>
  <c r="AH9" i="4" a="1"/>
  <c r="DZ9" i="4" a="1"/>
  <c r="CI11" i="4" a="1"/>
  <c r="CO5" i="4" a="1"/>
  <c r="DO15" i="4" a="1"/>
  <c r="AJ8" i="4" a="1"/>
  <c r="DJ8" i="4" a="1"/>
  <c r="AD6" i="4" a="1"/>
  <c r="DD5" i="4" a="1"/>
  <c r="CR12" i="4" a="1"/>
  <c r="S5" i="4" a="1"/>
  <c r="AW9" i="4" a="1"/>
  <c r="BG16" i="4" a="1"/>
  <c r="CE14" i="4" a="1"/>
  <c r="DJ11" i="4" a="1"/>
  <c r="CK8" i="4" a="1"/>
  <c r="BM12" i="4" a="1"/>
  <c r="BG13" i="4" a="1"/>
  <c r="CW16" i="4" a="1"/>
  <c r="BM11" i="4" a="1"/>
  <c r="AA15" i="4" a="1"/>
  <c r="BL15" i="4" a="1"/>
  <c r="CF5" i="4" a="1"/>
  <c r="AE5" i="4" a="1"/>
  <c r="L15" i="4" a="1"/>
  <c r="BP6" i="4" a="1"/>
  <c r="R15" i="4" a="1"/>
  <c r="CW8" i="4" a="1"/>
  <c r="L12" i="4" a="1"/>
  <c r="CE12" i="4" a="1"/>
  <c r="K13" i="4" a="1"/>
  <c r="EK11" i="4" a="1"/>
  <c r="BO6" i="4" a="1"/>
  <c r="AH14" i="4" a="1"/>
  <c r="G13" i="4" a="1"/>
  <c r="DN5" i="4" a="1"/>
  <c r="BV12" i="4" a="1"/>
  <c r="DR14" i="4" a="1"/>
  <c r="BH8" i="4" a="1"/>
  <c r="H16" i="4" a="1"/>
  <c r="BN13" i="4" a="1"/>
  <c r="CW6" i="4" a="1"/>
  <c r="L8" i="4" a="1"/>
  <c r="DC6" i="4" a="1"/>
  <c r="DK12" i="4" a="1"/>
  <c r="AP12" i="4" a="1"/>
  <c r="C12" i="4" a="1"/>
  <c r="CN5" i="4" a="1"/>
  <c r="DK9" i="4" a="1"/>
  <c r="EA11" i="4" a="1"/>
  <c r="DS9" i="4" a="1"/>
  <c r="CJ16" i="4" a="1"/>
  <c r="O15" i="4" a="1"/>
  <c r="DE7" i="4" a="1"/>
  <c r="BI12" i="4" a="1"/>
  <c r="Q11" i="4" a="1"/>
  <c r="T9" i="2"/>
  <c r="D27" i="3"/>
  <c r="BQ7" i="4" a="1"/>
  <c r="DQ8" i="4" a="1"/>
  <c r="P8" i="4" a="1"/>
  <c r="AU16" i="4" a="1"/>
  <c r="BH16" i="4" a="1"/>
  <c r="BV11" i="4" a="1"/>
  <c r="AH12" i="4" a="1"/>
  <c r="AX15" i="4" a="1"/>
  <c r="F7" i="4" a="1"/>
  <c r="BW6" i="4" a="1"/>
  <c r="CQ15" i="4" a="1"/>
  <c r="CP15" i="4" a="1"/>
  <c r="CN12" i="4" a="1"/>
  <c r="AQ7" i="4" a="1"/>
  <c r="DB13" i="4" a="1"/>
  <c r="EE15" i="4" a="1"/>
  <c r="DT13" i="4" a="1"/>
  <c r="BQ16" i="4" a="1"/>
  <c r="AA8" i="4" a="1"/>
  <c r="DA13" i="4" a="1"/>
  <c r="AT13" i="4" a="1"/>
  <c r="BN8" i="4" a="1"/>
  <c r="CZ5" i="4" a="1"/>
  <c r="AP5" i="4" a="1"/>
  <c r="DX15" i="4" a="1"/>
  <c r="CC5" i="4" a="1"/>
  <c r="G8" i="4" a="1"/>
  <c r="BF5" i="4" a="1"/>
  <c r="CH12" i="4" a="1"/>
  <c r="CA16" i="4" a="1"/>
  <c r="CB8" i="4" a="1"/>
  <c r="V13" i="4" a="1"/>
  <c r="DJ5" i="4" a="1"/>
  <c r="BN12" i="4" a="1"/>
  <c r="DH7" i="4" a="1"/>
  <c r="P13" i="4" a="1"/>
  <c r="CR11" i="4" a="1"/>
  <c r="F5" i="4" a="1"/>
  <c r="Q15" i="4" a="1"/>
  <c r="X12" i="4" a="1"/>
  <c r="DB9" i="4" a="1"/>
  <c r="DW11" i="4" a="1"/>
  <c r="EG11" i="4" a="1"/>
  <c r="DW9" i="4" a="1"/>
  <c r="DS15" i="4" a="1"/>
  <c r="EF12" i="4" a="1"/>
  <c r="BQ14" i="4" a="1"/>
  <c r="S16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EK14" i="4" a="1"/>
  <c r="M11" i="4" a="1"/>
  <c r="DD11" i="4" a="1"/>
  <c r="U7" i="4" a="1"/>
  <c r="BY16" i="4" a="1"/>
  <c r="BZ12" i="4" a="1"/>
  <c r="CX8" i="4" a="1"/>
  <c r="AO13" i="4" a="1"/>
  <c r="E15" i="4" a="1"/>
  <c r="DO13" i="4" a="1"/>
  <c r="BA11" i="4" a="1"/>
  <c r="AP6" i="4" a="1"/>
  <c r="O5" i="4" a="1"/>
  <c r="DH16" i="4" a="1"/>
  <c r="AM16" i="4" a="1"/>
  <c r="CG13" i="4" a="1"/>
  <c r="I6" i="4" a="1"/>
  <c r="K5" i="4" a="1"/>
  <c r="BG9" i="4" a="1"/>
  <c r="EK13" i="4" a="1"/>
  <c r="CU11" i="4" a="1"/>
  <c r="AP8" i="4" a="1"/>
  <c r="S13" i="4" a="1"/>
  <c r="CK12" i="4" a="1"/>
  <c r="DW12" i="4" a="1"/>
  <c r="BR9" i="4" a="1"/>
  <c r="AA5" i="4" a="1"/>
  <c r="AW6" i="4" a="1"/>
  <c r="AC9" i="4" a="1"/>
  <c r="AA7" i="4" a="1"/>
  <c r="CK9" i="4" a="1"/>
  <c r="AR6" i="4" a="1"/>
  <c r="EH11" i="4" a="1"/>
  <c r="AV7" i="4" a="1"/>
  <c r="DI15" i="4" a="1"/>
  <c r="DY6" i="4" a="1"/>
  <c r="BW14" i="4" a="1"/>
  <c r="CP11" i="4" a="1"/>
  <c r="AG6" i="4" a="1"/>
  <c r="DV14" i="4" a="1"/>
  <c r="M36" i="2"/>
  <c r="G24" i="3"/>
  <c r="DP14" i="4" a="1"/>
  <c r="J7" i="4" a="1"/>
  <c r="DP15" i="4" a="1"/>
  <c r="Z5" i="4" a="1"/>
  <c r="BT16" i="4" a="1"/>
  <c r="EA7" i="4" a="1"/>
  <c r="CS5" i="4" a="1"/>
  <c r="BM9" i="4" a="1"/>
  <c r="CA11" i="4" a="1"/>
  <c r="BR6" i="4" a="1"/>
  <c r="BR11" i="4" a="1"/>
  <c r="G6" i="4" a="1"/>
  <c r="AB16" i="4" a="1"/>
  <c r="DD6" i="4" a="1"/>
  <c r="CM14" i="4" a="1"/>
  <c r="BW13" i="4" a="1"/>
  <c r="DC8" i="4" a="1"/>
  <c r="H5" i="4" a="1"/>
  <c r="BT14" i="4" a="1"/>
  <c r="DF9" i="4" a="1"/>
  <c r="EH9" i="4" a="1"/>
  <c r="DU6" i="4" a="1"/>
  <c r="C11" i="4" a="1"/>
  <c r="BT12" i="4" a="1"/>
  <c r="AM8" i="4" a="1"/>
  <c r="CS16" i="4" a="1"/>
  <c r="BX7" i="4" a="1"/>
  <c r="R12" i="4" a="1"/>
  <c r="CW12" i="4" a="1"/>
  <c r="H11" i="4" a="1"/>
  <c r="AH16" i="4" a="1"/>
  <c r="BD13" i="4" a="1"/>
  <c r="EJ15" i="4" a="1"/>
  <c r="DI12" i="4" a="1"/>
  <c r="DA5" i="4" a="1"/>
  <c r="DY7" i="4" a="1"/>
  <c r="CV16" i="4" a="1"/>
  <c r="EI13" i="4" a="1"/>
  <c r="AS7" i="4" a="1"/>
  <c r="BU15" i="4" a="1"/>
  <c r="BK7" i="4" a="1"/>
  <c r="DX12" i="4" a="1"/>
  <c r="AE9" i="4" a="1"/>
  <c r="CC6" i="4" a="1"/>
  <c r="CO16" i="4" a="1"/>
  <c r="CS13" i="4" a="1"/>
  <c r="R7" i="4" a="1"/>
  <c r="L14" i="4" a="1"/>
  <c r="BH15" i="4" a="1"/>
  <c r="AM13" i="4" a="1"/>
  <c r="BQ13" i="4" a="1"/>
  <c r="CL8" i="4" a="1"/>
  <c r="CE16" i="4" a="1"/>
  <c r="DU12" i="4" a="1"/>
  <c r="CV7" i="4" a="1"/>
  <c r="CY12" i="4" a="1"/>
  <c r="AD15" i="4" a="1"/>
  <c r="CL13" i="4" a="1"/>
  <c r="AR14" i="4" a="1"/>
  <c r="AU14" i="4" a="1"/>
  <c r="J11" i="4" a="1"/>
  <c r="BF6" i="4" a="1"/>
  <c r="Q9" i="4" a="1"/>
  <c r="DV13" i="4" a="1"/>
  <c r="DO5" i="4" a="1"/>
  <c r="M11" i="2"/>
  <c r="F23" i="3"/>
  <c r="AM7" i="4" a="1"/>
  <c r="AX6" i="4" a="1"/>
  <c r="BJ9" i="4" a="1"/>
  <c r="DO9" i="4" a="1"/>
  <c r="DP8" i="4" a="1"/>
  <c r="U11" i="4" a="1"/>
  <c r="Y12" i="4" a="1"/>
  <c r="CD9" i="4" a="1"/>
  <c r="V8" i="4" a="1"/>
  <c r="EE6" i="4" a="1"/>
  <c r="AB6" i="4" a="1"/>
  <c r="C16" i="4" a="1"/>
  <c r="AU15" i="4" a="1"/>
  <c r="CE11" i="4" a="1"/>
  <c r="V9" i="4" a="1"/>
  <c r="BK9" i="4" a="1"/>
  <c r="CM11" i="4" a="1"/>
  <c r="DU16" i="4" a="1"/>
  <c r="CY9" i="4" a="1"/>
  <c r="H12" i="4" a="1"/>
  <c r="EB15" i="4" a="1"/>
  <c r="BZ14" i="4" a="1"/>
  <c r="BD14" i="4" a="1"/>
  <c r="CV15" i="4" a="1"/>
  <c r="BA14" i="4" a="1"/>
  <c r="S9" i="4" a="1"/>
  <c r="CH5" i="4" a="1"/>
  <c r="C14" i="4" a="1"/>
  <c r="AG13" i="4" a="1"/>
  <c r="CG9" i="4" a="1"/>
  <c r="EF8" i="4" a="1"/>
  <c r="AW11" i="4" a="1"/>
  <c r="AX12" i="4" a="1"/>
  <c r="CA7" i="4" a="1"/>
  <c r="EE9" i="4" a="1"/>
  <c r="CO8" i="4" a="1"/>
  <c r="DN13" i="4" a="1"/>
  <c r="X14" i="4" a="1"/>
  <c r="EI11" i="4" a="1"/>
  <c r="AG5" i="4" a="1"/>
  <c r="EE5" i="4" a="1"/>
  <c r="DJ12" i="4" a="1"/>
  <c r="DA16" i="4" a="1"/>
  <c r="BP13" i="4" a="1"/>
  <c r="Q16" i="4" a="1"/>
  <c r="EB11" i="4" a="1"/>
  <c r="AI6" i="4" a="1"/>
  <c r="AU9" i="4" a="1"/>
  <c r="BU16" i="4" a="1"/>
  <c r="AL16" i="4" a="1"/>
  <c r="BL6" i="4" a="1"/>
  <c r="X36" i="2"/>
  <c r="AD6" i="3"/>
  <c r="BB13" i="4" a="1"/>
  <c r="BR13" i="4" a="1"/>
  <c r="DF16" i="4" a="1"/>
  <c r="AT8" i="4" a="1"/>
  <c r="BC15" i="4" a="1"/>
  <c r="AW5" i="4" a="1"/>
  <c r="AO9" i="4" a="1"/>
  <c r="BB15" i="4" a="1"/>
  <c r="DG7" i="4" a="1"/>
  <c r="BN9" i="4" a="1"/>
  <c r="V8" i="2"/>
  <c r="D5" i="3"/>
  <c r="AK14" i="4" a="1"/>
  <c r="BE7" i="4" a="1"/>
  <c r="BZ11" i="4" a="1"/>
  <c r="CK6" i="4" a="1"/>
  <c r="BS14" i="4" a="1"/>
  <c r="BD11" i="4" a="1"/>
  <c r="EC9" i="4" a="1"/>
  <c r="EB16" i="4" a="1"/>
  <c r="P6" i="4" a="1"/>
  <c r="BC13" i="4" a="1"/>
  <c r="R8" i="4" a="1"/>
  <c r="DX11" i="4" a="1"/>
  <c r="K12" i="4" a="1"/>
  <c r="DZ13" i="4" a="1"/>
  <c r="W15" i="4" a="1"/>
  <c r="BE9" i="4" a="1"/>
  <c r="CQ12" i="4" a="1"/>
  <c r="J13" i="4" a="1"/>
  <c r="ED7" i="4" a="1"/>
  <c r="Q54" i="2"/>
  <c r="DW5" i="4" a="1"/>
  <c r="CR16" i="4" a="1"/>
  <c r="CU5" i="4" a="1"/>
  <c r="P12" i="4" a="1"/>
  <c r="DR9" i="4" a="1"/>
  <c r="AV6" i="4" a="1"/>
  <c r="BS5" i="4" a="1"/>
  <c r="AN6" i="4" a="1"/>
  <c r="CZ14" i="4" a="1"/>
  <c r="DY15" i="4" a="1"/>
  <c r="BH11" i="4" a="1"/>
  <c r="H9" i="4" a="1"/>
  <c r="DN16" i="4" a="1"/>
  <c r="BW5" i="4" a="1"/>
  <c r="EH13" i="4" a="1"/>
  <c r="G18" i="2"/>
  <c r="EG7" i="4" a="1"/>
  <c r="EA6" i="4" a="1"/>
  <c r="CO7" i="4" a="1"/>
  <c r="EJ6" i="4" a="1"/>
  <c r="T13" i="4" a="1"/>
  <c r="AB7" i="4" a="1"/>
  <c r="DV11" i="4" a="1"/>
  <c r="EB13" i="4" a="1"/>
  <c r="EE7" i="4" a="1"/>
  <c r="CA13" i="4" a="1"/>
  <c r="BC11" i="4" a="1"/>
  <c r="DI5" i="4" a="1"/>
  <c r="DD15" i="4" a="1"/>
  <c r="EA12" i="4" a="1"/>
  <c r="AZ13" i="4" a="1"/>
  <c r="BD9" i="4" a="1"/>
  <c r="DB6" i="4" a="1"/>
  <c r="N16" i="4" a="1"/>
  <c r="AF11" i="4" a="1"/>
  <c r="DK11" i="4" a="1"/>
  <c r="L11" i="4" a="1"/>
  <c r="Q8" i="4" a="1"/>
  <c r="AZ9" i="4" a="1"/>
  <c r="AY14" i="4" a="1"/>
  <c r="CI7" i="4" a="1"/>
  <c r="AS9" i="4" a="1"/>
  <c r="DG9" i="4" a="1"/>
  <c r="DR7" i="4" a="1"/>
  <c r="M9" i="4" a="1"/>
  <c r="BX14" i="4" a="1"/>
  <c r="DQ12" i="4" a="1"/>
  <c r="DD7" i="4" a="1"/>
  <c r="CX13" i="4" a="1"/>
  <c r="AD14" i="4" a="1"/>
  <c r="U8" i="4" a="1"/>
  <c r="AC13" i="4" a="1"/>
  <c r="AL9" i="4" a="1"/>
  <c r="BC16" i="4" a="1"/>
  <c r="Z14" i="4" a="1"/>
  <c r="CR14" i="4" a="1"/>
  <c r="CJ11" i="4" a="1"/>
  <c r="AC8" i="4" a="1"/>
  <c r="AR15" i="4" a="1"/>
  <c r="BN16" i="4" a="1"/>
  <c r="BI15" i="4" a="1"/>
  <c r="AC5" i="4" a="1"/>
  <c r="CJ14" i="4" a="1"/>
  <c r="DQ6" i="4" a="1"/>
  <c r="CC7" i="4" a="1"/>
  <c r="CT16" i="4" a="1"/>
  <c r="AM14" i="4" a="1"/>
  <c r="E7" i="4" a="1"/>
  <c r="N5" i="4" a="1"/>
  <c r="EH12" i="4" a="1"/>
  <c r="DZ8" i="4" a="1"/>
  <c r="DB15" i="4" a="1"/>
  <c r="BF16" i="4" a="1"/>
  <c r="Q6" i="4" a="1"/>
  <c r="CV14" i="4" a="1"/>
  <c r="CV11" i="4" a="1"/>
  <c r="O13" i="4" a="1"/>
  <c r="BZ7" i="4" a="1"/>
  <c r="BG14" i="4" a="1"/>
  <c r="BY12" i="4" a="1"/>
  <c r="EA5" i="4" a="1"/>
  <c r="AL6" i="4" a="1"/>
  <c r="X16" i="4" a="1"/>
  <c r="BR16" i="4" a="1"/>
  <c r="BF15" i="4" a="1"/>
  <c r="T14" i="4" a="1"/>
  <c r="I9" i="4" a="1"/>
  <c r="DA12" i="4" a="1"/>
  <c r="CJ6" i="4" a="1"/>
  <c r="H7" i="4" a="1"/>
  <c r="CR6" i="4" a="1"/>
  <c r="CR7" i="4" a="1"/>
  <c r="EH14" i="4" a="1"/>
  <c r="AY8" i="4" a="1"/>
  <c r="EC16" i="4" a="1"/>
  <c r="DB16" i="4" a="1"/>
  <c r="D12" i="4" a="1"/>
  <c r="I8" i="4" a="1"/>
  <c r="BL7" i="4" a="1"/>
  <c r="BE13" i="4" a="1"/>
  <c r="BC7" i="4" a="1"/>
  <c r="DW8" i="4" a="1"/>
  <c r="CZ11" i="4" a="1"/>
  <c r="EI6" i="4" a="1"/>
  <c r="EG8" i="4" a="1"/>
  <c r="BV6" i="4" a="1"/>
  <c r="Y15" i="4" a="1"/>
  <c r="BX13" i="4" a="1"/>
  <c r="S8" i="4" a="1"/>
  <c r="BW9" i="4" a="1"/>
  <c r="AY15" i="4" a="1"/>
  <c r="BA6" i="4" a="1"/>
  <c r="DF14" i="4" a="1"/>
  <c r="AF13" i="4" a="1"/>
  <c r="E13" i="4" a="1"/>
  <c r="AW15" i="4" a="1"/>
  <c r="M8" i="4" a="1"/>
  <c r="CP16" i="4" a="1"/>
  <c r="AT11" i="4" a="1"/>
  <c r="BF8" i="4" a="1"/>
  <c r="BO7" i="4" a="1"/>
  <c r="BQ5" i="4" a="1"/>
  <c r="CI5" i="4" a="1"/>
  <c r="CK7" i="4" a="1"/>
  <c r="AT12" i="4" a="1"/>
  <c r="AR8" i="4" a="1"/>
  <c r="CC15" i="4" a="1"/>
  <c r="CZ6" i="4" a="1"/>
  <c r="AW16" i="4" a="1"/>
  <c r="F15" i="4" a="1"/>
  <c r="D68" i="3"/>
  <c r="D95" i="3"/>
  <c r="F79" i="3"/>
  <c r="G55" i="3"/>
  <c r="D85" i="3"/>
  <c r="AD60" i="3"/>
  <c r="AD66" i="3"/>
  <c r="F62" i="3"/>
  <c r="G56" i="3"/>
  <c r="F59" i="3"/>
  <c r="D82" i="3"/>
  <c r="F55" i="3"/>
  <c r="F60" i="3"/>
  <c r="E97" i="3"/>
  <c r="AD95" i="3"/>
  <c r="G69" i="3"/>
  <c r="D64" i="3"/>
  <c r="D59" i="3"/>
  <c r="F95" i="3"/>
  <c r="G96" i="3"/>
  <c r="E66" i="3"/>
  <c r="AD91" i="3"/>
  <c r="G73" i="3"/>
  <c r="D57" i="3"/>
  <c r="AD84" i="3"/>
  <c r="G75" i="3"/>
  <c r="E94" i="3"/>
  <c r="AD85" i="3"/>
  <c r="G65" i="3"/>
  <c r="E80" i="3"/>
  <c r="F77" i="3"/>
  <c r="AD70" i="3"/>
  <c r="E89" i="3"/>
  <c r="G79" i="3"/>
  <c r="E86" i="3"/>
  <c r="D74" i="3"/>
  <c r="F81" i="3"/>
  <c r="G91" i="3"/>
  <c r="E92" i="3"/>
  <c r="AD82" i="3"/>
  <c r="G70" i="3"/>
  <c r="D71" i="3"/>
  <c r="D65" i="3"/>
  <c r="F63" i="3"/>
  <c r="G60" i="3"/>
  <c r="E63" i="3"/>
  <c r="AD75" i="3"/>
  <c r="G94" i="3"/>
  <c r="G61" i="3"/>
  <c r="G93" i="3"/>
  <c r="E72" i="3"/>
  <c r="AD92" i="3"/>
  <c r="F48" i="3"/>
  <c r="D60" i="3"/>
  <c r="G59" i="3"/>
  <c r="E68" i="3"/>
  <c r="G62" i="3"/>
  <c r="D92" i="3"/>
  <c r="F49" i="3"/>
  <c r="E56" i="3"/>
  <c r="D91" i="3"/>
  <c r="E65" i="3"/>
  <c r="G95" i="3"/>
  <c r="E83" i="3"/>
  <c r="G87" i="3"/>
  <c r="E77" i="3"/>
  <c r="AD71" i="3"/>
  <c r="F83" i="3"/>
  <c r="G78" i="3"/>
  <c r="F82" i="3"/>
  <c r="AD54" i="3"/>
  <c r="E57" i="3"/>
  <c r="D73" i="3"/>
  <c r="AD65" i="3"/>
  <c r="E58" i="3"/>
  <c r="G64" i="3"/>
  <c r="D56" i="3"/>
  <c r="D81" i="3"/>
  <c r="F80" i="3"/>
  <c r="G57" i="3"/>
  <c r="E59" i="3"/>
  <c r="AD68" i="3"/>
  <c r="AD62" i="3"/>
  <c r="AD59" i="3"/>
  <c r="AD64" i="3"/>
  <c r="F54" i="3"/>
  <c r="G97" i="3"/>
  <c r="E88" i="3"/>
  <c r="AD96" i="3"/>
  <c r="AD86" i="3"/>
  <c r="D70" i="3"/>
  <c r="G85" i="3"/>
  <c r="AD88" i="3"/>
  <c r="E95" i="3"/>
  <c r="F91" i="3"/>
  <c r="AD58" i="3"/>
  <c r="D86" i="3"/>
  <c r="AD74" i="3"/>
  <c r="D76" i="3"/>
  <c r="D90" i="3"/>
  <c r="AD61" i="3"/>
  <c r="AD93" i="3"/>
  <c r="E75" i="3"/>
  <c r="AD87" i="3"/>
  <c r="F86" i="3"/>
  <c r="F64" i="3"/>
  <c r="E64" i="3"/>
  <c r="D77" i="3"/>
  <c r="AD97" i="3"/>
  <c r="D54" i="3"/>
  <c r="F87" i="3"/>
  <c r="F96" i="3"/>
  <c r="E79" i="3"/>
  <c r="AD94" i="3"/>
  <c r="G84" i="3"/>
  <c r="F50" i="3"/>
  <c r="E87" i="3"/>
  <c r="AD89" i="3"/>
  <c r="F73" i="3"/>
  <c r="F90" i="3"/>
  <c r="AD69" i="3"/>
  <c r="F84" i="3"/>
  <c r="F47" i="3"/>
  <c r="F72" i="3"/>
  <c r="F68" i="3"/>
  <c r="F92" i="3"/>
  <c r="E54" i="3"/>
  <c r="E69" i="3"/>
  <c r="G67" i="3"/>
  <c r="E91" i="3"/>
  <c r="E81" i="3"/>
  <c r="G82" i="3"/>
  <c r="F74" i="3"/>
  <c r="D89" i="3"/>
  <c r="AD63" i="3"/>
  <c r="F76" i="3"/>
  <c r="G68" i="3"/>
  <c r="E62" i="3"/>
  <c r="E61" i="3"/>
  <c r="G81" i="3"/>
  <c r="D84" i="3"/>
  <c r="F94" i="3"/>
  <c r="AD67" i="3"/>
  <c r="E73" i="3"/>
  <c r="E71" i="3"/>
  <c r="D94" i="3"/>
  <c r="AD57" i="3"/>
  <c r="F57" i="3"/>
  <c r="E85" i="3"/>
  <c r="F56" i="3"/>
  <c r="AD78" i="3"/>
  <c r="F71" i="3"/>
  <c r="G90" i="3"/>
  <c r="D61" i="3"/>
  <c r="F70" i="3"/>
  <c r="E60" i="3"/>
  <c r="F75" i="3"/>
  <c r="AD83" i="3"/>
  <c r="G92" i="3"/>
  <c r="F97" i="3"/>
  <c r="F61" i="3"/>
  <c r="G76" i="3"/>
  <c r="E93" i="3"/>
  <c r="E90" i="3"/>
  <c r="D79" i="3"/>
  <c r="E78" i="3"/>
  <c r="D96" i="3"/>
  <c r="E96" i="3"/>
  <c r="G74" i="3"/>
  <c r="AD80" i="3"/>
  <c r="AD73" i="3"/>
  <c r="AD90" i="3"/>
  <c r="G83" i="3"/>
  <c r="AD56" i="3"/>
  <c r="G72" i="3"/>
  <c r="G66" i="3"/>
  <c r="E67" i="3"/>
  <c r="AD55" i="3"/>
  <c r="G71" i="3"/>
  <c r="G88" i="3"/>
  <c r="G58" i="3"/>
  <c r="AD77" i="3"/>
  <c r="AD76" i="3"/>
  <c r="AD81" i="3"/>
  <c r="E70" i="3"/>
  <c r="F93" i="3"/>
  <c r="G80" i="3"/>
  <c r="E55" i="3"/>
  <c r="AD72" i="3"/>
  <c r="G54" i="3"/>
  <c r="E84" i="3"/>
  <c r="E74" i="3"/>
  <c r="AD79" i="3"/>
  <c r="E82" i="3"/>
  <c r="G63" i="3"/>
  <c r="G86" i="3"/>
  <c r="G89" i="3"/>
  <c r="G77" i="3"/>
  <c r="E76" i="3"/>
  <c r="D62" i="3" l="1"/>
  <c r="D55" i="3"/>
  <c r="D72" i="3"/>
  <c r="D97" i="3"/>
  <c r="D83" i="3"/>
  <c r="D66" i="3"/>
  <c r="D75" i="3"/>
  <c r="F78" i="3"/>
  <c r="AL150" i="1" s="1"/>
  <c r="AM150" i="1" s="1"/>
  <c r="F85" i="3"/>
  <c r="AL155" i="1" s="1"/>
  <c r="AM155" i="1" s="1"/>
  <c r="F67" i="3"/>
  <c r="F58" i="3"/>
  <c r="AL127" i="1" s="1"/>
  <c r="F65" i="3"/>
  <c r="AL158" i="1" s="1"/>
  <c r="AM158" i="1" s="1"/>
  <c r="F89" i="3"/>
  <c r="AL161" i="1" s="1"/>
  <c r="F66" i="3"/>
  <c r="AL159" i="1" s="1"/>
  <c r="AM159" i="1" s="1"/>
  <c r="F88" i="3"/>
  <c r="AL135" i="1" s="1"/>
  <c r="AM135" i="1" s="1"/>
  <c r="F69" i="3"/>
  <c r="AL140" i="1" s="1"/>
  <c r="D80" i="3"/>
  <c r="AJ167" i="1" s="1"/>
  <c r="D63" i="3"/>
  <c r="AJ133" i="1" s="1"/>
  <c r="AK133" i="1" s="1"/>
  <c r="D67" i="3"/>
  <c r="D78" i="3"/>
  <c r="AJ150" i="1" s="1"/>
  <c r="AK150" i="1" s="1"/>
  <c r="D58" i="3"/>
  <c r="AJ127" i="1" s="1"/>
  <c r="D87" i="3"/>
  <c r="AJ160" i="1" s="1"/>
  <c r="AK160" i="1" s="1"/>
  <c r="D69" i="3"/>
  <c r="AJ140" i="1" s="1"/>
  <c r="D93" i="3"/>
  <c r="D88" i="3"/>
  <c r="AJ135" i="1" s="1"/>
  <c r="AK135" i="1" s="1"/>
  <c r="IM9" i="4" s="1"/>
  <c r="HQ9" i="4" s="1"/>
  <c r="HV16" i="4" s="1"/>
  <c r="IJ16" i="4" s="1"/>
  <c r="IY9" i="4" s="1"/>
  <c r="IC9" i="4" s="1"/>
  <c r="F33" i="1"/>
  <c r="IT16" i="4" s="1"/>
  <c r="P161" i="1"/>
  <c r="IG9" i="4" s="1"/>
  <c r="JF16" i="4" s="1"/>
  <c r="IJ9" i="4" s="1"/>
  <c r="BJ16" i="1"/>
  <c r="IW16" i="4" s="1"/>
  <c r="JG9" i="4" s="1"/>
  <c r="IO7" i="4" s="1"/>
  <c r="II9" i="4" s="1"/>
  <c r="AL43" i="1"/>
  <c r="L21" i="1"/>
  <c r="IS16" i="4" s="1"/>
  <c r="JH9" i="4" s="1"/>
  <c r="IL16" i="4" s="1"/>
  <c r="V47" i="1"/>
  <c r="HT9" i="4" s="1"/>
  <c r="HS9" i="4" s="1"/>
  <c r="S31" i="1"/>
  <c r="IG16" i="4" s="1"/>
  <c r="IV9" i="4" s="1"/>
  <c r="IC16" i="4" s="1"/>
  <c r="HR16" i="4" s="1"/>
  <c r="IP16" i="4" s="1"/>
  <c r="V29" i="1"/>
  <c r="IQ9" i="4" s="1"/>
  <c r="IL8" i="4" s="1"/>
  <c r="IA9" i="4" s="1"/>
  <c r="IO9" i="4" s="1"/>
  <c r="JD9" i="4" s="1"/>
  <c r="JA9" i="4" s="1"/>
  <c r="IV16" i="4" s="1"/>
  <c r="IZ9" i="4" s="1"/>
  <c r="IM16" i="4" s="1"/>
  <c r="IY16" i="4" s="1"/>
  <c r="BX159" i="1"/>
  <c r="BY159" i="1" s="1"/>
  <c r="G59" i="1"/>
  <c r="U30" i="1"/>
  <c r="I53" i="1"/>
  <c r="M30" i="1"/>
  <c r="J53" i="1"/>
  <c r="P16" i="1"/>
  <c r="IF16" i="4" s="1"/>
  <c r="IB16" i="4" s="1"/>
  <c r="JE16" i="4" s="1"/>
  <c r="HU16" i="4" s="1"/>
  <c r="AM17" i="1"/>
  <c r="AK22" i="1"/>
  <c r="AM43" i="1"/>
  <c r="BJ21" i="1"/>
  <c r="D40" i="1"/>
  <c r="J33" i="1"/>
  <c r="O32" i="1"/>
  <c r="M54" i="1"/>
  <c r="M40" i="1"/>
  <c r="M202" i="1" s="1"/>
  <c r="N17" i="1"/>
  <c r="HP9" i="4" s="1"/>
  <c r="IQ16" i="4" s="1"/>
  <c r="JG16" i="4" s="1"/>
  <c r="IL9" i="4" s="1"/>
  <c r="JH16" i="4" s="1"/>
  <c r="BX21" i="1"/>
  <c r="BJ22" i="1"/>
  <c r="BX32" i="1"/>
  <c r="BX23" i="1"/>
  <c r="AJ55" i="1"/>
  <c r="BX22" i="1"/>
  <c r="W23" i="1"/>
  <c r="BX167" i="1"/>
  <c r="O59" i="1"/>
  <c r="F40" i="1"/>
  <c r="C17" i="1"/>
  <c r="N29" i="1"/>
  <c r="F43" i="1"/>
  <c r="JA16" i="4" s="1"/>
  <c r="JA21" i="4" s="1"/>
  <c r="BU85" i="1" s="1"/>
  <c r="HX16" i="4" s="1"/>
  <c r="BX47" i="1"/>
  <c r="BX33" i="1"/>
  <c r="AM33" i="1"/>
  <c r="AK16" i="1"/>
  <c r="K40" i="1"/>
  <c r="K202" i="1" s="1"/>
  <c r="G54" i="1"/>
  <c r="D17" i="1"/>
  <c r="L17" i="1"/>
  <c r="F28" i="1"/>
  <c r="Q32" i="1"/>
  <c r="U59" i="1"/>
  <c r="J21" i="1"/>
  <c r="HV9" i="4" s="1"/>
  <c r="IE9" i="4" s="1"/>
  <c r="HX9" i="4" s="1"/>
  <c r="HX21" i="4" s="1"/>
  <c r="AR85" i="1" s="1"/>
  <c r="AL28" i="1"/>
  <c r="AM30" i="1"/>
  <c r="AL33" i="1"/>
  <c r="BX53" i="1"/>
  <c r="B23" i="1"/>
  <c r="BX160" i="1"/>
  <c r="BY160" i="1" s="1"/>
  <c r="H44" i="1"/>
  <c r="U33" i="1"/>
  <c r="I30" i="1"/>
  <c r="O17" i="1"/>
  <c r="IE16" i="4" s="1"/>
  <c r="IQ14" i="4" s="1"/>
  <c r="IO16" i="4" s="1"/>
  <c r="AM44" i="1"/>
  <c r="BX17" i="1"/>
  <c r="AM21" i="1"/>
  <c r="AJ43" i="1"/>
  <c r="AL22" i="1"/>
  <c r="AM23" i="1"/>
  <c r="R21" i="1"/>
  <c r="E28" i="1"/>
  <c r="BY81" i="1"/>
  <c r="G43" i="1"/>
  <c r="P33" i="1"/>
  <c r="IS15" i="4" s="1"/>
  <c r="HW16" i="4" s="1"/>
  <c r="AL40" i="1"/>
  <c r="AL202" i="1" s="1"/>
  <c r="AM47" i="1"/>
  <c r="AM28" i="1"/>
  <c r="AJ47" i="1"/>
  <c r="BX30" i="1"/>
  <c r="L47" i="1"/>
  <c r="BX140" i="1"/>
  <c r="L53" i="1"/>
  <c r="F53" i="1"/>
  <c r="Q55" i="1"/>
  <c r="K29" i="1"/>
  <c r="HS16" i="4" s="1"/>
  <c r="IU16" i="4" s="1"/>
  <c r="IN16" i="4" s="1"/>
  <c r="HW9" i="4" s="1"/>
  <c r="IR16" i="4" s="1"/>
  <c r="BX54" i="1"/>
  <c r="BX43" i="1"/>
  <c r="AL32" i="1"/>
  <c r="BX31" i="1"/>
  <c r="AM31" i="1"/>
  <c r="AJ22" i="1"/>
  <c r="C44" i="1"/>
  <c r="V30" i="1"/>
  <c r="D29" i="1"/>
  <c r="S55" i="1"/>
  <c r="N30" i="1"/>
  <c r="T30" i="1"/>
  <c r="HR9" i="4" s="1"/>
  <c r="BJ23" i="1"/>
  <c r="AL53" i="1"/>
  <c r="AL16" i="1"/>
  <c r="AK43" i="1"/>
  <c r="AJ29" i="1"/>
  <c r="AL44" i="1"/>
  <c r="AL260" i="1" s="1"/>
  <c r="D130" i="1"/>
  <c r="H21" i="1"/>
  <c r="Q21" i="1"/>
  <c r="G31" i="1"/>
  <c r="S30" i="1"/>
  <c r="Q43" i="1"/>
  <c r="N23" i="1"/>
  <c r="N31" i="1"/>
  <c r="E167" i="1"/>
  <c r="JC16" i="4" s="1"/>
  <c r="IP14" i="4" s="1"/>
  <c r="HZ16" i="4" s="1"/>
  <c r="IB14" i="4" s="1"/>
  <c r="HQ16" i="4" s="1"/>
  <c r="BX28" i="1"/>
  <c r="AK53" i="1"/>
  <c r="BJ33" i="1"/>
  <c r="M31" i="1"/>
  <c r="L16" i="1"/>
  <c r="L239" i="1" s="1"/>
  <c r="P163" i="1"/>
  <c r="N44" i="1"/>
  <c r="N16" i="1"/>
  <c r="E32" i="1"/>
  <c r="IC14" i="4" s="1"/>
  <c r="IF9" i="4" s="1"/>
  <c r="AL23" i="1"/>
  <c r="AK54" i="1"/>
  <c r="AJ28" i="1"/>
  <c r="N28" i="1"/>
  <c r="Q29" i="1"/>
  <c r="K33" i="1"/>
  <c r="H28" i="1"/>
  <c r="L28" i="1"/>
  <c r="BX162" i="1"/>
  <c r="BY162" i="1" s="1"/>
  <c r="Q17" i="1"/>
  <c r="B43" i="1"/>
  <c r="I43" i="1"/>
  <c r="C21" i="1"/>
  <c r="BX81" i="1"/>
  <c r="I29" i="1"/>
  <c r="S16" i="1"/>
  <c r="S239" i="1" s="1"/>
  <c r="B33" i="1"/>
  <c r="V31" i="1"/>
  <c r="M16" i="1"/>
  <c r="M239" i="1" s="1"/>
  <c r="S28" i="1"/>
  <c r="M17" i="1"/>
  <c r="W40" i="1"/>
  <c r="N21" i="1"/>
  <c r="O16" i="1"/>
  <c r="G16" i="1"/>
  <c r="G239" i="1" s="1"/>
  <c r="K53" i="1"/>
  <c r="I44" i="1"/>
  <c r="S47" i="1"/>
  <c r="I31" i="1"/>
  <c r="E59" i="1"/>
  <c r="J43" i="1"/>
  <c r="F54" i="1"/>
  <c r="P47" i="1"/>
  <c r="K23" i="1"/>
  <c r="R44" i="1"/>
  <c r="L33" i="1"/>
  <c r="T23" i="1"/>
  <c r="BJ28" i="1"/>
  <c r="AJ17" i="1"/>
  <c r="AM32" i="1"/>
  <c r="BJ32" i="1"/>
  <c r="AL17" i="1"/>
  <c r="AL18" i="1" s="1"/>
  <c r="U31" i="1"/>
  <c r="J31" i="1"/>
  <c r="C28" i="1"/>
  <c r="J40" i="1"/>
  <c r="J202" i="1" s="1"/>
  <c r="J28" i="1"/>
  <c r="E53" i="1"/>
  <c r="Q30" i="1"/>
  <c r="T54" i="1"/>
  <c r="I21" i="1"/>
  <c r="BX130" i="1"/>
  <c r="BY130" i="1" s="1"/>
  <c r="U21" i="1"/>
  <c r="Q40" i="1"/>
  <c r="Q202" i="1" s="1"/>
  <c r="N43" i="1"/>
  <c r="D23" i="1"/>
  <c r="W47" i="1"/>
  <c r="E55" i="1"/>
  <c r="L32" i="1"/>
  <c r="Q28" i="1"/>
  <c r="F59" i="1"/>
  <c r="H29" i="1"/>
  <c r="H59" i="1"/>
  <c r="P40" i="1"/>
  <c r="R30" i="1"/>
  <c r="J17" i="1"/>
  <c r="K30" i="1"/>
  <c r="U43" i="1"/>
  <c r="V59" i="1"/>
  <c r="R29" i="1"/>
  <c r="P28" i="1"/>
  <c r="C55" i="1"/>
  <c r="K54" i="1"/>
  <c r="J32" i="1"/>
  <c r="D30" i="1"/>
  <c r="T47" i="1"/>
  <c r="R23" i="1"/>
  <c r="B16" i="1"/>
  <c r="W21" i="1"/>
  <c r="K43" i="1"/>
  <c r="P168" i="1"/>
  <c r="N53" i="1"/>
  <c r="T55" i="1"/>
  <c r="T40" i="1"/>
  <c r="T202" i="1" s="1"/>
  <c r="E43" i="1"/>
  <c r="D33" i="1"/>
  <c r="P17" i="1"/>
  <c r="L29" i="1"/>
  <c r="H17" i="1"/>
  <c r="V17" i="1"/>
  <c r="V18" i="1" s="1"/>
  <c r="V106" i="1" s="1"/>
  <c r="C33" i="1"/>
  <c r="U32" i="1"/>
  <c r="P55" i="1"/>
  <c r="H47" i="1"/>
  <c r="R16" i="1"/>
  <c r="R239" i="1" s="1"/>
  <c r="S33" i="1"/>
  <c r="F47" i="1"/>
  <c r="C59" i="1"/>
  <c r="M29" i="1"/>
  <c r="C31" i="1"/>
  <c r="V53" i="1"/>
  <c r="O28" i="1"/>
  <c r="G171" i="1"/>
  <c r="T59" i="1"/>
  <c r="O31" i="1"/>
  <c r="V32" i="1"/>
  <c r="N59" i="1"/>
  <c r="F30" i="1"/>
  <c r="T31" i="1"/>
  <c r="F16" i="1"/>
  <c r="F239" i="1" s="1"/>
  <c r="D54" i="1"/>
  <c r="W17" i="1"/>
  <c r="W18" i="1" s="1"/>
  <c r="AJ44" i="1"/>
  <c r="BJ31" i="1"/>
  <c r="AJ23" i="1"/>
  <c r="AK33" i="1"/>
  <c r="BJ29" i="1"/>
  <c r="BX152" i="1"/>
  <c r="G44" i="1"/>
  <c r="B21" i="1"/>
  <c r="O23" i="1"/>
  <c r="BX168" i="1"/>
  <c r="J30" i="1"/>
  <c r="G28" i="1"/>
  <c r="U29" i="1"/>
  <c r="O33" i="1"/>
  <c r="BX126" i="1"/>
  <c r="BY126" i="1" s="1"/>
  <c r="B17" i="1"/>
  <c r="P53" i="1"/>
  <c r="V28" i="1"/>
  <c r="C32" i="1"/>
  <c r="D31" i="1"/>
  <c r="L31" i="1"/>
  <c r="R17" i="1"/>
  <c r="O47" i="1"/>
  <c r="G33" i="1"/>
  <c r="G17" i="1"/>
  <c r="S32" i="1"/>
  <c r="O54" i="1"/>
  <c r="V55" i="1"/>
  <c r="V21" i="1"/>
  <c r="T17" i="1"/>
  <c r="G161" i="1"/>
  <c r="C23" i="1"/>
  <c r="G32" i="1"/>
  <c r="H31" i="1"/>
  <c r="P23" i="1"/>
  <c r="R32" i="1"/>
  <c r="E29" i="1"/>
  <c r="P54" i="1"/>
  <c r="T33" i="1"/>
  <c r="I54" i="1"/>
  <c r="F55" i="1"/>
  <c r="M33" i="1"/>
  <c r="T43" i="1"/>
  <c r="T28" i="1"/>
  <c r="P30" i="1"/>
  <c r="H43" i="1"/>
  <c r="U55" i="1"/>
  <c r="HT16" i="4" s="1"/>
  <c r="HT21" i="4" s="1"/>
  <c r="AN85" i="1" s="1"/>
  <c r="AK32" i="1"/>
  <c r="BX16" i="1"/>
  <c r="BX8" i="1" s="1"/>
  <c r="BX44" i="1"/>
  <c r="BX260" i="1" s="1"/>
  <c r="AJ30" i="1"/>
  <c r="AK31" i="1"/>
  <c r="AL47" i="1"/>
  <c r="BX171" i="1"/>
  <c r="BY171" i="1" s="1"/>
  <c r="U44" i="1"/>
  <c r="U260" i="1" s="1"/>
  <c r="S29" i="1"/>
  <c r="B31" i="1"/>
  <c r="BX154" i="1"/>
  <c r="BY154" i="1" s="1"/>
  <c r="W53" i="1"/>
  <c r="BX139" i="1"/>
  <c r="BX82" i="1"/>
  <c r="BX134" i="1"/>
  <c r="BY134" i="1" s="1"/>
  <c r="K21" i="1"/>
  <c r="BX161" i="1"/>
  <c r="B44" i="1"/>
  <c r="B59" i="1"/>
  <c r="V54" i="1"/>
  <c r="L23" i="1"/>
  <c r="K31" i="1"/>
  <c r="I23" i="1"/>
  <c r="D55" i="1"/>
  <c r="S17" i="1"/>
  <c r="N47" i="1"/>
  <c r="C29" i="1"/>
  <c r="D28" i="1"/>
  <c r="J55" i="1"/>
  <c r="B29" i="1"/>
  <c r="Q161" i="1"/>
  <c r="W43" i="1"/>
  <c r="C132" i="1"/>
  <c r="U23" i="1"/>
  <c r="T16" i="1"/>
  <c r="T8" i="1" s="1"/>
  <c r="W125" i="1"/>
  <c r="R59" i="1"/>
  <c r="JC14" i="4" s="1"/>
  <c r="HP16" i="4" s="1"/>
  <c r="HP21" i="4" s="1"/>
  <c r="AJ85" i="1" s="1"/>
  <c r="IW15" i="4" s="1"/>
  <c r="IU8" i="4" s="1"/>
  <c r="IO15" i="4" s="1"/>
  <c r="JI15" i="4" s="1"/>
  <c r="HQ14" i="4" s="1"/>
  <c r="HR8" i="4" s="1"/>
  <c r="IN7" i="4" s="1"/>
  <c r="IF14" i="4" s="1"/>
  <c r="AJ31" i="1"/>
  <c r="AJ33" i="1"/>
  <c r="BX55" i="1"/>
  <c r="BX29" i="1"/>
  <c r="BX59" i="1"/>
  <c r="AJ53" i="1"/>
  <c r="AK40" i="1"/>
  <c r="AK202" i="1" s="1"/>
  <c r="AL29" i="1"/>
  <c r="BX150" i="1"/>
  <c r="BY150" i="1" s="1"/>
  <c r="BX148" i="1"/>
  <c r="BY148" i="1" s="1"/>
  <c r="BZ210" i="1" s="1"/>
  <c r="I47" i="1"/>
  <c r="E31" i="1"/>
  <c r="B32" i="1"/>
  <c r="BX158" i="1"/>
  <c r="BY158" i="1" s="1"/>
  <c r="I28" i="1"/>
  <c r="S53" i="1"/>
  <c r="BX143" i="1"/>
  <c r="BY143" i="1" s="1"/>
  <c r="BX135" i="1"/>
  <c r="BY135" i="1" s="1"/>
  <c r="BX125" i="1"/>
  <c r="BY125" i="1" s="1"/>
  <c r="G53" i="1"/>
  <c r="K47" i="1"/>
  <c r="J16" i="1"/>
  <c r="B53" i="1"/>
  <c r="E54" i="1"/>
  <c r="L55" i="1"/>
  <c r="Q31" i="1"/>
  <c r="S40" i="1"/>
  <c r="E44" i="1"/>
  <c r="W31" i="1"/>
  <c r="I16" i="1"/>
  <c r="I239" i="1" s="1"/>
  <c r="E21" i="1"/>
  <c r="H53" i="1"/>
  <c r="U54" i="1"/>
  <c r="Q16" i="1"/>
  <c r="Q33" i="1"/>
  <c r="J23" i="1"/>
  <c r="E40" i="1"/>
  <c r="E202" i="1" s="1"/>
  <c r="O40" i="1"/>
  <c r="O202" i="1" s="1"/>
  <c r="U17" i="1"/>
  <c r="U18" i="1" s="1"/>
  <c r="U106" i="1" s="1"/>
  <c r="G55" i="1"/>
  <c r="W28" i="1"/>
  <c r="R40" i="1"/>
  <c r="I33" i="1"/>
  <c r="H40" i="1"/>
  <c r="H202" i="1" s="1"/>
  <c r="W54" i="1"/>
  <c r="U40" i="1"/>
  <c r="U202" i="1" s="1"/>
  <c r="B54" i="1"/>
  <c r="F23" i="1"/>
  <c r="C47" i="1"/>
  <c r="BX155" i="1"/>
  <c r="BY155" i="1" s="1"/>
  <c r="S44" i="1"/>
  <c r="BX163" i="1"/>
  <c r="BY163" i="1" s="1"/>
  <c r="BX157" i="1"/>
  <c r="BY157" i="1" s="1"/>
  <c r="L43" i="1"/>
  <c r="K44" i="1"/>
  <c r="K28" i="1"/>
  <c r="D16" i="1"/>
  <c r="J127" i="1"/>
  <c r="D21" i="1"/>
  <c r="P43" i="1"/>
  <c r="V40" i="1"/>
  <c r="E23" i="1"/>
  <c r="W33" i="1"/>
  <c r="W44" i="1"/>
  <c r="W260" i="1" s="1"/>
  <c r="E17" i="1"/>
  <c r="H55" i="1"/>
  <c r="R47" i="1"/>
  <c r="L40" i="1"/>
  <c r="V33" i="1"/>
  <c r="L44" i="1"/>
  <c r="D47" i="1"/>
  <c r="Q53" i="1"/>
  <c r="G30" i="1"/>
  <c r="V43" i="1"/>
  <c r="L30" i="1"/>
  <c r="W32" i="1"/>
  <c r="K59" i="1"/>
  <c r="Q23" i="1"/>
  <c r="Q44" i="1"/>
  <c r="R54" i="1"/>
  <c r="Q59" i="1"/>
  <c r="F31" i="1"/>
  <c r="T29" i="1"/>
  <c r="F17" i="1"/>
  <c r="R53" i="1"/>
  <c r="U53" i="1"/>
  <c r="JE8" i="4" s="1"/>
  <c r="JG14" i="4" s="1"/>
  <c r="IB9" i="4" s="1"/>
  <c r="HV15" i="4" s="1"/>
  <c r="IN8" i="4" s="1"/>
  <c r="AJ40" i="1"/>
  <c r="AL30" i="1"/>
  <c r="AM22" i="1"/>
  <c r="AK28" i="1"/>
  <c r="AM16" i="1"/>
  <c r="AJ21" i="1"/>
  <c r="AK30" i="1"/>
  <c r="AL59" i="1"/>
  <c r="AM29" i="1"/>
  <c r="F32" i="1"/>
  <c r="BX153" i="1"/>
  <c r="T53" i="1"/>
  <c r="H32" i="1"/>
  <c r="M53" i="1"/>
  <c r="W59" i="1"/>
  <c r="BX151" i="1"/>
  <c r="BY151" i="1" s="1"/>
  <c r="BX127" i="1"/>
  <c r="BX145" i="1"/>
  <c r="BY145" i="1" s="1"/>
  <c r="H16" i="1"/>
  <c r="H239" i="1" s="1"/>
  <c r="M32" i="1"/>
  <c r="BL82" i="1"/>
  <c r="BX141" i="1"/>
  <c r="R33" i="1"/>
  <c r="P44" i="1"/>
  <c r="P260" i="1" s="1"/>
  <c r="I59" i="1"/>
  <c r="C40" i="1"/>
  <c r="P32" i="1"/>
  <c r="M47" i="1"/>
  <c r="D44" i="1"/>
  <c r="O21" i="1"/>
  <c r="L59" i="1"/>
  <c r="O30" i="1"/>
  <c r="C43" i="1"/>
  <c r="J59" i="1"/>
  <c r="N33" i="1"/>
  <c r="B40" i="1"/>
  <c r="B261" i="1" s="1"/>
  <c r="B30" i="1"/>
  <c r="L54" i="1"/>
  <c r="P29" i="1"/>
  <c r="N54" i="1"/>
  <c r="H33" i="1"/>
  <c r="G47" i="1"/>
  <c r="K17" i="1"/>
  <c r="P59" i="1"/>
  <c r="I32" i="1"/>
  <c r="D53" i="1"/>
  <c r="K55" i="1"/>
  <c r="N32" i="1"/>
  <c r="G29" i="1"/>
  <c r="AM40" i="1"/>
  <c r="AM202" i="1" s="1"/>
  <c r="AJ59" i="1"/>
  <c r="AK29" i="1"/>
  <c r="AL31" i="1"/>
  <c r="AK21" i="1"/>
  <c r="AK23" i="1"/>
  <c r="AL21" i="1"/>
  <c r="E33" i="1"/>
  <c r="E47" i="1"/>
  <c r="Q47" i="1"/>
  <c r="D32" i="1"/>
  <c r="BX133" i="1"/>
  <c r="BY133" i="1" s="1"/>
  <c r="R55" i="1"/>
  <c r="R28" i="1"/>
  <c r="U47" i="1"/>
  <c r="M23" i="1"/>
  <c r="I55" i="1"/>
  <c r="BX132" i="1"/>
  <c r="BY132" i="1" s="1"/>
  <c r="S43" i="1"/>
  <c r="M43" i="1"/>
  <c r="B55" i="1"/>
  <c r="W29" i="1"/>
  <c r="H54" i="1"/>
  <c r="O55" i="1"/>
  <c r="P31" i="1"/>
  <c r="N55" i="1"/>
  <c r="J47" i="1"/>
  <c r="O29" i="1"/>
  <c r="J44" i="1"/>
  <c r="D59" i="1"/>
  <c r="R43" i="1"/>
  <c r="U28" i="1"/>
  <c r="H23" i="1"/>
  <c r="S54" i="1"/>
  <c r="P21" i="1"/>
  <c r="M44" i="1"/>
  <c r="M55" i="1"/>
  <c r="N40" i="1"/>
  <c r="N202" i="1" s="1"/>
  <c r="K32" i="1"/>
  <c r="I40" i="1"/>
  <c r="I202" i="1" s="1"/>
  <c r="G23" i="1"/>
  <c r="C16" i="1"/>
  <c r="V44" i="1"/>
  <c r="V260" i="1" s="1"/>
  <c r="AL54" i="1"/>
  <c r="AL55" i="1"/>
  <c r="AJ54" i="1"/>
  <c r="BX40" i="1"/>
  <c r="BX202" i="1" s="1"/>
  <c r="AK47" i="1"/>
  <c r="AJ16" i="1"/>
  <c r="AJ239" i="1" s="1"/>
  <c r="AK59" i="1"/>
  <c r="AJ32" i="1"/>
  <c r="AK17" i="1"/>
  <c r="AK55" i="1"/>
  <c r="AK44" i="1"/>
  <c r="B47" i="1"/>
  <c r="W55" i="1"/>
  <c r="BX172" i="1"/>
  <c r="BY172" i="1" s="1"/>
  <c r="S21" i="1"/>
  <c r="O44" i="1"/>
  <c r="B28" i="1"/>
  <c r="D43" i="1"/>
  <c r="K16" i="1"/>
  <c r="K239" i="1" s="1"/>
  <c r="F21" i="1"/>
  <c r="O53" i="1"/>
  <c r="G21" i="1"/>
  <c r="E30" i="1"/>
  <c r="C54" i="1"/>
  <c r="G40" i="1"/>
  <c r="G202" i="1" s="1"/>
  <c r="F44" i="1"/>
  <c r="T32" i="1"/>
  <c r="W140" i="1"/>
  <c r="R31" i="1"/>
  <c r="I17" i="1"/>
  <c r="M28" i="1"/>
  <c r="M59" i="1"/>
  <c r="V23" i="1"/>
  <c r="H30" i="1"/>
  <c r="J29" i="1"/>
  <c r="O43" i="1"/>
  <c r="T21" i="1"/>
  <c r="T44" i="1"/>
  <c r="S23" i="1"/>
  <c r="E16" i="1"/>
  <c r="Q54" i="1"/>
  <c r="J54" i="1"/>
  <c r="P135" i="1"/>
  <c r="C53" i="1"/>
  <c r="M21" i="1"/>
  <c r="F29" i="1"/>
  <c r="C30" i="1"/>
  <c r="W30" i="1"/>
  <c r="S59" i="1"/>
  <c r="CK115" i="1"/>
  <c r="CK116" i="1"/>
  <c r="CK107" i="1"/>
  <c r="AL163" i="1"/>
  <c r="AM163" i="1" s="1"/>
  <c r="AL82" i="1"/>
  <c r="BJ171" i="1"/>
  <c r="BK171" i="1" s="1"/>
  <c r="BJ162" i="1"/>
  <c r="BK162" i="1" s="1"/>
  <c r="BJ152" i="1"/>
  <c r="AJ171" i="1"/>
  <c r="AK171" i="1" s="1"/>
  <c r="BJ135" i="1"/>
  <c r="BK135" i="1" s="1"/>
  <c r="AJ130" i="1"/>
  <c r="AK130" i="1" s="1"/>
  <c r="AL153" i="1"/>
  <c r="AL139" i="1"/>
  <c r="AL133" i="1"/>
  <c r="AM133" i="1" s="1"/>
  <c r="AL172" i="1"/>
  <c r="AM172" i="1" s="1"/>
  <c r="AL157" i="1"/>
  <c r="AM157" i="1" s="1"/>
  <c r="BJ167" i="1"/>
  <c r="BJ168" i="1"/>
  <c r="BJ155" i="1"/>
  <c r="BK155" i="1" s="1"/>
  <c r="BJ157" i="1"/>
  <c r="AJ158" i="1"/>
  <c r="AK158" i="1" s="1"/>
  <c r="AJ161" i="1"/>
  <c r="AL143" i="1"/>
  <c r="AM143" i="1" s="1"/>
  <c r="BJ163" i="1"/>
  <c r="BK163" i="1" s="1"/>
  <c r="AJ157" i="1"/>
  <c r="AK157" i="1" s="1"/>
  <c r="BJ132" i="1"/>
  <c r="BK132" i="1" s="1"/>
  <c r="AL141" i="1"/>
  <c r="AL171" i="1"/>
  <c r="AM171" i="1" s="1"/>
  <c r="BJ139" i="1"/>
  <c r="BJ153" i="1"/>
  <c r="BJ172" i="1"/>
  <c r="AJ162" i="1"/>
  <c r="AK162" i="1" s="1"/>
  <c r="BJ127" i="1"/>
  <c r="AL130" i="1"/>
  <c r="AM130" i="1" s="1"/>
  <c r="BJ134" i="1"/>
  <c r="BK134" i="1" s="1"/>
  <c r="AL154" i="1"/>
  <c r="AM154" i="1" s="1"/>
  <c r="AL160" i="1"/>
  <c r="AM160" i="1" s="1"/>
  <c r="AL167" i="1"/>
  <c r="AL152" i="1"/>
  <c r="BJ148" i="1"/>
  <c r="BK148" i="1" s="1"/>
  <c r="BL210" i="1" s="1"/>
  <c r="BJ160" i="1"/>
  <c r="BK160" i="1" s="1"/>
  <c r="BJ143" i="1"/>
  <c r="BK143" i="1" s="1"/>
  <c r="BJ133" i="1"/>
  <c r="BK133" i="1" s="1"/>
  <c r="BJ150" i="1"/>
  <c r="BK150" i="1" s="1"/>
  <c r="BJ140" i="1"/>
  <c r="AJ141" i="1"/>
  <c r="AJ152" i="1"/>
  <c r="AJ153" i="1"/>
  <c r="AJ154" i="1"/>
  <c r="AK154" i="1" s="1"/>
  <c r="AL162" i="1"/>
  <c r="AM162" i="1" s="1"/>
  <c r="AL125" i="1"/>
  <c r="AM125" i="1" s="1"/>
  <c r="BJ154" i="1"/>
  <c r="BK154" i="1" s="1"/>
  <c r="AJ125" i="1"/>
  <c r="AK125" i="1" s="1"/>
  <c r="AL134" i="1"/>
  <c r="AM134" i="1" s="1"/>
  <c r="AL126" i="1"/>
  <c r="AM126" i="1" s="1"/>
  <c r="AL132" i="1"/>
  <c r="AM132" i="1" s="1"/>
  <c r="AL168" i="1"/>
  <c r="AL81" i="1"/>
  <c r="BJ126" i="1"/>
  <c r="BK126" i="1" s="1"/>
  <c r="BJ161" i="1"/>
  <c r="BJ158" i="1"/>
  <c r="BK158" i="1" s="1"/>
  <c r="BJ141" i="1"/>
  <c r="BJ159" i="1"/>
  <c r="BK159" i="1" s="1"/>
  <c r="AJ172" i="1"/>
  <c r="AK172" i="1" s="1"/>
  <c r="AJ134" i="1"/>
  <c r="AK134" i="1" s="1"/>
  <c r="AJ163" i="1"/>
  <c r="AK163" i="1" s="1"/>
  <c r="AJ126" i="1"/>
  <c r="AK126" i="1" s="1"/>
  <c r="AJ148" i="1"/>
  <c r="AK148" i="1" s="1"/>
  <c r="AL148" i="1"/>
  <c r="AM148" i="1" s="1"/>
  <c r="AM210" i="1" s="1"/>
  <c r="BJ130" i="1"/>
  <c r="BK130" i="1" s="1"/>
  <c r="BJ125" i="1"/>
  <c r="AJ139" i="1"/>
  <c r="AJ155" i="1"/>
  <c r="AK155" i="1" s="1"/>
  <c r="AJ151" i="1"/>
  <c r="AK151" i="1" s="1"/>
  <c r="AL145" i="1"/>
  <c r="AM145" i="1" s="1"/>
  <c r="BJ145" i="1"/>
  <c r="BK145" i="1" s="1"/>
  <c r="BJ151" i="1"/>
  <c r="AL151" i="1"/>
  <c r="IG7" i="4"/>
  <c r="IX14" i="4"/>
  <c r="HT8" i="4"/>
  <c r="JB8" i="4"/>
  <c r="IW8" i="4"/>
  <c r="IA14" i="4"/>
  <c r="JA7" i="4"/>
  <c r="ID8" i="4"/>
  <c r="HS14" i="4"/>
  <c r="IE7" i="4"/>
  <c r="IP15" i="4"/>
  <c r="HY7" i="4"/>
  <c r="IQ8" i="4"/>
  <c r="HU8" i="4"/>
  <c r="IP8" i="4"/>
  <c r="IB7" i="4"/>
  <c r="HT7" i="4"/>
  <c r="HX8" i="4"/>
  <c r="IT14" i="4"/>
  <c r="IK15" i="4"/>
  <c r="JI8" i="4"/>
  <c r="JD14" i="4"/>
  <c r="JB15" i="4"/>
  <c r="JI7" i="4"/>
  <c r="IE8" i="4"/>
  <c r="HZ15" i="4"/>
  <c r="IO14" i="4"/>
  <c r="IY15" i="4"/>
  <c r="IJ8" i="4"/>
  <c r="HY15" i="4"/>
  <c r="IY8" i="4"/>
  <c r="HR15" i="4"/>
  <c r="IV8" i="4"/>
  <c r="IO8" i="4"/>
  <c r="HU7" i="4"/>
  <c r="HX15" i="4"/>
  <c r="JE7" i="4"/>
  <c r="IC8" i="4"/>
  <c r="II14" i="4"/>
  <c r="JC15" i="4"/>
  <c r="ID14" i="4"/>
  <c r="IE15" i="4"/>
  <c r="HP7" i="4"/>
  <c r="HW7" i="4"/>
  <c r="II8" i="4"/>
  <c r="JH8" i="4"/>
  <c r="HQ15" i="4"/>
  <c r="HZ8" i="4"/>
  <c r="IC7" i="4"/>
  <c r="IR15" i="4"/>
  <c r="JA15" i="4"/>
  <c r="HQ7" i="4"/>
  <c r="HU15" i="4"/>
  <c r="HT15" i="4"/>
  <c r="IX8" i="4"/>
  <c r="JA8" i="4"/>
  <c r="JB7" i="4"/>
  <c r="IT8" i="4"/>
  <c r="IM8" i="4"/>
  <c r="IH14" i="4"/>
  <c r="IU7" i="4"/>
  <c r="IT7" i="4"/>
  <c r="JD15" i="4"/>
  <c r="IS8" i="4"/>
  <c r="HR14" i="4"/>
  <c r="IQ7" i="4"/>
  <c r="IH7" i="4"/>
  <c r="IK14" i="4"/>
  <c r="IF8" i="4"/>
  <c r="IP7" i="4"/>
  <c r="JH15" i="4"/>
  <c r="HS8" i="4"/>
  <c r="JH14" i="4"/>
  <c r="JB14" i="4"/>
  <c r="CP85" i="1"/>
  <c r="CN71" i="1"/>
  <c r="CM73" i="1"/>
  <c r="AJ132" i="1" l="1"/>
  <c r="AK132" i="1" s="1"/>
  <c r="AJ168" i="1"/>
  <c r="AJ143" i="1"/>
  <c r="AK143" i="1" s="1"/>
  <c r="F261" i="1"/>
  <c r="AL191" i="1"/>
  <c r="AM191" i="1" s="1"/>
  <c r="IF21" i="4"/>
  <c r="AZ85" i="1" s="1"/>
  <c r="HY16" i="4" s="1"/>
  <c r="K18" i="1"/>
  <c r="R34" i="1"/>
  <c r="C239" i="1"/>
  <c r="E239" i="1"/>
  <c r="E18" i="1"/>
  <c r="U261" i="1"/>
  <c r="D239" i="1"/>
  <c r="V19" i="1"/>
  <c r="IL21" i="4"/>
  <c r="BF85" i="1" s="1"/>
  <c r="IA16" i="4" s="1"/>
  <c r="IY21" i="4"/>
  <c r="BS85" i="1" s="1"/>
  <c r="IF7" i="4" s="1"/>
  <c r="IR9" i="4" s="1"/>
  <c r="IK9" i="4" s="1"/>
  <c r="IN9" i="4" s="1"/>
  <c r="ID9" i="4" s="1"/>
  <c r="JD16" i="4" s="1"/>
  <c r="JD21" i="4" s="1"/>
  <c r="BX85" i="1" s="1"/>
  <c r="BX97" i="1" s="1"/>
  <c r="IO21" i="4"/>
  <c r="BI85" i="1" s="1"/>
  <c r="HX7" i="4" s="1"/>
  <c r="ID16" i="4" s="1"/>
  <c r="HW21" i="4"/>
  <c r="AQ85" i="1" s="1"/>
  <c r="IZ16" i="4" s="1"/>
  <c r="IZ21" i="4" s="1"/>
  <c r="BT85" i="1" s="1"/>
  <c r="HZ9" i="4" s="1"/>
  <c r="JE14" i="4" s="1"/>
  <c r="IX15" i="4" s="1"/>
  <c r="IT9" i="4" s="1"/>
  <c r="IS7" i="4" s="1"/>
  <c r="JB16" i="4" s="1"/>
  <c r="HQ21" i="4"/>
  <c r="AK85" i="1" s="1"/>
  <c r="IU15" i="4" s="1"/>
  <c r="IU9" i="4" s="1"/>
  <c r="HY9" i="4" s="1"/>
  <c r="S34" i="1"/>
  <c r="J18" i="1"/>
  <c r="Q34" i="1"/>
  <c r="S261" i="1"/>
  <c r="S260" i="1"/>
  <c r="D261" i="1"/>
  <c r="BX188" i="1"/>
  <c r="BY188" i="1" s="1"/>
  <c r="BX142" i="1"/>
  <c r="BY142" i="1" s="1"/>
  <c r="AJ159" i="1"/>
  <c r="AK159" i="1" s="1"/>
  <c r="AJ145" i="1"/>
  <c r="AK145" i="1" s="1"/>
  <c r="IU21" i="4"/>
  <c r="BO85" i="1" s="1"/>
  <c r="D202" i="1"/>
  <c r="IR21" i="4"/>
  <c r="BL85" i="1" s="1"/>
  <c r="IC21" i="4"/>
  <c r="AW85" i="1" s="1"/>
  <c r="IG21" i="4"/>
  <c r="BA85" i="1" s="1"/>
  <c r="IM21" i="4"/>
  <c r="BG85" i="1" s="1"/>
  <c r="BX169" i="1"/>
  <c r="BY217" i="1" s="1"/>
  <c r="R18" i="1"/>
  <c r="R106" i="1" s="1"/>
  <c r="F202" i="1"/>
  <c r="B239" i="1"/>
  <c r="B18" i="1"/>
  <c r="AL239" i="1"/>
  <c r="BX239" i="1"/>
  <c r="JH21" i="4"/>
  <c r="CB85" i="1" s="1"/>
  <c r="CB97" i="1" s="1"/>
  <c r="IQ21" i="4"/>
  <c r="BK85" i="1" s="1"/>
  <c r="IE21" i="4"/>
  <c r="AY85" i="1" s="1"/>
  <c r="IV21" i="4"/>
  <c r="BP85" i="1" s="1"/>
  <c r="HS21" i="4"/>
  <c r="AM85" i="1" s="1"/>
  <c r="IN21" i="4"/>
  <c r="BH85" i="1" s="1"/>
  <c r="HR21" i="4"/>
  <c r="AL85" i="1" s="1"/>
  <c r="W19" i="1"/>
  <c r="C202" i="1"/>
  <c r="C261" i="1"/>
  <c r="K261" i="1"/>
  <c r="O260" i="1"/>
  <c r="W261" i="1"/>
  <c r="W202" i="1"/>
  <c r="O18" i="1"/>
  <c r="P239" i="1"/>
  <c r="R260" i="1"/>
  <c r="T260" i="1"/>
  <c r="K260" i="1"/>
  <c r="G191" i="1"/>
  <c r="G18" i="1"/>
  <c r="G260" i="1"/>
  <c r="O239" i="1"/>
  <c r="T261" i="1"/>
  <c r="IB21" i="4"/>
  <c r="AV85" i="1" s="1"/>
  <c r="J261" i="1"/>
  <c r="BX261" i="1"/>
  <c r="BX18" i="1"/>
  <c r="D18" i="1"/>
  <c r="P191" i="1"/>
  <c r="JF15" i="4"/>
  <c r="IL14" i="4"/>
  <c r="HZ7" i="4"/>
  <c r="HP14" i="4"/>
  <c r="C260" i="1"/>
  <c r="IK8" i="4"/>
  <c r="JF14" i="4"/>
  <c r="BJ191" i="1"/>
  <c r="BK191" i="1" s="1"/>
  <c r="N239" i="1"/>
  <c r="N18" i="1"/>
  <c r="Q18" i="1"/>
  <c r="Q239" i="1"/>
  <c r="R261" i="1"/>
  <c r="R202" i="1"/>
  <c r="AM239" i="1"/>
  <c r="AM18" i="1"/>
  <c r="W34" i="1"/>
  <c r="O34" i="1"/>
  <c r="IH8" i="4"/>
  <c r="IH15" i="4"/>
  <c r="IR14" i="4"/>
  <c r="II15" i="4"/>
  <c r="IJ21" i="4"/>
  <c r="BD85" i="1" s="1"/>
  <c r="IC15" i="4"/>
  <c r="HX14" i="4"/>
  <c r="IX7" i="4"/>
  <c r="IT21" i="4"/>
  <c r="BN85" i="1" s="1"/>
  <c r="JG7" i="4"/>
  <c r="IY7" i="4"/>
  <c r="IF15" i="4"/>
  <c r="IF20" i="4" s="1"/>
  <c r="AZ87" i="1" s="1"/>
  <c r="AZ116" i="1" s="1"/>
  <c r="IG14" i="4"/>
  <c r="IN14" i="4"/>
  <c r="IA7" i="4"/>
  <c r="II7" i="4"/>
  <c r="JF7" i="4"/>
  <c r="IZ15" i="4"/>
  <c r="IB8" i="4"/>
  <c r="JE15" i="4"/>
  <c r="JG15" i="4"/>
  <c r="IT15" i="4"/>
  <c r="IT20" i="4" s="1"/>
  <c r="BN87" i="1" s="1"/>
  <c r="BN116" i="1" s="1"/>
  <c r="JC8" i="4"/>
  <c r="AM260" i="1"/>
  <c r="IJ15" i="4"/>
  <c r="JH7" i="4"/>
  <c r="HW14" i="4"/>
  <c r="HW19" i="4" s="1"/>
  <c r="AQ86" i="1" s="1"/>
  <c r="AQ115" i="1" s="1"/>
  <c r="JG8" i="4"/>
  <c r="IJ14" i="4"/>
  <c r="JD8" i="4"/>
  <c r="JD20" i="4" s="1"/>
  <c r="BX87" i="1" s="1"/>
  <c r="BX116" i="1" s="1"/>
  <c r="HS15" i="4"/>
  <c r="HS20" i="4" s="1"/>
  <c r="AM87" i="1" s="1"/>
  <c r="HZ14" i="4"/>
  <c r="IE14" i="4"/>
  <c r="IB15" i="4"/>
  <c r="IB20" i="4" s="1"/>
  <c r="AV87" i="1" s="1"/>
  <c r="AV116" i="1" s="1"/>
  <c r="JG21" i="4"/>
  <c r="CA85" i="1" s="1"/>
  <c r="CA97" i="1" s="1"/>
  <c r="J34" i="1"/>
  <c r="J260" i="1"/>
  <c r="HY8" i="4"/>
  <c r="IR7" i="4"/>
  <c r="IW14" i="4"/>
  <c r="JC7" i="4"/>
  <c r="IL15" i="4"/>
  <c r="HV7" i="4"/>
  <c r="IG15" i="4"/>
  <c r="HR7" i="4"/>
  <c r="JI14" i="4"/>
  <c r="IS14" i="4"/>
  <c r="HZ21" i="4"/>
  <c r="AT85" i="1" s="1"/>
  <c r="IA8" i="4"/>
  <c r="IZ14" i="4"/>
  <c r="IU14" i="4"/>
  <c r="IU19" i="4" s="1"/>
  <c r="BO86" i="1" s="1"/>
  <c r="BO115" i="1" s="1"/>
  <c r="N260" i="1"/>
  <c r="HP8" i="4"/>
  <c r="HT14" i="4"/>
  <c r="HT19" i="4" s="1"/>
  <c r="AN86" i="1" s="1"/>
  <c r="AN115" i="1" s="1"/>
  <c r="H34" i="1"/>
  <c r="AM34" i="1"/>
  <c r="AK34" i="1"/>
  <c r="P18" i="1"/>
  <c r="L34" i="1"/>
  <c r="M34" i="1"/>
  <c r="W24" i="1"/>
  <c r="G34" i="1"/>
  <c r="T34" i="1"/>
  <c r="T11" i="1" s="1"/>
  <c r="B260" i="1"/>
  <c r="B34" i="1"/>
  <c r="Q191" i="1"/>
  <c r="AL34" i="1"/>
  <c r="AL35" i="1" s="1"/>
  <c r="F260" i="1"/>
  <c r="V24" i="1"/>
  <c r="T9" i="1"/>
  <c r="T10" i="1" s="1"/>
  <c r="T12" i="1" s="1"/>
  <c r="F34" i="1"/>
  <c r="BJ187" i="1"/>
  <c r="BK187" i="1" s="1"/>
  <c r="AL188" i="1"/>
  <c r="AM188" i="1" s="1"/>
  <c r="BJ188" i="1"/>
  <c r="BK188" i="1" s="1"/>
  <c r="AL187" i="1"/>
  <c r="AM187" i="1" s="1"/>
  <c r="AL24" i="1"/>
  <c r="BJ8" i="1"/>
  <c r="BJ239" i="1"/>
  <c r="P202" i="1"/>
  <c r="P261" i="1"/>
  <c r="V202" i="1"/>
  <c r="V261" i="1"/>
  <c r="AJ202" i="1"/>
  <c r="AJ41" i="1"/>
  <c r="BY127" i="1"/>
  <c r="BY128" i="1" s="1"/>
  <c r="BX128" i="1"/>
  <c r="IJ7" i="4"/>
  <c r="HS7" i="4"/>
  <c r="HS19" i="4" s="1"/>
  <c r="AM86" i="1" s="1"/>
  <c r="HV8" i="4"/>
  <c r="ID15" i="4"/>
  <c r="HU14" i="4"/>
  <c r="HU19" i="4" s="1"/>
  <c r="AO86" i="1" s="1"/>
  <c r="AO115" i="1" s="1"/>
  <c r="IK7" i="4"/>
  <c r="IK19" i="4" s="1"/>
  <c r="BE86" i="1" s="1"/>
  <c r="BE115" i="1" s="1"/>
  <c r="HW8" i="4"/>
  <c r="IV15" i="4"/>
  <c r="IM14" i="4"/>
  <c r="AJ45" i="1"/>
  <c r="IV14" i="4"/>
  <c r="IV7" i="4"/>
  <c r="IY14" i="4"/>
  <c r="IY19" i="4" s="1"/>
  <c r="BS86" i="1" s="1"/>
  <c r="BS115" i="1" s="1"/>
  <c r="AM106" i="1"/>
  <c r="AM107" i="1" s="1"/>
  <c r="N34" i="1"/>
  <c r="IZ8" i="4"/>
  <c r="IA15" i="4"/>
  <c r="IA20" i="4" s="1"/>
  <c r="AU87" i="1" s="1"/>
  <c r="AU116" i="1" s="1"/>
  <c r="IW7" i="4"/>
  <c r="HV14" i="4"/>
  <c r="HV19" i="4" s="1"/>
  <c r="AP86" i="1" s="1"/>
  <c r="AP115" i="1" s="1"/>
  <c r="JA14" i="4"/>
  <c r="JA19" i="4" s="1"/>
  <c r="BU86" i="1" s="1"/>
  <c r="BU115" i="1" s="1"/>
  <c r="HY14" i="4"/>
  <c r="HY19" i="4" s="1"/>
  <c r="AS86" i="1" s="1"/>
  <c r="AS115" i="1" s="1"/>
  <c r="IQ15" i="4"/>
  <c r="IQ20" i="4" s="1"/>
  <c r="BK87" i="1" s="1"/>
  <c r="BK116" i="1" s="1"/>
  <c r="IM15" i="4"/>
  <c r="IM20" i="4" s="1"/>
  <c r="BG87" i="1" s="1"/>
  <c r="BG116" i="1" s="1"/>
  <c r="IR8" i="4"/>
  <c r="IR20" i="4" s="1"/>
  <c r="BL87" i="1" s="1"/>
  <c r="BL104" i="1" s="1"/>
  <c r="JF8" i="4"/>
  <c r="JF20" i="4" s="1"/>
  <c r="BZ87" i="1" s="1"/>
  <c r="HV21" i="4"/>
  <c r="AP85" i="1" s="1"/>
  <c r="HW15" i="4"/>
  <c r="HW20" i="4" s="1"/>
  <c r="AQ87" i="1" s="1"/>
  <c r="AQ116" i="1" s="1"/>
  <c r="IN15" i="4"/>
  <c r="IN20" i="4" s="1"/>
  <c r="BH87" i="1" s="1"/>
  <c r="BH116" i="1" s="1"/>
  <c r="I260" i="1"/>
  <c r="S18" i="1"/>
  <c r="D34" i="1"/>
  <c r="D35" i="1" s="1"/>
  <c r="I34" i="1"/>
  <c r="BX34" i="1"/>
  <c r="U24" i="1"/>
  <c r="U25" i="1" s="1"/>
  <c r="S202" i="1"/>
  <c r="W196" i="1"/>
  <c r="BX164" i="1"/>
  <c r="BX193" i="1" s="1"/>
  <c r="X196" i="1"/>
  <c r="H18" i="1"/>
  <c r="T18" i="1"/>
  <c r="I18" i="1"/>
  <c r="AJ34" i="1"/>
  <c r="BX136" i="1"/>
  <c r="M261" i="1"/>
  <c r="C34" i="1"/>
  <c r="BY136" i="1"/>
  <c r="V196" i="1"/>
  <c r="T239" i="1"/>
  <c r="JD7" i="4"/>
  <c r="JD19" i="4" s="1"/>
  <c r="BX86" i="1" s="1"/>
  <c r="L260" i="1"/>
  <c r="Q260" i="1"/>
  <c r="P34" i="1"/>
  <c r="E34" i="1"/>
  <c r="V34" i="1"/>
  <c r="V35" i="1" s="1"/>
  <c r="M260" i="1"/>
  <c r="M18" i="1"/>
  <c r="M106" i="1" s="1"/>
  <c r="AM261" i="1"/>
  <c r="D260" i="1"/>
  <c r="W106" i="1"/>
  <c r="X19" i="1"/>
  <c r="U34" i="1"/>
  <c r="U11" i="1" s="1"/>
  <c r="L261" i="1"/>
  <c r="K34" i="1"/>
  <c r="C18" i="1"/>
  <c r="G261" i="1"/>
  <c r="L18" i="1"/>
  <c r="I261" i="1"/>
  <c r="H260" i="1"/>
  <c r="F18" i="1"/>
  <c r="AK239" i="1"/>
  <c r="AL261" i="1"/>
  <c r="AJ191" i="1"/>
  <c r="AK18" i="1"/>
  <c r="AJ18" i="1"/>
  <c r="L202" i="1"/>
  <c r="N261" i="1"/>
  <c r="V9" i="1"/>
  <c r="V10" i="1" s="1"/>
  <c r="J239" i="1"/>
  <c r="BX191" i="1"/>
  <c r="BY191" i="1" s="1"/>
  <c r="AJ187" i="1"/>
  <c r="BX156" i="1"/>
  <c r="CA106" i="1"/>
  <c r="CA107" i="1" s="1"/>
  <c r="Q261" i="1"/>
  <c r="W9" i="1"/>
  <c r="W10" i="1" s="1"/>
  <c r="BX187" i="1"/>
  <c r="BY187" i="1" s="1"/>
  <c r="O261" i="1"/>
  <c r="H261" i="1"/>
  <c r="U9" i="1"/>
  <c r="U10" i="1" s="1"/>
  <c r="BJ9" i="1"/>
  <c r="BX9" i="1"/>
  <c r="BX10" i="1" s="1"/>
  <c r="CK112" i="1"/>
  <c r="CK110" i="1"/>
  <c r="CK111" i="1"/>
  <c r="BJ169" i="1"/>
  <c r="BK217" i="1" s="1"/>
  <c r="BJ142" i="1"/>
  <c r="BK136" i="1"/>
  <c r="BK125" i="1"/>
  <c r="BJ128" i="1"/>
  <c r="AJ169" i="1"/>
  <c r="AK217" i="1" s="1"/>
  <c r="AM136" i="1"/>
  <c r="AL169" i="1"/>
  <c r="AM217" i="1" s="1"/>
  <c r="BJ164" i="1"/>
  <c r="BJ193" i="1" s="1"/>
  <c r="BJ192" i="1" s="1"/>
  <c r="AL142" i="1"/>
  <c r="AM142" i="1" s="1"/>
  <c r="AM146" i="1" s="1"/>
  <c r="BK157" i="1"/>
  <c r="BJ136" i="1"/>
  <c r="AJ136" i="1"/>
  <c r="AL164" i="1"/>
  <c r="AL193" i="1" s="1"/>
  <c r="AJ210" i="1"/>
  <c r="AL128" i="1"/>
  <c r="AL136" i="1"/>
  <c r="AI204" i="1"/>
  <c r="AI206" i="1" s="1"/>
  <c r="AJ142" i="1"/>
  <c r="AK41" i="1" s="1"/>
  <c r="AJ156" i="1"/>
  <c r="AJ188" i="1"/>
  <c r="AK188" i="1" s="1"/>
  <c r="AK136" i="1"/>
  <c r="AJ128" i="1"/>
  <c r="BK151" i="1"/>
  <c r="BJ156" i="1"/>
  <c r="AM151" i="1"/>
  <c r="AL156" i="1"/>
  <c r="HX20" i="4"/>
  <c r="AR87" i="1" s="1"/>
  <c r="AR116" i="1" s="1"/>
  <c r="IF19" i="4"/>
  <c r="AZ86" i="1" s="1"/>
  <c r="AZ115" i="1" s="1"/>
  <c r="HR20" i="4"/>
  <c r="AL87" i="1" s="1"/>
  <c r="IB19" i="4"/>
  <c r="AV86" i="1" s="1"/>
  <c r="AV115" i="1" s="1"/>
  <c r="IW20" i="4"/>
  <c r="BQ87" i="1" s="1"/>
  <c r="BQ116" i="1" s="1"/>
  <c r="IC19" i="4"/>
  <c r="AW86" i="1" s="1"/>
  <c r="AW115" i="1" s="1"/>
  <c r="IS20" i="4"/>
  <c r="BM87" i="1" s="1"/>
  <c r="BM116" i="1" s="1"/>
  <c r="HT20" i="4"/>
  <c r="AN87" i="1" s="1"/>
  <c r="AN116" i="1" s="1"/>
  <c r="JH19" i="4"/>
  <c r="CB86" i="1" s="1"/>
  <c r="IO20" i="4"/>
  <c r="BI87" i="1" s="1"/>
  <c r="BI116" i="1" s="1"/>
  <c r="HY20" i="4"/>
  <c r="AS87" i="1" s="1"/>
  <c r="AS116" i="1" s="1"/>
  <c r="JB20" i="4"/>
  <c r="BV87" i="1" s="1"/>
  <c r="BV116" i="1" s="1"/>
  <c r="JI20" i="4"/>
  <c r="CC87" i="1" s="1"/>
  <c r="JH20" i="4"/>
  <c r="CB87" i="1" s="1"/>
  <c r="HU20" i="4"/>
  <c r="AO87" i="1" s="1"/>
  <c r="AO116" i="1" s="1"/>
  <c r="JA20" i="4"/>
  <c r="BU87" i="1" s="1"/>
  <c r="BU116" i="1" s="1"/>
  <c r="IP20" i="4"/>
  <c r="BJ87" i="1" s="1"/>
  <c r="BJ116" i="1" s="1"/>
  <c r="IP19" i="4"/>
  <c r="BJ86" i="1" s="1"/>
  <c r="BJ115" i="1" s="1"/>
  <c r="IE20" i="4"/>
  <c r="AY87" i="1" s="1"/>
  <c r="AY116" i="1" s="1"/>
  <c r="IY20" i="4"/>
  <c r="BS87" i="1" s="1"/>
  <c r="BS116" i="1" s="1"/>
  <c r="IQ19" i="4"/>
  <c r="BK86" i="1" s="1"/>
  <c r="BK115" i="1" s="1"/>
  <c r="IO19" i="4"/>
  <c r="BI86" i="1" s="1"/>
  <c r="BI115" i="1" s="1"/>
  <c r="HZ20" i="4"/>
  <c r="AT87" i="1" s="1"/>
  <c r="AT116" i="1" s="1"/>
  <c r="JB19" i="4"/>
  <c r="BV86" i="1" s="1"/>
  <c r="BV115" i="1" s="1"/>
  <c r="HQ19" i="4"/>
  <c r="AK86" i="1" s="1"/>
  <c r="IH19" i="4"/>
  <c r="BB86" i="1" s="1"/>
  <c r="BB115" i="1" s="1"/>
  <c r="IT19" i="4"/>
  <c r="BN86" i="1" s="1"/>
  <c r="BN115" i="1" s="1"/>
  <c r="AL210" i="1"/>
  <c r="AK210" i="1"/>
  <c r="BK210" i="1"/>
  <c r="BY210" i="1"/>
  <c r="CM40" i="1"/>
  <c r="AB85" i="1"/>
  <c r="CQ85" i="1"/>
  <c r="AC148" i="1"/>
  <c r="CN73" i="1"/>
  <c r="CO71" i="1"/>
  <c r="IU20" i="4" l="1"/>
  <c r="BO87" i="1" s="1"/>
  <c r="BO116" i="1" s="1"/>
  <c r="HX19" i="4"/>
  <c r="AR86" i="1" s="1"/>
  <c r="AR115" i="1" s="1"/>
  <c r="AM35" i="1"/>
  <c r="Q196" i="1"/>
  <c r="BX256" i="1"/>
  <c r="BL102" i="1"/>
  <c r="K196" i="1"/>
  <c r="R19" i="1"/>
  <c r="AM110" i="1"/>
  <c r="E35" i="1"/>
  <c r="B24" i="1"/>
  <c r="B25" i="1" s="1"/>
  <c r="AL192" i="1"/>
  <c r="AJ164" i="1"/>
  <c r="J24" i="1"/>
  <c r="J25" i="1" s="1"/>
  <c r="J106" i="1"/>
  <c r="AM24" i="1"/>
  <c r="CA110" i="1"/>
  <c r="BJ10" i="1"/>
  <c r="II20" i="4"/>
  <c r="BC87" i="1" s="1"/>
  <c r="BC116" i="1" s="1"/>
  <c r="IH20" i="4"/>
  <c r="BB87" i="1" s="1"/>
  <c r="BB116" i="1" s="1"/>
  <c r="JG20" i="4"/>
  <c r="CA87" i="1" s="1"/>
  <c r="CA102" i="1"/>
  <c r="IN19" i="4"/>
  <c r="BH86" i="1" s="1"/>
  <c r="BH115" i="1" s="1"/>
  <c r="JI19" i="4"/>
  <c r="CC86" i="1" s="1"/>
  <c r="IS19" i="4"/>
  <c r="BM86" i="1" s="1"/>
  <c r="BM115" i="1" s="1"/>
  <c r="IX20" i="4"/>
  <c r="BR87" i="1" s="1"/>
  <c r="BR116" i="1" s="1"/>
  <c r="IC20" i="4"/>
  <c r="AW87" i="1" s="1"/>
  <c r="AW116" i="1" s="1"/>
  <c r="N106" i="1"/>
  <c r="N24" i="1"/>
  <c r="O24" i="1"/>
  <c r="O25" i="1" s="1"/>
  <c r="T106" i="1"/>
  <c r="O106" i="1"/>
  <c r="O19" i="1"/>
  <c r="E106" i="1"/>
  <c r="E19" i="1"/>
  <c r="E24" i="1"/>
  <c r="K106" i="1"/>
  <c r="K24" i="1"/>
  <c r="D24" i="1"/>
  <c r="IA21" i="4"/>
  <c r="AU85" i="1" s="1"/>
  <c r="HP15" i="4"/>
  <c r="ID21" i="4"/>
  <c r="AX85" i="1" s="1"/>
  <c r="IL7" i="4"/>
  <c r="HY21" i="4"/>
  <c r="AS85" i="1" s="1"/>
  <c r="IZ7" i="4" s="1"/>
  <c r="ID7" i="4" s="1"/>
  <c r="JB9" i="4"/>
  <c r="JB21" i="4" s="1"/>
  <c r="BV85" i="1" s="1"/>
  <c r="IS9" i="4" s="1"/>
  <c r="IZ20" i="4"/>
  <c r="BT87" i="1" s="1"/>
  <c r="BT116" i="1" s="1"/>
  <c r="W26" i="1"/>
  <c r="IJ19" i="4"/>
  <c r="BD86" i="1" s="1"/>
  <c r="BD115" i="1" s="1"/>
  <c r="B35" i="1"/>
  <c r="CB102" i="1"/>
  <c r="CB110" i="1"/>
  <c r="CB93" i="1"/>
  <c r="ID20" i="4"/>
  <c r="AX87" i="1" s="1"/>
  <c r="AX116" i="1" s="1"/>
  <c r="JF19" i="4"/>
  <c r="BZ86" i="1" s="1"/>
  <c r="IL20" i="4"/>
  <c r="BF87" i="1" s="1"/>
  <c r="BF116" i="1" s="1"/>
  <c r="IX19" i="4"/>
  <c r="BR86" i="1" s="1"/>
  <c r="BR115" i="1" s="1"/>
  <c r="JE20" i="4"/>
  <c r="BY87" i="1" s="1"/>
  <c r="BY116" i="1" s="1"/>
  <c r="II19" i="4"/>
  <c r="BC86" i="1" s="1"/>
  <c r="BC115" i="1" s="1"/>
  <c r="JC20" i="4"/>
  <c r="BW87" i="1" s="1"/>
  <c r="BW116" i="1" s="1"/>
  <c r="IA19" i="4"/>
  <c r="AU86" i="1" s="1"/>
  <c r="AU115" i="1" s="1"/>
  <c r="JC19" i="4"/>
  <c r="BW86" i="1" s="1"/>
  <c r="BW115" i="1" s="1"/>
  <c r="IR19" i="4"/>
  <c r="BL86" i="1" s="1"/>
  <c r="P196" i="1"/>
  <c r="HV20" i="4"/>
  <c r="AP87" i="1" s="1"/>
  <c r="AP116" i="1" s="1"/>
  <c r="T19" i="1"/>
  <c r="BY41" i="1"/>
  <c r="HR19" i="4"/>
  <c r="AL86" i="1" s="1"/>
  <c r="HZ19" i="4"/>
  <c r="AT86" i="1" s="1"/>
  <c r="AT115" i="1" s="1"/>
  <c r="HP19" i="4"/>
  <c r="AJ86" i="1" s="1"/>
  <c r="IJ20" i="4"/>
  <c r="BD87" i="1" s="1"/>
  <c r="BD116" i="1" s="1"/>
  <c r="R196" i="1"/>
  <c r="BX146" i="1"/>
  <c r="IV20" i="4"/>
  <c r="BP87" i="1" s="1"/>
  <c r="BP116" i="1" s="1"/>
  <c r="IZ19" i="4"/>
  <c r="BT86" i="1" s="1"/>
  <c r="BT115" i="1" s="1"/>
  <c r="IE19" i="4"/>
  <c r="AY86" i="1" s="1"/>
  <c r="AY115" i="1" s="1"/>
  <c r="IG19" i="4"/>
  <c r="BA86" i="1" s="1"/>
  <c r="BA115" i="1" s="1"/>
  <c r="IK20" i="4"/>
  <c r="BE87" i="1" s="1"/>
  <c r="BE116" i="1" s="1"/>
  <c r="BY146" i="1"/>
  <c r="BZ211" i="1" s="1"/>
  <c r="BZ209" i="1" s="1"/>
  <c r="BZ41" i="1"/>
  <c r="JG19" i="4"/>
  <c r="CA86" i="1" s="1"/>
  <c r="R24" i="1"/>
  <c r="JE19" i="4"/>
  <c r="BY86" i="1" s="1"/>
  <c r="BY20" i="1"/>
  <c r="CB19" i="1"/>
  <c r="CC196" i="1"/>
  <c r="BX24" i="1"/>
  <c r="E196" i="1"/>
  <c r="G106" i="1"/>
  <c r="G24" i="1"/>
  <c r="K19" i="1"/>
  <c r="Q24" i="1"/>
  <c r="Q25" i="1" s="1"/>
  <c r="Q106" i="1"/>
  <c r="Q19" i="1"/>
  <c r="AM20" i="1"/>
  <c r="P106" i="1"/>
  <c r="P24" i="1"/>
  <c r="P19" i="1"/>
  <c r="O196" i="1"/>
  <c r="IW19" i="4"/>
  <c r="BQ86" i="1" s="1"/>
  <c r="BQ115" i="1" s="1"/>
  <c r="U19" i="1"/>
  <c r="T196" i="1"/>
  <c r="T24" i="1"/>
  <c r="U196" i="1"/>
  <c r="I24" i="1"/>
  <c r="I106" i="1"/>
  <c r="C35" i="1"/>
  <c r="W35" i="1"/>
  <c r="W11" i="1"/>
  <c r="W12" i="1" s="1"/>
  <c r="BZ215" i="1"/>
  <c r="BY100" i="1"/>
  <c r="BY137" i="1"/>
  <c r="BX190" i="1"/>
  <c r="BX165" i="1"/>
  <c r="BX173" i="1" s="1"/>
  <c r="IV19" i="4"/>
  <c r="BP86" i="1" s="1"/>
  <c r="BP115" i="1" s="1"/>
  <c r="U12" i="1"/>
  <c r="W25" i="1"/>
  <c r="X26" i="1"/>
  <c r="W36" i="1"/>
  <c r="V25" i="1"/>
  <c r="V36" i="1"/>
  <c r="AL25" i="1"/>
  <c r="AL36" i="1"/>
  <c r="BX100" i="1"/>
  <c r="BY215" i="1"/>
  <c r="S106" i="1"/>
  <c r="S24" i="1"/>
  <c r="S196" i="1"/>
  <c r="S19" i="1"/>
  <c r="BX11" i="1"/>
  <c r="BX12" i="1" s="1"/>
  <c r="BX35" i="1"/>
  <c r="H24" i="1"/>
  <c r="H19" i="1"/>
  <c r="J19" i="1"/>
  <c r="I196" i="1"/>
  <c r="C24" i="1"/>
  <c r="C196" i="1"/>
  <c r="C19" i="1"/>
  <c r="D196" i="1"/>
  <c r="D19" i="1"/>
  <c r="L106" i="1"/>
  <c r="L24" i="1"/>
  <c r="L19" i="1"/>
  <c r="L196" i="1"/>
  <c r="G196" i="1"/>
  <c r="G19" i="1"/>
  <c r="F106" i="1"/>
  <c r="F24" i="1"/>
  <c r="F196" i="1"/>
  <c r="F19" i="1"/>
  <c r="AK24" i="1"/>
  <c r="AL20" i="1"/>
  <c r="AJ24" i="1"/>
  <c r="AK20" i="1"/>
  <c r="BZ214" i="1"/>
  <c r="BY257" i="1"/>
  <c r="V26" i="1"/>
  <c r="BZ257" i="1"/>
  <c r="BZ259" i="1" s="1"/>
  <c r="M24" i="1"/>
  <c r="M196" i="1"/>
  <c r="BX137" i="1"/>
  <c r="M19" i="1"/>
  <c r="N19" i="1"/>
  <c r="BX176" i="1"/>
  <c r="BY45" i="1" s="1"/>
  <c r="H106" i="1"/>
  <c r="H196" i="1"/>
  <c r="N196" i="1"/>
  <c r="I19" i="1"/>
  <c r="V11" i="1"/>
  <c r="V12" i="1" s="1"/>
  <c r="BY214" i="1"/>
  <c r="J196" i="1"/>
  <c r="AM233" i="1"/>
  <c r="AK35" i="1"/>
  <c r="AJ35" i="1"/>
  <c r="BK257" i="1"/>
  <c r="AJ137" i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BX192" i="1"/>
  <c r="AK214" i="1"/>
  <c r="AM257" i="1"/>
  <c r="BK142" i="1"/>
  <c r="BJ146" i="1"/>
  <c r="BJ254" i="1" s="1"/>
  <c r="BL214" i="1"/>
  <c r="BL257" i="1"/>
  <c r="BJ100" i="1"/>
  <c r="BJ256" i="1"/>
  <c r="AJ176" i="1"/>
  <c r="AK45" i="1" s="1"/>
  <c r="AJ214" i="1"/>
  <c r="AM41" i="1"/>
  <c r="AL146" i="1"/>
  <c r="AL100" i="1"/>
  <c r="AL104" i="1" s="1"/>
  <c r="AL256" i="1"/>
  <c r="AL214" i="1"/>
  <c r="AM214" i="1"/>
  <c r="AK142" i="1"/>
  <c r="AL176" i="1"/>
  <c r="BJ137" i="1"/>
  <c r="BJ176" i="1"/>
  <c r="BJ117" i="1" s="1"/>
  <c r="AJ146" i="1"/>
  <c r="BK214" i="1"/>
  <c r="AL257" i="1"/>
  <c r="AL137" i="1"/>
  <c r="AJ204" i="1"/>
  <c r="AJ190" i="1"/>
  <c r="BJ190" i="1"/>
  <c r="BJ165" i="1"/>
  <c r="AL190" i="1"/>
  <c r="AL165" i="1"/>
  <c r="AL116" i="1"/>
  <c r="AM111" i="1"/>
  <c r="AM115" i="1"/>
  <c r="AM116" i="1"/>
  <c r="AM112" i="1"/>
  <c r="BX115" i="1"/>
  <c r="CB94" i="1"/>
  <c r="CB111" i="1"/>
  <c r="CB103" i="1"/>
  <c r="CB115" i="1"/>
  <c r="CB118" i="1" s="1"/>
  <c r="CB121" i="1" s="1"/>
  <c r="CC104" i="1"/>
  <c r="CC112" i="1"/>
  <c r="CC116" i="1"/>
  <c r="BZ116" i="1"/>
  <c r="BZ119" i="1" s="1"/>
  <c r="BZ104" i="1"/>
  <c r="CB104" i="1"/>
  <c r="CB116" i="1"/>
  <c r="CB119" i="1" s="1"/>
  <c r="CB122" i="1" s="1"/>
  <c r="CC95" i="1"/>
  <c r="CB112" i="1"/>
  <c r="BL116" i="1"/>
  <c r="BL119" i="1" s="1"/>
  <c r="CB95" i="1"/>
  <c r="CM202" i="1"/>
  <c r="CM140" i="1"/>
  <c r="CM142" i="1" s="1"/>
  <c r="CM146" i="1" s="1"/>
  <c r="CM211" i="1" s="1"/>
  <c r="CM209" i="1" s="1"/>
  <c r="CR85" i="1"/>
  <c r="AC210" i="1"/>
  <c r="AB157" i="1"/>
  <c r="AB125" i="1"/>
  <c r="CO73" i="1"/>
  <c r="CP71" i="1"/>
  <c r="AB71" i="1" s="1"/>
  <c r="CA233" i="1"/>
  <c r="AM25" i="1" l="1"/>
  <c r="AM27" i="1"/>
  <c r="AJ193" i="1"/>
  <c r="B36" i="1"/>
  <c r="B37" i="1" s="1"/>
  <c r="AJ205" i="1"/>
  <c r="AJ165" i="1"/>
  <c r="AJ173" i="1" s="1"/>
  <c r="AM36" i="1"/>
  <c r="AM240" i="1" s="1"/>
  <c r="AM241" i="1" s="1"/>
  <c r="CA104" i="1"/>
  <c r="CA116" i="1"/>
  <c r="CA112" i="1"/>
  <c r="CC103" i="1"/>
  <c r="CC115" i="1"/>
  <c r="CC111" i="1"/>
  <c r="CC94" i="1"/>
  <c r="CF98" i="1" s="1"/>
  <c r="D25" i="1"/>
  <c r="E25" i="1"/>
  <c r="O26" i="1"/>
  <c r="D36" i="1"/>
  <c r="E26" i="1"/>
  <c r="K25" i="1"/>
  <c r="E36" i="1"/>
  <c r="E37" i="1" s="1"/>
  <c r="K26" i="1"/>
  <c r="N25" i="1"/>
  <c r="AB73" i="1"/>
  <c r="AA71" i="1"/>
  <c r="HP20" i="4"/>
  <c r="AJ87" i="1" s="1"/>
  <c r="II16" i="4"/>
  <c r="II21" i="4" s="1"/>
  <c r="BC85" i="1" s="1"/>
  <c r="JF9" i="4" s="1"/>
  <c r="IL19" i="4"/>
  <c r="BF86" i="1" s="1"/>
  <c r="BF115" i="1" s="1"/>
  <c r="IM7" i="4"/>
  <c r="IM19" i="4" s="1"/>
  <c r="BG86" i="1" s="1"/>
  <c r="BG115" i="1" s="1"/>
  <c r="ID19" i="4"/>
  <c r="AX86" i="1" s="1"/>
  <c r="AX115" i="1" s="1"/>
  <c r="HU9" i="4"/>
  <c r="IS21" i="4"/>
  <c r="BM85" i="1" s="1"/>
  <c r="IP9" i="4"/>
  <c r="IP21" i="4" s="1"/>
  <c r="BJ85" i="1" s="1"/>
  <c r="BZ103" i="1"/>
  <c r="BZ115" i="1"/>
  <c r="BZ118" i="1" s="1"/>
  <c r="BX254" i="1"/>
  <c r="BY211" i="1"/>
  <c r="BY209" i="1" s="1"/>
  <c r="BL115" i="1"/>
  <c r="BL118" i="1" s="1"/>
  <c r="BL103" i="1"/>
  <c r="AL115" i="1"/>
  <c r="P26" i="1"/>
  <c r="R25" i="1"/>
  <c r="CA111" i="1"/>
  <c r="CA115" i="1"/>
  <c r="CA103" i="1"/>
  <c r="BY115" i="1"/>
  <c r="BX25" i="1"/>
  <c r="CB26" i="1"/>
  <c r="BY27" i="1"/>
  <c r="BX36" i="1"/>
  <c r="R26" i="1"/>
  <c r="P25" i="1"/>
  <c r="AL27" i="1"/>
  <c r="AK36" i="1"/>
  <c r="AK25" i="1"/>
  <c r="AK27" i="1"/>
  <c r="G25" i="1"/>
  <c r="Q26" i="1"/>
  <c r="U26" i="1"/>
  <c r="T25" i="1"/>
  <c r="J26" i="1"/>
  <c r="I25" i="1"/>
  <c r="BX194" i="1"/>
  <c r="CB197" i="1" s="1"/>
  <c r="BX189" i="1"/>
  <c r="BZ213" i="1"/>
  <c r="BY213" i="1"/>
  <c r="BY103" i="1"/>
  <c r="BY104" i="1"/>
  <c r="BX102" i="1"/>
  <c r="BX104" i="1"/>
  <c r="BX103" i="1"/>
  <c r="H25" i="1"/>
  <c r="I26" i="1"/>
  <c r="H26" i="1"/>
  <c r="AJ25" i="1"/>
  <c r="AJ36" i="1"/>
  <c r="W240" i="1"/>
  <c r="W241" i="1" s="1"/>
  <c r="X258" i="1"/>
  <c r="W37" i="1"/>
  <c r="W258" i="1"/>
  <c r="W42" i="1"/>
  <c r="W46" i="1" s="1"/>
  <c r="W120" i="1"/>
  <c r="X38" i="1"/>
  <c r="V120" i="1"/>
  <c r="V42" i="1"/>
  <c r="V46" i="1" s="1"/>
  <c r="V240" i="1"/>
  <c r="V241" i="1" s="1"/>
  <c r="V37" i="1"/>
  <c r="W38" i="1"/>
  <c r="AL42" i="1"/>
  <c r="AL46" i="1" s="1"/>
  <c r="AL37" i="1"/>
  <c r="AL240" i="1"/>
  <c r="AL241" i="1" s="1"/>
  <c r="S25" i="1"/>
  <c r="S26" i="1"/>
  <c r="T26" i="1"/>
  <c r="C36" i="1"/>
  <c r="D26" i="1"/>
  <c r="C25" i="1"/>
  <c r="C26" i="1"/>
  <c r="M26" i="1"/>
  <c r="L26" i="1"/>
  <c r="L25" i="1"/>
  <c r="F25" i="1"/>
  <c r="F26" i="1"/>
  <c r="G26" i="1"/>
  <c r="M25" i="1"/>
  <c r="N26" i="1"/>
  <c r="BX174" i="1"/>
  <c r="BX117" i="1"/>
  <c r="AL173" i="1"/>
  <c r="AL174" i="1" s="1"/>
  <c r="BL41" i="1"/>
  <c r="BK146" i="1"/>
  <c r="BL211" i="1" s="1"/>
  <c r="BL209" i="1" s="1"/>
  <c r="BJ103" i="1"/>
  <c r="BJ104" i="1"/>
  <c r="AM211" i="1"/>
  <c r="AM209" i="1" s="1"/>
  <c r="AL254" i="1"/>
  <c r="AK146" i="1"/>
  <c r="AL41" i="1"/>
  <c r="BJ118" i="1"/>
  <c r="BJ119" i="1"/>
  <c r="AL102" i="1"/>
  <c r="AL103" i="1"/>
  <c r="AL117" i="1"/>
  <c r="AM45" i="1"/>
  <c r="AJ211" i="1"/>
  <c r="AJ209" i="1" s="1"/>
  <c r="BJ194" i="1"/>
  <c r="BJ189" i="1"/>
  <c r="AL189" i="1"/>
  <c r="AL194" i="1"/>
  <c r="CN40" i="1"/>
  <c r="CS85" i="1"/>
  <c r="AB171" i="1"/>
  <c r="CP73" i="1"/>
  <c r="CQ71" i="1"/>
  <c r="AC125" i="1"/>
  <c r="AC157" i="1"/>
  <c r="CB233" i="1"/>
  <c r="BQ1" i="1"/>
  <c r="BR1" i="1" s="1"/>
  <c r="BS1" i="1" s="1"/>
  <c r="BT1" i="1" s="1"/>
  <c r="AM258" i="1" l="1"/>
  <c r="AM259" i="1" s="1"/>
  <c r="B120" i="1"/>
  <c r="AJ174" i="1"/>
  <c r="AJ206" i="1"/>
  <c r="AM37" i="1"/>
  <c r="AM42" i="1"/>
  <c r="AM46" i="1" s="1"/>
  <c r="AM49" i="1" s="1"/>
  <c r="AM50" i="1" s="1"/>
  <c r="AM253" i="1" s="1"/>
  <c r="AM39" i="1"/>
  <c r="BJ102" i="1"/>
  <c r="CE98" i="1"/>
  <c r="D37" i="1"/>
  <c r="D42" i="1"/>
  <c r="D46" i="1" s="1"/>
  <c r="D240" i="1"/>
  <c r="D241" i="1" s="1"/>
  <c r="E38" i="1"/>
  <c r="D120" i="1"/>
  <c r="Z71" i="1"/>
  <c r="AA73" i="1"/>
  <c r="JF21" i="4"/>
  <c r="BZ85" i="1" s="1"/>
  <c r="HQ8" i="4"/>
  <c r="HU21" i="4"/>
  <c r="AO85" i="1" s="1"/>
  <c r="IX9" i="4"/>
  <c r="IG8" i="4" s="1"/>
  <c r="IG20" i="4" s="1"/>
  <c r="BA87" i="1" s="1"/>
  <c r="BA116" i="1" s="1"/>
  <c r="AL258" i="1"/>
  <c r="AL259" i="1" s="1"/>
  <c r="AM234" i="1"/>
  <c r="AK240" i="1"/>
  <c r="AK241" i="1" s="1"/>
  <c r="AL39" i="1"/>
  <c r="AK37" i="1"/>
  <c r="AK42" i="1"/>
  <c r="AK46" i="1" s="1"/>
  <c r="BX42" i="1"/>
  <c r="CA120" i="1"/>
  <c r="BY258" i="1"/>
  <c r="BY259" i="1" s="1"/>
  <c r="BX37" i="1"/>
  <c r="CB38" i="1"/>
  <c r="BX240" i="1"/>
  <c r="BX241" i="1" s="1"/>
  <c r="BY39" i="1"/>
  <c r="BX118" i="1"/>
  <c r="BX119" i="1"/>
  <c r="AJ240" i="1"/>
  <c r="AJ241" i="1" s="1"/>
  <c r="AJ42" i="1"/>
  <c r="AJ46" i="1" s="1"/>
  <c r="AJ37" i="1"/>
  <c r="AM120" i="1"/>
  <c r="AK39" i="1"/>
  <c r="D258" i="1"/>
  <c r="C258" i="1"/>
  <c r="C37" i="1"/>
  <c r="D38" i="1"/>
  <c r="C38" i="1"/>
  <c r="W49" i="1"/>
  <c r="W48" i="1"/>
  <c r="V49" i="1"/>
  <c r="V48" i="1"/>
  <c r="AL49" i="1"/>
  <c r="AL48" i="1"/>
  <c r="AK211" i="1"/>
  <c r="AK209" i="1" s="1"/>
  <c r="AL211" i="1"/>
  <c r="AL209" i="1" s="1"/>
  <c r="AL119" i="1"/>
  <c r="AL118" i="1"/>
  <c r="BX46" i="1"/>
  <c r="CA63" i="1"/>
  <c r="AK49" i="1"/>
  <c r="AK48" i="1"/>
  <c r="CN140" i="1"/>
  <c r="CN142" i="1" s="1"/>
  <c r="CO40" i="1" s="1"/>
  <c r="CT85" i="1"/>
  <c r="AB145" i="1"/>
  <c r="AD157" i="1"/>
  <c r="AE157" i="1"/>
  <c r="AD125" i="1"/>
  <c r="AE125" i="1"/>
  <c r="CQ73" i="1"/>
  <c r="CR71" i="1"/>
  <c r="AC171" i="1"/>
  <c r="BU1" i="1"/>
  <c r="Q35" i="1"/>
  <c r="P35" i="1"/>
  <c r="O35" i="1"/>
  <c r="I35" i="1"/>
  <c r="H35" i="1"/>
  <c r="G35" i="1"/>
  <c r="U35" i="1"/>
  <c r="T35" i="1"/>
  <c r="S35" i="1"/>
  <c r="R35" i="1"/>
  <c r="N35" i="1"/>
  <c r="M35" i="1"/>
  <c r="L35" i="1"/>
  <c r="K35" i="1"/>
  <c r="J35" i="1"/>
  <c r="F35" i="1"/>
  <c r="AM48" i="1" l="1"/>
  <c r="D48" i="1"/>
  <c r="D49" i="1"/>
  <c r="Z73" i="1"/>
  <c r="Y71" i="1"/>
  <c r="AA74" i="1"/>
  <c r="AA100" i="1"/>
  <c r="AA107" i="1"/>
  <c r="AA116" i="1"/>
  <c r="AA119" i="1" s="1"/>
  <c r="AA122" i="1" s="1"/>
  <c r="AA115" i="1"/>
  <c r="AA118" i="1" s="1"/>
  <c r="AA121" i="1" s="1"/>
  <c r="BZ97" i="1"/>
  <c r="BZ102" i="1"/>
  <c r="HQ20" i="4"/>
  <c r="AK87" i="1" s="1"/>
  <c r="IK16" i="4"/>
  <c r="AJ49" i="1"/>
  <c r="AJ48" i="1"/>
  <c r="W56" i="1"/>
  <c r="W60" i="1" s="1"/>
  <c r="W242" i="1"/>
  <c r="W50" i="1"/>
  <c r="W253" i="1" s="1"/>
  <c r="X51" i="1"/>
  <c r="V56" i="1"/>
  <c r="V50" i="1"/>
  <c r="V253" i="1" s="1"/>
  <c r="W51" i="1"/>
  <c r="AL242" i="1"/>
  <c r="AM52" i="1"/>
  <c r="AL56" i="1"/>
  <c r="AL50" i="1"/>
  <c r="AL253" i="1" s="1"/>
  <c r="AK242" i="1"/>
  <c r="AK56" i="1"/>
  <c r="AK127" i="1" s="1"/>
  <c r="AK128" i="1" s="1"/>
  <c r="AK137" i="1" s="1"/>
  <c r="AK50" i="1"/>
  <c r="AL52" i="1"/>
  <c r="D242" i="1"/>
  <c r="D50" i="1"/>
  <c r="D56" i="1"/>
  <c r="BX48" i="1"/>
  <c r="BX49" i="1"/>
  <c r="CO202" i="1"/>
  <c r="CO140" i="1"/>
  <c r="CN146" i="1"/>
  <c r="CN202" i="1"/>
  <c r="AC85" i="1"/>
  <c r="CU85" i="1"/>
  <c r="AD171" i="1"/>
  <c r="AE171" i="1"/>
  <c r="AD148" i="1"/>
  <c r="CR73" i="1"/>
  <c r="CS71" i="1"/>
  <c r="AC145" i="1"/>
  <c r="BV1" i="1"/>
  <c r="BW1" i="1" s="1"/>
  <c r="BX1" i="1" s="1"/>
  <c r="AM242" i="1"/>
  <c r="B240" i="1"/>
  <c r="B241" i="1" s="1"/>
  <c r="BL240" i="1"/>
  <c r="BL241" i="1" s="1"/>
  <c r="G36" i="1"/>
  <c r="O36" i="1"/>
  <c r="H36" i="1"/>
  <c r="P36" i="1"/>
  <c r="I36" i="1"/>
  <c r="Q36" i="1"/>
  <c r="J36" i="1"/>
  <c r="R36" i="1"/>
  <c r="K36" i="1"/>
  <c r="S36" i="1"/>
  <c r="L36" i="1"/>
  <c r="T36" i="1"/>
  <c r="M36" i="1"/>
  <c r="U36" i="1"/>
  <c r="F36" i="1"/>
  <c r="F258" i="1" s="1"/>
  <c r="N36" i="1"/>
  <c r="Z74" i="1" l="1"/>
  <c r="Z100" i="1"/>
  <c r="Z115" i="1"/>
  <c r="Z118" i="1" s="1"/>
  <c r="Z121" i="1" s="1"/>
  <c r="Z107" i="1"/>
  <c r="Z116" i="1"/>
  <c r="Z119" i="1" s="1"/>
  <c r="Z122" i="1" s="1"/>
  <c r="Y73" i="1"/>
  <c r="X71" i="1"/>
  <c r="AA77" i="1"/>
  <c r="AA76" i="1"/>
  <c r="AA103" i="1"/>
  <c r="AA104" i="1"/>
  <c r="AA102" i="1"/>
  <c r="AA112" i="1"/>
  <c r="AA111" i="1"/>
  <c r="AA110" i="1"/>
  <c r="IK21" i="4"/>
  <c r="BE85" i="1" s="1"/>
  <c r="IH16" i="4"/>
  <c r="AK52" i="1"/>
  <c r="AM235" i="1"/>
  <c r="AJ242" i="1"/>
  <c r="AJ56" i="1"/>
  <c r="AJ50" i="1"/>
  <c r="AL201" i="1"/>
  <c r="AL203" i="1" s="1"/>
  <c r="AL74" i="1"/>
  <c r="AL60" i="1"/>
  <c r="T258" i="1"/>
  <c r="P258" i="1"/>
  <c r="D201" i="1"/>
  <c r="D203" i="1" s="1"/>
  <c r="D60" i="1"/>
  <c r="CB51" i="1"/>
  <c r="BX242" i="1"/>
  <c r="BX50" i="1"/>
  <c r="BX253" i="1" s="1"/>
  <c r="BX56" i="1"/>
  <c r="BY52" i="1"/>
  <c r="AK201" i="1"/>
  <c r="AK203" i="1" s="1"/>
  <c r="AK74" i="1"/>
  <c r="AK60" i="1"/>
  <c r="M258" i="1"/>
  <c r="R258" i="1"/>
  <c r="I258" i="1"/>
  <c r="K258" i="1"/>
  <c r="G258" i="1"/>
  <c r="H258" i="1"/>
  <c r="L258" i="1"/>
  <c r="S258" i="1"/>
  <c r="O258" i="1"/>
  <c r="J258" i="1"/>
  <c r="N258" i="1"/>
  <c r="U258" i="1"/>
  <c r="V258" i="1"/>
  <c r="Q258" i="1"/>
  <c r="R120" i="1"/>
  <c r="S38" i="1"/>
  <c r="T120" i="1"/>
  <c r="U38" i="1"/>
  <c r="U120" i="1"/>
  <c r="V38" i="1"/>
  <c r="P120" i="1"/>
  <c r="Q38" i="1"/>
  <c r="Q120" i="1"/>
  <c r="R38" i="1"/>
  <c r="I120" i="1"/>
  <c r="J38" i="1"/>
  <c r="S120" i="1"/>
  <c r="T38" i="1"/>
  <c r="H120" i="1"/>
  <c r="I38" i="1"/>
  <c r="E120" i="1"/>
  <c r="F38" i="1"/>
  <c r="L120" i="1"/>
  <c r="M38" i="1"/>
  <c r="O120" i="1"/>
  <c r="P38" i="1"/>
  <c r="N120" i="1"/>
  <c r="O38" i="1"/>
  <c r="K120" i="1"/>
  <c r="L38" i="1"/>
  <c r="F120" i="1"/>
  <c r="G38" i="1"/>
  <c r="G120" i="1"/>
  <c r="H38" i="1"/>
  <c r="M120" i="1"/>
  <c r="N38" i="1"/>
  <c r="J120" i="1"/>
  <c r="K38" i="1"/>
  <c r="CN211" i="1"/>
  <c r="CN209" i="1" s="1"/>
  <c r="CO142" i="1"/>
  <c r="CV85" i="1"/>
  <c r="AD210" i="1"/>
  <c r="AB150" i="1"/>
  <c r="AE145" i="1"/>
  <c r="AD145" i="1"/>
  <c r="CT71" i="1"/>
  <c r="AC71" i="1" s="1"/>
  <c r="AC73" i="1" s="1"/>
  <c r="CS73" i="1"/>
  <c r="C120" i="1"/>
  <c r="BY1" i="1"/>
  <c r="L37" i="1"/>
  <c r="N37" i="1"/>
  <c r="F37" i="1"/>
  <c r="O37" i="1"/>
  <c r="U42" i="1"/>
  <c r="U46" i="1" s="1"/>
  <c r="U37" i="1"/>
  <c r="G37" i="1"/>
  <c r="S37" i="1"/>
  <c r="M37" i="1"/>
  <c r="R37" i="1"/>
  <c r="J37" i="1"/>
  <c r="I37" i="1"/>
  <c r="P37" i="1"/>
  <c r="H37" i="1"/>
  <c r="K37" i="1"/>
  <c r="T37" i="1"/>
  <c r="Q37" i="1"/>
  <c r="T240" i="1"/>
  <c r="T241" i="1" s="1"/>
  <c r="Q240" i="1"/>
  <c r="Q241" i="1" s="1"/>
  <c r="K240" i="1"/>
  <c r="K241" i="1" s="1"/>
  <c r="O240" i="1"/>
  <c r="O241" i="1" s="1"/>
  <c r="U240" i="1"/>
  <c r="U241" i="1" s="1"/>
  <c r="L240" i="1"/>
  <c r="L241" i="1" s="1"/>
  <c r="C240" i="1"/>
  <c r="C241" i="1" s="1"/>
  <c r="I240" i="1"/>
  <c r="I241" i="1" s="1"/>
  <c r="G240" i="1"/>
  <c r="G241" i="1" s="1"/>
  <c r="R240" i="1"/>
  <c r="R241" i="1" s="1"/>
  <c r="P240" i="1"/>
  <c r="P241" i="1" s="1"/>
  <c r="F240" i="1"/>
  <c r="F241" i="1" s="1"/>
  <c r="M240" i="1"/>
  <c r="M241" i="1" s="1"/>
  <c r="N240" i="1"/>
  <c r="N241" i="1" s="1"/>
  <c r="E240" i="1"/>
  <c r="E241" i="1" s="1"/>
  <c r="S240" i="1"/>
  <c r="S241" i="1" s="1"/>
  <c r="J240" i="1"/>
  <c r="J241" i="1" s="1"/>
  <c r="H240" i="1"/>
  <c r="H241" i="1" s="1"/>
  <c r="B42" i="1"/>
  <c r="L42" i="1"/>
  <c r="Q42" i="1"/>
  <c r="T42" i="1"/>
  <c r="N42" i="1"/>
  <c r="S42" i="1"/>
  <c r="F42" i="1"/>
  <c r="K42" i="1"/>
  <c r="H42" i="1"/>
  <c r="I42" i="1"/>
  <c r="P42" i="1"/>
  <c r="C42" i="1"/>
  <c r="O42" i="1"/>
  <c r="R42" i="1"/>
  <c r="M42" i="1"/>
  <c r="G42" i="1"/>
  <c r="E42" i="1"/>
  <c r="J42" i="1"/>
  <c r="Z77" i="1" l="1"/>
  <c r="Z76" i="1"/>
  <c r="Z102" i="1"/>
  <c r="Z103" i="1"/>
  <c r="Z104" i="1"/>
  <c r="Z110" i="1"/>
  <c r="Z111" i="1"/>
  <c r="Z112" i="1"/>
  <c r="Y107" i="1"/>
  <c r="Y74" i="1"/>
  <c r="Y100" i="1"/>
  <c r="Y115" i="1"/>
  <c r="Y118" i="1" s="1"/>
  <c r="Y121" i="1" s="1"/>
  <c r="Y116" i="1"/>
  <c r="Y119" i="1" s="1"/>
  <c r="Y122" i="1" s="1"/>
  <c r="X73" i="1"/>
  <c r="W71" i="1"/>
  <c r="V71" i="1" s="1"/>
  <c r="U71" i="1" s="1"/>
  <c r="T71" i="1" s="1"/>
  <c r="S71" i="1" s="1"/>
  <c r="R71" i="1" s="1"/>
  <c r="Q71" i="1" s="1"/>
  <c r="P71" i="1" s="1"/>
  <c r="O71" i="1" s="1"/>
  <c r="N71" i="1" s="1"/>
  <c r="M71" i="1" s="1"/>
  <c r="L71" i="1" s="1"/>
  <c r="K71" i="1" s="1"/>
  <c r="J71" i="1" s="1"/>
  <c r="I71" i="1" s="1"/>
  <c r="H71" i="1" s="1"/>
  <c r="G71" i="1" s="1"/>
  <c r="F71" i="1" s="1"/>
  <c r="E71" i="1" s="1"/>
  <c r="AA95" i="1"/>
  <c r="AA94" i="1"/>
  <c r="AA93" i="1"/>
  <c r="JC9" i="4"/>
  <c r="AJ74" i="1"/>
  <c r="AJ60" i="1"/>
  <c r="AJ215" i="1"/>
  <c r="AJ213" i="1" s="1"/>
  <c r="AJ201" i="1"/>
  <c r="AJ203" i="1" s="1"/>
  <c r="AJ207" i="1" s="1"/>
  <c r="AJ221" i="1" s="1"/>
  <c r="CA62" i="1"/>
  <c r="BX74" i="1"/>
  <c r="CA77" i="1" s="1"/>
  <c r="BX201" i="1"/>
  <c r="BX203" i="1" s="1"/>
  <c r="BX60" i="1"/>
  <c r="AK215" i="1"/>
  <c r="AK213" i="1" s="1"/>
  <c r="AL215" i="1"/>
  <c r="AL213" i="1" s="1"/>
  <c r="BK172" i="1"/>
  <c r="BM172" i="1"/>
  <c r="CO146" i="1"/>
  <c r="CP40" i="1"/>
  <c r="CW85" i="1"/>
  <c r="AE148" i="1"/>
  <c r="AE210" i="1" s="1"/>
  <c r="CT73" i="1"/>
  <c r="CU71" i="1"/>
  <c r="BZ1" i="1"/>
  <c r="U49" i="1"/>
  <c r="V51" i="1" s="1"/>
  <c r="U48" i="1"/>
  <c r="P46" i="1"/>
  <c r="P49" i="1" s="1"/>
  <c r="R46" i="1"/>
  <c r="R49" i="1" s="1"/>
  <c r="E46" i="1"/>
  <c r="S46" i="1"/>
  <c r="S48" i="1" s="1"/>
  <c r="G46" i="1"/>
  <c r="G49" i="1" s="1"/>
  <c r="K46" i="1"/>
  <c r="K49" i="1" s="1"/>
  <c r="B46" i="1"/>
  <c r="O46" i="1"/>
  <c r="O49" i="1" s="1"/>
  <c r="H46" i="1"/>
  <c r="H49" i="1" s="1"/>
  <c r="N46" i="1"/>
  <c r="N49" i="1" s="1"/>
  <c r="L46" i="1"/>
  <c r="L48" i="1" s="1"/>
  <c r="C46" i="1"/>
  <c r="M46" i="1"/>
  <c r="M48" i="1" s="1"/>
  <c r="T46" i="1"/>
  <c r="T49" i="1" s="1"/>
  <c r="F46" i="1"/>
  <c r="F48" i="1" s="1"/>
  <c r="J46" i="1"/>
  <c r="J48" i="1" s="1"/>
  <c r="I46" i="1"/>
  <c r="I48" i="1" s="1"/>
  <c r="Q46" i="1"/>
  <c r="Q49" i="1" s="1"/>
  <c r="V242" i="1"/>
  <c r="Z94" i="1" l="1"/>
  <c r="Z93" i="1"/>
  <c r="Z95" i="1"/>
  <c r="AA78" i="1"/>
  <c r="Y112" i="1"/>
  <c r="Y110" i="1"/>
  <c r="Y111" i="1"/>
  <c r="Y77" i="1"/>
  <c r="Y76" i="1"/>
  <c r="Y104" i="1"/>
  <c r="Y103" i="1"/>
  <c r="Y102" i="1"/>
  <c r="X74" i="1"/>
  <c r="X116" i="1"/>
  <c r="X119" i="1" s="1"/>
  <c r="X122" i="1" s="1"/>
  <c r="X100" i="1"/>
  <c r="X115" i="1"/>
  <c r="X118" i="1" s="1"/>
  <c r="X121" i="1" s="1"/>
  <c r="X107" i="1"/>
  <c r="JC21" i="4"/>
  <c r="BW85" i="1" s="1"/>
  <c r="BW97" i="1" s="1"/>
  <c r="JI16" i="4"/>
  <c r="AJ218" i="1"/>
  <c r="AJ219" i="1" s="1"/>
  <c r="R51" i="1"/>
  <c r="CE78" i="1"/>
  <c r="CA95" i="1"/>
  <c r="CA94" i="1"/>
  <c r="CD98" i="1" s="1"/>
  <c r="CA93" i="1"/>
  <c r="U51" i="1"/>
  <c r="O51" i="1"/>
  <c r="AB40" i="1"/>
  <c r="B49" i="1"/>
  <c r="B48" i="1"/>
  <c r="C49" i="1"/>
  <c r="C48" i="1"/>
  <c r="E49" i="1"/>
  <c r="E56" i="1" s="1"/>
  <c r="E48" i="1"/>
  <c r="P51" i="1"/>
  <c r="H51" i="1"/>
  <c r="Q51" i="1"/>
  <c r="BJ173" i="1"/>
  <c r="BJ174" i="1" s="1"/>
  <c r="BL173" i="1"/>
  <c r="BL174" i="1" s="1"/>
  <c r="CP202" i="1"/>
  <c r="CP140" i="1"/>
  <c r="CO211" i="1"/>
  <c r="CO209" i="1" s="1"/>
  <c r="CX85" i="1"/>
  <c r="CV71" i="1"/>
  <c r="CU73" i="1"/>
  <c r="CA1" i="1"/>
  <c r="CB1" i="1" s="1"/>
  <c r="O48" i="1"/>
  <c r="BL242" i="1"/>
  <c r="S49" i="1"/>
  <c r="U50" i="1"/>
  <c r="U253" i="1" s="1"/>
  <c r="P50" i="1"/>
  <c r="P253" i="1" s="1"/>
  <c r="Q56" i="1"/>
  <c r="Q50" i="1"/>
  <c r="Q253" i="1" s="1"/>
  <c r="L49" i="1"/>
  <c r="P48" i="1"/>
  <c r="H50" i="1"/>
  <c r="H253" i="1" s="1"/>
  <c r="G50" i="1"/>
  <c r="G253" i="1" s="1"/>
  <c r="U56" i="1"/>
  <c r="N50" i="1"/>
  <c r="N253" i="1" s="1"/>
  <c r="R50" i="1"/>
  <c r="R253" i="1" s="1"/>
  <c r="K50" i="1"/>
  <c r="K253" i="1" s="1"/>
  <c r="O56" i="1"/>
  <c r="O50" i="1"/>
  <c r="O253" i="1" s="1"/>
  <c r="T56" i="1"/>
  <c r="T50" i="1"/>
  <c r="T253" i="1" s="1"/>
  <c r="R48" i="1"/>
  <c r="K48" i="1"/>
  <c r="N48" i="1"/>
  <c r="G48" i="1"/>
  <c r="H48" i="1"/>
  <c r="J49" i="1"/>
  <c r="K51" i="1" s="1"/>
  <c r="M49" i="1"/>
  <c r="N51" i="1" s="1"/>
  <c r="T48" i="1"/>
  <c r="F49" i="1"/>
  <c r="G51" i="1" s="1"/>
  <c r="I49" i="1"/>
  <c r="I51" i="1" s="1"/>
  <c r="O242" i="1"/>
  <c r="Q48" i="1"/>
  <c r="P242" i="1"/>
  <c r="P56" i="1"/>
  <c r="K242" i="1"/>
  <c r="K56" i="1"/>
  <c r="H242" i="1"/>
  <c r="H56" i="1"/>
  <c r="R56" i="1"/>
  <c r="N56" i="1"/>
  <c r="G56" i="1"/>
  <c r="G242" i="1"/>
  <c r="R242" i="1"/>
  <c r="N242" i="1"/>
  <c r="Q242" i="1"/>
  <c r="U242" i="1"/>
  <c r="T242" i="1"/>
  <c r="V60" i="1"/>
  <c r="V201" i="1"/>
  <c r="V203" i="1" s="1"/>
  <c r="Y93" i="1" l="1"/>
  <c r="Y95" i="1"/>
  <c r="Y94" i="1"/>
  <c r="X76" i="1"/>
  <c r="X77" i="1"/>
  <c r="X104" i="1"/>
  <c r="X102" i="1"/>
  <c r="X103" i="1"/>
  <c r="X110" i="1"/>
  <c r="X111" i="1"/>
  <c r="X112" i="1"/>
  <c r="Z78" i="1"/>
  <c r="IH9" i="4"/>
  <c r="E242" i="1"/>
  <c r="AB202" i="1"/>
  <c r="E50" i="1"/>
  <c r="E253" i="1" s="1"/>
  <c r="E51" i="1"/>
  <c r="D51" i="1"/>
  <c r="C50" i="1"/>
  <c r="B50" i="1"/>
  <c r="C51" i="1"/>
  <c r="F51" i="1"/>
  <c r="M51" i="1"/>
  <c r="S50" i="1"/>
  <c r="S253" i="1" s="1"/>
  <c r="T51" i="1"/>
  <c r="L51" i="1"/>
  <c r="J51" i="1"/>
  <c r="S51" i="1"/>
  <c r="I73" i="1"/>
  <c r="I107" i="1" s="1"/>
  <c r="Q73" i="1"/>
  <c r="Q107" i="1" s="1"/>
  <c r="U73" i="1"/>
  <c r="U107" i="1" s="1"/>
  <c r="F73" i="1"/>
  <c r="F107" i="1" s="1"/>
  <c r="R73" i="1"/>
  <c r="R107" i="1" s="1"/>
  <c r="J73" i="1"/>
  <c r="N73" i="1"/>
  <c r="N74" i="1" s="1"/>
  <c r="N77" i="1" s="1"/>
  <c r="T73" i="1"/>
  <c r="E73" i="1"/>
  <c r="E107" i="1" s="1"/>
  <c r="H73" i="1"/>
  <c r="H107" i="1" s="1"/>
  <c r="S73" i="1"/>
  <c r="V73" i="1"/>
  <c r="V107" i="1" s="1"/>
  <c r="P73" i="1"/>
  <c r="G73" i="1"/>
  <c r="G74" i="1" s="1"/>
  <c r="G77" i="1" s="1"/>
  <c r="L73" i="1"/>
  <c r="K73" i="1"/>
  <c r="AB140" i="1"/>
  <c r="AB142" i="1" s="1"/>
  <c r="AB41" i="1" s="1"/>
  <c r="CP142" i="1"/>
  <c r="AD85" i="1"/>
  <c r="CY85" i="1"/>
  <c r="CV73" i="1"/>
  <c r="CW71" i="1"/>
  <c r="CC1" i="1"/>
  <c r="K60" i="1"/>
  <c r="G60" i="1"/>
  <c r="E60" i="1"/>
  <c r="S56" i="1"/>
  <c r="S242" i="1"/>
  <c r="L242" i="1"/>
  <c r="L56" i="1"/>
  <c r="O201" i="1"/>
  <c r="O203" i="1" s="1"/>
  <c r="O60" i="1"/>
  <c r="B242" i="1"/>
  <c r="B56" i="1"/>
  <c r="M56" i="1"/>
  <c r="M50" i="1"/>
  <c r="M253" i="1" s="1"/>
  <c r="C242" i="1"/>
  <c r="I56" i="1"/>
  <c r="I50" i="1"/>
  <c r="I253" i="1" s="1"/>
  <c r="J56" i="1"/>
  <c r="J50" i="1"/>
  <c r="J253" i="1" s="1"/>
  <c r="F56" i="1"/>
  <c r="F50" i="1"/>
  <c r="F253" i="1" s="1"/>
  <c r="L50" i="1"/>
  <c r="L253" i="1" s="1"/>
  <c r="J242" i="1"/>
  <c r="E201" i="1"/>
  <c r="E203" i="1" s="1"/>
  <c r="R201" i="1"/>
  <c r="R203" i="1" s="1"/>
  <c r="M242" i="1"/>
  <c r="R60" i="1"/>
  <c r="I242" i="1"/>
  <c r="H60" i="1"/>
  <c r="H201" i="1"/>
  <c r="H203" i="1" s="1"/>
  <c r="F242" i="1"/>
  <c r="C56" i="1"/>
  <c r="N201" i="1"/>
  <c r="N203" i="1" s="1"/>
  <c r="N60" i="1"/>
  <c r="G201" i="1"/>
  <c r="G203" i="1" s="1"/>
  <c r="P60" i="1"/>
  <c r="K201" i="1"/>
  <c r="K203" i="1" s="1"/>
  <c r="P201" i="1"/>
  <c r="P203" i="1" s="1"/>
  <c r="U60" i="1"/>
  <c r="U201" i="1"/>
  <c r="U203" i="1" s="1"/>
  <c r="Q60" i="1"/>
  <c r="Q201" i="1"/>
  <c r="Q203" i="1" s="1"/>
  <c r="T60" i="1"/>
  <c r="T201" i="1"/>
  <c r="T203" i="1" s="1"/>
  <c r="X94" i="1" l="1"/>
  <c r="X95" i="1"/>
  <c r="X93" i="1"/>
  <c r="Y78" i="1"/>
  <c r="IH21" i="4"/>
  <c r="BB85" i="1" s="1"/>
  <c r="JE9" i="4"/>
  <c r="R74" i="1"/>
  <c r="R77" i="1" s="1"/>
  <c r="K107" i="1"/>
  <c r="L107" i="1"/>
  <c r="T107" i="1"/>
  <c r="P107" i="1"/>
  <c r="G107" i="1"/>
  <c r="S107" i="1"/>
  <c r="J107" i="1"/>
  <c r="N107" i="1"/>
  <c r="H74" i="1"/>
  <c r="U74" i="1"/>
  <c r="U77" i="1" s="1"/>
  <c r="V74" i="1"/>
  <c r="E74" i="1"/>
  <c r="Q74" i="1"/>
  <c r="T74" i="1"/>
  <c r="T77" i="1" s="1"/>
  <c r="M73" i="1"/>
  <c r="M74" i="1" s="1"/>
  <c r="M77" i="1" s="1"/>
  <c r="O73" i="1"/>
  <c r="O107" i="1" s="1"/>
  <c r="W73" i="1"/>
  <c r="W107" i="1" s="1"/>
  <c r="K74" i="1"/>
  <c r="P74" i="1"/>
  <c r="P77" i="1" s="1"/>
  <c r="CP146" i="1"/>
  <c r="CP211" i="1" s="1"/>
  <c r="CP209" i="1" s="1"/>
  <c r="CQ40" i="1"/>
  <c r="CZ85" i="1"/>
  <c r="AC150" i="1"/>
  <c r="CX71" i="1"/>
  <c r="AD71" i="1" s="1"/>
  <c r="AD73" i="1" s="1"/>
  <c r="CW73" i="1"/>
  <c r="CD1" i="1"/>
  <c r="CE1" i="1" s="1"/>
  <c r="CF1" i="1" s="1"/>
  <c r="CG1" i="1" s="1"/>
  <c r="CH1" i="1" s="1"/>
  <c r="CI1" i="1" s="1"/>
  <c r="CJ1" i="1" s="1"/>
  <c r="CK1" i="1" s="1"/>
  <c r="L201" i="1"/>
  <c r="L203" i="1" s="1"/>
  <c r="J201" i="1"/>
  <c r="J203" i="1" s="1"/>
  <c r="J74" i="1"/>
  <c r="J77" i="1" s="1"/>
  <c r="M201" i="1"/>
  <c r="M203" i="1" s="1"/>
  <c r="B60" i="1"/>
  <c r="F60" i="1"/>
  <c r="F74" i="1"/>
  <c r="F77" i="1" s="1"/>
  <c r="I60" i="1"/>
  <c r="I74" i="1"/>
  <c r="C60" i="1"/>
  <c r="L60" i="1"/>
  <c r="L74" i="1"/>
  <c r="S74" i="1"/>
  <c r="S60" i="1"/>
  <c r="J60" i="1"/>
  <c r="S201" i="1"/>
  <c r="S203" i="1" s="1"/>
  <c r="M60" i="1"/>
  <c r="I201" i="1"/>
  <c r="I203" i="1" s="1"/>
  <c r="F201" i="1"/>
  <c r="F203" i="1" s="1"/>
  <c r="C201" i="1"/>
  <c r="C203" i="1" s="1"/>
  <c r="JE21" i="4" l="1"/>
  <c r="BY85" i="1" s="1"/>
  <c r="IX16" i="4"/>
  <c r="K77" i="1"/>
  <c r="Q77" i="1"/>
  <c r="U78" i="1"/>
  <c r="M107" i="1"/>
  <c r="H77" i="1"/>
  <c r="E77" i="1"/>
  <c r="V77" i="1"/>
  <c r="O74" i="1"/>
  <c r="W74" i="1"/>
  <c r="CQ202" i="1"/>
  <c r="CQ140" i="1"/>
  <c r="DA85" i="1"/>
  <c r="CX73" i="1"/>
  <c r="CY71" i="1"/>
  <c r="AB132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78" i="1"/>
  <c r="G78" i="1"/>
  <c r="S77" i="1"/>
  <c r="I77" i="1"/>
  <c r="J78" i="1" s="1"/>
  <c r="L77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E84" i="2"/>
  <c r="K76" i="2"/>
  <c r="S86" i="2"/>
  <c r="H70" i="2"/>
  <c r="X113" i="2"/>
  <c r="U83" i="2"/>
  <c r="W67" i="2"/>
  <c r="J70" i="2"/>
  <c r="G105" i="2"/>
  <c r="V93" i="2"/>
  <c r="K71" i="2"/>
  <c r="F56" i="2"/>
  <c r="X87" i="2"/>
  <c r="G80" i="2"/>
  <c r="D40" i="2"/>
  <c r="L106" i="2"/>
  <c r="M64" i="2"/>
  <c r="R65" i="2"/>
  <c r="N46" i="2"/>
  <c r="D113" i="2"/>
  <c r="G69" i="2"/>
  <c r="S95" i="2"/>
  <c r="V83" i="2"/>
  <c r="U51" i="2"/>
  <c r="AB60" i="3"/>
  <c r="AB77" i="3"/>
  <c r="AB94" i="3"/>
  <c r="AP87" i="3"/>
  <c r="AP72" i="3"/>
  <c r="AB74" i="3"/>
  <c r="AP12" i="3"/>
  <c r="AN33" i="3"/>
  <c r="AK31" i="3"/>
  <c r="W26" i="3"/>
  <c r="Z10" i="3"/>
  <c r="P34" i="3"/>
  <c r="H5" i="3"/>
  <c r="AB20" i="3"/>
  <c r="Z15" i="3"/>
  <c r="E47" i="3"/>
  <c r="S33" i="3"/>
  <c r="AM22" i="3"/>
  <c r="AE25" i="3"/>
  <c r="Q31" i="3"/>
  <c r="V12" i="3"/>
  <c r="T34" i="3"/>
  <c r="H24" i="3"/>
  <c r="W12" i="3"/>
  <c r="Z35" i="3"/>
  <c r="L5" i="3"/>
  <c r="AM39" i="3"/>
  <c r="AM26" i="3"/>
  <c r="G40" i="3"/>
  <c r="Q26" i="3"/>
  <c r="P20" i="3"/>
  <c r="G32" i="3"/>
  <c r="Q23" i="3"/>
  <c r="W24" i="3"/>
  <c r="J27" i="3"/>
  <c r="AL10" i="3"/>
  <c r="U12" i="3"/>
  <c r="AC7" i="3"/>
  <c r="M33" i="3"/>
  <c r="L28" i="3"/>
  <c r="AJ8" i="3"/>
  <c r="AE8" i="3"/>
  <c r="AG38" i="3"/>
  <c r="K21" i="3"/>
  <c r="AG30" i="3"/>
  <c r="AL42" i="3"/>
  <c r="AO10" i="3"/>
  <c r="I40" i="3"/>
  <c r="E50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W48" i="2"/>
  <c r="U74" i="2"/>
  <c r="J50" i="2"/>
  <c r="Q66" i="2"/>
  <c r="Q68" i="2"/>
  <c r="D76" i="2"/>
  <c r="V94" i="2"/>
  <c r="W51" i="2"/>
  <c r="X55" i="2"/>
  <c r="C54" i="2"/>
  <c r="J69" i="2"/>
  <c r="U59" i="2"/>
  <c r="S113" i="2"/>
  <c r="T91" i="2"/>
  <c r="K78" i="2"/>
  <c r="S56" i="2"/>
  <c r="U110" i="2"/>
  <c r="N54" i="2"/>
  <c r="P74" i="2"/>
  <c r="Q44" i="2"/>
  <c r="J98" i="2"/>
  <c r="H93" i="2"/>
  <c r="H59" i="2"/>
  <c r="L105" i="2"/>
  <c r="R60" i="2"/>
  <c r="AP84" i="3"/>
  <c r="AP97" i="3"/>
  <c r="AP65" i="3"/>
  <c r="U57" i="2"/>
  <c r="L95" i="2"/>
  <c r="V74" i="2"/>
  <c r="I76" i="2"/>
  <c r="H95" i="2"/>
  <c r="U55" i="2"/>
  <c r="H79" i="2"/>
  <c r="K84" i="2"/>
  <c r="O44" i="2"/>
  <c r="H62" i="2"/>
  <c r="N42" i="2"/>
  <c r="E59" i="2"/>
  <c r="N79" i="2"/>
  <c r="X91" i="2"/>
  <c r="H106" i="2"/>
  <c r="F85" i="2"/>
  <c r="S65" i="2"/>
  <c r="D68" i="2"/>
  <c r="E112" i="2"/>
  <c r="M67" i="2"/>
  <c r="O66" i="2"/>
  <c r="O50" i="2"/>
  <c r="U65" i="2"/>
  <c r="T63" i="2"/>
  <c r="X45" i="2"/>
  <c r="AB88" i="3"/>
  <c r="AB47" i="3"/>
  <c r="AP57" i="3"/>
  <c r="AB54" i="3"/>
  <c r="AP89" i="3"/>
  <c r="C28" i="3"/>
  <c r="AL33" i="3"/>
  <c r="H41" i="3"/>
  <c r="O23" i="3"/>
  <c r="T25" i="3"/>
  <c r="Z6" i="3"/>
  <c r="AB19" i="3"/>
  <c r="Z8" i="3"/>
  <c r="W33" i="3"/>
  <c r="AA34" i="3"/>
  <c r="P41" i="3"/>
  <c r="U19" i="3"/>
  <c r="G37" i="3"/>
  <c r="AP13" i="3"/>
  <c r="AJ41" i="3"/>
  <c r="AP37" i="3"/>
  <c r="AM8" i="3"/>
  <c r="AM21" i="3"/>
  <c r="AB23" i="3"/>
  <c r="AA17" i="3"/>
  <c r="AC42" i="3"/>
  <c r="AK29" i="3"/>
  <c r="C41" i="3"/>
  <c r="H40" i="3"/>
  <c r="O8" i="3"/>
  <c r="AC13" i="3"/>
  <c r="L20" i="3"/>
  <c r="J34" i="3"/>
  <c r="S17" i="3"/>
  <c r="J8" i="3"/>
  <c r="T22" i="3"/>
  <c r="W6" i="3"/>
  <c r="AQ9" i="3"/>
  <c r="AB12" i="3"/>
  <c r="AG21" i="3"/>
  <c r="W16" i="3"/>
  <c r="AH35" i="3"/>
  <c r="AG32" i="3"/>
  <c r="AK41" i="3"/>
  <c r="AH10" i="3"/>
  <c r="AM24" i="3"/>
  <c r="I21" i="3"/>
  <c r="Z37" i="3"/>
  <c r="AQ33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I82" i="3" s="1"/>
  <c r="T45" i="2"/>
  <c r="T88" i="2"/>
  <c r="R95" i="2"/>
  <c r="J80" i="2"/>
  <c r="M99" i="2"/>
  <c r="E99" i="2"/>
  <c r="Q94" i="2"/>
  <c r="F44" i="2"/>
  <c r="F43" i="2"/>
  <c r="O65" i="2"/>
  <c r="M79" i="2"/>
  <c r="X48" i="2"/>
  <c r="E40" i="2"/>
  <c r="H68" i="2"/>
  <c r="M68" i="2"/>
  <c r="J96" i="2"/>
  <c r="N110" i="2"/>
  <c r="J90" i="2"/>
  <c r="K83" i="2"/>
  <c r="C51" i="2"/>
  <c r="H77" i="2"/>
  <c r="S54" i="2"/>
  <c r="C56" i="2"/>
  <c r="O108" i="2"/>
  <c r="N77" i="2"/>
  <c r="AP56" i="3"/>
  <c r="AP48" i="3"/>
  <c r="AP79" i="3"/>
  <c r="AB82" i="3"/>
  <c r="AB69" i="3"/>
  <c r="H34" i="3"/>
  <c r="J36" i="3"/>
  <c r="Y22" i="3"/>
  <c r="AP25" i="3"/>
  <c r="AO39" i="3"/>
  <c r="N15" i="3"/>
  <c r="AN31" i="3"/>
  <c r="AK21" i="3"/>
  <c r="H38" i="3"/>
  <c r="Q27" i="3"/>
  <c r="AD28" i="3"/>
  <c r="Q16" i="3"/>
  <c r="I16" i="3"/>
  <c r="AQ18" i="3"/>
  <c r="AJ33" i="3"/>
  <c r="AH15" i="3"/>
  <c r="U24" i="3"/>
  <c r="AB34" i="3"/>
  <c r="H27" i="3"/>
  <c r="AI9" i="3"/>
  <c r="AD38" i="3"/>
  <c r="J42" i="3"/>
  <c r="X16" i="3"/>
  <c r="O42" i="3"/>
  <c r="AA40" i="3"/>
  <c r="AK24" i="3"/>
  <c r="H36" i="3"/>
  <c r="S9" i="3"/>
  <c r="I15" i="3"/>
  <c r="T28" i="3"/>
  <c r="Q38" i="3"/>
  <c r="AA21" i="3"/>
  <c r="AE18" i="3"/>
  <c r="K42" i="3"/>
  <c r="S69" i="2"/>
  <c r="X73" i="2"/>
  <c r="X50" i="2"/>
  <c r="F71" i="2"/>
  <c r="O105" i="2"/>
  <c r="S84" i="2"/>
  <c r="X51" i="2"/>
  <c r="U90" i="2"/>
  <c r="O92" i="2"/>
  <c r="E72" i="2"/>
  <c r="Q107" i="2"/>
  <c r="N91" i="2"/>
  <c r="N49" i="2"/>
  <c r="S59" i="2"/>
  <c r="C44" i="2"/>
  <c r="T109" i="2"/>
  <c r="X97" i="2"/>
  <c r="I75" i="2"/>
  <c r="P48" i="2"/>
  <c r="G70" i="2"/>
  <c r="N70" i="2"/>
  <c r="P92" i="2"/>
  <c r="J81" i="2"/>
  <c r="U40" i="2"/>
  <c r="N47" i="2"/>
  <c r="AB58" i="3"/>
  <c r="AP90" i="3"/>
  <c r="AB96" i="3"/>
  <c r="AP74" i="3"/>
  <c r="AP67" i="3"/>
  <c r="C21" i="3"/>
  <c r="C37" i="3"/>
  <c r="AQ13" i="3"/>
  <c r="AM32" i="3"/>
  <c r="AL41" i="3"/>
  <c r="AH21" i="3"/>
  <c r="AK37" i="3"/>
  <c r="AD35" i="3"/>
  <c r="W37" i="3"/>
  <c r="C38" i="3"/>
  <c r="I36" i="3"/>
  <c r="Y6" i="3"/>
  <c r="W21" i="3"/>
  <c r="L29" i="3"/>
  <c r="O5" i="3"/>
  <c r="AQ8" i="3"/>
  <c r="AO21" i="3"/>
  <c r="W15" i="3"/>
  <c r="M36" i="3"/>
  <c r="K35" i="3"/>
  <c r="AP34" i="3"/>
  <c r="AH14" i="3"/>
  <c r="H19" i="3"/>
  <c r="AE11" i="3"/>
  <c r="AB18" i="3"/>
  <c r="H21" i="3"/>
  <c r="AK30" i="3"/>
  <c r="AN23" i="3"/>
  <c r="AQ32" i="3"/>
  <c r="AN34" i="3"/>
  <c r="AE42" i="3"/>
  <c r="I41" i="3"/>
  <c r="V25" i="3"/>
  <c r="C30" i="3"/>
  <c r="AC33" i="3"/>
  <c r="R28" i="3"/>
  <c r="AQ12" i="3"/>
  <c r="V38" i="3"/>
  <c r="C24" i="3"/>
  <c r="AB42" i="3"/>
  <c r="H32" i="3"/>
  <c r="AM20" i="3"/>
  <c r="W11" i="3"/>
  <c r="Y2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R20" i="3"/>
  <c r="AC8" i="3"/>
  <c r="AC6" i="3"/>
  <c r="AJ20" i="3"/>
  <c r="O6" i="3"/>
  <c r="P35" i="3"/>
  <c r="P21" i="3"/>
  <c r="C8" i="3"/>
  <c r="S38" i="3"/>
  <c r="I7" i="3"/>
  <c r="W36" i="3"/>
  <c r="M6" i="3"/>
  <c r="H18" i="3"/>
  <c r="P88" i="2"/>
  <c r="N88" i="2"/>
  <c r="O54" i="2"/>
  <c r="C72" i="2"/>
  <c r="I107" i="2"/>
  <c r="L62" i="2"/>
  <c r="I97" i="2"/>
  <c r="C86" i="2"/>
  <c r="E107" i="2"/>
  <c r="K40" i="2"/>
  <c r="E56" i="2"/>
  <c r="D104" i="2"/>
  <c r="H67" i="2"/>
  <c r="X111" i="2"/>
  <c r="M63" i="2"/>
  <c r="R45" i="2"/>
  <c r="N71" i="2"/>
  <c r="O70" i="2"/>
  <c r="J45" i="2"/>
  <c r="G79" i="2"/>
  <c r="I44" i="2"/>
  <c r="H76" i="2"/>
  <c r="M111" i="2"/>
  <c r="F67" i="2"/>
  <c r="L83" i="2"/>
  <c r="AP75" i="3"/>
  <c r="AB93" i="3"/>
  <c r="AB71" i="3"/>
  <c r="AP85" i="3"/>
  <c r="AB91" i="3"/>
  <c r="S7" i="3"/>
  <c r="L19" i="3"/>
  <c r="U21" i="3"/>
  <c r="J16" i="3"/>
  <c r="R25" i="3"/>
  <c r="AL27" i="3"/>
  <c r="AO15" i="3"/>
  <c r="V24" i="3"/>
  <c r="H28" i="3"/>
  <c r="O37" i="3"/>
  <c r="N19" i="3"/>
  <c r="Z25" i="3"/>
  <c r="W18" i="3"/>
  <c r="W40" i="3"/>
  <c r="X14" i="3"/>
  <c r="AL37" i="3"/>
  <c r="V41" i="3"/>
  <c r="R15" i="3"/>
  <c r="P13" i="3"/>
  <c r="M39" i="3"/>
  <c r="AC36" i="3"/>
  <c r="G35" i="3"/>
  <c r="P22" i="3"/>
  <c r="L6" i="3"/>
  <c r="M9" i="3"/>
  <c r="O16" i="3"/>
  <c r="J18" i="3"/>
  <c r="Y28" i="3"/>
  <c r="AJ15" i="3"/>
  <c r="AM9" i="3"/>
  <c r="AQ14" i="3"/>
  <c r="AC16" i="3"/>
  <c r="AP22" i="3"/>
  <c r="M30" i="3"/>
  <c r="AD48" i="3"/>
  <c r="Z36" i="3"/>
  <c r="AJ32" i="3"/>
  <c r="Y36" i="3"/>
  <c r="M48" i="2"/>
  <c r="T84" i="2"/>
  <c r="D50" i="2"/>
  <c r="C71" i="2"/>
  <c r="S108" i="2"/>
  <c r="F68" i="2"/>
  <c r="J89" i="2"/>
  <c r="T41" i="2"/>
  <c r="I43" i="2"/>
  <c r="X56" i="2"/>
  <c r="U46" i="2"/>
  <c r="E74" i="2"/>
  <c r="S47" i="2"/>
  <c r="H108" i="2"/>
  <c r="Q98" i="2"/>
  <c r="R107" i="2"/>
  <c r="V44" i="2"/>
  <c r="I93" i="2"/>
  <c r="S58" i="2"/>
  <c r="N44" i="2"/>
  <c r="K58" i="2"/>
  <c r="I79" i="2"/>
  <c r="N57" i="2"/>
  <c r="L109" i="2"/>
  <c r="V95" i="2"/>
  <c r="AB59" i="3"/>
  <c r="AB90" i="3"/>
  <c r="AP58" i="3"/>
  <c r="AP80" i="3"/>
  <c r="AP49" i="3"/>
  <c r="Z30" i="3"/>
  <c r="N24" i="3"/>
  <c r="AJ17" i="3"/>
  <c r="AQ39" i="3"/>
  <c r="S31" i="3"/>
  <c r="U30" i="3"/>
  <c r="L25" i="3"/>
  <c r="AK12" i="3"/>
  <c r="AP41" i="3"/>
  <c r="M29" i="3"/>
  <c r="AQ38" i="3"/>
  <c r="AM25" i="3"/>
  <c r="N34" i="3"/>
  <c r="L33" i="3"/>
  <c r="AM11" i="3"/>
  <c r="AP30" i="3"/>
  <c r="L8" i="3"/>
  <c r="AK17" i="3"/>
  <c r="AM14" i="3"/>
  <c r="AH36" i="3"/>
  <c r="AN32" i="3"/>
  <c r="AN35" i="3"/>
  <c r="AL9" i="3"/>
  <c r="AA42" i="3"/>
  <c r="R40" i="3"/>
  <c r="AB11" i="3"/>
  <c r="V34" i="3"/>
  <c r="N21" i="3"/>
  <c r="AJ14" i="3"/>
  <c r="AB30" i="3"/>
  <c r="P18" i="3"/>
  <c r="AK9" i="3"/>
  <c r="L16" i="3"/>
  <c r="AC25" i="3"/>
  <c r="N36" i="3"/>
  <c r="AN17" i="3"/>
  <c r="AJ36" i="3"/>
  <c r="AP11" i="3"/>
  <c r="AI28" i="3"/>
  <c r="AB6" i="3"/>
  <c r="O7" i="3"/>
  <c r="AB26" i="3"/>
  <c r="H37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P10" i="3"/>
  <c r="AN22" i="3"/>
  <c r="AC20" i="3"/>
  <c r="I28" i="3"/>
  <c r="S36" i="3"/>
  <c r="AH13" i="3"/>
  <c r="K40" i="3"/>
  <c r="L37" i="3"/>
  <c r="O17" i="3"/>
  <c r="AL30" i="3"/>
  <c r="P25" i="3"/>
  <c r="AI30" i="3"/>
  <c r="I26" i="3"/>
  <c r="I39" i="3"/>
  <c r="X10" i="3"/>
  <c r="AM40" i="3"/>
  <c r="AC27" i="3"/>
  <c r="AE7" i="3"/>
  <c r="C12" i="3"/>
  <c r="O35" i="3"/>
  <c r="C25" i="3"/>
  <c r="AN25" i="3"/>
  <c r="I108" i="2"/>
  <c r="V107" i="2"/>
  <c r="H112" i="2"/>
  <c r="K82" i="2"/>
  <c r="H41" i="2"/>
  <c r="E89" i="2"/>
  <c r="V69" i="2"/>
  <c r="U95" i="2"/>
  <c r="V41" i="2"/>
  <c r="O93" i="2"/>
  <c r="N113" i="2"/>
  <c r="R71" i="2"/>
  <c r="S83" i="2"/>
  <c r="P58" i="2"/>
  <c r="Q60" i="2"/>
  <c r="U86" i="2"/>
  <c r="P52" i="2"/>
  <c r="F66" i="2"/>
  <c r="U70" i="2"/>
  <c r="T70" i="2"/>
  <c r="F62" i="2"/>
  <c r="K64" i="2"/>
  <c r="D107" i="2"/>
  <c r="E96" i="2"/>
  <c r="F88" i="2"/>
  <c r="AP93" i="3"/>
  <c r="AB92" i="3"/>
  <c r="AB75" i="3"/>
  <c r="AB56" i="3"/>
  <c r="AP64" i="3"/>
  <c r="W5" i="3"/>
  <c r="AJ38" i="3"/>
  <c r="AK5" i="3"/>
  <c r="L84" i="2"/>
  <c r="F105" i="2"/>
  <c r="G96" i="2"/>
  <c r="R55" i="2"/>
  <c r="F72" i="2"/>
  <c r="I47" i="2"/>
  <c r="X89" i="2"/>
  <c r="U61" i="2"/>
  <c r="O53" i="2"/>
  <c r="N99" i="2"/>
  <c r="K89" i="2"/>
  <c r="I55" i="2"/>
  <c r="S52" i="2"/>
  <c r="M51" i="2"/>
  <c r="E113" i="2"/>
  <c r="I105" i="2"/>
  <c r="S90" i="2"/>
  <c r="R104" i="2"/>
  <c r="T105" i="2"/>
  <c r="G76" i="2"/>
  <c r="G62" i="2"/>
  <c r="J67" i="2"/>
  <c r="I73" i="2"/>
  <c r="L40" i="2"/>
  <c r="C63" i="2"/>
  <c r="AP66" i="3"/>
  <c r="AP59" i="3"/>
  <c r="AP47" i="3"/>
  <c r="AB49" i="3"/>
  <c r="AP60" i="3"/>
  <c r="I22" i="3"/>
  <c r="AI12" i="3"/>
  <c r="N26" i="3"/>
  <c r="Q34" i="3"/>
  <c r="O29" i="3"/>
  <c r="O21" i="3"/>
  <c r="P5" i="3"/>
  <c r="S12" i="3"/>
  <c r="AI41" i="3"/>
  <c r="U15" i="3"/>
  <c r="AP19" i="3"/>
  <c r="S32" i="3"/>
  <c r="X24" i="3"/>
  <c r="AP36" i="3"/>
  <c r="I8" i="3"/>
  <c r="AE34" i="3"/>
  <c r="S42" i="3"/>
  <c r="R32" i="3"/>
  <c r="AC29" i="3"/>
  <c r="T35" i="3"/>
  <c r="AG27" i="3"/>
  <c r="AC37" i="3"/>
  <c r="N10" i="3"/>
  <c r="O15" i="3"/>
  <c r="AP16" i="3"/>
  <c r="K23" i="3"/>
  <c r="N35" i="3"/>
  <c r="AI38" i="3"/>
  <c r="AK22" i="3"/>
  <c r="J7" i="3"/>
  <c r="M26" i="3"/>
  <c r="Z24" i="3"/>
  <c r="AO11" i="3"/>
  <c r="C42" i="3"/>
  <c r="AI31" i="3"/>
  <c r="AL39" i="3"/>
  <c r="O11" i="3"/>
  <c r="H35" i="3"/>
  <c r="AO25" i="3"/>
  <c r="AC9" i="3"/>
  <c r="AJ34" i="3"/>
  <c r="U33" i="3"/>
  <c r="T14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E46" i="2"/>
  <c r="M110" i="2"/>
  <c r="J65" i="2"/>
  <c r="J47" i="2"/>
  <c r="E67" i="2"/>
  <c r="W66" i="2"/>
  <c r="C107" i="2"/>
  <c r="U77" i="2"/>
  <c r="L96" i="2"/>
  <c r="X107" i="2"/>
  <c r="Q61" i="2"/>
  <c r="C90" i="2"/>
  <c r="C83" i="2"/>
  <c r="T96" i="2"/>
  <c r="V59" i="2"/>
  <c r="J51" i="2"/>
  <c r="V97" i="2"/>
  <c r="S111" i="2"/>
  <c r="C66" i="2"/>
  <c r="J95" i="2"/>
  <c r="V45" i="2"/>
  <c r="G60" i="2"/>
  <c r="N92" i="2"/>
  <c r="F69" i="2"/>
  <c r="AB65" i="3"/>
  <c r="AB80" i="3"/>
  <c r="AP71" i="3"/>
  <c r="AP81" i="3"/>
  <c r="AB97" i="3"/>
  <c r="AP73" i="3"/>
  <c r="K13" i="3"/>
  <c r="V16" i="3"/>
  <c r="AM16" i="3"/>
  <c r="AH31" i="3"/>
  <c r="AQ29" i="3"/>
  <c r="V8" i="3"/>
  <c r="AD37" i="3"/>
  <c r="AJ25" i="3"/>
  <c r="AE9" i="3"/>
  <c r="O38" i="3"/>
  <c r="N40" i="3"/>
  <c r="K29" i="3"/>
  <c r="T32" i="3"/>
  <c r="Q33" i="3"/>
  <c r="AH42" i="3"/>
  <c r="H6" i="3"/>
  <c r="Y34" i="3"/>
  <c r="AL31" i="3"/>
  <c r="U31" i="3"/>
  <c r="AJ30" i="3"/>
  <c r="M32" i="3"/>
  <c r="AK27" i="3"/>
  <c r="AP8" i="3"/>
  <c r="M13" i="3"/>
  <c r="AO14" i="3"/>
  <c r="T30" i="3"/>
  <c r="AH7" i="3"/>
  <c r="AE19" i="3"/>
  <c r="H9" i="3"/>
  <c r="AB10" i="3"/>
  <c r="Z9" i="3"/>
  <c r="O9" i="3"/>
  <c r="M31" i="3"/>
  <c r="C33" i="3"/>
  <c r="Y16" i="3"/>
  <c r="C27" i="3"/>
  <c r="L26" i="3"/>
  <c r="AN14" i="3"/>
  <c r="AK34" i="3"/>
  <c r="C9" i="3"/>
  <c r="Z31" i="3"/>
  <c r="AL15" i="3"/>
  <c r="AP33" i="3"/>
  <c r="AG18" i="3"/>
  <c r="Q9" i="3"/>
  <c r="I34" i="3"/>
  <c r="G39" i="3"/>
  <c r="K18" i="3"/>
  <c r="O27" i="3"/>
  <c r="M93" i="2"/>
  <c r="N84" i="2"/>
  <c r="I83" i="2"/>
  <c r="J57" i="2"/>
  <c r="F109" i="2"/>
  <c r="K67" i="2"/>
  <c r="Q79" i="2"/>
  <c r="P44" i="2"/>
  <c r="V112" i="2"/>
  <c r="O112" i="2"/>
  <c r="M70" i="2"/>
  <c r="U93" i="2"/>
  <c r="F58" i="2"/>
  <c r="X53" i="2"/>
  <c r="T112" i="2"/>
  <c r="T52" i="2"/>
  <c r="F45" i="2"/>
  <c r="K73" i="2"/>
  <c r="E87" i="2"/>
  <c r="N63" i="2"/>
  <c r="N55" i="2"/>
  <c r="E78" i="2"/>
  <c r="U64" i="2"/>
  <c r="L97" i="2"/>
  <c r="AB61" i="3"/>
  <c r="AP86" i="3"/>
  <c r="C47" i="3"/>
  <c r="AP62" i="3"/>
  <c r="AB86" i="3"/>
  <c r="AB85" i="3"/>
  <c r="AG39" i="3"/>
  <c r="AC18" i="3"/>
  <c r="G36" i="3"/>
  <c r="M10" i="3"/>
  <c r="Y40" i="3"/>
  <c r="R36" i="3"/>
  <c r="AE31" i="3"/>
  <c r="C7" i="3"/>
  <c r="I19" i="3"/>
  <c r="AA9" i="3"/>
  <c r="Z34" i="3"/>
  <c r="J37" i="3"/>
  <c r="X34" i="3"/>
  <c r="Q35" i="3"/>
  <c r="Z11" i="3"/>
  <c r="AI15" i="3"/>
  <c r="X36" i="3"/>
  <c r="AH24" i="3"/>
  <c r="Y18" i="3"/>
  <c r="AG7" i="3"/>
  <c r="J25" i="3"/>
  <c r="Z28" i="3"/>
  <c r="AA31" i="3"/>
  <c r="V18" i="3"/>
  <c r="R30" i="3"/>
  <c r="V29" i="3"/>
  <c r="N20" i="3"/>
  <c r="S40" i="3"/>
  <c r="AB21" i="3"/>
  <c r="AM13" i="3"/>
  <c r="AC19" i="3"/>
  <c r="I25" i="3"/>
  <c r="H42" i="3"/>
  <c r="S27" i="3"/>
  <c r="U37" i="3"/>
  <c r="AJ5" i="3"/>
  <c r="U22" i="3"/>
  <c r="X5" i="3"/>
  <c r="X95" i="3" s="1"/>
  <c r="AE33" i="3"/>
  <c r="R42" i="3"/>
  <c r="AK36" i="3"/>
  <c r="L18" i="3"/>
  <c r="Q22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Y10" i="3"/>
  <c r="AP24" i="3"/>
  <c r="AP29" i="3"/>
  <c r="C10" i="3"/>
  <c r="AL14" i="3"/>
  <c r="V17" i="3"/>
  <c r="AH9" i="3"/>
  <c r="AM36" i="3"/>
  <c r="V10" i="3"/>
  <c r="X41" i="3"/>
  <c r="W39" i="3"/>
  <c r="J22" i="3"/>
  <c r="V37" i="3"/>
  <c r="AK16" i="3"/>
  <c r="U17" i="3"/>
  <c r="AI26" i="3"/>
  <c r="N41" i="3"/>
  <c r="H22" i="3"/>
  <c r="R109" i="2"/>
  <c r="O41" i="2"/>
  <c r="W73" i="2"/>
  <c r="P87" i="2"/>
  <c r="U78" i="2"/>
  <c r="M94" i="2"/>
  <c r="X67" i="2"/>
  <c r="G50" i="2"/>
  <c r="J58" i="2"/>
  <c r="N69" i="2"/>
  <c r="I45" i="2"/>
  <c r="P86" i="2"/>
  <c r="R43" i="2"/>
  <c r="F98" i="2"/>
  <c r="V77" i="2"/>
  <c r="E97" i="2"/>
  <c r="P110" i="2"/>
  <c r="L42" i="2"/>
  <c r="H45" i="2"/>
  <c r="U107" i="2"/>
  <c r="R97" i="2"/>
  <c r="R50" i="2"/>
  <c r="O62" i="2"/>
  <c r="H55" i="2"/>
  <c r="AB68" i="3"/>
  <c r="AB55" i="3"/>
  <c r="AB79" i="3"/>
  <c r="AB62" i="3"/>
  <c r="AP50" i="3"/>
  <c r="AB84" i="3"/>
  <c r="AN8" i="3"/>
  <c r="O39" i="3"/>
  <c r="AJ31" i="3"/>
  <c r="W28" i="3"/>
  <c r="R24" i="3"/>
  <c r="AJ22" i="3"/>
  <c r="AC39" i="3"/>
  <c r="O28" i="3"/>
  <c r="AA25" i="3"/>
  <c r="J12" i="3"/>
  <c r="L11" i="3"/>
  <c r="AA8" i="3"/>
  <c r="T33" i="3"/>
  <c r="AE14" i="3"/>
  <c r="X35" i="3"/>
  <c r="W34" i="3"/>
  <c r="AE39" i="3"/>
  <c r="Y11" i="3"/>
  <c r="AH22" i="3"/>
  <c r="AN20" i="3"/>
  <c r="AP40" i="3"/>
  <c r="M20" i="3"/>
  <c r="AD32" i="3"/>
  <c r="M25" i="3"/>
  <c r="S11" i="3"/>
  <c r="O18" i="3"/>
  <c r="AA6" i="3"/>
  <c r="AN7" i="3"/>
  <c r="AG26" i="3"/>
  <c r="Q19" i="3"/>
  <c r="L14" i="3"/>
  <c r="AI34" i="3"/>
  <c r="C15" i="3"/>
  <c r="O24" i="3"/>
  <c r="AQ23" i="3"/>
  <c r="T16" i="3"/>
  <c r="R14" i="3"/>
  <c r="L22" i="3"/>
  <c r="AO31" i="3"/>
  <c r="AP31" i="3"/>
  <c r="AJ11" i="3"/>
  <c r="E48" i="3"/>
  <c r="AN19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Q20" i="3"/>
  <c r="AP27" i="3"/>
  <c r="AD34" i="3"/>
  <c r="C18" i="3"/>
  <c r="M14" i="3"/>
  <c r="AJ9" i="3"/>
  <c r="X23" i="3"/>
  <c r="V19" i="3"/>
  <c r="AJ6" i="3"/>
  <c r="AO40" i="3"/>
  <c r="AO27" i="3"/>
  <c r="AJ40" i="3"/>
  <c r="G47" i="3"/>
  <c r="AJ27" i="3"/>
  <c r="AP94" i="3"/>
  <c r="AO7" i="3"/>
  <c r="AP77" i="3"/>
  <c r="N14" i="3"/>
  <c r="AH37" i="3"/>
  <c r="P6" i="3"/>
  <c r="AP15" i="3"/>
  <c r="AC17" i="3"/>
  <c r="AH29" i="3"/>
  <c r="H7" i="3"/>
  <c r="AK10" i="3"/>
  <c r="P23" i="3"/>
  <c r="M37" i="3"/>
  <c r="AM37" i="3"/>
  <c r="AE23" i="3"/>
  <c r="AL17" i="3"/>
  <c r="AL6" i="3"/>
  <c r="AK33" i="3"/>
  <c r="W38" i="3"/>
  <c r="U10" i="3"/>
  <c r="AG5" i="3"/>
  <c r="AG72" i="3" s="1"/>
  <c r="Q21" i="3"/>
  <c r="Q42" i="3"/>
  <c r="Y9" i="3"/>
  <c r="X39" i="3"/>
  <c r="C36" i="3"/>
  <c r="AJ21" i="3"/>
  <c r="N32" i="3"/>
  <c r="P24" i="3"/>
  <c r="AL40" i="3"/>
  <c r="AC21" i="3"/>
  <c r="AG33" i="3"/>
  <c r="I11" i="3"/>
  <c r="AB40" i="3"/>
  <c r="S20" i="3"/>
  <c r="J10" i="3"/>
  <c r="AA35" i="3"/>
  <c r="G38" i="3"/>
  <c r="N38" i="3"/>
  <c r="AJ29" i="3"/>
  <c r="H20" i="3"/>
  <c r="M11" i="3"/>
  <c r="AQ36" i="3"/>
  <c r="AP9" i="3"/>
  <c r="O22" i="3"/>
  <c r="AO20" i="3"/>
  <c r="C19" i="3"/>
  <c r="AL16" i="3"/>
  <c r="K19" i="3"/>
  <c r="O19" i="3"/>
  <c r="J21" i="3"/>
  <c r="AG36" i="3"/>
  <c r="N42" i="3"/>
  <c r="P17" i="3"/>
  <c r="V32" i="3"/>
  <c r="O10" i="3"/>
  <c r="AH23" i="3"/>
  <c r="U11" i="3"/>
  <c r="P27" i="3"/>
  <c r="J17" i="3"/>
  <c r="AH40" i="3"/>
  <c r="C40" i="3"/>
  <c r="AQ37" i="3"/>
  <c r="AI42" i="3"/>
  <c r="R37" i="3"/>
  <c r="Q41" i="3"/>
  <c r="AI20" i="3"/>
  <c r="M27" i="3"/>
  <c r="AL36" i="3"/>
  <c r="X40" i="3"/>
  <c r="AM17" i="3"/>
  <c r="AA7" i="3"/>
  <c r="Y26" i="3"/>
  <c r="S29" i="3"/>
  <c r="W17" i="3"/>
  <c r="Y5" i="3"/>
  <c r="Z5" i="3"/>
  <c r="T29" i="3"/>
  <c r="AB8" i="3"/>
  <c r="K34" i="3"/>
  <c r="R11" i="3"/>
  <c r="Q8" i="3"/>
  <c r="K32" i="3"/>
  <c r="AN41" i="3"/>
  <c r="H12" i="3"/>
  <c r="AE22" i="3"/>
  <c r="AG29" i="3"/>
  <c r="AQ7" i="3"/>
  <c r="AM42" i="3"/>
  <c r="V20" i="3"/>
  <c r="J14" i="3"/>
  <c r="T31" i="3"/>
  <c r="AD31" i="3"/>
  <c r="S22" i="3"/>
  <c r="L35" i="3"/>
  <c r="R19" i="3"/>
  <c r="V7" i="3"/>
  <c r="M24" i="3"/>
  <c r="AD49" i="3"/>
  <c r="T17" i="3"/>
  <c r="M15" i="3"/>
  <c r="AH11" i="3"/>
  <c r="J38" i="3"/>
  <c r="AG8" i="3"/>
  <c r="AQ21" i="3"/>
  <c r="X13" i="3"/>
  <c r="R38" i="3"/>
  <c r="AL38" i="3"/>
  <c r="S19" i="3"/>
  <c r="Y33" i="3"/>
  <c r="J20" i="3"/>
  <c r="AN38" i="3"/>
  <c r="L42" i="3"/>
  <c r="J5" i="3"/>
  <c r="C20" i="3"/>
  <c r="T37" i="3"/>
  <c r="V22" i="3"/>
  <c r="Y35" i="3"/>
  <c r="AQ5" i="3"/>
  <c r="AQ69" i="3" s="1"/>
  <c r="AA18" i="3"/>
  <c r="N16" i="3"/>
  <c r="AJ19" i="3"/>
  <c r="U38" i="3"/>
  <c r="R5" i="3"/>
  <c r="AG9" i="3"/>
  <c r="T27" i="3"/>
  <c r="R16" i="3"/>
  <c r="AN15" i="3"/>
  <c r="AL19" i="3"/>
  <c r="V40" i="3"/>
  <c r="L41" i="3"/>
  <c r="AO22" i="3"/>
  <c r="AK15" i="3"/>
  <c r="AH8" i="3"/>
  <c r="AO13" i="3"/>
  <c r="AJ7" i="3"/>
  <c r="AA27" i="3"/>
  <c r="O13" i="3"/>
  <c r="O33" i="3"/>
  <c r="T5" i="3"/>
  <c r="K16" i="3"/>
  <c r="AN37" i="3"/>
  <c r="AQ42" i="3"/>
  <c r="Y8" i="3"/>
  <c r="J40" i="3"/>
  <c r="P28" i="3"/>
  <c r="AO5" i="3"/>
  <c r="AL11" i="3"/>
  <c r="AA16" i="3"/>
  <c r="AM35" i="3"/>
  <c r="N11" i="3"/>
  <c r="Y41" i="3"/>
  <c r="S25" i="3"/>
  <c r="J41" i="3"/>
  <c r="H11" i="3"/>
  <c r="AJ23" i="3"/>
  <c r="C34" i="3"/>
  <c r="AI23" i="3"/>
  <c r="AA32" i="3"/>
  <c r="W31" i="3"/>
  <c r="S23" i="3"/>
  <c r="AE29" i="3"/>
  <c r="AC31" i="3"/>
  <c r="J32" i="3"/>
  <c r="J23" i="3"/>
  <c r="AD25" i="3"/>
  <c r="AE36" i="3"/>
  <c r="AG31" i="3"/>
  <c r="Z32" i="3"/>
  <c r="Y14" i="3"/>
  <c r="AJ35" i="3"/>
  <c r="L12" i="3"/>
  <c r="R31" i="3"/>
  <c r="C13" i="3"/>
  <c r="AQ35" i="3"/>
  <c r="V35" i="3"/>
  <c r="O31" i="3"/>
  <c r="AE26" i="3"/>
  <c r="AM6" i="3"/>
  <c r="W30" i="3"/>
  <c r="Z17" i="3"/>
  <c r="AB31" i="3"/>
  <c r="K41" i="3"/>
  <c r="Q17" i="3"/>
  <c r="AI14" i="3"/>
  <c r="L10" i="3"/>
  <c r="U40" i="3"/>
  <c r="K8" i="3"/>
  <c r="AC24" i="3"/>
  <c r="K20" i="3"/>
  <c r="P16" i="3"/>
  <c r="E49" i="3"/>
  <c r="AM41" i="3"/>
  <c r="Y19" i="3"/>
  <c r="S30" i="3"/>
  <c r="T26" i="3"/>
  <c r="G48" i="3"/>
  <c r="AM30" i="3"/>
  <c r="AE20" i="3"/>
  <c r="J29" i="3"/>
  <c r="Z23" i="3"/>
  <c r="AO17" i="3"/>
  <c r="J13" i="3"/>
  <c r="H16" i="3"/>
  <c r="AD26" i="3"/>
  <c r="AK14" i="3"/>
  <c r="AH19" i="3"/>
  <c r="S6" i="3"/>
  <c r="G33" i="3"/>
  <c r="K30" i="3"/>
  <c r="K14" i="3"/>
  <c r="K39" i="3"/>
  <c r="R22" i="3"/>
  <c r="AK8" i="3"/>
  <c r="AG24" i="3"/>
  <c r="AJ37" i="3"/>
  <c r="AN36" i="3"/>
  <c r="AA28" i="3"/>
  <c r="AE27" i="3"/>
  <c r="L24" i="3"/>
  <c r="N27" i="3"/>
  <c r="Q18" i="3"/>
  <c r="AO37" i="3"/>
  <c r="AQ11" i="3"/>
  <c r="AQ17" i="3"/>
  <c r="K5" i="3"/>
  <c r="Z33" i="3"/>
  <c r="P7" i="3"/>
  <c r="J24" i="3"/>
  <c r="AC10" i="3"/>
  <c r="AP35" i="3"/>
  <c r="AM27" i="3"/>
  <c r="AC34" i="3"/>
  <c r="AC23" i="3"/>
  <c r="X32" i="3"/>
  <c r="AP42" i="3"/>
  <c r="V28" i="3"/>
  <c r="T15" i="3"/>
  <c r="L21" i="3"/>
  <c r="K25" i="3"/>
  <c r="W32" i="3"/>
  <c r="R8" i="3"/>
  <c r="AP38" i="3"/>
  <c r="AH20" i="3"/>
  <c r="V15" i="3"/>
  <c r="AG6" i="3"/>
  <c r="Z40" i="3"/>
  <c r="AO18" i="3"/>
  <c r="Z39" i="3"/>
  <c r="K28" i="3"/>
  <c r="J35" i="3"/>
  <c r="K26" i="3"/>
  <c r="AN10" i="3"/>
  <c r="AI29" i="3"/>
  <c r="S14" i="3"/>
  <c r="Q36" i="3"/>
  <c r="M23" i="3"/>
  <c r="Y38" i="3"/>
  <c r="L23" i="3"/>
  <c r="Y30" i="3"/>
  <c r="AI32" i="3"/>
  <c r="AO23" i="3"/>
  <c r="V11" i="3"/>
  <c r="R10" i="3"/>
  <c r="T21" i="3"/>
  <c r="AL12" i="3"/>
  <c r="AL13" i="3"/>
  <c r="V30" i="3"/>
  <c r="AN28" i="3"/>
  <c r="AI35" i="3"/>
  <c r="AE37" i="3"/>
  <c r="N13" i="3"/>
  <c r="AN16" i="3"/>
  <c r="AH27" i="3"/>
  <c r="H30" i="3"/>
  <c r="T42" i="3"/>
  <c r="AK23" i="3"/>
  <c r="AG22" i="3"/>
  <c r="X20" i="3"/>
  <c r="AA26" i="3"/>
  <c r="Q25" i="3"/>
  <c r="M40" i="3"/>
  <c r="P33" i="3"/>
  <c r="S37" i="3"/>
  <c r="AC15" i="3"/>
  <c r="U42" i="3"/>
  <c r="H29" i="3"/>
  <c r="X19" i="3"/>
  <c r="AI33" i="3"/>
  <c r="U28" i="3"/>
  <c r="AQ24" i="3"/>
  <c r="AM34" i="3"/>
  <c r="AQ31" i="3"/>
  <c r="AG41" i="3"/>
  <c r="H8" i="3"/>
  <c r="AB9" i="3"/>
  <c r="AA19" i="3"/>
  <c r="S10" i="3"/>
  <c r="AO26" i="3"/>
  <c r="M5" i="3"/>
  <c r="T20" i="3"/>
  <c r="J31" i="3"/>
  <c r="AB7" i="3"/>
  <c r="J33" i="3"/>
  <c r="I17" i="3"/>
  <c r="AG11" i="3"/>
  <c r="M34" i="3"/>
  <c r="Y25" i="3"/>
  <c r="T41" i="3"/>
  <c r="J15" i="3"/>
  <c r="V27" i="3"/>
  <c r="X25" i="3"/>
  <c r="AO29" i="3"/>
  <c r="AE38" i="3"/>
  <c r="L27" i="3"/>
  <c r="AO30" i="3"/>
  <c r="AA14" i="3"/>
  <c r="AN40" i="3"/>
  <c r="U39" i="3"/>
  <c r="U35" i="3"/>
  <c r="I20" i="3"/>
  <c r="U27" i="3"/>
  <c r="AL18" i="3"/>
  <c r="U29" i="3"/>
  <c r="M28" i="3"/>
  <c r="AK32" i="3"/>
  <c r="AI7" i="3"/>
  <c r="T39" i="3"/>
  <c r="H31" i="3"/>
  <c r="AE16" i="3"/>
  <c r="N33" i="3"/>
  <c r="AH34" i="3"/>
  <c r="O26" i="3"/>
  <c r="J39" i="3"/>
  <c r="AM18" i="3"/>
  <c r="AD23" i="3"/>
  <c r="V39" i="3"/>
  <c r="I33" i="3"/>
  <c r="AK6" i="3"/>
  <c r="AK38" i="3"/>
  <c r="AQ28" i="3"/>
  <c r="AH16" i="3"/>
  <c r="X15" i="3"/>
  <c r="R6" i="3"/>
  <c r="Q5" i="3"/>
  <c r="I29" i="3"/>
  <c r="I35" i="3"/>
  <c r="Y37" i="3"/>
  <c r="P19" i="3"/>
  <c r="P40" i="3"/>
  <c r="Q28" i="3"/>
  <c r="AD33" i="3"/>
  <c r="S39" i="3"/>
  <c r="T19" i="3"/>
  <c r="AI22" i="3"/>
  <c r="C14" i="3"/>
  <c r="AJ26" i="3"/>
  <c r="C31" i="3"/>
  <c r="AA20" i="3"/>
  <c r="U5" i="3"/>
  <c r="U68" i="3" s="1"/>
  <c r="K17" i="3"/>
  <c r="W20" i="3"/>
  <c r="AN39" i="3"/>
  <c r="AL5" i="3"/>
  <c r="AG14" i="3"/>
  <c r="AC40" i="3"/>
  <c r="X11" i="3"/>
  <c r="C16" i="3"/>
  <c r="AG40" i="3"/>
  <c r="AC41" i="3"/>
  <c r="Z27" i="3"/>
  <c r="AO8" i="3"/>
  <c r="N18" i="3"/>
  <c r="U16" i="3"/>
  <c r="M18" i="3"/>
  <c r="AP21" i="3"/>
  <c r="Q7" i="3"/>
  <c r="T13" i="3"/>
  <c r="AQ20" i="3"/>
  <c r="Q10" i="3"/>
  <c r="S13" i="3"/>
  <c r="J11" i="3"/>
  <c r="AG10" i="3"/>
  <c r="AO35" i="3"/>
  <c r="O12" i="3"/>
  <c r="AH18" i="3"/>
  <c r="AO36" i="3"/>
  <c r="J19" i="3"/>
  <c r="V42" i="3"/>
  <c r="S28" i="3"/>
  <c r="AP32" i="3"/>
  <c r="V23" i="3"/>
  <c r="X29" i="3"/>
  <c r="S26" i="3"/>
  <c r="C26" i="3"/>
  <c r="X33" i="3"/>
  <c r="C35" i="3"/>
  <c r="C11" i="3"/>
  <c r="I37" i="3"/>
  <c r="S34" i="3"/>
  <c r="AP14" i="3"/>
  <c r="Y31" i="3"/>
  <c r="AI19" i="3"/>
  <c r="AA5" i="3"/>
  <c r="K24" i="3"/>
  <c r="AE41" i="3"/>
  <c r="V13" i="3"/>
  <c r="AA33" i="3"/>
  <c r="AD30" i="3"/>
  <c r="H23" i="3"/>
  <c r="AL29" i="3"/>
  <c r="AD36" i="3"/>
  <c r="AL26" i="3"/>
  <c r="O32" i="3"/>
  <c r="AN21" i="3"/>
  <c r="T9" i="3"/>
  <c r="AE35" i="3"/>
  <c r="L40" i="3"/>
  <c r="J28" i="3"/>
  <c r="AM19" i="3"/>
  <c r="AK26" i="3"/>
  <c r="AI13" i="3"/>
  <c r="Z14" i="3"/>
  <c r="AM15" i="3"/>
  <c r="O34" i="3"/>
  <c r="X18" i="3"/>
  <c r="K9" i="3"/>
  <c r="W14" i="3"/>
  <c r="AA39" i="3"/>
  <c r="AC14" i="3"/>
  <c r="AB27" i="3"/>
  <c r="Z20" i="3"/>
  <c r="AM28" i="3"/>
  <c r="AJ10" i="3"/>
  <c r="AB17" i="3"/>
  <c r="K37" i="3"/>
  <c r="AA37" i="3"/>
  <c r="AI78" i="3"/>
  <c r="AI60" i="3"/>
  <c r="O96" i="3"/>
  <c r="AA65" i="3"/>
  <c r="L68" i="3"/>
  <c r="O78" i="3"/>
  <c r="H82" i="3"/>
  <c r="Q82" i="3"/>
  <c r="T63" i="3"/>
  <c r="W55" i="3"/>
  <c r="N59" i="3"/>
  <c r="AM78" i="3"/>
  <c r="AO86" i="3"/>
  <c r="AG76" i="3"/>
  <c r="X67" i="3"/>
  <c r="AL60" i="3"/>
  <c r="S66" i="3"/>
  <c r="U64" i="3"/>
  <c r="AQ56" i="3"/>
  <c r="I97" i="3"/>
  <c r="AQ88" i="3"/>
  <c r="X93" i="3"/>
  <c r="AL87" i="3"/>
  <c r="T50" i="3"/>
  <c r="R61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AM83" i="3"/>
  <c r="AK77" i="3"/>
  <c r="H75" i="3"/>
  <c r="J91" i="3"/>
  <c r="AN64" i="3"/>
  <c r="P59" i="3"/>
  <c r="Q87" i="3"/>
  <c r="M96" i="3"/>
  <c r="H97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AM80" i="3"/>
  <c r="AK69" i="3"/>
  <c r="L66" i="3"/>
  <c r="L59" i="3"/>
  <c r="AI84" i="3"/>
  <c r="O66" i="3"/>
  <c r="J85" i="3"/>
  <c r="H58" i="3"/>
  <c r="AN71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M67" i="3"/>
  <c r="AK96" i="3"/>
  <c r="H92" i="3"/>
  <c r="H76" i="3"/>
  <c r="L82" i="3"/>
  <c r="O47" i="3"/>
  <c r="J80" i="3"/>
  <c r="J56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S85" i="3"/>
  <c r="AO49" i="3"/>
  <c r="I77" i="3"/>
  <c r="H70" i="3"/>
  <c r="Q74" i="3"/>
  <c r="AQ58" i="3"/>
  <c r="J92" i="3"/>
  <c r="AI75" i="3"/>
  <c r="AK68" i="3"/>
  <c r="AJ61" i="3"/>
  <c r="M94" i="3"/>
  <c r="P58" i="3"/>
  <c r="L69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I56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Q60" i="3"/>
  <c r="AK60" i="3"/>
  <c r="AK95" i="3"/>
  <c r="AI90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K86" i="3"/>
  <c r="U74" i="3"/>
  <c r="Q81" i="3"/>
  <c r="K75" i="3"/>
  <c r="AH74" i="3"/>
  <c r="Y56" i="3"/>
  <c r="R86" i="3"/>
  <c r="AL8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M74" i="3"/>
  <c r="AK49" i="3"/>
  <c r="H72" i="3"/>
  <c r="H49" i="3"/>
  <c r="AI89" i="3"/>
  <c r="I50" i="3"/>
  <c r="AI65" i="3"/>
  <c r="N69" i="3"/>
  <c r="L67" i="3"/>
  <c r="H64" i="3"/>
  <c r="AL54" i="3"/>
  <c r="L77" i="3"/>
  <c r="H62" i="3"/>
  <c r="H48" i="3"/>
  <c r="AI85" i="3"/>
  <c r="AM84" i="3"/>
  <c r="P71" i="3"/>
  <c r="O54" i="3"/>
  <c r="X69" i="3"/>
  <c r="P92" i="3"/>
  <c r="L72" i="3"/>
  <c r="O69" i="3"/>
  <c r="X91" i="3"/>
  <c r="O88" i="3"/>
  <c r="H63" i="3"/>
  <c r="AI76" i="3"/>
  <c r="M97" i="3"/>
  <c r="H88" i="3"/>
  <c r="O60" i="3"/>
  <c r="L80" i="3"/>
  <c r="H89" i="3"/>
  <c r="P60" i="3"/>
  <c r="J72" i="3"/>
  <c r="M87" i="3"/>
  <c r="P86" i="3"/>
  <c r="J87" i="3"/>
  <c r="S72" i="3"/>
  <c r="W87" i="3"/>
  <c r="N83" i="3"/>
  <c r="AM86" i="3"/>
  <c r="T80" i="3"/>
  <c r="AG88" i="3"/>
  <c r="R88" i="3"/>
  <c r="AM47" i="3"/>
  <c r="W57" i="3"/>
  <c r="AG67" i="3"/>
  <c r="AN86" i="3"/>
  <c r="AH83" i="3"/>
  <c r="I56" i="3"/>
  <c r="AO79" i="3"/>
  <c r="AQ86" i="3"/>
  <c r="Q48" i="3"/>
  <c r="N87" i="3"/>
  <c r="Z81" i="3"/>
  <c r="I92" i="3"/>
  <c r="I96" i="3"/>
  <c r="L47" i="3"/>
  <c r="AK67" i="3"/>
  <c r="M60" i="3"/>
  <c r="L65" i="3"/>
  <c r="P75" i="3"/>
  <c r="Q69" i="3"/>
  <c r="L63" i="3"/>
  <c r="T75" i="3"/>
  <c r="AN82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X71" i="3"/>
  <c r="AN47" i="3"/>
  <c r="AK76" i="3"/>
  <c r="Q77" i="3"/>
  <c r="Y71" i="3"/>
  <c r="V73" i="3"/>
  <c r="I73" i="3"/>
  <c r="T91" i="3"/>
  <c r="R77" i="3"/>
  <c r="AG63" i="3"/>
  <c r="R73" i="3"/>
  <c r="AK55" i="3"/>
  <c r="L89" i="3"/>
  <c r="P90" i="3"/>
  <c r="M68" i="3"/>
  <c r="M89" i="3"/>
  <c r="AL82" i="3"/>
  <c r="N81" i="3"/>
  <c r="AL81" i="3"/>
  <c r="AN81" i="3"/>
  <c r="AK90" i="3"/>
  <c r="M55" i="3"/>
  <c r="W90" i="3"/>
  <c r="AG78" i="3"/>
  <c r="S90" i="3"/>
  <c r="AQ49" i="3"/>
  <c r="Z66" i="3"/>
  <c r="Z50" i="3"/>
  <c r="AA67" i="3"/>
  <c r="R57" i="3"/>
  <c r="U70" i="3"/>
  <c r="H54" i="3"/>
  <c r="O68" i="3"/>
  <c r="N80" i="3"/>
  <c r="U49" i="3"/>
  <c r="AM63" i="3"/>
  <c r="R70" i="3"/>
  <c r="L73" i="3"/>
  <c r="AM96" i="3"/>
  <c r="AG90" i="3"/>
  <c r="S75" i="3"/>
  <c r="Y61" i="3"/>
  <c r="AN48" i="3"/>
  <c r="Z68" i="3"/>
  <c r="X86" i="3"/>
  <c r="AN67" i="3"/>
  <c r="AJ82" i="3"/>
  <c r="Y92" i="3"/>
  <c r="AM59" i="3"/>
  <c r="M67" i="3"/>
  <c r="T55" i="3"/>
  <c r="N78" i="3"/>
  <c r="AG93" i="3"/>
  <c r="AO83" i="3"/>
  <c r="U97" i="3"/>
  <c r="I59" i="3"/>
  <c r="V95" i="3"/>
  <c r="AQ47" i="3"/>
  <c r="AN92" i="3"/>
  <c r="N95" i="3"/>
  <c r="K54" i="3"/>
  <c r="Q62" i="3"/>
  <c r="P78" i="3"/>
  <c r="AI82" i="3"/>
  <c r="P87" i="3"/>
  <c r="H61" i="3"/>
  <c r="M86" i="3"/>
  <c r="P84" i="3"/>
  <c r="P93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M79" i="3"/>
  <c r="AO91" i="3"/>
  <c r="AK66" i="3"/>
  <c r="K67" i="3"/>
  <c r="R92" i="3"/>
  <c r="O65" i="3"/>
  <c r="Q91" i="3"/>
  <c r="AM85" i="3"/>
  <c r="O49" i="3"/>
  <c r="AI72" i="3"/>
  <c r="AG48" i="3"/>
  <c r="Y55" i="3"/>
  <c r="R60" i="3"/>
  <c r="AK64" i="3"/>
  <c r="AJ77" i="3"/>
  <c r="R87" i="3"/>
  <c r="AN50" i="3"/>
  <c r="AG50" i="3"/>
  <c r="Y72" i="3"/>
  <c r="W91" i="3"/>
  <c r="AO56" i="3"/>
  <c r="AL88" i="3"/>
  <c r="AM73" i="3"/>
  <c r="Y66" i="3"/>
  <c r="AH95" i="3"/>
  <c r="T87" i="3"/>
  <c r="AJ49" i="3"/>
  <c r="AL75" i="3"/>
  <c r="AQ68" i="3"/>
  <c r="R81" i="3"/>
  <c r="AJ92" i="3"/>
  <c r="AQ71" i="3"/>
  <c r="T68" i="3"/>
  <c r="AL48" i="3"/>
  <c r="R97" i="3"/>
  <c r="AH58" i="3"/>
  <c r="S83" i="3"/>
  <c r="Y48" i="3"/>
  <c r="T59" i="3"/>
  <c r="AK62" i="3"/>
  <c r="O86" i="3"/>
  <c r="N64" i="3"/>
  <c r="AI68" i="3"/>
  <c r="O92" i="3"/>
  <c r="W94" i="3"/>
  <c r="Y90" i="3"/>
  <c r="W47" i="3"/>
  <c r="L92" i="3"/>
  <c r="AO54" i="3"/>
  <c r="N47" i="3"/>
  <c r="AG81" i="3"/>
  <c r="AO48" i="3"/>
  <c r="U96" i="3"/>
  <c r="K61" i="3"/>
  <c r="AL56" i="3"/>
  <c r="R63" i="3"/>
  <c r="V81" i="3"/>
  <c r="AK58" i="3"/>
  <c r="AO77" i="3"/>
  <c r="AM48" i="3"/>
  <c r="AA57" i="3"/>
  <c r="AI97" i="3"/>
  <c r="L97" i="3"/>
  <c r="M50" i="3"/>
  <c r="Q54" i="3"/>
  <c r="P50" i="3"/>
  <c r="O48" i="3"/>
  <c r="O9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K50" i="3"/>
  <c r="T97" i="3"/>
  <c r="R58" i="3"/>
  <c r="M58" i="3"/>
  <c r="AA71" i="3"/>
  <c r="U59" i="3"/>
  <c r="Q92" i="3"/>
  <c r="AJ71" i="3"/>
  <c r="AK78" i="3"/>
  <c r="I70" i="3"/>
  <c r="O85" i="3"/>
  <c r="AM55" i="3"/>
  <c r="T85" i="3"/>
  <c r="AL97" i="3"/>
  <c r="T83" i="3"/>
  <c r="V76" i="3"/>
  <c r="AQ67" i="3"/>
  <c r="U84" i="3"/>
  <c r="W76" i="3"/>
  <c r="J70" i="3"/>
  <c r="P56" i="3"/>
  <c r="R79" i="3"/>
  <c r="R50" i="3"/>
  <c r="Q64" i="3"/>
  <c r="AN66" i="3"/>
  <c r="L61" i="3"/>
  <c r="V56" i="3"/>
  <c r="AO59" i="3"/>
  <c r="N62" i="3"/>
  <c r="AG68" i="3"/>
  <c r="AO96" i="3"/>
  <c r="U62" i="3"/>
  <c r="S81" i="3"/>
  <c r="AL63" i="3"/>
  <c r="R95" i="3"/>
  <c r="Y86" i="3"/>
  <c r="AM97" i="3"/>
  <c r="V63" i="3"/>
  <c r="AN69" i="3"/>
  <c r="AI87" i="3"/>
  <c r="AL62" i="3"/>
  <c r="AI69" i="3"/>
  <c r="H66" i="3"/>
  <c r="Q56" i="3"/>
  <c r="H96" i="3"/>
  <c r="H73" i="3"/>
  <c r="AJ93" i="3"/>
  <c r="M71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S89" i="3"/>
  <c r="AO70" i="3"/>
  <c r="I71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AJ86" i="3"/>
  <c r="J62" i="3"/>
  <c r="AQ90" i="3"/>
  <c r="N74" i="3"/>
  <c r="K88" i="3"/>
  <c r="Z59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A68" i="3"/>
  <c r="AM70" i="3"/>
  <c r="X74" i="3"/>
  <c r="AQ50" i="3"/>
  <c r="T56" i="3"/>
  <c r="AG89" i="3"/>
  <c r="AL80" i="3"/>
  <c r="AO87" i="3"/>
  <c r="S62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J63" i="3"/>
  <c r="AH93" i="3"/>
  <c r="AK91" i="3"/>
  <c r="AI81" i="3"/>
  <c r="P64" i="3"/>
  <c r="AM79" i="3"/>
  <c r="AL55" i="3"/>
  <c r="AI67" i="3"/>
  <c r="V90" i="3"/>
  <c r="Z69" i="3"/>
  <c r="Y68" i="3"/>
  <c r="AA75" i="3"/>
  <c r="W79" i="3"/>
  <c r="AQ93" i="3"/>
  <c r="T73" i="3"/>
  <c r="T48" i="3"/>
  <c r="P88" i="3"/>
  <c r="W81" i="3"/>
  <c r="Z97" i="3"/>
  <c r="J73" i="3"/>
  <c r="Y69" i="3"/>
  <c r="AI54" i="3"/>
  <c r="AI96" i="3"/>
  <c r="X90" i="3"/>
  <c r="V69" i="3"/>
  <c r="AJ81" i="3"/>
  <c r="Q66" i="3"/>
  <c r="S84" i="3"/>
  <c r="J86" i="3"/>
  <c r="V57" i="3"/>
  <c r="X47" i="3"/>
  <c r="AM76" i="3"/>
  <c r="U65" i="3"/>
  <c r="V80" i="3"/>
  <c r="Y70" i="3"/>
  <c r="AH68" i="3"/>
  <c r="AL58" i="3"/>
  <c r="R80" i="3"/>
  <c r="Q72" i="3"/>
  <c r="AG74" i="3"/>
  <c r="AL71" i="3"/>
  <c r="X79" i="3"/>
  <c r="H71" i="3"/>
  <c r="O97" i="3"/>
  <c r="AI57" i="3"/>
  <c r="AJ91" i="3"/>
  <c r="O57" i="3"/>
  <c r="J47" i="3"/>
  <c r="AN65" i="3"/>
  <c r="AA90" i="3"/>
  <c r="V78" i="3"/>
  <c r="N76" i="3"/>
  <c r="Z67" i="3"/>
  <c r="J71" i="3"/>
  <c r="K73" i="3"/>
  <c r="W93" i="3"/>
  <c r="AK87" i="3"/>
  <c r="Q50" i="3"/>
  <c r="AL70" i="3"/>
  <c r="AH85" i="3"/>
  <c r="Q84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Q83" i="3"/>
  <c r="N63" i="3"/>
  <c r="M56" i="3"/>
  <c r="AG57" i="3"/>
  <c r="M70" i="3"/>
  <c r="S91" i="3"/>
  <c r="M90" i="3"/>
  <c r="K70" i="3"/>
  <c r="X72" i="3"/>
  <c r="W63" i="3"/>
  <c r="J84" i="3"/>
  <c r="AN74" i="3"/>
  <c r="AM50" i="3"/>
  <c r="H87" i="3"/>
  <c r="AJ76" i="3"/>
  <c r="AH50" i="3"/>
  <c r="AQ92" i="3"/>
  <c r="T47" i="3"/>
  <c r="P66" i="3"/>
  <c r="L84" i="3"/>
  <c r="H67" i="3"/>
  <c r="Y74" i="3"/>
  <c r="AH84" i="3"/>
  <c r="AA81" i="3"/>
  <c r="Q93" i="3"/>
  <c r="AH79" i="3"/>
  <c r="U95" i="3"/>
  <c r="AG71" i="3"/>
  <c r="I86" i="3"/>
  <c r="U92" i="3"/>
  <c r="K78" i="3"/>
  <c r="AG62" i="3"/>
  <c r="Z92" i="3"/>
  <c r="AM60" i="3"/>
  <c r="U47" i="3"/>
  <c r="V55" i="3"/>
  <c r="Y62" i="3"/>
  <c r="Y78" i="3"/>
  <c r="X70" i="3"/>
  <c r="X88" i="3"/>
  <c r="AO67" i="3"/>
  <c r="K59" i="3"/>
  <c r="S80" i="3"/>
  <c r="H78" i="3"/>
  <c r="T74" i="3"/>
  <c r="AK81" i="3"/>
  <c r="AI73" i="3"/>
  <c r="L54" i="3"/>
  <c r="X49" i="3"/>
  <c r="J79" i="3"/>
  <c r="AJ63" i="3"/>
  <c r="Z90" i="3"/>
  <c r="V70" i="3"/>
  <c r="AA47" i="3"/>
  <c r="X77" i="3"/>
  <c r="AG65" i="3"/>
  <c r="W71" i="3"/>
  <c r="AM90" i="3"/>
  <c r="J64" i="3"/>
  <c r="K84" i="3"/>
  <c r="U81" i="3"/>
  <c r="Q79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N97" i="3"/>
  <c r="AK73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O85" i="3"/>
  <c r="I83" i="3"/>
  <c r="Q95" i="3"/>
  <c r="K65" i="3"/>
  <c r="Y77" i="3"/>
  <c r="Q85" i="3"/>
  <c r="U56" i="3"/>
  <c r="Z74" i="3"/>
  <c r="AM61" i="3"/>
  <c r="U63" i="3"/>
  <c r="K77" i="3"/>
  <c r="Y75" i="3"/>
  <c r="AQ59" i="3"/>
  <c r="Z88" i="3"/>
  <c r="AA80" i="3"/>
  <c r="U61" i="3"/>
  <c r="AG75" i="3"/>
  <c r="S71" i="3"/>
  <c r="T79" i="3"/>
  <c r="AM93" i="3"/>
  <c r="S58" i="3"/>
  <c r="AK61" i="3"/>
  <c r="H85" i="3"/>
  <c r="P62" i="3"/>
  <c r="M65" i="3"/>
  <c r="AQ54" i="3"/>
  <c r="AH89" i="3"/>
  <c r="Q47" i="3"/>
  <c r="T95" i="3"/>
  <c r="X58" i="3"/>
  <c r="Y59" i="3"/>
  <c r="W92" i="3"/>
  <c r="AM72" i="3"/>
  <c r="AG96" i="3"/>
  <c r="U73" i="3"/>
  <c r="J57" i="3"/>
  <c r="T66" i="3"/>
  <c r="K83" i="3"/>
  <c r="AH62" i="3"/>
  <c r="Y76" i="3"/>
  <c r="R59" i="3"/>
  <c r="AL95" i="3"/>
  <c r="AO60" i="3"/>
  <c r="I60" i="3"/>
  <c r="S67" i="3"/>
  <c r="I95" i="3"/>
  <c r="O61" i="3"/>
  <c r="T60" i="3"/>
  <c r="AA69" i="3"/>
  <c r="T90" i="3"/>
  <c r="AH80" i="3"/>
  <c r="M75" i="3"/>
  <c r="K96" i="3"/>
  <c r="AI55" i="3"/>
  <c r="K66" i="3"/>
  <c r="AI59" i="3"/>
  <c r="M77" i="3"/>
  <c r="S92" i="3"/>
  <c r="AQ84" i="3"/>
  <c r="S95" i="3"/>
  <c r="Z96" i="3"/>
  <c r="AH90" i="3"/>
  <c r="AL47" i="3"/>
  <c r="AI92" i="3"/>
  <c r="J68" i="3"/>
  <c r="AI74" i="3"/>
  <c r="AM92" i="3"/>
  <c r="R48" i="3"/>
  <c r="S55" i="3"/>
  <c r="Y73" i="3"/>
  <c r="Z84" i="3"/>
  <c r="P68" i="3"/>
  <c r="M80" i="3"/>
  <c r="AG92" i="3"/>
  <c r="Y58" i="3"/>
  <c r="K60" i="3"/>
  <c r="P82" i="3"/>
  <c r="L64" i="3"/>
  <c r="AK57" i="3"/>
  <c r="AM87" i="3"/>
  <c r="O83" i="3"/>
  <c r="P96" i="3"/>
  <c r="AJ87" i="3"/>
  <c r="AA96" i="3"/>
  <c r="M62" i="3"/>
  <c r="Q67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V61" i="3"/>
  <c r="X65" i="3"/>
  <c r="AQ82" i="3"/>
  <c r="Q97" i="3"/>
  <c r="AG95" i="3"/>
  <c r="AJ48" i="3"/>
  <c r="Y91" i="3"/>
  <c r="X56" i="3"/>
  <c r="AI49" i="3"/>
  <c r="AN88" i="3"/>
  <c r="N54" i="3"/>
  <c r="N89" i="3"/>
  <c r="AM56" i="3"/>
  <c r="L79" i="3"/>
  <c r="J97" i="3"/>
  <c r="K94" i="3"/>
  <c r="Q89" i="3"/>
  <c r="J59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Z87" i="3"/>
  <c r="L96" i="3"/>
  <c r="T86" i="3"/>
  <c r="O62" i="3"/>
  <c r="N97" i="3"/>
  <c r="AL94" i="3"/>
  <c r="P47" i="3"/>
  <c r="AO76" i="3"/>
  <c r="AN89" i="3"/>
  <c r="Z54" i="3"/>
  <c r="X97" i="3"/>
  <c r="Z57" i="3"/>
  <c r="AQ95" i="3"/>
  <c r="AG83" i="3"/>
  <c r="AA92" i="3"/>
  <c r="AI70" i="3"/>
  <c r="M47" i="3"/>
  <c r="AH72" i="3"/>
  <c r="AJ97" i="3"/>
  <c r="S54" i="3"/>
  <c r="AQ62" i="3"/>
  <c r="AJ83" i="3"/>
  <c r="J82" i="3"/>
  <c r="J54" i="3"/>
  <c r="S88" i="3"/>
  <c r="Y85" i="3"/>
  <c r="X80" i="3"/>
  <c r="O77" i="3"/>
  <c r="AM69" i="3"/>
  <c r="AK83" i="3"/>
  <c r="L94" i="3"/>
  <c r="AA83" i="3"/>
  <c r="O59" i="3"/>
  <c r="AN85" i="3"/>
  <c r="Q59" i="3"/>
  <c r="H84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U94" i="3"/>
  <c r="Z65" i="3"/>
  <c r="L58" i="3"/>
  <c r="V67" i="3"/>
  <c r="AA63" i="3"/>
  <c r="AH94" i="3"/>
  <c r="N70" i="3"/>
  <c r="L70" i="3"/>
  <c r="AA93" i="3"/>
  <c r="Y54" i="3"/>
  <c r="AN70" i="3"/>
  <c r="AJ85" i="3"/>
  <c r="S94" i="3"/>
  <c r="N49" i="3"/>
  <c r="Q57" i="3"/>
  <c r="Q96" i="3"/>
  <c r="I79" i="3"/>
  <c r="X92" i="3"/>
  <c r="AJ96" i="3"/>
  <c r="S97" i="3"/>
  <c r="I64" i="3"/>
  <c r="AN95" i="3"/>
  <c r="T67" i="3"/>
  <c r="AN49" i="3"/>
  <c r="AO69" i="3"/>
  <c r="R62" i="3"/>
  <c r="R91" i="3"/>
  <c r="AQ96" i="3"/>
  <c r="O63" i="3"/>
  <c r="AI93" i="3"/>
  <c r="N67" i="3"/>
  <c r="H91" i="3"/>
  <c r="AI80" i="3"/>
  <c r="P57" i="3"/>
  <c r="AI66" i="3"/>
  <c r="J81" i="3"/>
  <c r="M76" i="3"/>
  <c r="O84" i="3"/>
  <c r="U85" i="3"/>
  <c r="T65" i="3"/>
  <c r="W74" i="3"/>
  <c r="N84" i="3"/>
  <c r="AM75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X68" i="3"/>
  <c r="U83" i="3"/>
  <c r="AH61" i="3"/>
  <c r="H50" i="3"/>
  <c r="P67" i="3"/>
  <c r="J77" i="3"/>
  <c r="O55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N94" i="3"/>
  <c r="AO66" i="3"/>
  <c r="Q70" i="3"/>
  <c r="W77" i="3"/>
  <c r="AN57" i="3"/>
  <c r="AH57" i="3"/>
  <c r="I47" i="3"/>
  <c r="X57" i="3"/>
  <c r="AQ80" i="3"/>
  <c r="H86" i="3"/>
  <c r="W64" i="3"/>
  <c r="Q71" i="3"/>
  <c r="R56" i="3"/>
  <c r="R89" i="3"/>
  <c r="AI95" i="3"/>
  <c r="AK74" i="3"/>
  <c r="AM81" i="3"/>
  <c r="J83" i="3"/>
  <c r="L86" i="3"/>
  <c r="O67" i="3"/>
  <c r="L48" i="3"/>
  <c r="J90" i="3"/>
  <c r="AA91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W84" i="3"/>
  <c r="V88" i="3"/>
  <c r="U80" i="3"/>
  <c r="AQ85" i="3"/>
  <c r="T93" i="3"/>
  <c r="AK86" i="3"/>
  <c r="M82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U88" i="3"/>
  <c r="AI77" i="3"/>
  <c r="X89" i="3"/>
  <c r="R78" i="3"/>
  <c r="V66" i="3"/>
  <c r="I93" i="3"/>
  <c r="Z72" i="3"/>
  <c r="Z82" i="3"/>
  <c r="I87" i="3"/>
  <c r="AL66" i="3"/>
  <c r="H55" i="3"/>
  <c r="M64" i="3"/>
  <c r="Z63" i="3"/>
  <c r="AE75" i="3" l="1"/>
  <c r="AC96" i="3"/>
  <c r="AE55" i="3"/>
  <c r="AC77" i="3"/>
  <c r="AE88" i="3"/>
  <c r="AE72" i="3"/>
  <c r="AE84" i="3"/>
  <c r="AE79" i="3"/>
  <c r="AE85" i="3"/>
  <c r="AC86" i="3"/>
  <c r="AE67" i="3"/>
  <c r="AC65" i="3"/>
  <c r="AC69" i="3"/>
  <c r="AC76" i="3"/>
  <c r="AE47" i="3"/>
  <c r="AC83" i="3"/>
  <c r="AE93" i="3"/>
  <c r="AC73" i="3"/>
  <c r="AE65" i="3"/>
  <c r="AE74" i="3"/>
  <c r="AE64" i="3"/>
  <c r="AE82" i="3"/>
  <c r="AE61" i="3"/>
  <c r="AC82" i="3"/>
  <c r="AC84" i="3"/>
  <c r="AC97" i="3"/>
  <c r="AC56" i="3"/>
  <c r="AE95" i="3"/>
  <c r="AC70" i="3"/>
  <c r="AE86" i="3"/>
  <c r="AC61" i="3"/>
  <c r="AE94" i="3"/>
  <c r="AE69" i="3"/>
  <c r="AC94" i="3"/>
  <c r="AC74" i="3"/>
  <c r="AE96" i="3"/>
  <c r="AC60" i="3"/>
  <c r="AE63" i="3"/>
  <c r="AC92" i="3"/>
  <c r="AE48" i="3"/>
  <c r="AC62" i="3"/>
  <c r="AC88" i="3"/>
  <c r="AC80" i="3"/>
  <c r="AC78" i="3"/>
  <c r="AE50" i="3"/>
  <c r="AE66" i="3"/>
  <c r="AC59" i="3"/>
  <c r="AE78" i="3"/>
  <c r="AE58" i="3"/>
  <c r="AE59" i="3"/>
  <c r="AE62" i="3"/>
  <c r="AE77" i="3"/>
  <c r="AC85" i="3"/>
  <c r="AC50" i="3"/>
  <c r="AE68" i="3"/>
  <c r="AC47" i="3"/>
  <c r="AE71" i="3"/>
  <c r="AE87" i="3"/>
  <c r="AC66" i="3"/>
  <c r="AE80" i="3"/>
  <c r="AC93" i="3"/>
  <c r="AC91" i="3"/>
  <c r="AC72" i="3"/>
  <c r="AC54" i="3"/>
  <c r="AE60" i="3"/>
  <c r="AC89" i="3"/>
  <c r="AC64" i="3"/>
  <c r="AE76" i="3"/>
  <c r="AC49" i="3"/>
  <c r="AE81" i="3"/>
  <c r="AC90" i="3"/>
  <c r="AE91" i="3"/>
  <c r="AE57" i="3"/>
  <c r="AC68" i="3"/>
  <c r="AE92" i="3"/>
  <c r="AC57" i="3"/>
  <c r="AE90" i="3"/>
  <c r="AE56" i="3"/>
  <c r="AC79" i="3"/>
  <c r="AE70" i="3"/>
  <c r="AC95" i="3"/>
  <c r="AE89" i="3"/>
  <c r="AE83" i="3"/>
  <c r="AC75" i="3"/>
  <c r="AE49" i="3"/>
  <c r="AC58" i="3"/>
  <c r="AC87" i="3"/>
  <c r="AC48" i="3"/>
  <c r="AC67" i="3"/>
  <c r="AC55" i="3"/>
  <c r="AC63" i="3"/>
  <c r="AE54" i="3"/>
  <c r="AC81" i="3"/>
  <c r="AE73" i="3"/>
  <c r="AE97" i="3"/>
  <c r="AC71" i="3"/>
  <c r="BY102" i="1"/>
  <c r="BY97" i="1"/>
  <c r="IX21" i="4"/>
  <c r="BR85" i="1" s="1"/>
  <c r="JI9" i="4"/>
  <c r="H68" i="3"/>
  <c r="O87" i="3"/>
  <c r="O81" i="3"/>
  <c r="O73" i="3"/>
  <c r="BH29" i="1"/>
  <c r="BP21" i="1"/>
  <c r="BS40" i="1"/>
  <c r="BS202" i="1" s="1"/>
  <c r="BF17" i="1"/>
  <c r="BI31" i="1"/>
  <c r="BC31" i="1"/>
  <c r="BD33" i="1"/>
  <c r="AU53" i="1"/>
  <c r="BS32" i="1"/>
  <c r="BF31" i="1"/>
  <c r="BQ55" i="1"/>
  <c r="AP40" i="1"/>
  <c r="BK54" i="1"/>
  <c r="BT30" i="1"/>
  <c r="BR55" i="1"/>
  <c r="BR47" i="1"/>
  <c r="AN43" i="1"/>
  <c r="BV31" i="1"/>
  <c r="AY53" i="1"/>
  <c r="AI23" i="1"/>
  <c r="AI54" i="1"/>
  <c r="AI55" i="1"/>
  <c r="AY55" i="1"/>
  <c r="BD47" i="1"/>
  <c r="BB43" i="1"/>
  <c r="AY40" i="1"/>
  <c r="AY202" i="1" s="1"/>
  <c r="BB59" i="1"/>
  <c r="BN33" i="1"/>
  <c r="AU22" i="1"/>
  <c r="BU54" i="1"/>
  <c r="BM21" i="1"/>
  <c r="AP23" i="1"/>
  <c r="AW21" i="1"/>
  <c r="BW17" i="1"/>
  <c r="BV30" i="1"/>
  <c r="AS33" i="1"/>
  <c r="BA28" i="1"/>
  <c r="AT33" i="1"/>
  <c r="BU16" i="1"/>
  <c r="AI28" i="1"/>
  <c r="BD23" i="1"/>
  <c r="BM31" i="1"/>
  <c r="BC17" i="1"/>
  <c r="AQ29" i="1"/>
  <c r="BG17" i="1"/>
  <c r="BP55" i="1"/>
  <c r="AI31" i="1"/>
  <c r="AW40" i="1"/>
  <c r="AW202" i="1" s="1"/>
  <c r="AO54" i="1"/>
  <c r="AO47" i="1"/>
  <c r="AX16" i="1"/>
  <c r="BD32" i="1"/>
  <c r="BN28" i="1"/>
  <c r="BW40" i="1"/>
  <c r="BW202" i="1" s="1"/>
  <c r="BQ16" i="1"/>
  <c r="BQ8" i="1" s="1"/>
  <c r="BJ43" i="1"/>
  <c r="BS33" i="1"/>
  <c r="AU55" i="1"/>
  <c r="BN53" i="1"/>
  <c r="BK28" i="1"/>
  <c r="AS40" i="1"/>
  <c r="BA47" i="1"/>
  <c r="BR33" i="1"/>
  <c r="AO17" i="1"/>
  <c r="BA54" i="1"/>
  <c r="BG31" i="1"/>
  <c r="BU47" i="1"/>
  <c r="BD44" i="1"/>
  <c r="AP32" i="1"/>
  <c r="BE44" i="1"/>
  <c r="AS53" i="1"/>
  <c r="BM23" i="1"/>
  <c r="AO29" i="1"/>
  <c r="AZ17" i="1"/>
  <c r="BU55" i="1"/>
  <c r="AY21" i="1"/>
  <c r="BS53" i="1"/>
  <c r="BA40" i="1"/>
  <c r="AN47" i="1"/>
  <c r="BA59" i="1"/>
  <c r="BI32" i="1"/>
  <c r="AW44" i="1"/>
  <c r="BG55" i="1"/>
  <c r="BD17" i="1"/>
  <c r="BQ43" i="1"/>
  <c r="AZ59" i="1"/>
  <c r="BT28" i="1"/>
  <c r="BO54" i="1"/>
  <c r="BT40" i="1"/>
  <c r="BR22" i="1"/>
  <c r="AZ30" i="1"/>
  <c r="AX21" i="1"/>
  <c r="BB23" i="1"/>
  <c r="BU43" i="1"/>
  <c r="AR43" i="1"/>
  <c r="AS43" i="1"/>
  <c r="AY31" i="1"/>
  <c r="BO47" i="1"/>
  <c r="BT21" i="1"/>
  <c r="AQ55" i="1"/>
  <c r="AP54" i="1"/>
  <c r="AQ40" i="1"/>
  <c r="BU33" i="1"/>
  <c r="BM16" i="1"/>
  <c r="BM8" i="1" s="1"/>
  <c r="BB32" i="1"/>
  <c r="BN17" i="1"/>
  <c r="AQ44" i="1"/>
  <c r="AR30" i="1"/>
  <c r="AZ32" i="1"/>
  <c r="BB40" i="1"/>
  <c r="BV59" i="1"/>
  <c r="BI43" i="1"/>
  <c r="BI53" i="1"/>
  <c r="BV54" i="1"/>
  <c r="BI21" i="1"/>
  <c r="BW29" i="1"/>
  <c r="BW23" i="1"/>
  <c r="AW33" i="1"/>
  <c r="BG40" i="1"/>
  <c r="BG202" i="1" s="1"/>
  <c r="AQ31" i="1"/>
  <c r="AY16" i="1"/>
  <c r="BQ31" i="1"/>
  <c r="BJ55" i="1"/>
  <c r="AN28" i="1"/>
  <c r="BU29" i="1"/>
  <c r="BF43" i="1"/>
  <c r="AP47" i="1"/>
  <c r="BK17" i="1"/>
  <c r="AZ55" i="1"/>
  <c r="AK81" i="1"/>
  <c r="AV28" i="1"/>
  <c r="AQ17" i="1"/>
  <c r="AR21" i="1"/>
  <c r="BO31" i="1"/>
  <c r="AW29" i="1"/>
  <c r="BF29" i="1"/>
  <c r="BS16" i="1"/>
  <c r="BS8" i="1" s="1"/>
  <c r="BK55" i="1"/>
  <c r="BB54" i="1"/>
  <c r="BW54" i="1"/>
  <c r="AR22" i="1"/>
  <c r="BP54" i="1"/>
  <c r="BE31" i="1"/>
  <c r="BJ44" i="1"/>
  <c r="BJ260" i="1" s="1"/>
  <c r="AP43" i="1"/>
  <c r="BK47" i="1"/>
  <c r="AY43" i="1"/>
  <c r="BO43" i="1"/>
  <c r="AI53" i="1"/>
  <c r="BP43" i="1"/>
  <c r="AN23" i="1"/>
  <c r="AY44" i="1"/>
  <c r="AT23" i="1"/>
  <c r="BS54" i="1"/>
  <c r="BG28" i="1"/>
  <c r="BR23" i="1"/>
  <c r="AV40" i="1"/>
  <c r="AV202" i="1" s="1"/>
  <c r="BW59" i="1"/>
  <c r="AQ28" i="1"/>
  <c r="BQ32" i="1"/>
  <c r="BT32" i="1"/>
  <c r="AX28" i="1"/>
  <c r="AT28" i="1"/>
  <c r="BG33" i="1"/>
  <c r="BE54" i="1"/>
  <c r="AI17" i="1"/>
  <c r="AR59" i="1"/>
  <c r="AP17" i="1"/>
  <c r="BW30" i="1"/>
  <c r="BN23" i="1"/>
  <c r="AS32" i="1"/>
  <c r="AZ29" i="1"/>
  <c r="BJ81" i="1"/>
  <c r="AR54" i="1"/>
  <c r="AP31" i="1"/>
  <c r="BB17" i="1"/>
  <c r="BS59" i="1"/>
  <c r="BM47" i="1"/>
  <c r="AN22" i="1"/>
  <c r="AX23" i="1"/>
  <c r="AQ53" i="1"/>
  <c r="AZ47" i="1"/>
  <c r="BC29" i="1"/>
  <c r="AY47" i="1"/>
  <c r="BE55" i="1"/>
  <c r="BS29" i="1"/>
  <c r="BO17" i="1"/>
  <c r="BO59" i="1"/>
  <c r="AP29" i="1"/>
  <c r="BA23" i="1"/>
  <c r="BN43" i="1"/>
  <c r="AU21" i="1"/>
  <c r="AV29" i="1"/>
  <c r="AT59" i="1"/>
  <c r="AP30" i="1"/>
  <c r="BR28" i="1"/>
  <c r="BU17" i="1"/>
  <c r="BU18" i="1" s="1"/>
  <c r="AS23" i="1"/>
  <c r="AN17" i="1"/>
  <c r="BP47" i="1"/>
  <c r="BG54" i="1"/>
  <c r="AP21" i="1"/>
  <c r="AY17" i="1"/>
  <c r="AY18" i="1" s="1"/>
  <c r="AO23" i="1"/>
  <c r="BI30" i="1"/>
  <c r="BP30" i="1"/>
  <c r="AW59" i="1"/>
  <c r="AW30" i="1"/>
  <c r="BA21" i="1"/>
  <c r="BR16" i="1"/>
  <c r="BR29" i="1"/>
  <c r="BK43" i="1"/>
  <c r="AV43" i="1"/>
  <c r="BQ21" i="1"/>
  <c r="BN47" i="1"/>
  <c r="BI29" i="1"/>
  <c r="BV32" i="1"/>
  <c r="AV16" i="1"/>
  <c r="AV239" i="1" s="1"/>
  <c r="AT31" i="1"/>
  <c r="BV148" i="1"/>
  <c r="BW148" i="1" s="1"/>
  <c r="BX210" i="1" s="1"/>
  <c r="BP16" i="1"/>
  <c r="BP8" i="1" s="1"/>
  <c r="BD43" i="1"/>
  <c r="AS31" i="1"/>
  <c r="AI33" i="1"/>
  <c r="BJ53" i="1"/>
  <c r="AW17" i="1"/>
  <c r="BE22" i="1"/>
  <c r="BF59" i="1"/>
  <c r="BS21" i="1"/>
  <c r="BH31" i="1"/>
  <c r="BR44" i="1"/>
  <c r="BV17" i="1"/>
  <c r="AW31" i="1"/>
  <c r="AX30" i="1"/>
  <c r="AX43" i="1"/>
  <c r="BK29" i="1"/>
  <c r="BE17" i="1"/>
  <c r="AO21" i="1"/>
  <c r="BG23" i="1"/>
  <c r="BR30" i="1"/>
  <c r="BQ17" i="1"/>
  <c r="BQ18" i="1" s="1"/>
  <c r="BD55" i="1"/>
  <c r="BP23" i="1"/>
  <c r="AX31" i="1"/>
  <c r="AZ28" i="1"/>
  <c r="BW43" i="1"/>
  <c r="AI32" i="1"/>
  <c r="BO53" i="1"/>
  <c r="AR31" i="1"/>
  <c r="BM55" i="1"/>
  <c r="BG16" i="1"/>
  <c r="AU33" i="1"/>
  <c r="AY23" i="1"/>
  <c r="AS44" i="1"/>
  <c r="AS17" i="1"/>
  <c r="BT17" i="1"/>
  <c r="BE23" i="1"/>
  <c r="BC53" i="1"/>
  <c r="BD54" i="1"/>
  <c r="BK31" i="1"/>
  <c r="AR23" i="1"/>
  <c r="AP22" i="1"/>
  <c r="BG44" i="1"/>
  <c r="BG260" i="1" s="1"/>
  <c r="AU40" i="1"/>
  <c r="AU202" i="1" s="1"/>
  <c r="BC40" i="1"/>
  <c r="BC202" i="1" s="1"/>
  <c r="BH154" i="1"/>
  <c r="BI154" i="1" s="1"/>
  <c r="BV82" i="1"/>
  <c r="BH132" i="1"/>
  <c r="BI132" i="1" s="1"/>
  <c r="BH151" i="1"/>
  <c r="BI151" i="1" s="1"/>
  <c r="BH139" i="1"/>
  <c r="Q157" i="1"/>
  <c r="T86" i="1"/>
  <c r="G130" i="1"/>
  <c r="K126" i="1"/>
  <c r="O75" i="1"/>
  <c r="U153" i="1"/>
  <c r="U188" i="1" s="1"/>
  <c r="Q127" i="1"/>
  <c r="O143" i="1"/>
  <c r="O139" i="1" s="1"/>
  <c r="H130" i="1"/>
  <c r="F157" i="1"/>
  <c r="W145" i="1"/>
  <c r="T168" i="1"/>
  <c r="O134" i="1"/>
  <c r="O162" i="1" s="1"/>
  <c r="V151" i="1"/>
  <c r="N125" i="1"/>
  <c r="BO55" i="1"/>
  <c r="BA29" i="1"/>
  <c r="BQ28" i="1"/>
  <c r="BB21" i="1"/>
  <c r="BB29" i="1"/>
  <c r="BR31" i="1"/>
  <c r="AI21" i="1"/>
  <c r="BV47" i="1"/>
  <c r="BE21" i="1"/>
  <c r="BD16" i="1"/>
  <c r="BN16" i="1"/>
  <c r="BQ40" i="1"/>
  <c r="BQ202" i="1" s="1"/>
  <c r="BE30" i="1"/>
  <c r="AZ16" i="1"/>
  <c r="AZ18" i="1" s="1"/>
  <c r="AP55" i="1"/>
  <c r="AV22" i="1"/>
  <c r="AM53" i="1"/>
  <c r="BO29" i="1"/>
  <c r="BG32" i="1"/>
  <c r="AR53" i="1"/>
  <c r="AT29" i="1"/>
  <c r="BP59" i="1"/>
  <c r="BC44" i="1"/>
  <c r="BE59" i="1"/>
  <c r="AN55" i="1"/>
  <c r="AS59" i="1"/>
  <c r="BT59" i="1"/>
  <c r="BF33" i="1"/>
  <c r="BM17" i="1"/>
  <c r="BM18" i="1" s="1"/>
  <c r="BW55" i="1"/>
  <c r="BF30" i="1"/>
  <c r="AR29" i="1"/>
  <c r="BU22" i="1"/>
  <c r="AV32" i="1"/>
  <c r="BA31" i="1"/>
  <c r="BA44" i="1"/>
  <c r="AQ21" i="1"/>
  <c r="BJ30" i="1"/>
  <c r="BJ34" i="1" s="1"/>
  <c r="BJ11" i="1" s="1"/>
  <c r="BJ12" i="1" s="1"/>
  <c r="BM53" i="1"/>
  <c r="AQ16" i="1"/>
  <c r="BT47" i="1"/>
  <c r="AO33" i="1"/>
  <c r="BV29" i="1"/>
  <c r="AZ23" i="1"/>
  <c r="AR33" i="1"/>
  <c r="AX59" i="1"/>
  <c r="AN59" i="1"/>
  <c r="AO44" i="1"/>
  <c r="BH30" i="1"/>
  <c r="AT17" i="1"/>
  <c r="BB47" i="1"/>
  <c r="BB33" i="1"/>
  <c r="BF40" i="1"/>
  <c r="AP44" i="1"/>
  <c r="BE33" i="1"/>
  <c r="BO32" i="1"/>
  <c r="BF23" i="1"/>
  <c r="AW54" i="1"/>
  <c r="BD53" i="1"/>
  <c r="BF53" i="1"/>
  <c r="AS21" i="1"/>
  <c r="BI33" i="1"/>
  <c r="BH155" i="1"/>
  <c r="BI155" i="1" s="1"/>
  <c r="BV132" i="1"/>
  <c r="BW132" i="1" s="1"/>
  <c r="T141" i="1"/>
  <c r="D168" i="1"/>
  <c r="M140" i="1"/>
  <c r="D134" i="1"/>
  <c r="D162" i="1" s="1"/>
  <c r="J151" i="1"/>
  <c r="E130" i="1"/>
  <c r="S159" i="1"/>
  <c r="S81" i="1"/>
  <c r="T180" i="1"/>
  <c r="N81" i="1"/>
  <c r="U81" i="1"/>
  <c r="P154" i="1"/>
  <c r="J145" i="1"/>
  <c r="I163" i="1"/>
  <c r="H172" i="1"/>
  <c r="L180" i="1"/>
  <c r="AQ33" i="1"/>
  <c r="AO53" i="1"/>
  <c r="BM33" i="1"/>
  <c r="BR32" i="1"/>
  <c r="BQ53" i="1"/>
  <c r="BT31" i="1"/>
  <c r="AR55" i="1"/>
  <c r="BE28" i="1"/>
  <c r="BH21" i="1"/>
  <c r="BU31" i="1"/>
  <c r="BV16" i="1"/>
  <c r="BV239" i="1" s="1"/>
  <c r="BE53" i="1"/>
  <c r="AN16" i="1"/>
  <c r="BN59" i="1"/>
  <c r="AQ47" i="1"/>
  <c r="BP44" i="1"/>
  <c r="BW47" i="1"/>
  <c r="BS28" i="1"/>
  <c r="BB28" i="1"/>
  <c r="BV152" i="1"/>
  <c r="BV187" i="1" s="1"/>
  <c r="BW187" i="1" s="1"/>
  <c r="BH167" i="1"/>
  <c r="BH158" i="1"/>
  <c r="BI158" i="1" s="1"/>
  <c r="U130" i="1"/>
  <c r="I179" i="1"/>
  <c r="I158" i="1"/>
  <c r="B172" i="1"/>
  <c r="W86" i="1"/>
  <c r="T153" i="1"/>
  <c r="T188" i="1" s="1"/>
  <c r="B86" i="1"/>
  <c r="D145" i="1"/>
  <c r="I132" i="1"/>
  <c r="L75" i="1"/>
  <c r="L76" i="1" s="1"/>
  <c r="BE43" i="1"/>
  <c r="AV47" i="1"/>
  <c r="BG21" i="1"/>
  <c r="BC21" i="1"/>
  <c r="AZ31" i="1"/>
  <c r="BP53" i="1"/>
  <c r="BU44" i="1"/>
  <c r="AN54" i="1"/>
  <c r="AU23" i="1"/>
  <c r="AI59" i="1"/>
  <c r="BU23" i="1"/>
  <c r="AS55" i="1"/>
  <c r="AT54" i="1"/>
  <c r="AQ43" i="1"/>
  <c r="BV28" i="1"/>
  <c r="AU32" i="1"/>
  <c r="AT21" i="1"/>
  <c r="AZ54" i="1"/>
  <c r="BI47" i="1"/>
  <c r="AY59" i="1"/>
  <c r="BK53" i="1"/>
  <c r="BA32" i="1"/>
  <c r="AY22" i="1"/>
  <c r="AU30" i="1"/>
  <c r="AU47" i="1"/>
  <c r="AW53" i="1"/>
  <c r="AT55" i="1"/>
  <c r="BO22" i="1"/>
  <c r="BV130" i="1"/>
  <c r="BW130" i="1" s="1"/>
  <c r="BH81" i="1"/>
  <c r="BV159" i="1"/>
  <c r="BW159" i="1" s="1"/>
  <c r="B140" i="1"/>
  <c r="H151" i="1"/>
  <c r="I145" i="1"/>
  <c r="F152" i="1"/>
  <c r="F187" i="1" s="1"/>
  <c r="D82" i="1"/>
  <c r="L158" i="1"/>
  <c r="R159" i="1"/>
  <c r="H132" i="1"/>
  <c r="E150" i="1"/>
  <c r="BV157" i="1"/>
  <c r="BW157" i="1" s="1"/>
  <c r="BH125" i="1"/>
  <c r="BI125" i="1" s="1"/>
  <c r="BH163" i="1"/>
  <c r="BI163" i="1" s="1"/>
  <c r="C86" i="1"/>
  <c r="J141" i="1"/>
  <c r="O159" i="1"/>
  <c r="T143" i="1"/>
  <c r="T139" i="1" s="1"/>
  <c r="R172" i="1"/>
  <c r="Q148" i="1"/>
  <c r="M82" i="1"/>
  <c r="N180" i="1"/>
  <c r="U125" i="1"/>
  <c r="T179" i="1"/>
  <c r="G125" i="1"/>
  <c r="G81" i="1"/>
  <c r="U86" i="1"/>
  <c r="H87" i="1"/>
  <c r="H116" i="1" s="1"/>
  <c r="BT44" i="1"/>
  <c r="AI44" i="1"/>
  <c r="AU54" i="1"/>
  <c r="AI22" i="1"/>
  <c r="BD21" i="1"/>
  <c r="AO55" i="1"/>
  <c r="AV44" i="1"/>
  <c r="AU29" i="1"/>
  <c r="AO40" i="1"/>
  <c r="AO202" i="1" s="1"/>
  <c r="BI17" i="1"/>
  <c r="BV21" i="1"/>
  <c r="BD59" i="1"/>
  <c r="BK32" i="1"/>
  <c r="BH32" i="1"/>
  <c r="BA17" i="1"/>
  <c r="BJ47" i="1"/>
  <c r="BM44" i="1"/>
  <c r="BQ33" i="1"/>
  <c r="AX22" i="1"/>
  <c r="BH28" i="1"/>
  <c r="AS28" i="1"/>
  <c r="BR54" i="1"/>
  <c r="BW53" i="1"/>
  <c r="BF28" i="1"/>
  <c r="BM28" i="1"/>
  <c r="BE32" i="1"/>
  <c r="BG47" i="1"/>
  <c r="BB55" i="1"/>
  <c r="AX53" i="1"/>
  <c r="BI22" i="1"/>
  <c r="BC43" i="1"/>
  <c r="AP16" i="1"/>
  <c r="AP239" i="1" s="1"/>
  <c r="BN55" i="1"/>
  <c r="BC59" i="1"/>
  <c r="BQ54" i="1"/>
  <c r="BP33" i="1"/>
  <c r="BU40" i="1"/>
  <c r="BS43" i="1"/>
  <c r="AM81" i="1"/>
  <c r="AN32" i="1"/>
  <c r="AI16" i="1"/>
  <c r="BP22" i="1"/>
  <c r="BK40" i="1"/>
  <c r="AT40" i="1"/>
  <c r="AT202" i="1" s="1"/>
  <c r="AT47" i="1"/>
  <c r="BA16" i="1"/>
  <c r="BA239" i="1" s="1"/>
  <c r="AJ82" i="1"/>
  <c r="BH55" i="1"/>
  <c r="BH16" i="1"/>
  <c r="BH239" i="1" s="1"/>
  <c r="BO40" i="1"/>
  <c r="BO202" i="1" s="1"/>
  <c r="BV23" i="1"/>
  <c r="BT29" i="1"/>
  <c r="BI44" i="1"/>
  <c r="AR28" i="1"/>
  <c r="AV33" i="1"/>
  <c r="BP31" i="1"/>
  <c r="AT30" i="1"/>
  <c r="BB53" i="1"/>
  <c r="BH23" i="1"/>
  <c r="BG59" i="1"/>
  <c r="BT54" i="1"/>
  <c r="BS31" i="1"/>
  <c r="BQ29" i="1"/>
  <c r="BS23" i="1"/>
  <c r="AT53" i="1"/>
  <c r="BS44" i="1"/>
  <c r="AS47" i="1"/>
  <c r="BQ22" i="1"/>
  <c r="AR44" i="1"/>
  <c r="BP29" i="1"/>
  <c r="BV81" i="1"/>
  <c r="BV167" i="1"/>
  <c r="BV127" i="1"/>
  <c r="BH134" i="1"/>
  <c r="BI134" i="1" s="1"/>
  <c r="U179" i="1"/>
  <c r="M163" i="1"/>
  <c r="H154" i="1"/>
  <c r="H180" i="1"/>
  <c r="Q86" i="1"/>
  <c r="Q97" i="1" s="1"/>
  <c r="G87" i="1"/>
  <c r="R132" i="1"/>
  <c r="W135" i="1"/>
  <c r="H127" i="1"/>
  <c r="S125" i="1"/>
  <c r="E144" i="1"/>
  <c r="R87" i="1"/>
  <c r="R116" i="1" s="1"/>
  <c r="B148" i="1"/>
  <c r="C157" i="1"/>
  <c r="L133" i="1"/>
  <c r="BI28" i="1"/>
  <c r="BW31" i="1"/>
  <c r="BP32" i="1"/>
  <c r="BE40" i="1"/>
  <c r="BE202" i="1" s="1"/>
  <c r="AP33" i="1"/>
  <c r="AU28" i="1"/>
  <c r="AR16" i="1"/>
  <c r="AR239" i="1" s="1"/>
  <c r="AM54" i="1"/>
  <c r="AX32" i="1"/>
  <c r="BD31" i="1"/>
  <c r="BC33" i="1"/>
  <c r="BF44" i="1"/>
  <c r="AN40" i="1"/>
  <c r="BU32" i="1"/>
  <c r="AX44" i="1"/>
  <c r="AP28" i="1"/>
  <c r="BA30" i="1"/>
  <c r="BH162" i="1"/>
  <c r="BI162" i="1" s="1"/>
  <c r="BV155" i="1"/>
  <c r="BW155" i="1" s="1"/>
  <c r="K172" i="1"/>
  <c r="E145" i="1"/>
  <c r="G152" i="1"/>
  <c r="G187" i="1" s="1"/>
  <c r="F154" i="1"/>
  <c r="I130" i="1"/>
  <c r="M148" i="1"/>
  <c r="N210" i="1" s="1"/>
  <c r="Q130" i="1"/>
  <c r="L140" i="1"/>
  <c r="G145" i="1"/>
  <c r="C71" i="1"/>
  <c r="D135" i="1"/>
  <c r="D86" i="1"/>
  <c r="D97" i="1" s="1"/>
  <c r="B143" i="1"/>
  <c r="H86" i="1"/>
  <c r="B150" i="1"/>
  <c r="N161" i="1"/>
  <c r="N191" i="1" s="1"/>
  <c r="AN33" i="1"/>
  <c r="AS16" i="1"/>
  <c r="AS239" i="1" s="1"/>
  <c r="AV30" i="1"/>
  <c r="AV54" i="1"/>
  <c r="AU16" i="1"/>
  <c r="AU239" i="1" s="1"/>
  <c r="BP17" i="1"/>
  <c r="BI16" i="1"/>
  <c r="BI239" i="1" s="1"/>
  <c r="AX17" i="1"/>
  <c r="AX18" i="1" s="1"/>
  <c r="AT44" i="1"/>
  <c r="BM54" i="1"/>
  <c r="AW23" i="1"/>
  <c r="AY33" i="1"/>
  <c r="BN22" i="1"/>
  <c r="AV31" i="1"/>
  <c r="BQ44" i="1"/>
  <c r="BQ260" i="1" s="1"/>
  <c r="BT55" i="1"/>
  <c r="BB31" i="1"/>
  <c r="BU59" i="1"/>
  <c r="BR43" i="1"/>
  <c r="AJ81" i="1"/>
  <c r="BM22" i="1"/>
  <c r="BT33" i="1"/>
  <c r="AQ23" i="1"/>
  <c r="BH40" i="1"/>
  <c r="BH202" i="1" s="1"/>
  <c r="BA53" i="1"/>
  <c r="BO44" i="1"/>
  <c r="BI40" i="1"/>
  <c r="AV59" i="1"/>
  <c r="AU44" i="1"/>
  <c r="BO33" i="1"/>
  <c r="BH44" i="1"/>
  <c r="BP40" i="1"/>
  <c r="BP202" i="1" s="1"/>
  <c r="BA55" i="1"/>
  <c r="BS47" i="1"/>
  <c r="BD30" i="1"/>
  <c r="AY30" i="1"/>
  <c r="BF55" i="1"/>
  <c r="BK16" i="1"/>
  <c r="BK8" i="1" s="1"/>
  <c r="AO59" i="1"/>
  <c r="BC23" i="1"/>
  <c r="BS17" i="1"/>
  <c r="BH59" i="1"/>
  <c r="BW22" i="1"/>
  <c r="AX40" i="1"/>
  <c r="AX202" i="1" s="1"/>
  <c r="BB44" i="1"/>
  <c r="BK59" i="1"/>
  <c r="BT53" i="1"/>
  <c r="BT43" i="1"/>
  <c r="AN30" i="1"/>
  <c r="BH33" i="1"/>
  <c r="BK23" i="1"/>
  <c r="BN31" i="1"/>
  <c r="BV53" i="1"/>
  <c r="AQ54" i="1"/>
  <c r="BC32" i="1"/>
  <c r="BU30" i="1"/>
  <c r="BW16" i="1"/>
  <c r="BW8" i="1" s="1"/>
  <c r="AR47" i="1"/>
  <c r="BC30" i="1"/>
  <c r="BE16" i="1"/>
  <c r="BE239" i="1" s="1"/>
  <c r="BJ54" i="1"/>
  <c r="BN30" i="1"/>
  <c r="AI30" i="1"/>
  <c r="BV145" i="1"/>
  <c r="BW145" i="1" s="1"/>
  <c r="BH171" i="1"/>
  <c r="BI171" i="1" s="1"/>
  <c r="BV134" i="1"/>
  <c r="BW134" i="1" s="1"/>
  <c r="BH127" i="1"/>
  <c r="M132" i="1"/>
  <c r="O133" i="1"/>
  <c r="H167" i="1"/>
  <c r="M171" i="1"/>
  <c r="P86" i="1"/>
  <c r="D150" i="1"/>
  <c r="W158" i="1"/>
  <c r="E148" i="1"/>
  <c r="W157" i="1"/>
  <c r="W151" i="1"/>
  <c r="AQ59" i="1"/>
  <c r="BK33" i="1"/>
  <c r="BG30" i="1"/>
  <c r="AZ40" i="1"/>
  <c r="AO32" i="1"/>
  <c r="AU59" i="1"/>
  <c r="BD28" i="1"/>
  <c r="AP59" i="1"/>
  <c r="BH53" i="1"/>
  <c r="BN32" i="1"/>
  <c r="BW33" i="1"/>
  <c r="AO28" i="1"/>
  <c r="AW28" i="1"/>
  <c r="BJ40" i="1"/>
  <c r="BJ261" i="1" s="1"/>
  <c r="BQ30" i="1"/>
  <c r="AT32" i="1"/>
  <c r="BV44" i="1"/>
  <c r="AN53" i="1"/>
  <c r="BH140" i="1"/>
  <c r="BH153" i="1"/>
  <c r="BV151" i="1"/>
  <c r="BW151" i="1" s="1"/>
  <c r="BV125" i="1"/>
  <c r="BW125" i="1" s="1"/>
  <c r="M153" i="1"/>
  <c r="M188" i="1" s="1"/>
  <c r="N87" i="1"/>
  <c r="B135" i="1"/>
  <c r="R161" i="1"/>
  <c r="R191" i="1" s="1"/>
  <c r="G153" i="1"/>
  <c r="G188" i="1" s="1"/>
  <c r="B158" i="1"/>
  <c r="J172" i="1"/>
  <c r="M75" i="1"/>
  <c r="M76" i="1" s="1"/>
  <c r="L144" i="1"/>
  <c r="G144" i="1"/>
  <c r="W133" i="1"/>
  <c r="L154" i="1"/>
  <c r="E127" i="1"/>
  <c r="I155" i="1"/>
  <c r="Q179" i="1"/>
  <c r="S130" i="1"/>
  <c r="BK22" i="1"/>
  <c r="AS30" i="1"/>
  <c r="BW28" i="1"/>
  <c r="BW21" i="1"/>
  <c r="AT22" i="1"/>
  <c r="AV55" i="1"/>
  <c r="BI54" i="1"/>
  <c r="BJ59" i="1"/>
  <c r="AU31" i="1"/>
  <c r="BW44" i="1"/>
  <c r="AI47" i="1"/>
  <c r="BA33" i="1"/>
  <c r="AT16" i="1"/>
  <c r="AT239" i="1" s="1"/>
  <c r="BQ59" i="1"/>
  <c r="AW16" i="1"/>
  <c r="AW18" i="1" s="1"/>
  <c r="BB16" i="1"/>
  <c r="BB261" i="1" s="1"/>
  <c r="BH54" i="1"/>
  <c r="BI55" i="1"/>
  <c r="AV23" i="1"/>
  <c r="BA43" i="1"/>
  <c r="BG43" i="1"/>
  <c r="BV33" i="1"/>
  <c r="BR53" i="1"/>
  <c r="AO31" i="1"/>
  <c r="AO30" i="1"/>
  <c r="BN21" i="1"/>
  <c r="BN9" i="1" s="1"/>
  <c r="BN54" i="1"/>
  <c r="BC28" i="1"/>
  <c r="BM30" i="1"/>
  <c r="BH22" i="1"/>
  <c r="BC16" i="1"/>
  <c r="AY29" i="1"/>
  <c r="AP53" i="1"/>
  <c r="AR17" i="1"/>
  <c r="BQ47" i="1"/>
  <c r="BI59" i="1"/>
  <c r="BG29" i="1"/>
  <c r="BH43" i="1"/>
  <c r="BS30" i="1"/>
  <c r="BG53" i="1"/>
  <c r="BF16" i="1"/>
  <c r="AZ44" i="1"/>
  <c r="AU43" i="1"/>
  <c r="AI40" i="1"/>
  <c r="AI202" i="1" s="1"/>
  <c r="BV161" i="1"/>
  <c r="BV126" i="1"/>
  <c r="BW126" i="1" s="1"/>
  <c r="BH135" i="1"/>
  <c r="BI135" i="1" s="1"/>
  <c r="W130" i="1"/>
  <c r="S140" i="1"/>
  <c r="N157" i="1"/>
  <c r="L145" i="1"/>
  <c r="D81" i="1"/>
  <c r="C144" i="1"/>
  <c r="E178" i="1"/>
  <c r="G85" i="1"/>
  <c r="M154" i="1"/>
  <c r="M126" i="1"/>
  <c r="G154" i="1"/>
  <c r="G179" i="1"/>
  <c r="H152" i="1"/>
  <c r="H187" i="1" s="1"/>
  <c r="K179" i="1"/>
  <c r="T163" i="1"/>
  <c r="BV158" i="1"/>
  <c r="BW158" i="1" s="1"/>
  <c r="BV154" i="1"/>
  <c r="BW154" i="1" s="1"/>
  <c r="G180" i="1"/>
  <c r="M161" i="1"/>
  <c r="M191" i="1" s="1"/>
  <c r="T75" i="1"/>
  <c r="T76" i="1" s="1"/>
  <c r="R135" i="1"/>
  <c r="J168" i="1"/>
  <c r="R82" i="1"/>
  <c r="B161" i="1"/>
  <c r="B191" i="1" s="1"/>
  <c r="V158" i="1"/>
  <c r="C152" i="1"/>
  <c r="C187" i="1" s="1"/>
  <c r="P144" i="1"/>
  <c r="I157" i="1"/>
  <c r="V133" i="1"/>
  <c r="AY32" i="1"/>
  <c r="AT43" i="1"/>
  <c r="BI23" i="1"/>
  <c r="AZ33" i="1"/>
  <c r="BB30" i="1"/>
  <c r="AQ22" i="1"/>
  <c r="BT23" i="1"/>
  <c r="BE47" i="1"/>
  <c r="BR40" i="1"/>
  <c r="BD29" i="1"/>
  <c r="AW22" i="1"/>
  <c r="AO22" i="1"/>
  <c r="AR32" i="1"/>
  <c r="AW32" i="1"/>
  <c r="BW32" i="1"/>
  <c r="BN44" i="1"/>
  <c r="BN40" i="1"/>
  <c r="AS22" i="1"/>
  <c r="BU28" i="1"/>
  <c r="AO16" i="1"/>
  <c r="AN21" i="1"/>
  <c r="BF47" i="1"/>
  <c r="AZ22" i="1"/>
  <c r="BC54" i="1"/>
  <c r="AK82" i="1"/>
  <c r="BU21" i="1"/>
  <c r="BR59" i="1"/>
  <c r="AQ30" i="1"/>
  <c r="AR40" i="1"/>
  <c r="AR202" i="1" s="1"/>
  <c r="BA22" i="1"/>
  <c r="BR21" i="1"/>
  <c r="AW43" i="1"/>
  <c r="AM55" i="1"/>
  <c r="AV17" i="1"/>
  <c r="AW55" i="1"/>
  <c r="BS55" i="1"/>
  <c r="BF54" i="1"/>
  <c r="BC22" i="1"/>
  <c r="AZ53" i="1"/>
  <c r="BB22" i="1"/>
  <c r="BK44" i="1"/>
  <c r="BF32" i="1"/>
  <c r="BH17" i="1"/>
  <c r="AV53" i="1"/>
  <c r="BF21" i="1"/>
  <c r="BC55" i="1"/>
  <c r="BV22" i="1"/>
  <c r="BH145" i="1"/>
  <c r="BI145" i="1" s="1"/>
  <c r="BV143" i="1"/>
  <c r="BW143" i="1" s="1"/>
  <c r="BV160" i="1"/>
  <c r="BW160" i="1" s="1"/>
  <c r="BH148" i="1"/>
  <c r="BH130" i="1"/>
  <c r="BI130" i="1" s="1"/>
  <c r="T158" i="1"/>
  <c r="U172" i="1"/>
  <c r="R179" i="1"/>
  <c r="C82" i="1"/>
  <c r="L141" i="1"/>
  <c r="K85" i="1"/>
  <c r="K110" i="1" s="1"/>
  <c r="F155" i="1"/>
  <c r="W134" i="1"/>
  <c r="W162" i="1" s="1"/>
  <c r="E135" i="1"/>
  <c r="J148" i="1"/>
  <c r="U180" i="1"/>
  <c r="V145" i="1"/>
  <c r="T172" i="1"/>
  <c r="W82" i="1"/>
  <c r="R143" i="1"/>
  <c r="R139" i="1" s="1"/>
  <c r="J152" i="1"/>
  <c r="J187" i="1" s="1"/>
  <c r="BV43" i="1"/>
  <c r="BN29" i="1"/>
  <c r="AX54" i="1"/>
  <c r="AM59" i="1"/>
  <c r="BJ82" i="1"/>
  <c r="AS29" i="1"/>
  <c r="AI43" i="1"/>
  <c r="AS54" i="1"/>
  <c r="BO16" i="1"/>
  <c r="AZ43" i="1"/>
  <c r="BH159" i="1"/>
  <c r="BI159" i="1" s="1"/>
  <c r="AI81" i="1"/>
  <c r="BH160" i="1"/>
  <c r="BI160" i="1" s="1"/>
  <c r="BV162" i="1"/>
  <c r="BW162" i="1" s="1"/>
  <c r="BV150" i="1"/>
  <c r="BW150" i="1" s="1"/>
  <c r="BH143" i="1"/>
  <c r="BI143" i="1" s="1"/>
  <c r="BH126" i="1"/>
  <c r="BI126" i="1" s="1"/>
  <c r="BH152" i="1"/>
  <c r="T82" i="1"/>
  <c r="L132" i="1"/>
  <c r="S75" i="1"/>
  <c r="S76" i="1" s="1"/>
  <c r="P132" i="1"/>
  <c r="V159" i="1"/>
  <c r="T178" i="1"/>
  <c r="J153" i="1"/>
  <c r="J188" i="1" s="1"/>
  <c r="S163" i="1"/>
  <c r="C167" i="1"/>
  <c r="L135" i="1"/>
  <c r="U144" i="1"/>
  <c r="H158" i="1"/>
  <c r="S143" i="1"/>
  <c r="S139" i="1" s="1"/>
  <c r="P150" i="1"/>
  <c r="I171" i="1"/>
  <c r="F171" i="1"/>
  <c r="Q151" i="1"/>
  <c r="N154" i="1"/>
  <c r="G126" i="1"/>
  <c r="F135" i="1"/>
  <c r="B180" i="1"/>
  <c r="K155" i="1"/>
  <c r="H126" i="1"/>
  <c r="U132" i="1"/>
  <c r="I134" i="1"/>
  <c r="I162" i="1" s="1"/>
  <c r="E81" i="1"/>
  <c r="C148" i="1"/>
  <c r="M127" i="1"/>
  <c r="K135" i="1"/>
  <c r="Q155" i="1"/>
  <c r="N140" i="1"/>
  <c r="M159" i="1"/>
  <c r="R180" i="1"/>
  <c r="F75" i="1"/>
  <c r="F76" i="1" s="1"/>
  <c r="J150" i="1"/>
  <c r="S144" i="1"/>
  <c r="S133" i="1"/>
  <c r="H135" i="1"/>
  <c r="C154" i="1"/>
  <c r="S167" i="1"/>
  <c r="N134" i="1"/>
  <c r="N162" i="1" s="1"/>
  <c r="J179" i="1"/>
  <c r="V172" i="1"/>
  <c r="L143" i="1"/>
  <c r="L139" i="1" s="1"/>
  <c r="C150" i="1"/>
  <c r="D71" i="1"/>
  <c r="V167" i="1"/>
  <c r="B171" i="1"/>
  <c r="W87" i="1"/>
  <c r="E179" i="1"/>
  <c r="E125" i="1"/>
  <c r="C130" i="1"/>
  <c r="S126" i="1"/>
  <c r="T167" i="1"/>
  <c r="C87" i="1"/>
  <c r="F132" i="1"/>
  <c r="J159" i="1"/>
  <c r="C178" i="1"/>
  <c r="J171" i="1"/>
  <c r="K180" i="1"/>
  <c r="E82" i="1"/>
  <c r="N144" i="1"/>
  <c r="D159" i="1"/>
  <c r="O141" i="1"/>
  <c r="L178" i="1"/>
  <c r="H171" i="1"/>
  <c r="N179" i="1"/>
  <c r="H179" i="1"/>
  <c r="D85" i="1"/>
  <c r="D179" i="1"/>
  <c r="O127" i="1"/>
  <c r="D161" i="1"/>
  <c r="D191" i="1" s="1"/>
  <c r="B139" i="1"/>
  <c r="B142" i="1" s="1"/>
  <c r="V85" i="1"/>
  <c r="V110" i="1" s="1"/>
  <c r="F159" i="1"/>
  <c r="J158" i="1"/>
  <c r="K87" i="1"/>
  <c r="D158" i="1"/>
  <c r="C161" i="1"/>
  <c r="C191" i="1" s="1"/>
  <c r="T134" i="1"/>
  <c r="T162" i="1" s="1"/>
  <c r="P180" i="1"/>
  <c r="Q141" i="1"/>
  <c r="U148" i="1"/>
  <c r="K130" i="1"/>
  <c r="G178" i="1"/>
  <c r="Q158" i="1"/>
  <c r="O132" i="1"/>
  <c r="L168" i="1"/>
  <c r="J134" i="1"/>
  <c r="J162" i="1" s="1"/>
  <c r="B126" i="1"/>
  <c r="D154" i="1"/>
  <c r="L130" i="1"/>
  <c r="U155" i="1"/>
  <c r="U151" i="1"/>
  <c r="C75" i="1"/>
  <c r="K157" i="1"/>
  <c r="Q135" i="1"/>
  <c r="W180" i="1"/>
  <c r="T144" i="1"/>
  <c r="O86" i="1"/>
  <c r="O111" i="1" s="1"/>
  <c r="E163" i="1"/>
  <c r="K81" i="1"/>
  <c r="D141" i="1"/>
  <c r="H155" i="1"/>
  <c r="U167" i="1"/>
  <c r="M157" i="1"/>
  <c r="H85" i="1"/>
  <c r="H110" i="1" s="1"/>
  <c r="O144" i="1"/>
  <c r="Q143" i="1"/>
  <c r="Q139" i="1" s="1"/>
  <c r="J157" i="1"/>
  <c r="H168" i="1"/>
  <c r="M141" i="1"/>
  <c r="E157" i="1"/>
  <c r="C168" i="1"/>
  <c r="C155" i="1"/>
  <c r="K143" i="1"/>
  <c r="K139" i="1" s="1"/>
  <c r="N153" i="1"/>
  <c r="N188" i="1" s="1"/>
  <c r="BV171" i="1"/>
  <c r="BW171" i="1" s="1"/>
  <c r="BV139" i="1"/>
  <c r="U154" i="1"/>
  <c r="F172" i="1"/>
  <c r="N132" i="1"/>
  <c r="D153" i="1"/>
  <c r="D188" i="1" s="1"/>
  <c r="J140" i="1"/>
  <c r="M145" i="1"/>
  <c r="C125" i="1"/>
  <c r="W168" i="1"/>
  <c r="F145" i="1"/>
  <c r="E153" i="1"/>
  <c r="E188" i="1" s="1"/>
  <c r="T127" i="1"/>
  <c r="G140" i="1"/>
  <c r="B168" i="1"/>
  <c r="C145" i="1"/>
  <c r="V130" i="1"/>
  <c r="J81" i="1"/>
  <c r="B71" i="1"/>
  <c r="O180" i="1"/>
  <c r="I133" i="1"/>
  <c r="P126" i="1"/>
  <c r="T85" i="1"/>
  <c r="K141" i="1"/>
  <c r="B159" i="1"/>
  <c r="L150" i="1"/>
  <c r="Q150" i="1"/>
  <c r="W152" i="1"/>
  <c r="G148" i="1"/>
  <c r="R150" i="1"/>
  <c r="I151" i="1"/>
  <c r="Q172" i="1"/>
  <c r="Q82" i="1"/>
  <c r="V155" i="1"/>
  <c r="N143" i="1"/>
  <c r="N139" i="1" s="1"/>
  <c r="E158" i="1"/>
  <c r="D148" i="1"/>
  <c r="T140" i="1"/>
  <c r="I154" i="1"/>
  <c r="I140" i="1"/>
  <c r="V86" i="1"/>
  <c r="D178" i="1"/>
  <c r="K153" i="1"/>
  <c r="K188" i="1" s="1"/>
  <c r="S155" i="1"/>
  <c r="M150" i="1"/>
  <c r="V144" i="1"/>
  <c r="R140" i="1"/>
  <c r="V134" i="1"/>
  <c r="V162" i="1" s="1"/>
  <c r="P152" i="1"/>
  <c r="P187" i="1" s="1"/>
  <c r="K158" i="1"/>
  <c r="H82" i="1"/>
  <c r="N168" i="1"/>
  <c r="S157" i="1"/>
  <c r="C140" i="1"/>
  <c r="M81" i="1"/>
  <c r="S179" i="1"/>
  <c r="S127" i="1"/>
  <c r="L163" i="1"/>
  <c r="C139" i="1"/>
  <c r="O140" i="1"/>
  <c r="D143" i="1"/>
  <c r="S168" i="1"/>
  <c r="D139" i="1"/>
  <c r="V180" i="1"/>
  <c r="V87" i="1"/>
  <c r="V116" i="1" s="1"/>
  <c r="T150" i="1"/>
  <c r="W172" i="1"/>
  <c r="I127" i="1"/>
  <c r="J161" i="1"/>
  <c r="J191" i="1" s="1"/>
  <c r="R85" i="1"/>
  <c r="R110" i="1" s="1"/>
  <c r="S87" i="1"/>
  <c r="S116" i="1" s="1"/>
  <c r="L148" i="1"/>
  <c r="M210" i="1" s="1"/>
  <c r="U145" i="1"/>
  <c r="O157" i="1"/>
  <c r="BH172" i="1"/>
  <c r="BI172" i="1" s="1"/>
  <c r="BH157" i="1"/>
  <c r="BI157" i="1" s="1"/>
  <c r="BV153" i="1"/>
  <c r="BV133" i="1"/>
  <c r="BW133" i="1" s="1"/>
  <c r="BH168" i="1"/>
  <c r="E180" i="1"/>
  <c r="R141" i="1"/>
  <c r="O130" i="1"/>
  <c r="K145" i="1"/>
  <c r="W81" i="1"/>
  <c r="O153" i="1"/>
  <c r="O188" i="1" s="1"/>
  <c r="D133" i="1"/>
  <c r="F141" i="1"/>
  <c r="F143" i="1"/>
  <c r="F139" i="1" s="1"/>
  <c r="N145" i="1"/>
  <c r="H75" i="1"/>
  <c r="H76" i="1" s="1"/>
  <c r="P143" i="1"/>
  <c r="P139" i="1" s="1"/>
  <c r="I153" i="1"/>
  <c r="I188" i="1" s="1"/>
  <c r="D155" i="1"/>
  <c r="F134" i="1"/>
  <c r="F162" i="1" s="1"/>
  <c r="S148" i="1"/>
  <c r="S135" i="1"/>
  <c r="H134" i="1"/>
  <c r="H162" i="1" s="1"/>
  <c r="E154" i="1"/>
  <c r="L179" i="1"/>
  <c r="L127" i="1"/>
  <c r="D180" i="1"/>
  <c r="U135" i="1"/>
  <c r="V125" i="1"/>
  <c r="I126" i="1"/>
  <c r="D172" i="1"/>
  <c r="J133" i="1"/>
  <c r="N75" i="1"/>
  <c r="N76" i="1" s="1"/>
  <c r="K154" i="1"/>
  <c r="M87" i="1"/>
  <c r="I144" i="1"/>
  <c r="W126" i="1"/>
  <c r="G135" i="1"/>
  <c r="H143" i="1"/>
  <c r="H139" i="1" s="1"/>
  <c r="Q81" i="1"/>
  <c r="C143" i="1"/>
  <c r="V161" i="1"/>
  <c r="V191" i="1" s="1"/>
  <c r="V126" i="1"/>
  <c r="Q140" i="1"/>
  <c r="Q142" i="1" s="1"/>
  <c r="B132" i="1"/>
  <c r="E171" i="1"/>
  <c r="Q134" i="1"/>
  <c r="Q162" i="1" s="1"/>
  <c r="O125" i="1"/>
  <c r="K125" i="1"/>
  <c r="E85" i="1"/>
  <c r="N85" i="1"/>
  <c r="R154" i="1"/>
  <c r="E126" i="1"/>
  <c r="H153" i="1"/>
  <c r="H188" i="1" s="1"/>
  <c r="R127" i="1"/>
  <c r="K133" i="1"/>
  <c r="O126" i="1"/>
  <c r="O128" i="1" s="1"/>
  <c r="Q133" i="1"/>
  <c r="J87" i="1"/>
  <c r="U150" i="1"/>
  <c r="B145" i="1"/>
  <c r="I180" i="1"/>
  <c r="P140" i="1"/>
  <c r="H178" i="1"/>
  <c r="I148" i="1"/>
  <c r="G75" i="1"/>
  <c r="G76" i="1" s="1"/>
  <c r="U171" i="1"/>
  <c r="E87" i="1"/>
  <c r="B125" i="1"/>
  <c r="M130" i="1"/>
  <c r="P178" i="1"/>
  <c r="F148" i="1"/>
  <c r="T155" i="1"/>
  <c r="O152" i="1"/>
  <c r="O187" i="1" s="1"/>
  <c r="S152" i="1"/>
  <c r="S187" i="1" s="1"/>
  <c r="O172" i="1"/>
  <c r="R155" i="1"/>
  <c r="N82" i="1"/>
  <c r="M85" i="1"/>
  <c r="M93" i="1" s="1"/>
  <c r="Q152" i="1"/>
  <c r="Q187" i="1" s="1"/>
  <c r="D157" i="1"/>
  <c r="S172" i="1"/>
  <c r="C81" i="1"/>
  <c r="B85" i="1"/>
  <c r="R148" i="1"/>
  <c r="C134" i="1"/>
  <c r="C162" i="1" s="1"/>
  <c r="O87" i="1"/>
  <c r="O112" i="1" s="1"/>
  <c r="I152" i="1"/>
  <c r="I187" i="1" s="1"/>
  <c r="R86" i="1"/>
  <c r="R171" i="1"/>
  <c r="T145" i="1"/>
  <c r="W75" i="1"/>
  <c r="J126" i="1"/>
  <c r="T132" i="1"/>
  <c r="W150" i="1"/>
  <c r="V179" i="1"/>
  <c r="D125" i="1"/>
  <c r="W154" i="1"/>
  <c r="N172" i="1"/>
  <c r="F133" i="1"/>
  <c r="E134" i="1"/>
  <c r="E162" i="1" s="1"/>
  <c r="I167" i="1"/>
  <c r="J130" i="1"/>
  <c r="Q75" i="1"/>
  <c r="Q76" i="1" s="1"/>
  <c r="Q154" i="1"/>
  <c r="P134" i="1"/>
  <c r="P162" i="1" s="1"/>
  <c r="Q85" i="1"/>
  <c r="L152" i="1"/>
  <c r="L187" i="1" s="1"/>
  <c r="S145" i="1"/>
  <c r="V163" i="1"/>
  <c r="I168" i="1"/>
  <c r="I169" i="1" s="1"/>
  <c r="J217" i="1" s="1"/>
  <c r="F151" i="1"/>
  <c r="R153" i="1"/>
  <c r="R188" i="1" s="1"/>
  <c r="Q168" i="1"/>
  <c r="V140" i="1"/>
  <c r="I135" i="1"/>
  <c r="F86" i="1"/>
  <c r="F115" i="1" s="1"/>
  <c r="W167" i="1"/>
  <c r="G141" i="1"/>
  <c r="S153" i="1"/>
  <c r="S188" i="1" s="1"/>
  <c r="S141" i="1"/>
  <c r="D75" i="1"/>
  <c r="K178" i="1"/>
  <c r="M158" i="1"/>
  <c r="N133" i="1"/>
  <c r="Q145" i="1"/>
  <c r="U85" i="1"/>
  <c r="U110" i="1" s="1"/>
  <c r="G86" i="1"/>
  <c r="G97" i="1" s="1"/>
  <c r="K168" i="1"/>
  <c r="W178" i="1"/>
  <c r="L87" i="1"/>
  <c r="F158" i="1"/>
  <c r="T87" i="1"/>
  <c r="V154" i="1"/>
  <c r="F168" i="1"/>
  <c r="S171" i="1"/>
  <c r="Q144" i="1"/>
  <c r="J125" i="1"/>
  <c r="W143" i="1"/>
  <c r="W139" i="1" s="1"/>
  <c r="U87" i="1"/>
  <c r="U95" i="1" s="1"/>
  <c r="S180" i="1"/>
  <c r="G155" i="1"/>
  <c r="R75" i="1"/>
  <c r="R76" i="1" s="1"/>
  <c r="J163" i="1"/>
  <c r="G132" i="1"/>
  <c r="N141" i="1"/>
  <c r="V168" i="1"/>
  <c r="R125" i="1"/>
  <c r="T81" i="1"/>
  <c r="D72" i="1"/>
  <c r="E161" i="1"/>
  <c r="E191" i="1" s="1"/>
  <c r="M179" i="1"/>
  <c r="S134" i="1"/>
  <c r="S162" i="1" s="1"/>
  <c r="S85" i="1"/>
  <c r="S110" i="1" s="1"/>
  <c r="R130" i="1"/>
  <c r="D87" i="1"/>
  <c r="U157" i="1"/>
  <c r="K163" i="1"/>
  <c r="W179" i="1"/>
  <c r="B130" i="1"/>
  <c r="R144" i="1"/>
  <c r="F81" i="1"/>
  <c r="G134" i="1"/>
  <c r="G162" i="1" s="1"/>
  <c r="K75" i="1"/>
  <c r="K76" i="1" s="1"/>
  <c r="U75" i="1"/>
  <c r="U76" i="1" s="1"/>
  <c r="V135" i="1"/>
  <c r="Q178" i="1"/>
  <c r="C72" i="1"/>
  <c r="P179" i="1"/>
  <c r="L82" i="1"/>
  <c r="T135" i="1"/>
  <c r="R81" i="1"/>
  <c r="P153" i="1"/>
  <c r="P188" i="1" s="1"/>
  <c r="E159" i="1"/>
  <c r="V153" i="1"/>
  <c r="V188" i="1" s="1"/>
  <c r="P171" i="1"/>
  <c r="C163" i="1"/>
  <c r="P145" i="1"/>
  <c r="U127" i="1"/>
  <c r="M168" i="1"/>
  <c r="K159" i="1"/>
  <c r="B178" i="1"/>
  <c r="R178" i="1"/>
  <c r="J154" i="1"/>
  <c r="E155" i="1"/>
  <c r="R158" i="1"/>
  <c r="J180" i="1"/>
  <c r="F153" i="1"/>
  <c r="F188" i="1" s="1"/>
  <c r="J143" i="1"/>
  <c r="J139" i="1" s="1"/>
  <c r="D140" i="1"/>
  <c r="R145" i="1"/>
  <c r="O151" i="1"/>
  <c r="F150" i="1"/>
  <c r="D167" i="1"/>
  <c r="O158" i="1"/>
  <c r="G158" i="1"/>
  <c r="T171" i="1"/>
  <c r="P127" i="1"/>
  <c r="J82" i="1"/>
  <c r="L167" i="1"/>
  <c r="B153" i="1"/>
  <c r="B188" i="1" s="1"/>
  <c r="W159" i="1"/>
  <c r="F140" i="1"/>
  <c r="L172" i="1"/>
  <c r="E86" i="1"/>
  <c r="E111" i="1" s="1"/>
  <c r="P167" i="1"/>
  <c r="P169" i="1" s="1"/>
  <c r="Q217" i="1" s="1"/>
  <c r="U140" i="1"/>
  <c r="D144" i="1"/>
  <c r="L81" i="1"/>
  <c r="F144" i="1"/>
  <c r="L125" i="1"/>
  <c r="U152" i="1"/>
  <c r="U187" i="1" s="1"/>
  <c r="G150" i="1"/>
  <c r="E133" i="1"/>
  <c r="S86" i="1"/>
  <c r="P85" i="1"/>
  <c r="Q153" i="1"/>
  <c r="Q188" i="1" s="1"/>
  <c r="C159" i="1"/>
  <c r="M152" i="1"/>
  <c r="M187" i="1" s="1"/>
  <c r="U82" i="1"/>
  <c r="V132" i="1"/>
  <c r="R168" i="1"/>
  <c r="K82" i="1"/>
  <c r="K150" i="1"/>
  <c r="J155" i="1"/>
  <c r="L161" i="1"/>
  <c r="L191" i="1" s="1"/>
  <c r="V148" i="1"/>
  <c r="V82" i="1"/>
  <c r="M86" i="1"/>
  <c r="O148" i="1"/>
  <c r="O145" i="1"/>
  <c r="C172" i="1"/>
  <c r="F130" i="1"/>
  <c r="N171" i="1"/>
  <c r="W171" i="1"/>
  <c r="N152" i="1"/>
  <c r="N187" i="1" s="1"/>
  <c r="H145" i="1"/>
  <c r="F85" i="1"/>
  <c r="I81" i="1"/>
  <c r="K167" i="1"/>
  <c r="I86" i="1"/>
  <c r="T126" i="1"/>
  <c r="T154" i="1"/>
  <c r="J86" i="1"/>
  <c r="J97" i="1" s="1"/>
  <c r="O178" i="1"/>
  <c r="P172" i="1"/>
  <c r="J167" i="1"/>
  <c r="N135" i="1"/>
  <c r="L85" i="1"/>
  <c r="L110" i="1" s="1"/>
  <c r="BV40" i="1"/>
  <c r="BV202" i="1" s="1"/>
  <c r="AX29" i="1"/>
  <c r="AI29" i="1"/>
  <c r="BS22" i="1"/>
  <c r="BM32" i="1"/>
  <c r="BP28" i="1"/>
  <c r="BM40" i="1"/>
  <c r="BM211" i="1" s="1"/>
  <c r="BM209" i="1" s="1"/>
  <c r="BT22" i="1"/>
  <c r="BC47" i="1"/>
  <c r="BO30" i="1"/>
  <c r="BJ17" i="1"/>
  <c r="BJ18" i="1" s="1"/>
  <c r="BJ24" i="1" s="1"/>
  <c r="BM29" i="1"/>
  <c r="BK30" i="1"/>
  <c r="BO28" i="1"/>
  <c r="BD22" i="1"/>
  <c r="BE29" i="1"/>
  <c r="BK21" i="1"/>
  <c r="BR17" i="1"/>
  <c r="AX33" i="1"/>
  <c r="AX47" i="1"/>
  <c r="BV140" i="1"/>
  <c r="BH141" i="1"/>
  <c r="BV163" i="1"/>
  <c r="BW163" i="1" s="1"/>
  <c r="BH82" i="1"/>
  <c r="BV168" i="1"/>
  <c r="BH150" i="1"/>
  <c r="BV141" i="1"/>
  <c r="B134" i="1"/>
  <c r="B162" i="1" s="1"/>
  <c r="L126" i="1"/>
  <c r="V81" i="1"/>
  <c r="P158" i="1"/>
  <c r="P151" i="1"/>
  <c r="O135" i="1"/>
  <c r="F126" i="1"/>
  <c r="O163" i="1"/>
  <c r="C135" i="1"/>
  <c r="P157" i="1"/>
  <c r="V143" i="1"/>
  <c r="V139" i="1" s="1"/>
  <c r="N159" i="1"/>
  <c r="V75" i="1"/>
  <c r="V76" i="1" s="1"/>
  <c r="W127" i="1"/>
  <c r="F161" i="1"/>
  <c r="F191" i="1" s="1"/>
  <c r="E141" i="1"/>
  <c r="C179" i="1"/>
  <c r="M143" i="1"/>
  <c r="M139" i="1" s="1"/>
  <c r="J144" i="1"/>
  <c r="I82" i="1"/>
  <c r="B72" i="1"/>
  <c r="N158" i="1"/>
  <c r="S132" i="1"/>
  <c r="Q180" i="1"/>
  <c r="F180" i="1"/>
  <c r="R133" i="1"/>
  <c r="T151" i="1"/>
  <c r="B163" i="1"/>
  <c r="E143" i="1"/>
  <c r="E139" i="1" s="1"/>
  <c r="S154" i="1"/>
  <c r="B127" i="1"/>
  <c r="V171" i="1"/>
  <c r="F163" i="1"/>
  <c r="T130" i="1"/>
  <c r="W132" i="1"/>
  <c r="O150" i="1"/>
  <c r="Q163" i="1"/>
  <c r="G143" i="1"/>
  <c r="G139" i="1" s="1"/>
  <c r="T148" i="1"/>
  <c r="R151" i="1"/>
  <c r="D127" i="1"/>
  <c r="N163" i="1"/>
  <c r="I159" i="1"/>
  <c r="O154" i="1"/>
  <c r="H125" i="1"/>
  <c r="I125" i="1"/>
  <c r="N86" i="1"/>
  <c r="G82" i="1"/>
  <c r="P87" i="1"/>
  <c r="R163" i="1"/>
  <c r="N151" i="1"/>
  <c r="W85" i="1"/>
  <c r="W110" i="1" s="1"/>
  <c r="U178" i="1"/>
  <c r="C180" i="1"/>
  <c r="W148" i="1"/>
  <c r="T161" i="1"/>
  <c r="T191" i="1" s="1"/>
  <c r="F127" i="1"/>
  <c r="K161" i="1"/>
  <c r="K191" i="1" s="1"/>
  <c r="U126" i="1"/>
  <c r="I161" i="1"/>
  <c r="I191" i="1" s="1"/>
  <c r="G163" i="1"/>
  <c r="V141" i="1"/>
  <c r="B75" i="1"/>
  <c r="O171" i="1"/>
  <c r="C127" i="1"/>
  <c r="C151" i="1"/>
  <c r="M167" i="1"/>
  <c r="M169" i="1" s="1"/>
  <c r="I178" i="1"/>
  <c r="C141" i="1"/>
  <c r="B144" i="1"/>
  <c r="N155" i="1"/>
  <c r="P81" i="1"/>
  <c r="K151" i="1"/>
  <c r="K171" i="1"/>
  <c r="P141" i="1"/>
  <c r="Q132" i="1"/>
  <c r="R152" i="1"/>
  <c r="R187" i="1" s="1"/>
  <c r="D163" i="1"/>
  <c r="N130" i="1"/>
  <c r="K152" i="1"/>
  <c r="K187" i="1" s="1"/>
  <c r="T157" i="1"/>
  <c r="G151" i="1"/>
  <c r="U161" i="1"/>
  <c r="U191" i="1" s="1"/>
  <c r="H140" i="1"/>
  <c r="L171" i="1"/>
  <c r="V178" i="1"/>
  <c r="P133" i="1"/>
  <c r="Q167" i="1"/>
  <c r="I75" i="1"/>
  <c r="I76" i="1" s="1"/>
  <c r="C171" i="1"/>
  <c r="Q87" i="1"/>
  <c r="V150" i="1"/>
  <c r="S178" i="1"/>
  <c r="J132" i="1"/>
  <c r="U158" i="1"/>
  <c r="M133" i="1"/>
  <c r="U168" i="1"/>
  <c r="O81" i="1"/>
  <c r="D132" i="1"/>
  <c r="S150" i="1"/>
  <c r="E172" i="1"/>
  <c r="D171" i="1"/>
  <c r="K144" i="1"/>
  <c r="B151" i="1"/>
  <c r="W163" i="1"/>
  <c r="F82" i="1"/>
  <c r="C133" i="1"/>
  <c r="S158" i="1"/>
  <c r="H161" i="1"/>
  <c r="H191" i="1" s="1"/>
  <c r="U134" i="1"/>
  <c r="U162" i="1" s="1"/>
  <c r="L155" i="1"/>
  <c r="H133" i="1"/>
  <c r="L134" i="1"/>
  <c r="L162" i="1" s="1"/>
  <c r="B157" i="1"/>
  <c r="H144" i="1"/>
  <c r="G167" i="1"/>
  <c r="K86" i="1"/>
  <c r="M144" i="1"/>
  <c r="S151" i="1"/>
  <c r="H141" i="1"/>
  <c r="F87" i="1"/>
  <c r="H163" i="1"/>
  <c r="G127" i="1"/>
  <c r="P82" i="1"/>
  <c r="T159" i="1"/>
  <c r="G172" i="1"/>
  <c r="BH47" i="1"/>
  <c r="AQ32" i="1"/>
  <c r="AZ21" i="1"/>
  <c r="AN44" i="1"/>
  <c r="BM43" i="1"/>
  <c r="BM45" i="1" s="1"/>
  <c r="AM82" i="1"/>
  <c r="AX55" i="1"/>
  <c r="BU53" i="1"/>
  <c r="AU17" i="1"/>
  <c r="BT16" i="1"/>
  <c r="BT8" i="1" s="1"/>
  <c r="BQ23" i="1"/>
  <c r="BV55" i="1"/>
  <c r="AW47" i="1"/>
  <c r="BO21" i="1"/>
  <c r="BF22" i="1"/>
  <c r="BD40" i="1"/>
  <c r="BD202" i="1" s="1"/>
  <c r="AY54" i="1"/>
  <c r="BG22" i="1"/>
  <c r="BO23" i="1"/>
  <c r="AN31" i="1"/>
  <c r="AO43" i="1"/>
  <c r="AV21" i="1"/>
  <c r="BM59" i="1"/>
  <c r="AY28" i="1"/>
  <c r="AN29" i="1"/>
  <c r="AN34" i="1" s="1"/>
  <c r="BV172" i="1"/>
  <c r="BW172" i="1" s="1"/>
  <c r="BH133" i="1"/>
  <c r="BI133" i="1" s="1"/>
  <c r="BV135" i="1"/>
  <c r="BW135" i="1" s="1"/>
  <c r="BH161" i="1"/>
  <c r="D126" i="1"/>
  <c r="C126" i="1"/>
  <c r="W144" i="1"/>
  <c r="B87" i="1"/>
  <c r="B179" i="1"/>
  <c r="W161" i="1"/>
  <c r="J85" i="1"/>
  <c r="B154" i="1"/>
  <c r="R126" i="1"/>
  <c r="W155" i="1"/>
  <c r="C85" i="1"/>
  <c r="D151" i="1"/>
  <c r="F178" i="1"/>
  <c r="F181" i="1" s="1"/>
  <c r="B155" i="1"/>
  <c r="J178" i="1"/>
  <c r="V152" i="1"/>
  <c r="V187" i="1" s="1"/>
  <c r="P155" i="1"/>
  <c r="B167" i="1"/>
  <c r="I143" i="1"/>
  <c r="I139" i="1" s="1"/>
  <c r="R167" i="1"/>
  <c r="C153" i="1"/>
  <c r="C188" i="1" s="1"/>
  <c r="L86" i="1"/>
  <c r="L94" i="1" s="1"/>
  <c r="G159" i="1"/>
  <c r="I141" i="1"/>
  <c r="M172" i="1"/>
  <c r="L151" i="1"/>
  <c r="H81" i="1"/>
  <c r="P125" i="1"/>
  <c r="R157" i="1"/>
  <c r="M151" i="1"/>
  <c r="J75" i="1"/>
  <c r="J76" i="1" s="1"/>
  <c r="L159" i="1"/>
  <c r="H157" i="1"/>
  <c r="I85" i="1"/>
  <c r="I110" i="1" s="1"/>
  <c r="U133" i="1"/>
  <c r="L153" i="1"/>
  <c r="L188" i="1" s="1"/>
  <c r="O155" i="1"/>
  <c r="K148" i="1"/>
  <c r="K132" i="1"/>
  <c r="E152" i="1"/>
  <c r="E187" i="1" s="1"/>
  <c r="N178" i="1"/>
  <c r="M125" i="1"/>
  <c r="O167" i="1"/>
  <c r="S161" i="1"/>
  <c r="S191" i="1" s="1"/>
  <c r="O85" i="1"/>
  <c r="O110" i="1" s="1"/>
  <c r="O161" i="1"/>
  <c r="O191" i="1" s="1"/>
  <c r="N127" i="1"/>
  <c r="T133" i="1"/>
  <c r="Q126" i="1"/>
  <c r="P148" i="1"/>
  <c r="I172" i="1"/>
  <c r="V127" i="1"/>
  <c r="E140" i="1"/>
  <c r="H148" i="1"/>
  <c r="T152" i="1"/>
  <c r="T187" i="1" s="1"/>
  <c r="N167" i="1"/>
  <c r="U141" i="1"/>
  <c r="E75" i="1"/>
  <c r="E76" i="1" s="1"/>
  <c r="M135" i="1"/>
  <c r="P75" i="1"/>
  <c r="P76" i="1" s="1"/>
  <c r="Q159" i="1"/>
  <c r="M178" i="1"/>
  <c r="Q125" i="1"/>
  <c r="E151" i="1"/>
  <c r="R134" i="1"/>
  <c r="R162" i="1" s="1"/>
  <c r="F167" i="1"/>
  <c r="V157" i="1"/>
  <c r="P130" i="1"/>
  <c r="M134" i="1"/>
  <c r="M162" i="1" s="1"/>
  <c r="U163" i="1"/>
  <c r="Q171" i="1"/>
  <c r="F179" i="1"/>
  <c r="N150" i="1"/>
  <c r="M155" i="1"/>
  <c r="G157" i="1"/>
  <c r="I87" i="1"/>
  <c r="I112" i="1" s="1"/>
  <c r="H150" i="1"/>
  <c r="B141" i="1"/>
  <c r="U143" i="1"/>
  <c r="U139" i="1" s="1"/>
  <c r="O168" i="1"/>
  <c r="B152" i="1"/>
  <c r="B187" i="1" s="1"/>
  <c r="N126" i="1"/>
  <c r="K127" i="1"/>
  <c r="U159" i="1"/>
  <c r="P159" i="1"/>
  <c r="N148" i="1"/>
  <c r="T125" i="1"/>
  <c r="H159" i="1"/>
  <c r="W141" i="1"/>
  <c r="G168" i="1"/>
  <c r="L157" i="1"/>
  <c r="M180" i="1"/>
  <c r="B133" i="1"/>
  <c r="G133" i="1"/>
  <c r="I150" i="1"/>
  <c r="E168" i="1"/>
  <c r="E169" i="1" s="1"/>
  <c r="F217" i="1" s="1"/>
  <c r="D152" i="1"/>
  <c r="D187" i="1" s="1"/>
  <c r="K134" i="1"/>
  <c r="K162" i="1" s="1"/>
  <c r="S82" i="1"/>
  <c r="E132" i="1"/>
  <c r="K140" i="1"/>
  <c r="C158" i="1"/>
  <c r="W153" i="1"/>
  <c r="O179" i="1"/>
  <c r="O82" i="1"/>
  <c r="F125" i="1"/>
  <c r="J135" i="1"/>
  <c r="L78" i="1"/>
  <c r="AX148" i="1"/>
  <c r="AY148" i="1" s="1"/>
  <c r="AZ161" i="1"/>
  <c r="BR134" i="1"/>
  <c r="BS134" i="1" s="1"/>
  <c r="AZ162" i="1"/>
  <c r="BA162" i="1" s="1"/>
  <c r="BT139" i="1"/>
  <c r="BP163" i="1"/>
  <c r="BQ163" i="1" s="1"/>
  <c r="BP81" i="1"/>
  <c r="BF133" i="1"/>
  <c r="BG133" i="1" s="1"/>
  <c r="AP154" i="1"/>
  <c r="AQ154" i="1" s="1"/>
  <c r="AX152" i="1"/>
  <c r="BR167" i="1"/>
  <c r="BF82" i="1"/>
  <c r="AZ160" i="1"/>
  <c r="BA160" i="1" s="1"/>
  <c r="BD143" i="1"/>
  <c r="BE143" i="1" s="1"/>
  <c r="AZ125" i="1"/>
  <c r="BA125" i="1" s="1"/>
  <c r="BN172" i="1"/>
  <c r="BO172" i="1" s="1"/>
  <c r="BF155" i="1"/>
  <c r="BG155" i="1" s="1"/>
  <c r="BT159" i="1"/>
  <c r="BU159" i="1" s="1"/>
  <c r="BN127" i="1"/>
  <c r="AX126" i="1"/>
  <c r="AY126" i="1" s="1"/>
  <c r="BW82" i="1"/>
  <c r="BN134" i="1"/>
  <c r="BO134" i="1" s="1"/>
  <c r="AX159" i="1"/>
  <c r="AY159" i="1" s="1"/>
  <c r="AP133" i="1"/>
  <c r="AQ133" i="1" s="1"/>
  <c r="AT139" i="1"/>
  <c r="AZ139" i="1"/>
  <c r="BF162" i="1"/>
  <c r="BG162" i="1" s="1"/>
  <c r="BR135" i="1"/>
  <c r="BS135" i="1" s="1"/>
  <c r="BD155" i="1"/>
  <c r="BE155" i="1" s="1"/>
  <c r="AP151" i="1"/>
  <c r="AQ151" i="1" s="1"/>
  <c r="AV143" i="1"/>
  <c r="AW143" i="1" s="1"/>
  <c r="BB143" i="1"/>
  <c r="BC143" i="1" s="1"/>
  <c r="AN125" i="1"/>
  <c r="AR172" i="1"/>
  <c r="AS172" i="1" s="1"/>
  <c r="AQ81" i="1"/>
  <c r="AT159" i="1"/>
  <c r="AU159" i="1" s="1"/>
  <c r="AX82" i="1"/>
  <c r="BA81" i="1"/>
  <c r="BF159" i="1"/>
  <c r="BG159" i="1" s="1"/>
  <c r="BN130" i="1"/>
  <c r="BO130" i="1" s="1"/>
  <c r="BP135" i="1"/>
  <c r="BQ135" i="1" s="1"/>
  <c r="BF132" i="1"/>
  <c r="BG132" i="1" s="1"/>
  <c r="BF171" i="1"/>
  <c r="BG171" i="1" s="1"/>
  <c r="AZ168" i="1"/>
  <c r="AW81" i="1"/>
  <c r="BP134" i="1"/>
  <c r="BQ134" i="1" s="1"/>
  <c r="BD160" i="1"/>
  <c r="BE160" i="1" s="1"/>
  <c r="BG81" i="1"/>
  <c r="AZ150" i="1"/>
  <c r="BA150" i="1" s="1"/>
  <c r="BD168" i="1"/>
  <c r="BT125" i="1"/>
  <c r="BU125" i="1" s="1"/>
  <c r="BN160" i="1"/>
  <c r="BO160" i="1" s="1"/>
  <c r="BD157" i="1"/>
  <c r="BE157" i="1" s="1"/>
  <c r="BT160" i="1"/>
  <c r="BU160" i="1" s="1"/>
  <c r="BM82" i="1"/>
  <c r="BN135" i="1"/>
  <c r="BO135" i="1" s="1"/>
  <c r="BR140" i="1"/>
  <c r="BP152" i="1"/>
  <c r="AT167" i="1"/>
  <c r="BF172" i="1"/>
  <c r="BG172" i="1" s="1"/>
  <c r="AZ143" i="1"/>
  <c r="BA143" i="1" s="1"/>
  <c r="BT154" i="1"/>
  <c r="BU154" i="1" s="1"/>
  <c r="BP132" i="1"/>
  <c r="BQ132" i="1" s="1"/>
  <c r="BP150" i="1"/>
  <c r="BQ150" i="1" s="1"/>
  <c r="BT82" i="1"/>
  <c r="AR151" i="1"/>
  <c r="AS151" i="1" s="1"/>
  <c r="BF126" i="1"/>
  <c r="BG126" i="1" s="1"/>
  <c r="AX81" i="1"/>
  <c r="AX155" i="1"/>
  <c r="AY155" i="1" s="1"/>
  <c r="AX160" i="1"/>
  <c r="AY160" i="1" s="1"/>
  <c r="BB132" i="1"/>
  <c r="BF125" i="1"/>
  <c r="BG125" i="1" s="1"/>
  <c r="AZ155" i="1"/>
  <c r="BA155" i="1" s="1"/>
  <c r="BP139" i="1"/>
  <c r="AV152" i="1"/>
  <c r="BW81" i="1"/>
  <c r="BN163" i="1"/>
  <c r="BO163" i="1" s="1"/>
  <c r="BR157" i="1"/>
  <c r="BS157" i="1" s="1"/>
  <c r="BP127" i="1"/>
  <c r="BR81" i="1"/>
  <c r="BB82" i="1"/>
  <c r="BD82" i="1"/>
  <c r="AT133" i="1"/>
  <c r="AU133" i="1" s="1"/>
  <c r="BN133" i="1"/>
  <c r="BO133" i="1" s="1"/>
  <c r="BB154" i="1"/>
  <c r="BC154" i="1" s="1"/>
  <c r="BF140" i="1"/>
  <c r="AT130" i="1"/>
  <c r="AU130" i="1" s="1"/>
  <c r="BB140" i="1"/>
  <c r="AN130" i="1"/>
  <c r="AO130" i="1" s="1"/>
  <c r="BB134" i="1"/>
  <c r="BC134" i="1" s="1"/>
  <c r="BP148" i="1"/>
  <c r="BQ148" i="1" s="1"/>
  <c r="AP148" i="1"/>
  <c r="AV148" i="1"/>
  <c r="AV158" i="1"/>
  <c r="AW158" i="1" s="1"/>
  <c r="AN126" i="1"/>
  <c r="AO126" i="1" s="1"/>
  <c r="AN82" i="1"/>
  <c r="BE82" i="1"/>
  <c r="AX130" i="1"/>
  <c r="AY130" i="1" s="1"/>
  <c r="AX168" i="1"/>
  <c r="BB127" i="1"/>
  <c r="AZ153" i="1"/>
  <c r="BT152" i="1"/>
  <c r="AP127" i="1"/>
  <c r="BR159" i="1"/>
  <c r="BS159" i="1" s="1"/>
  <c r="AT141" i="1"/>
  <c r="AX158" i="1"/>
  <c r="AY158" i="1" s="1"/>
  <c r="BN154" i="1"/>
  <c r="BO154" i="1" s="1"/>
  <c r="BN140" i="1"/>
  <c r="AY82" i="1"/>
  <c r="BR152" i="1"/>
  <c r="BB168" i="1"/>
  <c r="BD139" i="1"/>
  <c r="BT161" i="1"/>
  <c r="BA82" i="1"/>
  <c r="BR154" i="1"/>
  <c r="BS154" i="1" s="1"/>
  <c r="BB135" i="1"/>
  <c r="BC135" i="1" s="1"/>
  <c r="BP153" i="1"/>
  <c r="AT152" i="1"/>
  <c r="BC81" i="1"/>
  <c r="BD159" i="1"/>
  <c r="BE159" i="1" s="1"/>
  <c r="BR153" i="1"/>
  <c r="BT167" i="1"/>
  <c r="AV157" i="1"/>
  <c r="AW157" i="1" s="1"/>
  <c r="BN150" i="1"/>
  <c r="BO150" i="1" s="1"/>
  <c r="AZ152" i="1"/>
  <c r="AP132" i="1"/>
  <c r="AQ132" i="1" s="1"/>
  <c r="BP125" i="1"/>
  <c r="BQ125" i="1" s="1"/>
  <c r="BD134" i="1"/>
  <c r="BE134" i="1" s="1"/>
  <c r="BP140" i="1"/>
  <c r="AP158" i="1"/>
  <c r="AQ158" i="1" s="1"/>
  <c r="BD172" i="1"/>
  <c r="BE172" i="1" s="1"/>
  <c r="AV167" i="1"/>
  <c r="AV125" i="1"/>
  <c r="AW125" i="1" s="1"/>
  <c r="AR127" i="1"/>
  <c r="AR150" i="1"/>
  <c r="AS150" i="1" s="1"/>
  <c r="AZ148" i="1"/>
  <c r="BA148" i="1" s="1"/>
  <c r="AP171" i="1"/>
  <c r="AQ171" i="1" s="1"/>
  <c r="AP150" i="1"/>
  <c r="AN145" i="1"/>
  <c r="AO145" i="1" s="1"/>
  <c r="AV133" i="1"/>
  <c r="AW133" i="1" s="1"/>
  <c r="AV134" i="1"/>
  <c r="AW134" i="1" s="1"/>
  <c r="AR162" i="1"/>
  <c r="AS162" i="1" s="1"/>
  <c r="AV141" i="1"/>
  <c r="AR126" i="1"/>
  <c r="AS126" i="1" s="1"/>
  <c r="AR160" i="1"/>
  <c r="AS160" i="1" s="1"/>
  <c r="BP167" i="1"/>
  <c r="AN158" i="1"/>
  <c r="AO158" i="1" s="1"/>
  <c r="AR132" i="1"/>
  <c r="AN168" i="1"/>
  <c r="AV172" i="1"/>
  <c r="AW172" i="1" s="1"/>
  <c r="AR161" i="1"/>
  <c r="AN134" i="1"/>
  <c r="AO134" i="1" s="1"/>
  <c r="AR130" i="1"/>
  <c r="AS130" i="1" s="1"/>
  <c r="AR154" i="1"/>
  <c r="AS154" i="1" s="1"/>
  <c r="BB139" i="1"/>
  <c r="AV81" i="1"/>
  <c r="AU81" i="1"/>
  <c r="AR168" i="1"/>
  <c r="AV161" i="1"/>
  <c r="AT157" i="1"/>
  <c r="AU157" i="1" s="1"/>
  <c r="AT161" i="1"/>
  <c r="AR81" i="1"/>
  <c r="BO82" i="1"/>
  <c r="BT148" i="1"/>
  <c r="AP141" i="1"/>
  <c r="BF158" i="1"/>
  <c r="BG158" i="1" s="1"/>
  <c r="BN81" i="1"/>
  <c r="AV168" i="1"/>
  <c r="AR152" i="1"/>
  <c r="BP157" i="1"/>
  <c r="BQ157" i="1" s="1"/>
  <c r="AV159" i="1"/>
  <c r="AW159" i="1" s="1"/>
  <c r="BT135" i="1"/>
  <c r="BU135" i="1" s="1"/>
  <c r="AR155" i="1"/>
  <c r="AS155" i="1" s="1"/>
  <c r="BB153" i="1"/>
  <c r="AT126" i="1"/>
  <c r="AU126" i="1" s="1"/>
  <c r="BO81" i="1"/>
  <c r="AX171" i="1"/>
  <c r="AY171" i="1" s="1"/>
  <c r="BB148" i="1"/>
  <c r="BC148" i="1" s="1"/>
  <c r="BD125" i="1"/>
  <c r="BR143" i="1"/>
  <c r="BS143" i="1" s="1"/>
  <c r="BB161" i="1"/>
  <c r="BF168" i="1"/>
  <c r="BP161" i="1"/>
  <c r="AX163" i="1"/>
  <c r="AY163" i="1" s="1"/>
  <c r="BN167" i="1"/>
  <c r="AZ134" i="1"/>
  <c r="BA134" i="1" s="1"/>
  <c r="AX139" i="1"/>
  <c r="BN152" i="1"/>
  <c r="BR126" i="1"/>
  <c r="BS126" i="1" s="1"/>
  <c r="BF153" i="1"/>
  <c r="BS81" i="1"/>
  <c r="BQ82" i="1"/>
  <c r="AT143" i="1"/>
  <c r="AU143" i="1" s="1"/>
  <c r="AT134" i="1"/>
  <c r="AU134" i="1" s="1"/>
  <c r="AZ130" i="1"/>
  <c r="BA130" i="1" s="1"/>
  <c r="BD171" i="1"/>
  <c r="BE171" i="1" s="1"/>
  <c r="BD130" i="1"/>
  <c r="BE130" i="1" s="1"/>
  <c r="BT127" i="1"/>
  <c r="BB162" i="1"/>
  <c r="BC162" i="1" s="1"/>
  <c r="BF139" i="1"/>
  <c r="AX127" i="1"/>
  <c r="AX143" i="1"/>
  <c r="AY143" i="1" s="1"/>
  <c r="AX153" i="1"/>
  <c r="AX188" i="1" s="1"/>
  <c r="AY188" i="1" s="1"/>
  <c r="AZ141" i="1"/>
  <c r="AZ163" i="1"/>
  <c r="BA163" i="1" s="1"/>
  <c r="BF161" i="1"/>
  <c r="BF143" i="1"/>
  <c r="BG143" i="1" s="1"/>
  <c r="BD158" i="1"/>
  <c r="BE158" i="1" s="1"/>
  <c r="BN158" i="1"/>
  <c r="BO158" i="1" s="1"/>
  <c r="AQ82" i="1"/>
  <c r="BR82" i="1"/>
  <c r="AZ135" i="1"/>
  <c r="BA135" i="1" s="1"/>
  <c r="BD154" i="1"/>
  <c r="BE154" i="1" s="1"/>
  <c r="BD132" i="1"/>
  <c r="BE132" i="1" s="1"/>
  <c r="BT143" i="1"/>
  <c r="BU143" i="1" s="1"/>
  <c r="BP82" i="1"/>
  <c r="AV162" i="1"/>
  <c r="AW162" i="1" s="1"/>
  <c r="BN82" i="1"/>
  <c r="BR172" i="1"/>
  <c r="BS172" i="1" s="1"/>
  <c r="AN172" i="1"/>
  <c r="AO172" i="1" s="1"/>
  <c r="AT158" i="1"/>
  <c r="AO81" i="1"/>
  <c r="AX157" i="1"/>
  <c r="AX140" i="1"/>
  <c r="AX145" i="1"/>
  <c r="AY145" i="1" s="1"/>
  <c r="BE81" i="1"/>
  <c r="BN141" i="1"/>
  <c r="BN171" i="1"/>
  <c r="BO171" i="1" s="1"/>
  <c r="BN132" i="1"/>
  <c r="BN153" i="1"/>
  <c r="BN162" i="1"/>
  <c r="BO162" i="1" s="1"/>
  <c r="AY81" i="1"/>
  <c r="BR150" i="1"/>
  <c r="BS150" i="1" s="1"/>
  <c r="BB157" i="1"/>
  <c r="BC157" i="1" s="1"/>
  <c r="BB159" i="1"/>
  <c r="BC159" i="1" s="1"/>
  <c r="AZ159" i="1"/>
  <c r="BA159" i="1" s="1"/>
  <c r="BF150" i="1"/>
  <c r="BG150" i="1" s="1"/>
  <c r="BD153" i="1"/>
  <c r="BT162" i="1"/>
  <c r="BU162" i="1" s="1"/>
  <c r="BT168" i="1"/>
  <c r="BP151" i="1"/>
  <c r="BQ151" i="1" s="1"/>
  <c r="BP159" i="1"/>
  <c r="BQ159" i="1" s="1"/>
  <c r="AP126" i="1"/>
  <c r="AQ126" i="1" s="1"/>
  <c r="AZ126" i="1"/>
  <c r="BA126" i="1" s="1"/>
  <c r="AX134" i="1"/>
  <c r="AY134" i="1" s="1"/>
  <c r="AX150" i="1"/>
  <c r="AY150" i="1" s="1"/>
  <c r="BN155" i="1"/>
  <c r="BO155" i="1" s="1"/>
  <c r="BR141" i="1"/>
  <c r="BR163" i="1"/>
  <c r="BS163" i="1" s="1"/>
  <c r="BR158" i="1"/>
  <c r="BS158" i="1" s="1"/>
  <c r="BB130" i="1"/>
  <c r="BC130" i="1" s="1"/>
  <c r="AZ140" i="1"/>
  <c r="AP157" i="1"/>
  <c r="AQ157" i="1" s="1"/>
  <c r="AW82" i="1"/>
  <c r="AS81" i="1"/>
  <c r="AT135" i="1"/>
  <c r="AU135" i="1" s="1"/>
  <c r="AT153" i="1"/>
  <c r="AT163" i="1"/>
  <c r="AU163" i="1" s="1"/>
  <c r="AT154" i="1"/>
  <c r="AU154" i="1" s="1"/>
  <c r="AT162" i="1"/>
  <c r="AU162" i="1" s="1"/>
  <c r="AT125" i="1"/>
  <c r="BB158" i="1"/>
  <c r="BC158" i="1" s="1"/>
  <c r="AZ171" i="1"/>
  <c r="BA171" i="1" s="1"/>
  <c r="AZ158" i="1"/>
  <c r="BA158" i="1" s="1"/>
  <c r="BF127" i="1"/>
  <c r="BD127" i="1"/>
  <c r="BD148" i="1"/>
  <c r="BE148" i="1" s="1"/>
  <c r="AP82" i="1"/>
  <c r="BG82" i="1"/>
  <c r="BF130" i="1"/>
  <c r="BG130" i="1" s="1"/>
  <c r="AZ172" i="1"/>
  <c r="BA172" i="1" s="1"/>
  <c r="BF148" i="1"/>
  <c r="BG148" i="1" s="1"/>
  <c r="BD150" i="1"/>
  <c r="BE150" i="1" s="1"/>
  <c r="BP130" i="1"/>
  <c r="BQ130" i="1" s="1"/>
  <c r="AP130" i="1"/>
  <c r="AQ130" i="1" s="1"/>
  <c r="AT151" i="1"/>
  <c r="AU151" i="1" s="1"/>
  <c r="AT127" i="1"/>
  <c r="BN161" i="1"/>
  <c r="BB141" i="1"/>
  <c r="BB150" i="1"/>
  <c r="BC150" i="1" s="1"/>
  <c r="AZ157" i="1"/>
  <c r="BA157" i="1" s="1"/>
  <c r="BP154" i="1"/>
  <c r="BQ154" i="1" s="1"/>
  <c r="AN154" i="1"/>
  <c r="AO154" i="1" s="1"/>
  <c r="BT153" i="1"/>
  <c r="BD161" i="1"/>
  <c r="BF134" i="1"/>
  <c r="BG134" i="1" s="1"/>
  <c r="BT158" i="1"/>
  <c r="BU158" i="1" s="1"/>
  <c r="AN167" i="1"/>
  <c r="AZ145" i="1"/>
  <c r="BA145" i="1" s="1"/>
  <c r="AP134" i="1"/>
  <c r="AQ134" i="1" s="1"/>
  <c r="AP152" i="1"/>
  <c r="AN160" i="1"/>
  <c r="AO160" i="1" s="1"/>
  <c r="BP133" i="1"/>
  <c r="BQ133" i="1" s="1"/>
  <c r="AV154" i="1"/>
  <c r="AW154" i="1" s="1"/>
  <c r="AR133" i="1"/>
  <c r="AS133" i="1" s="1"/>
  <c r="AR82" i="1"/>
  <c r="BT155" i="1"/>
  <c r="BU155" i="1" s="1"/>
  <c r="BP160" i="1"/>
  <c r="BQ160" i="1" s="1"/>
  <c r="AN171" i="1"/>
  <c r="AO171" i="1" s="1"/>
  <c r="AV82" i="1"/>
  <c r="AP135" i="1"/>
  <c r="AQ135" i="1" s="1"/>
  <c r="AV126" i="1"/>
  <c r="AW126" i="1" s="1"/>
  <c r="AV171" i="1"/>
  <c r="AW171" i="1" s="1"/>
  <c r="AR125" i="1"/>
  <c r="AV132" i="1"/>
  <c r="BD81" i="1"/>
  <c r="AP161" i="1"/>
  <c r="BP141" i="1"/>
  <c r="AN155" i="1"/>
  <c r="AO155" i="1" s="1"/>
  <c r="AR145" i="1"/>
  <c r="AS145" i="1" s="1"/>
  <c r="AS82" i="1"/>
  <c r="AR158" i="1"/>
  <c r="AS158" i="1" s="1"/>
  <c r="AP168" i="1"/>
  <c r="AN162" i="1"/>
  <c r="AO162" i="1" s="1"/>
  <c r="AV135" i="1"/>
  <c r="AW135" i="1" s="1"/>
  <c r="BP162" i="1"/>
  <c r="BQ162" i="1" s="1"/>
  <c r="AN159" i="1"/>
  <c r="AO159" i="1" s="1"/>
  <c r="AN143" i="1"/>
  <c r="AO143" i="1" s="1"/>
  <c r="AR135" i="1"/>
  <c r="AS135" i="1" s="1"/>
  <c r="AV160" i="1"/>
  <c r="AW160" i="1" s="1"/>
  <c r="BQ81" i="1"/>
  <c r="BS82" i="1"/>
  <c r="AR157" i="1"/>
  <c r="AS157" i="1" s="1"/>
  <c r="AP81" i="1"/>
  <c r="BR132" i="1"/>
  <c r="BS132" i="1" s="1"/>
  <c r="AV150" i="1"/>
  <c r="AW150" i="1" s="1"/>
  <c r="AN151" i="1"/>
  <c r="AO151" i="1" s="1"/>
  <c r="AN140" i="1"/>
  <c r="AR171" i="1"/>
  <c r="AS171" i="1" s="1"/>
  <c r="AV153" i="1"/>
  <c r="AN150" i="1"/>
  <c r="AR134" i="1"/>
  <c r="AS134" i="1" s="1"/>
  <c r="AX161" i="1"/>
  <c r="BB81" i="1"/>
  <c r="AZ154" i="1"/>
  <c r="BA154" i="1" s="1"/>
  <c r="BD167" i="1"/>
  <c r="BR162" i="1"/>
  <c r="BS162" i="1" s="1"/>
  <c r="BT140" i="1"/>
  <c r="AX125" i="1"/>
  <c r="AX162" i="1"/>
  <c r="AY162" i="1" s="1"/>
  <c r="BB133" i="1"/>
  <c r="BC133" i="1" s="1"/>
  <c r="BF152" i="1"/>
  <c r="BT133" i="1"/>
  <c r="BU133" i="1" s="1"/>
  <c r="AX132" i="1"/>
  <c r="BR148" i="1"/>
  <c r="BT132" i="1"/>
  <c r="AP163" i="1"/>
  <c r="AQ163" i="1" s="1"/>
  <c r="AT172" i="1"/>
  <c r="AU172" i="1" s="1"/>
  <c r="AT160" i="1"/>
  <c r="AU160" i="1" s="1"/>
  <c r="BC82" i="1"/>
  <c r="AZ132" i="1"/>
  <c r="BA132" i="1" s="1"/>
  <c r="BF160" i="1"/>
  <c r="BG160" i="1" s="1"/>
  <c r="BD152" i="1"/>
  <c r="AT82" i="1"/>
  <c r="BB152" i="1"/>
  <c r="BT163" i="1"/>
  <c r="BU163" i="1" s="1"/>
  <c r="BB155" i="1"/>
  <c r="BC155" i="1" s="1"/>
  <c r="AN148" i="1"/>
  <c r="BP158" i="1"/>
  <c r="BQ158" i="1" s="1"/>
  <c r="AN141" i="1"/>
  <c r="BT81" i="1"/>
  <c r="AP153" i="1"/>
  <c r="AV139" i="1"/>
  <c r="BD135" i="1"/>
  <c r="BE135" i="1" s="1"/>
  <c r="AX167" i="1"/>
  <c r="AX172" i="1"/>
  <c r="AY172" i="1" s="1"/>
  <c r="AX133" i="1"/>
  <c r="AY133" i="1" s="1"/>
  <c r="BB171" i="1"/>
  <c r="BC171" i="1" s="1"/>
  <c r="BU81" i="1"/>
  <c r="AZ82" i="1"/>
  <c r="BF154" i="1"/>
  <c r="BG154" i="1" s="1"/>
  <c r="BF135" i="1"/>
  <c r="BG135" i="1" s="1"/>
  <c r="BD141" i="1"/>
  <c r="BN148" i="1"/>
  <c r="BR160" i="1"/>
  <c r="BS160" i="1" s="1"/>
  <c r="BR127" i="1"/>
  <c r="BR133" i="1"/>
  <c r="BS133" i="1" s="1"/>
  <c r="BR125" i="1"/>
  <c r="BB172" i="1"/>
  <c r="BC172" i="1" s="1"/>
  <c r="AZ127" i="1"/>
  <c r="BF157" i="1"/>
  <c r="BG157" i="1" s="1"/>
  <c r="BD126" i="1"/>
  <c r="BE126" i="1" s="1"/>
  <c r="BT172" i="1"/>
  <c r="BU172" i="1" s="1"/>
  <c r="BP168" i="1"/>
  <c r="AP140" i="1"/>
  <c r="AV140" i="1"/>
  <c r="BN139" i="1"/>
  <c r="BR155" i="1"/>
  <c r="BS155" i="1" s="1"/>
  <c r="AX141" i="1"/>
  <c r="AX154" i="1"/>
  <c r="AY154" i="1" s="1"/>
  <c r="BN168" i="1"/>
  <c r="BN126" i="1"/>
  <c r="BO126" i="1" s="1"/>
  <c r="BN157" i="1"/>
  <c r="BO157" i="1" s="1"/>
  <c r="BR168" i="1"/>
  <c r="BR130" i="1"/>
  <c r="BS130" i="1" s="1"/>
  <c r="BB167" i="1"/>
  <c r="BF141" i="1"/>
  <c r="BT126" i="1"/>
  <c r="BU126" i="1" s="1"/>
  <c r="BP171" i="1"/>
  <c r="BQ171" i="1" s="1"/>
  <c r="BP155" i="1"/>
  <c r="BQ155" i="1" s="1"/>
  <c r="BM81" i="1"/>
  <c r="AX135" i="1"/>
  <c r="AY135" i="1" s="1"/>
  <c r="BN159" i="1"/>
  <c r="BO159" i="1" s="1"/>
  <c r="BN125" i="1"/>
  <c r="BO125" i="1" s="1"/>
  <c r="BR139" i="1"/>
  <c r="BR171" i="1"/>
  <c r="BS171" i="1" s="1"/>
  <c r="BR161" i="1"/>
  <c r="BB163" i="1"/>
  <c r="BC163" i="1" s="1"/>
  <c r="AZ167" i="1"/>
  <c r="BD163" i="1"/>
  <c r="BE163" i="1" s="1"/>
  <c r="BT141" i="1"/>
  <c r="AP159" i="1"/>
  <c r="AQ159" i="1" s="1"/>
  <c r="AT148" i="1"/>
  <c r="AU148" i="1" s="1"/>
  <c r="AT168" i="1"/>
  <c r="AT132" i="1"/>
  <c r="AU132" i="1" s="1"/>
  <c r="AT150" i="1"/>
  <c r="BN143" i="1"/>
  <c r="BO143" i="1" s="1"/>
  <c r="BB160" i="1"/>
  <c r="BC160" i="1" s="1"/>
  <c r="BU82" i="1"/>
  <c r="AZ133" i="1"/>
  <c r="BA133" i="1" s="1"/>
  <c r="BF163" i="1"/>
  <c r="BG163" i="1" s="1"/>
  <c r="BP126" i="1"/>
  <c r="BQ126" i="1" s="1"/>
  <c r="BF167" i="1"/>
  <c r="BF81" i="1"/>
  <c r="BD133" i="1"/>
  <c r="BE133" i="1" s="1"/>
  <c r="BT130" i="1"/>
  <c r="BU130" i="1" s="1"/>
  <c r="AP160" i="1"/>
  <c r="AQ160" i="1" s="1"/>
  <c r="AT171" i="1"/>
  <c r="AU171" i="1" s="1"/>
  <c r="AT155" i="1"/>
  <c r="AU155" i="1" s="1"/>
  <c r="BT134" i="1"/>
  <c r="BU134" i="1" s="1"/>
  <c r="AU82" i="1"/>
  <c r="BB126" i="1"/>
  <c r="BC126" i="1" s="1"/>
  <c r="AZ81" i="1"/>
  <c r="BT150" i="1"/>
  <c r="BU150" i="1" s="1"/>
  <c r="AP172" i="1"/>
  <c r="AQ172" i="1" s="1"/>
  <c r="BB125" i="1"/>
  <c r="AN153" i="1"/>
  <c r="BD162" i="1"/>
  <c r="BE162" i="1" s="1"/>
  <c r="BT171" i="1"/>
  <c r="BU171" i="1" s="1"/>
  <c r="BP143" i="1"/>
  <c r="BQ143" i="1" s="1"/>
  <c r="AP143" i="1"/>
  <c r="AQ143" i="1" s="1"/>
  <c r="AN132" i="1"/>
  <c r="BP172" i="1"/>
  <c r="BQ172" i="1" s="1"/>
  <c r="AP125" i="1"/>
  <c r="AQ125" i="1" s="1"/>
  <c r="AN127" i="1"/>
  <c r="AV130" i="1"/>
  <c r="AW130" i="1" s="1"/>
  <c r="AR143" i="1"/>
  <c r="AS143" i="1" s="1"/>
  <c r="AR148" i="1"/>
  <c r="AS148" i="1" s="1"/>
  <c r="AR141" i="1"/>
  <c r="AP167" i="1"/>
  <c r="AP155" i="1"/>
  <c r="AQ155" i="1" s="1"/>
  <c r="AN161" i="1"/>
  <c r="AV163" i="1"/>
  <c r="AW163" i="1" s="1"/>
  <c r="AP139" i="1"/>
  <c r="AR140" i="1"/>
  <c r="AR139" i="1"/>
  <c r="AR167" i="1"/>
  <c r="BD140" i="1"/>
  <c r="AN152" i="1"/>
  <c r="AV127" i="1"/>
  <c r="AR153" i="1"/>
  <c r="BT157" i="1"/>
  <c r="BU157" i="1" s="1"/>
  <c r="AN157" i="1"/>
  <c r="AO157" i="1" s="1"/>
  <c r="AR163" i="1"/>
  <c r="AS163" i="1" s="1"/>
  <c r="AP162" i="1"/>
  <c r="AQ162" i="1" s="1"/>
  <c r="AN135" i="1"/>
  <c r="AO135" i="1" s="1"/>
  <c r="AN163" i="1"/>
  <c r="AO163" i="1" s="1"/>
  <c r="AR159" i="1"/>
  <c r="AS159" i="1" s="1"/>
  <c r="AT140" i="1"/>
  <c r="AT81" i="1"/>
  <c r="AN81" i="1"/>
  <c r="AN133" i="1"/>
  <c r="AO133" i="1" s="1"/>
  <c r="AO82" i="1"/>
  <c r="AV155" i="1"/>
  <c r="AW155" i="1" s="1"/>
  <c r="AV145" i="1"/>
  <c r="AW145" i="1" s="1"/>
  <c r="AV151" i="1"/>
  <c r="AP145" i="1"/>
  <c r="AQ145" i="1" s="1"/>
  <c r="BF145" i="1"/>
  <c r="BG145" i="1" s="1"/>
  <c r="AT145" i="1"/>
  <c r="AU145" i="1" s="1"/>
  <c r="BP145" i="1"/>
  <c r="BQ145" i="1" s="1"/>
  <c r="BD145" i="1"/>
  <c r="BE145" i="1" s="1"/>
  <c r="BN145" i="1"/>
  <c r="BO145" i="1" s="1"/>
  <c r="BR145" i="1"/>
  <c r="BS145" i="1" s="1"/>
  <c r="BT145" i="1"/>
  <c r="BU145" i="1" s="1"/>
  <c r="BB145" i="1"/>
  <c r="BC145" i="1" s="1"/>
  <c r="BT151" i="1"/>
  <c r="BB151" i="1"/>
  <c r="BF151" i="1"/>
  <c r="AX151" i="1"/>
  <c r="BD151" i="1"/>
  <c r="AZ151" i="1"/>
  <c r="BR151" i="1"/>
  <c r="BN151" i="1"/>
  <c r="AP202" i="1"/>
  <c r="AY260" i="1"/>
  <c r="BQ239" i="1"/>
  <c r="BB202" i="1"/>
  <c r="BM239" i="1"/>
  <c r="AY261" i="1"/>
  <c r="R78" i="1"/>
  <c r="K78" i="1"/>
  <c r="AY239" i="1"/>
  <c r="AQ202" i="1"/>
  <c r="AX239" i="1"/>
  <c r="BA202" i="1"/>
  <c r="AS202" i="1"/>
  <c r="BS261" i="1"/>
  <c r="Q78" i="1"/>
  <c r="H78" i="1"/>
  <c r="F78" i="1"/>
  <c r="V78" i="1"/>
  <c r="O77" i="1"/>
  <c r="CQ142" i="1"/>
  <c r="DB85" i="1"/>
  <c r="CY73" i="1"/>
  <c r="CZ71" i="1"/>
  <c r="S78" i="1"/>
  <c r="T78" i="1"/>
  <c r="M78" i="1"/>
  <c r="I78" i="1"/>
  <c r="AZ260" i="1" l="1"/>
  <c r="J210" i="1"/>
  <c r="B169" i="1"/>
  <c r="C217" i="1" s="1"/>
  <c r="R169" i="1"/>
  <c r="BS106" i="1"/>
  <c r="BS107" i="1" s="1"/>
  <c r="BR260" i="1"/>
  <c r="AV261" i="1"/>
  <c r="BW210" i="1"/>
  <c r="O76" i="1"/>
  <c r="AS260" i="1"/>
  <c r="AS18" i="1"/>
  <c r="BA260" i="1"/>
  <c r="K156" i="1"/>
  <c r="Q181" i="1"/>
  <c r="D73" i="1"/>
  <c r="BI150" i="1"/>
  <c r="AP18" i="1"/>
  <c r="AI191" i="1"/>
  <c r="AI193" i="1"/>
  <c r="AI190" i="1"/>
  <c r="AN202" i="1"/>
  <c r="AN41" i="1"/>
  <c r="BA18" i="1"/>
  <c r="AL106" i="1"/>
  <c r="AL107" i="1" s="1"/>
  <c r="AL112" i="1" s="1"/>
  <c r="AX260" i="1"/>
  <c r="BI18" i="1"/>
  <c r="K95" i="1"/>
  <c r="AI188" i="1"/>
  <c r="BM41" i="1"/>
  <c r="BP261" i="1"/>
  <c r="AR260" i="1"/>
  <c r="BU202" i="1"/>
  <c r="BK41" i="1"/>
  <c r="BK239" i="1"/>
  <c r="BM106" i="1"/>
  <c r="BM107" i="1" s="1"/>
  <c r="BM260" i="1"/>
  <c r="AV260" i="1"/>
  <c r="BV142" i="1"/>
  <c r="AU260" i="1"/>
  <c r="BA261" i="1"/>
  <c r="AI187" i="1"/>
  <c r="AI239" i="1"/>
  <c r="AS261" i="1"/>
  <c r="H93" i="1"/>
  <c r="H94" i="1"/>
  <c r="M111" i="1"/>
  <c r="S94" i="1"/>
  <c r="I94" i="1"/>
  <c r="C73" i="1"/>
  <c r="V210" i="1"/>
  <c r="H142" i="1"/>
  <c r="BQ34" i="1"/>
  <c r="BQ11" i="1" s="1"/>
  <c r="BH34" i="1"/>
  <c r="AP260" i="1"/>
  <c r="BP260" i="1"/>
  <c r="E181" i="1"/>
  <c r="BR261" i="1"/>
  <c r="BD34" i="1"/>
  <c r="BN260" i="1"/>
  <c r="Q210" i="1"/>
  <c r="N169" i="1"/>
  <c r="O217" i="1" s="1"/>
  <c r="BI81" i="1"/>
  <c r="BK81" i="1"/>
  <c r="BI82" i="1"/>
  <c r="BK82" i="1"/>
  <c r="BI260" i="1"/>
  <c r="BS18" i="1"/>
  <c r="BE261" i="1"/>
  <c r="P97" i="1"/>
  <c r="JI21" i="4"/>
  <c r="CC85" i="1" s="1"/>
  <c r="IW9" i="4"/>
  <c r="IW21" i="4" s="1"/>
  <c r="BQ85" i="1" s="1"/>
  <c r="BU260" i="1"/>
  <c r="R210" i="1"/>
  <c r="U128" i="1"/>
  <c r="AV18" i="1"/>
  <c r="K210" i="1"/>
  <c r="S142" i="1"/>
  <c r="D115" i="1"/>
  <c r="G181" i="1"/>
  <c r="R156" i="1"/>
  <c r="P142" i="1"/>
  <c r="K181" i="1"/>
  <c r="K169" i="1"/>
  <c r="V169" i="1"/>
  <c r="W217" i="1" s="1"/>
  <c r="D169" i="1"/>
  <c r="W136" i="1"/>
  <c r="V181" i="1"/>
  <c r="V156" i="1"/>
  <c r="Q128" i="1"/>
  <c r="T128" i="1"/>
  <c r="I156" i="1"/>
  <c r="I190" i="1" s="1"/>
  <c r="I189" i="1" s="1"/>
  <c r="BB34" i="1"/>
  <c r="AP188" i="1"/>
  <c r="AQ188" i="1" s="1"/>
  <c r="AN139" i="1"/>
  <c r="BK18" i="1"/>
  <c r="AW261" i="1"/>
  <c r="BH188" i="1"/>
  <c r="BI188" i="1" s="1"/>
  <c r="AY106" i="1"/>
  <c r="AY107" i="1" s="1"/>
  <c r="BB239" i="1"/>
  <c r="BB18" i="1"/>
  <c r="BF239" i="1"/>
  <c r="BC261" i="1"/>
  <c r="BT18" i="1"/>
  <c r="AW239" i="1"/>
  <c r="M112" i="1"/>
  <c r="AW34" i="1"/>
  <c r="AW35" i="1" s="1"/>
  <c r="AX34" i="1"/>
  <c r="BE18" i="1"/>
  <c r="AM56" i="1"/>
  <c r="BC260" i="1"/>
  <c r="AO260" i="1"/>
  <c r="T142" i="1"/>
  <c r="T41" i="1" s="1"/>
  <c r="AI45" i="1"/>
  <c r="R128" i="1"/>
  <c r="R100" i="1" s="1"/>
  <c r="J181" i="1"/>
  <c r="J142" i="1"/>
  <c r="O164" i="1"/>
  <c r="L169" i="1"/>
  <c r="F142" i="1"/>
  <c r="V142" i="1"/>
  <c r="U210" i="1"/>
  <c r="I210" i="1"/>
  <c r="H156" i="1"/>
  <c r="C164" i="1"/>
  <c r="AX187" i="1"/>
  <c r="AV191" i="1"/>
  <c r="AT188" i="1"/>
  <c r="AU188" i="1" s="1"/>
  <c r="BN191" i="1"/>
  <c r="BO191" i="1" s="1"/>
  <c r="BD191" i="1"/>
  <c r="BE191" i="1" s="1"/>
  <c r="BU8" i="1"/>
  <c r="BU239" i="1"/>
  <c r="BR8" i="1"/>
  <c r="BR239" i="1"/>
  <c r="T111" i="1"/>
  <c r="T94" i="1"/>
  <c r="T97" i="1"/>
  <c r="T115" i="1"/>
  <c r="W111" i="1"/>
  <c r="W115" i="1"/>
  <c r="U111" i="1"/>
  <c r="U115" i="1"/>
  <c r="U94" i="1"/>
  <c r="G112" i="1"/>
  <c r="G95" i="1"/>
  <c r="G116" i="1"/>
  <c r="H97" i="1"/>
  <c r="H111" i="1"/>
  <c r="P115" i="1"/>
  <c r="P111" i="1"/>
  <c r="P94" i="1"/>
  <c r="N112" i="1"/>
  <c r="N116" i="1"/>
  <c r="G93" i="1"/>
  <c r="G110" i="1"/>
  <c r="W116" i="1"/>
  <c r="W112" i="1"/>
  <c r="T93" i="1"/>
  <c r="T110" i="1"/>
  <c r="N93" i="1"/>
  <c r="N110" i="1"/>
  <c r="L95" i="1"/>
  <c r="L116" i="1"/>
  <c r="L112" i="1"/>
  <c r="T95" i="1"/>
  <c r="T116" i="1"/>
  <c r="T112" i="1"/>
  <c r="S111" i="1"/>
  <c r="S97" i="1"/>
  <c r="S115" i="1"/>
  <c r="P93" i="1"/>
  <c r="P110" i="1"/>
  <c r="Q116" i="1"/>
  <c r="Q112" i="1"/>
  <c r="J93" i="1"/>
  <c r="J110" i="1"/>
  <c r="BV191" i="1"/>
  <c r="BW191" i="1" s="1"/>
  <c r="AP261" i="1"/>
  <c r="BD18" i="1"/>
  <c r="BE196" i="1" s="1"/>
  <c r="AQ260" i="1"/>
  <c r="AQ18" i="1"/>
  <c r="BR34" i="1"/>
  <c r="BR11" i="1" s="1"/>
  <c r="BU261" i="1"/>
  <c r="BK261" i="1"/>
  <c r="AU34" i="1"/>
  <c r="AT260" i="1"/>
  <c r="BB260" i="1"/>
  <c r="BC34" i="1"/>
  <c r="AI34" i="1"/>
  <c r="BH128" i="1"/>
  <c r="BH100" i="1" s="1"/>
  <c r="F210" i="1"/>
  <c r="AZ261" i="1"/>
  <c r="AT18" i="1"/>
  <c r="AT20" i="1" s="1"/>
  <c r="AW24" i="1"/>
  <c r="AY34" i="1"/>
  <c r="AY35" i="1" s="1"/>
  <c r="I164" i="1"/>
  <c r="AO106" i="1"/>
  <c r="AO107" i="1" s="1"/>
  <c r="L136" i="1"/>
  <c r="C210" i="1"/>
  <c r="Q156" i="1"/>
  <c r="T169" i="1"/>
  <c r="P181" i="1"/>
  <c r="M142" i="1"/>
  <c r="N136" i="1"/>
  <c r="G210" i="1"/>
  <c r="N142" i="1"/>
  <c r="BV188" i="1"/>
  <c r="BW188" i="1" s="1"/>
  <c r="BH169" i="1"/>
  <c r="J128" i="1"/>
  <c r="F156" i="1"/>
  <c r="L128" i="1"/>
  <c r="L100" i="1" s="1"/>
  <c r="L102" i="1" s="1"/>
  <c r="J169" i="1"/>
  <c r="BP34" i="1"/>
  <c r="BP11" i="1" s="1"/>
  <c r="BJ36" i="1"/>
  <c r="BR18" i="1"/>
  <c r="BH142" i="1"/>
  <c r="C136" i="1"/>
  <c r="P164" i="1"/>
  <c r="C181" i="1"/>
  <c r="B73" i="1"/>
  <c r="G142" i="1"/>
  <c r="D128" i="1"/>
  <c r="D183" i="1" s="1"/>
  <c r="I128" i="1"/>
  <c r="U181" i="1"/>
  <c r="Q136" i="1"/>
  <c r="G156" i="1"/>
  <c r="Q169" i="1"/>
  <c r="S181" i="1"/>
  <c r="D136" i="1"/>
  <c r="H136" i="1"/>
  <c r="AN260" i="1"/>
  <c r="BW136" i="1"/>
  <c r="I142" i="1"/>
  <c r="P128" i="1"/>
  <c r="L164" i="1"/>
  <c r="U164" i="1"/>
  <c r="AV187" i="1"/>
  <c r="AW187" i="1" s="1"/>
  <c r="BR187" i="1"/>
  <c r="BS187" i="1" s="1"/>
  <c r="BR188" i="1"/>
  <c r="BS188" i="1" s="1"/>
  <c r="AT191" i="1"/>
  <c r="AU191" i="1" s="1"/>
  <c r="BB188" i="1"/>
  <c r="BC188" i="1" s="1"/>
  <c r="BB191" i="1"/>
  <c r="BC191" i="1" s="1"/>
  <c r="BN187" i="1"/>
  <c r="BO187" i="1" s="1"/>
  <c r="BF188" i="1"/>
  <c r="BG188" i="1" s="1"/>
  <c r="BF191" i="1"/>
  <c r="BG191" i="1" s="1"/>
  <c r="BN188" i="1"/>
  <c r="BO188" i="1" s="1"/>
  <c r="BH210" i="1"/>
  <c r="E156" i="1"/>
  <c r="AP187" i="1"/>
  <c r="AQ187" i="1" s="1"/>
  <c r="AP191" i="1"/>
  <c r="AQ191" i="1" s="1"/>
  <c r="AV188" i="1"/>
  <c r="AW188" i="1" s="1"/>
  <c r="AX191" i="1"/>
  <c r="AY191" i="1" s="1"/>
  <c r="BF187" i="1"/>
  <c r="BG187" i="1" s="1"/>
  <c r="BD187" i="1"/>
  <c r="BE187" i="1" s="1"/>
  <c r="BB187" i="1"/>
  <c r="BC187" i="1" s="1"/>
  <c r="BR191" i="1"/>
  <c r="BS191" i="1" s="1"/>
  <c r="AN188" i="1"/>
  <c r="AO188" i="1" s="1"/>
  <c r="AN191" i="1"/>
  <c r="AO191" i="1" s="1"/>
  <c r="AN187" i="1"/>
  <c r="AO187" i="1" s="1"/>
  <c r="BE106" i="1"/>
  <c r="BE107" i="1" s="1"/>
  <c r="BF106" i="1"/>
  <c r="BF107" i="1" s="1"/>
  <c r="BD239" i="1"/>
  <c r="BD260" i="1"/>
  <c r="BN8" i="1"/>
  <c r="BN106" i="1"/>
  <c r="BN107" i="1" s="1"/>
  <c r="BN18" i="1"/>
  <c r="BN239" i="1"/>
  <c r="BQ106" i="1"/>
  <c r="BQ107" i="1" s="1"/>
  <c r="AQ239" i="1"/>
  <c r="AQ261" i="1"/>
  <c r="AT106" i="1"/>
  <c r="AT107" i="1" s="1"/>
  <c r="BF202" i="1"/>
  <c r="BF261" i="1"/>
  <c r="BV8" i="1"/>
  <c r="BV260" i="1"/>
  <c r="BV18" i="1"/>
  <c r="AN18" i="1"/>
  <c r="AN239" i="1"/>
  <c r="AN106" i="1"/>
  <c r="AN107" i="1" s="1"/>
  <c r="AN261" i="1"/>
  <c r="AQ106" i="1"/>
  <c r="AQ107" i="1" s="1"/>
  <c r="AQ110" i="1" s="1"/>
  <c r="BC239" i="1"/>
  <c r="BC18" i="1"/>
  <c r="BD106" i="1"/>
  <c r="BD107" i="1" s="1"/>
  <c r="BF18" i="1"/>
  <c r="BF260" i="1"/>
  <c r="BN202" i="1"/>
  <c r="BN41" i="1"/>
  <c r="BN261" i="1"/>
  <c r="BK260" i="1"/>
  <c r="BK45" i="1"/>
  <c r="BI148" i="1"/>
  <c r="BJ210" i="1" s="1"/>
  <c r="BI210" i="1"/>
  <c r="BO8" i="1"/>
  <c r="BO18" i="1"/>
  <c r="BO239" i="1"/>
  <c r="K112" i="1"/>
  <c r="K116" i="1"/>
  <c r="V94" i="1"/>
  <c r="V115" i="1"/>
  <c r="M95" i="1"/>
  <c r="M116" i="1"/>
  <c r="E110" i="1"/>
  <c r="E93" i="1"/>
  <c r="J112" i="1"/>
  <c r="J95" i="1"/>
  <c r="J116" i="1"/>
  <c r="E95" i="1"/>
  <c r="E112" i="1"/>
  <c r="R97" i="1"/>
  <c r="R115" i="1"/>
  <c r="Q110" i="1"/>
  <c r="Q93" i="1"/>
  <c r="F146" i="1"/>
  <c r="F41" i="1"/>
  <c r="E97" i="1"/>
  <c r="E94" i="1"/>
  <c r="E115" i="1"/>
  <c r="M94" i="1"/>
  <c r="M97" i="1"/>
  <c r="M115" i="1"/>
  <c r="F110" i="1"/>
  <c r="F93" i="1"/>
  <c r="I111" i="1"/>
  <c r="I97" i="1"/>
  <c r="I115" i="1"/>
  <c r="N94" i="1"/>
  <c r="N115" i="1"/>
  <c r="N111" i="1"/>
  <c r="P116" i="1"/>
  <c r="P95" i="1"/>
  <c r="P112" i="1"/>
  <c r="W210" i="1"/>
  <c r="X210" i="1"/>
  <c r="K115" i="1"/>
  <c r="K94" i="1"/>
  <c r="F95" i="1"/>
  <c r="F116" i="1"/>
  <c r="F112" i="1"/>
  <c r="Q95" i="1"/>
  <c r="AO261" i="1"/>
  <c r="V111" i="1"/>
  <c r="I116" i="1"/>
  <c r="F128" i="1"/>
  <c r="T164" i="1"/>
  <c r="H128" i="1"/>
  <c r="D164" i="1"/>
  <c r="B128" i="1"/>
  <c r="B136" i="1"/>
  <c r="T210" i="1"/>
  <c r="C142" i="1"/>
  <c r="C146" i="1" s="1"/>
  <c r="K142" i="1"/>
  <c r="H181" i="1"/>
  <c r="F136" i="1"/>
  <c r="L142" i="1"/>
  <c r="N164" i="1"/>
  <c r="AS34" i="1"/>
  <c r="AS35" i="1" s="1"/>
  <c r="B164" i="1"/>
  <c r="B193" i="1" s="1"/>
  <c r="B192" i="1" s="1"/>
  <c r="AT34" i="1"/>
  <c r="O136" i="1"/>
  <c r="BM34" i="1"/>
  <c r="BK34" i="1"/>
  <c r="BT260" i="1"/>
  <c r="BS34" i="1"/>
  <c r="BT34" i="1"/>
  <c r="BI34" i="1"/>
  <c r="BI35" i="1" s="1"/>
  <c r="AZ24" i="1"/>
  <c r="BA34" i="1"/>
  <c r="BA35" i="1" s="1"/>
  <c r="BJ106" i="1"/>
  <c r="BJ107" i="1" s="1"/>
  <c r="BG34" i="1"/>
  <c r="AV34" i="1"/>
  <c r="AV35" i="1" s="1"/>
  <c r="BV34" i="1"/>
  <c r="BV11" i="1" s="1"/>
  <c r="AO18" i="1"/>
  <c r="U97" i="1"/>
  <c r="AO239" i="1"/>
  <c r="BP106" i="1"/>
  <c r="BP107" i="1" s="1"/>
  <c r="M164" i="1"/>
  <c r="U142" i="1"/>
  <c r="H164" i="1"/>
  <c r="BO9" i="1"/>
  <c r="G169" i="1"/>
  <c r="B156" i="1"/>
  <c r="B190" i="1" s="1"/>
  <c r="I181" i="1"/>
  <c r="O156" i="1"/>
  <c r="M181" i="1"/>
  <c r="J136" i="1"/>
  <c r="D142" i="1"/>
  <c r="D146" i="1" s="1"/>
  <c r="D156" i="1"/>
  <c r="N181" i="1"/>
  <c r="AO34" i="1"/>
  <c r="M136" i="1"/>
  <c r="S128" i="1"/>
  <c r="BF34" i="1"/>
  <c r="T181" i="1"/>
  <c r="BE34" i="1"/>
  <c r="BE35" i="1" s="1"/>
  <c r="K128" i="1"/>
  <c r="AI18" i="1"/>
  <c r="AW260" i="1"/>
  <c r="BE260" i="1"/>
  <c r="W142" i="1"/>
  <c r="C169" i="1"/>
  <c r="D217" i="1" s="1"/>
  <c r="BV9" i="1"/>
  <c r="I136" i="1"/>
  <c r="I176" i="1" s="1"/>
  <c r="I117" i="1" s="1"/>
  <c r="M110" i="1"/>
  <c r="BU106" i="1"/>
  <c r="BU107" i="1" s="1"/>
  <c r="V112" i="1"/>
  <c r="J156" i="1"/>
  <c r="L210" i="1"/>
  <c r="H115" i="1"/>
  <c r="V164" i="1"/>
  <c r="O169" i="1"/>
  <c r="L181" i="1"/>
  <c r="R142" i="1"/>
  <c r="BR9" i="1"/>
  <c r="BR10" i="1" s="1"/>
  <c r="G164" i="1"/>
  <c r="AP106" i="1"/>
  <c r="AP107" i="1" s="1"/>
  <c r="BM202" i="1"/>
  <c r="BO106" i="1"/>
  <c r="BO107" i="1" s="1"/>
  <c r="G136" i="1"/>
  <c r="E210" i="1"/>
  <c r="F169" i="1"/>
  <c r="M128" i="1"/>
  <c r="M156" i="1"/>
  <c r="C128" i="1"/>
  <c r="E142" i="1"/>
  <c r="E146" i="1" s="1"/>
  <c r="O181" i="1"/>
  <c r="E164" i="1"/>
  <c r="E193" i="1" s="1"/>
  <c r="V128" i="1"/>
  <c r="V215" i="1" s="1"/>
  <c r="O142" i="1"/>
  <c r="P136" i="1"/>
  <c r="AP34" i="1"/>
  <c r="AP35" i="1" s="1"/>
  <c r="R136" i="1"/>
  <c r="G128" i="1"/>
  <c r="Q164" i="1"/>
  <c r="Q193" i="1" s="1"/>
  <c r="H169" i="1"/>
  <c r="P156" i="1"/>
  <c r="L156" i="1"/>
  <c r="BI261" i="1"/>
  <c r="BW34" i="1"/>
  <c r="BW11" i="1" s="1"/>
  <c r="BO34" i="1"/>
  <c r="BO11" i="1" s="1"/>
  <c r="AR34" i="1"/>
  <c r="AZ34" i="1"/>
  <c r="AZ35" i="1" s="1"/>
  <c r="BU34" i="1"/>
  <c r="BT261" i="1"/>
  <c r="BN34" i="1"/>
  <c r="BN11" i="1" s="1"/>
  <c r="BT239" i="1"/>
  <c r="S164" i="1"/>
  <c r="BM261" i="1"/>
  <c r="BV261" i="1"/>
  <c r="J115" i="1"/>
  <c r="K136" i="1"/>
  <c r="P210" i="1"/>
  <c r="B181" i="1"/>
  <c r="K164" i="1"/>
  <c r="N156" i="1"/>
  <c r="R181" i="1"/>
  <c r="BL106" i="1"/>
  <c r="BL107" i="1" s="1"/>
  <c r="BO260" i="1"/>
  <c r="R95" i="1"/>
  <c r="V136" i="1"/>
  <c r="W214" i="1" s="1"/>
  <c r="BT188" i="1"/>
  <c r="BU188" i="1" s="1"/>
  <c r="J111" i="1"/>
  <c r="T156" i="1"/>
  <c r="T190" i="1" s="1"/>
  <c r="W181" i="1"/>
  <c r="J164" i="1"/>
  <c r="AQ34" i="1"/>
  <c r="S93" i="1"/>
  <c r="BJ202" i="1"/>
  <c r="BO261" i="1"/>
  <c r="BQ261" i="1"/>
  <c r="BD261" i="1"/>
  <c r="BT187" i="1"/>
  <c r="BU187" i="1" s="1"/>
  <c r="R112" i="1"/>
  <c r="D210" i="1"/>
  <c r="R164" i="1"/>
  <c r="D181" i="1"/>
  <c r="I95" i="1"/>
  <c r="BT191" i="1"/>
  <c r="BU191" i="1" s="1"/>
  <c r="BV169" i="1"/>
  <c r="BW217" i="1" s="1"/>
  <c r="BW260" i="1"/>
  <c r="BV156" i="1"/>
  <c r="BV136" i="1"/>
  <c r="E136" i="1"/>
  <c r="AT261" i="1"/>
  <c r="BJ35" i="1"/>
  <c r="F111" i="1"/>
  <c r="BJ25" i="1"/>
  <c r="I93" i="1"/>
  <c r="AV106" i="1"/>
  <c r="AV107" i="1" s="1"/>
  <c r="AX106" i="1"/>
  <c r="AX107" i="1" s="1"/>
  <c r="BP18" i="1"/>
  <c r="BT106" i="1"/>
  <c r="BT107" i="1" s="1"/>
  <c r="BW106" i="1"/>
  <c r="BW107" i="1" s="1"/>
  <c r="BW111" i="1" s="1"/>
  <c r="BG106" i="1"/>
  <c r="BG107" i="1" s="1"/>
  <c r="BG110" i="1" s="1"/>
  <c r="AR191" i="1"/>
  <c r="AS191" i="1" s="1"/>
  <c r="J94" i="1"/>
  <c r="O115" i="1"/>
  <c r="U136" i="1"/>
  <c r="U169" i="1"/>
  <c r="V95" i="1"/>
  <c r="AW106" i="1"/>
  <c r="AW107" i="1" s="1"/>
  <c r="BH187" i="1"/>
  <c r="BI187" i="1" s="1"/>
  <c r="AR261" i="1"/>
  <c r="BI136" i="1"/>
  <c r="BJ257" i="1" s="1"/>
  <c r="G94" i="1"/>
  <c r="E116" i="1"/>
  <c r="R94" i="1"/>
  <c r="L97" i="1"/>
  <c r="U112" i="1"/>
  <c r="K93" i="1"/>
  <c r="N128" i="1"/>
  <c r="BH136" i="1"/>
  <c r="BQ9" i="1"/>
  <c r="BQ10" i="1" s="1"/>
  <c r="BQ12" i="1" s="1"/>
  <c r="H95" i="1"/>
  <c r="AI41" i="1"/>
  <c r="K97" i="1"/>
  <c r="V93" i="1"/>
  <c r="BT202" i="1"/>
  <c r="BV106" i="1"/>
  <c r="BV107" i="1" s="1"/>
  <c r="AR18" i="1"/>
  <c r="BC106" i="1"/>
  <c r="BC107" i="1" s="1"/>
  <c r="BH164" i="1"/>
  <c r="BH193" i="1" s="1"/>
  <c r="BP191" i="1"/>
  <c r="BQ191" i="1" s="1"/>
  <c r="G111" i="1"/>
  <c r="R111" i="1"/>
  <c r="L111" i="1"/>
  <c r="U116" i="1"/>
  <c r="BM9" i="1"/>
  <c r="BM10" i="1" s="1"/>
  <c r="BH18" i="1"/>
  <c r="AZ188" i="1"/>
  <c r="BA188" i="1" s="1"/>
  <c r="BG261" i="1"/>
  <c r="G115" i="1"/>
  <c r="L115" i="1"/>
  <c r="BA106" i="1"/>
  <c r="BA107" i="1" s="1"/>
  <c r="BH191" i="1"/>
  <c r="BI191" i="1" s="1"/>
  <c r="BI106" i="1"/>
  <c r="BI107" i="1" s="1"/>
  <c r="BK211" i="1"/>
  <c r="BK209" i="1" s="1"/>
  <c r="AS106" i="1"/>
  <c r="AS107" i="1" s="1"/>
  <c r="AS110" i="1" s="1"/>
  <c r="BH106" i="1"/>
  <c r="BH107" i="1" s="1"/>
  <c r="BX106" i="1"/>
  <c r="BX107" i="1" s="1"/>
  <c r="BR106" i="1"/>
  <c r="BR107" i="1" s="1"/>
  <c r="BH156" i="1"/>
  <c r="BH190" i="1" s="1"/>
  <c r="AR187" i="1"/>
  <c r="AS187" i="1" s="1"/>
  <c r="AZ191" i="1"/>
  <c r="BA191" i="1" s="1"/>
  <c r="K111" i="1"/>
  <c r="F94" i="1"/>
  <c r="R62" i="1"/>
  <c r="F164" i="1"/>
  <c r="F193" i="1" s="1"/>
  <c r="F192" i="1" s="1"/>
  <c r="S156" i="1"/>
  <c r="E128" i="1"/>
  <c r="C156" i="1"/>
  <c r="C165" i="1" s="1"/>
  <c r="BV164" i="1"/>
  <c r="BV193" i="1" s="1"/>
  <c r="BK202" i="1"/>
  <c r="AR106" i="1"/>
  <c r="AR107" i="1" s="1"/>
  <c r="AU261" i="1"/>
  <c r="AU18" i="1"/>
  <c r="AV20" i="1" s="1"/>
  <c r="BA24" i="1"/>
  <c r="S112" i="1"/>
  <c r="R93" i="1"/>
  <c r="F97" i="1"/>
  <c r="O116" i="1"/>
  <c r="Q115" i="1"/>
  <c r="T136" i="1"/>
  <c r="S210" i="1"/>
  <c r="BS239" i="1"/>
  <c r="N95" i="1"/>
  <c r="BK9" i="1"/>
  <c r="BK10" i="1" s="1"/>
  <c r="AZ187" i="1"/>
  <c r="BA187" i="1" s="1"/>
  <c r="L93" i="1"/>
  <c r="S95" i="1"/>
  <c r="AZ202" i="1"/>
  <c r="BH261" i="1"/>
  <c r="BZ106" i="1"/>
  <c r="BZ107" i="1" s="1"/>
  <c r="AX261" i="1"/>
  <c r="BD188" i="1"/>
  <c r="BE188" i="1" s="1"/>
  <c r="AT187" i="1"/>
  <c r="AU187" i="1" s="1"/>
  <c r="BP187" i="1"/>
  <c r="BQ187" i="1" s="1"/>
  <c r="U93" i="1"/>
  <c r="Q111" i="1"/>
  <c r="S136" i="1"/>
  <c r="BP239" i="1"/>
  <c r="BU9" i="1"/>
  <c r="BU10" i="1" s="1"/>
  <c r="BT9" i="1"/>
  <c r="BT10" i="1" s="1"/>
  <c r="BG239" i="1"/>
  <c r="BB106" i="1"/>
  <c r="BB107" i="1" s="1"/>
  <c r="BW261" i="1"/>
  <c r="BI202" i="1"/>
  <c r="BW239" i="1"/>
  <c r="BV128" i="1"/>
  <c r="BK106" i="1"/>
  <c r="BK107" i="1" s="1"/>
  <c r="BK112" i="1" s="1"/>
  <c r="BR202" i="1"/>
  <c r="BY106" i="1"/>
  <c r="BY107" i="1" s="1"/>
  <c r="BY112" i="1" s="1"/>
  <c r="BS260" i="1"/>
  <c r="BH260" i="1"/>
  <c r="BP188" i="1"/>
  <c r="BQ188" i="1" s="1"/>
  <c r="H112" i="1"/>
  <c r="H210" i="1"/>
  <c r="O210" i="1"/>
  <c r="S169" i="1"/>
  <c r="BP9" i="1"/>
  <c r="BP10" i="1" s="1"/>
  <c r="BG18" i="1"/>
  <c r="AZ239" i="1"/>
  <c r="BW18" i="1"/>
  <c r="AZ106" i="1"/>
  <c r="AZ107" i="1" s="1"/>
  <c r="AZ110" i="1" s="1"/>
  <c r="AI211" i="1"/>
  <c r="AI209" i="1" s="1"/>
  <c r="AU106" i="1"/>
  <c r="AU107" i="1" s="1"/>
  <c r="O97" i="1"/>
  <c r="Q94" i="1"/>
  <c r="U156" i="1"/>
  <c r="BW9" i="1"/>
  <c r="BW10" i="1" s="1"/>
  <c r="BS9" i="1"/>
  <c r="BS10" i="1" s="1"/>
  <c r="O183" i="1"/>
  <c r="O62" i="1"/>
  <c r="O100" i="1"/>
  <c r="O102" i="1" s="1"/>
  <c r="AR142" i="1"/>
  <c r="AS41" i="1" s="1"/>
  <c r="N217" i="1"/>
  <c r="S146" i="1"/>
  <c r="B41" i="1"/>
  <c r="B146" i="1"/>
  <c r="C116" i="1"/>
  <c r="C74" i="1"/>
  <c r="C115" i="1"/>
  <c r="E217" i="1"/>
  <c r="P146" i="1"/>
  <c r="P41" i="1"/>
  <c r="H146" i="1"/>
  <c r="H41" i="1"/>
  <c r="V190" i="1"/>
  <c r="V189" i="1" s="1"/>
  <c r="BD169" i="1"/>
  <c r="BE217" i="1" s="1"/>
  <c r="L217" i="1"/>
  <c r="W45" i="1"/>
  <c r="X257" i="1"/>
  <c r="X259" i="1" s="1"/>
  <c r="X214" i="1"/>
  <c r="U183" i="1"/>
  <c r="D74" i="1"/>
  <c r="D116" i="1"/>
  <c r="K190" i="1"/>
  <c r="K189" i="1" s="1"/>
  <c r="Q100" i="1"/>
  <c r="Q62" i="1"/>
  <c r="Q183" i="1"/>
  <c r="S217" i="1"/>
  <c r="R256" i="1"/>
  <c r="AN169" i="1"/>
  <c r="AO217" i="1" s="1"/>
  <c r="R190" i="1"/>
  <c r="R189" i="1" s="1"/>
  <c r="C193" i="1"/>
  <c r="Q41" i="1"/>
  <c r="Q146" i="1"/>
  <c r="AV169" i="1"/>
  <c r="AW217" i="1" s="1"/>
  <c r="BN169" i="1"/>
  <c r="BO217" i="1" s="1"/>
  <c r="BR142" i="1"/>
  <c r="AX169" i="1"/>
  <c r="AY217" i="1" s="1"/>
  <c r="BS136" i="1"/>
  <c r="M217" i="1"/>
  <c r="O193" i="1"/>
  <c r="R103" i="1"/>
  <c r="R104" i="1"/>
  <c r="R102" i="1"/>
  <c r="V146" i="1"/>
  <c r="V41" i="1"/>
  <c r="AZ142" i="1"/>
  <c r="BP142" i="1"/>
  <c r="BT169" i="1"/>
  <c r="BU217" i="1" s="1"/>
  <c r="BP169" i="1"/>
  <c r="BQ217" i="1" s="1"/>
  <c r="BB169" i="1"/>
  <c r="AZ169" i="1"/>
  <c r="BA217" i="1" s="1"/>
  <c r="BE136" i="1"/>
  <c r="AR169" i="1"/>
  <c r="AS217" i="1" s="1"/>
  <c r="AQ148" i="1"/>
  <c r="AW148" i="1"/>
  <c r="AX210" i="1" s="1"/>
  <c r="AQ150" i="1"/>
  <c r="AP156" i="1"/>
  <c r="AP190" i="1" s="1"/>
  <c r="AS132" i="1"/>
  <c r="AS136" i="1" s="1"/>
  <c r="AR136" i="1"/>
  <c r="AU125" i="1"/>
  <c r="AT128" i="1"/>
  <c r="AT100" i="1" s="1"/>
  <c r="AS125" i="1"/>
  <c r="AR128" i="1"/>
  <c r="AX128" i="1"/>
  <c r="AY125" i="1"/>
  <c r="AY132" i="1"/>
  <c r="AY136" i="1" s="1"/>
  <c r="AX136" i="1"/>
  <c r="BO148" i="1"/>
  <c r="BN210" i="1"/>
  <c r="BT142" i="1"/>
  <c r="AT142" i="1"/>
  <c r="BF169" i="1"/>
  <c r="BG217" i="1" s="1"/>
  <c r="BF142" i="1"/>
  <c r="AV142" i="1"/>
  <c r="BD142" i="1"/>
  <c r="AP142" i="1"/>
  <c r="AU150" i="1"/>
  <c r="AT156" i="1"/>
  <c r="BC125" i="1"/>
  <c r="BB128" i="1"/>
  <c r="BB100" i="1" s="1"/>
  <c r="AO132" i="1"/>
  <c r="AO136" i="1" s="1"/>
  <c r="AN136" i="1"/>
  <c r="AR188" i="1"/>
  <c r="AS188" i="1" s="1"/>
  <c r="AR156" i="1"/>
  <c r="AR190" i="1" s="1"/>
  <c r="AO125" i="1"/>
  <c r="AN128" i="1"/>
  <c r="BC132" i="1"/>
  <c r="BC136" i="1" s="1"/>
  <c r="BB136" i="1"/>
  <c r="BU148" i="1"/>
  <c r="BV210" i="1" s="1"/>
  <c r="BE125" i="1"/>
  <c r="BD128" i="1"/>
  <c r="AU158" i="1"/>
  <c r="AT164" i="1"/>
  <c r="AT193" i="1" s="1"/>
  <c r="AY157" i="1"/>
  <c r="AX164" i="1"/>
  <c r="AX193" i="1" s="1"/>
  <c r="BO132" i="1"/>
  <c r="BO136" i="1" s="1"/>
  <c r="BN136" i="1"/>
  <c r="AW132" i="1"/>
  <c r="AW136" i="1" s="1"/>
  <c r="AV136" i="1"/>
  <c r="AO150" i="1"/>
  <c r="AN156" i="1"/>
  <c r="BS148" i="1"/>
  <c r="BR210" i="1"/>
  <c r="BU132" i="1"/>
  <c r="BU136" i="1" s="1"/>
  <c r="BT136" i="1"/>
  <c r="AO148" i="1"/>
  <c r="AN210" i="1"/>
  <c r="BS125" i="1"/>
  <c r="BR128" i="1"/>
  <c r="BR100" i="1" s="1"/>
  <c r="BF210" i="1"/>
  <c r="AQ136" i="1"/>
  <c r="AT210" i="1"/>
  <c r="AP169" i="1"/>
  <c r="BT164" i="1"/>
  <c r="BT193" i="1" s="1"/>
  <c r="BN142" i="1"/>
  <c r="AX142" i="1"/>
  <c r="BB142" i="1"/>
  <c r="AT169" i="1"/>
  <c r="AU217" i="1" s="1"/>
  <c r="AZ128" i="1"/>
  <c r="BR169" i="1"/>
  <c r="AR164" i="1"/>
  <c r="BN128" i="1"/>
  <c r="AS210" i="1"/>
  <c r="BP164" i="1"/>
  <c r="BP193" i="1" s="1"/>
  <c r="BT128" i="1"/>
  <c r="BF136" i="1"/>
  <c r="BE210" i="1"/>
  <c r="BR164" i="1"/>
  <c r="BR193" i="1" s="1"/>
  <c r="BP156" i="1"/>
  <c r="BP190" i="1" s="1"/>
  <c r="AZ136" i="1"/>
  <c r="BQ210" i="1"/>
  <c r="BB164" i="1"/>
  <c r="BB193" i="1" s="1"/>
  <c r="AP136" i="1"/>
  <c r="AP128" i="1"/>
  <c r="AP100" i="1" s="1"/>
  <c r="BD164" i="1"/>
  <c r="BD193" i="1" s="1"/>
  <c r="BP128" i="1"/>
  <c r="BP100" i="1" s="1"/>
  <c r="BP102" i="1" s="1"/>
  <c r="BN164" i="1"/>
  <c r="BN193" i="1" s="1"/>
  <c r="AN164" i="1"/>
  <c r="AN193" i="1" s="1"/>
  <c r="BP136" i="1"/>
  <c r="BG136" i="1"/>
  <c r="BA136" i="1"/>
  <c r="AT136" i="1"/>
  <c r="AP164" i="1"/>
  <c r="BF164" i="1"/>
  <c r="BF193" i="1" s="1"/>
  <c r="AV164" i="1"/>
  <c r="AV193" i="1" s="1"/>
  <c r="BF128" i="1"/>
  <c r="BQ136" i="1"/>
  <c r="BR136" i="1"/>
  <c r="BD136" i="1"/>
  <c r="AZ164" i="1"/>
  <c r="AZ193" i="1" s="1"/>
  <c r="AV128" i="1"/>
  <c r="AU136" i="1"/>
  <c r="AW151" i="1"/>
  <c r="AV156" i="1"/>
  <c r="BC151" i="1"/>
  <c r="BB156" i="1"/>
  <c r="BG151" i="1"/>
  <c r="BF156" i="1"/>
  <c r="BE151" i="1"/>
  <c r="BD156" i="1"/>
  <c r="BO151" i="1"/>
  <c r="BN156" i="1"/>
  <c r="BU151" i="1"/>
  <c r="BT156" i="1"/>
  <c r="AY151" i="1"/>
  <c r="AX156" i="1"/>
  <c r="BS151" i="1"/>
  <c r="BR156" i="1"/>
  <c r="BA151" i="1"/>
  <c r="AZ156" i="1"/>
  <c r="AU210" i="1"/>
  <c r="AV210" i="1"/>
  <c r="BB210" i="1"/>
  <c r="BA210" i="1"/>
  <c r="AY210" i="1"/>
  <c r="AZ210" i="1"/>
  <c r="AZ20" i="1"/>
  <c r="AY24" i="1"/>
  <c r="AP24" i="1"/>
  <c r="AP19" i="1"/>
  <c r="BQ19" i="1"/>
  <c r="BM19" i="1"/>
  <c r="BU19" i="1"/>
  <c r="BQ24" i="1"/>
  <c r="BC210" i="1"/>
  <c r="BD210" i="1"/>
  <c r="BS110" i="1"/>
  <c r="BS111" i="1"/>
  <c r="BS112" i="1"/>
  <c r="BU24" i="1"/>
  <c r="BM24" i="1"/>
  <c r="BM20" i="1"/>
  <c r="BA19" i="1"/>
  <c r="BA20" i="1"/>
  <c r="AS24" i="1"/>
  <c r="AW19" i="1"/>
  <c r="BY19" i="1"/>
  <c r="BI24" i="1"/>
  <c r="BG210" i="1"/>
  <c r="AY20" i="1"/>
  <c r="AI189" i="1"/>
  <c r="BA233" i="1"/>
  <c r="BJ20" i="1"/>
  <c r="AL110" i="1"/>
  <c r="AL111" i="1"/>
  <c r="BM112" i="1"/>
  <c r="BM110" i="1"/>
  <c r="BM111" i="1"/>
  <c r="AX20" i="1"/>
  <c r="AX24" i="1"/>
  <c r="AZ233" i="1"/>
  <c r="BV146" i="1"/>
  <c r="BW41" i="1"/>
  <c r="BW142" i="1"/>
  <c r="P78" i="1"/>
  <c r="N97" i="1"/>
  <c r="O94" i="1"/>
  <c r="O95" i="1"/>
  <c r="O78" i="1"/>
  <c r="O93" i="1"/>
  <c r="CQ146" i="1"/>
  <c r="CR40" i="1"/>
  <c r="AE85" i="1"/>
  <c r="AB133" i="1"/>
  <c r="AB136" i="1" s="1"/>
  <c r="AB257" i="1" s="1"/>
  <c r="AD150" i="1"/>
  <c r="CZ73" i="1"/>
  <c r="DA71" i="1"/>
  <c r="AI194" i="1" l="1"/>
  <c r="AI192" i="1"/>
  <c r="BQ35" i="1"/>
  <c r="BQ36" i="1"/>
  <c r="BS24" i="1"/>
  <c r="AY233" i="1"/>
  <c r="AY110" i="1"/>
  <c r="AY111" i="1"/>
  <c r="AY112" i="1"/>
  <c r="AV24" i="1"/>
  <c r="AW20" i="1"/>
  <c r="BA196" i="1"/>
  <c r="AZ19" i="1"/>
  <c r="BB233" i="1"/>
  <c r="H137" i="1"/>
  <c r="H63" i="1" s="1"/>
  <c r="B116" i="1"/>
  <c r="C257" i="1"/>
  <c r="C259" i="1" s="1"/>
  <c r="BR233" i="1"/>
  <c r="D62" i="1"/>
  <c r="C45" i="1"/>
  <c r="B115" i="1"/>
  <c r="L62" i="1"/>
  <c r="D214" i="1"/>
  <c r="B74" i="1"/>
  <c r="B76" i="1" s="1"/>
  <c r="L183" i="1"/>
  <c r="P205" i="1"/>
  <c r="T146" i="1"/>
  <c r="U215" i="1"/>
  <c r="U62" i="1"/>
  <c r="U100" i="1"/>
  <c r="U104" i="1" s="1"/>
  <c r="T100" i="1"/>
  <c r="T62" i="1"/>
  <c r="T183" i="1"/>
  <c r="I256" i="1"/>
  <c r="I100" i="1"/>
  <c r="I62" i="1"/>
  <c r="I183" i="1"/>
  <c r="S41" i="1"/>
  <c r="D256" i="1"/>
  <c r="K217" i="1"/>
  <c r="J176" i="1"/>
  <c r="J117" i="1" s="1"/>
  <c r="J45" i="1"/>
  <c r="H45" i="1"/>
  <c r="R217" i="1"/>
  <c r="Q256" i="1"/>
  <c r="D41" i="1"/>
  <c r="K256" i="1"/>
  <c r="K62" i="1"/>
  <c r="K183" i="1"/>
  <c r="K100" i="1"/>
  <c r="S215" i="1"/>
  <c r="S100" i="1"/>
  <c r="H190" i="1"/>
  <c r="I204" i="1"/>
  <c r="D190" i="1"/>
  <c r="D189" i="1" s="1"/>
  <c r="I45" i="1"/>
  <c r="W146" i="1"/>
  <c r="X211" i="1" s="1"/>
  <c r="W41" i="1"/>
  <c r="G45" i="1"/>
  <c r="L176" i="1"/>
  <c r="L117" i="1" s="1"/>
  <c r="L45" i="1"/>
  <c r="AT192" i="1"/>
  <c r="AX192" i="1"/>
  <c r="L205" i="1"/>
  <c r="AT35" i="1"/>
  <c r="N137" i="1"/>
  <c r="N63" i="1" s="1"/>
  <c r="BN10" i="1"/>
  <c r="R183" i="1"/>
  <c r="H100" i="1"/>
  <c r="H103" i="1" s="1"/>
  <c r="H183" i="1"/>
  <c r="D205" i="1"/>
  <c r="R215" i="1"/>
  <c r="N146" i="1"/>
  <c r="N41" i="1"/>
  <c r="L146" i="1"/>
  <c r="L41" i="1"/>
  <c r="U217" i="1"/>
  <c r="T256" i="1"/>
  <c r="C41" i="1"/>
  <c r="H62" i="1"/>
  <c r="V45" i="1"/>
  <c r="I215" i="1"/>
  <c r="J41" i="1"/>
  <c r="J146" i="1"/>
  <c r="F190" i="1"/>
  <c r="G204" i="1"/>
  <c r="J256" i="1"/>
  <c r="J137" i="1"/>
  <c r="J63" i="1" s="1"/>
  <c r="L190" i="1"/>
  <c r="P190" i="1"/>
  <c r="N190" i="1"/>
  <c r="BM233" i="1"/>
  <c r="BL252" i="1"/>
  <c r="BL233" i="1"/>
  <c r="BT20" i="1"/>
  <c r="BE24" i="1"/>
  <c r="BI19" i="1"/>
  <c r="BE19" i="1"/>
  <c r="AW191" i="1"/>
  <c r="AX35" i="1"/>
  <c r="BB20" i="1"/>
  <c r="BB196" i="1"/>
  <c r="R66" i="1"/>
  <c r="BB24" i="1"/>
  <c r="BB35" i="1"/>
  <c r="BX19" i="1"/>
  <c r="BU20" i="1"/>
  <c r="BT24" i="1"/>
  <c r="BY196" i="1"/>
  <c r="BB19" i="1"/>
  <c r="BC196" i="1"/>
  <c r="BF19" i="1"/>
  <c r="BD20" i="1"/>
  <c r="Q165" i="1"/>
  <c r="L103" i="1"/>
  <c r="L104" i="1"/>
  <c r="CC93" i="1"/>
  <c r="CC97" i="1"/>
  <c r="CC110" i="1"/>
  <c r="CC102" i="1"/>
  <c r="E204" i="1"/>
  <c r="AO35" i="1"/>
  <c r="AT24" i="1"/>
  <c r="AT25" i="1" s="1"/>
  <c r="BR12" i="1"/>
  <c r="BO10" i="1"/>
  <c r="BV192" i="1"/>
  <c r="T176" i="1"/>
  <c r="T117" i="1" s="1"/>
  <c r="Q176" i="1"/>
  <c r="Q117" i="1" s="1"/>
  <c r="K215" i="1"/>
  <c r="G146" i="1"/>
  <c r="G41" i="1"/>
  <c r="I41" i="1"/>
  <c r="I146" i="1"/>
  <c r="J183" i="1"/>
  <c r="J100" i="1"/>
  <c r="J62" i="1"/>
  <c r="J215" i="1"/>
  <c r="L193" i="1"/>
  <c r="L192" i="1" s="1"/>
  <c r="L215" i="1"/>
  <c r="C176" i="1"/>
  <c r="C117" i="1" s="1"/>
  <c r="C256" i="1"/>
  <c r="M146" i="1"/>
  <c r="M41" i="1"/>
  <c r="Q190" i="1"/>
  <c r="Q189" i="1" s="1"/>
  <c r="R204" i="1"/>
  <c r="K165" i="1"/>
  <c r="D165" i="1"/>
  <c r="K41" i="1"/>
  <c r="K146" i="1"/>
  <c r="M214" i="1"/>
  <c r="L137" i="1"/>
  <c r="L63" i="1" s="1"/>
  <c r="D193" i="1"/>
  <c r="N204" i="1"/>
  <c r="O204" i="1"/>
  <c r="J193" i="1"/>
  <c r="Q215" i="1"/>
  <c r="O165" i="1"/>
  <c r="I257" i="1"/>
  <c r="I259" i="1" s="1"/>
  <c r="P100" i="1"/>
  <c r="P183" i="1"/>
  <c r="G176" i="1"/>
  <c r="G117" i="1" s="1"/>
  <c r="R257" i="1"/>
  <c r="R259" i="1" s="1"/>
  <c r="N45" i="1"/>
  <c r="N176" i="1"/>
  <c r="N117" i="1" s="1"/>
  <c r="L256" i="1"/>
  <c r="AN142" i="1"/>
  <c r="BK20" i="1"/>
  <c r="BL20" i="1"/>
  <c r="BK24" i="1"/>
  <c r="AY187" i="1"/>
  <c r="AX196" i="1"/>
  <c r="AQ24" i="1"/>
  <c r="AQ19" i="1"/>
  <c r="AX19" i="1"/>
  <c r="BC20" i="1"/>
  <c r="BC233" i="1"/>
  <c r="BI217" i="1"/>
  <c r="BH256" i="1"/>
  <c r="BI41" i="1"/>
  <c r="AO110" i="1"/>
  <c r="AO112" i="1"/>
  <c r="AO111" i="1"/>
  <c r="AQ35" i="1"/>
  <c r="BJ37" i="1"/>
  <c r="BJ42" i="1"/>
  <c r="BJ46" i="1" s="1"/>
  <c r="BJ240" i="1"/>
  <c r="BJ241" i="1" s="1"/>
  <c r="BP192" i="1"/>
  <c r="BR192" i="1"/>
  <c r="BB192" i="1"/>
  <c r="BD192" i="1"/>
  <c r="BF192" i="1"/>
  <c r="AV192" i="1"/>
  <c r="BC35" i="1"/>
  <c r="AI35" i="1"/>
  <c r="I119" i="1"/>
  <c r="I122" i="1" s="1"/>
  <c r="C215" i="1"/>
  <c r="J165" i="1"/>
  <c r="E214" i="1"/>
  <c r="N215" i="1"/>
  <c r="BP12" i="1"/>
  <c r="BW12" i="1"/>
  <c r="BV10" i="1"/>
  <c r="BV12" i="1" s="1"/>
  <c r="AM74" i="1"/>
  <c r="AM77" i="1" s="1"/>
  <c r="AM201" i="1"/>
  <c r="AM203" i="1" s="1"/>
  <c r="AM127" i="1"/>
  <c r="AM128" i="1" s="1"/>
  <c r="AM60" i="1"/>
  <c r="AQ20" i="1"/>
  <c r="AQ196" i="1"/>
  <c r="AW36" i="1"/>
  <c r="AW25" i="1"/>
  <c r="I165" i="1"/>
  <c r="J205" i="1"/>
  <c r="I193" i="1"/>
  <c r="BR196" i="1"/>
  <c r="BR24" i="1"/>
  <c r="BR20" i="1"/>
  <c r="BH146" i="1"/>
  <c r="BI142" i="1"/>
  <c r="P193" i="1"/>
  <c r="P192" i="1" s="1"/>
  <c r="Q205" i="1"/>
  <c r="Q137" i="1"/>
  <c r="Q63" i="1" s="1"/>
  <c r="Q45" i="1"/>
  <c r="G190" i="1"/>
  <c r="G189" i="1" s="1"/>
  <c r="H204" i="1"/>
  <c r="G165" i="1"/>
  <c r="D257" i="1"/>
  <c r="D259" i="1" s="1"/>
  <c r="D137" i="1"/>
  <c r="D63" i="1" s="1"/>
  <c r="P62" i="1"/>
  <c r="P215" i="1"/>
  <c r="P256" i="1"/>
  <c r="U193" i="1"/>
  <c r="U192" i="1" s="1"/>
  <c r="U165" i="1"/>
  <c r="BN19" i="1"/>
  <c r="BN35" i="1"/>
  <c r="BN233" i="1"/>
  <c r="BO196" i="1"/>
  <c r="BO233" i="1"/>
  <c r="U66" i="1"/>
  <c r="BR19" i="1"/>
  <c r="BN20" i="1"/>
  <c r="BN24" i="1"/>
  <c r="BN196" i="1"/>
  <c r="O66" i="1"/>
  <c r="AN19" i="1"/>
  <c r="AN196" i="1"/>
  <c r="AO233" i="1"/>
  <c r="AN24" i="1"/>
  <c r="AN20" i="1"/>
  <c r="AN233" i="1"/>
  <c r="AO20" i="1"/>
  <c r="AP233" i="1"/>
  <c r="N165" i="1"/>
  <c r="O205" i="1"/>
  <c r="BM11" i="1"/>
  <c r="BM35" i="1"/>
  <c r="BK11" i="1"/>
  <c r="BK35" i="1"/>
  <c r="BS11" i="1"/>
  <c r="BS12" i="1" s="1"/>
  <c r="BS35" i="1"/>
  <c r="BT11" i="1"/>
  <c r="BT12" i="1" s="1"/>
  <c r="BT35" i="1"/>
  <c r="BJ110" i="1"/>
  <c r="BJ111" i="1"/>
  <c r="BJ112" i="1"/>
  <c r="AO196" i="1"/>
  <c r="AS19" i="1"/>
  <c r="AO19" i="1"/>
  <c r="AO24" i="1"/>
  <c r="AP196" i="1"/>
  <c r="AP20" i="1"/>
  <c r="BP111" i="1"/>
  <c r="BP112" i="1"/>
  <c r="BP110" i="1"/>
  <c r="M205" i="1"/>
  <c r="M193" i="1"/>
  <c r="U146" i="1"/>
  <c r="U41" i="1"/>
  <c r="H193" i="1"/>
  <c r="H192" i="1" s="1"/>
  <c r="I205" i="1"/>
  <c r="H165" i="1"/>
  <c r="H173" i="1" s="1"/>
  <c r="O190" i="1"/>
  <c r="O189" i="1" s="1"/>
  <c r="P204" i="1"/>
  <c r="N257" i="1"/>
  <c r="N259" i="1" s="1"/>
  <c r="N214" i="1"/>
  <c r="M176" i="1"/>
  <c r="M117" i="1" s="1"/>
  <c r="M137" i="1"/>
  <c r="M63" i="1" s="1"/>
  <c r="M45" i="1"/>
  <c r="M257" i="1"/>
  <c r="M259" i="1" s="1"/>
  <c r="S62" i="1"/>
  <c r="T215" i="1"/>
  <c r="BU111" i="1"/>
  <c r="BU112" i="1"/>
  <c r="BU110" i="1"/>
  <c r="J190" i="1"/>
  <c r="J189" i="1" s="1"/>
  <c r="J204" i="1"/>
  <c r="V205" i="1"/>
  <c r="V165" i="1"/>
  <c r="V173" i="1" s="1"/>
  <c r="V193" i="1"/>
  <c r="P217" i="1"/>
  <c r="O256" i="1"/>
  <c r="R146" i="1"/>
  <c r="R252" i="1" s="1"/>
  <c r="R41" i="1"/>
  <c r="H205" i="1"/>
  <c r="G193" i="1"/>
  <c r="AP110" i="1"/>
  <c r="AP112" i="1"/>
  <c r="BO110" i="1"/>
  <c r="BO111" i="1"/>
  <c r="BO112" i="1"/>
  <c r="H214" i="1"/>
  <c r="H257" i="1"/>
  <c r="H259" i="1" s="1"/>
  <c r="M183" i="1"/>
  <c r="M256" i="1"/>
  <c r="M215" i="1"/>
  <c r="M100" i="1"/>
  <c r="M62" i="1"/>
  <c r="D215" i="1"/>
  <c r="C137" i="1"/>
  <c r="C63" i="1" s="1"/>
  <c r="O41" i="1"/>
  <c r="O146" i="1"/>
  <c r="Q257" i="1"/>
  <c r="Q259" i="1" s="1"/>
  <c r="P214" i="1"/>
  <c r="P45" i="1"/>
  <c r="P176" i="1"/>
  <c r="P117" i="1" s="1"/>
  <c r="P118" i="1" s="1"/>
  <c r="P121" i="1" s="1"/>
  <c r="R214" i="1"/>
  <c r="R137" i="1"/>
  <c r="R63" i="1" s="1"/>
  <c r="BU11" i="1"/>
  <c r="BU12" i="1" s="1"/>
  <c r="BU35" i="1"/>
  <c r="E176" i="1"/>
  <c r="E117" i="1" s="1"/>
  <c r="E45" i="1"/>
  <c r="AR20" i="1"/>
  <c r="AT233" i="1"/>
  <c r="AR196" i="1"/>
  <c r="BA112" i="1"/>
  <c r="BA110" i="1"/>
  <c r="BA111" i="1"/>
  <c r="BI111" i="1"/>
  <c r="BI110" i="1"/>
  <c r="BH111" i="1"/>
  <c r="BH112" i="1"/>
  <c r="BH110" i="1"/>
  <c r="BR110" i="1"/>
  <c r="BR112" i="1"/>
  <c r="S204" i="1"/>
  <c r="S190" i="1"/>
  <c r="BH104" i="1"/>
  <c r="BH102" i="1"/>
  <c r="BH103" i="1"/>
  <c r="BF111" i="1"/>
  <c r="BF112" i="1"/>
  <c r="BF110" i="1"/>
  <c r="BN111" i="1"/>
  <c r="BN112" i="1"/>
  <c r="BN110" i="1"/>
  <c r="BC110" i="1"/>
  <c r="BC112" i="1"/>
  <c r="BC111" i="1"/>
  <c r="AU110" i="1"/>
  <c r="AU112" i="1"/>
  <c r="AZ36" i="1"/>
  <c r="BG35" i="1"/>
  <c r="G256" i="1"/>
  <c r="B165" i="1"/>
  <c r="B173" i="1" s="1"/>
  <c r="BF35" i="1"/>
  <c r="I118" i="1"/>
  <c r="I121" i="1" s="1"/>
  <c r="F205" i="1"/>
  <c r="K205" i="1"/>
  <c r="BH194" i="1"/>
  <c r="BL197" i="1" s="1"/>
  <c r="E137" i="1"/>
  <c r="E63" i="1" s="1"/>
  <c r="BV137" i="1"/>
  <c r="AP189" i="1"/>
  <c r="BH214" i="1"/>
  <c r="BD19" i="1"/>
  <c r="BE20" i="1"/>
  <c r="BG233" i="1"/>
  <c r="BD24" i="1"/>
  <c r="BD35" i="1"/>
  <c r="BD196" i="1"/>
  <c r="AW233" i="1"/>
  <c r="AT19" i="1"/>
  <c r="AT196" i="1"/>
  <c r="AU20" i="1"/>
  <c r="BT233" i="1"/>
  <c r="BU233" i="1"/>
  <c r="BS20" i="1"/>
  <c r="BV19" i="1"/>
  <c r="BR35" i="1"/>
  <c r="D45" i="1"/>
  <c r="D176" i="1"/>
  <c r="D117" i="1" s="1"/>
  <c r="D118" i="1" s="1"/>
  <c r="D121" i="1" s="1"/>
  <c r="BW214" i="1"/>
  <c r="BX214" i="1"/>
  <c r="BX257" i="1"/>
  <c r="E190" i="1"/>
  <c r="F204" i="1"/>
  <c r="BE112" i="1"/>
  <c r="BE111" i="1"/>
  <c r="BE110" i="1"/>
  <c r="BQ110" i="1"/>
  <c r="BQ111" i="1"/>
  <c r="BQ112" i="1"/>
  <c r="AT110" i="1"/>
  <c r="AT112" i="1"/>
  <c r="AT111" i="1"/>
  <c r="BV24" i="1"/>
  <c r="BZ196" i="1"/>
  <c r="BZ19" i="1"/>
  <c r="BV196" i="1"/>
  <c r="BV20" i="1"/>
  <c r="BV233" i="1"/>
  <c r="W66" i="1"/>
  <c r="AN35" i="1"/>
  <c r="AQ233" i="1"/>
  <c r="AN110" i="1"/>
  <c r="AN111" i="1"/>
  <c r="AN112" i="1"/>
  <c r="AQ112" i="1"/>
  <c r="AQ111" i="1"/>
  <c r="S66" i="1"/>
  <c r="BC24" i="1"/>
  <c r="BC19" i="1"/>
  <c r="BF233" i="1"/>
  <c r="BD233" i="1"/>
  <c r="BE233" i="1"/>
  <c r="BD110" i="1"/>
  <c r="BD111" i="1"/>
  <c r="BD112" i="1"/>
  <c r="BJ196" i="1"/>
  <c r="BF24" i="1"/>
  <c r="BF196" i="1"/>
  <c r="BF20" i="1"/>
  <c r="BJ19" i="1"/>
  <c r="BS19" i="1"/>
  <c r="BS196" i="1"/>
  <c r="BO19" i="1"/>
  <c r="BO24" i="1"/>
  <c r="BO20" i="1"/>
  <c r="F62" i="1"/>
  <c r="F183" i="1"/>
  <c r="U205" i="1"/>
  <c r="T193" i="1"/>
  <c r="B45" i="1"/>
  <c r="B137" i="1"/>
  <c r="B63" i="1" s="1"/>
  <c r="B176" i="1"/>
  <c r="B117" i="1" s="1"/>
  <c r="C214" i="1"/>
  <c r="F45" i="1"/>
  <c r="G257" i="1"/>
  <c r="G259" i="1" s="1"/>
  <c r="G214" i="1"/>
  <c r="F137" i="1"/>
  <c r="F63" i="1" s="1"/>
  <c r="F176" i="1"/>
  <c r="F117" i="1" s="1"/>
  <c r="F257" i="1"/>
  <c r="F259" i="1" s="1"/>
  <c r="N193" i="1"/>
  <c r="N205" i="1"/>
  <c r="O176" i="1"/>
  <c r="O117" i="1" s="1"/>
  <c r="O45" i="1"/>
  <c r="O137" i="1"/>
  <c r="O63" i="1" s="1"/>
  <c r="AL252" i="1"/>
  <c r="N66" i="1"/>
  <c r="AJ20" i="1"/>
  <c r="AL233" i="1"/>
  <c r="AI24" i="1"/>
  <c r="AM19" i="1"/>
  <c r="G217" i="1"/>
  <c r="F252" i="1"/>
  <c r="M190" i="1"/>
  <c r="M189" i="1" s="1"/>
  <c r="M165" i="1"/>
  <c r="R45" i="1"/>
  <c r="R176" i="1"/>
  <c r="R117" i="1" s="1"/>
  <c r="G137" i="1"/>
  <c r="G63" i="1" s="1"/>
  <c r="G215" i="1"/>
  <c r="G100" i="1"/>
  <c r="G183" i="1"/>
  <c r="H176" i="1"/>
  <c r="H117" i="1" s="1"/>
  <c r="H256" i="1"/>
  <c r="I217" i="1"/>
  <c r="P165" i="1"/>
  <c r="P173" i="1" s="1"/>
  <c r="Q204" i="1"/>
  <c r="M204" i="1"/>
  <c r="L165" i="1"/>
  <c r="S193" i="1"/>
  <c r="S192" i="1" s="1"/>
  <c r="T205" i="1"/>
  <c r="K214" i="1"/>
  <c r="K137" i="1"/>
  <c r="K63" i="1" s="1"/>
  <c r="BL110" i="1"/>
  <c r="BL112" i="1"/>
  <c r="R205" i="1"/>
  <c r="R193" i="1"/>
  <c r="BV190" i="1"/>
  <c r="BV165" i="1"/>
  <c r="BV173" i="1" s="1"/>
  <c r="BV176" i="1"/>
  <c r="BW257" i="1"/>
  <c r="AV110" i="1"/>
  <c r="AV112" i="1"/>
  <c r="AV111" i="1"/>
  <c r="AX112" i="1"/>
  <c r="AX111" i="1"/>
  <c r="BT111" i="1"/>
  <c r="BT112" i="1"/>
  <c r="BT110" i="1"/>
  <c r="U137" i="1"/>
  <c r="U63" i="1" s="1"/>
  <c r="U45" i="1"/>
  <c r="U214" i="1"/>
  <c r="V217" i="1"/>
  <c r="U256" i="1"/>
  <c r="AW111" i="1"/>
  <c r="AW110" i="1"/>
  <c r="AW112" i="1"/>
  <c r="BH137" i="1"/>
  <c r="BH176" i="1"/>
  <c r="BV111" i="1"/>
  <c r="BV112" i="1"/>
  <c r="BV110" i="1"/>
  <c r="BX110" i="1"/>
  <c r="BX111" i="1"/>
  <c r="AR110" i="1"/>
  <c r="AR111" i="1"/>
  <c r="AV233" i="1"/>
  <c r="AY19" i="1"/>
  <c r="AU24" i="1"/>
  <c r="AY196" i="1"/>
  <c r="Q66" i="1"/>
  <c r="AX233" i="1"/>
  <c r="BA25" i="1"/>
  <c r="BA26" i="1"/>
  <c r="BA36" i="1"/>
  <c r="BZ111" i="1"/>
  <c r="BZ110" i="1"/>
  <c r="BZ112" i="1"/>
  <c r="S137" i="1"/>
  <c r="S63" i="1" s="1"/>
  <c r="S176" i="1"/>
  <c r="S117" i="1" s="1"/>
  <c r="BB112" i="1"/>
  <c r="BB111" i="1"/>
  <c r="BB110" i="1"/>
  <c r="T217" i="1"/>
  <c r="S256" i="1"/>
  <c r="BK19" i="1"/>
  <c r="BK196" i="1"/>
  <c r="BG196" i="1"/>
  <c r="BG19" i="1"/>
  <c r="BX233" i="1"/>
  <c r="BY233" i="1"/>
  <c r="BX196" i="1"/>
  <c r="U190" i="1"/>
  <c r="V204" i="1"/>
  <c r="BH189" i="1"/>
  <c r="AR233" i="1"/>
  <c r="BV35" i="1"/>
  <c r="R165" i="1"/>
  <c r="H217" i="1"/>
  <c r="S183" i="1"/>
  <c r="L204" i="1"/>
  <c r="I214" i="1"/>
  <c r="W257" i="1"/>
  <c r="W259" i="1" s="1"/>
  <c r="K257" i="1"/>
  <c r="K259" i="1" s="1"/>
  <c r="B183" i="1"/>
  <c r="E41" i="1"/>
  <c r="V257" i="1"/>
  <c r="V259" i="1" s="1"/>
  <c r="J257" i="1"/>
  <c r="J259" i="1" s="1"/>
  <c r="O214" i="1"/>
  <c r="AV19" i="1"/>
  <c r="AP111" i="1"/>
  <c r="AV196" i="1"/>
  <c r="AS233" i="1"/>
  <c r="AS20" i="1"/>
  <c r="BH165" i="1"/>
  <c r="K193" i="1"/>
  <c r="C204" i="1"/>
  <c r="P257" i="1"/>
  <c r="P259" i="1" s="1"/>
  <c r="V214" i="1"/>
  <c r="I137" i="1"/>
  <c r="I63" i="1" s="1"/>
  <c r="E205" i="1"/>
  <c r="P254" i="1"/>
  <c r="F100" i="1"/>
  <c r="F102" i="1" s="1"/>
  <c r="U204" i="1"/>
  <c r="F215" i="1"/>
  <c r="S214" i="1"/>
  <c r="BP35" i="1"/>
  <c r="BO35" i="1"/>
  <c r="F254" i="1"/>
  <c r="BA27" i="1"/>
  <c r="BP189" i="1"/>
  <c r="G205" i="1"/>
  <c r="O257" i="1"/>
  <c r="O259" i="1" s="1"/>
  <c r="P137" i="1"/>
  <c r="P63" i="1" s="1"/>
  <c r="U176" i="1"/>
  <c r="U117" i="1" s="1"/>
  <c r="G62" i="1"/>
  <c r="S45" i="1"/>
  <c r="V176" i="1"/>
  <c r="V117" i="1" s="1"/>
  <c r="V183" i="1"/>
  <c r="C205" i="1"/>
  <c r="C62" i="1"/>
  <c r="C183" i="1"/>
  <c r="BI112" i="1"/>
  <c r="V137" i="1"/>
  <c r="V63" i="1" s="1"/>
  <c r="T257" i="1"/>
  <c r="T259" i="1" s="1"/>
  <c r="BG24" i="1"/>
  <c r="BL111" i="1"/>
  <c r="AZ25" i="1"/>
  <c r="BS233" i="1"/>
  <c r="AZ192" i="1"/>
  <c r="BT192" i="1"/>
  <c r="E165" i="1"/>
  <c r="V62" i="1"/>
  <c r="L214" i="1"/>
  <c r="F214" i="1"/>
  <c r="V256" i="1"/>
  <c r="K176" i="1"/>
  <c r="K117" i="1" s="1"/>
  <c r="T137" i="1"/>
  <c r="T63" i="1" s="1"/>
  <c r="T204" i="1"/>
  <c r="F256" i="1"/>
  <c r="H215" i="1"/>
  <c r="S205" i="1"/>
  <c r="K204" i="1"/>
  <c r="BP20" i="1"/>
  <c r="BQ196" i="1"/>
  <c r="P66" i="1"/>
  <c r="AR112" i="1"/>
  <c r="BG20" i="1"/>
  <c r="BP24" i="1"/>
  <c r="V100" i="1"/>
  <c r="L257" i="1"/>
  <c r="L259" i="1" s="1"/>
  <c r="T165" i="1"/>
  <c r="Q214" i="1"/>
  <c r="K45" i="1"/>
  <c r="T45" i="1"/>
  <c r="B256" i="1"/>
  <c r="F165" i="1"/>
  <c r="F173" i="1" s="1"/>
  <c r="T66" i="1"/>
  <c r="BT19" i="1"/>
  <c r="J214" i="1"/>
  <c r="B62" i="1"/>
  <c r="U257" i="1"/>
  <c r="U259" i="1" s="1"/>
  <c r="AS112" i="1"/>
  <c r="BZ233" i="1"/>
  <c r="AZ112" i="1"/>
  <c r="CA19" i="1"/>
  <c r="AX110" i="1"/>
  <c r="BI257" i="1"/>
  <c r="O104" i="1"/>
  <c r="BV256" i="1"/>
  <c r="BY111" i="1"/>
  <c r="BW35" i="1"/>
  <c r="BZ252" i="1"/>
  <c r="BY110" i="1"/>
  <c r="BJ214" i="1"/>
  <c r="BV100" i="1"/>
  <c r="X66" i="1"/>
  <c r="BI214" i="1"/>
  <c r="P252" i="1"/>
  <c r="BW110" i="1"/>
  <c r="AS111" i="1"/>
  <c r="O103" i="1"/>
  <c r="BW112" i="1"/>
  <c r="BW20" i="1"/>
  <c r="BW233" i="1"/>
  <c r="BH192" i="1"/>
  <c r="AW210" i="1"/>
  <c r="AU111" i="1"/>
  <c r="BW196" i="1"/>
  <c r="BJ233" i="1"/>
  <c r="BX20" i="1"/>
  <c r="BP233" i="1"/>
  <c r="BQ233" i="1"/>
  <c r="AR35" i="1"/>
  <c r="BK111" i="1"/>
  <c r="BK233" i="1"/>
  <c r="AU35" i="1"/>
  <c r="BR111" i="1"/>
  <c r="BH233" i="1"/>
  <c r="BX112" i="1"/>
  <c r="BH19" i="1"/>
  <c r="S257" i="1"/>
  <c r="S259" i="1" s="1"/>
  <c r="S165" i="1"/>
  <c r="S173" i="1" s="1"/>
  <c r="E62" i="1"/>
  <c r="E215" i="1"/>
  <c r="E213" i="1" s="1"/>
  <c r="E183" i="1"/>
  <c r="E100" i="1"/>
  <c r="BH24" i="1"/>
  <c r="BW24" i="1"/>
  <c r="BP19" i="1"/>
  <c r="BI233" i="1"/>
  <c r="BP196" i="1"/>
  <c r="AR24" i="1"/>
  <c r="BM196" i="1"/>
  <c r="AS196" i="1"/>
  <c r="BT196" i="1"/>
  <c r="BW19" i="1"/>
  <c r="BU196" i="1"/>
  <c r="AU196" i="1"/>
  <c r="AW196" i="1"/>
  <c r="CA196" i="1"/>
  <c r="AZ111" i="1"/>
  <c r="BH196" i="1"/>
  <c r="BG111" i="1"/>
  <c r="BQ20" i="1"/>
  <c r="D204" i="1"/>
  <c r="C173" i="1"/>
  <c r="BI196" i="1"/>
  <c r="BL19" i="1"/>
  <c r="AU233" i="1"/>
  <c r="BH20" i="1"/>
  <c r="AR19" i="1"/>
  <c r="BX252" i="1"/>
  <c r="AU19" i="1"/>
  <c r="BL196" i="1"/>
  <c r="V66" i="1"/>
  <c r="BG112" i="1"/>
  <c r="BH35" i="1"/>
  <c r="C190" i="1"/>
  <c r="C189" i="1" s="1"/>
  <c r="T214" i="1"/>
  <c r="BI20" i="1"/>
  <c r="CB196" i="1"/>
  <c r="BJ252" i="1"/>
  <c r="AZ196" i="1"/>
  <c r="BK110" i="1"/>
  <c r="N62" i="1"/>
  <c r="N256" i="1"/>
  <c r="N100" i="1"/>
  <c r="N183" i="1"/>
  <c r="O215" i="1"/>
  <c r="O213" i="1" s="1"/>
  <c r="AR146" i="1"/>
  <c r="AR254" i="1" s="1"/>
  <c r="AS142" i="1"/>
  <c r="AS146" i="1" s="1"/>
  <c r="BU210" i="1"/>
  <c r="BR257" i="1"/>
  <c r="AR189" i="1"/>
  <c r="C211" i="1"/>
  <c r="C209" i="1" s="1"/>
  <c r="H254" i="1"/>
  <c r="H252" i="1"/>
  <c r="V213" i="1"/>
  <c r="D211" i="1"/>
  <c r="D209" i="1" s="1"/>
  <c r="S254" i="1"/>
  <c r="S252" i="1"/>
  <c r="C76" i="1"/>
  <c r="C77" i="1"/>
  <c r="E252" i="1"/>
  <c r="E254" i="1"/>
  <c r="F211" i="1"/>
  <c r="F209" i="1" s="1"/>
  <c r="E211" i="1"/>
  <c r="E209" i="1" s="1"/>
  <c r="D77" i="1"/>
  <c r="D76" i="1"/>
  <c r="B194" i="1"/>
  <c r="B189" i="1"/>
  <c r="AR210" i="1"/>
  <c r="AQ210" i="1"/>
  <c r="BB176" i="1"/>
  <c r="AV176" i="1"/>
  <c r="Q103" i="1"/>
  <c r="Q104" i="1"/>
  <c r="Q102" i="1"/>
  <c r="C192" i="1"/>
  <c r="BS41" i="1"/>
  <c r="BS142" i="1"/>
  <c r="BR146" i="1"/>
  <c r="V252" i="1"/>
  <c r="V254" i="1"/>
  <c r="AQ257" i="1"/>
  <c r="AN100" i="1"/>
  <c r="AN103" i="1" s="1"/>
  <c r="AN256" i="1"/>
  <c r="AV257" i="1"/>
  <c r="Q254" i="1"/>
  <c r="Q252" i="1"/>
  <c r="Q211" i="1"/>
  <c r="Q209" i="1" s="1"/>
  <c r="AR214" i="1"/>
  <c r="AR257" i="1"/>
  <c r="BC41" i="1"/>
  <c r="BB146" i="1"/>
  <c r="BC142" i="1"/>
  <c r="Q192" i="1"/>
  <c r="AV214" i="1"/>
  <c r="BT137" i="1"/>
  <c r="E192" i="1"/>
  <c r="BN176" i="1"/>
  <c r="BN137" i="1"/>
  <c r="BC214" i="1"/>
  <c r="BC257" i="1"/>
  <c r="T189" i="1"/>
  <c r="O192" i="1"/>
  <c r="BB137" i="1"/>
  <c r="AT256" i="1"/>
  <c r="AS214" i="1"/>
  <c r="AS257" i="1"/>
  <c r="AR176" i="1"/>
  <c r="AS45" i="1" s="1"/>
  <c r="AR137" i="1"/>
  <c r="AR100" i="1"/>
  <c r="AX100" i="1"/>
  <c r="AX256" i="1"/>
  <c r="BU41" i="1"/>
  <c r="BT146" i="1"/>
  <c r="BU142" i="1"/>
  <c r="BG142" i="1"/>
  <c r="BG41" i="1"/>
  <c r="BF146" i="1"/>
  <c r="AW41" i="1"/>
  <c r="AV146" i="1"/>
  <c r="AW142" i="1"/>
  <c r="BE41" i="1"/>
  <c r="BE142" i="1"/>
  <c r="BD146" i="1"/>
  <c r="AQ142" i="1"/>
  <c r="AP146" i="1"/>
  <c r="AQ41" i="1"/>
  <c r="AT190" i="1"/>
  <c r="AT165" i="1"/>
  <c r="BB103" i="1"/>
  <c r="BB104" i="1"/>
  <c r="BB102" i="1"/>
  <c r="AO257" i="1"/>
  <c r="AO214" i="1"/>
  <c r="AN257" i="1"/>
  <c r="AN214" i="1"/>
  <c r="AN137" i="1"/>
  <c r="AN176" i="1"/>
  <c r="BN146" i="1"/>
  <c r="BO142" i="1"/>
  <c r="BO41" i="1"/>
  <c r="AY142" i="1"/>
  <c r="AX146" i="1"/>
  <c r="AY41" i="1"/>
  <c r="AR193" i="1"/>
  <c r="AR165" i="1"/>
  <c r="BN256" i="1"/>
  <c r="BN100" i="1"/>
  <c r="BF214" i="1"/>
  <c r="BF176" i="1"/>
  <c r="BP257" i="1"/>
  <c r="BP214" i="1"/>
  <c r="BP176" i="1"/>
  <c r="BR137" i="1"/>
  <c r="BS257" i="1"/>
  <c r="BS214" i="1"/>
  <c r="BR176" i="1"/>
  <c r="BA142" i="1"/>
  <c r="BA41" i="1"/>
  <c r="AZ146" i="1"/>
  <c r="BQ41" i="1"/>
  <c r="BP146" i="1"/>
  <c r="BQ142" i="1"/>
  <c r="BC217" i="1"/>
  <c r="BB256" i="1"/>
  <c r="AR256" i="1"/>
  <c r="AX214" i="1"/>
  <c r="AX176" i="1"/>
  <c r="AX137" i="1"/>
  <c r="AX257" i="1"/>
  <c r="BO210" i="1"/>
  <c r="BP210" i="1"/>
  <c r="AT146" i="1"/>
  <c r="AU41" i="1"/>
  <c r="AU142" i="1"/>
  <c r="BD100" i="1"/>
  <c r="BD256" i="1"/>
  <c r="BO214" i="1"/>
  <c r="BO257" i="1"/>
  <c r="BN257" i="1"/>
  <c r="BN214" i="1"/>
  <c r="AW257" i="1"/>
  <c r="AW214" i="1"/>
  <c r="AN190" i="1"/>
  <c r="AN165" i="1"/>
  <c r="BT210" i="1"/>
  <c r="BS210" i="1"/>
  <c r="BV257" i="1"/>
  <c r="BU257" i="1"/>
  <c r="BU214" i="1"/>
  <c r="BV214" i="1"/>
  <c r="BT176" i="1"/>
  <c r="BT257" i="1"/>
  <c r="BT214" i="1"/>
  <c r="AP210" i="1"/>
  <c r="AO210" i="1"/>
  <c r="AZ176" i="1"/>
  <c r="AZ257" i="1"/>
  <c r="AZ137" i="1"/>
  <c r="AZ214" i="1"/>
  <c r="AN192" i="1"/>
  <c r="AT137" i="1"/>
  <c r="AT257" i="1"/>
  <c r="AT214" i="1"/>
  <c r="AT176" i="1"/>
  <c r="BD214" i="1"/>
  <c r="BD137" i="1"/>
  <c r="BE257" i="1"/>
  <c r="BE214" i="1"/>
  <c r="BD176" i="1"/>
  <c r="BD257" i="1"/>
  <c r="AV100" i="1"/>
  <c r="AV256" i="1"/>
  <c r="AQ214" i="1"/>
  <c r="AP214" i="1"/>
  <c r="AP257" i="1"/>
  <c r="BG257" i="1"/>
  <c r="BH257" i="1"/>
  <c r="BB214" i="1"/>
  <c r="BA257" i="1"/>
  <c r="BB257" i="1"/>
  <c r="BA214" i="1"/>
  <c r="AU214" i="1"/>
  <c r="AU257" i="1"/>
  <c r="BP194" i="1"/>
  <c r="BP197" i="1" s="1"/>
  <c r="BR214" i="1"/>
  <c r="AY214" i="1"/>
  <c r="AY257" i="1"/>
  <c r="AQ217" i="1"/>
  <c r="AP256" i="1"/>
  <c r="AZ100" i="1"/>
  <c r="AZ256" i="1"/>
  <c r="BS217" i="1"/>
  <c r="BR256" i="1"/>
  <c r="BT100" i="1"/>
  <c r="BT256" i="1"/>
  <c r="BF257" i="1"/>
  <c r="BF137" i="1"/>
  <c r="AP176" i="1"/>
  <c r="AP137" i="1"/>
  <c r="AP103" i="1"/>
  <c r="AP102" i="1"/>
  <c r="AP104" i="1"/>
  <c r="AP193" i="1"/>
  <c r="AP165" i="1"/>
  <c r="BF100" i="1"/>
  <c r="BF256" i="1"/>
  <c r="BP104" i="1"/>
  <c r="AV137" i="1"/>
  <c r="BQ257" i="1"/>
  <c r="BP256" i="1"/>
  <c r="BP137" i="1"/>
  <c r="BP165" i="1"/>
  <c r="BG214" i="1"/>
  <c r="BQ214" i="1"/>
  <c r="BP103" i="1"/>
  <c r="AV190" i="1"/>
  <c r="AV194" i="1" s="1"/>
  <c r="AV165" i="1"/>
  <c r="BB190" i="1"/>
  <c r="BB165" i="1"/>
  <c r="BD190" i="1"/>
  <c r="BD165" i="1"/>
  <c r="AX190" i="1"/>
  <c r="AX165" i="1"/>
  <c r="BF190" i="1"/>
  <c r="BF165" i="1"/>
  <c r="BT190" i="1"/>
  <c r="BT165" i="1"/>
  <c r="BR190" i="1"/>
  <c r="BR194" i="1" s="1"/>
  <c r="BR165" i="1"/>
  <c r="BN190" i="1"/>
  <c r="BN165" i="1"/>
  <c r="AZ190" i="1"/>
  <c r="AZ165" i="1"/>
  <c r="AY36" i="1"/>
  <c r="AY25" i="1"/>
  <c r="AZ27" i="1"/>
  <c r="AP36" i="1"/>
  <c r="AP26" i="1"/>
  <c r="AP25" i="1"/>
  <c r="BQ25" i="1"/>
  <c r="BU26" i="1"/>
  <c r="BU36" i="1"/>
  <c r="BY26" i="1"/>
  <c r="BU25" i="1"/>
  <c r="BQ42" i="1"/>
  <c r="BQ46" i="1" s="1"/>
  <c r="BQ37" i="1"/>
  <c r="BQ240" i="1"/>
  <c r="BQ241" i="1" s="1"/>
  <c r="AS25" i="1"/>
  <c r="AS36" i="1"/>
  <c r="AW26" i="1"/>
  <c r="BI25" i="1"/>
  <c r="BM26" i="1"/>
  <c r="BI36" i="1"/>
  <c r="BJ27" i="1"/>
  <c r="BN192" i="1"/>
  <c r="BM25" i="1"/>
  <c r="BQ26" i="1"/>
  <c r="BM36" i="1"/>
  <c r="BM27" i="1"/>
  <c r="BS36" i="1"/>
  <c r="BS25" i="1"/>
  <c r="BD27" i="1"/>
  <c r="BC36" i="1"/>
  <c r="BC25" i="1"/>
  <c r="BC26" i="1"/>
  <c r="AX27" i="1"/>
  <c r="AX25" i="1"/>
  <c r="AX36" i="1"/>
  <c r="AT103" i="1"/>
  <c r="AT104" i="1"/>
  <c r="AT102" i="1"/>
  <c r="AV36" i="1"/>
  <c r="AV25" i="1"/>
  <c r="AW27" i="1"/>
  <c r="AZ26" i="1"/>
  <c r="BW146" i="1"/>
  <c r="BX41" i="1"/>
  <c r="AY27" i="1"/>
  <c r="BV252" i="1"/>
  <c r="BV254" i="1"/>
  <c r="BR104" i="1"/>
  <c r="BR102" i="1"/>
  <c r="BR103" i="1"/>
  <c r="BH254" i="1"/>
  <c r="BH252" i="1"/>
  <c r="BJ41" i="1"/>
  <c r="BI146" i="1"/>
  <c r="BJ211" i="1" s="1"/>
  <c r="BJ209" i="1" s="1"/>
  <c r="BJ49" i="1"/>
  <c r="BJ48" i="1"/>
  <c r="CR202" i="1"/>
  <c r="CR140" i="1"/>
  <c r="CQ211" i="1"/>
  <c r="CQ209" i="1" s="1"/>
  <c r="AB214" i="1"/>
  <c r="DB71" i="1"/>
  <c r="DA73" i="1"/>
  <c r="N173" i="1" l="1"/>
  <c r="N174" i="1" s="1"/>
  <c r="H174" i="1"/>
  <c r="P206" i="1"/>
  <c r="P207" i="1" s="1"/>
  <c r="R213" i="1"/>
  <c r="X209" i="1"/>
  <c r="T252" i="1"/>
  <c r="U213" i="1"/>
  <c r="S67" i="1"/>
  <c r="AX26" i="1"/>
  <c r="BU27" i="1"/>
  <c r="AQ36" i="1"/>
  <c r="BE36" i="1"/>
  <c r="BB26" i="1"/>
  <c r="AQ25" i="1"/>
  <c r="R67" i="1"/>
  <c r="S213" i="1"/>
  <c r="G206" i="1"/>
  <c r="G207" i="1" s="1"/>
  <c r="BT26" i="1"/>
  <c r="T173" i="1"/>
  <c r="Q213" i="1"/>
  <c r="T254" i="1"/>
  <c r="J213" i="1"/>
  <c r="S174" i="1"/>
  <c r="U103" i="1"/>
  <c r="D206" i="1"/>
  <c r="D207" i="1" s="1"/>
  <c r="G119" i="1"/>
  <c r="G122" i="1" s="1"/>
  <c r="F189" i="1"/>
  <c r="T103" i="1"/>
  <c r="T102" i="1"/>
  <c r="N252" i="1"/>
  <c r="L252" i="1"/>
  <c r="I103" i="1"/>
  <c r="J252" i="1"/>
  <c r="T211" i="1"/>
  <c r="T209" i="1" s="1"/>
  <c r="F119" i="1"/>
  <c r="F122" i="1" s="1"/>
  <c r="T118" i="1"/>
  <c r="T121" i="1" s="1"/>
  <c r="J118" i="1"/>
  <c r="J121" i="1" s="1"/>
  <c r="H118" i="1"/>
  <c r="H121" i="1" s="1"/>
  <c r="L189" i="1"/>
  <c r="K103" i="1"/>
  <c r="K102" i="1"/>
  <c r="Q173" i="1"/>
  <c r="S104" i="1"/>
  <c r="P189" i="1"/>
  <c r="N189" i="1"/>
  <c r="BL27" i="1"/>
  <c r="BE25" i="1"/>
  <c r="BT36" i="1"/>
  <c r="BB27" i="1"/>
  <c r="B77" i="1"/>
  <c r="B95" i="1" s="1"/>
  <c r="H102" i="1"/>
  <c r="H104" i="1"/>
  <c r="U102" i="1"/>
  <c r="F194" i="1"/>
  <c r="T104" i="1"/>
  <c r="L211" i="1"/>
  <c r="L209" i="1" s="1"/>
  <c r="W211" i="1"/>
  <c r="W209" i="1" s="1"/>
  <c r="N254" i="1"/>
  <c r="L254" i="1"/>
  <c r="I102" i="1"/>
  <c r="I104" i="1"/>
  <c r="J254" i="1"/>
  <c r="K211" i="1"/>
  <c r="K209" i="1" s="1"/>
  <c r="F118" i="1"/>
  <c r="F121" i="1" s="1"/>
  <c r="T119" i="1"/>
  <c r="T122" i="1" s="1"/>
  <c r="J119" i="1"/>
  <c r="J122" i="1" s="1"/>
  <c r="H119" i="1"/>
  <c r="H122" i="1" s="1"/>
  <c r="D173" i="1"/>
  <c r="K104" i="1"/>
  <c r="H189" i="1"/>
  <c r="S103" i="1"/>
  <c r="S102" i="1"/>
  <c r="L119" i="1"/>
  <c r="L122" i="1" s="1"/>
  <c r="L118" i="1"/>
  <c r="L121" i="1" s="1"/>
  <c r="BK36" i="1"/>
  <c r="BK27" i="1"/>
  <c r="AT26" i="1"/>
  <c r="AQ27" i="1"/>
  <c r="BX26" i="1"/>
  <c r="AQ26" i="1"/>
  <c r="BB36" i="1"/>
  <c r="BK25" i="1"/>
  <c r="AT27" i="1"/>
  <c r="BI26" i="1"/>
  <c r="BT27" i="1"/>
  <c r="BT25" i="1"/>
  <c r="BB25" i="1"/>
  <c r="BF26" i="1"/>
  <c r="BN12" i="1"/>
  <c r="BE26" i="1"/>
  <c r="I213" i="1"/>
  <c r="E206" i="1"/>
  <c r="E207" i="1" s="1"/>
  <c r="U206" i="1"/>
  <c r="U207" i="1" s="1"/>
  <c r="T206" i="1"/>
  <c r="T207" i="1" s="1"/>
  <c r="T213" i="1"/>
  <c r="N213" i="1"/>
  <c r="BC27" i="1"/>
  <c r="M173" i="1"/>
  <c r="L173" i="1"/>
  <c r="L174" i="1" s="1"/>
  <c r="K213" i="1"/>
  <c r="V206" i="1"/>
  <c r="V207" i="1" s="1"/>
  <c r="M104" i="1"/>
  <c r="M103" i="1"/>
  <c r="BO12" i="1"/>
  <c r="BH173" i="1"/>
  <c r="BH174" i="1" s="1"/>
  <c r="S206" i="1"/>
  <c r="S207" i="1" s="1"/>
  <c r="R254" i="1"/>
  <c r="R211" i="1"/>
  <c r="R209" i="1" s="1"/>
  <c r="H213" i="1"/>
  <c r="M102" i="1"/>
  <c r="D213" i="1"/>
  <c r="G118" i="1"/>
  <c r="G121" i="1" s="1"/>
  <c r="D119" i="1"/>
  <c r="D122" i="1" s="1"/>
  <c r="J173" i="1"/>
  <c r="J174" i="1" s="1"/>
  <c r="S211" i="1"/>
  <c r="S209" i="1" s="1"/>
  <c r="H206" i="1"/>
  <c r="H207" i="1" s="1"/>
  <c r="P119" i="1"/>
  <c r="P122" i="1" s="1"/>
  <c r="BE27" i="1"/>
  <c r="BD25" i="1"/>
  <c r="BD36" i="1"/>
  <c r="BD26" i="1"/>
  <c r="C213" i="1"/>
  <c r="U173" i="1"/>
  <c r="U174" i="1" s="1"/>
  <c r="J206" i="1"/>
  <c r="J207" i="1" s="1"/>
  <c r="V174" i="1"/>
  <c r="M213" i="1"/>
  <c r="AT36" i="1"/>
  <c r="BK12" i="1"/>
  <c r="G213" i="1"/>
  <c r="P174" i="1"/>
  <c r="T174" i="1"/>
  <c r="F174" i="1"/>
  <c r="BM12" i="1"/>
  <c r="R173" i="1"/>
  <c r="R174" i="1" s="1"/>
  <c r="I173" i="1"/>
  <c r="I174" i="1" s="1"/>
  <c r="Q206" i="1"/>
  <c r="Q207" i="1" s="1"/>
  <c r="L213" i="1"/>
  <c r="E173" i="1"/>
  <c r="G173" i="1"/>
  <c r="G174" i="1" s="1"/>
  <c r="Q119" i="1"/>
  <c r="Q122" i="1" s="1"/>
  <c r="Q118" i="1"/>
  <c r="Q121" i="1" s="1"/>
  <c r="G211" i="1"/>
  <c r="G209" i="1" s="1"/>
  <c r="G252" i="1"/>
  <c r="G254" i="1"/>
  <c r="H211" i="1"/>
  <c r="H209" i="1" s="1"/>
  <c r="I211" i="1"/>
  <c r="I209" i="1" s="1"/>
  <c r="I252" i="1"/>
  <c r="I254" i="1"/>
  <c r="J211" i="1"/>
  <c r="J209" i="1" s="1"/>
  <c r="O119" i="1"/>
  <c r="O122" i="1" s="1"/>
  <c r="O118" i="1"/>
  <c r="O121" i="1" s="1"/>
  <c r="C118" i="1"/>
  <c r="C121" i="1" s="1"/>
  <c r="C119" i="1"/>
  <c r="C122" i="1" s="1"/>
  <c r="N211" i="1"/>
  <c r="N209" i="1" s="1"/>
  <c r="M211" i="1"/>
  <c r="M209" i="1" s="1"/>
  <c r="M252" i="1"/>
  <c r="M254" i="1"/>
  <c r="K173" i="1"/>
  <c r="J102" i="1"/>
  <c r="J103" i="1"/>
  <c r="J104" i="1"/>
  <c r="L194" i="1"/>
  <c r="H194" i="1"/>
  <c r="D192" i="1"/>
  <c r="D194" i="1"/>
  <c r="I206" i="1"/>
  <c r="I207" i="1" s="1"/>
  <c r="Q174" i="1"/>
  <c r="R206" i="1"/>
  <c r="R207" i="1" s="1"/>
  <c r="M206" i="1"/>
  <c r="M207" i="1" s="1"/>
  <c r="N206" i="1"/>
  <c r="N207" i="1" s="1"/>
  <c r="O206" i="1"/>
  <c r="O207" i="1" s="1"/>
  <c r="J192" i="1"/>
  <c r="J194" i="1"/>
  <c r="L206" i="1"/>
  <c r="L207" i="1" s="1"/>
  <c r="P213" i="1"/>
  <c r="K252" i="1"/>
  <c r="K254" i="1"/>
  <c r="P102" i="1"/>
  <c r="P103" i="1"/>
  <c r="P104" i="1"/>
  <c r="U118" i="1"/>
  <c r="U121" i="1" s="1"/>
  <c r="U119" i="1"/>
  <c r="U122" i="1" s="1"/>
  <c r="P194" i="1"/>
  <c r="N119" i="1"/>
  <c r="N122" i="1" s="1"/>
  <c r="N118" i="1"/>
  <c r="N121" i="1" s="1"/>
  <c r="AO142" i="1"/>
  <c r="AO41" i="1"/>
  <c r="AN146" i="1"/>
  <c r="AN254" i="1" s="1"/>
  <c r="Q194" i="1"/>
  <c r="O194" i="1"/>
  <c r="DB73" i="1"/>
  <c r="AE71" i="1"/>
  <c r="AE73" i="1" s="1"/>
  <c r="F104" i="1"/>
  <c r="F103" i="1"/>
  <c r="M174" i="1"/>
  <c r="BV174" i="1"/>
  <c r="K206" i="1"/>
  <c r="K207" i="1" s="1"/>
  <c r="E174" i="1"/>
  <c r="BD38" i="1"/>
  <c r="AM93" i="1"/>
  <c r="AM95" i="1"/>
  <c r="AM94" i="1"/>
  <c r="AM137" i="1"/>
  <c r="AM63" i="1" s="1"/>
  <c r="AM62" i="1"/>
  <c r="AM215" i="1"/>
  <c r="AM213" i="1" s="1"/>
  <c r="AM100" i="1"/>
  <c r="AW42" i="1"/>
  <c r="AW46" i="1" s="1"/>
  <c r="BA38" i="1"/>
  <c r="AW240" i="1"/>
  <c r="AW241" i="1" s="1"/>
  <c r="AW37" i="1"/>
  <c r="I194" i="1"/>
  <c r="I192" i="1"/>
  <c r="BR25" i="1"/>
  <c r="BR27" i="1"/>
  <c r="BS27" i="1"/>
  <c r="BR36" i="1"/>
  <c r="BN25" i="1"/>
  <c r="BO27" i="1"/>
  <c r="BN27" i="1"/>
  <c r="BN36" i="1"/>
  <c r="U67" i="1"/>
  <c r="BR26" i="1"/>
  <c r="BN26" i="1"/>
  <c r="O67" i="1"/>
  <c r="AO27" i="1"/>
  <c r="AN25" i="1"/>
  <c r="AN27" i="1"/>
  <c r="AN26" i="1"/>
  <c r="AN36" i="1"/>
  <c r="AR26" i="1"/>
  <c r="AS26" i="1"/>
  <c r="AO25" i="1"/>
  <c r="AO26" i="1"/>
  <c r="AP27" i="1"/>
  <c r="AO36" i="1"/>
  <c r="M194" i="1"/>
  <c r="M192" i="1"/>
  <c r="V211" i="1"/>
  <c r="V209" i="1" s="1"/>
  <c r="U252" i="1"/>
  <c r="U211" i="1"/>
  <c r="U209" i="1" s="1"/>
  <c r="U254" i="1"/>
  <c r="M118" i="1"/>
  <c r="M121" i="1" s="1"/>
  <c r="M119" i="1"/>
  <c r="M122" i="1" s="1"/>
  <c r="V194" i="1"/>
  <c r="V192" i="1"/>
  <c r="G192" i="1"/>
  <c r="G194" i="1"/>
  <c r="O254" i="1"/>
  <c r="P211" i="1"/>
  <c r="P209" i="1" s="1"/>
  <c r="O211" i="1"/>
  <c r="O209" i="1" s="1"/>
  <c r="O252" i="1"/>
  <c r="O173" i="1"/>
  <c r="O174" i="1" s="1"/>
  <c r="E118" i="1"/>
  <c r="E121" i="1" s="1"/>
  <c r="E119" i="1"/>
  <c r="E122" i="1" s="1"/>
  <c r="S194" i="1"/>
  <c r="S189" i="1"/>
  <c r="AZ42" i="1"/>
  <c r="AZ46" i="1" s="1"/>
  <c r="AZ37" i="1"/>
  <c r="BA39" i="1"/>
  <c r="AZ240" i="1"/>
  <c r="AZ241" i="1" s="1"/>
  <c r="E189" i="1"/>
  <c r="E194" i="1"/>
  <c r="BO25" i="1"/>
  <c r="BO26" i="1"/>
  <c r="BS26" i="1"/>
  <c r="BO36" i="1"/>
  <c r="T192" i="1"/>
  <c r="T194" i="1"/>
  <c r="T197" i="1" s="1"/>
  <c r="T198" i="1" s="1"/>
  <c r="N192" i="1"/>
  <c r="N194" i="1"/>
  <c r="R194" i="1"/>
  <c r="R192" i="1"/>
  <c r="BA258" i="1"/>
  <c r="BA259" i="1" s="1"/>
  <c r="BA37" i="1"/>
  <c r="BA240" i="1"/>
  <c r="BA241" i="1" s="1"/>
  <c r="BA42" i="1"/>
  <c r="BA46" i="1" s="1"/>
  <c r="S119" i="1"/>
  <c r="S122" i="1" s="1"/>
  <c r="S118" i="1"/>
  <c r="S121" i="1" s="1"/>
  <c r="U189" i="1"/>
  <c r="U194" i="1"/>
  <c r="U197" i="1" s="1"/>
  <c r="U198" i="1" s="1"/>
  <c r="K192" i="1"/>
  <c r="K194" i="1"/>
  <c r="V118" i="1"/>
  <c r="V121" i="1" s="1"/>
  <c r="V119" i="1"/>
  <c r="V122" i="1" s="1"/>
  <c r="BG27" i="1"/>
  <c r="BG26" i="1"/>
  <c r="BG25" i="1"/>
  <c r="BH27" i="1"/>
  <c r="BK26" i="1"/>
  <c r="T67" i="1"/>
  <c r="BG36" i="1"/>
  <c r="V104" i="1"/>
  <c r="V102" i="1"/>
  <c r="V103" i="1"/>
  <c r="BL26" i="1"/>
  <c r="BH36" i="1"/>
  <c r="BH25" i="1"/>
  <c r="AV26" i="1"/>
  <c r="P67" i="1"/>
  <c r="AR27" i="1"/>
  <c r="C174" i="1"/>
  <c r="C252" i="1"/>
  <c r="BW27" i="1"/>
  <c r="BV36" i="1"/>
  <c r="BV27" i="1"/>
  <c r="G102" i="1"/>
  <c r="G104" i="1"/>
  <c r="G103" i="1"/>
  <c r="BV104" i="1"/>
  <c r="BV103" i="1"/>
  <c r="BV102" i="1"/>
  <c r="BV26" i="1"/>
  <c r="BZ26" i="1"/>
  <c r="BV25" i="1"/>
  <c r="R119" i="1"/>
  <c r="R122" i="1" s="1"/>
  <c r="R118" i="1"/>
  <c r="R121" i="1" s="1"/>
  <c r="BV194" i="1"/>
  <c r="BV189" i="1"/>
  <c r="F206" i="1"/>
  <c r="F207" i="1" s="1"/>
  <c r="F221" i="1" s="1"/>
  <c r="C206" i="1"/>
  <c r="C207" i="1" s="1"/>
  <c r="F213" i="1"/>
  <c r="BF36" i="1"/>
  <c r="BF25" i="1"/>
  <c r="BJ26" i="1"/>
  <c r="BF27" i="1"/>
  <c r="B118" i="1"/>
  <c r="B121" i="1" s="1"/>
  <c r="B119" i="1"/>
  <c r="B122" i="1" s="1"/>
  <c r="N67" i="1"/>
  <c r="AI36" i="1"/>
  <c r="AM26" i="1"/>
  <c r="AI25" i="1"/>
  <c r="AJ27" i="1"/>
  <c r="BW45" i="1"/>
  <c r="BV117" i="1"/>
  <c r="BH117" i="1"/>
  <c r="BI45" i="1"/>
  <c r="AU27" i="1"/>
  <c r="AV27" i="1"/>
  <c r="AU36" i="1"/>
  <c r="AY26" i="1"/>
  <c r="AU25" i="1"/>
  <c r="Q67" i="1"/>
  <c r="AU26" i="1"/>
  <c r="K118" i="1"/>
  <c r="K121" i="1" s="1"/>
  <c r="K119" i="1"/>
  <c r="K122" i="1" s="1"/>
  <c r="V67" i="1"/>
  <c r="BP27" i="1"/>
  <c r="BQ27" i="1"/>
  <c r="BP25" i="1"/>
  <c r="BP26" i="1"/>
  <c r="BP36" i="1"/>
  <c r="AR36" i="1"/>
  <c r="AS27" i="1"/>
  <c r="AR25" i="1"/>
  <c r="C194" i="1"/>
  <c r="B93" i="1"/>
  <c r="B94" i="1"/>
  <c r="AR173" i="1"/>
  <c r="AR174" i="1" s="1"/>
  <c r="E102" i="1"/>
  <c r="E103" i="1"/>
  <c r="E104" i="1"/>
  <c r="AT41" i="1"/>
  <c r="BW36" i="1"/>
  <c r="AR252" i="1"/>
  <c r="N103" i="1"/>
  <c r="N102" i="1"/>
  <c r="N104" i="1"/>
  <c r="BW26" i="1"/>
  <c r="BI27" i="1"/>
  <c r="BX27" i="1"/>
  <c r="CA26" i="1"/>
  <c r="BW25" i="1"/>
  <c r="BH26" i="1"/>
  <c r="X67" i="1"/>
  <c r="J221" i="1"/>
  <c r="S221" i="1"/>
  <c r="H218" i="1"/>
  <c r="H219" i="1" s="1"/>
  <c r="T218" i="1"/>
  <c r="T219" i="1" s="1"/>
  <c r="T221" i="1"/>
  <c r="S218" i="1"/>
  <c r="S219" i="1" s="1"/>
  <c r="I221" i="1"/>
  <c r="D78" i="1"/>
  <c r="D218" i="1"/>
  <c r="D219" i="1" s="1"/>
  <c r="D221" i="1"/>
  <c r="B252" i="1"/>
  <c r="B174" i="1"/>
  <c r="C78" i="1"/>
  <c r="B97" i="1"/>
  <c r="C94" i="1"/>
  <c r="C93" i="1"/>
  <c r="C95" i="1"/>
  <c r="D174" i="1"/>
  <c r="D252" i="1"/>
  <c r="Q218" i="1"/>
  <c r="Q219" i="1" s="1"/>
  <c r="I218" i="1"/>
  <c r="I219" i="1" s="1"/>
  <c r="M221" i="1"/>
  <c r="N221" i="1"/>
  <c r="J218" i="1"/>
  <c r="J219" i="1" s="1"/>
  <c r="H221" i="1"/>
  <c r="Q221" i="1"/>
  <c r="N218" i="1"/>
  <c r="N219" i="1" s="1"/>
  <c r="M218" i="1"/>
  <c r="M219" i="1" s="1"/>
  <c r="E218" i="1"/>
  <c r="E219" i="1" s="1"/>
  <c r="E221" i="1"/>
  <c r="AW45" i="1"/>
  <c r="AV117" i="1"/>
  <c r="BS146" i="1"/>
  <c r="BT41" i="1"/>
  <c r="BR254" i="1"/>
  <c r="BR252" i="1"/>
  <c r="AN102" i="1"/>
  <c r="AN104" i="1"/>
  <c r="BR173" i="1"/>
  <c r="BR174" i="1" s="1"/>
  <c r="BB117" i="1"/>
  <c r="BC45" i="1"/>
  <c r="D93" i="1"/>
  <c r="D94" i="1"/>
  <c r="D95" i="1"/>
  <c r="C97" i="1"/>
  <c r="E78" i="1"/>
  <c r="BP173" i="1"/>
  <c r="BP174" i="1" s="1"/>
  <c r="BN117" i="1"/>
  <c r="BO45" i="1"/>
  <c r="AZ41" i="1"/>
  <c r="AY146" i="1"/>
  <c r="BN211" i="1"/>
  <c r="BN209" i="1" s="1"/>
  <c r="BN254" i="1"/>
  <c r="BN252" i="1"/>
  <c r="BN104" i="1"/>
  <c r="BN103" i="1"/>
  <c r="BN102" i="1"/>
  <c r="BP117" i="1"/>
  <c r="BQ45" i="1"/>
  <c r="BB173" i="1"/>
  <c r="BB174" i="1" s="1"/>
  <c r="BF173" i="1"/>
  <c r="BF174" i="1" s="1"/>
  <c r="BT173" i="1"/>
  <c r="BT174" i="1" s="1"/>
  <c r="BF254" i="1"/>
  <c r="BF252" i="1"/>
  <c r="AP254" i="1"/>
  <c r="AP252" i="1"/>
  <c r="BG45" i="1"/>
  <c r="BF117" i="1"/>
  <c r="BD41" i="1"/>
  <c r="BC146" i="1"/>
  <c r="BN173" i="1"/>
  <c r="BN174" i="1" s="1"/>
  <c r="AZ173" i="1"/>
  <c r="AZ174" i="1" s="1"/>
  <c r="BT254" i="1"/>
  <c r="BT252" i="1"/>
  <c r="AW146" i="1"/>
  <c r="AX41" i="1"/>
  <c r="BS45" i="1"/>
  <c r="BR117" i="1"/>
  <c r="BA146" i="1"/>
  <c r="BB41" i="1"/>
  <c r="AZ252" i="1"/>
  <c r="AZ254" i="1"/>
  <c r="BR41" i="1"/>
  <c r="BQ146" i="1"/>
  <c r="AN189" i="1"/>
  <c r="AN194" i="1"/>
  <c r="BB254" i="1"/>
  <c r="BB252" i="1"/>
  <c r="BG146" i="1"/>
  <c r="BH41" i="1"/>
  <c r="AV252" i="1"/>
  <c r="AV254" i="1"/>
  <c r="BE146" i="1"/>
  <c r="BF41" i="1"/>
  <c r="BD252" i="1"/>
  <c r="BD254" i="1"/>
  <c r="AX254" i="1"/>
  <c r="AX252" i="1"/>
  <c r="AU45" i="1"/>
  <c r="AT117" i="1"/>
  <c r="AP173" i="1"/>
  <c r="AP174" i="1" s="1"/>
  <c r="BD173" i="1"/>
  <c r="BD174" i="1" s="1"/>
  <c r="AR102" i="1"/>
  <c r="AR104" i="1"/>
  <c r="AR103" i="1"/>
  <c r="AX104" i="1"/>
  <c r="AX103" i="1"/>
  <c r="AX102" i="1"/>
  <c r="BV41" i="1"/>
  <c r="BU146" i="1"/>
  <c r="AQ146" i="1"/>
  <c r="AR41" i="1"/>
  <c r="AT194" i="1"/>
  <c r="AT189" i="1"/>
  <c r="AO45" i="1"/>
  <c r="AN117" i="1"/>
  <c r="AR194" i="1"/>
  <c r="AR192" i="1"/>
  <c r="AV41" i="1"/>
  <c r="AU146" i="1"/>
  <c r="BD103" i="1"/>
  <c r="BD102" i="1"/>
  <c r="BD104" i="1"/>
  <c r="BU45" i="1"/>
  <c r="BT117" i="1"/>
  <c r="BE45" i="1"/>
  <c r="BD117" i="1"/>
  <c r="AV104" i="1"/>
  <c r="AV102" i="1"/>
  <c r="AV103" i="1"/>
  <c r="AV173" i="1"/>
  <c r="AV174" i="1" s="1"/>
  <c r="AX173" i="1"/>
  <c r="AX174" i="1" s="1"/>
  <c r="BP41" i="1"/>
  <c r="BO146" i="1"/>
  <c r="BP254" i="1"/>
  <c r="BP252" i="1"/>
  <c r="AY45" i="1"/>
  <c r="AX117" i="1"/>
  <c r="AT173" i="1"/>
  <c r="AT174" i="1" s="1"/>
  <c r="AT254" i="1"/>
  <c r="AT252" i="1"/>
  <c r="AP117" i="1"/>
  <c r="AQ45" i="1"/>
  <c r="AZ117" i="1"/>
  <c r="BA45" i="1"/>
  <c r="AZ103" i="1"/>
  <c r="AZ104" i="1"/>
  <c r="AZ102" i="1"/>
  <c r="AP194" i="1"/>
  <c r="AP197" i="1" s="1"/>
  <c r="AP192" i="1"/>
  <c r="AX189" i="1"/>
  <c r="AX194" i="1"/>
  <c r="BF189" i="1"/>
  <c r="BF194" i="1"/>
  <c r="BJ197" i="1" s="1"/>
  <c r="BT104" i="1"/>
  <c r="BT103" i="1"/>
  <c r="BT102" i="1"/>
  <c r="BF103" i="1"/>
  <c r="BF104" i="1"/>
  <c r="BF102" i="1"/>
  <c r="AV189" i="1"/>
  <c r="BR189" i="1"/>
  <c r="BN189" i="1"/>
  <c r="BN194" i="1"/>
  <c r="BB194" i="1"/>
  <c r="BB189" i="1"/>
  <c r="BD189" i="1"/>
  <c r="BD194" i="1"/>
  <c r="BT194" i="1"/>
  <c r="BT189" i="1"/>
  <c r="BX211" i="1"/>
  <c r="BX209" i="1" s="1"/>
  <c r="BW211" i="1"/>
  <c r="BW209" i="1" s="1"/>
  <c r="AZ194" i="1"/>
  <c r="AZ197" i="1" s="1"/>
  <c r="AZ189" i="1"/>
  <c r="BA234" i="1"/>
  <c r="BL120" i="1"/>
  <c r="AQ258" i="1"/>
  <c r="AQ259" i="1" s="1"/>
  <c r="AT38" i="1"/>
  <c r="AQ39" i="1"/>
  <c r="BK39" i="1"/>
  <c r="BK37" i="1"/>
  <c r="BL39" i="1"/>
  <c r="BK240" i="1"/>
  <c r="BK241" i="1" s="1"/>
  <c r="BK42" i="1"/>
  <c r="BK46" i="1" s="1"/>
  <c r="BK258" i="1"/>
  <c r="BK259" i="1" s="1"/>
  <c r="BL258" i="1"/>
  <c r="BL259" i="1" s="1"/>
  <c r="AY37" i="1"/>
  <c r="AY240" i="1"/>
  <c r="AY241" i="1" s="1"/>
  <c r="AY42" i="1"/>
  <c r="AY46" i="1" s="1"/>
  <c r="AZ258" i="1"/>
  <c r="AZ259" i="1" s="1"/>
  <c r="AZ39" i="1"/>
  <c r="AP37" i="1"/>
  <c r="AP38" i="1"/>
  <c r="AP240" i="1"/>
  <c r="AP241" i="1" s="1"/>
  <c r="AP42" i="1"/>
  <c r="AP46" i="1" s="1"/>
  <c r="BM120" i="1"/>
  <c r="BM234" i="1"/>
  <c r="BU38" i="1"/>
  <c r="BU37" i="1"/>
  <c r="BU240" i="1"/>
  <c r="BU241" i="1" s="1"/>
  <c r="BY38" i="1"/>
  <c r="BU42" i="1"/>
  <c r="BU46" i="1" s="1"/>
  <c r="AS211" i="1"/>
  <c r="AS209" i="1" s="1"/>
  <c r="AT211" i="1"/>
  <c r="AT209" i="1" s="1"/>
  <c r="AS240" i="1"/>
  <c r="AS241" i="1" s="1"/>
  <c r="AS42" i="1"/>
  <c r="AS46" i="1" s="1"/>
  <c r="AW38" i="1"/>
  <c r="AT39" i="1"/>
  <c r="AS37" i="1"/>
  <c r="AT258" i="1"/>
  <c r="AT259" i="1" s="1"/>
  <c r="BE38" i="1"/>
  <c r="BI240" i="1"/>
  <c r="BI241" i="1" s="1"/>
  <c r="BI42" i="1"/>
  <c r="BI37" i="1"/>
  <c r="BL234" i="1"/>
  <c r="BJ39" i="1"/>
  <c r="BJ258" i="1"/>
  <c r="BJ259" i="1" s="1"/>
  <c r="BM42" i="1"/>
  <c r="BM46" i="1" s="1"/>
  <c r="BM37" i="1"/>
  <c r="BQ38" i="1"/>
  <c r="BM39" i="1"/>
  <c r="BM38" i="1"/>
  <c r="BM240" i="1"/>
  <c r="BM241" i="1" s="1"/>
  <c r="BM258" i="1"/>
  <c r="BM259" i="1" s="1"/>
  <c r="BD258" i="1"/>
  <c r="BD259" i="1" s="1"/>
  <c r="BE39" i="1"/>
  <c r="BD42" i="1"/>
  <c r="BD46" i="1" s="1"/>
  <c r="BD37" i="1"/>
  <c r="BD240" i="1"/>
  <c r="BD241" i="1" s="1"/>
  <c r="BE258" i="1"/>
  <c r="BE259" i="1" s="1"/>
  <c r="BI38" i="1"/>
  <c r="BE240" i="1"/>
  <c r="BE241" i="1" s="1"/>
  <c r="BE37" i="1"/>
  <c r="BE42" i="1"/>
  <c r="BE46" i="1" s="1"/>
  <c r="BT258" i="1"/>
  <c r="BT259" i="1" s="1"/>
  <c r="BC39" i="1"/>
  <c r="BS42" i="1"/>
  <c r="BS46" i="1" s="1"/>
  <c r="BS37" i="1"/>
  <c r="BS240" i="1"/>
  <c r="BS241" i="1" s="1"/>
  <c r="BG38" i="1"/>
  <c r="BC42" i="1"/>
  <c r="BC37" i="1"/>
  <c r="BC240" i="1"/>
  <c r="BC241" i="1" s="1"/>
  <c r="BC38" i="1"/>
  <c r="BA120" i="1"/>
  <c r="AY120" i="1"/>
  <c r="AY234" i="1"/>
  <c r="AY39" i="1"/>
  <c r="AY258" i="1"/>
  <c r="AY259" i="1" s="1"/>
  <c r="AZ120" i="1"/>
  <c r="BT39" i="1"/>
  <c r="BI211" i="1"/>
  <c r="BI209" i="1" s="1"/>
  <c r="BD234" i="1"/>
  <c r="BC120" i="1"/>
  <c r="BC234" i="1"/>
  <c r="BB234" i="1"/>
  <c r="R68" i="1"/>
  <c r="AV42" i="1"/>
  <c r="AZ38" i="1"/>
  <c r="AV37" i="1"/>
  <c r="AV240" i="1"/>
  <c r="AV241" i="1" s="1"/>
  <c r="AW258" i="1"/>
  <c r="AW259" i="1" s="1"/>
  <c r="AW39" i="1"/>
  <c r="AX258" i="1"/>
  <c r="AX259" i="1" s="1"/>
  <c r="AX240" i="1"/>
  <c r="AX241" i="1" s="1"/>
  <c r="AX38" i="1"/>
  <c r="BB38" i="1"/>
  <c r="AZ234" i="1"/>
  <c r="AX42" i="1"/>
  <c r="AX39" i="1"/>
  <c r="AX37" i="1"/>
  <c r="BB42" i="1"/>
  <c r="BB240" i="1"/>
  <c r="BB241" i="1" s="1"/>
  <c r="BB120" i="1"/>
  <c r="BD120" i="1"/>
  <c r="BB37" i="1"/>
  <c r="BB258" i="1"/>
  <c r="BB259" i="1" s="1"/>
  <c r="BB39" i="1"/>
  <c r="BC258" i="1"/>
  <c r="BC259" i="1" s="1"/>
  <c r="BE234" i="1"/>
  <c r="BE120" i="1"/>
  <c r="AQ37" i="1"/>
  <c r="AT234" i="1"/>
  <c r="AQ240" i="1"/>
  <c r="AQ241" i="1" s="1"/>
  <c r="P68" i="1"/>
  <c r="AQ42" i="1"/>
  <c r="AQ38" i="1"/>
  <c r="AR39" i="1"/>
  <c r="AR258" i="1"/>
  <c r="AR259" i="1" s="1"/>
  <c r="AT120" i="1"/>
  <c r="BT42" i="1"/>
  <c r="BU258" i="1"/>
  <c r="BU259" i="1" s="1"/>
  <c r="BT37" i="1"/>
  <c r="BX38" i="1"/>
  <c r="BU39" i="1"/>
  <c r="BT240" i="1"/>
  <c r="BT241" i="1" s="1"/>
  <c r="BT38" i="1"/>
  <c r="AV38" i="1"/>
  <c r="BJ242" i="1"/>
  <c r="BJ50" i="1"/>
  <c r="BJ253" i="1" s="1"/>
  <c r="BJ56" i="1"/>
  <c r="BQ48" i="1"/>
  <c r="BQ49" i="1"/>
  <c r="CR142" i="1"/>
  <c r="AE150" i="1"/>
  <c r="AC132" i="1"/>
  <c r="BQ39" i="1" l="1"/>
  <c r="BP37" i="1"/>
  <c r="BP38" i="1"/>
  <c r="BP240" i="1"/>
  <c r="BP241" i="1" s="1"/>
  <c r="BP42" i="1"/>
  <c r="BP46" i="1" s="1"/>
  <c r="BQ258" i="1"/>
  <c r="BQ259" i="1" s="1"/>
  <c r="K174" i="1"/>
  <c r="G218" i="1"/>
  <c r="G219" i="1" s="1"/>
  <c r="G221" i="1"/>
  <c r="AP41" i="1"/>
  <c r="AO146" i="1"/>
  <c r="Q197" i="1"/>
  <c r="Q198" i="1" s="1"/>
  <c r="R218" i="1"/>
  <c r="R219" i="1" s="1"/>
  <c r="R221" i="1"/>
  <c r="L221" i="1"/>
  <c r="L218" i="1"/>
  <c r="L219" i="1" s="1"/>
  <c r="BO38" i="1"/>
  <c r="BF39" i="1"/>
  <c r="BO37" i="1"/>
  <c r="BO42" i="1"/>
  <c r="BO46" i="1" s="1"/>
  <c r="BO240" i="1"/>
  <c r="BO241" i="1" s="1"/>
  <c r="AI240" i="1"/>
  <c r="AI241" i="1" s="1"/>
  <c r="AV39" i="1"/>
  <c r="AV258" i="1"/>
  <c r="AV259" i="1" s="1"/>
  <c r="AU38" i="1"/>
  <c r="BS38" i="1"/>
  <c r="BD39" i="1"/>
  <c r="BF120" i="1"/>
  <c r="BF234" i="1"/>
  <c r="BS120" i="1"/>
  <c r="BT234" i="1"/>
  <c r="AZ49" i="1"/>
  <c r="AZ48" i="1"/>
  <c r="BR258" i="1"/>
  <c r="BR259" i="1" s="1"/>
  <c r="BR37" i="1"/>
  <c r="BR39" i="1"/>
  <c r="BS39" i="1"/>
  <c r="V68" i="1"/>
  <c r="BR234" i="1"/>
  <c r="BR240" i="1"/>
  <c r="BR241" i="1" s="1"/>
  <c r="BR120" i="1"/>
  <c r="BR42" i="1"/>
  <c r="BN120" i="1"/>
  <c r="BN234" i="1"/>
  <c r="AX120" i="1"/>
  <c r="AQ120" i="1"/>
  <c r="BT120" i="1"/>
  <c r="BA49" i="1"/>
  <c r="BA48" i="1"/>
  <c r="AW48" i="1"/>
  <c r="AW49" i="1"/>
  <c r="BK38" i="1"/>
  <c r="AS258" i="1"/>
  <c r="AS259" i="1" s="1"/>
  <c r="AS234" i="1"/>
  <c r="AS120" i="1"/>
  <c r="BP39" i="1"/>
  <c r="BP258" i="1"/>
  <c r="BP259" i="1" s="1"/>
  <c r="N68" i="1"/>
  <c r="AL234" i="1"/>
  <c r="AU42" i="1"/>
  <c r="AU46" i="1" s="1"/>
  <c r="AY38" i="1"/>
  <c r="F218" i="1"/>
  <c r="F219" i="1" s="1"/>
  <c r="AN173" i="1"/>
  <c r="AN174" i="1" s="1"/>
  <c r="AN252" i="1"/>
  <c r="AN211" i="1"/>
  <c r="AN209" i="1" s="1"/>
  <c r="V197" i="1"/>
  <c r="V198" i="1" s="1"/>
  <c r="AT42" i="1"/>
  <c r="AT46" i="1" s="1"/>
  <c r="AT240" i="1"/>
  <c r="AT241" i="1" s="1"/>
  <c r="AT37" i="1"/>
  <c r="S197" i="1"/>
  <c r="S198" i="1" s="1"/>
  <c r="R197" i="1"/>
  <c r="R198" i="1" s="1"/>
  <c r="P197" i="1"/>
  <c r="P198" i="1" s="1"/>
  <c r="O197" i="1"/>
  <c r="O198" i="1" s="1"/>
  <c r="M197" i="1"/>
  <c r="M198" i="1" s="1"/>
  <c r="N197" i="1"/>
  <c r="N198" i="1" s="1"/>
  <c r="AM102" i="1"/>
  <c r="AM103" i="1"/>
  <c r="AM104" i="1"/>
  <c r="AU234" i="1"/>
  <c r="AU39" i="1"/>
  <c r="AU240" i="1"/>
  <c r="AU241" i="1" s="1"/>
  <c r="AU37" i="1"/>
  <c r="BS258" i="1"/>
  <c r="BS259" i="1" s="1"/>
  <c r="AQ234" i="1"/>
  <c r="S68" i="1"/>
  <c r="BK120" i="1"/>
  <c r="U68" i="1"/>
  <c r="BF258" i="1"/>
  <c r="BF259" i="1" s="1"/>
  <c r="O68" i="1"/>
  <c r="AP39" i="1"/>
  <c r="AW120" i="1"/>
  <c r="AU258" i="1"/>
  <c r="AU259" i="1" s="1"/>
  <c r="AU120" i="1"/>
  <c r="AV234" i="1"/>
  <c r="AR234" i="1"/>
  <c r="AP234" i="1"/>
  <c r="AP258" i="1"/>
  <c r="AP259" i="1" s="1"/>
  <c r="AP120" i="1"/>
  <c r="BK234" i="1"/>
  <c r="AV120" i="1"/>
  <c r="Q68" i="1"/>
  <c r="BG37" i="1"/>
  <c r="BH234" i="1"/>
  <c r="T68" i="1"/>
  <c r="BG120" i="1"/>
  <c r="BJ120" i="1"/>
  <c r="BG258" i="1"/>
  <c r="BG259" i="1" s="1"/>
  <c r="BI234" i="1"/>
  <c r="BG42" i="1"/>
  <c r="BI120" i="1"/>
  <c r="BG240" i="1"/>
  <c r="BG241" i="1" s="1"/>
  <c r="BH120" i="1"/>
  <c r="BJ234" i="1"/>
  <c r="BH39" i="1"/>
  <c r="BL38" i="1"/>
  <c r="BH37" i="1"/>
  <c r="BH42" i="1"/>
  <c r="BH46" i="1" s="1"/>
  <c r="BH240" i="1"/>
  <c r="BH241" i="1" s="1"/>
  <c r="BH258" i="1"/>
  <c r="BH259" i="1" s="1"/>
  <c r="BH38" i="1"/>
  <c r="BI258" i="1"/>
  <c r="BI259" i="1" s="1"/>
  <c r="BI39" i="1"/>
  <c r="AN258" i="1"/>
  <c r="AN259" i="1" s="1"/>
  <c r="AN42" i="1"/>
  <c r="AO234" i="1"/>
  <c r="AN39" i="1"/>
  <c r="AN37" i="1"/>
  <c r="AN240" i="1"/>
  <c r="AN241" i="1" s="1"/>
  <c r="AN234" i="1"/>
  <c r="AR38" i="1"/>
  <c r="AO120" i="1"/>
  <c r="AN120" i="1"/>
  <c r="AO39" i="1"/>
  <c r="AN38" i="1"/>
  <c r="BN42" i="1"/>
  <c r="BO234" i="1"/>
  <c r="BR38" i="1"/>
  <c r="BN37" i="1"/>
  <c r="BO39" i="1"/>
  <c r="BN39" i="1"/>
  <c r="BN240" i="1"/>
  <c r="BN241" i="1" s="1"/>
  <c r="BO258" i="1"/>
  <c r="BO259" i="1" s="1"/>
  <c r="BN258" i="1"/>
  <c r="BN259" i="1" s="1"/>
  <c r="BN38" i="1"/>
  <c r="BO120" i="1"/>
  <c r="BF38" i="1"/>
  <c r="AO240" i="1"/>
  <c r="AO241" i="1" s="1"/>
  <c r="AO42" i="1"/>
  <c r="AO46" i="1" s="1"/>
  <c r="AO48" i="1" s="1"/>
  <c r="AR120" i="1"/>
  <c r="AO258" i="1"/>
  <c r="AO259" i="1" s="1"/>
  <c r="AO38" i="1"/>
  <c r="AS38" i="1"/>
  <c r="AO37" i="1"/>
  <c r="BU120" i="1"/>
  <c r="K218" i="1"/>
  <c r="K219" i="1" s="1"/>
  <c r="K221" i="1"/>
  <c r="I197" i="1"/>
  <c r="I198" i="1" s="1"/>
  <c r="J197" i="1"/>
  <c r="J198" i="1" s="1"/>
  <c r="V218" i="1"/>
  <c r="V219" i="1" s="1"/>
  <c r="V221" i="1"/>
  <c r="U221" i="1"/>
  <c r="U218" i="1"/>
  <c r="U219" i="1" s="1"/>
  <c r="H197" i="1"/>
  <c r="H198" i="1" s="1"/>
  <c r="G197" i="1"/>
  <c r="G198" i="1" s="1"/>
  <c r="P221" i="1"/>
  <c r="P218" i="1"/>
  <c r="P219" i="1" s="1"/>
  <c r="O221" i="1"/>
  <c r="O218" i="1"/>
  <c r="O219" i="1" s="1"/>
  <c r="E197" i="1"/>
  <c r="E198" i="1" s="1"/>
  <c r="F197" i="1"/>
  <c r="F198" i="1" s="1"/>
  <c r="L197" i="1"/>
  <c r="L198" i="1" s="1"/>
  <c r="K197" i="1"/>
  <c r="K198" i="1" s="1"/>
  <c r="AR240" i="1"/>
  <c r="AR241" i="1" s="1"/>
  <c r="AR42" i="1"/>
  <c r="BV240" i="1"/>
  <c r="BV241" i="1" s="1"/>
  <c r="BV37" i="1"/>
  <c r="BZ38" i="1"/>
  <c r="BV42" i="1"/>
  <c r="BV258" i="1"/>
  <c r="BV259" i="1" s="1"/>
  <c r="BV39" i="1"/>
  <c r="BV38" i="1"/>
  <c r="BV234" i="1"/>
  <c r="BV120" i="1"/>
  <c r="BV118" i="1"/>
  <c r="BV119" i="1"/>
  <c r="BH118" i="1"/>
  <c r="BH119" i="1"/>
  <c r="BV197" i="1"/>
  <c r="BZ197" i="1"/>
  <c r="BF240" i="1"/>
  <c r="BF241" i="1" s="1"/>
  <c r="BF42" i="1"/>
  <c r="BF37" i="1"/>
  <c r="BJ38" i="1"/>
  <c r="AS39" i="1"/>
  <c r="AR37" i="1"/>
  <c r="C218" i="1"/>
  <c r="C219" i="1" s="1"/>
  <c r="C221" i="1"/>
  <c r="BG234" i="1"/>
  <c r="BG39" i="1"/>
  <c r="AJ39" i="1"/>
  <c r="AL120" i="1"/>
  <c r="AI37" i="1"/>
  <c r="AM38" i="1"/>
  <c r="AI42" i="1"/>
  <c r="AX234" i="1"/>
  <c r="AW234" i="1"/>
  <c r="BS234" i="1"/>
  <c r="BP234" i="1"/>
  <c r="BQ120" i="1"/>
  <c r="BP120" i="1"/>
  <c r="BQ234" i="1"/>
  <c r="C197" i="1"/>
  <c r="C198" i="1" s="1"/>
  <c r="D197" i="1"/>
  <c r="D198" i="1" s="1"/>
  <c r="BW38" i="1"/>
  <c r="BX234" i="1"/>
  <c r="BW42" i="1"/>
  <c r="BW234" i="1"/>
  <c r="BY234" i="1"/>
  <c r="BX258" i="1"/>
  <c r="BX259" i="1" s="1"/>
  <c r="CA38" i="1"/>
  <c r="BY120" i="1"/>
  <c r="BW258" i="1"/>
  <c r="BW259" i="1" s="1"/>
  <c r="BX39" i="1"/>
  <c r="BW240" i="1"/>
  <c r="BW241" i="1" s="1"/>
  <c r="BX120" i="1"/>
  <c r="BZ234" i="1"/>
  <c r="BW120" i="1"/>
  <c r="BW37" i="1"/>
  <c r="BW39" i="1"/>
  <c r="BZ120" i="1"/>
  <c r="X68" i="1"/>
  <c r="AV118" i="1"/>
  <c r="AV119" i="1"/>
  <c r="BT211" i="1"/>
  <c r="BT209" i="1" s="1"/>
  <c r="BS211" i="1"/>
  <c r="BS209" i="1" s="1"/>
  <c r="AP211" i="1"/>
  <c r="AP209" i="1" s="1"/>
  <c r="AO211" i="1"/>
  <c r="AO209" i="1" s="1"/>
  <c r="BB119" i="1"/>
  <c r="BB122" i="1" s="1"/>
  <c r="BB118" i="1"/>
  <c r="BB121" i="1" s="1"/>
  <c r="BN119" i="1"/>
  <c r="BN118" i="1"/>
  <c r="BP118" i="1"/>
  <c r="BP119" i="1"/>
  <c r="AY211" i="1"/>
  <c r="AY209" i="1" s="1"/>
  <c r="AZ211" i="1"/>
  <c r="AZ209" i="1" s="1"/>
  <c r="BF119" i="1"/>
  <c r="BF118" i="1"/>
  <c r="BC211" i="1"/>
  <c r="BC209" i="1" s="1"/>
  <c r="BD211" i="1"/>
  <c r="BD209" i="1" s="1"/>
  <c r="AX211" i="1"/>
  <c r="AX209" i="1" s="1"/>
  <c r="AW211" i="1"/>
  <c r="AW209" i="1" s="1"/>
  <c r="BB211" i="1"/>
  <c r="BB209" i="1" s="1"/>
  <c r="BA211" i="1"/>
  <c r="BA209" i="1" s="1"/>
  <c r="BR211" i="1"/>
  <c r="BR209" i="1" s="1"/>
  <c r="BQ211" i="1"/>
  <c r="BQ209" i="1" s="1"/>
  <c r="BH211" i="1"/>
  <c r="BH209" i="1" s="1"/>
  <c r="BG211" i="1"/>
  <c r="BG209" i="1" s="1"/>
  <c r="AR211" i="1"/>
  <c r="AR209" i="1" s="1"/>
  <c r="AQ211" i="1"/>
  <c r="AQ209" i="1" s="1"/>
  <c r="AR197" i="1"/>
  <c r="AV197" i="1"/>
  <c r="BR118" i="1"/>
  <c r="BR119" i="1"/>
  <c r="BE211" i="1"/>
  <c r="BE209" i="1" s="1"/>
  <c r="BF211" i="1"/>
  <c r="BF209" i="1" s="1"/>
  <c r="AT119" i="1"/>
  <c r="AT122" i="1" s="1"/>
  <c r="AT118" i="1"/>
  <c r="AT121" i="1" s="1"/>
  <c r="AN119" i="1"/>
  <c r="AN118" i="1"/>
  <c r="AT197" i="1"/>
  <c r="AX197" i="1"/>
  <c r="BV211" i="1"/>
  <c r="BV209" i="1" s="1"/>
  <c r="BU211" i="1"/>
  <c r="BU209" i="1" s="1"/>
  <c r="AV211" i="1"/>
  <c r="AV209" i="1" s="1"/>
  <c r="AU211" i="1"/>
  <c r="AU209" i="1" s="1"/>
  <c r="BT119" i="1"/>
  <c r="BT118" i="1"/>
  <c r="BD119" i="1"/>
  <c r="BD122" i="1" s="1"/>
  <c r="BD118" i="1"/>
  <c r="BD121" i="1" s="1"/>
  <c r="BO211" i="1"/>
  <c r="BO209" i="1" s="1"/>
  <c r="BP211" i="1"/>
  <c r="BP209" i="1" s="1"/>
  <c r="AX118" i="1"/>
  <c r="AX119" i="1"/>
  <c r="AP118" i="1"/>
  <c r="AP119" i="1"/>
  <c r="AZ118" i="1"/>
  <c r="AZ121" i="1" s="1"/>
  <c r="AZ119" i="1"/>
  <c r="AZ122" i="1" s="1"/>
  <c r="BH197" i="1"/>
  <c r="BD197" i="1"/>
  <c r="BN197" i="1"/>
  <c r="BR197" i="1"/>
  <c r="BB197" i="1"/>
  <c r="BF197" i="1"/>
  <c r="BT197" i="1"/>
  <c r="BX197" i="1"/>
  <c r="BL121" i="1"/>
  <c r="BL122" i="1"/>
  <c r="BK49" i="1"/>
  <c r="BK48" i="1"/>
  <c r="AY48" i="1"/>
  <c r="AY49" i="1"/>
  <c r="AP48" i="1"/>
  <c r="AP49" i="1"/>
  <c r="AP51" i="1" s="1"/>
  <c r="BU49" i="1"/>
  <c r="BY51" i="1" s="1"/>
  <c r="BU48" i="1"/>
  <c r="AS48" i="1"/>
  <c r="AS49" i="1"/>
  <c r="BP48" i="1"/>
  <c r="BP49" i="1"/>
  <c r="BQ52" i="1" s="1"/>
  <c r="BI46" i="1"/>
  <c r="BL63" i="1"/>
  <c r="BM48" i="1"/>
  <c r="BM49" i="1"/>
  <c r="BE48" i="1"/>
  <c r="BE49" i="1"/>
  <c r="BD63" i="1"/>
  <c r="BD48" i="1"/>
  <c r="BD49" i="1"/>
  <c r="BO49" i="1"/>
  <c r="BO48" i="1"/>
  <c r="BC46" i="1"/>
  <c r="AZ242" i="1"/>
  <c r="AZ56" i="1"/>
  <c r="AZ50" i="1"/>
  <c r="AZ253" i="1" s="1"/>
  <c r="BR46" i="1"/>
  <c r="BR63" i="1"/>
  <c r="AX46" i="1"/>
  <c r="AZ63" i="1"/>
  <c r="AQ46" i="1"/>
  <c r="BB46" i="1"/>
  <c r="BB63" i="1"/>
  <c r="AV46" i="1"/>
  <c r="BT46" i="1"/>
  <c r="BT63" i="1"/>
  <c r="BS48" i="1"/>
  <c r="BS49" i="1"/>
  <c r="BJ60" i="1"/>
  <c r="BJ201" i="1"/>
  <c r="BJ203" i="1" s="1"/>
  <c r="BJ74" i="1"/>
  <c r="BQ50" i="1"/>
  <c r="BQ253" i="1" s="1"/>
  <c r="BQ56" i="1"/>
  <c r="BQ242" i="1"/>
  <c r="BA242" i="1"/>
  <c r="BA50" i="1"/>
  <c r="BA253" i="1" s="1"/>
  <c r="BA52" i="1"/>
  <c r="BA56" i="1"/>
  <c r="AW56" i="1"/>
  <c r="AW242" i="1"/>
  <c r="AW50" i="1"/>
  <c r="AW253" i="1" s="1"/>
  <c r="BA51" i="1"/>
  <c r="CR146" i="1"/>
  <c r="CS40" i="1"/>
  <c r="BN122" i="1" l="1"/>
  <c r="BN121" i="1"/>
  <c r="AN122" i="1"/>
  <c r="AN121" i="1"/>
  <c r="BF122" i="1"/>
  <c r="BF121" i="1"/>
  <c r="BR121" i="1"/>
  <c r="BR122" i="1"/>
  <c r="BT122" i="1"/>
  <c r="BT121" i="1"/>
  <c r="AX121" i="1"/>
  <c r="AX122" i="1"/>
  <c r="BV121" i="1"/>
  <c r="BV63" i="1"/>
  <c r="AU49" i="1"/>
  <c r="AU48" i="1"/>
  <c r="BF63" i="1"/>
  <c r="AR63" i="1"/>
  <c r="AP63" i="1"/>
  <c r="BV122" i="1"/>
  <c r="AO49" i="1"/>
  <c r="BN46" i="1"/>
  <c r="BP63" i="1"/>
  <c r="AN63" i="1"/>
  <c r="AN46" i="1"/>
  <c r="AV63" i="1"/>
  <c r="AX63" i="1"/>
  <c r="BN63" i="1"/>
  <c r="AT48" i="1"/>
  <c r="AT49" i="1"/>
  <c r="BH121" i="1"/>
  <c r="BH122" i="1"/>
  <c r="AV121" i="1"/>
  <c r="AP122" i="1"/>
  <c r="BH49" i="1"/>
  <c r="BJ63" i="1"/>
  <c r="AV122" i="1"/>
  <c r="AP121" i="1"/>
  <c r="BJ121" i="1"/>
  <c r="BG46" i="1"/>
  <c r="BH48" i="1"/>
  <c r="BJ122" i="1"/>
  <c r="AR46" i="1"/>
  <c r="AT63" i="1"/>
  <c r="BV46" i="1"/>
  <c r="BX63" i="1"/>
  <c r="BY63" i="1"/>
  <c r="BF46" i="1"/>
  <c r="BH63" i="1"/>
  <c r="BZ63" i="1"/>
  <c r="BW46" i="1"/>
  <c r="BZ121" i="1"/>
  <c r="BZ122" i="1"/>
  <c r="BV49" i="1"/>
  <c r="BV52" i="1" s="1"/>
  <c r="BV48" i="1"/>
  <c r="BF48" i="1"/>
  <c r="BP121" i="1"/>
  <c r="BP122" i="1"/>
  <c r="AL122" i="1"/>
  <c r="AL121" i="1"/>
  <c r="AI46" i="1"/>
  <c r="AL63" i="1"/>
  <c r="BX121" i="1"/>
  <c r="BX122" i="1"/>
  <c r="BL52" i="1"/>
  <c r="BK56" i="1"/>
  <c r="BK50" i="1"/>
  <c r="BK253" i="1" s="1"/>
  <c r="AY242" i="1"/>
  <c r="AY50" i="1"/>
  <c r="AY253" i="1" s="1"/>
  <c r="AP242" i="1"/>
  <c r="AP56" i="1"/>
  <c r="AP50" i="1"/>
  <c r="AP253" i="1" s="1"/>
  <c r="AZ52" i="1"/>
  <c r="AY56" i="1"/>
  <c r="BU50" i="1"/>
  <c r="BU253" i="1" s="1"/>
  <c r="BU242" i="1"/>
  <c r="BU56" i="1"/>
  <c r="BK52" i="1"/>
  <c r="BK242" i="1"/>
  <c r="AS56" i="1"/>
  <c r="AS50" i="1"/>
  <c r="AS253" i="1" s="1"/>
  <c r="BU51" i="1"/>
  <c r="AS242" i="1"/>
  <c r="AW51" i="1"/>
  <c r="BP56" i="1"/>
  <c r="BP51" i="1"/>
  <c r="BP242" i="1"/>
  <c r="BP50" i="1"/>
  <c r="BP253" i="1" s="1"/>
  <c r="BI49" i="1"/>
  <c r="BI48" i="1"/>
  <c r="BM56" i="1"/>
  <c r="BM52" i="1"/>
  <c r="BM242" i="1"/>
  <c r="BM235" i="1"/>
  <c r="BQ51" i="1"/>
  <c r="BM50" i="1"/>
  <c r="BM253" i="1" s="1"/>
  <c r="BE50" i="1"/>
  <c r="BE253" i="1" s="1"/>
  <c r="BE56" i="1"/>
  <c r="BE242" i="1"/>
  <c r="BC49" i="1"/>
  <c r="BC48" i="1"/>
  <c r="BS51" i="1"/>
  <c r="BE51" i="1"/>
  <c r="BD56" i="1"/>
  <c r="BD242" i="1"/>
  <c r="BD50" i="1"/>
  <c r="BD253" i="1" s="1"/>
  <c r="BD51" i="1"/>
  <c r="BE52" i="1"/>
  <c r="BO242" i="1"/>
  <c r="BO50" i="1"/>
  <c r="BO253" i="1" s="1"/>
  <c r="BO56" i="1"/>
  <c r="BP52" i="1"/>
  <c r="BO51" i="1"/>
  <c r="AZ74" i="1"/>
  <c r="AZ60" i="1"/>
  <c r="AZ201" i="1"/>
  <c r="AZ203" i="1" s="1"/>
  <c r="BR49" i="1"/>
  <c r="BR48" i="1"/>
  <c r="AQ49" i="1"/>
  <c r="AQ48" i="1"/>
  <c r="BT49" i="1"/>
  <c r="BT48" i="1"/>
  <c r="AV48" i="1"/>
  <c r="AV49" i="1"/>
  <c r="AX49" i="1"/>
  <c r="AX48" i="1"/>
  <c r="BB49" i="1"/>
  <c r="BB48" i="1"/>
  <c r="BS242" i="1"/>
  <c r="BS50" i="1"/>
  <c r="BS253" i="1" s="1"/>
  <c r="BS56" i="1"/>
  <c r="BQ201" i="1"/>
  <c r="BQ203" i="1" s="1"/>
  <c r="BQ127" i="1"/>
  <c r="BQ128" i="1" s="1"/>
  <c r="BQ74" i="1"/>
  <c r="BQ60" i="1"/>
  <c r="AW201" i="1"/>
  <c r="AW203" i="1" s="1"/>
  <c r="AW74" i="1"/>
  <c r="AW127" i="1"/>
  <c r="AW128" i="1" s="1"/>
  <c r="AW60" i="1"/>
  <c r="BA60" i="1"/>
  <c r="BA201" i="1"/>
  <c r="BA203" i="1" s="1"/>
  <c r="BA74" i="1"/>
  <c r="BA127" i="1"/>
  <c r="BA128" i="1" s="1"/>
  <c r="CS202" i="1"/>
  <c r="CS140" i="1"/>
  <c r="CR211" i="1"/>
  <c r="CR209" i="1" s="1"/>
  <c r="AC133" i="1"/>
  <c r="AC136" i="1" s="1"/>
  <c r="AC257" i="1" s="1"/>
  <c r="AT51" i="1" l="1"/>
  <c r="AT52" i="1"/>
  <c r="BI52" i="1"/>
  <c r="AU50" i="1"/>
  <c r="AU253" i="1" s="1"/>
  <c r="AU242" i="1"/>
  <c r="AY51" i="1"/>
  <c r="AU56" i="1"/>
  <c r="AU52" i="1"/>
  <c r="AP52" i="1"/>
  <c r="AO56" i="1"/>
  <c r="AO51" i="1"/>
  <c r="BH51" i="1"/>
  <c r="AO242" i="1"/>
  <c r="AS51" i="1"/>
  <c r="AO50" i="1"/>
  <c r="AO253" i="1" s="1"/>
  <c r="BN49" i="1"/>
  <c r="BN48" i="1"/>
  <c r="AN49" i="1"/>
  <c r="AN48" i="1"/>
  <c r="BH56" i="1"/>
  <c r="BL51" i="1"/>
  <c r="BH242" i="1"/>
  <c r="BH50" i="1"/>
  <c r="BH253" i="1" s="1"/>
  <c r="BG48" i="1"/>
  <c r="BG49" i="1"/>
  <c r="AT56" i="1"/>
  <c r="AT50" i="1"/>
  <c r="AT253" i="1" s="1"/>
  <c r="AT242" i="1"/>
  <c r="BF49" i="1"/>
  <c r="BF52" i="1" s="1"/>
  <c r="AR48" i="1"/>
  <c r="AR49" i="1"/>
  <c r="BW49" i="1"/>
  <c r="BW48" i="1"/>
  <c r="AI49" i="1"/>
  <c r="AI48" i="1"/>
  <c r="BZ51" i="1"/>
  <c r="BV242" i="1"/>
  <c r="BV56" i="1"/>
  <c r="BV50" i="1"/>
  <c r="BV253" i="1" s="1"/>
  <c r="BJ51" i="1"/>
  <c r="BF56" i="1"/>
  <c r="BF50" i="1"/>
  <c r="BF253" i="1" s="1"/>
  <c r="BF242" i="1"/>
  <c r="BK60" i="1"/>
  <c r="BK201" i="1"/>
  <c r="BK203" i="1" s="1"/>
  <c r="BK127" i="1"/>
  <c r="BK128" i="1" s="1"/>
  <c r="BK74" i="1"/>
  <c r="AP201" i="1"/>
  <c r="AP203" i="1" s="1"/>
  <c r="AP74" i="1"/>
  <c r="AP60" i="1"/>
  <c r="BU127" i="1"/>
  <c r="BU128" i="1" s="1"/>
  <c r="BU60" i="1"/>
  <c r="BU201" i="1"/>
  <c r="BU203" i="1" s="1"/>
  <c r="BU74" i="1"/>
  <c r="BS52" i="1"/>
  <c r="BS235" i="1"/>
  <c r="AY201" i="1"/>
  <c r="AY203" i="1" s="1"/>
  <c r="AY74" i="1"/>
  <c r="AY127" i="1"/>
  <c r="AY128" i="1" s="1"/>
  <c r="AY60" i="1"/>
  <c r="AS60" i="1"/>
  <c r="AS127" i="1"/>
  <c r="AS128" i="1" s="1"/>
  <c r="AS201" i="1"/>
  <c r="AS203" i="1" s="1"/>
  <c r="AS74" i="1"/>
  <c r="BI51" i="1"/>
  <c r="BK235" i="1"/>
  <c r="BM74" i="1"/>
  <c r="BM60" i="1"/>
  <c r="BP60" i="1"/>
  <c r="BP201" i="1"/>
  <c r="BP203" i="1" s="1"/>
  <c r="BP74" i="1"/>
  <c r="BM51" i="1"/>
  <c r="BL235" i="1"/>
  <c r="BI56" i="1"/>
  <c r="BI242" i="1"/>
  <c r="BJ52" i="1"/>
  <c r="BI50" i="1"/>
  <c r="BI253" i="1" s="1"/>
  <c r="BM127" i="1"/>
  <c r="BM128" i="1" s="1"/>
  <c r="BM201" i="1"/>
  <c r="BM203" i="1" s="1"/>
  <c r="BE74" i="1"/>
  <c r="BE201" i="1"/>
  <c r="BE203" i="1" s="1"/>
  <c r="BE60" i="1"/>
  <c r="BE127" i="1"/>
  <c r="BE128" i="1" s="1"/>
  <c r="BD52" i="1"/>
  <c r="BC51" i="1"/>
  <c r="BC56" i="1"/>
  <c r="BC242" i="1"/>
  <c r="BC50" i="1"/>
  <c r="BC253" i="1" s="1"/>
  <c r="BD60" i="1"/>
  <c r="BD201" i="1"/>
  <c r="BD203" i="1" s="1"/>
  <c r="BD74" i="1"/>
  <c r="BO60" i="1"/>
  <c r="BO74" i="1"/>
  <c r="BO201" i="1"/>
  <c r="BO203" i="1" s="1"/>
  <c r="BO127" i="1"/>
  <c r="BO128" i="1" s="1"/>
  <c r="AU60" i="1"/>
  <c r="AU74" i="1"/>
  <c r="AU201" i="1"/>
  <c r="AU203" i="1" s="1"/>
  <c r="AU127" i="1"/>
  <c r="AU128" i="1" s="1"/>
  <c r="AO201" i="1"/>
  <c r="AO203" i="1" s="1"/>
  <c r="AO74" i="1"/>
  <c r="AO127" i="1"/>
  <c r="AO128" i="1" s="1"/>
  <c r="AO60" i="1"/>
  <c r="BR50" i="1"/>
  <c r="BR253" i="1" s="1"/>
  <c r="BR242" i="1"/>
  <c r="BR56" i="1"/>
  <c r="BR215" i="1" s="1"/>
  <c r="BR213" i="1" s="1"/>
  <c r="BV51" i="1"/>
  <c r="BR52" i="1"/>
  <c r="BR235" i="1"/>
  <c r="AN50" i="1"/>
  <c r="AN253" i="1" s="1"/>
  <c r="AQ235" i="1"/>
  <c r="AO52" i="1"/>
  <c r="AN235" i="1"/>
  <c r="AN51" i="1"/>
  <c r="AP235" i="1"/>
  <c r="AO235" i="1"/>
  <c r="AN56" i="1"/>
  <c r="AN52" i="1"/>
  <c r="AN242" i="1"/>
  <c r="BX51" i="1"/>
  <c r="BT50" i="1"/>
  <c r="BT253" i="1" s="1"/>
  <c r="BT242" i="1"/>
  <c r="BT56" i="1"/>
  <c r="BU52" i="1"/>
  <c r="BT51" i="1"/>
  <c r="BV235" i="1"/>
  <c r="AZ51" i="1"/>
  <c r="AV50" i="1"/>
  <c r="AV253" i="1" s="1"/>
  <c r="AV242" i="1"/>
  <c r="AV56" i="1"/>
  <c r="AY235" i="1"/>
  <c r="AW235" i="1"/>
  <c r="AW52" i="1"/>
  <c r="AV52" i="1"/>
  <c r="AX235" i="1"/>
  <c r="AV235" i="1"/>
  <c r="AQ51" i="1"/>
  <c r="AQ242" i="1"/>
  <c r="AQ56" i="1"/>
  <c r="AQ50" i="1"/>
  <c r="AQ253" i="1" s="1"/>
  <c r="AQ52" i="1"/>
  <c r="AU51" i="1"/>
  <c r="BN242" i="1"/>
  <c r="BR51" i="1"/>
  <c r="BN56" i="1"/>
  <c r="BQ62" i="1" s="1"/>
  <c r="BN51" i="1"/>
  <c r="BN50" i="1"/>
  <c r="BN253" i="1" s="1"/>
  <c r="BO52" i="1"/>
  <c r="BN235" i="1"/>
  <c r="BQ235" i="1"/>
  <c r="BN52" i="1"/>
  <c r="BO235" i="1"/>
  <c r="BP235" i="1"/>
  <c r="BB50" i="1"/>
  <c r="BB253" i="1" s="1"/>
  <c r="BB242" i="1"/>
  <c r="BB56" i="1"/>
  <c r="BB215" i="1" s="1"/>
  <c r="BB213" i="1" s="1"/>
  <c r="BC52" i="1"/>
  <c r="BD235" i="1"/>
  <c r="BB235" i="1"/>
  <c r="BB52" i="1"/>
  <c r="BC235" i="1"/>
  <c r="BE235" i="1"/>
  <c r="BB51" i="1"/>
  <c r="AX56" i="1"/>
  <c r="AX242" i="1"/>
  <c r="AX50" i="1"/>
  <c r="AX253" i="1" s="1"/>
  <c r="AZ235" i="1"/>
  <c r="AX52" i="1"/>
  <c r="AY52" i="1"/>
  <c r="AX51" i="1"/>
  <c r="BA235" i="1"/>
  <c r="BT235" i="1"/>
  <c r="BT52" i="1"/>
  <c r="BS201" i="1"/>
  <c r="BS203" i="1" s="1"/>
  <c r="BS60" i="1"/>
  <c r="BS127" i="1"/>
  <c r="BS128" i="1" s="1"/>
  <c r="BS74" i="1"/>
  <c r="BQ215" i="1"/>
  <c r="BQ213" i="1" s="1"/>
  <c r="BQ137" i="1"/>
  <c r="BQ63" i="1" s="1"/>
  <c r="BQ100" i="1"/>
  <c r="AW137" i="1"/>
  <c r="AW63" i="1" s="1"/>
  <c r="AW215" i="1"/>
  <c r="AW213" i="1" s="1"/>
  <c r="AW100" i="1"/>
  <c r="BA215" i="1"/>
  <c r="BA213" i="1" s="1"/>
  <c r="BA100" i="1"/>
  <c r="BA137" i="1"/>
  <c r="BA63" i="1" s="1"/>
  <c r="CS142" i="1"/>
  <c r="AC214" i="1"/>
  <c r="CA234" i="1"/>
  <c r="CB234" i="1"/>
  <c r="BU234" i="1"/>
  <c r="BH60" i="1" l="1"/>
  <c r="BH74" i="1"/>
  <c r="BH201" i="1"/>
  <c r="BH203" i="1" s="1"/>
  <c r="BK51" i="1"/>
  <c r="BG56" i="1"/>
  <c r="BG51" i="1"/>
  <c r="BG50" i="1"/>
  <c r="BG253" i="1" s="1"/>
  <c r="BH52" i="1"/>
  <c r="BG242" i="1"/>
  <c r="BJ235" i="1"/>
  <c r="AT60" i="1"/>
  <c r="AT201" i="1"/>
  <c r="AT203" i="1" s="1"/>
  <c r="AT74" i="1"/>
  <c r="BF235" i="1"/>
  <c r="AI50" i="1"/>
  <c r="AI242" i="1"/>
  <c r="AJ52" i="1"/>
  <c r="AM51" i="1"/>
  <c r="AI56" i="1"/>
  <c r="AL235" i="1"/>
  <c r="AR51" i="1"/>
  <c r="BW235" i="1"/>
  <c r="AV51" i="1"/>
  <c r="AR52" i="1"/>
  <c r="AT235" i="1"/>
  <c r="AS235" i="1"/>
  <c r="AR235" i="1"/>
  <c r="BH235" i="1"/>
  <c r="BG235" i="1"/>
  <c r="BG52" i="1"/>
  <c r="BI235" i="1"/>
  <c r="BW50" i="1"/>
  <c r="BW253" i="1" s="1"/>
  <c r="BZ235" i="1"/>
  <c r="BF51" i="1"/>
  <c r="BY235" i="1"/>
  <c r="CA51" i="1"/>
  <c r="AU235" i="1"/>
  <c r="AR242" i="1"/>
  <c r="AR56" i="1"/>
  <c r="AR50" i="1"/>
  <c r="AR253" i="1" s="1"/>
  <c r="AS52" i="1"/>
  <c r="BW51" i="1"/>
  <c r="BX235" i="1"/>
  <c r="BW242" i="1"/>
  <c r="BW52" i="1"/>
  <c r="BX52" i="1"/>
  <c r="BW56" i="1"/>
  <c r="X69" i="1"/>
  <c r="BV60" i="1"/>
  <c r="BV74" i="1"/>
  <c r="BV201" i="1"/>
  <c r="BV203" i="1" s="1"/>
  <c r="BF74" i="1"/>
  <c r="BF201" i="1"/>
  <c r="BF203" i="1" s="1"/>
  <c r="BF60" i="1"/>
  <c r="BK62" i="1"/>
  <c r="BM77" i="1"/>
  <c r="BI97" i="1" s="1"/>
  <c r="BK100" i="1"/>
  <c r="BL215" i="1"/>
  <c r="BL213" i="1" s="1"/>
  <c r="BK215" i="1"/>
  <c r="BK213" i="1" s="1"/>
  <c r="BK137" i="1"/>
  <c r="BK63" i="1" s="1"/>
  <c r="BV215" i="1"/>
  <c r="BV213" i="1" s="1"/>
  <c r="BU215" i="1"/>
  <c r="BU213" i="1" s="1"/>
  <c r="BU100" i="1"/>
  <c r="BU137" i="1"/>
  <c r="BU63" i="1" s="1"/>
  <c r="AY100" i="1"/>
  <c r="AY215" i="1"/>
  <c r="AY213" i="1" s="1"/>
  <c r="AY137" i="1"/>
  <c r="AY63" i="1" s="1"/>
  <c r="AZ215" i="1"/>
  <c r="AZ213" i="1" s="1"/>
  <c r="AS215" i="1"/>
  <c r="AS213" i="1" s="1"/>
  <c r="AS100" i="1"/>
  <c r="AS137" i="1"/>
  <c r="AS63" i="1" s="1"/>
  <c r="AT215" i="1"/>
  <c r="AT213" i="1" s="1"/>
  <c r="AO62" i="1"/>
  <c r="BL62" i="1"/>
  <c r="BI60" i="1"/>
  <c r="BI201" i="1"/>
  <c r="BI203" i="1" s="1"/>
  <c r="BI74" i="1"/>
  <c r="BI127" i="1"/>
  <c r="BI128" i="1" s="1"/>
  <c r="BM62" i="1"/>
  <c r="BM215" i="1"/>
  <c r="BM213" i="1" s="1"/>
  <c r="BM137" i="1"/>
  <c r="BM63" i="1" s="1"/>
  <c r="BM100" i="1"/>
  <c r="AX215" i="1"/>
  <c r="AX213" i="1" s="1"/>
  <c r="BA62" i="1"/>
  <c r="BF215" i="1"/>
  <c r="BF213" i="1" s="1"/>
  <c r="BE100" i="1"/>
  <c r="BE137" i="1"/>
  <c r="BE63" i="1" s="1"/>
  <c r="BE215" i="1"/>
  <c r="BE213" i="1" s="1"/>
  <c r="S69" i="1"/>
  <c r="BF62" i="1"/>
  <c r="BC74" i="1"/>
  <c r="BC127" i="1"/>
  <c r="BC128" i="1" s="1"/>
  <c r="BC201" i="1"/>
  <c r="BC203" i="1" s="1"/>
  <c r="BC60" i="1"/>
  <c r="BO215" i="1"/>
  <c r="BO213" i="1" s="1"/>
  <c r="BO137" i="1"/>
  <c r="BO63" i="1" s="1"/>
  <c r="BP215" i="1"/>
  <c r="BP213" i="1" s="1"/>
  <c r="BO100" i="1"/>
  <c r="AU100" i="1"/>
  <c r="AU215" i="1"/>
  <c r="AU213" i="1" s="1"/>
  <c r="AU137" i="1"/>
  <c r="AU63" i="1" s="1"/>
  <c r="AP215" i="1"/>
  <c r="AP213" i="1" s="1"/>
  <c r="AO100" i="1"/>
  <c r="AO137" i="1"/>
  <c r="AO63" i="1" s="1"/>
  <c r="AO215" i="1"/>
  <c r="AO213" i="1" s="1"/>
  <c r="AV215" i="1"/>
  <c r="AV213" i="1" s="1"/>
  <c r="AY62" i="1"/>
  <c r="BT62" i="1"/>
  <c r="BR60" i="1"/>
  <c r="BR201" i="1"/>
  <c r="BR203" i="1" s="1"/>
  <c r="BR74" i="1"/>
  <c r="BR62" i="1"/>
  <c r="V69" i="1"/>
  <c r="AW62" i="1"/>
  <c r="BV62" i="1"/>
  <c r="BO62" i="1"/>
  <c r="BN215" i="1"/>
  <c r="BN213" i="1" s="1"/>
  <c r="BU62" i="1"/>
  <c r="BN60" i="1"/>
  <c r="BN74" i="1"/>
  <c r="BN201" i="1"/>
  <c r="BN203" i="1" s="1"/>
  <c r="BN62" i="1"/>
  <c r="U69" i="1"/>
  <c r="BP62" i="1"/>
  <c r="AV201" i="1"/>
  <c r="AV203" i="1" s="1"/>
  <c r="AV60" i="1"/>
  <c r="AV74" i="1"/>
  <c r="AV62" i="1"/>
  <c r="Q69" i="1"/>
  <c r="AX62" i="1"/>
  <c r="BT201" i="1"/>
  <c r="BT203" i="1" s="1"/>
  <c r="BT60" i="1"/>
  <c r="BT74" i="1"/>
  <c r="AX60" i="1"/>
  <c r="AX74" i="1"/>
  <c r="AX201" i="1"/>
  <c r="AX203" i="1" s="1"/>
  <c r="AZ62" i="1"/>
  <c r="BB74" i="1"/>
  <c r="BB60" i="1"/>
  <c r="BB201" i="1"/>
  <c r="BB203" i="1" s="1"/>
  <c r="BB62" i="1"/>
  <c r="R69" i="1"/>
  <c r="BD62" i="1"/>
  <c r="BE62" i="1"/>
  <c r="AQ127" i="1"/>
  <c r="AQ128" i="1" s="1"/>
  <c r="AQ201" i="1"/>
  <c r="AQ203" i="1" s="1"/>
  <c r="AQ60" i="1"/>
  <c r="AQ74" i="1"/>
  <c r="BG60" i="1"/>
  <c r="BG74" i="1"/>
  <c r="BG127" i="1"/>
  <c r="BG128" i="1" s="1"/>
  <c r="BJ62" i="1"/>
  <c r="BH62" i="1"/>
  <c r="BG201" i="1"/>
  <c r="BG203" i="1" s="1"/>
  <c r="T69" i="1"/>
  <c r="AN60" i="1"/>
  <c r="AP62" i="1"/>
  <c r="AN74" i="1"/>
  <c r="AN201" i="1"/>
  <c r="AN203" i="1" s="1"/>
  <c r="AN62" i="1"/>
  <c r="O69" i="1"/>
  <c r="AN215" i="1"/>
  <c r="AN213" i="1" s="1"/>
  <c r="BT215" i="1"/>
  <c r="BT213" i="1" s="1"/>
  <c r="BS100" i="1"/>
  <c r="BS137" i="1"/>
  <c r="BS63" i="1" s="1"/>
  <c r="BS215" i="1"/>
  <c r="BS213" i="1" s="1"/>
  <c r="BS62" i="1"/>
  <c r="BQ102" i="1"/>
  <c r="BQ103" i="1"/>
  <c r="BQ104" i="1"/>
  <c r="BA103" i="1"/>
  <c r="BA102" i="1"/>
  <c r="BA104" i="1"/>
  <c r="AW103" i="1"/>
  <c r="AW102" i="1"/>
  <c r="AW104" i="1"/>
  <c r="CS146" i="1"/>
  <c r="CT40" i="1"/>
  <c r="AD132" i="1"/>
  <c r="W67" i="1"/>
  <c r="AI74" i="1" l="1"/>
  <c r="AL77" i="1" s="1"/>
  <c r="AI60" i="1"/>
  <c r="AL62" i="1"/>
  <c r="N69" i="1"/>
  <c r="AI215" i="1"/>
  <c r="AI213" i="1" s="1"/>
  <c r="AI201" i="1"/>
  <c r="AI203" i="1" s="1"/>
  <c r="AI207" i="1" s="1"/>
  <c r="AI221" i="1" s="1"/>
  <c r="AR74" i="1"/>
  <c r="AU77" i="1" s="1"/>
  <c r="AQ97" i="1" s="1"/>
  <c r="AR201" i="1"/>
  <c r="AR203" i="1" s="1"/>
  <c r="AR60" i="1"/>
  <c r="BF77" i="1"/>
  <c r="BB97" i="1" s="1"/>
  <c r="AS62" i="1"/>
  <c r="AT62" i="1"/>
  <c r="AU62" i="1"/>
  <c r="P69" i="1"/>
  <c r="AR62" i="1"/>
  <c r="BW127" i="1"/>
  <c r="BW128" i="1" s="1"/>
  <c r="BW60" i="1"/>
  <c r="BW74" i="1"/>
  <c r="BX62" i="1"/>
  <c r="BW201" i="1"/>
  <c r="BW203" i="1" s="1"/>
  <c r="BZ62" i="1"/>
  <c r="BY62" i="1"/>
  <c r="BV77" i="1"/>
  <c r="BR97" i="1" s="1"/>
  <c r="BM93" i="1"/>
  <c r="BM95" i="1"/>
  <c r="BM94" i="1"/>
  <c r="BK104" i="1"/>
  <c r="BK102" i="1"/>
  <c r="BK103" i="1"/>
  <c r="BU102" i="1"/>
  <c r="BU104" i="1"/>
  <c r="BU103" i="1"/>
  <c r="AU94" i="1"/>
  <c r="AU93" i="1"/>
  <c r="AY102" i="1"/>
  <c r="AY103" i="1"/>
  <c r="AY104" i="1"/>
  <c r="BL77" i="1"/>
  <c r="BH97" i="1" s="1"/>
  <c r="BK77" i="1"/>
  <c r="BG97" i="1" s="1"/>
  <c r="BR77" i="1"/>
  <c r="BT77" i="1"/>
  <c r="BP97" i="1" s="1"/>
  <c r="BS77" i="1"/>
  <c r="BO97" i="1" s="1"/>
  <c r="AS103" i="1"/>
  <c r="AS104" i="1"/>
  <c r="AS102" i="1"/>
  <c r="BI100" i="1"/>
  <c r="BI137" i="1"/>
  <c r="BI63" i="1" s="1"/>
  <c r="BI215" i="1"/>
  <c r="BI213" i="1" s="1"/>
  <c r="BI62" i="1"/>
  <c r="BJ215" i="1"/>
  <c r="BJ213" i="1" s="1"/>
  <c r="BM103" i="1"/>
  <c r="BM104" i="1"/>
  <c r="BM102" i="1"/>
  <c r="BU77" i="1"/>
  <c r="BE102" i="1"/>
  <c r="BE104" i="1"/>
  <c r="BE103" i="1"/>
  <c r="BC215" i="1"/>
  <c r="BC213" i="1" s="1"/>
  <c r="BC137" i="1"/>
  <c r="BC63" i="1" s="1"/>
  <c r="BC100" i="1"/>
  <c r="BC62" i="1"/>
  <c r="BD215" i="1"/>
  <c r="BD213" i="1" s="1"/>
  <c r="BO102" i="1"/>
  <c r="BO103" i="1"/>
  <c r="BO104" i="1"/>
  <c r="AL93" i="1"/>
  <c r="AL94" i="1"/>
  <c r="AL95" i="1"/>
  <c r="AU103" i="1"/>
  <c r="AU104" i="1"/>
  <c r="AU102" i="1"/>
  <c r="AO104" i="1"/>
  <c r="AO102" i="1"/>
  <c r="AO103" i="1"/>
  <c r="BA77" i="1"/>
  <c r="AW97" i="1" s="1"/>
  <c r="AZ77" i="1"/>
  <c r="AV97" i="1" s="1"/>
  <c r="AY77" i="1"/>
  <c r="AX77" i="1"/>
  <c r="AT97" i="1" s="1"/>
  <c r="AV77" i="1"/>
  <c r="AR97" i="1" s="1"/>
  <c r="AW77" i="1"/>
  <c r="AS97" i="1" s="1"/>
  <c r="AT77" i="1"/>
  <c r="AP97" i="1" s="1"/>
  <c r="BQ77" i="1"/>
  <c r="BM97" i="1" s="1"/>
  <c r="BO77" i="1"/>
  <c r="BK97" i="1" s="1"/>
  <c r="BN77" i="1"/>
  <c r="BJ97" i="1" s="1"/>
  <c r="BP77" i="1"/>
  <c r="BL97" i="1" s="1"/>
  <c r="AQ77" i="1"/>
  <c r="AM97" i="1" s="1"/>
  <c r="AN77" i="1"/>
  <c r="AP77" i="1"/>
  <c r="AL97" i="1" s="1"/>
  <c r="AO77" i="1"/>
  <c r="BJ77" i="1"/>
  <c r="BF97" i="1" s="1"/>
  <c r="BG77" i="1"/>
  <c r="BC97" i="1" s="1"/>
  <c r="BH77" i="1"/>
  <c r="BD97" i="1" s="1"/>
  <c r="BI77" i="1"/>
  <c r="BE97" i="1" s="1"/>
  <c r="BE77" i="1"/>
  <c r="BD77" i="1"/>
  <c r="AZ97" i="1" s="1"/>
  <c r="BB77" i="1"/>
  <c r="AX97" i="1" s="1"/>
  <c r="BC77" i="1"/>
  <c r="AY97" i="1" s="1"/>
  <c r="BG215" i="1"/>
  <c r="BG213" i="1" s="1"/>
  <c r="BG137" i="1"/>
  <c r="BG63" i="1" s="1"/>
  <c r="BG100" i="1"/>
  <c r="BG62" i="1"/>
  <c r="BH215" i="1"/>
  <c r="BH213" i="1" s="1"/>
  <c r="AQ137" i="1"/>
  <c r="AQ63" i="1" s="1"/>
  <c r="AQ215" i="1"/>
  <c r="AQ213" i="1" s="1"/>
  <c r="AQ100" i="1"/>
  <c r="AR215" i="1"/>
  <c r="AR213" i="1" s="1"/>
  <c r="AQ62" i="1"/>
  <c r="BS102" i="1"/>
  <c r="BS103" i="1"/>
  <c r="BS104" i="1"/>
  <c r="AC40" i="1"/>
  <c r="CT202" i="1"/>
  <c r="CT140" i="1"/>
  <c r="CS211" i="1"/>
  <c r="CS209" i="1" s="1"/>
  <c r="W68" i="1"/>
  <c r="AU95" i="1" l="1"/>
  <c r="BF93" i="1"/>
  <c r="AR77" i="1"/>
  <c r="AN97" i="1" s="1"/>
  <c r="BF95" i="1"/>
  <c r="BF94" i="1"/>
  <c r="AS77" i="1"/>
  <c r="AO97" i="1" s="1"/>
  <c r="BW100" i="1"/>
  <c r="AI218" i="1"/>
  <c r="AI219" i="1" s="1"/>
  <c r="BX77" i="1"/>
  <c r="BT97" i="1" s="1"/>
  <c r="BY77" i="1"/>
  <c r="BU97" i="1" s="1"/>
  <c r="BW77" i="1"/>
  <c r="BS97" i="1" s="1"/>
  <c r="BZ77" i="1"/>
  <c r="BV97" i="1" s="1"/>
  <c r="BW215" i="1"/>
  <c r="BW213" i="1" s="1"/>
  <c r="BX215" i="1"/>
  <c r="BX213" i="1" s="1"/>
  <c r="BW137" i="1"/>
  <c r="BW63" i="1" s="1"/>
  <c r="BW62" i="1"/>
  <c r="BV95" i="1"/>
  <c r="BV94" i="1"/>
  <c r="BV93" i="1"/>
  <c r="AY94" i="1"/>
  <c r="AU97" i="1"/>
  <c r="BE94" i="1"/>
  <c r="BA97" i="1"/>
  <c r="BR94" i="1"/>
  <c r="BN97" i="1"/>
  <c r="BU93" i="1"/>
  <c r="BQ97" i="1"/>
  <c r="BL93" i="1"/>
  <c r="BL94" i="1"/>
  <c r="BR93" i="1"/>
  <c r="BR95" i="1"/>
  <c r="BV78" i="1"/>
  <c r="BT95" i="1"/>
  <c r="BT93" i="1"/>
  <c r="BT94" i="1"/>
  <c r="BS95" i="1"/>
  <c r="BS94" i="1"/>
  <c r="BS93" i="1"/>
  <c r="BL95" i="1"/>
  <c r="BK93" i="1"/>
  <c r="BK94" i="1"/>
  <c r="BK95" i="1"/>
  <c r="BT78" i="1"/>
  <c r="BI103" i="1"/>
  <c r="BI104" i="1"/>
  <c r="BI102" i="1"/>
  <c r="BU95" i="1"/>
  <c r="BU94" i="1"/>
  <c r="BC103" i="1"/>
  <c r="BC102" i="1"/>
  <c r="BC104" i="1"/>
  <c r="BE78" i="1"/>
  <c r="BQ94" i="1"/>
  <c r="AQ94" i="1"/>
  <c r="AQ93" i="1"/>
  <c r="BU78" i="1"/>
  <c r="BA95" i="1"/>
  <c r="AX78" i="1"/>
  <c r="AN95" i="1"/>
  <c r="AR78" i="1"/>
  <c r="AN94" i="1"/>
  <c r="AN93" i="1"/>
  <c r="BO93" i="1"/>
  <c r="BO94" i="1"/>
  <c r="BO78" i="1"/>
  <c r="BO95" i="1"/>
  <c r="BE95" i="1"/>
  <c r="BI78" i="1"/>
  <c r="BE93" i="1"/>
  <c r="BJ94" i="1"/>
  <c r="BJ78" i="1"/>
  <c r="BJ93" i="1"/>
  <c r="AU78" i="1"/>
  <c r="AQ78" i="1"/>
  <c r="AQ95" i="1"/>
  <c r="BQ93" i="1"/>
  <c r="BQ78" i="1"/>
  <c r="BQ95" i="1"/>
  <c r="AW93" i="1"/>
  <c r="AW94" i="1"/>
  <c r="BA78" i="1"/>
  <c r="AW95" i="1"/>
  <c r="AZ95" i="1"/>
  <c r="AZ94" i="1"/>
  <c r="BD78" i="1"/>
  <c r="AZ93" i="1"/>
  <c r="BD93" i="1"/>
  <c r="BH78" i="1"/>
  <c r="BD95" i="1"/>
  <c r="BD94" i="1"/>
  <c r="AY95" i="1"/>
  <c r="BC78" i="1"/>
  <c r="AY78" i="1"/>
  <c r="AT94" i="1"/>
  <c r="BJ95" i="1"/>
  <c r="BS78" i="1"/>
  <c r="BC95" i="1"/>
  <c r="BG78" i="1"/>
  <c r="BC94" i="1"/>
  <c r="BC93" i="1"/>
  <c r="BM78" i="1"/>
  <c r="BI95" i="1"/>
  <c r="BI93" i="1"/>
  <c r="BI94" i="1"/>
  <c r="AO95" i="1"/>
  <c r="AO93" i="1"/>
  <c r="AO94" i="1"/>
  <c r="BP78" i="1"/>
  <c r="BP94" i="1"/>
  <c r="BP95" i="1"/>
  <c r="BP93" i="1"/>
  <c r="AV94" i="1"/>
  <c r="AV93" i="1"/>
  <c r="AZ78" i="1"/>
  <c r="AV95" i="1"/>
  <c r="BA93" i="1"/>
  <c r="BA94" i="1"/>
  <c r="BG93" i="1"/>
  <c r="BG94" i="1"/>
  <c r="BG95" i="1"/>
  <c r="BK78" i="1"/>
  <c r="AT95" i="1"/>
  <c r="AT93" i="1"/>
  <c r="AY93" i="1"/>
  <c r="BN78" i="1"/>
  <c r="BF78" i="1"/>
  <c r="BB95" i="1"/>
  <c r="BB94" i="1"/>
  <c r="BB93" i="1"/>
  <c r="BH95" i="1"/>
  <c r="BH93" i="1"/>
  <c r="BL78" i="1"/>
  <c r="BH94" i="1"/>
  <c r="AT78" i="1"/>
  <c r="AP95" i="1"/>
  <c r="AP78" i="1"/>
  <c r="AP94" i="1"/>
  <c r="AP93" i="1"/>
  <c r="BR78" i="1"/>
  <c r="BN95" i="1"/>
  <c r="BN93" i="1"/>
  <c r="BN94" i="1"/>
  <c r="AR95" i="1"/>
  <c r="AR94" i="1"/>
  <c r="AR93" i="1"/>
  <c r="AV78" i="1"/>
  <c r="AX94" i="1"/>
  <c r="BB78" i="1"/>
  <c r="AX93" i="1"/>
  <c r="AX95" i="1"/>
  <c r="BG102" i="1"/>
  <c r="BG104" i="1"/>
  <c r="BG103" i="1"/>
  <c r="AQ103" i="1"/>
  <c r="AQ104" i="1"/>
  <c r="AQ102" i="1"/>
  <c r="AC202" i="1"/>
  <c r="AC140" i="1"/>
  <c r="AC142" i="1" s="1"/>
  <c r="AC41" i="1" s="1"/>
  <c r="CT142" i="1"/>
  <c r="AD133" i="1"/>
  <c r="AD136" i="1" s="1"/>
  <c r="AD257" i="1" s="1"/>
  <c r="AR117" i="1"/>
  <c r="W69" i="1"/>
  <c r="BY78" i="1" l="1"/>
  <c r="BW93" i="1"/>
  <c r="BW78" i="1"/>
  <c r="BX94" i="1"/>
  <c r="BX95" i="1"/>
  <c r="CB78" i="1"/>
  <c r="BX93" i="1"/>
  <c r="BW95" i="1"/>
  <c r="AS78" i="1"/>
  <c r="AS94" i="1"/>
  <c r="AS95" i="1"/>
  <c r="AS93" i="1"/>
  <c r="AW78" i="1"/>
  <c r="BX78" i="1"/>
  <c r="BW102" i="1"/>
  <c r="BW104" i="1"/>
  <c r="BW103" i="1"/>
  <c r="CD78" i="1"/>
  <c r="BZ95" i="1"/>
  <c r="CC78" i="1"/>
  <c r="BY95" i="1"/>
  <c r="BY94" i="1"/>
  <c r="BY93" i="1"/>
  <c r="CA78" i="1"/>
  <c r="BW94" i="1"/>
  <c r="BZ78" i="1"/>
  <c r="BZ94" i="1"/>
  <c r="CC98" i="1" s="1"/>
  <c r="BZ93" i="1"/>
  <c r="BT98" i="1"/>
  <c r="BH98" i="1"/>
  <c r="BM98" i="1"/>
  <c r="BG98" i="1"/>
  <c r="BN98" i="1"/>
  <c r="BB98" i="1"/>
  <c r="BI98" i="1"/>
  <c r="AW98" i="1"/>
  <c r="BL98" i="1"/>
  <c r="BY98" i="1"/>
  <c r="AZ98" i="1"/>
  <c r="AR98" i="1"/>
  <c r="BJ98" i="1"/>
  <c r="BE98" i="1"/>
  <c r="AS98" i="1"/>
  <c r="AU98" i="1"/>
  <c r="BA98" i="1"/>
  <c r="AT98" i="1"/>
  <c r="AQ98" i="1"/>
  <c r="AP98" i="1"/>
  <c r="AO98" i="1"/>
  <c r="BP98" i="1"/>
  <c r="BO98" i="1"/>
  <c r="AY98" i="1"/>
  <c r="AX98" i="1"/>
  <c r="CA98" i="1"/>
  <c r="BR98" i="1"/>
  <c r="BC98" i="1"/>
  <c r="BZ98" i="1"/>
  <c r="BF98" i="1"/>
  <c r="BS98" i="1"/>
  <c r="BD98" i="1"/>
  <c r="BK98" i="1"/>
  <c r="BQ98" i="1"/>
  <c r="BX98" i="1"/>
  <c r="BW98" i="1"/>
  <c r="BV98" i="1"/>
  <c r="BU98" i="1"/>
  <c r="CU40" i="1"/>
  <c r="CT146" i="1"/>
  <c r="AD214" i="1"/>
  <c r="AB146" i="1"/>
  <c r="AR118" i="1"/>
  <c r="AR121" i="1" s="1"/>
  <c r="AR119" i="1"/>
  <c r="AR122" i="1" s="1"/>
  <c r="CA235" i="1"/>
  <c r="CB235" i="1"/>
  <c r="W201" i="1"/>
  <c r="W203" i="1" s="1"/>
  <c r="BU235" i="1"/>
  <c r="CB98" i="1" l="1"/>
  <c r="AV98" i="1"/>
  <c r="CT211" i="1"/>
  <c r="CT209" i="1" s="1"/>
  <c r="CU202" i="1"/>
  <c r="CU140" i="1"/>
  <c r="AB211" i="1"/>
  <c r="AB209" i="1" s="1"/>
  <c r="AE132" i="1"/>
  <c r="CU142" i="1" l="1"/>
  <c r="W97" i="1"/>
  <c r="W77" i="1"/>
  <c r="W76" i="1"/>
  <c r="CU146" i="1" l="1"/>
  <c r="CV40" i="1"/>
  <c r="AE133" i="1"/>
  <c r="AE136" i="1" s="1"/>
  <c r="AE257" i="1" s="1"/>
  <c r="W78" i="1"/>
  <c r="X78" i="1"/>
  <c r="X97" i="1"/>
  <c r="W95" i="1"/>
  <c r="V97" i="1"/>
  <c r="W93" i="1"/>
  <c r="W94" i="1"/>
  <c r="CV202" i="1" l="1"/>
  <c r="CV140" i="1"/>
  <c r="CU211" i="1"/>
  <c r="CU209" i="1" s="1"/>
  <c r="AE214" i="1"/>
  <c r="AC146" i="1"/>
  <c r="W128" i="1"/>
  <c r="CV142" i="1" l="1"/>
  <c r="W62" i="1"/>
  <c r="W100" i="1"/>
  <c r="AC211" i="1"/>
  <c r="AC209" i="1" s="1"/>
  <c r="X215" i="1"/>
  <c r="X213" i="1" s="1"/>
  <c r="W215" i="1"/>
  <c r="W213" i="1" s="1"/>
  <c r="W137" i="1"/>
  <c r="W63" i="1" s="1"/>
  <c r="W183" i="1"/>
  <c r="CW40" i="1" l="1"/>
  <c r="CV146" i="1"/>
  <c r="W103" i="1"/>
  <c r="W102" i="1"/>
  <c r="W104" i="1"/>
  <c r="CV211" i="1" l="1"/>
  <c r="CV209" i="1" s="1"/>
  <c r="CW202" i="1"/>
  <c r="CW140" i="1"/>
  <c r="CW142" i="1" l="1"/>
  <c r="CW146" i="1" l="1"/>
  <c r="CX40" i="1"/>
  <c r="AD40" i="1" l="1"/>
  <c r="CX202" i="1"/>
  <c r="CX140" i="1"/>
  <c r="CW211" i="1"/>
  <c r="CW209" i="1" s="1"/>
  <c r="AD202" i="1" l="1"/>
  <c r="AD140" i="1"/>
  <c r="AD142" i="1" s="1"/>
  <c r="CX142" i="1"/>
  <c r="AD146" i="1" l="1"/>
  <c r="AD211" i="1" s="1"/>
  <c r="AD209" i="1" s="1"/>
  <c r="AD41" i="1"/>
  <c r="CX146" i="1"/>
  <c r="CY40" i="1"/>
  <c r="CY202" i="1" l="1"/>
  <c r="CY140" i="1"/>
  <c r="CX211" i="1"/>
  <c r="CX209" i="1" s="1"/>
  <c r="CY142" i="1" l="1"/>
  <c r="W188" i="1"/>
  <c r="CY146" i="1" l="1"/>
  <c r="CZ40" i="1"/>
  <c r="W191" i="1"/>
  <c r="W164" i="1"/>
  <c r="X205" i="1" s="1"/>
  <c r="CZ202" i="1" l="1"/>
  <c r="CZ140" i="1"/>
  <c r="CY211" i="1"/>
  <c r="CY209" i="1" s="1"/>
  <c r="W193" i="1"/>
  <c r="W192" i="1" s="1"/>
  <c r="W205" i="1"/>
  <c r="W156" i="1"/>
  <c r="X204" i="1" s="1"/>
  <c r="X206" i="1" s="1"/>
  <c r="X207" i="1" s="1"/>
  <c r="X221" i="1" s="1"/>
  <c r="W187" i="1"/>
  <c r="CZ142" i="1" l="1"/>
  <c r="W190" i="1"/>
  <c r="W165" i="1"/>
  <c r="W204" i="1"/>
  <c r="W206" i="1" s="1"/>
  <c r="W207" i="1" s="1"/>
  <c r="CZ146" i="1" l="1"/>
  <c r="CZ211" i="1" s="1"/>
  <c r="CZ209" i="1" s="1"/>
  <c r="DA40" i="1"/>
  <c r="W189" i="1"/>
  <c r="W194" i="1"/>
  <c r="W218" i="1"/>
  <c r="W221" i="1"/>
  <c r="DA202" i="1" l="1"/>
  <c r="DA140" i="1"/>
  <c r="W197" i="1"/>
  <c r="W198" i="1" s="1"/>
  <c r="X197" i="1"/>
  <c r="X198" i="1" s="1"/>
  <c r="DA142" i="1" l="1"/>
  <c r="W169" i="1"/>
  <c r="X217" i="1" l="1"/>
  <c r="X218" i="1" s="1"/>
  <c r="X219" i="1" s="1"/>
  <c r="W254" i="1"/>
  <c r="W256" i="1"/>
  <c r="W252" i="1"/>
  <c r="DA146" i="1"/>
  <c r="DA211" i="1" s="1"/>
  <c r="DA209" i="1" s="1"/>
  <c r="DB40" i="1"/>
  <c r="W176" i="1"/>
  <c r="W117" i="1" s="1"/>
  <c r="W173" i="1"/>
  <c r="W219" i="1"/>
  <c r="AE40" i="1" l="1"/>
  <c r="AE202" i="1" s="1"/>
  <c r="DB202" i="1"/>
  <c r="DB140" i="1"/>
  <c r="W119" i="1"/>
  <c r="W122" i="1" s="1"/>
  <c r="W118" i="1"/>
  <c r="W121" i="1" s="1"/>
  <c r="W174" i="1"/>
  <c r="DB142" i="1" l="1"/>
  <c r="DB146" i="1" s="1"/>
  <c r="DB211" i="1" s="1"/>
  <c r="DB209" i="1" s="1"/>
  <c r="AE140" i="1"/>
  <c r="AE142" i="1" s="1"/>
  <c r="C111" i="2"/>
  <c r="C112" i="2"/>
  <c r="C113" i="2"/>
  <c r="AE146" i="1" l="1"/>
  <c r="AE211" i="1" s="1"/>
  <c r="AE209" i="1" s="1"/>
  <c r="AE41" i="1"/>
  <c r="B81" i="1"/>
  <c r="B82" i="1"/>
  <c r="AK187" i="1" l="1"/>
  <c r="AK152" i="1" s="1"/>
  <c r="AM152" i="1" l="1"/>
  <c r="AO152" i="1" l="1"/>
  <c r="AQ152" i="1" l="1"/>
  <c r="AS152" i="1" l="1"/>
  <c r="AU152" i="1" l="1"/>
  <c r="AW152" i="1" l="1"/>
  <c r="AY152" i="1" l="1"/>
  <c r="BA152" i="1" l="1"/>
  <c r="BC152" i="1" l="1"/>
  <c r="BE152" i="1" l="1"/>
  <c r="BG152" i="1" l="1"/>
  <c r="BI152" i="1" l="1"/>
  <c r="BK152" i="1" l="1"/>
  <c r="BM152" i="1" l="1"/>
  <c r="BO152" i="1" l="1"/>
  <c r="BQ152" i="1" l="1"/>
  <c r="BS152" i="1" l="1"/>
  <c r="BU152" i="1" l="1"/>
  <c r="BW152" i="1" l="1"/>
  <c r="BY152" i="1" l="1"/>
  <c r="AK153" i="1" l="1"/>
  <c r="AK156" i="1" s="1"/>
  <c r="AL204" i="1" l="1"/>
  <c r="AK204" i="1"/>
  <c r="AK190" i="1"/>
  <c r="AM153" i="1"/>
  <c r="AM156" i="1" s="1"/>
  <c r="AM190" i="1" l="1"/>
  <c r="AM189" i="1" s="1"/>
  <c r="AN204" i="1"/>
  <c r="AM204" i="1"/>
  <c r="AJ189" i="1"/>
  <c r="AK189" i="1"/>
  <c r="AO153" i="1" l="1"/>
  <c r="AO156" i="1" s="1"/>
  <c r="AP204" i="1" l="1"/>
  <c r="AO190" i="1"/>
  <c r="AO189" i="1" s="1"/>
  <c r="AO204" i="1"/>
  <c r="AQ153" i="1" l="1"/>
  <c r="AQ156" i="1" s="1"/>
  <c r="AQ190" i="1" l="1"/>
  <c r="AQ189" i="1" s="1"/>
  <c r="AR204" i="1"/>
  <c r="AQ204" i="1"/>
  <c r="AS153" i="1" l="1"/>
  <c r="AS156" i="1" s="1"/>
  <c r="AT204" i="1" l="1"/>
  <c r="AS190" i="1"/>
  <c r="AS189" i="1" s="1"/>
  <c r="AS204" i="1"/>
  <c r="AU153" i="1" l="1"/>
  <c r="AU156" i="1" s="1"/>
  <c r="AU190" i="1" l="1"/>
  <c r="AU189" i="1" s="1"/>
  <c r="AV204" i="1"/>
  <c r="AU204" i="1"/>
  <c r="AW153" i="1" l="1"/>
  <c r="AW156" i="1" s="1"/>
  <c r="AW190" i="1" l="1"/>
  <c r="AW189" i="1" s="1"/>
  <c r="AX204" i="1"/>
  <c r="AW204" i="1"/>
  <c r="AY153" i="1" l="1"/>
  <c r="AY156" i="1" s="1"/>
  <c r="AY190" i="1" l="1"/>
  <c r="AY189" i="1" s="1"/>
  <c r="AZ204" i="1"/>
  <c r="AY204" i="1"/>
  <c r="BA153" i="1" l="1"/>
  <c r="BA156" i="1" s="1"/>
  <c r="BB204" i="1" l="1"/>
  <c r="BA190" i="1"/>
  <c r="BA189" i="1" s="1"/>
  <c r="BA204" i="1"/>
  <c r="BC153" i="1" l="1"/>
  <c r="BC156" i="1" s="1"/>
  <c r="BD204" i="1" l="1"/>
  <c r="BC190" i="1"/>
  <c r="BC189" i="1" s="1"/>
  <c r="BC204" i="1"/>
  <c r="BE153" i="1" l="1"/>
  <c r="BE156" i="1" s="1"/>
  <c r="BF204" i="1" l="1"/>
  <c r="BE190" i="1"/>
  <c r="BE189" i="1" s="1"/>
  <c r="BE204" i="1"/>
  <c r="BG153" i="1" l="1"/>
  <c r="BG156" i="1" s="1"/>
  <c r="BG190" i="1" l="1"/>
  <c r="BG189" i="1" s="1"/>
  <c r="BH204" i="1"/>
  <c r="BG204" i="1"/>
  <c r="BI153" i="1" l="1"/>
  <c r="BI156" i="1" s="1"/>
  <c r="BJ204" i="1" l="1"/>
  <c r="BI190" i="1"/>
  <c r="BI189" i="1" s="1"/>
  <c r="BI204" i="1"/>
  <c r="BK153" i="1" l="1"/>
  <c r="BK156" i="1" s="1"/>
  <c r="BL204" i="1" l="1"/>
  <c r="BK190" i="1"/>
  <c r="BK189" i="1" s="1"/>
  <c r="BK204" i="1"/>
  <c r="BM153" i="1" l="1"/>
  <c r="BM156" i="1" s="1"/>
  <c r="BM190" i="1" l="1"/>
  <c r="BM189" i="1" s="1"/>
  <c r="BN204" i="1"/>
  <c r="BM204" i="1"/>
  <c r="BO153" i="1" l="1"/>
  <c r="BO156" i="1" s="1"/>
  <c r="BO190" i="1" l="1"/>
  <c r="BO189" i="1" s="1"/>
  <c r="BP204" i="1"/>
  <c r="BO204" i="1"/>
  <c r="BQ153" i="1" l="1"/>
  <c r="BQ156" i="1" s="1"/>
  <c r="BR204" i="1" l="1"/>
  <c r="BQ190" i="1"/>
  <c r="BQ189" i="1" s="1"/>
  <c r="BQ204" i="1"/>
  <c r="BS153" i="1" l="1"/>
  <c r="BS156" i="1" s="1"/>
  <c r="BT204" i="1" l="1"/>
  <c r="BS190" i="1"/>
  <c r="BS189" i="1" s="1"/>
  <c r="BS204" i="1"/>
  <c r="BU153" i="1" l="1"/>
  <c r="BU156" i="1" s="1"/>
  <c r="BU190" i="1" l="1"/>
  <c r="BU189" i="1" s="1"/>
  <c r="BV204" i="1"/>
  <c r="BU204" i="1"/>
  <c r="BW153" i="1" l="1"/>
  <c r="BW156" i="1" s="1"/>
  <c r="BW190" i="1" l="1"/>
  <c r="BW189" i="1" s="1"/>
  <c r="BX204" i="1"/>
  <c r="BW204" i="1"/>
  <c r="BY153" i="1" l="1"/>
  <c r="BY156" i="1" s="1"/>
  <c r="BZ204" i="1" l="1"/>
  <c r="BY190" i="1"/>
  <c r="BY189" i="1" s="1"/>
  <c r="BY204" i="1"/>
  <c r="AK191" i="1" l="1"/>
  <c r="AK161" i="1" s="1"/>
  <c r="AK164" i="1" s="1"/>
  <c r="AK165" i="1" l="1"/>
  <c r="AK193" i="1"/>
  <c r="AL205" i="1"/>
  <c r="AL206" i="1" s="1"/>
  <c r="AL207" i="1" s="1"/>
  <c r="AL221" i="1" s="1"/>
  <c r="AK205" i="1"/>
  <c r="AK206" i="1" s="1"/>
  <c r="AK207" i="1" s="1"/>
  <c r="AM161" i="1"/>
  <c r="AM164" i="1" s="1"/>
  <c r="AK221" i="1" l="1"/>
  <c r="AK218" i="1"/>
  <c r="AK168" i="1" s="1"/>
  <c r="AK169" i="1" s="1"/>
  <c r="AK173" i="1" s="1"/>
  <c r="AK174" i="1" s="1"/>
  <c r="AN205" i="1"/>
  <c r="AN206" i="1" s="1"/>
  <c r="AN207" i="1" s="1"/>
  <c r="AN221" i="1" s="1"/>
  <c r="AM193" i="1"/>
  <c r="AM192" i="1" s="1"/>
  <c r="AM205" i="1"/>
  <c r="AM206" i="1" s="1"/>
  <c r="AM207" i="1" s="1"/>
  <c r="AM165" i="1"/>
  <c r="AJ192" i="1"/>
  <c r="AJ194" i="1"/>
  <c r="AN197" i="1" s="1"/>
  <c r="AK192" i="1"/>
  <c r="AK194" i="1"/>
  <c r="AO161" i="1"/>
  <c r="AO164" i="1" s="1"/>
  <c r="AM194" i="1" l="1"/>
  <c r="AO193" i="1"/>
  <c r="AO192" i="1" s="1"/>
  <c r="AP205" i="1"/>
  <c r="AP206" i="1" s="1"/>
  <c r="AP207" i="1" s="1"/>
  <c r="AP221" i="1" s="1"/>
  <c r="AO205" i="1"/>
  <c r="AO206" i="1" s="1"/>
  <c r="AO207" i="1" s="1"/>
  <c r="AM221" i="1"/>
  <c r="AM218" i="1"/>
  <c r="AO165" i="1"/>
  <c r="AL217" i="1" l="1"/>
  <c r="AL218" i="1" s="1"/>
  <c r="AL219" i="1" s="1"/>
  <c r="AK219" i="1"/>
  <c r="AO194" i="1"/>
  <c r="AO197" i="1" s="1"/>
  <c r="AO221" i="1"/>
  <c r="AO218" i="1"/>
  <c r="AQ161" i="1"/>
  <c r="AQ164" i="1" s="1"/>
  <c r="AK176" i="1"/>
  <c r="AL45" i="1" s="1"/>
  <c r="AM168" i="1"/>
  <c r="AM169" i="1" s="1"/>
  <c r="AM173" i="1" s="1"/>
  <c r="AN217" i="1" l="1"/>
  <c r="AN218" i="1" s="1"/>
  <c r="AN219" i="1" s="1"/>
  <c r="AM256" i="1"/>
  <c r="AM254" i="1"/>
  <c r="AM252" i="1"/>
  <c r="AQ193" i="1"/>
  <c r="AQ192" i="1" s="1"/>
  <c r="AR205" i="1"/>
  <c r="AR206" i="1" s="1"/>
  <c r="AR207" i="1" s="1"/>
  <c r="AR221" i="1" s="1"/>
  <c r="AQ205" i="1"/>
  <c r="AQ206" i="1" s="1"/>
  <c r="AQ207" i="1" s="1"/>
  <c r="AM219" i="1"/>
  <c r="AQ165" i="1"/>
  <c r="AO168" i="1"/>
  <c r="AO169" i="1" s="1"/>
  <c r="AM176" i="1"/>
  <c r="AO254" i="1" l="1"/>
  <c r="AO256" i="1"/>
  <c r="AO252" i="1"/>
  <c r="AM117" i="1"/>
  <c r="AM118" i="1" s="1"/>
  <c r="AM121" i="1" s="1"/>
  <c r="AN45" i="1"/>
  <c r="AQ194" i="1"/>
  <c r="AQ197" i="1" s="1"/>
  <c r="AQ221" i="1"/>
  <c r="AQ218" i="1"/>
  <c r="AP217" i="1"/>
  <c r="AP218" i="1" s="1"/>
  <c r="AP219" i="1" s="1"/>
  <c r="AO219" i="1"/>
  <c r="AS161" i="1"/>
  <c r="AS164" i="1" s="1"/>
  <c r="AO176" i="1"/>
  <c r="AO173" i="1"/>
  <c r="AM174" i="1"/>
  <c r="AM119" i="1" l="1"/>
  <c r="AM122" i="1" s="1"/>
  <c r="AO117" i="1"/>
  <c r="AO119" i="1" s="1"/>
  <c r="AO122" i="1" s="1"/>
  <c r="AP45" i="1"/>
  <c r="AS193" i="1"/>
  <c r="AS192" i="1" s="1"/>
  <c r="AT205" i="1"/>
  <c r="AT206" i="1" s="1"/>
  <c r="AT207" i="1" s="1"/>
  <c r="AT221" i="1" s="1"/>
  <c r="AS205" i="1"/>
  <c r="AS206" i="1" s="1"/>
  <c r="AS207" i="1" s="1"/>
  <c r="AO174" i="1"/>
  <c r="AS165" i="1"/>
  <c r="AQ168" i="1"/>
  <c r="AQ169" i="1" s="1"/>
  <c r="AQ254" i="1" l="1"/>
  <c r="AQ256" i="1"/>
  <c r="AQ252" i="1"/>
  <c r="AO118" i="1"/>
  <c r="AO121" i="1" s="1"/>
  <c r="AS194" i="1"/>
  <c r="AS197" i="1" s="1"/>
  <c r="AS221" i="1"/>
  <c r="AS218" i="1"/>
  <c r="AR217" i="1"/>
  <c r="AR218" i="1" s="1"/>
  <c r="AR219" i="1" s="1"/>
  <c r="AQ219" i="1"/>
  <c r="AQ173" i="1"/>
  <c r="AQ176" i="1"/>
  <c r="AU161" i="1"/>
  <c r="AU164" i="1" s="1"/>
  <c r="AQ117" i="1" l="1"/>
  <c r="AQ118" i="1" s="1"/>
  <c r="AQ121" i="1" s="1"/>
  <c r="AR45" i="1"/>
  <c r="AU193" i="1"/>
  <c r="AU192" i="1" s="1"/>
  <c r="AV205" i="1"/>
  <c r="AV206" i="1" s="1"/>
  <c r="AV207" i="1" s="1"/>
  <c r="AV221" i="1" s="1"/>
  <c r="AU205" i="1"/>
  <c r="AU206" i="1" s="1"/>
  <c r="AU207" i="1" s="1"/>
  <c r="AU165" i="1"/>
  <c r="AS168" i="1"/>
  <c r="AS169" i="1" s="1"/>
  <c r="AQ174" i="1"/>
  <c r="AS256" i="1" l="1"/>
  <c r="AS254" i="1"/>
  <c r="AS252" i="1"/>
  <c r="AQ119" i="1"/>
  <c r="AQ122" i="1" s="1"/>
  <c r="AU194" i="1"/>
  <c r="AU197" i="1" s="1"/>
  <c r="AU221" i="1"/>
  <c r="AU218" i="1"/>
  <c r="AT217" i="1"/>
  <c r="AT218" i="1" s="1"/>
  <c r="AT219" i="1" s="1"/>
  <c r="AS219" i="1"/>
  <c r="AS176" i="1"/>
  <c r="AS173" i="1"/>
  <c r="AW161" i="1"/>
  <c r="AW164" i="1" s="1"/>
  <c r="AS117" i="1" l="1"/>
  <c r="AS118" i="1" s="1"/>
  <c r="AS121" i="1" s="1"/>
  <c r="AT45" i="1"/>
  <c r="AW193" i="1"/>
  <c r="AW194" i="1" s="1"/>
  <c r="AW197" i="1" s="1"/>
  <c r="AX205" i="1"/>
  <c r="AX206" i="1" s="1"/>
  <c r="AX207" i="1" s="1"/>
  <c r="AX221" i="1" s="1"/>
  <c r="AW205" i="1"/>
  <c r="AW206" i="1" s="1"/>
  <c r="AW207" i="1" s="1"/>
  <c r="AU168" i="1"/>
  <c r="AU169" i="1" s="1"/>
  <c r="AS174" i="1"/>
  <c r="AW165" i="1"/>
  <c r="AU256" i="1" l="1"/>
  <c r="AU254" i="1"/>
  <c r="AU252" i="1"/>
  <c r="AS119" i="1"/>
  <c r="AS122" i="1" s="1"/>
  <c r="AW192" i="1"/>
  <c r="AW221" i="1"/>
  <c r="AW218" i="1"/>
  <c r="AV217" i="1"/>
  <c r="AV218" i="1" s="1"/>
  <c r="AV219" i="1" s="1"/>
  <c r="AU219" i="1"/>
  <c r="AU176" i="1"/>
  <c r="AU173" i="1"/>
  <c r="AY161" i="1"/>
  <c r="AY164" i="1" s="1"/>
  <c r="AU117" i="1" l="1"/>
  <c r="AU119" i="1" s="1"/>
  <c r="AU122" i="1" s="1"/>
  <c r="AV45" i="1"/>
  <c r="AY193" i="1"/>
  <c r="AY192" i="1" s="1"/>
  <c r="AZ205" i="1"/>
  <c r="AZ206" i="1" s="1"/>
  <c r="AZ207" i="1" s="1"/>
  <c r="AZ221" i="1" s="1"/>
  <c r="AY205" i="1"/>
  <c r="AY206" i="1" s="1"/>
  <c r="AY207" i="1" s="1"/>
  <c r="AW168" i="1"/>
  <c r="AW169" i="1" s="1"/>
  <c r="AY165" i="1"/>
  <c r="AU174" i="1"/>
  <c r="AW254" i="1" l="1"/>
  <c r="AW256" i="1"/>
  <c r="AW252" i="1"/>
  <c r="AU118" i="1"/>
  <c r="AU121" i="1" s="1"/>
  <c r="AY194" i="1"/>
  <c r="AY197" i="1" s="1"/>
  <c r="AY221" i="1"/>
  <c r="AY218" i="1"/>
  <c r="AX217" i="1"/>
  <c r="AX218" i="1" s="1"/>
  <c r="AX219" i="1" s="1"/>
  <c r="AW219" i="1"/>
  <c r="BA161" i="1"/>
  <c r="BA164" i="1" s="1"/>
  <c r="AW173" i="1"/>
  <c r="AW176" i="1"/>
  <c r="AW117" i="1" l="1"/>
  <c r="AW119" i="1" s="1"/>
  <c r="AW122" i="1" s="1"/>
  <c r="AX45" i="1"/>
  <c r="BB205" i="1"/>
  <c r="BB206" i="1" s="1"/>
  <c r="BB207" i="1" s="1"/>
  <c r="BB221" i="1" s="1"/>
  <c r="BA193" i="1"/>
  <c r="BA192" i="1" s="1"/>
  <c r="BA205" i="1"/>
  <c r="BA206" i="1" s="1"/>
  <c r="BA207" i="1" s="1"/>
  <c r="AW174" i="1"/>
  <c r="BA165" i="1"/>
  <c r="AY168" i="1"/>
  <c r="AY169" i="1" s="1"/>
  <c r="AY254" i="1" l="1"/>
  <c r="AY256" i="1"/>
  <c r="AY252" i="1"/>
  <c r="AW118" i="1"/>
  <c r="AW121" i="1" s="1"/>
  <c r="BA194" i="1"/>
  <c r="BA197" i="1" s="1"/>
  <c r="BA221" i="1"/>
  <c r="BA218" i="1"/>
  <c r="AZ217" i="1"/>
  <c r="AZ218" i="1" s="1"/>
  <c r="AZ219" i="1" s="1"/>
  <c r="AY219" i="1"/>
  <c r="AY173" i="1"/>
  <c r="AY176" i="1"/>
  <c r="BC161" i="1"/>
  <c r="BC164" i="1" s="1"/>
  <c r="AY117" i="1" l="1"/>
  <c r="AY119" i="1" s="1"/>
  <c r="AY122" i="1" s="1"/>
  <c r="AZ45" i="1"/>
  <c r="BC193" i="1"/>
  <c r="BC192" i="1" s="1"/>
  <c r="BD205" i="1"/>
  <c r="BD206" i="1" s="1"/>
  <c r="BD207" i="1" s="1"/>
  <c r="BD221" i="1" s="1"/>
  <c r="BC205" i="1"/>
  <c r="BC206" i="1" s="1"/>
  <c r="BC207" i="1" s="1"/>
  <c r="AY174" i="1"/>
  <c r="BC165" i="1"/>
  <c r="BA168" i="1"/>
  <c r="BA169" i="1" s="1"/>
  <c r="BA256" i="1" l="1"/>
  <c r="BA254" i="1"/>
  <c r="BA252" i="1"/>
  <c r="AY118" i="1"/>
  <c r="AY121" i="1" s="1"/>
  <c r="BC194" i="1"/>
  <c r="BC197" i="1" s="1"/>
  <c r="BC221" i="1"/>
  <c r="BC218" i="1"/>
  <c r="BB217" i="1"/>
  <c r="BB218" i="1" s="1"/>
  <c r="BB219" i="1" s="1"/>
  <c r="BA219" i="1"/>
  <c r="BE161" i="1"/>
  <c r="BE164" i="1" s="1"/>
  <c r="BA176" i="1"/>
  <c r="BA173" i="1"/>
  <c r="BA117" i="1" l="1"/>
  <c r="BA118" i="1" s="1"/>
  <c r="BA121" i="1" s="1"/>
  <c r="BB45" i="1"/>
  <c r="BE193" i="1"/>
  <c r="BE192" i="1" s="1"/>
  <c r="BF205" i="1"/>
  <c r="BF206" i="1" s="1"/>
  <c r="BF207" i="1" s="1"/>
  <c r="BF221" i="1" s="1"/>
  <c r="BE205" i="1"/>
  <c r="BE206" i="1" s="1"/>
  <c r="BE207" i="1" s="1"/>
  <c r="BC168" i="1"/>
  <c r="BC169" i="1" s="1"/>
  <c r="BA174" i="1"/>
  <c r="BE165" i="1"/>
  <c r="BC256" i="1" l="1"/>
  <c r="BC254" i="1"/>
  <c r="BC252" i="1"/>
  <c r="BA119" i="1"/>
  <c r="BA122" i="1" s="1"/>
  <c r="BE194" i="1"/>
  <c r="BE197" i="1" s="1"/>
  <c r="BE221" i="1"/>
  <c r="BE218" i="1"/>
  <c r="BD217" i="1"/>
  <c r="BD218" i="1" s="1"/>
  <c r="BD219" i="1" s="1"/>
  <c r="BC219" i="1"/>
  <c r="BG161" i="1"/>
  <c r="BG164" i="1" s="1"/>
  <c r="BC173" i="1"/>
  <c r="BC176" i="1"/>
  <c r="BC117" i="1" l="1"/>
  <c r="BC118" i="1" s="1"/>
  <c r="BC121" i="1" s="1"/>
  <c r="BD45" i="1"/>
  <c r="BG193" i="1"/>
  <c r="BG194" i="1" s="1"/>
  <c r="BG197" i="1" s="1"/>
  <c r="BH205" i="1"/>
  <c r="BH206" i="1" s="1"/>
  <c r="BH207" i="1" s="1"/>
  <c r="BH221" i="1" s="1"/>
  <c r="BG205" i="1"/>
  <c r="BG206" i="1" s="1"/>
  <c r="BG207" i="1" s="1"/>
  <c r="BC174" i="1"/>
  <c r="BE168" i="1"/>
  <c r="BE169" i="1" s="1"/>
  <c r="BG165" i="1"/>
  <c r="BE254" i="1" l="1"/>
  <c r="BE256" i="1"/>
  <c r="BE252" i="1"/>
  <c r="BC119" i="1"/>
  <c r="BC122" i="1" s="1"/>
  <c r="BG192" i="1"/>
  <c r="BG221" i="1"/>
  <c r="BG218" i="1"/>
  <c r="BF217" i="1"/>
  <c r="BF218" i="1" s="1"/>
  <c r="BF219" i="1" s="1"/>
  <c r="BE219" i="1"/>
  <c r="BE176" i="1"/>
  <c r="BE173" i="1"/>
  <c r="BI161" i="1"/>
  <c r="BI164" i="1" s="1"/>
  <c r="BE117" i="1" l="1"/>
  <c r="BE118" i="1" s="1"/>
  <c r="BE121" i="1" s="1"/>
  <c r="BF45" i="1"/>
  <c r="BI193" i="1"/>
  <c r="BI192" i="1" s="1"/>
  <c r="BJ205" i="1"/>
  <c r="BJ206" i="1" s="1"/>
  <c r="BJ207" i="1" s="1"/>
  <c r="BJ221" i="1" s="1"/>
  <c r="BI205" i="1"/>
  <c r="BI206" i="1" s="1"/>
  <c r="BI207" i="1" s="1"/>
  <c r="BE174" i="1"/>
  <c r="BG168" i="1"/>
  <c r="BG169" i="1" s="1"/>
  <c r="BI165" i="1"/>
  <c r="BG254" i="1" l="1"/>
  <c r="BG256" i="1"/>
  <c r="BG252" i="1"/>
  <c r="BE119" i="1"/>
  <c r="BE122" i="1" s="1"/>
  <c r="BI194" i="1"/>
  <c r="BI197" i="1" s="1"/>
  <c r="BI221" i="1"/>
  <c r="BI218" i="1"/>
  <c r="BH217" i="1"/>
  <c r="BH218" i="1" s="1"/>
  <c r="BH219" i="1" s="1"/>
  <c r="BG219" i="1"/>
  <c r="BG173" i="1"/>
  <c r="BG176" i="1"/>
  <c r="BK161" i="1"/>
  <c r="BK164" i="1" s="1"/>
  <c r="BG117" i="1" l="1"/>
  <c r="BG118" i="1" s="1"/>
  <c r="BG121" i="1" s="1"/>
  <c r="BH45" i="1"/>
  <c r="BL205" i="1"/>
  <c r="BL206" i="1" s="1"/>
  <c r="BL207" i="1" s="1"/>
  <c r="BL221" i="1" s="1"/>
  <c r="BK193" i="1"/>
  <c r="BK192" i="1" s="1"/>
  <c r="BK205" i="1"/>
  <c r="BK206" i="1" s="1"/>
  <c r="BK207" i="1" s="1"/>
  <c r="BK165" i="1"/>
  <c r="BG174" i="1"/>
  <c r="BI168" i="1"/>
  <c r="BI169" i="1" s="1"/>
  <c r="BI256" i="1" l="1"/>
  <c r="BI254" i="1"/>
  <c r="BI252" i="1"/>
  <c r="BG119" i="1"/>
  <c r="BG122" i="1" s="1"/>
  <c r="BK194" i="1"/>
  <c r="BK197" i="1" s="1"/>
  <c r="BK221" i="1"/>
  <c r="BK218" i="1"/>
  <c r="BJ217" i="1"/>
  <c r="BJ218" i="1" s="1"/>
  <c r="BJ219" i="1" s="1"/>
  <c r="BI219" i="1"/>
  <c r="BI176" i="1"/>
  <c r="BI173" i="1"/>
  <c r="BM161" i="1"/>
  <c r="BM164" i="1" s="1"/>
  <c r="BI117" i="1" l="1"/>
  <c r="BI119" i="1" s="1"/>
  <c r="BI122" i="1" s="1"/>
  <c r="BJ45" i="1"/>
  <c r="BM193" i="1"/>
  <c r="BM192" i="1" s="1"/>
  <c r="BN205" i="1"/>
  <c r="BN206" i="1" s="1"/>
  <c r="BN207" i="1" s="1"/>
  <c r="BN221" i="1" s="1"/>
  <c r="BM205" i="1"/>
  <c r="BM206" i="1" s="1"/>
  <c r="BM207" i="1" s="1"/>
  <c r="BM165" i="1"/>
  <c r="BI174" i="1"/>
  <c r="BK168" i="1"/>
  <c r="BK169" i="1" s="1"/>
  <c r="BK256" i="1" l="1"/>
  <c r="BK254" i="1"/>
  <c r="BK252" i="1"/>
  <c r="BI118" i="1"/>
  <c r="BI121" i="1" s="1"/>
  <c r="BM194" i="1"/>
  <c r="BM197" i="1" s="1"/>
  <c r="BM221" i="1"/>
  <c r="BM218" i="1"/>
  <c r="BL217" i="1"/>
  <c r="BL218" i="1" s="1"/>
  <c r="BL219" i="1" s="1"/>
  <c r="BK219" i="1"/>
  <c r="BK176" i="1"/>
  <c r="BK173" i="1"/>
  <c r="BO161" i="1"/>
  <c r="BO164" i="1" s="1"/>
  <c r="BK117" i="1" l="1"/>
  <c r="BK119" i="1" s="1"/>
  <c r="BK122" i="1" s="1"/>
  <c r="BL45" i="1"/>
  <c r="BO193" i="1"/>
  <c r="BO192" i="1" s="1"/>
  <c r="BP205" i="1"/>
  <c r="BP206" i="1" s="1"/>
  <c r="BP207" i="1" s="1"/>
  <c r="BP221" i="1" s="1"/>
  <c r="BO205" i="1"/>
  <c r="BO206" i="1" s="1"/>
  <c r="BO207" i="1" s="1"/>
  <c r="BM168" i="1"/>
  <c r="BM169" i="1" s="1"/>
  <c r="BK174" i="1"/>
  <c r="BO165" i="1"/>
  <c r="BM254" i="1" l="1"/>
  <c r="BM256" i="1"/>
  <c r="BM252" i="1"/>
  <c r="BK118" i="1"/>
  <c r="BK121" i="1" s="1"/>
  <c r="BO194" i="1"/>
  <c r="BO197" i="1" s="1"/>
  <c r="BO221" i="1"/>
  <c r="BO218" i="1"/>
  <c r="BN217" i="1"/>
  <c r="BN218" i="1" s="1"/>
  <c r="BN219" i="1" s="1"/>
  <c r="BM219" i="1"/>
  <c r="BM173" i="1"/>
  <c r="BM176" i="1"/>
  <c r="BQ161" i="1"/>
  <c r="BQ164" i="1" s="1"/>
  <c r="BM117" i="1" l="1"/>
  <c r="BM118" i="1" s="1"/>
  <c r="BM121" i="1" s="1"/>
  <c r="BN45" i="1"/>
  <c r="BQ193" i="1"/>
  <c r="BQ192" i="1" s="1"/>
  <c r="BR205" i="1"/>
  <c r="BR206" i="1" s="1"/>
  <c r="BR207" i="1" s="1"/>
  <c r="BR221" i="1" s="1"/>
  <c r="BQ205" i="1"/>
  <c r="BQ206" i="1" s="1"/>
  <c r="BQ207" i="1" s="1"/>
  <c r="BO168" i="1"/>
  <c r="BO169" i="1" s="1"/>
  <c r="BQ165" i="1"/>
  <c r="BM174" i="1"/>
  <c r="BO254" i="1" l="1"/>
  <c r="BO256" i="1"/>
  <c r="BO252" i="1"/>
  <c r="BM119" i="1"/>
  <c r="BM122" i="1" s="1"/>
  <c r="BQ194" i="1"/>
  <c r="BQ197" i="1" s="1"/>
  <c r="BQ221" i="1"/>
  <c r="BQ218" i="1"/>
  <c r="BP217" i="1"/>
  <c r="BP218" i="1" s="1"/>
  <c r="BP219" i="1" s="1"/>
  <c r="BO219" i="1"/>
  <c r="BS161" i="1"/>
  <c r="BS164" i="1" s="1"/>
  <c r="BO173" i="1"/>
  <c r="BO176" i="1"/>
  <c r="BO117" i="1" l="1"/>
  <c r="BO118" i="1" s="1"/>
  <c r="BO121" i="1" s="1"/>
  <c r="BP45" i="1"/>
  <c r="BS193" i="1"/>
  <c r="BS192" i="1" s="1"/>
  <c r="BT205" i="1"/>
  <c r="BT206" i="1" s="1"/>
  <c r="BT207" i="1" s="1"/>
  <c r="BT221" i="1" s="1"/>
  <c r="BS205" i="1"/>
  <c r="BS206" i="1" s="1"/>
  <c r="BS207" i="1" s="1"/>
  <c r="BO174" i="1"/>
  <c r="BS165" i="1"/>
  <c r="BQ168" i="1"/>
  <c r="BQ169" i="1" s="1"/>
  <c r="BQ256" i="1" l="1"/>
  <c r="BQ254" i="1"/>
  <c r="BQ252" i="1"/>
  <c r="BO119" i="1"/>
  <c r="BO122" i="1" s="1"/>
  <c r="BS194" i="1"/>
  <c r="BS197" i="1" s="1"/>
  <c r="BS221" i="1"/>
  <c r="BS218" i="1"/>
  <c r="BR217" i="1"/>
  <c r="BR218" i="1" s="1"/>
  <c r="BR219" i="1" s="1"/>
  <c r="BQ219" i="1"/>
  <c r="BQ173" i="1"/>
  <c r="BQ176" i="1"/>
  <c r="BU161" i="1"/>
  <c r="BU164" i="1" s="1"/>
  <c r="BQ117" i="1" l="1"/>
  <c r="BQ118" i="1" s="1"/>
  <c r="BQ121" i="1" s="1"/>
  <c r="BR45" i="1"/>
  <c r="BU193" i="1"/>
  <c r="BU192" i="1" s="1"/>
  <c r="BV205" i="1"/>
  <c r="BV206" i="1" s="1"/>
  <c r="BV207" i="1" s="1"/>
  <c r="BV221" i="1" s="1"/>
  <c r="BU205" i="1"/>
  <c r="BU206" i="1" s="1"/>
  <c r="BU207" i="1" s="1"/>
  <c r="BS168" i="1"/>
  <c r="BS169" i="1" s="1"/>
  <c r="BQ174" i="1"/>
  <c r="BU165" i="1"/>
  <c r="BS256" i="1" l="1"/>
  <c r="BS254" i="1"/>
  <c r="BS252" i="1"/>
  <c r="BQ119" i="1"/>
  <c r="BQ122" i="1" s="1"/>
  <c r="BU194" i="1"/>
  <c r="BU197" i="1" s="1"/>
  <c r="BU221" i="1"/>
  <c r="BU218" i="1"/>
  <c r="BT217" i="1"/>
  <c r="BT218" i="1" s="1"/>
  <c r="BT219" i="1" s="1"/>
  <c r="BS219" i="1"/>
  <c r="BS173" i="1"/>
  <c r="BS176" i="1"/>
  <c r="BW161" i="1"/>
  <c r="BW164" i="1" s="1"/>
  <c r="BS117" i="1" l="1"/>
  <c r="BS119" i="1" s="1"/>
  <c r="BS122" i="1" s="1"/>
  <c r="BT45" i="1"/>
  <c r="BW193" i="1"/>
  <c r="BW192" i="1" s="1"/>
  <c r="BX205" i="1"/>
  <c r="BX206" i="1" s="1"/>
  <c r="BX207" i="1" s="1"/>
  <c r="BX221" i="1" s="1"/>
  <c r="BW205" i="1"/>
  <c r="BW206" i="1" s="1"/>
  <c r="BW207" i="1" s="1"/>
  <c r="BW165" i="1"/>
  <c r="BS174" i="1"/>
  <c r="BU168" i="1"/>
  <c r="BU169" i="1" s="1"/>
  <c r="BU254" i="1" l="1"/>
  <c r="BU256" i="1"/>
  <c r="BU252" i="1"/>
  <c r="BS118" i="1"/>
  <c r="BS121" i="1" s="1"/>
  <c r="BW194" i="1"/>
  <c r="BW197" i="1" s="1"/>
  <c r="BW221" i="1"/>
  <c r="BW218" i="1"/>
  <c r="BV217" i="1"/>
  <c r="BV218" i="1" s="1"/>
  <c r="BV219" i="1" s="1"/>
  <c r="BU219" i="1"/>
  <c r="BU173" i="1"/>
  <c r="BU176" i="1"/>
  <c r="BY161" i="1"/>
  <c r="BY164" i="1" s="1"/>
  <c r="BU117" i="1" l="1"/>
  <c r="BU119" i="1" s="1"/>
  <c r="BU122" i="1" s="1"/>
  <c r="BV45" i="1"/>
  <c r="BZ205" i="1"/>
  <c r="BZ206" i="1" s="1"/>
  <c r="BZ207" i="1" s="1"/>
  <c r="BZ221" i="1" s="1"/>
  <c r="BY193" i="1"/>
  <c r="BY192" i="1" s="1"/>
  <c r="BY205" i="1"/>
  <c r="BY206" i="1" s="1"/>
  <c r="BY207" i="1" s="1"/>
  <c r="BW168" i="1"/>
  <c r="BW169" i="1" s="1"/>
  <c r="BY165" i="1"/>
  <c r="BU174" i="1"/>
  <c r="BW254" i="1" l="1"/>
  <c r="BW256" i="1"/>
  <c r="BW252" i="1"/>
  <c r="BU118" i="1"/>
  <c r="BU121" i="1" s="1"/>
  <c r="BY194" i="1"/>
  <c r="BY197" i="1" s="1"/>
  <c r="BY221" i="1"/>
  <c r="BY218" i="1"/>
  <c r="BX217" i="1"/>
  <c r="BX218" i="1" s="1"/>
  <c r="BX219" i="1" s="1"/>
  <c r="BW219" i="1"/>
  <c r="BW173" i="1"/>
  <c r="BW176" i="1"/>
  <c r="BW117" i="1" l="1"/>
  <c r="BW119" i="1" s="1"/>
  <c r="BW122" i="1" s="1"/>
  <c r="BX45" i="1"/>
  <c r="BW174" i="1"/>
  <c r="BY168" i="1"/>
  <c r="BY169" i="1" s="1"/>
  <c r="BY256" i="1" l="1"/>
  <c r="BY254" i="1"/>
  <c r="BY252" i="1"/>
  <c r="BW118" i="1"/>
  <c r="BW121" i="1" s="1"/>
  <c r="BZ217" i="1"/>
  <c r="BZ218" i="1" s="1"/>
  <c r="BZ219" i="1" s="1"/>
  <c r="BY219" i="1"/>
  <c r="BY176" i="1"/>
  <c r="BY173" i="1"/>
  <c r="BY117" i="1" l="1"/>
  <c r="BY118" i="1" s="1"/>
  <c r="BY121" i="1" s="1"/>
  <c r="BZ45" i="1"/>
  <c r="BY174" i="1"/>
  <c r="CC153" i="1"/>
  <c r="CC152" i="1"/>
  <c r="CA152" i="1"/>
  <c r="CA161" i="1"/>
  <c r="CA164" i="1" s="1"/>
  <c r="CA153" i="1"/>
  <c r="BY119" i="1" l="1"/>
  <c r="BY122" i="1" s="1"/>
  <c r="CA156" i="1"/>
  <c r="CA190" i="1" s="1"/>
  <c r="CA189" i="1" s="1"/>
  <c r="CB205" i="1"/>
  <c r="CA193" i="1"/>
  <c r="CA192" i="1" s="1"/>
  <c r="CA205" i="1"/>
  <c r="CC161" i="1"/>
  <c r="CC164" i="1" s="1"/>
  <c r="CC156" i="1"/>
  <c r="CA165" i="1" l="1"/>
  <c r="CA204" i="1"/>
  <c r="CA206" i="1" s="1"/>
  <c r="CA207" i="1" s="1"/>
  <c r="CA221" i="1" s="1"/>
  <c r="CB204" i="1"/>
  <c r="CB206" i="1" s="1"/>
  <c r="CB207" i="1" s="1"/>
  <c r="CB221" i="1" s="1"/>
  <c r="CA194" i="1"/>
  <c r="CD204" i="1"/>
  <c r="CC190" i="1"/>
  <c r="CC189" i="1" s="1"/>
  <c r="CC204" i="1"/>
  <c r="CC193" i="1"/>
  <c r="CC192" i="1" s="1"/>
  <c r="CD205" i="1"/>
  <c r="CC205" i="1"/>
  <c r="CC165" i="1"/>
  <c r="CA197" i="1" l="1"/>
  <c r="CE197" i="1"/>
  <c r="CC206" i="1"/>
  <c r="CC207" i="1" s="1"/>
  <c r="CC221" i="1" s="1"/>
  <c r="CD206" i="1"/>
  <c r="CD207" i="1" s="1"/>
  <c r="CD221" i="1" s="1"/>
  <c r="CA218" i="1"/>
  <c r="CA168" i="1" s="1"/>
  <c r="CA169" i="1" s="1"/>
  <c r="CC194" i="1"/>
  <c r="CA256" i="1" l="1"/>
  <c r="CA254" i="1"/>
  <c r="CA252" i="1"/>
  <c r="CC197" i="1"/>
  <c r="CG197" i="1"/>
  <c r="CC218" i="1"/>
  <c r="CC168" i="1" s="1"/>
  <c r="CC169" i="1" s="1"/>
  <c r="CB217" i="1"/>
  <c r="CB218" i="1" s="1"/>
  <c r="CB219" i="1" s="1"/>
  <c r="CA219" i="1"/>
  <c r="CA176" i="1"/>
  <c r="CA173" i="1"/>
  <c r="CC254" i="1" l="1"/>
  <c r="CC256" i="1"/>
  <c r="CC252" i="1"/>
  <c r="CA117" i="1"/>
  <c r="CA118" i="1" s="1"/>
  <c r="CA121" i="1" s="1"/>
  <c r="CB45" i="1"/>
  <c r="CD217" i="1"/>
  <c r="CD218" i="1" s="1"/>
  <c r="CD219" i="1" s="1"/>
  <c r="CC219" i="1"/>
  <c r="CC173" i="1"/>
  <c r="CC176" i="1"/>
  <c r="CA174" i="1"/>
  <c r="CA119" i="1" l="1"/>
  <c r="CA122" i="1" s="1"/>
  <c r="CC117" i="1"/>
  <c r="CC118" i="1" s="1"/>
  <c r="CC121" i="1" s="1"/>
  <c r="CD45" i="1"/>
  <c r="CC174" i="1"/>
  <c r="CC119" i="1" l="1"/>
  <c r="CC122" i="1" s="1"/>
  <c r="Y97" i="1"/>
  <c r="CI153" i="1" l="1"/>
  <c r="CI161" i="1"/>
  <c r="CI164" i="1" s="1"/>
  <c r="CI152" i="1"/>
  <c r="CJ205" i="1" l="1"/>
  <c r="CI156" i="1"/>
  <c r="CI205" i="1"/>
  <c r="CJ204" i="1" l="1"/>
  <c r="CJ206" i="1" s="1"/>
  <c r="CJ207" i="1" s="1"/>
  <c r="CJ221" i="1" s="1"/>
  <c r="CI165" i="1"/>
  <c r="CI204" i="1"/>
  <c r="CI206" i="1" s="1"/>
  <c r="CI207" i="1" s="1"/>
  <c r="CI221" i="1" s="1"/>
  <c r="CI194" i="1" l="1"/>
  <c r="CI197" i="1" s="1"/>
  <c r="CI218" i="1"/>
  <c r="CI168" i="1" s="1"/>
  <c r="CI169" i="1" s="1"/>
  <c r="CI256" i="1" l="1"/>
  <c r="CI254" i="1"/>
  <c r="CI252" i="1"/>
  <c r="CI219" i="1"/>
  <c r="CJ217" i="1"/>
  <c r="CJ218" i="1" s="1"/>
  <c r="CI176" i="1"/>
  <c r="CI173" i="1"/>
  <c r="CI117" i="1" l="1"/>
  <c r="CI119" i="1" s="1"/>
  <c r="CI122" i="1" s="1"/>
  <c r="CJ45" i="1"/>
  <c r="CJ219" i="1"/>
  <c r="CI174" i="1"/>
  <c r="CI118" i="1" l="1"/>
  <c r="CI121" i="1" s="1"/>
  <c r="CJ176" i="1"/>
  <c r="CJ117" i="1" l="1"/>
  <c r="CK45" i="1"/>
  <c r="CJ119" i="1" l="1"/>
  <c r="CJ122" i="1" s="1"/>
  <c r="CJ118" i="1"/>
  <c r="CJ121" i="1" s="1"/>
  <c r="CK239" i="1" l="1"/>
  <c r="CK261" i="1"/>
  <c r="CK260" i="1"/>
  <c r="CN261" i="1"/>
  <c r="CM261" i="1"/>
  <c r="CN239" i="1"/>
  <c r="CM239" i="1"/>
  <c r="CM106" i="1"/>
  <c r="CM107" i="1" s="1"/>
  <c r="CM110" i="1" s="1"/>
  <c r="CN106" i="1"/>
  <c r="CN107" i="1" s="1"/>
  <c r="CN110" i="1" s="1"/>
  <c r="AA8" i="1"/>
  <c r="CM154" i="1" l="1"/>
  <c r="CQ261" i="1"/>
  <c r="CN34" i="1"/>
  <c r="CR261" i="1"/>
  <c r="CN153" i="1"/>
  <c r="CN24" i="1"/>
  <c r="CN152" i="1"/>
  <c r="CN161" i="1"/>
  <c r="CM34" i="1"/>
  <c r="CM161" i="1"/>
  <c r="CN160" i="1"/>
  <c r="CN154" i="1"/>
  <c r="CM153" i="1"/>
  <c r="CM24" i="1"/>
  <c r="CM23" i="1" s="1"/>
  <c r="CM9" i="1" s="1"/>
  <c r="CM10" i="1" s="1"/>
  <c r="CM160" i="1"/>
  <c r="CM152" i="1"/>
  <c r="CK152" i="1"/>
  <c r="CK161" i="1"/>
  <c r="CK153" i="1"/>
  <c r="CM233" i="1"/>
  <c r="CK160" i="1"/>
  <c r="CK233" i="1"/>
  <c r="CK154" i="1"/>
  <c r="CN233" i="1"/>
  <c r="CM31" i="1" l="1"/>
  <c r="CM11" i="1"/>
  <c r="CM12" i="1" s="1"/>
  <c r="CN31" i="1"/>
  <c r="CN11" i="1"/>
  <c r="CO233" i="1"/>
  <c r="CM164" i="1"/>
  <c r="CK164" i="1"/>
  <c r="CN23" i="1"/>
  <c r="CN9" i="1" s="1"/>
  <c r="CN10" i="1" s="1"/>
  <c r="CN26" i="1"/>
  <c r="CN36" i="1"/>
  <c r="CN156" i="1"/>
  <c r="CM156" i="1"/>
  <c r="CN164" i="1"/>
  <c r="CM26" i="1"/>
  <c r="CR239" i="1"/>
  <c r="CQ239" i="1"/>
  <c r="CM36" i="1"/>
  <c r="CR106" i="1"/>
  <c r="CR107" i="1" s="1"/>
  <c r="CR110" i="1" s="1"/>
  <c r="CP261" i="1"/>
  <c r="CN27" i="1"/>
  <c r="CO106" i="1"/>
  <c r="CO107" i="1" s="1"/>
  <c r="CO110" i="1" s="1"/>
  <c r="CO261" i="1"/>
  <c r="CO239" i="1"/>
  <c r="CK156" i="1"/>
  <c r="CM27" i="1"/>
  <c r="CP239" i="1"/>
  <c r="CQ106" i="1"/>
  <c r="CQ107" i="1" s="1"/>
  <c r="CQ110" i="1" s="1"/>
  <c r="AB16" i="1"/>
  <c r="AB8" i="1" s="1"/>
  <c r="CP106" i="1"/>
  <c r="CP107" i="1" s="1"/>
  <c r="CP110" i="1" s="1"/>
  <c r="CO152" i="1"/>
  <c r="CO24" i="1"/>
  <c r="CO160" i="1"/>
  <c r="CO161" i="1"/>
  <c r="CO34" i="1"/>
  <c r="CO153" i="1"/>
  <c r="CO154" i="1"/>
  <c r="CK205" i="1" l="1"/>
  <c r="CL205" i="1"/>
  <c r="CK204" i="1"/>
  <c r="CK206" i="1" s="1"/>
  <c r="CL204" i="1"/>
  <c r="CL206" i="1" s="1"/>
  <c r="CL207" i="1" s="1"/>
  <c r="CL221" i="1" s="1"/>
  <c r="AA11" i="1"/>
  <c r="CN12" i="1"/>
  <c r="AA9" i="1"/>
  <c r="AA10" i="1" s="1"/>
  <c r="CO31" i="1"/>
  <c r="CO11" i="1"/>
  <c r="AB261" i="1"/>
  <c r="CN258" i="1"/>
  <c r="CN259" i="1" s="1"/>
  <c r="CN205" i="1"/>
  <c r="CN37" i="1"/>
  <c r="CN240" i="1"/>
  <c r="CN241" i="1" s="1"/>
  <c r="CN38" i="1"/>
  <c r="CN42" i="1"/>
  <c r="CN165" i="1"/>
  <c r="CM165" i="1"/>
  <c r="CN204" i="1"/>
  <c r="CR160" i="1"/>
  <c r="CR24" i="1"/>
  <c r="CR152" i="1"/>
  <c r="CR153" i="1"/>
  <c r="CR154" i="1"/>
  <c r="CR34" i="1"/>
  <c r="CR161" i="1"/>
  <c r="CQ34" i="1"/>
  <c r="CQ154" i="1"/>
  <c r="CQ153" i="1"/>
  <c r="CQ160" i="1"/>
  <c r="CQ161" i="1"/>
  <c r="CQ152" i="1"/>
  <c r="CN39" i="1"/>
  <c r="CM38" i="1"/>
  <c r="CM240" i="1"/>
  <c r="CM241" i="1" s="1"/>
  <c r="CM37" i="1"/>
  <c r="CM42" i="1"/>
  <c r="CQ24" i="1"/>
  <c r="CK165" i="1"/>
  <c r="CK258" i="1"/>
  <c r="CK259" i="1" s="1"/>
  <c r="CS106" i="1"/>
  <c r="CS107" i="1" s="1"/>
  <c r="CS110" i="1" s="1"/>
  <c r="CS261" i="1"/>
  <c r="CM258" i="1"/>
  <c r="CM259" i="1" s="1"/>
  <c r="CK240" i="1"/>
  <c r="CK241" i="1" s="1"/>
  <c r="CK234" i="1"/>
  <c r="CN234" i="1"/>
  <c r="CR233" i="1"/>
  <c r="CP233" i="1"/>
  <c r="AB18" i="1"/>
  <c r="CO164" i="1"/>
  <c r="CS239" i="1"/>
  <c r="CO156" i="1"/>
  <c r="CM120" i="1"/>
  <c r="CN120" i="1"/>
  <c r="CM205" i="1"/>
  <c r="CP153" i="1"/>
  <c r="AB153" i="1" s="1"/>
  <c r="AB188" i="1" s="1"/>
  <c r="CP152" i="1"/>
  <c r="CP160" i="1"/>
  <c r="CP24" i="1"/>
  <c r="CP23" i="1" s="1"/>
  <c r="CP9" i="1" s="1"/>
  <c r="CP10" i="1" s="1"/>
  <c r="CP161" i="1"/>
  <c r="AB161" i="1" s="1"/>
  <c r="AB191" i="1" s="1"/>
  <c r="CP154" i="1"/>
  <c r="AB154" i="1" s="1"/>
  <c r="CP34" i="1"/>
  <c r="CT261" i="1"/>
  <c r="CO36" i="1"/>
  <c r="CO26" i="1"/>
  <c r="CO27" i="1"/>
  <c r="CM204" i="1"/>
  <c r="CQ233" i="1"/>
  <c r="CO23" i="1"/>
  <c r="CO9" i="1" s="1"/>
  <c r="CO10" i="1" s="1"/>
  <c r="CM234" i="1"/>
  <c r="CM39" i="1"/>
  <c r="AA12" i="1" l="1"/>
  <c r="CO12" i="1"/>
  <c r="CQ31" i="1"/>
  <c r="CQ11" i="1"/>
  <c r="CR31" i="1"/>
  <c r="CR11" i="1"/>
  <c r="CP31" i="1"/>
  <c r="AB31" i="1" s="1"/>
  <c r="AB34" i="1" s="1"/>
  <c r="CP11" i="1"/>
  <c r="CP12" i="1" s="1"/>
  <c r="CU261" i="1"/>
  <c r="CU239" i="1"/>
  <c r="CS233" i="1"/>
  <c r="CW261" i="1"/>
  <c r="CR156" i="1"/>
  <c r="CQ164" i="1"/>
  <c r="CN206" i="1"/>
  <c r="CR164" i="1"/>
  <c r="CR26" i="1"/>
  <c r="CR27" i="1"/>
  <c r="CR36" i="1"/>
  <c r="CR23" i="1"/>
  <c r="CR9" i="1" s="1"/>
  <c r="CR10" i="1" s="1"/>
  <c r="CV261" i="1"/>
  <c r="CV239" i="1"/>
  <c r="CQ23" i="1"/>
  <c r="CQ9" i="1" s="1"/>
  <c r="CQ10" i="1" s="1"/>
  <c r="CQ26" i="1"/>
  <c r="CQ36" i="1"/>
  <c r="CQ156" i="1"/>
  <c r="CO120" i="1"/>
  <c r="CO258" i="1"/>
  <c r="CO259" i="1" s="1"/>
  <c r="AB106" i="1"/>
  <c r="AB107" i="1" s="1"/>
  <c r="AB110" i="1" s="1"/>
  <c r="AB196" i="1"/>
  <c r="CQ27" i="1"/>
  <c r="AB23" i="1"/>
  <c r="CM206" i="1"/>
  <c r="CO165" i="1"/>
  <c r="CO204" i="1"/>
  <c r="CO234" i="1"/>
  <c r="AC16" i="1"/>
  <c r="AC8" i="1" s="1"/>
  <c r="CV106" i="1"/>
  <c r="CV107" i="1" s="1"/>
  <c r="CV110" i="1" s="1"/>
  <c r="AB19" i="1"/>
  <c r="AB66" i="1"/>
  <c r="AB152" i="1"/>
  <c r="CP156" i="1"/>
  <c r="CS152" i="1"/>
  <c r="CS24" i="1"/>
  <c r="CS23" i="1" s="1"/>
  <c r="CS9" i="1" s="1"/>
  <c r="CS10" i="1" s="1"/>
  <c r="CS160" i="1"/>
  <c r="CS153" i="1"/>
  <c r="CS161" i="1"/>
  <c r="CS154" i="1"/>
  <c r="CS34" i="1"/>
  <c r="CT106" i="1"/>
  <c r="CT107" i="1" s="1"/>
  <c r="CT110" i="1" s="1"/>
  <c r="CO205" i="1"/>
  <c r="CO38" i="1"/>
  <c r="CO240" i="1"/>
  <c r="CO241" i="1" s="1"/>
  <c r="CO42" i="1"/>
  <c r="CO39" i="1"/>
  <c r="CO37" i="1"/>
  <c r="CP26" i="1"/>
  <c r="CP36" i="1"/>
  <c r="CP27" i="1"/>
  <c r="CT239" i="1"/>
  <c r="AB160" i="1"/>
  <c r="AB164" i="1" s="1"/>
  <c r="CP164" i="1"/>
  <c r="CU106" i="1"/>
  <c r="CU107" i="1" s="1"/>
  <c r="CU110" i="1" s="1"/>
  <c r="AB24" i="1" l="1"/>
  <c r="AB9" i="1"/>
  <c r="AB10" i="1" s="1"/>
  <c r="CR12" i="1"/>
  <c r="CQ12" i="1"/>
  <c r="AB35" i="1"/>
  <c r="AB11" i="1"/>
  <c r="CS31" i="1"/>
  <c r="CS11" i="1"/>
  <c r="CS12" i="1" s="1"/>
  <c r="CU34" i="1"/>
  <c r="CU152" i="1"/>
  <c r="CU24" i="1"/>
  <c r="CU23" i="1" s="1"/>
  <c r="CU9" i="1" s="1"/>
  <c r="CU10" i="1" s="1"/>
  <c r="AC261" i="1"/>
  <c r="CU160" i="1"/>
  <c r="CU153" i="1"/>
  <c r="CU161" i="1"/>
  <c r="CU154" i="1"/>
  <c r="CQ205" i="1"/>
  <c r="CV152" i="1"/>
  <c r="CV24" i="1"/>
  <c r="CV26" i="1" s="1"/>
  <c r="CV160" i="1"/>
  <c r="CR205" i="1"/>
  <c r="CR165" i="1"/>
  <c r="CR240" i="1"/>
  <c r="CR241" i="1" s="1"/>
  <c r="CR37" i="1"/>
  <c r="CR42" i="1"/>
  <c r="CR38" i="1"/>
  <c r="CV154" i="1"/>
  <c r="CV153" i="1"/>
  <c r="CV34" i="1"/>
  <c r="CV161" i="1"/>
  <c r="CQ42" i="1"/>
  <c r="CQ37" i="1"/>
  <c r="CQ38" i="1"/>
  <c r="CR39" i="1"/>
  <c r="CR258" i="1"/>
  <c r="CR259" i="1" s="1"/>
  <c r="CQ240" i="1"/>
  <c r="CQ241" i="1" s="1"/>
  <c r="CR204" i="1"/>
  <c r="CQ165" i="1"/>
  <c r="CP120" i="1"/>
  <c r="CP258" i="1"/>
  <c r="CP259" i="1" s="1"/>
  <c r="CQ258" i="1"/>
  <c r="CQ259" i="1" s="1"/>
  <c r="CS164" i="1"/>
  <c r="CS205" i="1" s="1"/>
  <c r="CV233" i="1"/>
  <c r="CP205" i="1"/>
  <c r="CP240" i="1"/>
  <c r="CP241" i="1" s="1"/>
  <c r="CP38" i="1"/>
  <c r="CP39" i="1"/>
  <c r="CP37" i="1"/>
  <c r="CP42" i="1"/>
  <c r="CT233" i="1"/>
  <c r="CP234" i="1"/>
  <c r="CU233" i="1"/>
  <c r="CR234" i="1"/>
  <c r="CQ234" i="1"/>
  <c r="CS36" i="1"/>
  <c r="CS258" i="1" s="1"/>
  <c r="CS259" i="1" s="1"/>
  <c r="CS26" i="1"/>
  <c r="CS27" i="1"/>
  <c r="AC18" i="1"/>
  <c r="CO206" i="1"/>
  <c r="CW239" i="1"/>
  <c r="CQ120" i="1"/>
  <c r="CW106" i="1"/>
  <c r="CW107" i="1" s="1"/>
  <c r="CW110" i="1" s="1"/>
  <c r="CS156" i="1"/>
  <c r="CT152" i="1"/>
  <c r="CT161" i="1"/>
  <c r="AC161" i="1" s="1"/>
  <c r="AC191" i="1" s="1"/>
  <c r="CT24" i="1"/>
  <c r="CT23" i="1" s="1"/>
  <c r="CT153" i="1"/>
  <c r="AC153" i="1" s="1"/>
  <c r="AC188" i="1" s="1"/>
  <c r="CT160" i="1"/>
  <c r="CT34" i="1"/>
  <c r="CT154" i="1"/>
  <c r="AC154" i="1" s="1"/>
  <c r="CQ39" i="1"/>
  <c r="CQ204" i="1"/>
  <c r="CP165" i="1"/>
  <c r="CP204" i="1"/>
  <c r="AB193" i="1"/>
  <c r="AB192" i="1" s="1"/>
  <c r="AB205" i="1"/>
  <c r="CR120" i="1"/>
  <c r="AB156" i="1"/>
  <c r="AB187" i="1"/>
  <c r="AB67" i="1" l="1"/>
  <c r="AB25" i="1"/>
  <c r="AB36" i="1"/>
  <c r="AB26" i="1"/>
  <c r="AC23" i="1"/>
  <c r="CT9" i="1"/>
  <c r="CT10" i="1" s="1"/>
  <c r="AB12" i="1"/>
  <c r="CV31" i="1"/>
  <c r="CV11" i="1"/>
  <c r="CU31" i="1"/>
  <c r="CU11" i="1"/>
  <c r="CU12" i="1" s="1"/>
  <c r="CT31" i="1"/>
  <c r="AC31" i="1" s="1"/>
  <c r="AC34" i="1" s="1"/>
  <c r="CT11" i="1"/>
  <c r="CU26" i="1"/>
  <c r="CU36" i="1"/>
  <c r="CU37" i="1" s="1"/>
  <c r="CU156" i="1"/>
  <c r="CY261" i="1"/>
  <c r="CY239" i="1"/>
  <c r="CU164" i="1"/>
  <c r="CW233" i="1"/>
  <c r="DA261" i="1"/>
  <c r="CQ206" i="1"/>
  <c r="CV156" i="1"/>
  <c r="CV23" i="1"/>
  <c r="CV9" i="1" s="1"/>
  <c r="CV10" i="1" s="1"/>
  <c r="CV27" i="1"/>
  <c r="CV164" i="1"/>
  <c r="CV36" i="1"/>
  <c r="CZ261" i="1"/>
  <c r="CZ239" i="1"/>
  <c r="CZ161" i="1"/>
  <c r="CR206" i="1"/>
  <c r="CX106" i="1"/>
  <c r="CX107" i="1" s="1"/>
  <c r="CX110" i="1" s="1"/>
  <c r="CX261" i="1"/>
  <c r="CP206" i="1"/>
  <c r="AC106" i="1"/>
  <c r="AC107" i="1" s="1"/>
  <c r="AC110" i="1" s="1"/>
  <c r="AC196" i="1"/>
  <c r="CT156" i="1"/>
  <c r="CT204" i="1" s="1"/>
  <c r="AC152" i="1"/>
  <c r="CS165" i="1"/>
  <c r="CS204" i="1"/>
  <c r="CS206" i="1" s="1"/>
  <c r="CY106" i="1"/>
  <c r="CY107" i="1" s="1"/>
  <c r="CY110" i="1" s="1"/>
  <c r="CS39" i="1"/>
  <c r="CS37" i="1"/>
  <c r="CS42" i="1"/>
  <c r="CS240" i="1"/>
  <c r="CS241" i="1" s="1"/>
  <c r="CS38" i="1"/>
  <c r="AB165" i="1"/>
  <c r="AB190" i="1"/>
  <c r="AB204" i="1"/>
  <c r="AB206" i="1" s="1"/>
  <c r="CW24" i="1"/>
  <c r="CW23" i="1" s="1"/>
  <c r="CW9" i="1" s="1"/>
  <c r="CW10" i="1" s="1"/>
  <c r="CW160" i="1"/>
  <c r="CW152" i="1"/>
  <c r="CW154" i="1"/>
  <c r="CW153" i="1"/>
  <c r="CW161" i="1"/>
  <c r="CW34" i="1"/>
  <c r="CT164" i="1"/>
  <c r="AC160" i="1"/>
  <c r="AC164" i="1" s="1"/>
  <c r="CS120" i="1"/>
  <c r="CK253" i="1"/>
  <c r="CK235" i="1"/>
  <c r="CK242" i="1"/>
  <c r="CS234" i="1"/>
  <c r="CT27" i="1"/>
  <c r="CT26" i="1"/>
  <c r="CT36" i="1"/>
  <c r="AC19" i="1"/>
  <c r="AC66" i="1"/>
  <c r="CX239" i="1"/>
  <c r="CZ106" i="1"/>
  <c r="CZ107" i="1" s="1"/>
  <c r="CZ110" i="1" s="1"/>
  <c r="CU27" i="1"/>
  <c r="AD16" i="1"/>
  <c r="AD8" i="1" s="1"/>
  <c r="CT12" i="1" l="1"/>
  <c r="AB258" i="1"/>
  <c r="AB259" i="1" s="1"/>
  <c r="AB68" i="1"/>
  <c r="AB120" i="1"/>
  <c r="AB38" i="1"/>
  <c r="AB42" i="1"/>
  <c r="AB37" i="1"/>
  <c r="AC9" i="1"/>
  <c r="AC10" i="1" s="1"/>
  <c r="AC24" i="1"/>
  <c r="AC25" i="1" s="1"/>
  <c r="AC35" i="1"/>
  <c r="AC11" i="1"/>
  <c r="CV12" i="1"/>
  <c r="CU165" i="1"/>
  <c r="CU240" i="1"/>
  <c r="CU241" i="1" s="1"/>
  <c r="CW31" i="1"/>
  <c r="CW11" i="1"/>
  <c r="CW12" i="1" s="1"/>
  <c r="CU38" i="1"/>
  <c r="CU42" i="1"/>
  <c r="AD261" i="1"/>
  <c r="CV204" i="1"/>
  <c r="CY24" i="1"/>
  <c r="CY153" i="1"/>
  <c r="CY152" i="1"/>
  <c r="CY160" i="1"/>
  <c r="CY34" i="1"/>
  <c r="CY11" i="1" s="1"/>
  <c r="CY154" i="1"/>
  <c r="CY161" i="1"/>
  <c r="CZ233" i="1"/>
  <c r="CV258" i="1"/>
  <c r="CV259" i="1" s="1"/>
  <c r="CV42" i="1"/>
  <c r="CV240" i="1"/>
  <c r="CV241" i="1" s="1"/>
  <c r="CV37" i="1"/>
  <c r="CV39" i="1"/>
  <c r="CV38" i="1"/>
  <c r="CZ34" i="1"/>
  <c r="CZ152" i="1"/>
  <c r="CZ160" i="1"/>
  <c r="CZ164" i="1" s="1"/>
  <c r="CZ154" i="1"/>
  <c r="CZ153" i="1"/>
  <c r="CZ24" i="1"/>
  <c r="CV165" i="1"/>
  <c r="CV205" i="1"/>
  <c r="CU120" i="1"/>
  <c r="CT258" i="1"/>
  <c r="CT259" i="1" s="1"/>
  <c r="CU258" i="1"/>
  <c r="CU259" i="1" s="1"/>
  <c r="CW164" i="1"/>
  <c r="CW205" i="1" s="1"/>
  <c r="CX233" i="1"/>
  <c r="CY233" i="1"/>
  <c r="CU205" i="1"/>
  <c r="CT205" i="1"/>
  <c r="CT206" i="1" s="1"/>
  <c r="CK74" i="1"/>
  <c r="CK201" i="1"/>
  <c r="CK203" i="1" s="1"/>
  <c r="CK207" i="1" s="1"/>
  <c r="CK221" i="1" s="1"/>
  <c r="CK127" i="1"/>
  <c r="CV234" i="1"/>
  <c r="CW156" i="1"/>
  <c r="CT234" i="1"/>
  <c r="AC187" i="1"/>
  <c r="AC156" i="1"/>
  <c r="DA239" i="1"/>
  <c r="DA233" i="1"/>
  <c r="CT165" i="1"/>
  <c r="CU204" i="1"/>
  <c r="CX152" i="1"/>
  <c r="CX153" i="1"/>
  <c r="AD153" i="1" s="1"/>
  <c r="AD188" i="1" s="1"/>
  <c r="CX24" i="1"/>
  <c r="CX161" i="1"/>
  <c r="AD161" i="1" s="1"/>
  <c r="AD191" i="1" s="1"/>
  <c r="CX160" i="1"/>
  <c r="CX34" i="1"/>
  <c r="CX154" i="1"/>
  <c r="AD154" i="1" s="1"/>
  <c r="CT42" i="1"/>
  <c r="CT38" i="1"/>
  <c r="CT37" i="1"/>
  <c r="CT240" i="1"/>
  <c r="CT241" i="1" s="1"/>
  <c r="CT39" i="1"/>
  <c r="CW27" i="1"/>
  <c r="CW26" i="1"/>
  <c r="CW36" i="1"/>
  <c r="CU234" i="1"/>
  <c r="CU39" i="1"/>
  <c r="AD18" i="1"/>
  <c r="DA106" i="1"/>
  <c r="DA107" i="1" s="1"/>
  <c r="DA110" i="1" s="1"/>
  <c r="AC193" i="1"/>
  <c r="AC192" i="1" s="1"/>
  <c r="AC205" i="1"/>
  <c r="AB189" i="1"/>
  <c r="AB194" i="1"/>
  <c r="AB197" i="1" s="1"/>
  <c r="AB198" i="1" s="1"/>
  <c r="CT120" i="1"/>
  <c r="CV120" i="1"/>
  <c r="AC12" i="1" l="1"/>
  <c r="AC67" i="1"/>
  <c r="AC36" i="1"/>
  <c r="AC26" i="1"/>
  <c r="CK77" i="1"/>
  <c r="CL77" i="1"/>
  <c r="CZ31" i="1"/>
  <c r="CZ11" i="1"/>
  <c r="CX31" i="1"/>
  <c r="AD31" i="1" s="1"/>
  <c r="AD34" i="1" s="1"/>
  <c r="CX11" i="1"/>
  <c r="CK93" i="1"/>
  <c r="CK94" i="1"/>
  <c r="CY164" i="1"/>
  <c r="CZ205" i="1" s="1"/>
  <c r="CY156" i="1"/>
  <c r="CV206" i="1"/>
  <c r="CY27" i="1"/>
  <c r="CY23" i="1"/>
  <c r="CY9" i="1" s="1"/>
  <c r="CY10" i="1" s="1"/>
  <c r="CY12" i="1" s="1"/>
  <c r="CY26" i="1"/>
  <c r="CY31" i="1"/>
  <c r="CY36" i="1"/>
  <c r="AC258" i="1"/>
  <c r="AC259" i="1" s="1"/>
  <c r="CZ156" i="1"/>
  <c r="CZ23" i="1"/>
  <c r="CZ9" i="1" s="1"/>
  <c r="CZ10" i="1" s="1"/>
  <c r="CZ26" i="1"/>
  <c r="CZ36" i="1"/>
  <c r="CZ27" i="1"/>
  <c r="CW234" i="1"/>
  <c r="CW258" i="1"/>
  <c r="CW259" i="1" s="1"/>
  <c r="DB106" i="1"/>
  <c r="DB107" i="1" s="1"/>
  <c r="DB110" i="1" s="1"/>
  <c r="DB261" i="1"/>
  <c r="AD106" i="1"/>
  <c r="AD107" i="1" s="1"/>
  <c r="AD110" i="1" s="1"/>
  <c r="AD196" i="1"/>
  <c r="CU206" i="1"/>
  <c r="AD160" i="1"/>
  <c r="AD164" i="1" s="1"/>
  <c r="CX164" i="1"/>
  <c r="DA160" i="1"/>
  <c r="DA161" i="1"/>
  <c r="DA153" i="1"/>
  <c r="DA24" i="1"/>
  <c r="DA152" i="1"/>
  <c r="DA34" i="1"/>
  <c r="DA154" i="1"/>
  <c r="CK128" i="1"/>
  <c r="CX27" i="1"/>
  <c r="CX36" i="1"/>
  <c r="CX26" i="1"/>
  <c r="AC190" i="1"/>
  <c r="AC165" i="1"/>
  <c r="AC204" i="1"/>
  <c r="AC206" i="1" s="1"/>
  <c r="AC42" i="1"/>
  <c r="AC68" i="1"/>
  <c r="AC37" i="1"/>
  <c r="AC120" i="1"/>
  <c r="DB233" i="1"/>
  <c r="DB239" i="1"/>
  <c r="CW165" i="1"/>
  <c r="CW204" i="1"/>
  <c r="CW206" i="1" s="1"/>
  <c r="AD152" i="1"/>
  <c r="CX156" i="1"/>
  <c r="AD66" i="1"/>
  <c r="AD19" i="1"/>
  <c r="CW42" i="1"/>
  <c r="CW38" i="1"/>
  <c r="CW240" i="1"/>
  <c r="CW241" i="1" s="1"/>
  <c r="CW39" i="1"/>
  <c r="CW37" i="1"/>
  <c r="CW120" i="1"/>
  <c r="CX23" i="1"/>
  <c r="AE16" i="1"/>
  <c r="AE8" i="1" s="1"/>
  <c r="CK95" i="1" l="1"/>
  <c r="AC38" i="1"/>
  <c r="CK78" i="1"/>
  <c r="CG97" i="1"/>
  <c r="CL78" i="1"/>
  <c r="CL95" i="1"/>
  <c r="CL94" i="1"/>
  <c r="CL93" i="1"/>
  <c r="CL98" i="1"/>
  <c r="CY165" i="1"/>
  <c r="CK100" i="1"/>
  <c r="CK103" i="1" s="1"/>
  <c r="CL215" i="1"/>
  <c r="CL213" i="1" s="1"/>
  <c r="AD23" i="1"/>
  <c r="CX9" i="1"/>
  <c r="CX10" i="1" s="1"/>
  <c r="CX12" i="1" s="1"/>
  <c r="AD35" i="1"/>
  <c r="AD11" i="1"/>
  <c r="CZ12" i="1"/>
  <c r="DA31" i="1"/>
  <c r="DA11" i="1"/>
  <c r="CK98" i="1"/>
  <c r="CY258" i="1"/>
  <c r="CY259" i="1" s="1"/>
  <c r="CY37" i="1"/>
  <c r="CY240" i="1"/>
  <c r="CY241" i="1" s="1"/>
  <c r="CY42" i="1"/>
  <c r="CY38" i="1"/>
  <c r="AE261" i="1"/>
  <c r="CZ204" i="1"/>
  <c r="CZ206" i="1" s="1"/>
  <c r="CZ165" i="1"/>
  <c r="CZ258" i="1"/>
  <c r="CZ259" i="1" s="1"/>
  <c r="CZ37" i="1"/>
  <c r="CZ240" i="1"/>
  <c r="CZ241" i="1" s="1"/>
  <c r="CZ39" i="1"/>
  <c r="CZ42" i="1"/>
  <c r="CZ38" i="1"/>
  <c r="CZ120" i="1"/>
  <c r="CX258" i="1"/>
  <c r="CX259" i="1" s="1"/>
  <c r="CY234" i="1"/>
  <c r="CY39" i="1"/>
  <c r="CZ234" i="1"/>
  <c r="CX234" i="1"/>
  <c r="CY120" i="1"/>
  <c r="CX120" i="1"/>
  <c r="DA156" i="1"/>
  <c r="DA204" i="1" s="1"/>
  <c r="CY204" i="1"/>
  <c r="CX165" i="1"/>
  <c r="CY205" i="1"/>
  <c r="CX205" i="1"/>
  <c r="AD193" i="1"/>
  <c r="AD192" i="1" s="1"/>
  <c r="AD205" i="1"/>
  <c r="DA27" i="1"/>
  <c r="DA26" i="1"/>
  <c r="DA36" i="1"/>
  <c r="DA258" i="1" s="1"/>
  <c r="DA259" i="1" s="1"/>
  <c r="CX204" i="1"/>
  <c r="CX42" i="1"/>
  <c r="CX38" i="1"/>
  <c r="CX37" i="1"/>
  <c r="CX240" i="1"/>
  <c r="CX241" i="1" s="1"/>
  <c r="CX39" i="1"/>
  <c r="AD187" i="1"/>
  <c r="AD156" i="1"/>
  <c r="CK215" i="1"/>
  <c r="CK213" i="1" s="1"/>
  <c r="CK218" i="1" s="1"/>
  <c r="CK137" i="1"/>
  <c r="CK63" i="1" s="1"/>
  <c r="CK62" i="1"/>
  <c r="AC189" i="1"/>
  <c r="AC194" i="1"/>
  <c r="AC197" i="1" s="1"/>
  <c r="AC198" i="1" s="1"/>
  <c r="DA23" i="1"/>
  <c r="DA9" i="1" s="1"/>
  <c r="DA10" i="1" s="1"/>
  <c r="DB153" i="1"/>
  <c r="AE153" i="1" s="1"/>
  <c r="AE188" i="1" s="1"/>
  <c r="DB24" i="1"/>
  <c r="DB23" i="1" s="1"/>
  <c r="DB9" i="1" s="1"/>
  <c r="DB10" i="1" s="1"/>
  <c r="DB152" i="1"/>
  <c r="DB34" i="1"/>
  <c r="DB161" i="1"/>
  <c r="AE161" i="1" s="1"/>
  <c r="AE191" i="1" s="1"/>
  <c r="DB154" i="1"/>
  <c r="AE154" i="1" s="1"/>
  <c r="DB160" i="1"/>
  <c r="AE18" i="1"/>
  <c r="DA164" i="1"/>
  <c r="CK102" i="1" l="1"/>
  <c r="CK104" i="1"/>
  <c r="DA12" i="1"/>
  <c r="AD24" i="1"/>
  <c r="AD26" i="1" s="1"/>
  <c r="AD9" i="1"/>
  <c r="AD10" i="1" s="1"/>
  <c r="AD12" i="1" s="1"/>
  <c r="DB31" i="1"/>
  <c r="AE31" i="1" s="1"/>
  <c r="AE34" i="1" s="1"/>
  <c r="DB11" i="1"/>
  <c r="DB12" i="1" s="1"/>
  <c r="AE106" i="1"/>
  <c r="AE107" i="1" s="1"/>
  <c r="AE110" i="1" s="1"/>
  <c r="AE196" i="1"/>
  <c r="DA165" i="1"/>
  <c r="CK168" i="1"/>
  <c r="CK169" i="1" s="1"/>
  <c r="CL217" i="1" s="1"/>
  <c r="CL218" i="1" s="1"/>
  <c r="CL219" i="1" s="1"/>
  <c r="DB27" i="1"/>
  <c r="DB36" i="1"/>
  <c r="DB258" i="1" s="1"/>
  <c r="DB259" i="1" s="1"/>
  <c r="DB26" i="1"/>
  <c r="CX206" i="1"/>
  <c r="CY206" i="1"/>
  <c r="AD165" i="1"/>
  <c r="AD190" i="1"/>
  <c r="AD204" i="1"/>
  <c r="AD206" i="1" s="1"/>
  <c r="DB156" i="1"/>
  <c r="AE152" i="1"/>
  <c r="DA42" i="1"/>
  <c r="DA37" i="1"/>
  <c r="DA38" i="1"/>
  <c r="DA39" i="1"/>
  <c r="DA240" i="1"/>
  <c r="DA241" i="1" s="1"/>
  <c r="AE19" i="1"/>
  <c r="AE66" i="1"/>
  <c r="AE23" i="1"/>
  <c r="DA120" i="1"/>
  <c r="DA234" i="1"/>
  <c r="AE160" i="1"/>
  <c r="AE164" i="1" s="1"/>
  <c r="DB164" i="1"/>
  <c r="DB205" i="1" s="1"/>
  <c r="DA205" i="1"/>
  <c r="DA206" i="1" s="1"/>
  <c r="AE35" i="1" l="1"/>
  <c r="AE11" i="1"/>
  <c r="AD25" i="1"/>
  <c r="AD67" i="1"/>
  <c r="AD36" i="1"/>
  <c r="AD38" i="1" s="1"/>
  <c r="AE24" i="1"/>
  <c r="AE26" i="1" s="1"/>
  <c r="AE9" i="1"/>
  <c r="AE10" i="1" s="1"/>
  <c r="CK219" i="1"/>
  <c r="CK256" i="1"/>
  <c r="CK252" i="1"/>
  <c r="CK254" i="1"/>
  <c r="DB42" i="1"/>
  <c r="DB39" i="1"/>
  <c r="DB240" i="1"/>
  <c r="DB241" i="1" s="1"/>
  <c r="DB37" i="1"/>
  <c r="DB38" i="1"/>
  <c r="DB120" i="1"/>
  <c r="AD194" i="1"/>
  <c r="AD197" i="1" s="1"/>
  <c r="AD198" i="1" s="1"/>
  <c r="AD189" i="1"/>
  <c r="AE156" i="1"/>
  <c r="AE187" i="1"/>
  <c r="CK173" i="1"/>
  <c r="CK176" i="1"/>
  <c r="DB165" i="1"/>
  <c r="DB204" i="1"/>
  <c r="DB206" i="1" s="1"/>
  <c r="AE193" i="1"/>
  <c r="AE192" i="1" s="1"/>
  <c r="AE205" i="1"/>
  <c r="DB234" i="1"/>
  <c r="AE12" i="1" l="1"/>
  <c r="AE36" i="1"/>
  <c r="AE38" i="1" s="1"/>
  <c r="CK117" i="1"/>
  <c r="CL45" i="1"/>
  <c r="CN45" i="1" s="1"/>
  <c r="CO45" i="1" s="1"/>
  <c r="CP45" i="1" s="1"/>
  <c r="CR45" i="1" s="1"/>
  <c r="CS45" i="1" s="1"/>
  <c r="CT45" i="1" s="1"/>
  <c r="CV45" i="1" s="1"/>
  <c r="CW45" i="1" s="1"/>
  <c r="CX45" i="1" s="1"/>
  <c r="CY45" i="1" s="1"/>
  <c r="CZ45" i="1" s="1"/>
  <c r="DA45" i="1" s="1"/>
  <c r="DB45" i="1" s="1"/>
  <c r="AD258" i="1"/>
  <c r="AD259" i="1" s="1"/>
  <c r="AD68" i="1"/>
  <c r="AD120" i="1"/>
  <c r="AD42" i="1"/>
  <c r="AD37" i="1"/>
  <c r="AE67" i="1"/>
  <c r="AE25" i="1"/>
  <c r="CK174" i="1"/>
  <c r="AE165" i="1"/>
  <c r="AE190" i="1"/>
  <c r="AE204" i="1"/>
  <c r="AE206" i="1" s="1"/>
  <c r="AE68" i="1" l="1"/>
  <c r="AE42" i="1"/>
  <c r="AE37" i="1"/>
  <c r="AE120" i="1"/>
  <c r="AE258" i="1"/>
  <c r="AE259" i="1" s="1"/>
  <c r="CK119" i="1"/>
  <c r="CK122" i="1" s="1"/>
  <c r="CK118" i="1"/>
  <c r="CK121" i="1" s="1"/>
  <c r="AE194" i="1"/>
  <c r="AE197" i="1" s="1"/>
  <c r="AE198" i="1" s="1"/>
  <c r="AE189" i="1"/>
  <c r="AH44" i="1" l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H97" i="1"/>
  <c r="Z97" i="1"/>
  <c r="CM94" i="1" l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CM217" i="1" l="1"/>
  <c r="AB217" i="1"/>
  <c r="CM44" i="1" l="1"/>
  <c r="CM260" i="1" s="1"/>
  <c r="CM46" i="1" l="1"/>
  <c r="CM47" i="1" l="1"/>
  <c r="CM49" i="1" l="1"/>
  <c r="CM51" i="1" l="1"/>
  <c r="CM52" i="1"/>
  <c r="CM242" i="1"/>
  <c r="CM56" i="1"/>
  <c r="CM50" i="1"/>
  <c r="CM253" i="1" s="1"/>
  <c r="CM235" i="1"/>
  <c r="CM201" i="1" l="1"/>
  <c r="CM203" i="1" s="1"/>
  <c r="CM207" i="1" s="1"/>
  <c r="CM221" i="1" s="1"/>
  <c r="CM74" i="1"/>
  <c r="CM127" i="1"/>
  <c r="CM128" i="1" l="1"/>
  <c r="CM77" i="1"/>
  <c r="CI97" i="1" s="1"/>
  <c r="CM78" i="1" l="1"/>
  <c r="CM86" i="1"/>
  <c r="CM93" i="1"/>
  <c r="CM87" i="1"/>
  <c r="CM137" i="1"/>
  <c r="CM63" i="1" s="1"/>
  <c r="CM100" i="1"/>
  <c r="CM102" i="1" s="1"/>
  <c r="CM215" i="1"/>
  <c r="CM213" i="1" s="1"/>
  <c r="CM218" i="1" s="1"/>
  <c r="CM62" i="1"/>
  <c r="CM168" i="1" l="1"/>
  <c r="CM169" i="1" s="1"/>
  <c r="CM90" i="1"/>
  <c r="CM116" i="1"/>
  <c r="CM89" i="1"/>
  <c r="CM115" i="1"/>
  <c r="CM219" i="1" l="1"/>
  <c r="CM256" i="1"/>
  <c r="CM254" i="1"/>
  <c r="CM252" i="1"/>
  <c r="CN217" i="1"/>
  <c r="CM173" i="1"/>
  <c r="CM176" i="1"/>
  <c r="CM174" i="1" l="1"/>
  <c r="CN44" i="1"/>
  <c r="CN260" i="1" s="1"/>
  <c r="CM117" i="1"/>
  <c r="CM118" i="1" l="1"/>
  <c r="CM121" i="1" s="1"/>
  <c r="CM119" i="1"/>
  <c r="CM122" i="1" s="1"/>
  <c r="CN46" i="1"/>
  <c r="CN47" i="1" l="1"/>
  <c r="CN49" i="1" s="1"/>
  <c r="CN51" i="1" l="1"/>
  <c r="CN52" i="1"/>
  <c r="CN56" i="1"/>
  <c r="CN242" i="1"/>
  <c r="CN50" i="1"/>
  <c r="CN253" i="1" s="1"/>
  <c r="CN235" i="1"/>
  <c r="CN74" i="1" l="1"/>
  <c r="CN201" i="1"/>
  <c r="CN203" i="1" s="1"/>
  <c r="CN207" i="1" s="1"/>
  <c r="CN221" i="1" s="1"/>
  <c r="CN127" i="1"/>
  <c r="CN77" i="1" l="1"/>
  <c r="CJ97" i="1" s="1"/>
  <c r="CN128" i="1"/>
  <c r="CN78" i="1" l="1"/>
  <c r="CN137" i="1"/>
  <c r="CN63" i="1" s="1"/>
  <c r="CN215" i="1"/>
  <c r="CN213" i="1" s="1"/>
  <c r="CN218" i="1" s="1"/>
  <c r="CN100" i="1"/>
  <c r="CN102" i="1" s="1"/>
  <c r="CN62" i="1"/>
  <c r="CN93" i="1"/>
  <c r="CN86" i="1"/>
  <c r="CN87" i="1"/>
  <c r="CN89" i="1" l="1"/>
  <c r="CN115" i="1"/>
  <c r="CN168" i="1"/>
  <c r="CN169" i="1" s="1"/>
  <c r="CN116" i="1"/>
  <c r="CN90" i="1"/>
  <c r="CN219" i="1" l="1"/>
  <c r="CN256" i="1"/>
  <c r="CN254" i="1"/>
  <c r="CN252" i="1"/>
  <c r="CN173" i="1"/>
  <c r="CN176" i="1"/>
  <c r="CO217" i="1"/>
  <c r="CN174" i="1" l="1"/>
  <c r="CO44" i="1"/>
  <c r="CO260" i="1" s="1"/>
  <c r="CN117" i="1"/>
  <c r="CO46" i="1" l="1"/>
  <c r="CN119" i="1"/>
  <c r="CN122" i="1" s="1"/>
  <c r="CN118" i="1"/>
  <c r="CN121" i="1" s="1"/>
  <c r="CO47" i="1" l="1"/>
  <c r="CO49" i="1" l="1"/>
  <c r="CO50" i="1" l="1"/>
  <c r="CO253" i="1" s="1"/>
  <c r="CO52" i="1"/>
  <c r="CO51" i="1"/>
  <c r="CO242" i="1"/>
  <c r="CO56" i="1"/>
  <c r="CO235" i="1"/>
  <c r="CO74" i="1" l="1"/>
  <c r="CO201" i="1"/>
  <c r="CO203" i="1" s="1"/>
  <c r="CO207" i="1" s="1"/>
  <c r="CO221" i="1" s="1"/>
  <c r="CO127" i="1"/>
  <c r="CO128" i="1" l="1"/>
  <c r="CO77" i="1"/>
  <c r="CK97" i="1" s="1"/>
  <c r="CO78" i="1" l="1"/>
  <c r="CO87" i="1"/>
  <c r="CO93" i="1"/>
  <c r="CO86" i="1"/>
  <c r="CO100" i="1"/>
  <c r="CO102" i="1" s="1"/>
  <c r="CO215" i="1"/>
  <c r="CO213" i="1" s="1"/>
  <c r="CO218" i="1" s="1"/>
  <c r="CO137" i="1"/>
  <c r="CO63" i="1" s="1"/>
  <c r="CO62" i="1"/>
  <c r="CO168" i="1" l="1"/>
  <c r="CO169" i="1" s="1"/>
  <c r="CO89" i="1"/>
  <c r="CO115" i="1"/>
  <c r="CO116" i="1"/>
  <c r="CO90" i="1"/>
  <c r="CO219" i="1" l="1"/>
  <c r="CO254" i="1"/>
  <c r="CO252" i="1"/>
  <c r="CO256" i="1"/>
  <c r="CO173" i="1"/>
  <c r="CO176" i="1"/>
  <c r="CP217" i="1"/>
  <c r="CP44" i="1" l="1"/>
  <c r="CP260" i="1" s="1"/>
  <c r="CO117" i="1"/>
  <c r="CO174" i="1"/>
  <c r="CO119" i="1" l="1"/>
  <c r="CO122" i="1" s="1"/>
  <c r="CO118" i="1"/>
  <c r="CO121" i="1" s="1"/>
  <c r="CP46" i="1"/>
  <c r="AB44" i="1"/>
  <c r="AB45" i="1" l="1"/>
  <c r="AB260" i="1"/>
  <c r="AB46" i="1"/>
  <c r="CP47" i="1"/>
  <c r="AB47" i="1" s="1"/>
  <c r="AB48" i="1" l="1"/>
  <c r="CP49" i="1"/>
  <c r="CP50" i="1" s="1"/>
  <c r="CP253" i="1" s="1"/>
  <c r="AB49" i="1"/>
  <c r="AB56" i="1" s="1"/>
  <c r="CP51" i="1" l="1"/>
  <c r="CP235" i="1"/>
  <c r="CP242" i="1"/>
  <c r="CP56" i="1"/>
  <c r="CP127" i="1" s="1"/>
  <c r="CP52" i="1"/>
  <c r="AB51" i="1"/>
  <c r="AB50" i="1"/>
  <c r="AB253" i="1" s="1"/>
  <c r="AB69" i="1"/>
  <c r="CP201" i="1" l="1"/>
  <c r="CP203" i="1" s="1"/>
  <c r="CP207" i="1" s="1"/>
  <c r="CP221" i="1" s="1"/>
  <c r="CP74" i="1"/>
  <c r="CP77" i="1" s="1"/>
  <c r="AB127" i="1"/>
  <c r="AB128" i="1" s="1"/>
  <c r="AB62" i="1" s="1"/>
  <c r="CP128" i="1"/>
  <c r="AB59" i="1"/>
  <c r="AB60" i="1" s="1"/>
  <c r="AB74" i="1"/>
  <c r="AB201" i="1"/>
  <c r="AB203" i="1" s="1"/>
  <c r="AB207" i="1" s="1"/>
  <c r="AB221" i="1" s="1"/>
  <c r="CL97" i="1" l="1"/>
  <c r="CP80" i="1"/>
  <c r="CP78" i="1"/>
  <c r="AB137" i="1"/>
  <c r="AB63" i="1" s="1"/>
  <c r="AB183" i="1"/>
  <c r="AB215" i="1"/>
  <c r="AB213" i="1" s="1"/>
  <c r="AB218" i="1" s="1"/>
  <c r="AB100" i="1"/>
  <c r="AB102" i="1" s="1"/>
  <c r="AB76" i="1"/>
  <c r="AB77" i="1"/>
  <c r="CP86" i="1"/>
  <c r="CP93" i="1"/>
  <c r="CP87" i="1"/>
  <c r="CP215" i="1"/>
  <c r="CP213" i="1" s="1"/>
  <c r="CP218" i="1" s="1"/>
  <c r="CP137" i="1"/>
  <c r="CP63" i="1" s="1"/>
  <c r="CP100" i="1"/>
  <c r="CP102" i="1" s="1"/>
  <c r="CP62" i="1"/>
  <c r="AB78" i="1" l="1"/>
  <c r="AA97" i="1"/>
  <c r="CP168" i="1"/>
  <c r="CP89" i="1"/>
  <c r="CP115" i="1"/>
  <c r="AB86" i="1"/>
  <c r="AB111" i="1" s="1"/>
  <c r="AB93" i="1"/>
  <c r="CP116" i="1"/>
  <c r="CP90" i="1"/>
  <c r="AB87" i="1"/>
  <c r="AB112" i="1" s="1"/>
  <c r="AB90" i="1" l="1"/>
  <c r="AB104" i="1"/>
  <c r="AB95" i="1"/>
  <c r="AB116" i="1"/>
  <c r="CP169" i="1"/>
  <c r="AB168" i="1"/>
  <c r="AB169" i="1" s="1"/>
  <c r="AB94" i="1"/>
  <c r="AB103" i="1"/>
  <c r="AB115" i="1"/>
  <c r="AB89" i="1"/>
  <c r="AB256" i="1" l="1"/>
  <c r="AB254" i="1"/>
  <c r="AB252" i="1"/>
  <c r="CP254" i="1"/>
  <c r="CP252" i="1"/>
  <c r="CP256" i="1"/>
  <c r="CP173" i="1"/>
  <c r="CQ217" i="1"/>
  <c r="CP176" i="1"/>
  <c r="CP219" i="1"/>
  <c r="AB176" i="1"/>
  <c r="AB117" i="1" s="1"/>
  <c r="AB119" i="1" s="1"/>
  <c r="AB122" i="1" s="1"/>
  <c r="AB173" i="1"/>
  <c r="AC217" i="1"/>
  <c r="AB219" i="1"/>
  <c r="AB118" i="1" l="1"/>
  <c r="AB121" i="1" s="1"/>
  <c r="AB174" i="1"/>
  <c r="CP117" i="1"/>
  <c r="CQ44" i="1"/>
  <c r="CQ260" i="1" s="1"/>
  <c r="CP174" i="1"/>
  <c r="CQ46" i="1" l="1"/>
  <c r="CP118" i="1"/>
  <c r="CP121" i="1" s="1"/>
  <c r="CP119" i="1"/>
  <c r="CP122" i="1" s="1"/>
  <c r="CQ47" i="1" l="1"/>
  <c r="CQ49" i="1" s="1"/>
  <c r="CQ56" i="1" l="1"/>
  <c r="CQ50" i="1"/>
  <c r="CQ253" i="1" s="1"/>
  <c r="CQ51" i="1"/>
  <c r="CQ52" i="1"/>
  <c r="CQ242" i="1"/>
  <c r="CQ235" i="1"/>
  <c r="CQ74" i="1" l="1"/>
  <c r="CQ201" i="1"/>
  <c r="CQ203" i="1" s="1"/>
  <c r="CQ207" i="1" s="1"/>
  <c r="CQ221" i="1" s="1"/>
  <c r="CQ127" i="1"/>
  <c r="CQ128" i="1" l="1"/>
  <c r="CQ77" i="1"/>
  <c r="CQ78" i="1" l="1"/>
  <c r="CQ87" i="1"/>
  <c r="CQ86" i="1"/>
  <c r="CQ93" i="1"/>
  <c r="CQ137" i="1"/>
  <c r="CQ63" i="1" s="1"/>
  <c r="CQ215" i="1"/>
  <c r="CQ213" i="1" s="1"/>
  <c r="CQ218" i="1" s="1"/>
  <c r="CQ100" i="1"/>
  <c r="CQ102" i="1" s="1"/>
  <c r="CQ62" i="1"/>
  <c r="CQ168" i="1" l="1"/>
  <c r="CQ169" i="1" s="1"/>
  <c r="CQ219" i="1" s="1"/>
  <c r="CQ115" i="1"/>
  <c r="CQ89" i="1"/>
  <c r="CQ116" i="1"/>
  <c r="CQ90" i="1"/>
  <c r="CQ256" i="1" l="1"/>
  <c r="CQ254" i="1"/>
  <c r="CQ252" i="1"/>
  <c r="CQ176" i="1"/>
  <c r="CR217" i="1"/>
  <c r="CQ173" i="1"/>
  <c r="CQ174" i="1" l="1"/>
  <c r="CQ117" i="1"/>
  <c r="CR44" i="1"/>
  <c r="CR260" i="1" s="1"/>
  <c r="CR46" i="1" l="1"/>
  <c r="CQ118" i="1"/>
  <c r="CQ121" i="1" s="1"/>
  <c r="CQ119" i="1"/>
  <c r="CQ122" i="1" s="1"/>
  <c r="CR47" i="1" l="1"/>
  <c r="CR49" i="1" s="1"/>
  <c r="CR242" i="1" l="1"/>
  <c r="CR50" i="1"/>
  <c r="CR253" i="1" s="1"/>
  <c r="CR56" i="1"/>
  <c r="CR51" i="1"/>
  <c r="CR52" i="1"/>
  <c r="CR235" i="1"/>
  <c r="CR74" i="1" l="1"/>
  <c r="CR201" i="1"/>
  <c r="CR203" i="1" s="1"/>
  <c r="CR207" i="1" s="1"/>
  <c r="CR221" i="1" s="1"/>
  <c r="CR127" i="1"/>
  <c r="CR128" i="1" l="1"/>
  <c r="CR77" i="1"/>
  <c r="CR78" i="1" l="1"/>
  <c r="CR93" i="1"/>
  <c r="CR86" i="1"/>
  <c r="CR87" i="1"/>
  <c r="CR137" i="1"/>
  <c r="CR63" i="1" s="1"/>
  <c r="CR215" i="1"/>
  <c r="CR213" i="1" s="1"/>
  <c r="CR218" i="1" s="1"/>
  <c r="CR100" i="1"/>
  <c r="CR102" i="1" s="1"/>
  <c r="CR62" i="1"/>
  <c r="CR168" i="1" l="1"/>
  <c r="CR169" i="1" s="1"/>
  <c r="CR116" i="1"/>
  <c r="CR90" i="1"/>
  <c r="CR115" i="1"/>
  <c r="CR89" i="1"/>
  <c r="CR256" i="1" l="1"/>
  <c r="CR254" i="1"/>
  <c r="CR252" i="1"/>
  <c r="CS217" i="1"/>
  <c r="CR176" i="1"/>
  <c r="CR173" i="1"/>
  <c r="CR219" i="1"/>
  <c r="CR174" i="1" l="1"/>
  <c r="CR117" i="1"/>
  <c r="CS44" i="1"/>
  <c r="CS260" i="1" s="1"/>
  <c r="CS46" i="1" l="1"/>
  <c r="CR118" i="1"/>
  <c r="CR121" i="1" s="1"/>
  <c r="CR119" i="1"/>
  <c r="CR122" i="1" s="1"/>
  <c r="CS47" i="1" l="1"/>
  <c r="CS49" i="1" l="1"/>
  <c r="CS56" i="1" l="1"/>
  <c r="CS52" i="1"/>
  <c r="CS242" i="1"/>
  <c r="CS51" i="1"/>
  <c r="CS50" i="1"/>
  <c r="CS253" i="1" s="1"/>
  <c r="CS235" i="1"/>
  <c r="CS74" i="1" l="1"/>
  <c r="CS201" i="1"/>
  <c r="CS203" i="1" s="1"/>
  <c r="CS207" i="1" s="1"/>
  <c r="CS221" i="1" s="1"/>
  <c r="CS127" i="1"/>
  <c r="CS128" i="1" l="1"/>
  <c r="CS77" i="1"/>
  <c r="CS78" i="1" l="1"/>
  <c r="CS86" i="1"/>
  <c r="CS87" i="1"/>
  <c r="CS93" i="1"/>
  <c r="CS137" i="1"/>
  <c r="CS63" i="1" s="1"/>
  <c r="CS100" i="1"/>
  <c r="CS102" i="1" s="1"/>
  <c r="CS215" i="1"/>
  <c r="CS213" i="1" s="1"/>
  <c r="CS218" i="1" s="1"/>
  <c r="CS62" i="1"/>
  <c r="CS168" i="1" l="1"/>
  <c r="CS169" i="1" s="1"/>
  <c r="CS116" i="1"/>
  <c r="CS90" i="1"/>
  <c r="CS115" i="1"/>
  <c r="CS89" i="1"/>
  <c r="CS254" i="1" l="1"/>
  <c r="CS256" i="1"/>
  <c r="CS252" i="1"/>
  <c r="CT217" i="1"/>
  <c r="CS173" i="1"/>
  <c r="CS176" i="1"/>
  <c r="CS219" i="1"/>
  <c r="CT44" i="1" l="1"/>
  <c r="CT260" i="1" s="1"/>
  <c r="CS117" i="1"/>
  <c r="CS174" i="1"/>
  <c r="CS119" i="1" l="1"/>
  <c r="CS122" i="1" s="1"/>
  <c r="CS118" i="1"/>
  <c r="CS121" i="1" s="1"/>
  <c r="CT46" i="1"/>
  <c r="AC44" i="1"/>
  <c r="AC45" i="1" l="1"/>
  <c r="AC260" i="1"/>
  <c r="AC46" i="1"/>
  <c r="CT47" i="1"/>
  <c r="AC47" i="1" s="1"/>
  <c r="AC48" i="1" l="1"/>
  <c r="CT49" i="1"/>
  <c r="CT52" i="1" s="1"/>
  <c r="AC49" i="1"/>
  <c r="CT51" i="1" l="1"/>
  <c r="CT56" i="1"/>
  <c r="CT242" i="1"/>
  <c r="CT235" i="1"/>
  <c r="CT50" i="1"/>
  <c r="CT253" i="1" s="1"/>
  <c r="AC51" i="1"/>
  <c r="AC50" i="1"/>
  <c r="AC253" i="1" s="1"/>
  <c r="AC69" i="1"/>
  <c r="AC56" i="1"/>
  <c r="CT127" i="1" l="1"/>
  <c r="CT74" i="1"/>
  <c r="CT77" i="1" s="1"/>
  <c r="CT80" i="1" s="1"/>
  <c r="CT201" i="1"/>
  <c r="CT203" i="1" s="1"/>
  <c r="CT207" i="1" s="1"/>
  <c r="CT221" i="1" s="1"/>
  <c r="AC74" i="1"/>
  <c r="AC59" i="1"/>
  <c r="AC60" i="1" s="1"/>
  <c r="AC201" i="1"/>
  <c r="AC203" i="1" s="1"/>
  <c r="AC207" i="1" s="1"/>
  <c r="AC221" i="1" s="1"/>
  <c r="CT128" i="1" l="1"/>
  <c r="AC127" i="1"/>
  <c r="AC128" i="1" s="1"/>
  <c r="AC137" i="1" s="1"/>
  <c r="AC63" i="1" s="1"/>
  <c r="CT78" i="1"/>
  <c r="AC76" i="1"/>
  <c r="AC77" i="1"/>
  <c r="AC78" i="1" s="1"/>
  <c r="CT93" i="1"/>
  <c r="CT86" i="1"/>
  <c r="CT87" i="1"/>
  <c r="CT137" i="1" l="1"/>
  <c r="CT63" i="1" s="1"/>
  <c r="CT100" i="1"/>
  <c r="CT102" i="1" s="1"/>
  <c r="CT215" i="1"/>
  <c r="CT213" i="1" s="1"/>
  <c r="CT218" i="1" s="1"/>
  <c r="CT168" i="1" s="1"/>
  <c r="CT62" i="1"/>
  <c r="AC62" i="1"/>
  <c r="AC215" i="1"/>
  <c r="AC213" i="1" s="1"/>
  <c r="AC218" i="1" s="1"/>
  <c r="AC100" i="1"/>
  <c r="AC102" i="1" s="1"/>
  <c r="AC183" i="1"/>
  <c r="CT115" i="1"/>
  <c r="CT89" i="1"/>
  <c r="AC86" i="1"/>
  <c r="AC111" i="1" s="1"/>
  <c r="AC93" i="1"/>
  <c r="AB97" i="1"/>
  <c r="CT116" i="1"/>
  <c r="CT90" i="1"/>
  <c r="AC87" i="1"/>
  <c r="AC112" i="1" s="1"/>
  <c r="AC94" i="1" l="1"/>
  <c r="AC89" i="1"/>
  <c r="AC103" i="1"/>
  <c r="AC115" i="1"/>
  <c r="CT169" i="1"/>
  <c r="AC168" i="1"/>
  <c r="AC169" i="1" s="1"/>
  <c r="AC104" i="1"/>
  <c r="AC116" i="1"/>
  <c r="AC95" i="1"/>
  <c r="AC90" i="1"/>
  <c r="CT254" i="1" l="1"/>
  <c r="CT256" i="1"/>
  <c r="CT252" i="1"/>
  <c r="AC256" i="1"/>
  <c r="AC254" i="1"/>
  <c r="AC252" i="1"/>
  <c r="CU217" i="1"/>
  <c r="CT173" i="1"/>
  <c r="CT176" i="1"/>
  <c r="CT219" i="1"/>
  <c r="AD217" i="1"/>
  <c r="AC176" i="1"/>
  <c r="AC117" i="1" s="1"/>
  <c r="AC118" i="1" s="1"/>
  <c r="AC121" i="1" s="1"/>
  <c r="AC173" i="1"/>
  <c r="AC219" i="1"/>
  <c r="AC119" i="1" l="1"/>
  <c r="AC122" i="1" s="1"/>
  <c r="AC174" i="1"/>
  <c r="CT174" i="1"/>
  <c r="CT117" i="1"/>
  <c r="CU44" i="1"/>
  <c r="CU260" i="1" s="1"/>
  <c r="CU46" i="1" l="1"/>
  <c r="CT118" i="1"/>
  <c r="CT121" i="1" s="1"/>
  <c r="CT119" i="1"/>
  <c r="CT122" i="1" s="1"/>
  <c r="CU47" i="1" l="1"/>
  <c r="CU49" i="1" s="1"/>
  <c r="CU50" i="1" l="1"/>
  <c r="CU253" i="1" s="1"/>
  <c r="CU51" i="1"/>
  <c r="CU52" i="1"/>
  <c r="CU56" i="1"/>
  <c r="CU242" i="1"/>
  <c r="CU235" i="1"/>
  <c r="CU201" i="1" l="1"/>
  <c r="CU203" i="1" s="1"/>
  <c r="CU207" i="1" s="1"/>
  <c r="CU221" i="1" s="1"/>
  <c r="CU74" i="1"/>
  <c r="CU127" i="1"/>
  <c r="CU128" i="1" l="1"/>
  <c r="CU77" i="1"/>
  <c r="CU78" i="1" l="1"/>
  <c r="CU93" i="1"/>
  <c r="CU87" i="1"/>
  <c r="CU86" i="1"/>
  <c r="CU137" i="1"/>
  <c r="CU63" i="1" s="1"/>
  <c r="CU215" i="1"/>
  <c r="CU213" i="1" s="1"/>
  <c r="CU218" i="1" s="1"/>
  <c r="CU100" i="1"/>
  <c r="CU102" i="1" s="1"/>
  <c r="CU62" i="1"/>
  <c r="CU168" i="1" l="1"/>
  <c r="CU169" i="1" s="1"/>
  <c r="CU115" i="1"/>
  <c r="CU89" i="1"/>
  <c r="CU116" i="1"/>
  <c r="CU90" i="1"/>
  <c r="CU256" i="1" l="1"/>
  <c r="CU252" i="1"/>
  <c r="CU254" i="1"/>
  <c r="CU173" i="1"/>
  <c r="CU176" i="1"/>
  <c r="CV217" i="1"/>
  <c r="CU219" i="1"/>
  <c r="CU174" i="1" l="1"/>
  <c r="CV44" i="1"/>
  <c r="CV260" i="1" s="1"/>
  <c r="CU117" i="1"/>
  <c r="CU118" i="1" l="1"/>
  <c r="CU121" i="1" s="1"/>
  <c r="CU119" i="1"/>
  <c r="CU122" i="1" s="1"/>
  <c r="CV46" i="1"/>
  <c r="CV47" i="1" l="1"/>
  <c r="CV49" i="1" l="1"/>
  <c r="CV56" i="1" l="1"/>
  <c r="CV242" i="1"/>
  <c r="CV50" i="1"/>
  <c r="CV253" i="1" s="1"/>
  <c r="CV52" i="1"/>
  <c r="CV51" i="1"/>
  <c r="CV235" i="1"/>
  <c r="CV201" i="1" l="1"/>
  <c r="CV203" i="1" s="1"/>
  <c r="CV207" i="1" s="1"/>
  <c r="CV221" i="1" s="1"/>
  <c r="CV74" i="1"/>
  <c r="CV127" i="1"/>
  <c r="CV128" i="1" l="1"/>
  <c r="CV77" i="1"/>
  <c r="CV78" i="1" l="1"/>
  <c r="CV86" i="1"/>
  <c r="CV87" i="1"/>
  <c r="CV93" i="1"/>
  <c r="CV100" i="1"/>
  <c r="CV102" i="1" s="1"/>
  <c r="CV137" i="1"/>
  <c r="CV63" i="1" s="1"/>
  <c r="CV215" i="1"/>
  <c r="CV213" i="1" s="1"/>
  <c r="CV218" i="1" s="1"/>
  <c r="CV62" i="1"/>
  <c r="CV168" i="1" l="1"/>
  <c r="CV169" i="1" s="1"/>
  <c r="CV116" i="1"/>
  <c r="CV90" i="1"/>
  <c r="CV115" i="1"/>
  <c r="CV89" i="1"/>
  <c r="CV254" i="1" l="1"/>
  <c r="CV252" i="1"/>
  <c r="CV256" i="1"/>
  <c r="CV176" i="1"/>
  <c r="CW217" i="1"/>
  <c r="CV173" i="1"/>
  <c r="CV219" i="1"/>
  <c r="CV174" i="1" l="1"/>
  <c r="CV117" i="1"/>
  <c r="CW44" i="1"/>
  <c r="CW260" i="1" s="1"/>
  <c r="CW46" i="1" l="1"/>
  <c r="CV119" i="1"/>
  <c r="CV122" i="1" s="1"/>
  <c r="CV118" i="1"/>
  <c r="CV121" i="1" s="1"/>
  <c r="CW47" i="1" l="1"/>
  <c r="CW49" i="1" l="1"/>
  <c r="CW50" i="1" l="1"/>
  <c r="CW253" i="1" s="1"/>
  <c r="CW52" i="1"/>
  <c r="CW56" i="1"/>
  <c r="CW51" i="1"/>
  <c r="CW242" i="1"/>
  <c r="CW235" i="1"/>
  <c r="CW201" i="1" l="1"/>
  <c r="CW203" i="1" s="1"/>
  <c r="CW207" i="1" s="1"/>
  <c r="CW221" i="1" s="1"/>
  <c r="CW74" i="1"/>
  <c r="CW127" i="1"/>
  <c r="CW128" i="1" l="1"/>
  <c r="CW77" i="1"/>
  <c r="CW78" i="1" l="1"/>
  <c r="CW93" i="1"/>
  <c r="CW87" i="1"/>
  <c r="CW86" i="1"/>
  <c r="CW215" i="1"/>
  <c r="CW213" i="1" s="1"/>
  <c r="CW218" i="1" s="1"/>
  <c r="CW137" i="1"/>
  <c r="CW63" i="1" s="1"/>
  <c r="CW100" i="1"/>
  <c r="CW102" i="1" s="1"/>
  <c r="CW62" i="1"/>
  <c r="CW168" i="1" l="1"/>
  <c r="CW169" i="1" s="1"/>
  <c r="CW115" i="1"/>
  <c r="CW89" i="1"/>
  <c r="CW116" i="1"/>
  <c r="CW90" i="1"/>
  <c r="CW254" i="1" l="1"/>
  <c r="CW252" i="1"/>
  <c r="CW256" i="1"/>
  <c r="CW173" i="1"/>
  <c r="CX217" i="1"/>
  <c r="CW176" i="1"/>
  <c r="CW219" i="1"/>
  <c r="CX44" i="1" l="1"/>
  <c r="CX260" i="1" s="1"/>
  <c r="CW117" i="1"/>
  <c r="CW174" i="1"/>
  <c r="CW118" i="1" l="1"/>
  <c r="CW121" i="1" s="1"/>
  <c r="CW119" i="1"/>
  <c r="CW122" i="1" s="1"/>
  <c r="CX46" i="1"/>
  <c r="AD44" i="1"/>
  <c r="AD45" i="1" l="1"/>
  <c r="AD260" i="1"/>
  <c r="AD46" i="1"/>
  <c r="CX47" i="1"/>
  <c r="AD47" i="1" s="1"/>
  <c r="AD48" i="1" l="1"/>
  <c r="CX49" i="1"/>
  <c r="CX235" i="1" s="1"/>
  <c r="AD49" i="1"/>
  <c r="CX52" i="1" l="1"/>
  <c r="CX242" i="1"/>
  <c r="CX56" i="1"/>
  <c r="CX50" i="1"/>
  <c r="CX253" i="1" s="1"/>
  <c r="CX51" i="1"/>
  <c r="AD51" i="1"/>
  <c r="AD69" i="1"/>
  <c r="AD56" i="1"/>
  <c r="AD50" i="1"/>
  <c r="AD253" i="1" s="1"/>
  <c r="CX74" i="1" l="1"/>
  <c r="CX77" i="1" s="1"/>
  <c r="CX80" i="1" s="1"/>
  <c r="CX201" i="1"/>
  <c r="CX203" i="1" s="1"/>
  <c r="CX207" i="1" s="1"/>
  <c r="CX221" i="1" s="1"/>
  <c r="CX127" i="1"/>
  <c r="AD74" i="1"/>
  <c r="AD59" i="1"/>
  <c r="AD60" i="1" s="1"/>
  <c r="AD201" i="1"/>
  <c r="AD203" i="1" s="1"/>
  <c r="AD207" i="1" s="1"/>
  <c r="AD221" i="1" s="1"/>
  <c r="AD127" i="1" l="1"/>
  <c r="AD128" i="1" s="1"/>
  <c r="CX128" i="1"/>
  <c r="CX215" i="1" s="1"/>
  <c r="CX213" i="1" s="1"/>
  <c r="CX218" i="1" s="1"/>
  <c r="CX78" i="1"/>
  <c r="CX86" i="1"/>
  <c r="CX93" i="1"/>
  <c r="CX87" i="1"/>
  <c r="AD76" i="1"/>
  <c r="AD77" i="1"/>
  <c r="AD78" i="1" s="1"/>
  <c r="AD100" i="1" l="1"/>
  <c r="AD102" i="1" s="1"/>
  <c r="AD183" i="1"/>
  <c r="AD137" i="1"/>
  <c r="AD63" i="1" s="1"/>
  <c r="AD62" i="1"/>
  <c r="AD215" i="1"/>
  <c r="AD213" i="1" s="1"/>
  <c r="AD218" i="1" s="1"/>
  <c r="CX137" i="1"/>
  <c r="CX63" i="1" s="1"/>
  <c r="CX100" i="1"/>
  <c r="CX102" i="1" s="1"/>
  <c r="CX62" i="1"/>
  <c r="CX168" i="1"/>
  <c r="CX90" i="1"/>
  <c r="CX116" i="1"/>
  <c r="AD87" i="1"/>
  <c r="AD112" i="1" s="1"/>
  <c r="AD93" i="1"/>
  <c r="AC97" i="1"/>
  <c r="CX115" i="1"/>
  <c r="CX89" i="1"/>
  <c r="AD86" i="1"/>
  <c r="AD111" i="1" s="1"/>
  <c r="AD116" i="1" l="1"/>
  <c r="AD90" i="1"/>
  <c r="AD104" i="1"/>
  <c r="AD95" i="1"/>
  <c r="AD103" i="1"/>
  <c r="AD115" i="1"/>
  <c r="AD94" i="1"/>
  <c r="AD89" i="1"/>
  <c r="CX169" i="1"/>
  <c r="AD168" i="1"/>
  <c r="AD169" i="1" s="1"/>
  <c r="AD256" i="1" l="1"/>
  <c r="AD254" i="1"/>
  <c r="AD252" i="1"/>
  <c r="CX256" i="1"/>
  <c r="CX254" i="1"/>
  <c r="CX252" i="1"/>
  <c r="AE217" i="1"/>
  <c r="AD173" i="1"/>
  <c r="AD176" i="1"/>
  <c r="AD117" i="1" s="1"/>
  <c r="AD119" i="1" s="1"/>
  <c r="AD122" i="1" s="1"/>
  <c r="AD219" i="1"/>
  <c r="CY217" i="1"/>
  <c r="CX173" i="1"/>
  <c r="CX176" i="1"/>
  <c r="CX219" i="1"/>
  <c r="AD118" i="1" l="1"/>
  <c r="AD121" i="1" s="1"/>
  <c r="AD174" i="1"/>
  <c r="CX117" i="1"/>
  <c r="CY44" i="1"/>
  <c r="CY260" i="1" s="1"/>
  <c r="CX174" i="1"/>
  <c r="CY46" i="1" l="1"/>
  <c r="CX118" i="1"/>
  <c r="CX121" i="1" s="1"/>
  <c r="CX119" i="1"/>
  <c r="CX122" i="1" s="1"/>
  <c r="CY47" i="1" l="1"/>
  <c r="CY49" i="1" l="1"/>
  <c r="CY50" i="1" l="1"/>
  <c r="CY253" i="1" s="1"/>
  <c r="CY242" i="1"/>
  <c r="CY51" i="1"/>
  <c r="CY52" i="1"/>
  <c r="CY56" i="1"/>
  <c r="CY235" i="1"/>
  <c r="CY74" i="1" l="1"/>
  <c r="CY201" i="1"/>
  <c r="CY203" i="1" s="1"/>
  <c r="CY207" i="1" s="1"/>
  <c r="CY221" i="1" s="1"/>
  <c r="CY127" i="1"/>
  <c r="CY128" i="1" l="1"/>
  <c r="CY77" i="1"/>
  <c r="CY78" i="1" s="1"/>
  <c r="CY86" i="1" l="1"/>
  <c r="CY93" i="1"/>
  <c r="CY87" i="1"/>
  <c r="CY100" i="1"/>
  <c r="CY102" i="1" s="1"/>
  <c r="CY137" i="1"/>
  <c r="CY63" i="1" s="1"/>
  <c r="CY215" i="1"/>
  <c r="CY213" i="1" s="1"/>
  <c r="CY218" i="1" s="1"/>
  <c r="CY62" i="1"/>
  <c r="CY168" i="1" l="1"/>
  <c r="CY169" i="1" s="1"/>
  <c r="CY116" i="1"/>
  <c r="CY90" i="1"/>
  <c r="CY89" i="1"/>
  <c r="CY115" i="1"/>
  <c r="CY219" i="1" l="1"/>
  <c r="CY256" i="1"/>
  <c r="CY254" i="1"/>
  <c r="CY252" i="1"/>
  <c r="CZ217" i="1"/>
  <c r="CY173" i="1"/>
  <c r="CY176" i="1"/>
  <c r="CY174" i="1" l="1"/>
  <c r="CZ44" i="1"/>
  <c r="CZ260" i="1" s="1"/>
  <c r="CY117" i="1"/>
  <c r="CY119" i="1" l="1"/>
  <c r="CY122" i="1" s="1"/>
  <c r="CY118" i="1"/>
  <c r="CY121" i="1" s="1"/>
  <c r="CZ46" i="1"/>
  <c r="CZ47" i="1" l="1"/>
  <c r="CZ49" i="1" l="1"/>
  <c r="CZ242" i="1" l="1"/>
  <c r="CZ51" i="1"/>
  <c r="CZ50" i="1"/>
  <c r="CZ253" i="1" s="1"/>
  <c r="CZ52" i="1"/>
  <c r="CZ56" i="1"/>
  <c r="CZ235" i="1"/>
  <c r="CZ201" i="1" l="1"/>
  <c r="CZ203" i="1" s="1"/>
  <c r="CZ207" i="1" s="1"/>
  <c r="CZ221" i="1" s="1"/>
  <c r="CZ74" i="1"/>
  <c r="CZ127" i="1"/>
  <c r="CZ128" i="1" l="1"/>
  <c r="CZ77" i="1"/>
  <c r="CZ78" i="1" s="1"/>
  <c r="CZ93" i="1" l="1"/>
  <c r="CZ87" i="1"/>
  <c r="CZ86" i="1"/>
  <c r="CZ137" i="1"/>
  <c r="CZ63" i="1" s="1"/>
  <c r="CZ215" i="1"/>
  <c r="CZ213" i="1" s="1"/>
  <c r="CZ218" i="1" s="1"/>
  <c r="CZ100" i="1"/>
  <c r="CZ102" i="1" s="1"/>
  <c r="CZ62" i="1"/>
  <c r="CZ168" i="1" l="1"/>
  <c r="CZ169" i="1" s="1"/>
  <c r="CZ115" i="1"/>
  <c r="CZ89" i="1"/>
  <c r="CZ90" i="1"/>
  <c r="CZ116" i="1"/>
  <c r="CZ254" i="1" l="1"/>
  <c r="CZ252" i="1"/>
  <c r="CZ256" i="1"/>
  <c r="CZ173" i="1"/>
  <c r="CZ176" i="1"/>
  <c r="DA217" i="1"/>
  <c r="CZ219" i="1"/>
  <c r="CZ117" i="1" l="1"/>
  <c r="DA44" i="1"/>
  <c r="DA260" i="1" s="1"/>
  <c r="CZ174" i="1"/>
  <c r="DA46" i="1" l="1"/>
  <c r="CZ118" i="1"/>
  <c r="CZ121" i="1" s="1"/>
  <c r="CZ119" i="1"/>
  <c r="CZ122" i="1" s="1"/>
  <c r="DA47" i="1" l="1"/>
  <c r="DA49" i="1" l="1"/>
  <c r="DA242" i="1" l="1"/>
  <c r="DA56" i="1"/>
  <c r="DA51" i="1"/>
  <c r="DA52" i="1"/>
  <c r="DA50" i="1"/>
  <c r="DA253" i="1" s="1"/>
  <c r="DA235" i="1"/>
  <c r="DA74" i="1" l="1"/>
  <c r="DA201" i="1"/>
  <c r="DA203" i="1" s="1"/>
  <c r="DA207" i="1" s="1"/>
  <c r="DA221" i="1" s="1"/>
  <c r="DA127" i="1"/>
  <c r="DA128" i="1" l="1"/>
  <c r="DA77" i="1"/>
  <c r="DA78" i="1" s="1"/>
  <c r="DA87" i="1" l="1"/>
  <c r="DA86" i="1"/>
  <c r="DA93" i="1"/>
  <c r="DA137" i="1"/>
  <c r="DA63" i="1" s="1"/>
  <c r="DA215" i="1"/>
  <c r="DA213" i="1" s="1"/>
  <c r="DA218" i="1" s="1"/>
  <c r="DA100" i="1"/>
  <c r="DA102" i="1" s="1"/>
  <c r="DA62" i="1"/>
  <c r="DA168" i="1" l="1"/>
  <c r="DA169" i="1" s="1"/>
  <c r="DA115" i="1"/>
  <c r="DA89" i="1"/>
  <c r="DA90" i="1"/>
  <c r="DA116" i="1"/>
  <c r="DA219" i="1" l="1"/>
  <c r="DA256" i="1"/>
  <c r="DA252" i="1"/>
  <c r="DA254" i="1"/>
  <c r="DA176" i="1"/>
  <c r="DB217" i="1"/>
  <c r="DA173" i="1"/>
  <c r="DA174" i="1" l="1"/>
  <c r="DA117" i="1"/>
  <c r="DB44" i="1"/>
  <c r="DB260" i="1" s="1"/>
  <c r="DA119" i="1" l="1"/>
  <c r="DA122" i="1" s="1"/>
  <c r="DA118" i="1"/>
  <c r="DA121" i="1" s="1"/>
  <c r="DB46" i="1"/>
  <c r="AE44" i="1"/>
  <c r="AE45" i="1" l="1"/>
  <c r="AE260" i="1"/>
  <c r="AE46" i="1"/>
  <c r="DB47" i="1"/>
  <c r="AE47" i="1" s="1"/>
  <c r="AE48" i="1" l="1"/>
  <c r="DB49" i="1"/>
  <c r="AE49" i="1"/>
  <c r="AE51" i="1" s="1"/>
  <c r="AE50" i="1" l="1"/>
  <c r="AE253" i="1" s="1"/>
  <c r="AE56" i="1"/>
  <c r="AE69" i="1"/>
  <c r="DB51" i="1"/>
  <c r="DB52" i="1"/>
  <c r="DB242" i="1"/>
  <c r="DB50" i="1"/>
  <c r="DB253" i="1" s="1"/>
  <c r="DB56" i="1"/>
  <c r="DB235" i="1"/>
  <c r="AE59" i="1" l="1"/>
  <c r="AE60" i="1" s="1"/>
  <c r="AE74" i="1"/>
  <c r="AE201" i="1"/>
  <c r="AE203" i="1" s="1"/>
  <c r="AE207" i="1" s="1"/>
  <c r="AE221" i="1" s="1"/>
  <c r="DB201" i="1"/>
  <c r="DB203" i="1" s="1"/>
  <c r="DB207" i="1" s="1"/>
  <c r="DB221" i="1" s="1"/>
  <c r="DB74" i="1"/>
  <c r="DB77" i="1" s="1"/>
  <c r="DB78" i="1" s="1"/>
  <c r="DB127" i="1"/>
  <c r="AE127" i="1" l="1"/>
  <c r="AE128" i="1" s="1"/>
  <c r="DB128" i="1"/>
  <c r="DB87" i="1"/>
  <c r="DB86" i="1"/>
  <c r="DB93" i="1"/>
  <c r="AE77" i="1"/>
  <c r="AE78" i="1" s="1"/>
  <c r="AE76" i="1"/>
  <c r="DB115" i="1" l="1"/>
  <c r="DB89" i="1"/>
  <c r="AE86" i="1"/>
  <c r="AE111" i="1" s="1"/>
  <c r="AE93" i="1"/>
  <c r="AD97" i="1"/>
  <c r="DB116" i="1"/>
  <c r="DB90" i="1"/>
  <c r="AE87" i="1"/>
  <c r="AE112" i="1" s="1"/>
  <c r="DB215" i="1"/>
  <c r="DB213" i="1" s="1"/>
  <c r="DB218" i="1" s="1"/>
  <c r="DB137" i="1"/>
  <c r="DB63" i="1" s="1"/>
  <c r="DB100" i="1"/>
  <c r="DB102" i="1" s="1"/>
  <c r="DB62" i="1"/>
  <c r="AE215" i="1"/>
  <c r="AE213" i="1" s="1"/>
  <c r="AE218" i="1" s="1"/>
  <c r="AE137" i="1"/>
  <c r="AE63" i="1" s="1"/>
  <c r="AE100" i="1"/>
  <c r="AE102" i="1" s="1"/>
  <c r="AE183" i="1"/>
  <c r="AE62" i="1"/>
  <c r="AE95" i="1" l="1"/>
  <c r="AE90" i="1"/>
  <c r="AE104" i="1"/>
  <c r="AE116" i="1"/>
  <c r="AE94" i="1"/>
  <c r="AE89" i="1"/>
  <c r="AE115" i="1"/>
  <c r="AE103" i="1"/>
  <c r="DB168" i="1"/>
  <c r="AE168" i="1" l="1"/>
  <c r="AE169" i="1" s="1"/>
  <c r="DB169" i="1"/>
  <c r="DB252" i="1" l="1"/>
  <c r="DB256" i="1"/>
  <c r="DB254" i="1"/>
  <c r="AE254" i="1"/>
  <c r="AE252" i="1"/>
  <c r="AE256" i="1"/>
  <c r="DB173" i="1"/>
  <c r="DB176" i="1"/>
  <c r="DB117" i="1" s="1"/>
  <c r="DB219" i="1"/>
  <c r="AE176" i="1"/>
  <c r="AE117" i="1" s="1"/>
  <c r="AE173" i="1"/>
  <c r="AE219" i="1"/>
  <c r="AE174" i="1" l="1"/>
  <c r="AE119" i="1"/>
  <c r="AE122" i="1" s="1"/>
  <c r="AE118" i="1"/>
  <c r="AE121" i="1" s="1"/>
  <c r="DB118" i="1"/>
  <c r="DB121" i="1" s="1"/>
  <c r="DB119" i="1"/>
  <c r="DB122" i="1" s="1"/>
  <c r="DB17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<sst xmlns="http://schemas.openxmlformats.org/spreadsheetml/2006/main" count="671" uniqueCount="531">
  <si>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</si>
  <si>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</si>
  <si>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</si>
  <si>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</si>
  <si>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</si>
  <si>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</si>
  <si>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</si>
  <si>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</si>
  <si>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</si>
  <si>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</si>
  <si>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</si>
  <si>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</si>
  <si>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</si>
  <si>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</si>
  <si>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</si>
  <si>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</si>
  <si>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</si>
  <si>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</si>
  <si>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</si>
  <si>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</si>
  <si>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</si>
  <si>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</si>
  <si>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</si>
  <si>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</si>
  <si>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</si>
  <si>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</si>
  <si>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</si>
  <si>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</si>
  <si>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</si>
  <si>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</si>
  <si>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</si>
  <si>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</si>
  <si>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</si>
  <si>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</si>
  <si>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</si>
  <si>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</si>
  <si>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</si>
  <si>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</si>
  <si>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</si>
  <si>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</si>
  <si>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</si>
  <si>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</si>
  <si>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</si>
  <si>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</si>
  <si>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</si>
  <si>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</si>
  <si>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</si>
  <si>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</si>
  <si>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</si>
  <si>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</si>
  <si>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</si>
  <si>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</si>
  <si>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</si>
  <si>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</si>
  <si>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</si>
  <si>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</si>
  <si>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</si>
  <si>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</si>
  <si>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</si>
  <si>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</si>
  <si>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</si>
  <si>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</si>
  <si>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</si>
  <si>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</si>
  <si>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</si>
  <si>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</si>
  <si>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</si>
  <si>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</si>
  <si>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</si>
  <si>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</si>
  <si>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</si>
  <si>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</si>
  <si>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</si>
  <si>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</si>
  <si>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</si>
  <si>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</si>
  <si>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</si>
  <si>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</si>
  <si>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</si>
  <si>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</si>
  <si>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</si>
  <si>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</si>
  <si>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</si>
  <si>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</si>
  <si>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</si>
  <si>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</si>
  <si>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</si>
  <si>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</si>
  <si>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</si>
  <si>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</si>
  <si>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</si>
  <si>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</si>
  <si>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</si>
  <si>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</si>
  <si>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</si>
  <si>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</si>
  <si>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</si>
  <si>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</si>
  <si>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</si>
  <si>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</si>
  <si>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</si>
  <si>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</si>
  <si>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</si>
  <si>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</si>
  <si>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</si>
  <si>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</si>
  <si>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</si>
  <si>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</si>
  <si>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</si>
  <si>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</si>
  <si>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</si>
  <si>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</si>
  <si>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</si>
  <si>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</si>
  <si>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</si>
  <si>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</si>
  <si>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</si>
  <si>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</si>
  <si>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</si>
  <si>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</si>
  <si>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</si>
  <si>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</si>
  <si>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</si>
  <si>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</si>
  <si>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</si>
  <si>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</si>
  <si>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</si>
  <si>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</si>
  <si>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</si>
  <si>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</si>
  <si>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</si>
  <si>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</si>
  <si>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</si>
  <si>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</si>
  <si>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</si>
  <si>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</si>
  <si>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</si>
  <si>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</si>
  <si>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</si>
  <si>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</si>
  <si>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</si>
  <si>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</si>
  <si>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</si>
  <si>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</si>
  <si>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</si>
  <si>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</si>
  <si>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</si>
  <si>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</si>
  <si>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</si>
  <si>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</si>
  <si>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</si>
  <si>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</si>
  <si>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</si>
  <si>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</si>
  <si>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</si>
  <si>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</si>
  <si>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</si>
  <si>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</si>
  <si>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</si>
  <si>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</si>
  <si>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</si>
  <si>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</si>
  <si>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</si>
  <si>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</si>
  <si>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</si>
  <si>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</si>
  <si>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</si>
  <si>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</si>
  <si>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</si>
  <si>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</si>
  <si>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</si>
  <si>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</si>
  <si>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</si>
  <si>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</si>
  <si>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</si>
  <si>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</si>
  <si>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</si>
  <si>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</si>
  <si>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</si>
  <si>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</si>
  <si>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</si>
  <si>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</si>
  <si>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</si>
  <si>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</si>
  <si>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</si>
  <si>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</si>
  <si>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</si>
  <si>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</si>
  <si>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</si>
  <si>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</si>
  <si>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</si>
  <si>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</si>
  <si>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</si>
  <si>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</si>
  <si>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</si>
  <si>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</si>
  <si>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</si>
  <si>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</si>
  <si>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</si>
  <si>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</si>
  <si>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</si>
  <si>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</si>
  <si>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</si>
  <si>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</si>
  <si>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</si>
  <si>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</si>
  <si>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</si>
  <si>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</si>
  <si>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</si>
  <si>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</si>
  <si>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</si>
  <si>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</si>
  <si>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</si>
  <si>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</si>
  <si>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</si>
  <si>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</si>
  <si>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</si>
  <si>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</si>
  <si>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</si>
  <si>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</si>
  <si>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</si>
  <si>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</si>
  <si>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</si>
  <si>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</si>
  <si>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</si>
  <si>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</si>
  <si>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</si>
  <si>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</si>
  <si>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</si>
  <si>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</si>
  <si>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</si>
  <si>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</si>
  <si>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</si>
  <si>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</si>
  <si>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</si>
  <si>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</si>
  <si>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</si>
  <si>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</si>
  <si>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</si>
  <si>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</si>
  <si>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</si>
  <si>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</si>
  <si>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</si>
  <si>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</si>
  <si>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</si>
  <si>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</si>
  <si>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</si>
  <si>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</si>
  <si>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</si>
  <si>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</si>
  <si>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</si>
  <si>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</si>
  <si>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</si>
  <si>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</si>
  <si>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</si>
  <si>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</si>
  <si>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</si>
  <si>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</si>
  <si>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</si>
  <si>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</si>
  <si>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</si>
  <si>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</si>
  <si>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</si>
  <si>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</si>
  <si>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</si>
  <si>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</si>
  <si>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</si>
  <si>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</si>
  <si>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</si>
  <si>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</si>
  <si>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</si>
  <si>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</si>
  <si>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</si>
  <si>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</si>
  <si>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</si>
  <si>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</si>
  <si>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</si>
  <si>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</si>
  <si>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</si>
  <si>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</si>
  <si>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</si>
  <si>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</si>
  <si>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</si>
  <si>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</si>
  <si>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</si>
  <si>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</si>
  <si>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</si>
  <si>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</si>
  <si>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</si>
  <si>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</si>
  <si>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</si>
  <si>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</si>
  <si>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</si>
  <si>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</si>
  <si>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</si>
  <si>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</si>
  <si>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</si>
  <si>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</si>
  <si>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</si>
  <si>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</si>
  <si>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</si>
  <si>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</si>
  <si>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</si>
  <si>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</si>
  <si>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</si>
  <si>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</si>
  <si>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</si>
  <si>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</si>
  <si>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</si>
  <si>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</si>
  <si>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</si>
  <si>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</si>
  <si>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</si>
  <si>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</si>
  <si>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</si>
  <si>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</si>
  <si>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</si>
  <si>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</si>
  <si>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</si>
  <si>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</si>
  <si>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</si>
  <si>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</si>
  <si>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</si>
  <si>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</si>
  <si>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</si>
  <si>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</si>
  <si>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</si>
  <si>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</si>
  <si>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</si>
  <si>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</si>
  <si>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</si>
  <si>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</si>
  <si>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</si>
  <si>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</si>
  <si>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</si>
  <si>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</si>
  <si>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</si>
  <si>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</si>
  <si>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</si>
  <si>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</si>
  <si>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</si>
  <si>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</si>
  <si>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</si>
  <si>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</si>
  <si>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</si>
  <si>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</si>
  <si>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</si>
  <si>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</si>
  <si>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</si>
  <si>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</si>
  <si>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</si>
  <si>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</si>
  <si>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</si>
  <si>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</si>
  <si>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</si>
  <si>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</si>
  <si>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</si>
  <si>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</si>
  <si>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</si>
  <si>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</si>
  <si>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</si>
  <si>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</si>
  <si>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</si>
  <si>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</si>
  <si>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</si>
  <si>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</si>
  <si>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</si>
  <si>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</si>
  <si>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</si>
  <si>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</si>
  <si>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</si>
  <si>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</si>
  <si>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</si>
  <si>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</si>
  <si>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</si>
  <si>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</si>
  <si>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</si>
  <si>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</si>
  <si>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</si>
  <si>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</si>
  <si>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</si>
  <si>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</si>
  <si>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</si>
  <si>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</si>
  <si>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</si>
  <si>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</si>
  <si>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</si>
  <si>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</si>
  <si>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</si>
  <si>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</si>
  <si>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</si>
  <si>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</si>
  <si>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</si>
  <si>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</si>
  <si>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</si>
  <si>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</si>
  <si>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</si>
  <si>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</si>
  <si>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</si>
  <si>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</si>
  <si>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</si>
  <si>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</si>
  <si>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</si>
  <si>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</si>
  <si>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</si>
  <si>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</si>
  <si>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</si>
  <si>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</si>
  <si>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</si>
  <si>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</si>
  <si>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</si>
  <si>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</si>
  <si>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</si>
  <si>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</si>
  <si>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</si>
  <si>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</si>
  <si>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</si>
  <si>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</si>
  <si>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</si>
  <si>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</si>
  <si>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</si>
  <si>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</si>
  <si>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</si>
  <si>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</si>
  <si>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</si>
  <si>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</si>
  <si>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</si>
  <si>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</si>
  <si>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</si>
  <si>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</si>
  <si>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</si>
  <si>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</si>
  <si>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</si>
  <si>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</si>
  <si>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</si>
  <si>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</si>
  <si>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</si>
  <si>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</si>
  <si>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</si>
  <si>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</si>
  <si>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</si>
  <si>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</si>
  <si>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</si>
  <si>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</si>
  <si>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</si>
  <si>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</si>
  <si>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</si>
  <si>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</si>
  <si>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</si>
  <si>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</si>
  <si>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</si>
  <si>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</si>
  <si>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</si>
  <si>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</si>
  <si>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</si>
  <si>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</si>
  <si>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</si>
  <si>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</si>
  <si>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</si>
  <si>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</si>
  <si>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</si>
  <si>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</si>
  <si>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</si>
  <si>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</si>
  <si>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</si>
  <si>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</si>
  <si>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</si>
  <si>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</si>
  <si>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</si>
  <si>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</si>
  <si>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</si>
  <si>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</si>
  <si>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</si>
  <si>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</si>
  <si>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</si>
  <si>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</si>
  <si>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</si>
  <si>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</si>
  <si>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</si>
  <si>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</si>
  <si>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</si>
  <si>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</si>
  <si>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</si>
  <si>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</si>
  <si>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</si>
  <si>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</si>
  <si>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</si>
  <si>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</si>
  <si>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</si>
  <si>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</si>
  <si>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</si>
  <si>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</si>
  <si>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</si>
  <si>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</si>
  <si>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</si>
  <si>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</si>
  <si>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</si>
  <si>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</si>
  <si>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</si>
  <si>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</si>
  <si>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</si>
  <si>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</si>
  <si>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</si>
  <si>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</si>
  <si>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</si>
  <si>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</si>
  <si>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</si>
  <si>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</si>
  <si>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</si>
  <si>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</si>
  <si>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</si>
  <si>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</si>
  <si>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</si>
  <si>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</si>
  <si>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</si>
  <si>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Tata Elxsi Ltd.</t>
  </si>
  <si>
    <t>DATE</t>
  </si>
  <si>
    <t>ADJHIGH</t>
  </si>
  <si>
    <t>ADJCLOSE</t>
  </si>
  <si>
    <t>ADJLOW</t>
  </si>
  <si>
    <t>ADJOPEN</t>
  </si>
  <si>
    <t>CLOSE</t>
  </si>
  <si>
    <t>VOLUME</t>
  </si>
  <si>
    <t>Employee</t>
  </si>
  <si>
    <t>Net Employee Additions</t>
  </si>
  <si>
    <t>Unit Metrics</t>
  </si>
  <si>
    <t>Revenue</t>
  </si>
  <si>
    <t>Less: RM</t>
  </si>
  <si>
    <t>Delta</t>
  </si>
  <si>
    <t>Less:Cost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</si>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</sst>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5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165" fontId="20" fillId="2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center"/>
    </xf>
    <xf numFmtId="165" fontId="5" fillId="7" borderId="0" xfId="2" applyNumberFormat="1" applyFont="1" applyFill="1"/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165" fontId="18" fillId="10" borderId="0" xfId="2" applyNumberFormat="1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2"/>
  <sheetViews>
    <sheetView tabSelected="1" zoomScaleNormal="100" workbookViewId="0">
      <pane xSplit="1" ySplit="1" topLeftCell="CK75" activePane="bottomRight" state="frozen"/>
      <selection pane="topRight" activeCell="B1" sqref="B1"/>
      <selection pane="bottomLeft" activeCell="A2" sqref="A2"/>
      <selection pane="bottomRight" activeCell="AA72" sqref="AA72:AE72"/>
    </sheetView>
  </sheetViews>
  <sheetFormatPr defaultColWidth="11.140625" defaultRowHeight="12" outlineLevelRow="1" x14ac:dyDescent="0.2"/>
  <cols>
    <col min="1" max="1" width="35.85546875" style="2" customWidth="1"/>
    <col min="2" max="21" width="11.140625" style="2"/>
    <col min="22" max="22" width="12.7109375" style="2" bestFit="1" customWidth="1"/>
    <col min="23" max="26" width="11.140625" style="2"/>
    <col min="27" max="29" width="11.140625" style="19"/>
    <col min="30" max="31" width="12.140625" style="19" bestFit="1" customWidth="1"/>
    <col min="32" max="34" width="11.140625" style="2"/>
    <col min="35" max="61" width="0" style="2" hidden="1" customWidth="1"/>
    <col min="6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Elxsi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4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88"/>
      <c r="O4" s="188"/>
      <c r="P4" s="188"/>
      <c r="Q4" s="188"/>
      <c r="R4" s="188"/>
      <c r="S4" s="188"/>
      <c r="T4" s="188">
        <f>+BJ4</f>
        <v>6060</v>
      </c>
      <c r="U4" s="188">
        <f>+BN4</f>
        <v>6577</v>
      </c>
      <c r="V4" s="188">
        <f>+BR4</f>
        <v>1362</v>
      </c>
      <c r="W4" s="188">
        <f>+BV4</f>
        <v>9376</v>
      </c>
      <c r="X4" s="188">
        <f>+BZ4</f>
        <v>11864</v>
      </c>
      <c r="Y4" s="188">
        <f>+CD4</f>
        <v>13399</v>
      </c>
      <c r="Z4" s="188">
        <f>+CH4</f>
        <v>12414</v>
      </c>
      <c r="AA4" s="189">
        <f t="shared" ref="AA4" si="33">+CL4</f>
        <v>11540</v>
      </c>
      <c r="AB4" s="189">
        <f t="shared" ref="AB4" si="34">+CP4</f>
        <v>12340</v>
      </c>
      <c r="AC4" s="189">
        <f t="shared" ref="AC4" si="35">+CT4</f>
        <v>13540</v>
      </c>
      <c r="AD4" s="189">
        <f t="shared" ref="AD4" si="36">+CX4</f>
        <v>13940</v>
      </c>
      <c r="AE4" s="189">
        <f t="shared" ref="AE4" si="37">+DB4</f>
        <v>14340</v>
      </c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>
        <v>6060</v>
      </c>
      <c r="BK4" s="107"/>
      <c r="BL4" s="107">
        <v>5947</v>
      </c>
      <c r="BM4" s="107">
        <v>6389</v>
      </c>
      <c r="BN4" s="107">
        <v>6577</v>
      </c>
      <c r="BO4" s="107">
        <v>6618</v>
      </c>
      <c r="BP4" s="107">
        <v>6639</v>
      </c>
      <c r="BQ4" s="107">
        <v>6816</v>
      </c>
      <c r="BR4" s="107">
        <v>1362</v>
      </c>
      <c r="BS4" s="107">
        <v>7914</v>
      </c>
      <c r="BT4" s="107">
        <v>8619</v>
      </c>
      <c r="BU4" s="107">
        <v>9033</v>
      </c>
      <c r="BV4" s="107">
        <v>9376</v>
      </c>
      <c r="BW4" s="107">
        <v>10147</v>
      </c>
      <c r="BX4" s="107">
        <v>11679</v>
      </c>
      <c r="BY4" s="107">
        <v>11607</v>
      </c>
      <c r="BZ4" s="107">
        <v>11864</v>
      </c>
      <c r="CA4" s="107">
        <v>12286</v>
      </c>
      <c r="CB4" s="107">
        <v>12871</v>
      </c>
      <c r="CC4" s="107">
        <v>13221</v>
      </c>
      <c r="CD4" s="107">
        <v>13399</v>
      </c>
      <c r="CE4" s="107">
        <v>13142</v>
      </c>
      <c r="CF4" s="107">
        <v>12793</v>
      </c>
      <c r="CG4" s="107">
        <v>12878</v>
      </c>
      <c r="CH4" s="107">
        <v>12414</v>
      </c>
      <c r="CI4" s="107">
        <v>12127</v>
      </c>
      <c r="CJ4" s="107">
        <v>11951</v>
      </c>
      <c r="CK4" s="107">
        <v>11594</v>
      </c>
      <c r="CL4" s="107">
        <v>11540</v>
      </c>
      <c r="CM4" s="108">
        <f t="shared" ref="CM4:DB4" si="38">+CL4+CM5</f>
        <v>11740</v>
      </c>
      <c r="CN4" s="108">
        <f t="shared" si="38"/>
        <v>11940</v>
      </c>
      <c r="CO4" s="108">
        <f t="shared" si="38"/>
        <v>12140</v>
      </c>
      <c r="CP4" s="108">
        <f t="shared" si="38"/>
        <v>12340</v>
      </c>
      <c r="CQ4" s="108">
        <f t="shared" si="38"/>
        <v>12640</v>
      </c>
      <c r="CR4" s="108">
        <f t="shared" si="38"/>
        <v>12940</v>
      </c>
      <c r="CS4" s="108">
        <f t="shared" si="38"/>
        <v>13240</v>
      </c>
      <c r="CT4" s="108">
        <f t="shared" si="38"/>
        <v>13540</v>
      </c>
      <c r="CU4" s="108">
        <f t="shared" si="38"/>
        <v>13640</v>
      </c>
      <c r="CV4" s="108">
        <f t="shared" si="38"/>
        <v>13740</v>
      </c>
      <c r="CW4" s="108">
        <f t="shared" si="38"/>
        <v>13840</v>
      </c>
      <c r="CX4" s="108">
        <f t="shared" si="38"/>
        <v>13940</v>
      </c>
      <c r="CY4" s="108">
        <f t="shared" si="38"/>
        <v>14040</v>
      </c>
      <c r="CZ4" s="108">
        <f t="shared" si="38"/>
        <v>14140</v>
      </c>
      <c r="DA4" s="108">
        <f t="shared" si="38"/>
        <v>14240</v>
      </c>
      <c r="DB4" s="108">
        <f t="shared" si="38"/>
        <v>14340</v>
      </c>
      <c r="DE4" s="117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86"/>
      <c r="O5" s="186"/>
      <c r="P5" s="186"/>
      <c r="Q5" s="186"/>
      <c r="R5" s="186"/>
      <c r="S5" s="186"/>
      <c r="T5" s="186">
        <f t="shared" ref="T5:AE5" si="39">+T4-S4</f>
        <v>6060</v>
      </c>
      <c r="U5" s="186">
        <f t="shared" si="39"/>
        <v>517</v>
      </c>
      <c r="V5" s="186">
        <f t="shared" si="39"/>
        <v>-5215</v>
      </c>
      <c r="W5" s="186">
        <f t="shared" si="39"/>
        <v>8014</v>
      </c>
      <c r="X5" s="186">
        <f t="shared" si="39"/>
        <v>2488</v>
      </c>
      <c r="Y5" s="186">
        <f t="shared" si="39"/>
        <v>1535</v>
      </c>
      <c r="Z5" s="186">
        <f t="shared" si="39"/>
        <v>-985</v>
      </c>
      <c r="AA5" s="187">
        <f t="shared" si="39"/>
        <v>-874</v>
      </c>
      <c r="AB5" s="187">
        <f t="shared" si="39"/>
        <v>800</v>
      </c>
      <c r="AC5" s="187">
        <f t="shared" si="39"/>
        <v>1200</v>
      </c>
      <c r="AD5" s="187">
        <f t="shared" si="39"/>
        <v>400</v>
      </c>
      <c r="AE5" s="187">
        <f t="shared" si="39"/>
        <v>400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>
        <f t="shared" ref="BK5:CI5" si="40">+BK4-BJ4</f>
        <v>-6060</v>
      </c>
      <c r="BL5" s="156">
        <f t="shared" si="40"/>
        <v>5947</v>
      </c>
      <c r="BM5" s="156">
        <f t="shared" si="40"/>
        <v>442</v>
      </c>
      <c r="BN5" s="156">
        <f t="shared" si="40"/>
        <v>188</v>
      </c>
      <c r="BO5" s="156">
        <f t="shared" si="40"/>
        <v>41</v>
      </c>
      <c r="BP5" s="156">
        <f t="shared" si="40"/>
        <v>21</v>
      </c>
      <c r="BQ5" s="156">
        <f t="shared" si="40"/>
        <v>177</v>
      </c>
      <c r="BR5" s="156">
        <f t="shared" si="40"/>
        <v>-5454</v>
      </c>
      <c r="BS5" s="156">
        <f t="shared" si="40"/>
        <v>6552</v>
      </c>
      <c r="BT5" s="156">
        <f t="shared" si="40"/>
        <v>705</v>
      </c>
      <c r="BU5" s="156">
        <f t="shared" si="40"/>
        <v>414</v>
      </c>
      <c r="BV5" s="156">
        <f t="shared" si="40"/>
        <v>343</v>
      </c>
      <c r="BW5" s="156">
        <f t="shared" si="40"/>
        <v>771</v>
      </c>
      <c r="BX5" s="156">
        <f t="shared" si="40"/>
        <v>1532</v>
      </c>
      <c r="BY5" s="156">
        <f t="shared" si="40"/>
        <v>-72</v>
      </c>
      <c r="BZ5" s="156">
        <f t="shared" si="40"/>
        <v>257</v>
      </c>
      <c r="CA5" s="156">
        <f t="shared" si="40"/>
        <v>422</v>
      </c>
      <c r="CB5" s="156">
        <f t="shared" si="40"/>
        <v>585</v>
      </c>
      <c r="CC5" s="156">
        <f t="shared" si="40"/>
        <v>350</v>
      </c>
      <c r="CD5" s="156">
        <f t="shared" si="40"/>
        <v>178</v>
      </c>
      <c r="CE5" s="156">
        <f t="shared" si="40"/>
        <v>-257</v>
      </c>
      <c r="CF5" s="156">
        <f t="shared" si="40"/>
        <v>-349</v>
      </c>
      <c r="CG5" s="156">
        <f t="shared" si="40"/>
        <v>85</v>
      </c>
      <c r="CH5" s="156">
        <f t="shared" si="40"/>
        <v>-464</v>
      </c>
      <c r="CI5" s="156">
        <f t="shared" si="40"/>
        <v>-287</v>
      </c>
      <c r="CJ5" s="156">
        <f>+CJ4-CI4</f>
        <v>-176</v>
      </c>
      <c r="CK5" s="156">
        <f>+CK4-CJ4</f>
        <v>-357</v>
      </c>
      <c r="CL5" s="156">
        <f>+CL4-CK4</f>
        <v>-54</v>
      </c>
      <c r="CM5" s="157">
        <v>200</v>
      </c>
      <c r="CN5" s="157">
        <f>+CM5</f>
        <v>200</v>
      </c>
      <c r="CO5" s="157">
        <f t="shared" ref="CO5:CP5" si="41">+CN5</f>
        <v>200</v>
      </c>
      <c r="CP5" s="157">
        <f t="shared" si="41"/>
        <v>200</v>
      </c>
      <c r="CQ5" s="157">
        <v>300</v>
      </c>
      <c r="CR5" s="157">
        <f t="shared" ref="CR5:CT5" si="42">+CQ5</f>
        <v>300</v>
      </c>
      <c r="CS5" s="157">
        <f t="shared" si="42"/>
        <v>300</v>
      </c>
      <c r="CT5" s="157">
        <f t="shared" si="42"/>
        <v>300</v>
      </c>
      <c r="CU5" s="157">
        <v>100</v>
      </c>
      <c r="CV5" s="157">
        <v>100</v>
      </c>
      <c r="CW5" s="157">
        <v>100</v>
      </c>
      <c r="CX5" s="157">
        <v>100</v>
      </c>
      <c r="CY5" s="157">
        <v>100</v>
      </c>
      <c r="CZ5" s="157">
        <v>100</v>
      </c>
      <c r="DA5" s="157">
        <v>100</v>
      </c>
      <c r="DB5" s="157">
        <v>100</v>
      </c>
      <c r="DE5" s="159"/>
    </row>
    <row r="6" spans="1:110" s="158" customFormat="1" x14ac:dyDescent="0.2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7"/>
      <c r="AB6" s="187"/>
      <c r="AC6" s="187"/>
      <c r="AD6" s="187"/>
      <c r="AE6" s="18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93" customFormat="1" x14ac:dyDescent="0.2">
      <c r="A7" s="190" t="s">
        <v>525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  <c r="BD7" s="191"/>
      <c r="BE7" s="191"/>
      <c r="BF7" s="191"/>
      <c r="BG7" s="191"/>
      <c r="BH7" s="191"/>
      <c r="BI7" s="191"/>
      <c r="BJ7" s="191"/>
      <c r="BK7" s="191"/>
      <c r="BL7" s="191"/>
      <c r="BM7" s="191"/>
      <c r="BN7" s="191"/>
      <c r="BO7" s="191"/>
      <c r="BP7" s="191"/>
      <c r="BQ7" s="191"/>
      <c r="BR7" s="191"/>
      <c r="BS7" s="191"/>
      <c r="BT7" s="191"/>
      <c r="BU7" s="191"/>
      <c r="BV7" s="191"/>
      <c r="BW7" s="191"/>
      <c r="BX7" s="191"/>
      <c r="BY7" s="191"/>
      <c r="BZ7" s="191"/>
      <c r="CA7" s="191"/>
      <c r="CB7" s="191"/>
      <c r="CC7" s="191"/>
      <c r="CD7" s="191"/>
      <c r="CE7" s="191"/>
      <c r="CF7" s="191"/>
      <c r="CG7" s="191"/>
      <c r="CH7" s="191"/>
      <c r="CI7" s="191"/>
      <c r="CJ7" s="191"/>
      <c r="CK7" s="191"/>
      <c r="CL7" s="191"/>
      <c r="CM7" s="191"/>
      <c r="CN7" s="191"/>
      <c r="CO7" s="191"/>
      <c r="CP7" s="191"/>
      <c r="CQ7" s="191"/>
      <c r="CR7" s="191"/>
      <c r="CS7" s="191"/>
      <c r="CT7" s="191"/>
      <c r="CU7" s="191"/>
      <c r="CV7" s="191"/>
      <c r="CW7" s="191"/>
      <c r="CX7" s="191"/>
      <c r="CY7" s="191"/>
      <c r="CZ7" s="191"/>
      <c r="DA7" s="191"/>
      <c r="DB7" s="191"/>
      <c r="DE7" s="191"/>
    </row>
    <row r="8" spans="1:110" s="109" customFormat="1" x14ac:dyDescent="0.2">
      <c r="A8" s="185" t="s">
        <v>526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88"/>
      <c r="O8" s="188"/>
      <c r="P8" s="188"/>
      <c r="Q8" s="188"/>
      <c r="R8" s="107"/>
      <c r="S8" s="107"/>
      <c r="T8" s="107">
        <f t="shared" ref="T8:AE8" si="43">+T16*10^7/T4</f>
        <v>2635200.6600660062</v>
      </c>
      <c r="U8" s="107">
        <f t="shared" si="43"/>
        <v>2447712.3308499316</v>
      </c>
      <c r="V8" s="107">
        <f t="shared" si="43"/>
        <v>13407927.312775331</v>
      </c>
      <c r="W8" s="107">
        <f t="shared" si="43"/>
        <v>2635238.0546075087</v>
      </c>
      <c r="X8" s="107">
        <f t="shared" si="43"/>
        <v>2650642.7006068779</v>
      </c>
      <c r="Y8" s="107">
        <f t="shared" si="43"/>
        <v>2651052.8397641615</v>
      </c>
      <c r="Z8" s="107">
        <f t="shared" si="43"/>
        <v>3003905.5099081681</v>
      </c>
      <c r="AA8" s="108">
        <f t="shared" si="43"/>
        <v>3255999.7400346622</v>
      </c>
      <c r="AB8" s="108">
        <f t="shared" si="43"/>
        <v>3410398.057884471</v>
      </c>
      <c r="AC8" s="108">
        <f t="shared" si="43"/>
        <v>3513193.65978566</v>
      </c>
      <c r="AD8" s="108">
        <f t="shared" si="43"/>
        <v>3715334.0721041635</v>
      </c>
      <c r="AE8" s="108">
        <f t="shared" si="43"/>
        <v>3728858.1728077782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>
        <f t="shared" ref="BJ8:CJ8" si="44">+BJ16*10^7/BJ4</f>
        <v>668488.44884488452</v>
      </c>
      <c r="BK8" s="107" t="e">
        <f t="shared" si="44"/>
        <v>#DIV/0!</v>
      </c>
      <c r="BL8" s="107">
        <f t="shared" si="44"/>
        <v>648775.85337144777</v>
      </c>
      <c r="BM8" s="107">
        <f t="shared" si="44"/>
        <v>662760.99546094856</v>
      </c>
      <c r="BN8" s="107">
        <f t="shared" si="44"/>
        <v>667302.7216055952</v>
      </c>
      <c r="BO8" s="107">
        <f t="shared" si="44"/>
        <v>605149.59202175878</v>
      </c>
      <c r="BP8" s="107">
        <f t="shared" si="44"/>
        <v>647957.52372345235</v>
      </c>
      <c r="BQ8" s="107">
        <f t="shared" si="44"/>
        <v>699966.25586854457</v>
      </c>
      <c r="BR8" s="107">
        <f t="shared" si="44"/>
        <v>3806138.0323054334</v>
      </c>
      <c r="BS8" s="107">
        <f t="shared" si="44"/>
        <v>705478.89815516805</v>
      </c>
      <c r="BT8" s="107">
        <f t="shared" si="44"/>
        <v>690719.34099083417</v>
      </c>
      <c r="BU8" s="107">
        <f t="shared" si="44"/>
        <v>703435.18211004091</v>
      </c>
      <c r="BV8" s="107">
        <f t="shared" si="44"/>
        <v>727110.70819112624</v>
      </c>
      <c r="BW8" s="107">
        <f t="shared" si="44"/>
        <v>715373.01665516896</v>
      </c>
      <c r="BX8" s="107">
        <f t="shared" si="44"/>
        <v>653455.77532322984</v>
      </c>
      <c r="BY8" s="107">
        <f t="shared" si="44"/>
        <v>704525.71723959688</v>
      </c>
      <c r="BZ8" s="107">
        <f t="shared" si="44"/>
        <v>706271.0721510452</v>
      </c>
      <c r="CA8" s="107">
        <f t="shared" si="44"/>
        <v>692065.7659124207</v>
      </c>
      <c r="CB8" s="107">
        <f t="shared" si="44"/>
        <v>685026.80444409919</v>
      </c>
      <c r="CC8" s="107">
        <f t="shared" si="44"/>
        <v>691500.64291657216</v>
      </c>
      <c r="CD8" s="107">
        <f t="shared" si="44"/>
        <v>676127.32293454732</v>
      </c>
      <c r="CE8" s="107">
        <f t="shared" si="44"/>
        <v>704957.38852533861</v>
      </c>
      <c r="CF8" s="107">
        <f t="shared" si="44"/>
        <v>746569.2175408426</v>
      </c>
      <c r="CG8" s="107">
        <f t="shared" si="44"/>
        <v>729283.2738002796</v>
      </c>
      <c r="CH8" s="107">
        <f t="shared" si="44"/>
        <v>731702.91606251011</v>
      </c>
      <c r="CI8" s="107">
        <f t="shared" si="44"/>
        <v>735627.93765976746</v>
      </c>
      <c r="CJ8" s="107">
        <f t="shared" si="44"/>
        <v>768221.90611664299</v>
      </c>
      <c r="CK8" s="107">
        <f>+CK16*10^7/CK4</f>
        <v>822385.7167500431</v>
      </c>
      <c r="CL8" s="107">
        <f>+CL16*10^7/CL4</f>
        <v>861136.0485268631</v>
      </c>
      <c r="CM8" s="108">
        <f>+AVERAGE(CI8:CL8)*1.05</f>
        <v>836685.04737649567</v>
      </c>
      <c r="CN8" s="108">
        <f t="shared" ref="CN8:CP8" si="45">+AVERAGE(CJ8:CM8)*1.05</f>
        <v>863212.53867713676</v>
      </c>
      <c r="CO8" s="108">
        <f t="shared" si="45"/>
        <v>888147.57972426643</v>
      </c>
      <c r="CP8" s="108">
        <f t="shared" si="45"/>
        <v>905410.06875500001</v>
      </c>
      <c r="CQ8" s="108">
        <f>+AVERAGE(CM8:CP8)*1.02</f>
        <v>890831.08480588917</v>
      </c>
      <c r="CR8" s="108">
        <f t="shared" ref="CR8:CT8" si="46">+AVERAGE(CN8:CQ8)*1.02</f>
        <v>904638.32435038453</v>
      </c>
      <c r="CS8" s="108">
        <f t="shared" si="46"/>
        <v>915201.89969706279</v>
      </c>
      <c r="CT8" s="108">
        <f t="shared" si="46"/>
        <v>922100.75129012577</v>
      </c>
      <c r="CU8" s="108">
        <f>+AVERAGE(CQ8:CT8)*1.02</f>
        <v>926356.87533658289</v>
      </c>
      <c r="CV8" s="108">
        <f t="shared" ref="CV8:CX8" si="47">+AVERAGE(CR8:CU8)*1.02</f>
        <v>935415.95192190981</v>
      </c>
      <c r="CW8" s="108">
        <f t="shared" si="47"/>
        <v>943264.24695264874</v>
      </c>
      <c r="CX8" s="108">
        <f t="shared" si="47"/>
        <v>950420.14550282317</v>
      </c>
      <c r="CY8" s="108">
        <f t="shared" ref="CY8:DB8" si="48">+AVERAGE(CU8:CX8)</f>
        <v>938864.30492849112</v>
      </c>
      <c r="CZ8" s="108">
        <f t="shared" si="48"/>
        <v>941991.16232646815</v>
      </c>
      <c r="DA8" s="108">
        <f t="shared" si="48"/>
        <v>943634.9649276078</v>
      </c>
      <c r="DB8" s="108">
        <f t="shared" si="48"/>
        <v>943727.64442134753</v>
      </c>
      <c r="DE8" s="117"/>
    </row>
    <row r="9" spans="1:110" s="158" customFormat="1" x14ac:dyDescent="0.2">
      <c r="A9" s="155" t="s">
        <v>527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86"/>
      <c r="O9" s="186"/>
      <c r="P9" s="186"/>
      <c r="Q9" s="186"/>
      <c r="R9" s="156"/>
      <c r="S9" s="156"/>
      <c r="T9" s="156">
        <f t="shared" ref="T9:AE9" si="49">+SUM(T21:T23)*10^7/T4</f>
        <v>21587.128712871287</v>
      </c>
      <c r="U9" s="156">
        <f t="shared" si="49"/>
        <v>19046.677816633724</v>
      </c>
      <c r="V9" s="156">
        <f t="shared" si="49"/>
        <v>100488.98678414097</v>
      </c>
      <c r="W9" s="156">
        <f t="shared" si="49"/>
        <v>13474.509385665529</v>
      </c>
      <c r="X9" s="156">
        <f t="shared" si="49"/>
        <v>17880.141604855024</v>
      </c>
      <c r="Y9" s="156">
        <f t="shared" si="49"/>
        <v>13131.576983356967</v>
      </c>
      <c r="Z9" s="156">
        <f t="shared" si="49"/>
        <v>19963.750604156594</v>
      </c>
      <c r="AA9" s="157">
        <f t="shared" si="49"/>
        <v>15050.43327556326</v>
      </c>
      <c r="AB9" s="157">
        <f t="shared" si="49"/>
        <v>198173.59787400343</v>
      </c>
      <c r="AC9" s="157">
        <f t="shared" si="49"/>
        <v>199653.66157037721</v>
      </c>
      <c r="AD9" s="157">
        <f t="shared" si="49"/>
        <v>210084.18718690271</v>
      </c>
      <c r="AE9" s="157">
        <f t="shared" si="49"/>
        <v>210641.83387568218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>
        <f t="shared" ref="BJ9:CJ9" si="50">+SUM(BJ21:BJ23)*10^7/BJ4</f>
        <v>50041.254125412539</v>
      </c>
      <c r="BK9" s="156" t="e">
        <f t="shared" si="50"/>
        <v>#DIV/0!</v>
      </c>
      <c r="BL9" s="156">
        <f t="shared" si="50"/>
        <v>38807.802253236929</v>
      </c>
      <c r="BM9" s="156">
        <f t="shared" si="50"/>
        <v>34714.352793864447</v>
      </c>
      <c r="BN9" s="156">
        <f t="shared" si="50"/>
        <v>31266.534894328721</v>
      </c>
      <c r="BO9" s="156">
        <f t="shared" si="50"/>
        <v>23144.454517981263</v>
      </c>
      <c r="BP9" s="156">
        <f t="shared" si="50"/>
        <v>28713.661696038565</v>
      </c>
      <c r="BQ9" s="156">
        <f t="shared" si="50"/>
        <v>32026.11502347418</v>
      </c>
      <c r="BR9" s="156">
        <f t="shared" si="50"/>
        <v>226372.98091042583</v>
      </c>
      <c r="BS9" s="156">
        <f t="shared" si="50"/>
        <v>50189.537528430628</v>
      </c>
      <c r="BT9" s="156">
        <f t="shared" si="50"/>
        <v>35169.973314769697</v>
      </c>
      <c r="BU9" s="156">
        <f t="shared" si="50"/>
        <v>24672.866157422784</v>
      </c>
      <c r="BV9" s="156">
        <f t="shared" si="50"/>
        <v>36132.679180887375</v>
      </c>
      <c r="BW9" s="156">
        <f t="shared" si="50"/>
        <v>39170.198088104858</v>
      </c>
      <c r="BX9" s="156">
        <f t="shared" si="50"/>
        <v>35593.800839112941</v>
      </c>
      <c r="BY9" s="156">
        <f t="shared" si="50"/>
        <v>42348.582751787719</v>
      </c>
      <c r="BZ9" s="156">
        <f t="shared" si="50"/>
        <v>47056.641942009439</v>
      </c>
      <c r="CA9" s="156">
        <f t="shared" si="50"/>
        <v>47354.712681100442</v>
      </c>
      <c r="CB9" s="156">
        <f t="shared" si="50"/>
        <v>38736.69489550151</v>
      </c>
      <c r="CC9" s="156">
        <f t="shared" si="50"/>
        <v>33685.04651690492</v>
      </c>
      <c r="CD9" s="156">
        <f t="shared" si="50"/>
        <v>30429.136502724083</v>
      </c>
      <c r="CE9" s="156">
        <f t="shared" si="50"/>
        <v>38353.370872013387</v>
      </c>
      <c r="CF9" s="156">
        <f t="shared" si="50"/>
        <v>46267.490033612128</v>
      </c>
      <c r="CG9" s="156">
        <f t="shared" si="50"/>
        <v>43502.873116943621</v>
      </c>
      <c r="CH9" s="156">
        <f t="shared" si="50"/>
        <v>59732.560012888673</v>
      </c>
      <c r="CI9" s="156">
        <f t="shared" si="50"/>
        <v>54869.299909293324</v>
      </c>
      <c r="CJ9" s="156">
        <f t="shared" si="50"/>
        <v>60547.234541042591</v>
      </c>
      <c r="CK9" s="156">
        <f>+SUM(CK21:CK23)*10^7/CK4</f>
        <v>57262.377091599104</v>
      </c>
      <c r="CL9" s="156">
        <f>+SUM(CL21:CL23)*10^7/CL4</f>
        <v>61073.656845753896</v>
      </c>
      <c r="CM9" s="157">
        <f t="shared" ref="CM9:DB9" si="51">+SUM(CM21:CM23)*10^7/CM4</f>
        <v>53120.074462374032</v>
      </c>
      <c r="CN9" s="157">
        <f t="shared" si="51"/>
        <v>52408.931812540512</v>
      </c>
      <c r="CO9" s="157">
        <f t="shared" si="51"/>
        <v>49903.754501028205</v>
      </c>
      <c r="CP9" s="157">
        <f t="shared" si="51"/>
        <v>47831.304545600935</v>
      </c>
      <c r="CQ9" s="157">
        <f t="shared" si="51"/>
        <v>51939.7887744939</v>
      </c>
      <c r="CR9" s="157">
        <f t="shared" si="51"/>
        <v>51572.437068170948</v>
      </c>
      <c r="CS9" s="157">
        <f t="shared" si="51"/>
        <v>51326.967470720905</v>
      </c>
      <c r="CT9" s="157">
        <f t="shared" si="51"/>
        <v>51689.458092971036</v>
      </c>
      <c r="CU9" s="157">
        <f t="shared" si="51"/>
        <v>52675.577902972131</v>
      </c>
      <c r="CV9" s="157">
        <f t="shared" si="51"/>
        <v>52853.556123098591</v>
      </c>
      <c r="CW9" s="157">
        <f t="shared" si="51"/>
        <v>53177.643164158289</v>
      </c>
      <c r="CX9" s="157">
        <f t="shared" si="51"/>
        <v>53650.806618763163</v>
      </c>
      <c r="CY9" s="157">
        <f t="shared" si="51"/>
        <v>53090.815738634599</v>
      </c>
      <c r="CZ9" s="157">
        <f t="shared" si="51"/>
        <v>53193.393032194188</v>
      </c>
      <c r="DA9" s="157">
        <f t="shared" si="51"/>
        <v>53278.283155336547</v>
      </c>
      <c r="DB9" s="157">
        <f t="shared" si="51"/>
        <v>53303.452942791795</v>
      </c>
      <c r="DE9" s="159"/>
    </row>
    <row r="10" spans="1:110" s="109" customFormat="1" x14ac:dyDescent="0.2">
      <c r="A10" s="185" t="s">
        <v>528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88"/>
      <c r="O10" s="188"/>
      <c r="P10" s="188"/>
      <c r="Q10" s="188"/>
      <c r="R10" s="107"/>
      <c r="S10" s="107"/>
      <c r="T10" s="107">
        <f t="shared" ref="T10" si="52">+T8-T9</f>
        <v>2613613.5313531351</v>
      </c>
      <c r="U10" s="107">
        <f t="shared" ref="U10" si="53">+U8-U9</f>
        <v>2428665.653033298</v>
      </c>
      <c r="V10" s="107">
        <f t="shared" ref="V10" si="54">+V8-V9</f>
        <v>13307438.325991189</v>
      </c>
      <c r="W10" s="107">
        <f t="shared" ref="W10" si="55">+W8-W9</f>
        <v>2621763.5452218433</v>
      </c>
      <c r="X10" s="107">
        <f t="shared" ref="X10" si="56">+X8-X9</f>
        <v>2632762.5590020227</v>
      </c>
      <c r="Y10" s="107">
        <f t="shared" ref="Y10" si="57">+Y8-Y9</f>
        <v>2637921.2627808047</v>
      </c>
      <c r="Z10" s="107">
        <f t="shared" ref="Z10" si="58">+Z8-Z9</f>
        <v>2983941.7593040117</v>
      </c>
      <c r="AA10" s="108">
        <f t="shared" ref="AA10" si="59">+AA8-AA9</f>
        <v>3240949.306759099</v>
      </c>
      <c r="AB10" s="108">
        <f t="shared" ref="AB10" si="60">+AB8-AB9</f>
        <v>3212224.4600104676</v>
      </c>
      <c r="AC10" s="108">
        <f t="shared" ref="AC10" si="61">+AC8-AC9</f>
        <v>3313539.9982152828</v>
      </c>
      <c r="AD10" s="108">
        <f t="shared" ref="AD10" si="62">+AD8-AD9</f>
        <v>3505249.8849172606</v>
      </c>
      <c r="AE10" s="108">
        <f t="shared" ref="AE10" si="63">+AE8-AE9</f>
        <v>3518216.338932096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>
        <f t="shared" ref="BJ10:CJ10" si="64">+BJ8-BJ9</f>
        <v>618447.19471947197</v>
      </c>
      <c r="BK10" s="107" t="e">
        <f t="shared" si="64"/>
        <v>#DIV/0!</v>
      </c>
      <c r="BL10" s="107">
        <f t="shared" si="64"/>
        <v>609968.05111821089</v>
      </c>
      <c r="BM10" s="107">
        <f t="shared" si="64"/>
        <v>628046.64266708412</v>
      </c>
      <c r="BN10" s="107">
        <f t="shared" si="64"/>
        <v>636036.18671126652</v>
      </c>
      <c r="BO10" s="107">
        <f t="shared" si="64"/>
        <v>582005.13750377751</v>
      </c>
      <c r="BP10" s="107">
        <f t="shared" si="64"/>
        <v>619243.86202741379</v>
      </c>
      <c r="BQ10" s="107">
        <f t="shared" si="64"/>
        <v>667940.14084507036</v>
      </c>
      <c r="BR10" s="107">
        <f t="shared" si="64"/>
        <v>3579765.0513950074</v>
      </c>
      <c r="BS10" s="107">
        <f t="shared" si="64"/>
        <v>655289.36062673747</v>
      </c>
      <c r="BT10" s="107">
        <f t="shared" si="64"/>
        <v>655549.36767606449</v>
      </c>
      <c r="BU10" s="107">
        <f t="shared" si="64"/>
        <v>678762.31595261814</v>
      </c>
      <c r="BV10" s="107">
        <f t="shared" si="64"/>
        <v>690978.02901023882</v>
      </c>
      <c r="BW10" s="107">
        <f t="shared" si="64"/>
        <v>676202.81856706413</v>
      </c>
      <c r="BX10" s="107">
        <f t="shared" si="64"/>
        <v>617861.97448411689</v>
      </c>
      <c r="BY10" s="107">
        <f t="shared" si="64"/>
        <v>662177.13448780915</v>
      </c>
      <c r="BZ10" s="107">
        <f t="shared" si="64"/>
        <v>659214.43020903575</v>
      </c>
      <c r="CA10" s="107">
        <f t="shared" si="64"/>
        <v>644711.05323132023</v>
      </c>
      <c r="CB10" s="107">
        <f t="shared" si="64"/>
        <v>646290.10954859771</v>
      </c>
      <c r="CC10" s="107">
        <f t="shared" si="64"/>
        <v>657815.59639966721</v>
      </c>
      <c r="CD10" s="107">
        <f t="shared" si="64"/>
        <v>645698.1864318233</v>
      </c>
      <c r="CE10" s="107">
        <f t="shared" si="64"/>
        <v>666604.01765332522</v>
      </c>
      <c r="CF10" s="107">
        <f t="shared" si="64"/>
        <v>700301.72750723048</v>
      </c>
      <c r="CG10" s="107">
        <f t="shared" si="64"/>
        <v>685780.40068333596</v>
      </c>
      <c r="CH10" s="107">
        <f t="shared" si="64"/>
        <v>671970.35604962148</v>
      </c>
      <c r="CI10" s="107">
        <f t="shared" si="64"/>
        <v>680758.63775047415</v>
      </c>
      <c r="CJ10" s="107">
        <f t="shared" si="64"/>
        <v>707674.6715756004</v>
      </c>
      <c r="CK10" s="107">
        <f>+CK8-CK9</f>
        <v>765123.33965844405</v>
      </c>
      <c r="CL10" s="107">
        <f>+CL8-CL9</f>
        <v>800062.39168110921</v>
      </c>
      <c r="CM10" s="108">
        <f t="shared" ref="CM10:DB10" si="65">+CM8-CM9</f>
        <v>783564.97291412158</v>
      </c>
      <c r="CN10" s="108">
        <f t="shared" si="65"/>
        <v>810803.60686459625</v>
      </c>
      <c r="CO10" s="108">
        <f t="shared" si="65"/>
        <v>838243.82522323821</v>
      </c>
      <c r="CP10" s="108">
        <f t="shared" si="65"/>
        <v>857578.76420939912</v>
      </c>
      <c r="CQ10" s="108">
        <f t="shared" si="65"/>
        <v>838891.29603139532</v>
      </c>
      <c r="CR10" s="108">
        <f t="shared" si="65"/>
        <v>853065.88728221355</v>
      </c>
      <c r="CS10" s="108">
        <f t="shared" si="65"/>
        <v>863874.93222634192</v>
      </c>
      <c r="CT10" s="108">
        <f t="shared" si="65"/>
        <v>870411.29319715477</v>
      </c>
      <c r="CU10" s="108">
        <f t="shared" si="65"/>
        <v>873681.29743361077</v>
      </c>
      <c r="CV10" s="108">
        <f t="shared" si="65"/>
        <v>882562.39579881122</v>
      </c>
      <c r="CW10" s="108">
        <f t="shared" si="65"/>
        <v>890086.60378849041</v>
      </c>
      <c r="CX10" s="108">
        <f t="shared" si="65"/>
        <v>896769.33888406004</v>
      </c>
      <c r="CY10" s="108">
        <f t="shared" si="65"/>
        <v>885773.48918985657</v>
      </c>
      <c r="CZ10" s="108">
        <f t="shared" si="65"/>
        <v>888797.76929427392</v>
      </c>
      <c r="DA10" s="108">
        <f t="shared" si="65"/>
        <v>890356.68177227129</v>
      </c>
      <c r="DB10" s="108">
        <f t="shared" si="65"/>
        <v>890424.19147855579</v>
      </c>
      <c r="DE10" s="117"/>
    </row>
    <row r="11" spans="1:110" s="158" customFormat="1" x14ac:dyDescent="0.2">
      <c r="A11" s="155" t="s">
        <v>529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86"/>
      <c r="O11" s="186"/>
      <c r="P11" s="186"/>
      <c r="Q11" s="186"/>
      <c r="R11" s="156"/>
      <c r="S11" s="156"/>
      <c r="T11" s="156">
        <f t="shared" ref="T11:AE11" si="66">+T34*10^7/T4</f>
        <v>1927027.5577557755</v>
      </c>
      <c r="U11" s="156">
        <f t="shared" si="66"/>
        <v>1914840.5047894176</v>
      </c>
      <c r="V11" s="156">
        <f t="shared" si="66"/>
        <v>9463674.0088105705</v>
      </c>
      <c r="W11" s="156">
        <f t="shared" si="66"/>
        <v>1803996.0537542664</v>
      </c>
      <c r="X11" s="156">
        <f t="shared" si="66"/>
        <v>1824390.5091031692</v>
      </c>
      <c r="Y11" s="156">
        <f t="shared" si="66"/>
        <v>1856328.2334502575</v>
      </c>
      <c r="Z11" s="156">
        <f t="shared" si="66"/>
        <v>2199835.6694055102</v>
      </c>
      <c r="AA11" s="157">
        <f t="shared" si="66"/>
        <v>2513744.2807625649</v>
      </c>
      <c r="AB11" s="157">
        <f t="shared" si="66"/>
        <v>2377790.1524498616</v>
      </c>
      <c r="AC11" s="157">
        <f t="shared" si="66"/>
        <v>2375618.0379671794</v>
      </c>
      <c r="AD11" s="157">
        <f t="shared" si="66"/>
        <v>2505991.5859525674</v>
      </c>
      <c r="AE11" s="157">
        <f t="shared" si="66"/>
        <v>2513653.3466452695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>
        <f t="shared" ref="BJ11:CJ11" si="67">+BJ34*10^7/BJ4</f>
        <v>455958.74587458745</v>
      </c>
      <c r="BK11" s="156" t="e">
        <f t="shared" si="67"/>
        <v>#DIV/0!</v>
      </c>
      <c r="BL11" s="156">
        <f t="shared" si="67"/>
        <v>491656.29729275266</v>
      </c>
      <c r="BM11" s="156">
        <f t="shared" si="67"/>
        <v>480618.25011738925</v>
      </c>
      <c r="BN11" s="156">
        <f t="shared" si="67"/>
        <v>470913.79048198275</v>
      </c>
      <c r="BO11" s="156">
        <f t="shared" si="67"/>
        <v>441915.9867029314</v>
      </c>
      <c r="BP11" s="156">
        <f t="shared" si="67"/>
        <v>438508.81156800722</v>
      </c>
      <c r="BQ11" s="156">
        <f t="shared" si="67"/>
        <v>457243.25117370894</v>
      </c>
      <c r="BR11" s="156">
        <f t="shared" si="67"/>
        <v>2345976.5051395013</v>
      </c>
      <c r="BS11" s="156">
        <f t="shared" si="67"/>
        <v>465766.99519838259</v>
      </c>
      <c r="BT11" s="156">
        <f t="shared" si="67"/>
        <v>442486.3673279963</v>
      </c>
      <c r="BU11" s="156">
        <f t="shared" si="67"/>
        <v>445348.16782907111</v>
      </c>
      <c r="BV11" s="156">
        <f t="shared" si="67"/>
        <v>455008.53242320818</v>
      </c>
      <c r="BW11" s="156">
        <f t="shared" si="67"/>
        <v>441498.96521139255</v>
      </c>
      <c r="BX11" s="156">
        <f t="shared" si="67"/>
        <v>423889.03159517085</v>
      </c>
      <c r="BY11" s="156">
        <f t="shared" si="67"/>
        <v>449497.71689497714</v>
      </c>
      <c r="BZ11" s="156">
        <f t="shared" si="67"/>
        <v>448724.71341874579</v>
      </c>
      <c r="CA11" s="156">
        <f t="shared" si="67"/>
        <v>440036.62705518474</v>
      </c>
      <c r="CB11" s="156">
        <f t="shared" si="67"/>
        <v>441530.57260508119</v>
      </c>
      <c r="CC11" s="156">
        <f t="shared" si="67"/>
        <v>453483.85144845315</v>
      </c>
      <c r="CD11" s="156">
        <f t="shared" si="67"/>
        <v>450699.30591835221</v>
      </c>
      <c r="CE11" s="156">
        <f t="shared" si="67"/>
        <v>474648.45533404354</v>
      </c>
      <c r="CF11" s="156">
        <f t="shared" si="67"/>
        <v>492057.37512702256</v>
      </c>
      <c r="CG11" s="156">
        <f t="shared" si="67"/>
        <v>494280.94424600102</v>
      </c>
      <c r="CH11" s="156">
        <f t="shared" si="67"/>
        <v>504693.08844852587</v>
      </c>
      <c r="CI11" s="156">
        <f t="shared" si="67"/>
        <v>526798.05392924882</v>
      </c>
      <c r="CJ11" s="156">
        <f t="shared" si="67"/>
        <v>545908.29219312186</v>
      </c>
      <c r="CK11" s="156">
        <f>+CK34*10^7/CK4</f>
        <v>573433.6725892704</v>
      </c>
      <c r="CL11" s="156">
        <f>+CL34*10^7/CL4</f>
        <v>588131.7157712304</v>
      </c>
      <c r="CM11" s="157">
        <f t="shared" ref="CM11:DB11" si="68">+CM34*10^7/CM4</f>
        <v>587140.71462805441</v>
      </c>
      <c r="CN11" s="157">
        <f t="shared" si="68"/>
        <v>602654.36527700385</v>
      </c>
      <c r="CO11" s="157">
        <f t="shared" si="68"/>
        <v>617296.29498135159</v>
      </c>
      <c r="CP11" s="157">
        <f t="shared" si="68"/>
        <v>628786.73816992668</v>
      </c>
      <c r="CQ11" s="157">
        <f t="shared" si="68"/>
        <v>608799.822104914</v>
      </c>
      <c r="CR11" s="157">
        <f t="shared" si="68"/>
        <v>614171.00960581866</v>
      </c>
      <c r="CS11" s="157">
        <f t="shared" si="68"/>
        <v>617028.77014923922</v>
      </c>
      <c r="CT11" s="157">
        <f t="shared" si="68"/>
        <v>616972.28224477626</v>
      </c>
      <c r="CU11" s="157">
        <f t="shared" si="68"/>
        <v>626590.97122120869</v>
      </c>
      <c r="CV11" s="157">
        <f t="shared" si="68"/>
        <v>631080.84878244565</v>
      </c>
      <c r="CW11" s="157">
        <f t="shared" si="68"/>
        <v>635370.98650268931</v>
      </c>
      <c r="CX11" s="157">
        <f t="shared" si="68"/>
        <v>640045.6632176101</v>
      </c>
      <c r="CY11" s="157">
        <f t="shared" si="68"/>
        <v>633282.28289766365</v>
      </c>
      <c r="CZ11" s="157">
        <f t="shared" si="68"/>
        <v>634947.74733281601</v>
      </c>
      <c r="DA11" s="157">
        <f t="shared" si="68"/>
        <v>635913.23063355242</v>
      </c>
      <c r="DB11" s="157">
        <f t="shared" si="68"/>
        <v>636048.82758034614</v>
      </c>
      <c r="DE11" s="159"/>
    </row>
    <row r="12" spans="1:110" s="109" customFormat="1" x14ac:dyDescent="0.2">
      <c r="A12" s="185" t="s">
        <v>13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88"/>
      <c r="O12" s="188"/>
      <c r="P12" s="188"/>
      <c r="Q12" s="188"/>
      <c r="R12" s="107"/>
      <c r="S12" s="107"/>
      <c r="T12" s="107">
        <f t="shared" ref="T12" si="69">+T10-T11</f>
        <v>686585.97359735961</v>
      </c>
      <c r="U12" s="107">
        <f t="shared" ref="U12" si="70">+U10-U11</f>
        <v>513825.14824388037</v>
      </c>
      <c r="V12" s="107">
        <f t="shared" ref="V12" si="71">+V10-V11</f>
        <v>3843764.3171806186</v>
      </c>
      <c r="W12" s="107">
        <f t="shared" ref="W12" si="72">+W10-W11</f>
        <v>817767.49146757694</v>
      </c>
      <c r="X12" s="107">
        <f t="shared" ref="X12" si="73">+X10-X11</f>
        <v>808372.04989885353</v>
      </c>
      <c r="Y12" s="107">
        <f t="shared" ref="Y12" si="74">+Y10-Y11</f>
        <v>781593.0293305472</v>
      </c>
      <c r="Z12" s="107">
        <f t="shared" ref="Z12" si="75">+Z10-Z11</f>
        <v>784106.08989850152</v>
      </c>
      <c r="AA12" s="108">
        <f t="shared" ref="AA12" si="76">+AA10-AA11</f>
        <v>727205.02599653415</v>
      </c>
      <c r="AB12" s="108">
        <f t="shared" ref="AB12" si="77">+AB10-AB11</f>
        <v>834434.30756060593</v>
      </c>
      <c r="AC12" s="108">
        <f t="shared" ref="AC12" si="78">+AC10-AC11</f>
        <v>937921.96024810337</v>
      </c>
      <c r="AD12" s="108">
        <f t="shared" ref="AD12" si="79">+AD10-AD11</f>
        <v>999258.29896469321</v>
      </c>
      <c r="AE12" s="108">
        <f t="shared" ref="AE12" si="80">+AE10-AE11</f>
        <v>1004562.9922868265</v>
      </c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>
        <f t="shared" ref="BJ12:CJ12" si="81">+BJ10-BJ11</f>
        <v>162488.44884488452</v>
      </c>
      <c r="BK12" s="107" t="e">
        <f t="shared" si="81"/>
        <v>#DIV/0!</v>
      </c>
      <c r="BL12" s="107">
        <f t="shared" si="81"/>
        <v>118311.75382545823</v>
      </c>
      <c r="BM12" s="107">
        <f t="shared" si="81"/>
        <v>147428.39254969487</v>
      </c>
      <c r="BN12" s="107">
        <f t="shared" si="81"/>
        <v>165122.39622928377</v>
      </c>
      <c r="BO12" s="107">
        <f t="shared" si="81"/>
        <v>140089.15080084611</v>
      </c>
      <c r="BP12" s="107">
        <f t="shared" si="81"/>
        <v>180735.05045940657</v>
      </c>
      <c r="BQ12" s="107">
        <f t="shared" si="81"/>
        <v>210696.88967136142</v>
      </c>
      <c r="BR12" s="107">
        <f t="shared" si="81"/>
        <v>1233788.5462555061</v>
      </c>
      <c r="BS12" s="107">
        <f t="shared" si="81"/>
        <v>189522.36542835488</v>
      </c>
      <c r="BT12" s="107">
        <f t="shared" si="81"/>
        <v>213063.00034806819</v>
      </c>
      <c r="BU12" s="107">
        <f t="shared" si="81"/>
        <v>233414.14812354703</v>
      </c>
      <c r="BV12" s="107">
        <f t="shared" si="81"/>
        <v>235969.49658703065</v>
      </c>
      <c r="BW12" s="107">
        <f t="shared" si="81"/>
        <v>234703.85335567157</v>
      </c>
      <c r="BX12" s="107">
        <f t="shared" si="81"/>
        <v>193972.94288894604</v>
      </c>
      <c r="BY12" s="107">
        <f t="shared" si="81"/>
        <v>212679.417592832</v>
      </c>
      <c r="BZ12" s="107">
        <f t="shared" si="81"/>
        <v>210489.71679028997</v>
      </c>
      <c r="CA12" s="107">
        <f t="shared" si="81"/>
        <v>204674.42617613549</v>
      </c>
      <c r="CB12" s="107">
        <f t="shared" si="81"/>
        <v>204759.53694351652</v>
      </c>
      <c r="CC12" s="107">
        <f t="shared" si="81"/>
        <v>204331.74495121406</v>
      </c>
      <c r="CD12" s="107">
        <f t="shared" si="81"/>
        <v>194998.88051347109</v>
      </c>
      <c r="CE12" s="107">
        <f t="shared" si="81"/>
        <v>191955.56231928169</v>
      </c>
      <c r="CF12" s="107">
        <f t="shared" si="81"/>
        <v>208244.35238020791</v>
      </c>
      <c r="CG12" s="107">
        <f t="shared" si="81"/>
        <v>191499.45643733494</v>
      </c>
      <c r="CH12" s="107">
        <f t="shared" si="81"/>
        <v>167277.26760109561</v>
      </c>
      <c r="CI12" s="107">
        <f t="shared" si="81"/>
        <v>153960.58382122533</v>
      </c>
      <c r="CJ12" s="107">
        <f t="shared" si="81"/>
        <v>161766.37938247854</v>
      </c>
      <c r="CK12" s="107">
        <f>+CK10-CK11</f>
        <v>191689.66706917365</v>
      </c>
      <c r="CL12" s="107">
        <f>+CL10-CL11</f>
        <v>211930.6759098788</v>
      </c>
      <c r="CM12" s="108">
        <f t="shared" ref="CM12:DB12" si="82">+CM10-CM11</f>
        <v>196424.25828606717</v>
      </c>
      <c r="CN12" s="108">
        <f t="shared" si="82"/>
        <v>208149.24158759241</v>
      </c>
      <c r="CO12" s="108">
        <f t="shared" si="82"/>
        <v>220947.53024188662</v>
      </c>
      <c r="CP12" s="108">
        <f t="shared" si="82"/>
        <v>228792.02603947243</v>
      </c>
      <c r="CQ12" s="108">
        <f t="shared" si="82"/>
        <v>230091.47392648133</v>
      </c>
      <c r="CR12" s="108">
        <f t="shared" si="82"/>
        <v>238894.87767639488</v>
      </c>
      <c r="CS12" s="108">
        <f t="shared" si="82"/>
        <v>246846.16207710269</v>
      </c>
      <c r="CT12" s="108">
        <f t="shared" si="82"/>
        <v>253439.01095237851</v>
      </c>
      <c r="CU12" s="108">
        <f t="shared" si="82"/>
        <v>247090.32621240208</v>
      </c>
      <c r="CV12" s="108">
        <f t="shared" si="82"/>
        <v>251481.54701636557</v>
      </c>
      <c r="CW12" s="108">
        <f t="shared" si="82"/>
        <v>254715.6172858011</v>
      </c>
      <c r="CX12" s="108">
        <f t="shared" si="82"/>
        <v>256723.67566644994</v>
      </c>
      <c r="CY12" s="108">
        <f t="shared" si="82"/>
        <v>252491.20629219292</v>
      </c>
      <c r="CZ12" s="108">
        <f t="shared" si="82"/>
        <v>253850.02196145791</v>
      </c>
      <c r="DA12" s="108">
        <f t="shared" si="82"/>
        <v>254443.45113871887</v>
      </c>
      <c r="DB12" s="108">
        <f t="shared" si="82"/>
        <v>254375.36389820965</v>
      </c>
      <c r="DE12" s="117"/>
    </row>
    <row r="13" spans="1:110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7"/>
      <c r="AB13" s="187"/>
      <c r="AC13" s="187"/>
      <c r="AD13" s="187"/>
      <c r="AE13" s="18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06" customFormat="1" x14ac:dyDescent="0.2">
      <c r="A14" s="151" t="s">
        <v>500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57"/>
      <c r="AB14" s="157"/>
      <c r="AC14" s="157"/>
      <c r="AD14" s="105"/>
      <c r="AE14" s="105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E14" s="118"/>
    </row>
    <row r="15" spans="1:110" s="106" customFormat="1" x14ac:dyDescent="0.2">
      <c r="A15" s="151" t="s">
        <v>485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57"/>
      <c r="AC15" s="157"/>
      <c r="AD15" s="105"/>
      <c r="AE15" s="105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60"/>
      <c r="CK15" s="160"/>
      <c r="CL15" s="160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25" customFormat="1" outlineLevel="1" x14ac:dyDescent="0.2">
      <c r="A16" s="25" t="s">
        <v>430</v>
      </c>
      <c r="B16" s="25">
        <f>'Annual Raw'!C6</f>
        <v>136.74039999999999</v>
      </c>
      <c r="C16" s="25">
        <f>'Annual Raw'!D6</f>
        <v>129.8064</v>
      </c>
      <c r="D16" s="25">
        <f>'Annual Raw'!E6</f>
        <v>109.6041</v>
      </c>
      <c r="E16" s="25">
        <f>'Annual Raw'!F6</f>
        <v>153.48050000000001</v>
      </c>
      <c r="F16" s="25">
        <f>'Annual Raw'!G6</f>
        <v>185.774</v>
      </c>
      <c r="G16" s="25">
        <f>'Annual Raw'!H6</f>
        <v>235.6318</v>
      </c>
      <c r="H16" s="25">
        <f>'Annual Raw'!I6</f>
        <v>307.96300000000002</v>
      </c>
      <c r="I16" s="25">
        <f>'Annual Raw'!J6</f>
        <v>402.01369999999997</v>
      </c>
      <c r="J16" s="25">
        <f>'Annual Raw'!K6</f>
        <v>419.36149999999998</v>
      </c>
      <c r="K16" s="25">
        <f>'Annual Raw'!L6</f>
        <v>388.17250000000001</v>
      </c>
      <c r="L16" s="25">
        <f>'Annual Raw'!M6</f>
        <v>415.91120000000001</v>
      </c>
      <c r="M16" s="25">
        <f>'Annual Raw'!N6</f>
        <v>538.70740000000001</v>
      </c>
      <c r="N16" s="25">
        <f>'Annual Raw'!O6</f>
        <v>621.6712</v>
      </c>
      <c r="O16" s="25">
        <f>'Annual Raw'!P6</f>
        <v>774.78570000000002</v>
      </c>
      <c r="P16" s="25">
        <f>'Annual Raw'!Q6</f>
        <v>849.40110000000004</v>
      </c>
      <c r="Q16" s="25">
        <f>'Annual Raw'!R6</f>
        <v>1075.2061000000001</v>
      </c>
      <c r="R16" s="25">
        <f>'Annual Raw'!S6</f>
        <v>1237.3123000000001</v>
      </c>
      <c r="S16" s="25">
        <f>'Annual Raw'!T6</f>
        <v>1386.2954999999999</v>
      </c>
      <c r="T16" s="25">
        <f>'Annual Raw'!U6</f>
        <v>1596.9315999999999</v>
      </c>
      <c r="U16" s="25">
        <f>'Annual Raw'!V6</f>
        <v>1609.8604</v>
      </c>
      <c r="V16" s="25">
        <f>'Annual Raw'!W6</f>
        <v>1826.1596999999999</v>
      </c>
      <c r="W16" s="25">
        <f>'Annual Raw'!X6</f>
        <v>2470.7991999999999</v>
      </c>
      <c r="X16" s="25">
        <f>'Annual Raw'!Y6</f>
        <v>3144.7224999999999</v>
      </c>
      <c r="Y16" s="25">
        <f>'Annual Raw'!Z6</f>
        <v>3552.1457</v>
      </c>
      <c r="Z16" s="25">
        <f>'Annual Raw'!AA6</f>
        <v>3729.0482999999999</v>
      </c>
      <c r="AA16" s="25">
        <f>'Annual Raw'!AB6</f>
        <v>3757.4236999999998</v>
      </c>
      <c r="AB16" s="17">
        <f>+SUM(CM16:CP16)</f>
        <v>4208.4312034294371</v>
      </c>
      <c r="AC16" s="17">
        <f>+SUM(CQ16:CT16)</f>
        <v>4756.8642153497831</v>
      </c>
      <c r="AD16" s="17">
        <f>+SUM(CU16:CX16)</f>
        <v>5179.1756965132045</v>
      </c>
      <c r="AE16" s="17">
        <f>+SUM(CY16:DB16)</f>
        <v>5347.1826198063536</v>
      </c>
      <c r="AI16" s="25">
        <f>'QTR Raw'!C6+'QTR Raw'!C8</f>
        <v>146.197</v>
      </c>
      <c r="AJ16" s="25">
        <f>'QTR Raw'!D6+'QTR Raw'!D8</f>
        <v>155.36500000000001</v>
      </c>
      <c r="AK16" s="25">
        <f>'QTR Raw'!E6+'QTR Raw'!E8</f>
        <v>156.678</v>
      </c>
      <c r="AL16" s="25">
        <f>'QTR Raw'!F6+'QTR Raw'!F8</f>
        <v>163.43199999999999</v>
      </c>
      <c r="AM16" s="25">
        <f>'QTR Raw'!G6+'QTR Raw'!G8</f>
        <v>173.173</v>
      </c>
      <c r="AN16" s="25">
        <f>'QTR Raw'!H6+'QTR Raw'!H8</f>
        <v>189.97</v>
      </c>
      <c r="AO16" s="25">
        <f>'QTR Raw'!I6+'QTR Raw'!I8</f>
        <v>200.12299999999999</v>
      </c>
      <c r="AP16" s="25">
        <f>'QTR Raw'!J6+'QTR Raw'!J8</f>
        <v>211.51900000000001</v>
      </c>
      <c r="AQ16" s="25">
        <f>'QTR Raw'!K6+'QTR Raw'!K8</f>
        <v>190.755</v>
      </c>
      <c r="AR16" s="25">
        <f>'QTR Raw'!L6+'QTR Raw'!L8</f>
        <v>205.88300000000001</v>
      </c>
      <c r="AS16" s="25">
        <f>'QTR Raw'!M6+'QTR Raw'!M8</f>
        <v>221.48699999999999</v>
      </c>
      <c r="AT16" s="25">
        <f>'QTR Raw'!N6+'QTR Raw'!N8</f>
        <v>231.27600000000001</v>
      </c>
      <c r="AU16" s="25">
        <f>'QTR Raw'!O6+'QTR Raw'!O8</f>
        <v>243.52099999999999</v>
      </c>
      <c r="AV16" s="25">
        <f>'QTR Raw'!P6+'QTR Raw'!P8</f>
        <v>263.65800000000002</v>
      </c>
      <c r="AW16" s="25">
        <f>'QTR Raw'!Q6+'QTR Raw'!Q8</f>
        <v>274.07499999999999</v>
      </c>
      <c r="AX16" s="25">
        <f>'QTR Raw'!R6+'QTR Raw'!R8</f>
        <v>293.952</v>
      </c>
      <c r="AY16" s="25">
        <f>'QTR Raw'!S6+'QTR Raw'!S8</f>
        <v>295.85300000000001</v>
      </c>
      <c r="AZ16" s="25">
        <f>'QTR Raw'!T6+'QTR Raw'!T8</f>
        <v>304.21800000000002</v>
      </c>
      <c r="BA16" s="25">
        <f>'QTR Raw'!U6+'QTR Raw'!U8</f>
        <v>310.245</v>
      </c>
      <c r="BB16" s="25">
        <f>'QTR Raw'!V6+'QTR Raw'!V8</f>
        <v>326.99700000000001</v>
      </c>
      <c r="BC16" s="25">
        <f>'QTR Raw'!W6+'QTR Raw'!W8</f>
        <v>323.23</v>
      </c>
      <c r="BD16" s="25">
        <f>'QTR Raw'!X6+'QTR Raw'!X8</f>
        <v>342.154</v>
      </c>
      <c r="BE16" s="25">
        <f>'QTR Raw'!Y6+'QTR Raw'!Y8</f>
        <v>345.536</v>
      </c>
      <c r="BF16" s="25">
        <f>'QTR Raw'!Z6+'QTR Raw'!Z8</f>
        <v>375.37599999999998</v>
      </c>
      <c r="BG16" s="25">
        <f>'QTR Raw'!AA6+'QTR Raw'!AA8</f>
        <v>382.03500000000003</v>
      </c>
      <c r="BH16" s="25">
        <f>'QTR Raw'!AB6+'QTR Raw'!AB8</f>
        <v>402.78399999999999</v>
      </c>
      <c r="BI16" s="25">
        <f>'QTR Raw'!AC6+'QTR Raw'!AC8</f>
        <v>407.00900000000001</v>
      </c>
      <c r="BJ16" s="25">
        <f>'QTR Raw'!AD6+'QTR Raw'!AD8</f>
        <v>405.10399999999998</v>
      </c>
      <c r="BK16" s="25">
        <f>'QTR Raw'!AE6+'QTR Raw'!AE8</f>
        <v>361.71</v>
      </c>
      <c r="BL16" s="25">
        <f>'QTR Raw'!AF6+'QTR Raw'!AF8</f>
        <v>385.827</v>
      </c>
      <c r="BM16" s="25">
        <f>'QTR Raw'!AG6+'QTR Raw'!AG8</f>
        <v>423.43799999999999</v>
      </c>
      <c r="BN16" s="25">
        <f>'QTR Raw'!AH6+'QTR Raw'!AH8</f>
        <v>438.88499999999999</v>
      </c>
      <c r="BO16" s="25">
        <f>'QTR Raw'!AI6+'QTR Raw'!AI8</f>
        <v>400.488</v>
      </c>
      <c r="BP16" s="25">
        <f>'QTR Raw'!AJ6+'QTR Raw'!AJ8</f>
        <v>430.17899999999997</v>
      </c>
      <c r="BQ16" s="25">
        <f>'QTR Raw'!AK6+'QTR Raw'!AK8</f>
        <v>477.09699999999998</v>
      </c>
      <c r="BR16" s="25">
        <f>'QTR Raw'!AL6+'QTR Raw'!AL8</f>
        <v>518.39599999999996</v>
      </c>
      <c r="BS16" s="25">
        <f>'QTR Raw'!AM6+'QTR Raw'!AM8</f>
        <v>558.31600000000003</v>
      </c>
      <c r="BT16" s="25">
        <f>'QTR Raw'!AN6+'QTR Raw'!AN8</f>
        <v>595.33100000000002</v>
      </c>
      <c r="BU16" s="25">
        <f>'QTR Raw'!AO6+'QTR Raw'!AO8</f>
        <v>635.41300000000001</v>
      </c>
      <c r="BV16" s="25">
        <f>'QTR Raw'!AP6+'QTR Raw'!AP8</f>
        <v>681.73900000000003</v>
      </c>
      <c r="BW16" s="25">
        <f>'QTR Raw'!AQ6+'QTR Raw'!AQ8</f>
        <v>725.88900000000001</v>
      </c>
      <c r="BX16" s="25">
        <f>'QTR Raw'!AR6+'QTR Raw'!AR8</f>
        <v>763.17100000000005</v>
      </c>
      <c r="BY16" s="25">
        <f>'QTR Raw'!AS6+'QTR Raw'!AS8</f>
        <v>817.74300000000005</v>
      </c>
      <c r="BZ16" s="25">
        <f>'QTR Raw'!AT6+'QTR Raw'!AT8</f>
        <v>837.92</v>
      </c>
      <c r="CA16" s="25">
        <f>'QTR Raw'!AU6+'QTR Raw'!AU8</f>
        <v>850.27200000000005</v>
      </c>
      <c r="CB16" s="25">
        <f>'QTR Raw'!AV6+'QTR Raw'!AV8</f>
        <v>881.69799999999998</v>
      </c>
      <c r="CC16" s="25">
        <f>'QTR Raw'!AW6+'QTR Raw'!AW8</f>
        <v>914.23299999999995</v>
      </c>
      <c r="CD16" s="25">
        <f>'QTR Raw'!AX6+'QTR Raw'!AX8</f>
        <v>905.94299999999998</v>
      </c>
      <c r="CE16" s="25">
        <f>'QTR Raw'!AY6+'QTR Raw'!AY8</f>
        <v>926.45500000000004</v>
      </c>
      <c r="CF16" s="25">
        <f>'QTR Raw'!AZ6+'QTR Raw'!AZ8</f>
        <v>955.08600000000001</v>
      </c>
      <c r="CG16" s="25">
        <f>'QTR Raw'!BA6+'QTR Raw'!BA8</f>
        <v>939.17100000000005</v>
      </c>
      <c r="CH16" s="25">
        <f>'QTR Raw'!BB6+'QTR Raw'!BB8</f>
        <v>908.33600000000001</v>
      </c>
      <c r="CI16" s="25">
        <f>'QTR Raw'!BC6+'QTR Raw'!BC8</f>
        <v>892.096</v>
      </c>
      <c r="CJ16" s="25">
        <f>'QTR Raw'!BD6+'QTR Raw'!BD8</f>
        <v>918.10199999999998</v>
      </c>
      <c r="CK16" s="25">
        <f>'QTR Raw'!BE6+'QTR Raw'!BE8</f>
        <v>953.47400000000005</v>
      </c>
      <c r="CL16" s="25">
        <f>'QTR Raw'!BF6+'QTR Raw'!BF8</f>
        <v>993.75099999999998</v>
      </c>
      <c r="CM16" s="17">
        <f t="shared" ref="CM16:DB16" si="83">+CM8*CM4/10^7</f>
        <v>982.26824562000604</v>
      </c>
      <c r="CN16" s="17">
        <f t="shared" si="83"/>
        <v>1030.6757711805014</v>
      </c>
      <c r="CO16" s="17">
        <f t="shared" si="83"/>
        <v>1078.2111617852595</v>
      </c>
      <c r="CP16" s="17">
        <f t="shared" si="83"/>
        <v>1117.27602484367</v>
      </c>
      <c r="CQ16" s="17">
        <f t="shared" si="83"/>
        <v>1126.0104911946439</v>
      </c>
      <c r="CR16" s="17">
        <f t="shared" si="83"/>
        <v>1170.6019917093975</v>
      </c>
      <c r="CS16" s="17">
        <f t="shared" si="83"/>
        <v>1211.7273151989111</v>
      </c>
      <c r="CT16" s="17">
        <f t="shared" si="83"/>
        <v>1248.5244172468304</v>
      </c>
      <c r="CU16" s="17">
        <f t="shared" si="83"/>
        <v>1263.5507779590989</v>
      </c>
      <c r="CV16" s="17">
        <f t="shared" si="83"/>
        <v>1285.2615179407042</v>
      </c>
      <c r="CW16" s="17">
        <f t="shared" si="83"/>
        <v>1305.477717782466</v>
      </c>
      <c r="CX16" s="17">
        <f t="shared" si="83"/>
        <v>1324.8856828309354</v>
      </c>
      <c r="CY16" s="17">
        <f t="shared" si="83"/>
        <v>1318.1654841196016</v>
      </c>
      <c r="CZ16" s="17">
        <f t="shared" si="83"/>
        <v>1331.9755035296259</v>
      </c>
      <c r="DA16" s="17">
        <f t="shared" si="83"/>
        <v>1343.7361900569135</v>
      </c>
      <c r="DB16" s="17">
        <f t="shared" si="83"/>
        <v>1353.3054421002123</v>
      </c>
      <c r="DE16" s="119"/>
      <c r="DF16" s="25">
        <v>948.99451094766573</v>
      </c>
    </row>
    <row r="17" spans="1:110" s="92" customFormat="1" outlineLevel="1" x14ac:dyDescent="0.2">
      <c r="A17" s="92" t="s">
        <v>109</v>
      </c>
      <c r="B17" s="92">
        <f>'Annual Raw'!C7+'Annual Raw'!C8+'Annual Raw'!C9</f>
        <v>0</v>
      </c>
      <c r="C17" s="92">
        <f>'Annual Raw'!D7+'Annual Raw'!D8+'Annual Raw'!D9</f>
        <v>0</v>
      </c>
      <c r="D17" s="92">
        <f>'Annual Raw'!E7+'Annual Raw'!E8+'Annual Raw'!E9</f>
        <v>0</v>
      </c>
      <c r="E17" s="92">
        <f>'Annual Raw'!F7+'Annual Raw'!F8+'Annual Raw'!F9</f>
        <v>0</v>
      </c>
      <c r="F17" s="92">
        <f>'Annual Raw'!G7+'Annual Raw'!G8+'Annual Raw'!G9</f>
        <v>0</v>
      </c>
      <c r="G17" s="92">
        <f>'Annual Raw'!H7+'Annual Raw'!H8+'Annual Raw'!H9</f>
        <v>0</v>
      </c>
      <c r="H17" s="92">
        <f>'Annual Raw'!I7+'Annual Raw'!I8+'Annual Raw'!I9</f>
        <v>0</v>
      </c>
      <c r="I17" s="92">
        <f>'Annual Raw'!J7+'Annual Raw'!J8+'Annual Raw'!J9</f>
        <v>0</v>
      </c>
      <c r="J17" s="92">
        <f>'Annual Raw'!K7+'Annual Raw'!K8+'Annual Raw'!K9</f>
        <v>0</v>
      </c>
      <c r="K17" s="92">
        <f>'Annual Raw'!L7+'Annual Raw'!L8+'Annual Raw'!L9</f>
        <v>0</v>
      </c>
      <c r="L17" s="92">
        <f>'Annual Raw'!M7+'Annual Raw'!M8+'Annual Raw'!M9</f>
        <v>0</v>
      </c>
      <c r="M17" s="92">
        <f>'Annual Raw'!N7+'Annual Raw'!N8+'Annual Raw'!N9</f>
        <v>0</v>
      </c>
      <c r="N17" s="92">
        <f>'Annual Raw'!O7+'Annual Raw'!O8+'Annual Raw'!O9</f>
        <v>0</v>
      </c>
      <c r="O17" s="92">
        <f>'Annual Raw'!P7+'Annual Raw'!P8+'Annual Raw'!P9</f>
        <v>0</v>
      </c>
      <c r="P17" s="92">
        <f>'Annual Raw'!Q7+'Annual Raw'!Q8+'Annual Raw'!Q9</f>
        <v>0</v>
      </c>
      <c r="Q17" s="92">
        <f>'Annual Raw'!R7+'Annual Raw'!R8+'Annual Raw'!R9</f>
        <v>0</v>
      </c>
      <c r="R17" s="92">
        <f>'Annual Raw'!S7+'Annual Raw'!S8+'Annual Raw'!S9</f>
        <v>0</v>
      </c>
      <c r="S17" s="92">
        <f>'Annual Raw'!T7+'Annual Raw'!T8+'Annual Raw'!T9</f>
        <v>0</v>
      </c>
      <c r="T17" s="92">
        <f>'Annual Raw'!U7+'Annual Raw'!U8+'Annual Raw'!U9</f>
        <v>0</v>
      </c>
      <c r="U17" s="92">
        <f>'Annual Raw'!V7+'Annual Raw'!V8+'Annual Raw'!V9</f>
        <v>0</v>
      </c>
      <c r="V17" s="92">
        <f>'Annual Raw'!W7+'Annual Raw'!W8+'Annual Raw'!W9</f>
        <v>0</v>
      </c>
      <c r="W17" s="92">
        <f>'Annual Raw'!X7+'Annual Raw'!X8+'Annual Raw'!X9</f>
        <v>0</v>
      </c>
      <c r="X17" s="92">
        <f>'Annual Raw'!Y7+'Annual Raw'!Y8+'Annual Raw'!Y9</f>
        <v>0</v>
      </c>
      <c r="Y17" s="92">
        <f>'Annual Raw'!Z7+'Annual Raw'!Z8+'Annual Raw'!Z9</f>
        <v>0</v>
      </c>
      <c r="Z17" s="92">
        <f>'Annual Raw'!AA7+'Annual Raw'!AA8+'Annual Raw'!AA9</f>
        <v>0</v>
      </c>
      <c r="AA17" s="92">
        <f>'Annual Raw'!AB7+'Annual Raw'!AB8+'Annual Raw'!AB9</f>
        <v>0</v>
      </c>
      <c r="AB17" s="76">
        <f>+SUM(CM17:CP17)</f>
        <v>0</v>
      </c>
      <c r="AC17" s="76">
        <f>+SUM(CQ17:CT17)</f>
        <v>0</v>
      </c>
      <c r="AD17" s="76">
        <f>+SUM(CU17:CX17)</f>
        <v>0</v>
      </c>
      <c r="AE17" s="76">
        <f>+SUM(CY17:DB17)</f>
        <v>0</v>
      </c>
      <c r="AI17" s="92">
        <f>+'QTR Raw'!C20+'QTR Raw'!C19+'QTR Raw'!C13+'QTR Raw'!C7</f>
        <v>0</v>
      </c>
      <c r="AJ17" s="92">
        <f>+'QTR Raw'!D20+'QTR Raw'!D19+'QTR Raw'!D13+'QTR Raw'!D7</f>
        <v>2.8130000000000002</v>
      </c>
      <c r="AK17" s="92">
        <f>+'QTR Raw'!E20+'QTR Raw'!E19+'QTR Raw'!E13+'QTR Raw'!E7</f>
        <v>0</v>
      </c>
      <c r="AL17" s="92">
        <f>+'QTR Raw'!F20+'QTR Raw'!F19+'QTR Raw'!F13+'QTR Raw'!F7</f>
        <v>3.3860000000000001</v>
      </c>
      <c r="AM17" s="92">
        <f>+'QTR Raw'!G20+'QTR Raw'!G19+'QTR Raw'!G13+'QTR Raw'!G7</f>
        <v>0</v>
      </c>
      <c r="AN17" s="92">
        <f>+'QTR Raw'!H20+'QTR Raw'!H19+'QTR Raw'!H13+'QTR Raw'!H7</f>
        <v>0</v>
      </c>
      <c r="AO17" s="92">
        <f>+'QTR Raw'!I20+'QTR Raw'!I19+'QTR Raw'!I13+'QTR Raw'!I7</f>
        <v>1.214</v>
      </c>
      <c r="AP17" s="92">
        <f>+'QTR Raw'!J20+'QTR Raw'!J19+'QTR Raw'!J13+'QTR Raw'!J7</f>
        <v>1.127</v>
      </c>
      <c r="AQ17" s="92">
        <f>+'QTR Raw'!K20+'QTR Raw'!K19+'QTR Raw'!K13+'QTR Raw'!K7</f>
        <v>0</v>
      </c>
      <c r="AR17" s="92">
        <f>+'QTR Raw'!L20+'QTR Raw'!L19+'QTR Raw'!L13+'QTR Raw'!L7</f>
        <v>1.423</v>
      </c>
      <c r="AS17" s="92">
        <f>+'QTR Raw'!M20+'QTR Raw'!M19+'QTR Raw'!M13+'QTR Raw'!M7</f>
        <v>1.772</v>
      </c>
      <c r="AT17" s="92">
        <f>+'QTR Raw'!N20+'QTR Raw'!N19+'QTR Raw'!N13+'QTR Raw'!N7</f>
        <v>4.1680000000000001</v>
      </c>
      <c r="AU17" s="92">
        <f>+'QTR Raw'!O20+'QTR Raw'!O19+'QTR Raw'!O13+'QTR Raw'!O7</f>
        <v>0</v>
      </c>
      <c r="AV17" s="92">
        <f>+'QTR Raw'!P20+'QTR Raw'!P19+'QTR Raw'!P13+'QTR Raw'!P7</f>
        <v>0</v>
      </c>
      <c r="AW17" s="92">
        <f>+'QTR Raw'!Q20+'QTR Raw'!Q19+'QTR Raw'!Q13+'QTR Raw'!Q7</f>
        <v>1.292</v>
      </c>
      <c r="AX17" s="92">
        <f>+'QTR Raw'!R20+'QTR Raw'!R19+'QTR Raw'!R13+'QTR Raw'!R7</f>
        <v>2.5190000000000001</v>
      </c>
      <c r="AY17" s="92">
        <f>+'QTR Raw'!S20+'QTR Raw'!S19+'QTR Raw'!S13+'QTR Raw'!S7</f>
        <v>2.2850000000000001</v>
      </c>
      <c r="AZ17" s="92">
        <f>+'QTR Raw'!T20+'QTR Raw'!T19+'QTR Raw'!T13+'QTR Raw'!T7</f>
        <v>6.5140000000000002</v>
      </c>
      <c r="BA17" s="92">
        <f>+'QTR Raw'!U20+'QTR Raw'!U19+'QTR Raw'!U13+'QTR Raw'!U7</f>
        <v>0</v>
      </c>
      <c r="BB17" s="92">
        <f>+'QTR Raw'!V20+'QTR Raw'!V19+'QTR Raw'!V13+'QTR Raw'!V7</f>
        <v>0</v>
      </c>
      <c r="BC17" s="92">
        <f>+'QTR Raw'!W20+'QTR Raw'!W19+'QTR Raw'!W13+'QTR Raw'!W7</f>
        <v>0</v>
      </c>
      <c r="BD17" s="92">
        <f>+'QTR Raw'!X20+'QTR Raw'!X19+'QTR Raw'!X13+'QTR Raw'!X7</f>
        <v>0</v>
      </c>
      <c r="BE17" s="92">
        <f>+'QTR Raw'!Y20+'QTR Raw'!Y19+'QTR Raw'!Y13+'QTR Raw'!Y7</f>
        <v>3.2440000000000002</v>
      </c>
      <c r="BF17" s="92">
        <f>+'QTR Raw'!Z20+'QTR Raw'!Z19+'QTR Raw'!Z13+'QTR Raw'!Z7</f>
        <v>0</v>
      </c>
      <c r="BG17" s="92">
        <f>+'QTR Raw'!AA20+'QTR Raw'!AA19+'QTR Raw'!AA13+'QTR Raw'!AA7</f>
        <v>0</v>
      </c>
      <c r="BH17" s="92">
        <f>+'QTR Raw'!AB20+'QTR Raw'!AB19+'QTR Raw'!AB13+'QTR Raw'!AB7</f>
        <v>0</v>
      </c>
      <c r="BI17" s="92">
        <f>+'QTR Raw'!AC20+'QTR Raw'!AC19+'QTR Raw'!AC13+'QTR Raw'!AC7</f>
        <v>11.757</v>
      </c>
      <c r="BJ17" s="92">
        <f>+'QTR Raw'!AD20+'QTR Raw'!AD19+'QTR Raw'!AD13+'QTR Raw'!AD7</f>
        <v>0</v>
      </c>
      <c r="BK17" s="92">
        <f>+'QTR Raw'!AE20+'QTR Raw'!AE19+'QTR Raw'!AE13+'QTR Raw'!AE7</f>
        <v>1.115</v>
      </c>
      <c r="BL17" s="92">
        <f>+'QTR Raw'!AF20+'QTR Raw'!AF19+'QTR Raw'!AF13+'QTR Raw'!AF7</f>
        <v>1.7000000000000001E-2</v>
      </c>
      <c r="BM17" s="92">
        <f>+'QTR Raw'!AG20+'QTR Raw'!AG19+'QTR Raw'!AG13+'QTR Raw'!AG7</f>
        <v>0</v>
      </c>
      <c r="BN17" s="92">
        <f>+'QTR Raw'!AH20+'QTR Raw'!AH19+'QTR Raw'!AH13+'QTR Raw'!AH7</f>
        <v>0</v>
      </c>
      <c r="BO17" s="92">
        <f>+'QTR Raw'!AI20+'QTR Raw'!AI19+'QTR Raw'!AI13+'QTR Raw'!AI7</f>
        <v>0</v>
      </c>
      <c r="BP17" s="92">
        <f>+'QTR Raw'!AJ20+'QTR Raw'!AJ19+'QTR Raw'!AJ13+'QTR Raw'!AJ7</f>
        <v>1.9390000000000001</v>
      </c>
      <c r="BQ17" s="92">
        <f>+'QTR Raw'!AK20+'QTR Raw'!AK19+'QTR Raw'!AK13+'QTR Raw'!AK7</f>
        <v>0</v>
      </c>
      <c r="BR17" s="92">
        <f>+'QTR Raw'!AL20+'QTR Raw'!AL19+'QTR Raw'!AL13+'QTR Raw'!AL7</f>
        <v>3.9649999999999999</v>
      </c>
      <c r="BS17" s="92">
        <f>+'QTR Raw'!AM20+'QTR Raw'!AM19+'QTR Raw'!AM13+'QTR Raw'!AM7</f>
        <v>0</v>
      </c>
      <c r="BT17" s="92">
        <f>+'QTR Raw'!AN20+'QTR Raw'!AN19+'QTR Raw'!AN13+'QTR Raw'!AN7</f>
        <v>4.742</v>
      </c>
      <c r="BU17" s="92">
        <f>+'QTR Raw'!AO20+'QTR Raw'!AO19+'QTR Raw'!AO13+'QTR Raw'!AO7</f>
        <v>1.742</v>
      </c>
      <c r="BV17" s="92">
        <f>+'QTR Raw'!AP20+'QTR Raw'!AP19+'QTR Raw'!AP13+'QTR Raw'!AP7</f>
        <v>0</v>
      </c>
      <c r="BW17" s="92">
        <f>+'QTR Raw'!AQ20+'QTR Raw'!AQ19+'QTR Raw'!AQ13+'QTR Raw'!AQ7</f>
        <v>0</v>
      </c>
      <c r="BX17" s="92">
        <f>+'QTR Raw'!AR20+'QTR Raw'!AR19+'QTR Raw'!AR13+'QTR Raw'!AR7</f>
        <v>0</v>
      </c>
      <c r="BY17" s="92">
        <f>+'QTR Raw'!AS20+'QTR Raw'!AS19+'QTR Raw'!AS13+'QTR Raw'!AS7</f>
        <v>0</v>
      </c>
      <c r="BZ17" s="92">
        <f>+'QTR Raw'!AT20+'QTR Raw'!AT19+'QTR Raw'!AT13+'QTR Raw'!AT7</f>
        <v>0</v>
      </c>
      <c r="CA17" s="92">
        <f>+'QTR Raw'!AU20+'QTR Raw'!AU19+'QTR Raw'!AU13+'QTR Raw'!AU7</f>
        <v>0</v>
      </c>
      <c r="CB17" s="92">
        <f>+'QTR Raw'!AV20+'QTR Raw'!AV19+'QTR Raw'!AV13+'QTR Raw'!AV7</f>
        <v>0</v>
      </c>
      <c r="CC17" s="92">
        <f>+'QTR Raw'!AW20+'QTR Raw'!AW19+'QTR Raw'!AW13+'QTR Raw'!AW7</f>
        <v>0</v>
      </c>
      <c r="CD17" s="92">
        <f>+'QTR Raw'!AX20+'QTR Raw'!AX19+'QTR Raw'!AX13+'QTR Raw'!AX7</f>
        <v>0</v>
      </c>
      <c r="CE17" s="92">
        <f>+'QTR Raw'!AY20+'QTR Raw'!AY19+'QTR Raw'!AY13+'QTR Raw'!AY7</f>
        <v>0</v>
      </c>
      <c r="CF17" s="92">
        <f>+'QTR Raw'!AZ20+'QTR Raw'!AZ19+'QTR Raw'!AZ13+'QTR Raw'!AZ7</f>
        <v>0</v>
      </c>
      <c r="CG17" s="92">
        <f>+'QTR Raw'!BA20+'QTR Raw'!BA19+'QTR Raw'!BA13+'QTR Raw'!BA7</f>
        <v>0</v>
      </c>
      <c r="CH17" s="92">
        <f>+'QTR Raw'!BB20+'QTR Raw'!BB19+'QTR Raw'!BB13+'QTR Raw'!BB7</f>
        <v>0</v>
      </c>
      <c r="CI17" s="92">
        <f>+'QTR Raw'!BC20+'QTR Raw'!BC19+'QTR Raw'!BC13+'QTR Raw'!BC7</f>
        <v>0</v>
      </c>
      <c r="CJ17" s="92">
        <f>+'QTR Raw'!BD20+'QTR Raw'!BD19+'QTR Raw'!BD13+'QTR Raw'!BD7</f>
        <v>0</v>
      </c>
      <c r="CK17" s="92">
        <f>+'QTR Raw'!BE20+'QTR Raw'!BE19+'QTR Raw'!BE13+'QTR Raw'!BE7</f>
        <v>0</v>
      </c>
      <c r="CL17" s="92">
        <f>+'QTR Raw'!BF20+'QTR Raw'!BF19+'QTR Raw'!BF13+'QTR Raw'!BF7</f>
        <v>0</v>
      </c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E17" s="120"/>
      <c r="DF17" s="92">
        <v>0</v>
      </c>
    </row>
    <row r="18" spans="1:110" s="26" customFormat="1" x14ac:dyDescent="0.2">
      <c r="A18" s="26" t="s">
        <v>431</v>
      </c>
      <c r="B18" s="26">
        <f>+B16-B17</f>
        <v>136.74039999999999</v>
      </c>
      <c r="C18" s="26">
        <f>+C16-C17</f>
        <v>129.8064</v>
      </c>
      <c r="D18" s="26">
        <f t="shared" ref="D18:U18" si="84">+D16-D17</f>
        <v>109.6041</v>
      </c>
      <c r="E18" s="26">
        <f t="shared" si="84"/>
        <v>153.48050000000001</v>
      </c>
      <c r="F18" s="26">
        <f t="shared" si="84"/>
        <v>185.774</v>
      </c>
      <c r="G18" s="26">
        <f t="shared" si="84"/>
        <v>235.6318</v>
      </c>
      <c r="H18" s="26">
        <f t="shared" si="84"/>
        <v>307.96300000000002</v>
      </c>
      <c r="I18" s="26">
        <f t="shared" si="84"/>
        <v>402.01369999999997</v>
      </c>
      <c r="J18" s="26">
        <f t="shared" si="84"/>
        <v>419.36149999999998</v>
      </c>
      <c r="K18" s="26">
        <f t="shared" si="84"/>
        <v>388.17250000000001</v>
      </c>
      <c r="L18" s="26">
        <f t="shared" si="84"/>
        <v>415.91120000000001</v>
      </c>
      <c r="M18" s="26">
        <f t="shared" si="84"/>
        <v>538.70740000000001</v>
      </c>
      <c r="N18" s="26">
        <f t="shared" si="84"/>
        <v>621.6712</v>
      </c>
      <c r="O18" s="26">
        <f t="shared" si="84"/>
        <v>774.78570000000002</v>
      </c>
      <c r="P18" s="26">
        <f t="shared" si="84"/>
        <v>849.40110000000004</v>
      </c>
      <c r="Q18" s="26">
        <f t="shared" si="84"/>
        <v>1075.2061000000001</v>
      </c>
      <c r="R18" s="26">
        <f t="shared" si="84"/>
        <v>1237.3123000000001</v>
      </c>
      <c r="S18" s="26">
        <f t="shared" si="84"/>
        <v>1386.2954999999999</v>
      </c>
      <c r="T18" s="26">
        <f t="shared" si="84"/>
        <v>1596.9315999999999</v>
      </c>
      <c r="U18" s="26">
        <f t="shared" si="84"/>
        <v>1609.8604</v>
      </c>
      <c r="V18" s="26">
        <f>+V16-V17</f>
        <v>1826.1596999999999</v>
      </c>
      <c r="W18" s="26">
        <f>+W16-W17</f>
        <v>2470.7991999999999</v>
      </c>
      <c r="X18" s="26">
        <f>+X16-X17</f>
        <v>3144.7224999999999</v>
      </c>
      <c r="Y18" s="26">
        <f>+Y16-Y17</f>
        <v>3552.1457</v>
      </c>
      <c r="Z18" s="26">
        <f>+Z16-Z17</f>
        <v>3729.0482999999999</v>
      </c>
      <c r="AA18" s="26">
        <f>+AA16-AA17</f>
        <v>3757.4236999999998</v>
      </c>
      <c r="AB18" s="27">
        <f t="shared" ref="AB18:AD18" si="85">+AB16-AB17</f>
        <v>4208.4312034294371</v>
      </c>
      <c r="AC18" s="27">
        <f t="shared" si="85"/>
        <v>4756.8642153497831</v>
      </c>
      <c r="AD18" s="27">
        <f t="shared" si="85"/>
        <v>5179.1756965132045</v>
      </c>
      <c r="AE18" s="27">
        <f t="shared" ref="AE18" si="86">+AE16-AE17</f>
        <v>5347.1826198063536</v>
      </c>
      <c r="AI18" s="26">
        <f t="shared" ref="AI18" si="87">+AI16-AI17</f>
        <v>146.197</v>
      </c>
      <c r="AJ18" s="26">
        <f t="shared" ref="AJ18" si="88">+AJ16-AJ17</f>
        <v>152.55200000000002</v>
      </c>
      <c r="AK18" s="26">
        <f t="shared" ref="AK18:AM18" si="89">+AK16-AK17</f>
        <v>156.678</v>
      </c>
      <c r="AL18" s="26">
        <f t="shared" si="89"/>
        <v>160.04599999999999</v>
      </c>
      <c r="AM18" s="26">
        <f t="shared" si="89"/>
        <v>173.173</v>
      </c>
      <c r="AN18" s="26">
        <f t="shared" ref="AN18:AO18" si="90">+AN16-AN17</f>
        <v>189.97</v>
      </c>
      <c r="AO18" s="26">
        <f t="shared" si="90"/>
        <v>198.90899999999999</v>
      </c>
      <c r="AP18" s="26">
        <f t="shared" ref="AP18:AW18" si="91">+AP16-AP17</f>
        <v>210.392</v>
      </c>
      <c r="AQ18" s="26">
        <f t="shared" si="91"/>
        <v>190.755</v>
      </c>
      <c r="AR18" s="26">
        <f t="shared" si="91"/>
        <v>204.46</v>
      </c>
      <c r="AS18" s="26">
        <f t="shared" si="91"/>
        <v>219.715</v>
      </c>
      <c r="AT18" s="26">
        <f t="shared" si="91"/>
        <v>227.108</v>
      </c>
      <c r="AU18" s="26">
        <f t="shared" si="91"/>
        <v>243.52099999999999</v>
      </c>
      <c r="AV18" s="26">
        <f t="shared" si="91"/>
        <v>263.65800000000002</v>
      </c>
      <c r="AW18" s="26">
        <f t="shared" si="91"/>
        <v>272.78300000000002</v>
      </c>
      <c r="AX18" s="26">
        <f t="shared" ref="AX18:CF18" si="92">+AX16-AX17</f>
        <v>291.43299999999999</v>
      </c>
      <c r="AY18" s="26">
        <f t="shared" si="92"/>
        <v>293.56799999999998</v>
      </c>
      <c r="AZ18" s="26">
        <f t="shared" si="92"/>
        <v>297.70400000000001</v>
      </c>
      <c r="BA18" s="26">
        <f t="shared" si="92"/>
        <v>310.245</v>
      </c>
      <c r="BB18" s="26">
        <f t="shared" si="92"/>
        <v>326.99700000000001</v>
      </c>
      <c r="BC18" s="26">
        <f t="shared" si="92"/>
        <v>323.23</v>
      </c>
      <c r="BD18" s="26">
        <f t="shared" si="92"/>
        <v>342.154</v>
      </c>
      <c r="BE18" s="26">
        <f t="shared" si="92"/>
        <v>342.29199999999997</v>
      </c>
      <c r="BF18" s="26">
        <f t="shared" si="92"/>
        <v>375.37599999999998</v>
      </c>
      <c r="BG18" s="26">
        <f t="shared" si="92"/>
        <v>382.03500000000003</v>
      </c>
      <c r="BH18" s="26">
        <f t="shared" si="92"/>
        <v>402.78399999999999</v>
      </c>
      <c r="BI18" s="26">
        <f t="shared" si="92"/>
        <v>395.25200000000001</v>
      </c>
      <c r="BJ18" s="26">
        <f t="shared" si="92"/>
        <v>405.10399999999998</v>
      </c>
      <c r="BK18" s="26">
        <f t="shared" si="92"/>
        <v>360.59499999999997</v>
      </c>
      <c r="BL18" s="26">
        <f t="shared" si="92"/>
        <v>385.81</v>
      </c>
      <c r="BM18" s="26">
        <f t="shared" si="92"/>
        <v>423.43799999999999</v>
      </c>
      <c r="BN18" s="26">
        <f t="shared" si="92"/>
        <v>438.88499999999999</v>
      </c>
      <c r="BO18" s="26">
        <f t="shared" si="92"/>
        <v>400.488</v>
      </c>
      <c r="BP18" s="26">
        <f t="shared" si="92"/>
        <v>428.23999999999995</v>
      </c>
      <c r="BQ18" s="26">
        <f t="shared" si="92"/>
        <v>477.09699999999998</v>
      </c>
      <c r="BR18" s="26">
        <f t="shared" si="92"/>
        <v>514.43099999999993</v>
      </c>
      <c r="BS18" s="26">
        <f t="shared" si="92"/>
        <v>558.31600000000003</v>
      </c>
      <c r="BT18" s="26">
        <f t="shared" si="92"/>
        <v>590.58900000000006</v>
      </c>
      <c r="BU18" s="26">
        <f t="shared" si="92"/>
        <v>633.67100000000005</v>
      </c>
      <c r="BV18" s="26">
        <f t="shared" si="92"/>
        <v>681.73900000000003</v>
      </c>
      <c r="BW18" s="26">
        <f t="shared" si="92"/>
        <v>725.88900000000001</v>
      </c>
      <c r="BX18" s="26">
        <f t="shared" si="92"/>
        <v>763.17100000000005</v>
      </c>
      <c r="BY18" s="26">
        <f t="shared" si="92"/>
        <v>817.74300000000005</v>
      </c>
      <c r="BZ18" s="26">
        <f t="shared" si="92"/>
        <v>837.92</v>
      </c>
      <c r="CA18" s="26">
        <f t="shared" si="92"/>
        <v>850.27200000000005</v>
      </c>
      <c r="CB18" s="26">
        <f t="shared" si="92"/>
        <v>881.69799999999998</v>
      </c>
      <c r="CC18" s="26">
        <f t="shared" si="92"/>
        <v>914.23299999999995</v>
      </c>
      <c r="CD18" s="26">
        <f t="shared" si="92"/>
        <v>905.94299999999998</v>
      </c>
      <c r="CE18" s="26">
        <f t="shared" si="92"/>
        <v>926.45500000000004</v>
      </c>
      <c r="CF18" s="26">
        <f t="shared" si="92"/>
        <v>955.08600000000001</v>
      </c>
      <c r="CG18" s="26">
        <f t="shared" ref="CG18:CH18" si="93">+CG16-CG17</f>
        <v>939.17100000000005</v>
      </c>
      <c r="CH18" s="26">
        <f t="shared" si="93"/>
        <v>908.33600000000001</v>
      </c>
      <c r="CI18" s="26">
        <f t="shared" ref="CI18:CJ18" si="94">+CI16-CI17</f>
        <v>892.096</v>
      </c>
      <c r="CJ18" s="26">
        <f t="shared" si="94"/>
        <v>918.10199999999998</v>
      </c>
      <c r="CK18" s="26">
        <f t="shared" ref="CK18:DB18" si="95">+CK16-CK17</f>
        <v>953.47400000000005</v>
      </c>
      <c r="CL18" s="26">
        <f t="shared" si="95"/>
        <v>993.75099999999998</v>
      </c>
      <c r="CM18" s="27">
        <f t="shared" si="95"/>
        <v>982.26824562000604</v>
      </c>
      <c r="CN18" s="27">
        <f t="shared" si="95"/>
        <v>1030.6757711805014</v>
      </c>
      <c r="CO18" s="27">
        <f t="shared" si="95"/>
        <v>1078.2111617852595</v>
      </c>
      <c r="CP18" s="27">
        <f t="shared" si="95"/>
        <v>1117.27602484367</v>
      </c>
      <c r="CQ18" s="27">
        <f t="shared" si="95"/>
        <v>1126.0104911946439</v>
      </c>
      <c r="CR18" s="27">
        <f t="shared" si="95"/>
        <v>1170.6019917093975</v>
      </c>
      <c r="CS18" s="27">
        <f t="shared" si="95"/>
        <v>1211.7273151989111</v>
      </c>
      <c r="CT18" s="27">
        <f t="shared" si="95"/>
        <v>1248.5244172468304</v>
      </c>
      <c r="CU18" s="27">
        <f t="shared" si="95"/>
        <v>1263.5507779590989</v>
      </c>
      <c r="CV18" s="27">
        <f t="shared" si="95"/>
        <v>1285.2615179407042</v>
      </c>
      <c r="CW18" s="27">
        <f t="shared" si="95"/>
        <v>1305.477717782466</v>
      </c>
      <c r="CX18" s="27">
        <f t="shared" si="95"/>
        <v>1324.8856828309354</v>
      </c>
      <c r="CY18" s="27">
        <f t="shared" si="95"/>
        <v>1318.1654841196016</v>
      </c>
      <c r="CZ18" s="27">
        <f t="shared" si="95"/>
        <v>1331.9755035296259</v>
      </c>
      <c r="DA18" s="27">
        <f t="shared" si="95"/>
        <v>1343.7361900569135</v>
      </c>
      <c r="DB18" s="27">
        <f t="shared" si="95"/>
        <v>1353.3054421002123</v>
      </c>
      <c r="DE18" s="121"/>
      <c r="DF18" s="26">
        <v>948.99451094766573</v>
      </c>
    </row>
    <row r="19" spans="1:110" s="39" customFormat="1" x14ac:dyDescent="0.2">
      <c r="A19" s="39" t="s">
        <v>484</v>
      </c>
      <c r="C19" s="39">
        <f t="shared" ref="C19" si="96">C18/B18-1</f>
        <v>-5.0709227119417499E-2</v>
      </c>
      <c r="D19" s="39">
        <f t="shared" ref="D19" si="97">D18/C18-1</f>
        <v>-0.15563408275709056</v>
      </c>
      <c r="E19" s="39">
        <f t="shared" ref="E19" si="98">E18/D18-1</f>
        <v>0.40031714142080443</v>
      </c>
      <c r="F19" s="39">
        <f t="shared" ref="F19:R19" si="99">F18/E18-1</f>
        <v>0.21040783682617659</v>
      </c>
      <c r="G19" s="39">
        <f t="shared" si="99"/>
        <v>0.26837878282213867</v>
      </c>
      <c r="H19" s="39">
        <f t="shared" si="99"/>
        <v>0.3069670562292528</v>
      </c>
      <c r="I19" s="39">
        <f t="shared" si="99"/>
        <v>0.30539610277858031</v>
      </c>
      <c r="J19" s="39">
        <f t="shared" si="99"/>
        <v>4.3152260731412984E-2</v>
      </c>
      <c r="K19" s="39">
        <f>K18/J18-1</f>
        <v>-7.4372587850816019E-2</v>
      </c>
      <c r="L19" s="39">
        <f t="shared" si="99"/>
        <v>7.1459724735781105E-2</v>
      </c>
      <c r="M19" s="39">
        <f t="shared" si="99"/>
        <v>0.29524619678431363</v>
      </c>
      <c r="N19" s="39">
        <f t="shared" si="99"/>
        <v>0.154005309746998</v>
      </c>
      <c r="O19" s="39">
        <f t="shared" si="99"/>
        <v>0.24629498680331352</v>
      </c>
      <c r="P19" s="39">
        <f t="shared" si="99"/>
        <v>9.6304565249461849E-2</v>
      </c>
      <c r="Q19" s="39">
        <f t="shared" si="99"/>
        <v>0.26584024908844595</v>
      </c>
      <c r="R19" s="39">
        <f t="shared" si="99"/>
        <v>0.15076755981946155</v>
      </c>
      <c r="S19" s="39">
        <f t="shared" ref="S19:AA19" si="100">S18/R18-1</f>
        <v>0.12040872785310541</v>
      </c>
      <c r="T19" s="39">
        <f t="shared" si="100"/>
        <v>0.15194170362667991</v>
      </c>
      <c r="U19" s="39">
        <f t="shared" si="100"/>
        <v>8.0960261541571654E-3</v>
      </c>
      <c r="V19" s="39">
        <f t="shared" si="100"/>
        <v>0.13435904131811682</v>
      </c>
      <c r="W19" s="39">
        <f t="shared" si="100"/>
        <v>0.35300280692866015</v>
      </c>
      <c r="X19" s="39">
        <f t="shared" si="100"/>
        <v>0.27275518787605235</v>
      </c>
      <c r="Y19" s="39">
        <f t="shared" si="100"/>
        <v>0.12955775907095157</v>
      </c>
      <c r="Z19" s="39">
        <f t="shared" si="100"/>
        <v>4.9801617090199812E-2</v>
      </c>
      <c r="AA19" s="39">
        <f t="shared" si="100"/>
        <v>7.6092873347872736E-3</v>
      </c>
      <c r="AB19" s="40">
        <f t="shared" ref="AB19" si="101">AB18/AA18-1</f>
        <v>0.12003104771746598</v>
      </c>
      <c r="AC19" s="40">
        <f t="shared" ref="AC19" si="102">AC18/AB18-1</f>
        <v>0.13031768500181951</v>
      </c>
      <c r="AD19" s="40">
        <f t="shared" ref="AD19" si="103">AD18/AC18-1</f>
        <v>8.8779385335548744E-2</v>
      </c>
      <c r="AE19" s="40">
        <f t="shared" ref="AE19" si="104">AE18/AD18-1</f>
        <v>3.2438931045775776E-2</v>
      </c>
      <c r="AM19" s="39">
        <f t="shared" ref="AM19:CI19" si="105">+IF(AI18&lt;0,1-AM18/AI18,AM18/AI18-1)</f>
        <v>0.18451815016724016</v>
      </c>
      <c r="AN19" s="39">
        <f t="shared" si="105"/>
        <v>0.24528029786564565</v>
      </c>
      <c r="AO19" s="39">
        <f t="shared" si="105"/>
        <v>0.26954007582430206</v>
      </c>
      <c r="AP19" s="39">
        <f t="shared" si="105"/>
        <v>0.31457206053259701</v>
      </c>
      <c r="AQ19" s="39">
        <f t="shared" si="105"/>
        <v>0.10152852927419387</v>
      </c>
      <c r="AR19" s="39">
        <f t="shared" si="105"/>
        <v>7.6275201347581145E-2</v>
      </c>
      <c r="AS19" s="39">
        <f t="shared" si="105"/>
        <v>0.1046005962525578</v>
      </c>
      <c r="AT19" s="39">
        <f t="shared" si="105"/>
        <v>7.9451690178333756E-2</v>
      </c>
      <c r="AU19" s="39">
        <f t="shared" si="105"/>
        <v>0.27661660244816644</v>
      </c>
      <c r="AV19" s="39">
        <f t="shared" si="105"/>
        <v>0.28953340506700576</v>
      </c>
      <c r="AW19" s="39">
        <f t="shared" si="105"/>
        <v>0.24153107434631238</v>
      </c>
      <c r="AX19" s="39">
        <f t="shared" si="105"/>
        <v>0.28323528893742189</v>
      </c>
      <c r="AY19" s="39">
        <f t="shared" si="105"/>
        <v>0.20551410350647381</v>
      </c>
      <c r="AZ19" s="39">
        <f t="shared" si="105"/>
        <v>0.12912940248352034</v>
      </c>
      <c r="BA19" s="39">
        <f t="shared" si="105"/>
        <v>0.13733260503770395</v>
      </c>
      <c r="BB19" s="39">
        <f t="shared" si="105"/>
        <v>0.12203147893340849</v>
      </c>
      <c r="BC19" s="39">
        <f t="shared" si="105"/>
        <v>0.10103962284717682</v>
      </c>
      <c r="BD19" s="39">
        <f t="shared" si="105"/>
        <v>0.14930938113025016</v>
      </c>
      <c r="BE19" s="39">
        <f t="shared" si="105"/>
        <v>0.10329578236554982</v>
      </c>
      <c r="BF19" s="39">
        <f t="shared" si="105"/>
        <v>0.14794936956608162</v>
      </c>
      <c r="BG19" s="39">
        <f t="shared" si="105"/>
        <v>0.181929276366674</v>
      </c>
      <c r="BH19" s="39">
        <f t="shared" si="105"/>
        <v>0.1772009095319651</v>
      </c>
      <c r="BI19" s="39">
        <f t="shared" si="105"/>
        <v>0.15472169960150994</v>
      </c>
      <c r="BJ19" s="39">
        <f t="shared" si="105"/>
        <v>7.9195260219087071E-2</v>
      </c>
      <c r="BK19" s="39">
        <f t="shared" si="105"/>
        <v>-5.6120512518486709E-2</v>
      </c>
      <c r="BL19" s="39">
        <f t="shared" si="105"/>
        <v>-4.214169381107491E-2</v>
      </c>
      <c r="BM19" s="39">
        <f t="shared" si="105"/>
        <v>7.1311467114650862E-2</v>
      </c>
      <c r="BN19" s="39">
        <f t="shared" si="105"/>
        <v>8.3388463209447483E-2</v>
      </c>
      <c r="BO19" s="39">
        <f t="shared" si="105"/>
        <v>0.11063104036384308</v>
      </c>
      <c r="BP19" s="39">
        <f t="shared" si="105"/>
        <v>0.10997641326041308</v>
      </c>
      <c r="BQ19" s="39">
        <f t="shared" si="105"/>
        <v>0.12672221198853206</v>
      </c>
      <c r="BR19" s="39">
        <f t="shared" si="105"/>
        <v>0.17213165179944623</v>
      </c>
      <c r="BS19" s="39">
        <f t="shared" si="105"/>
        <v>0.39408921116238194</v>
      </c>
      <c r="BT19" s="39">
        <f t="shared" si="105"/>
        <v>0.3791075098075849</v>
      </c>
      <c r="BU19" s="39">
        <f t="shared" si="105"/>
        <v>0.32818064251085222</v>
      </c>
      <c r="BV19" s="39">
        <f t="shared" si="105"/>
        <v>0.32522923385254798</v>
      </c>
      <c r="BW19" s="39">
        <f t="shared" si="105"/>
        <v>0.30014006404974958</v>
      </c>
      <c r="BX19" s="39">
        <f t="shared" si="105"/>
        <v>0.29222013955559611</v>
      </c>
      <c r="BY19" s="39">
        <f t="shared" si="105"/>
        <v>0.2904851255620029</v>
      </c>
      <c r="BZ19" s="39">
        <f t="shared" si="105"/>
        <v>0.22909207189261571</v>
      </c>
      <c r="CA19" s="39">
        <f t="shared" si="105"/>
        <v>0.17135264482586177</v>
      </c>
      <c r="CB19" s="39">
        <f t="shared" si="105"/>
        <v>0.15530857435620571</v>
      </c>
      <c r="CC19" s="39">
        <f t="shared" si="105"/>
        <v>0.11799550714588802</v>
      </c>
      <c r="CD19" s="39">
        <f t="shared" si="105"/>
        <v>8.1180780981477962E-2</v>
      </c>
      <c r="CE19" s="39">
        <f t="shared" si="105"/>
        <v>8.9598387339580698E-2</v>
      </c>
      <c r="CF19" s="39">
        <f t="shared" si="105"/>
        <v>8.3234849120674026E-2</v>
      </c>
      <c r="CG19" s="39">
        <f t="shared" si="105"/>
        <v>2.7277510218948642E-2</v>
      </c>
      <c r="CH19" s="39">
        <f t="shared" si="105"/>
        <v>2.6414465369233309E-3</v>
      </c>
      <c r="CI19" s="39">
        <f t="shared" si="105"/>
        <v>-3.7086528757467985E-2</v>
      </c>
      <c r="CJ19" s="39">
        <f>+IF(CF18&lt;0,1-CJ18/CF18,CJ18/CF18-1)</f>
        <v>-3.872321445398641E-2</v>
      </c>
      <c r="CK19" s="39">
        <f>+IF(CG18&lt;0,1-CK18/CG18,CK18/CG18-1)</f>
        <v>1.5229388471321936E-2</v>
      </c>
      <c r="CL19" s="39">
        <f>+IF(CH18&lt;0,1-CL18/CH18,CL18/CH18-1)</f>
        <v>9.4034586320480562E-2</v>
      </c>
      <c r="CM19" s="40">
        <f t="shared" ref="CM19:DB19" si="106">+IF(CI18&lt;0,1-CM18/CI18,CM18/CI18-1)</f>
        <v>0.10107908299107504</v>
      </c>
      <c r="CN19" s="40">
        <f t="shared" si="106"/>
        <v>0.1226157563979835</v>
      </c>
      <c r="CO19" s="40">
        <f t="shared" si="106"/>
        <v>0.13082387331511858</v>
      </c>
      <c r="CP19" s="40">
        <f t="shared" si="106"/>
        <v>0.12430178670881342</v>
      </c>
      <c r="CQ19" s="40">
        <f t="shared" si="106"/>
        <v>0.14633705834999078</v>
      </c>
      <c r="CR19" s="40">
        <f t="shared" si="106"/>
        <v>0.13576162789645196</v>
      </c>
      <c r="CS19" s="40">
        <f t="shared" si="106"/>
        <v>0.12383117347123429</v>
      </c>
      <c r="CT19" s="40">
        <f t="shared" si="106"/>
        <v>0.11747177016666477</v>
      </c>
      <c r="CU19" s="40">
        <f t="shared" si="106"/>
        <v>0.12214831730256015</v>
      </c>
      <c r="CV19" s="40">
        <f t="shared" si="106"/>
        <v>9.7949197971099133E-2</v>
      </c>
      <c r="CW19" s="40">
        <f t="shared" si="106"/>
        <v>7.7369224418420757E-2</v>
      </c>
      <c r="CX19" s="40">
        <f t="shared" si="106"/>
        <v>6.1161211210023492E-2</v>
      </c>
      <c r="CY19" s="40">
        <f t="shared" si="106"/>
        <v>4.32231985553575E-2</v>
      </c>
      <c r="CZ19" s="40">
        <f t="shared" si="106"/>
        <v>3.6345899209500043E-2</v>
      </c>
      <c r="DA19" s="40">
        <f t="shared" si="106"/>
        <v>2.9306108984713086E-2</v>
      </c>
      <c r="DB19" s="40">
        <f t="shared" si="106"/>
        <v>2.1450725626796174E-2</v>
      </c>
      <c r="DE19" s="122"/>
      <c r="DF19" s="39">
        <v>4.4761532018620542E-2</v>
      </c>
    </row>
    <row r="20" spans="1:110" s="39" customFormat="1" x14ac:dyDescent="0.2">
      <c r="A20" s="39" t="s">
        <v>446</v>
      </c>
      <c r="AB20" s="40"/>
      <c r="AC20" s="40"/>
      <c r="AD20" s="40"/>
      <c r="AE20" s="40"/>
      <c r="AJ20" s="39">
        <f t="shared" ref="AJ20:AL20" si="107">+IF(AI18&lt;0,1-AJ18/AI18,AJ18/AI18-1)</f>
        <v>4.3468744228677858E-2</v>
      </c>
      <c r="AK20" s="39">
        <f t="shared" si="107"/>
        <v>2.7046515286590633E-2</v>
      </c>
      <c r="AL20" s="39">
        <f t="shared" si="107"/>
        <v>2.149631728768564E-2</v>
      </c>
      <c r="AM20" s="39">
        <f t="shared" ref="AM20:CI20" si="108">+IF(AL18&lt;0,1-AM18/AL18,AM18/AL18-1)</f>
        <v>8.2020169201354687E-2</v>
      </c>
      <c r="AN20" s="39">
        <f t="shared" si="108"/>
        <v>9.699549005907393E-2</v>
      </c>
      <c r="AO20" s="39">
        <f t="shared" si="108"/>
        <v>4.705479812601987E-2</v>
      </c>
      <c r="AP20" s="39">
        <f t="shared" si="108"/>
        <v>5.7729916695574479E-2</v>
      </c>
      <c r="AQ20" s="39">
        <f t="shared" si="108"/>
        <v>-9.3335297920073002E-2</v>
      </c>
      <c r="AR20" s="39">
        <f t="shared" si="108"/>
        <v>7.1846085292653017E-2</v>
      </c>
      <c r="AS20" s="39">
        <f t="shared" si="108"/>
        <v>7.4611170889171463E-2</v>
      </c>
      <c r="AT20" s="39">
        <f t="shared" si="108"/>
        <v>3.3648135084086261E-2</v>
      </c>
      <c r="AU20" s="39">
        <f t="shared" si="108"/>
        <v>7.2269580992303073E-2</v>
      </c>
      <c r="AV20" s="39">
        <f t="shared" si="108"/>
        <v>8.2691020486939548E-2</v>
      </c>
      <c r="AW20" s="39">
        <f t="shared" si="108"/>
        <v>3.4609228621926835E-2</v>
      </c>
      <c r="AX20" s="39">
        <f t="shared" si="108"/>
        <v>6.8369363193454102E-2</v>
      </c>
      <c r="AY20" s="39">
        <f t="shared" si="108"/>
        <v>7.3258690676758498E-3</v>
      </c>
      <c r="AZ20" s="39">
        <f t="shared" si="108"/>
        <v>1.4088729016786594E-2</v>
      </c>
      <c r="BA20" s="39">
        <f t="shared" si="108"/>
        <v>4.2125735630021754E-2</v>
      </c>
      <c r="BB20" s="39">
        <f t="shared" si="108"/>
        <v>5.3996035391384201E-2</v>
      </c>
      <c r="BC20" s="39">
        <f t="shared" si="108"/>
        <v>-1.1519983363761699E-2</v>
      </c>
      <c r="BD20" s="39">
        <f t="shared" si="108"/>
        <v>5.8546545803297878E-2</v>
      </c>
      <c r="BE20" s="39">
        <f t="shared" si="108"/>
        <v>4.0332715677737774E-4</v>
      </c>
      <c r="BF20" s="39">
        <f t="shared" si="108"/>
        <v>9.6654318535051909E-2</v>
      </c>
      <c r="BG20" s="39">
        <f t="shared" si="108"/>
        <v>1.7739546481394752E-2</v>
      </c>
      <c r="BH20" s="39">
        <f t="shared" si="108"/>
        <v>5.4311777716701259E-2</v>
      </c>
      <c r="BI20" s="39">
        <f t="shared" si="108"/>
        <v>-1.8699849050607731E-2</v>
      </c>
      <c r="BJ20" s="39">
        <f t="shared" si="108"/>
        <v>2.4925870077823653E-2</v>
      </c>
      <c r="BK20" s="39">
        <f t="shared" si="108"/>
        <v>-0.10987055175954819</v>
      </c>
      <c r="BL20" s="39">
        <f t="shared" si="108"/>
        <v>6.9926094371802305E-2</v>
      </c>
      <c r="BM20" s="39">
        <f t="shared" si="108"/>
        <v>9.7529872216894242E-2</v>
      </c>
      <c r="BN20" s="39">
        <f t="shared" si="108"/>
        <v>3.6479956924036161E-2</v>
      </c>
      <c r="BO20" s="39">
        <f t="shared" si="108"/>
        <v>-8.7487610649714553E-2</v>
      </c>
      <c r="BP20" s="39">
        <f t="shared" si="108"/>
        <v>6.9295459539361781E-2</v>
      </c>
      <c r="BQ20" s="39">
        <f t="shared" si="108"/>
        <v>0.11408789463852043</v>
      </c>
      <c r="BR20" s="39">
        <f t="shared" si="108"/>
        <v>7.8252430847395749E-2</v>
      </c>
      <c r="BS20" s="39">
        <f t="shared" si="108"/>
        <v>8.530784497823829E-2</v>
      </c>
      <c r="BT20" s="39">
        <f t="shared" si="108"/>
        <v>5.7804182577608332E-2</v>
      </c>
      <c r="BU20" s="39">
        <f t="shared" si="108"/>
        <v>7.2947515107799177E-2</v>
      </c>
      <c r="BV20" s="39">
        <f t="shared" si="108"/>
        <v>7.58563986674472E-2</v>
      </c>
      <c r="BW20" s="39">
        <f t="shared" si="108"/>
        <v>6.4760854227204234E-2</v>
      </c>
      <c r="BX20" s="39">
        <f t="shared" si="108"/>
        <v>5.1360469713689128E-2</v>
      </c>
      <c r="BY20" s="39">
        <f t="shared" si="108"/>
        <v>7.1506909984787148E-2</v>
      </c>
      <c r="BZ20" s="39">
        <f t="shared" si="108"/>
        <v>2.4674011272490137E-2</v>
      </c>
      <c r="CA20" s="39">
        <f t="shared" si="108"/>
        <v>1.4741264082489991E-2</v>
      </c>
      <c r="CB20" s="39">
        <f t="shared" si="108"/>
        <v>3.6959937525874009E-2</v>
      </c>
      <c r="CC20" s="39">
        <f t="shared" si="108"/>
        <v>3.6900389929431565E-2</v>
      </c>
      <c r="CD20" s="39">
        <f t="shared" si="108"/>
        <v>-9.0677103101725054E-3</v>
      </c>
      <c r="CE20" s="39">
        <f t="shared" si="108"/>
        <v>2.264160107203228E-2</v>
      </c>
      <c r="CF20" s="39">
        <f t="shared" si="108"/>
        <v>3.0903821556362621E-2</v>
      </c>
      <c r="CG20" s="39">
        <f t="shared" si="108"/>
        <v>-1.666342088565842E-2</v>
      </c>
      <c r="CH20" s="39">
        <f t="shared" si="108"/>
        <v>-3.2832146648480443E-2</v>
      </c>
      <c r="CI20" s="39">
        <f t="shared" si="108"/>
        <v>-1.7878846594211795E-2</v>
      </c>
      <c r="CJ20" s="39">
        <f>+IF(CI18&lt;0,1-CJ18/CI18,CJ18/CI18-1)</f>
        <v>2.9151571131358134E-2</v>
      </c>
      <c r="CK20" s="39">
        <f>+IF(CJ18&lt;0,1-CK18/CJ18,CK18/CJ18-1)</f>
        <v>3.8527309601765536E-2</v>
      </c>
      <c r="CL20" s="39">
        <f>+IF(CK18&lt;0,1-CL18/CK18,CL18/CK18-1)</f>
        <v>4.2242368433748512E-2</v>
      </c>
      <c r="CM20" s="40">
        <f t="shared" ref="CM20:DB20" si="109">+IF(CL18&lt;0,1-CM18/CL18,CM18/CL18-1)</f>
        <v>-1.1554961333366087E-2</v>
      </c>
      <c r="CN20" s="40">
        <f t="shared" si="109"/>
        <v>4.9281370721641071E-2</v>
      </c>
      <c r="CO20" s="40">
        <f t="shared" si="109"/>
        <v>4.6120605464813336E-2</v>
      </c>
      <c r="CP20" s="40">
        <f t="shared" si="109"/>
        <v>3.6231180350357883E-2</v>
      </c>
      <c r="CQ20" s="40">
        <f t="shared" si="109"/>
        <v>7.8176441244195427E-3</v>
      </c>
      <c r="CR20" s="40">
        <f t="shared" si="109"/>
        <v>3.9601318871766544E-2</v>
      </c>
      <c r="CS20" s="40">
        <f t="shared" si="109"/>
        <v>3.5131773037101688E-2</v>
      </c>
      <c r="CT20" s="40">
        <f t="shared" si="109"/>
        <v>3.0367477555689915E-2</v>
      </c>
      <c r="CU20" s="40">
        <f t="shared" si="109"/>
        <v>1.2035295829779358E-2</v>
      </c>
      <c r="CV20" s="40">
        <f t="shared" si="109"/>
        <v>1.7182324889762457E-2</v>
      </c>
      <c r="CW20" s="40">
        <f t="shared" si="109"/>
        <v>1.5729250086125024E-2</v>
      </c>
      <c r="CX20" s="40">
        <f t="shared" si="109"/>
        <v>1.4866561706956105E-2</v>
      </c>
      <c r="CY20" s="40">
        <f t="shared" si="109"/>
        <v>-5.0722857061707982E-3</v>
      </c>
      <c r="CZ20" s="40">
        <f t="shared" si="109"/>
        <v>1.047669626947334E-2</v>
      </c>
      <c r="DA20" s="40">
        <f t="shared" si="109"/>
        <v>8.8295066208972095E-3</v>
      </c>
      <c r="DB20" s="40">
        <f t="shared" si="109"/>
        <v>7.1213770337565929E-3</v>
      </c>
      <c r="DE20" s="122"/>
      <c r="DF20" s="39">
        <v>-4.6980715282580743E-3</v>
      </c>
    </row>
    <row r="21" spans="1:110" s="23" customFormat="1" outlineLevel="1" x14ac:dyDescent="0.2">
      <c r="A21" s="23" t="s">
        <v>2</v>
      </c>
      <c r="B21" s="23">
        <f>'Annual Raw'!C11</f>
        <v>-0.17</v>
      </c>
      <c r="C21" s="23">
        <f>'Annual Raw'!D11</f>
        <v>0.77800000000000002</v>
      </c>
      <c r="D21" s="23">
        <f>'Annual Raw'!E11</f>
        <v>0.68830000000000002</v>
      </c>
      <c r="E21" s="23">
        <f>'Annual Raw'!F11</f>
        <v>0.219</v>
      </c>
      <c r="F21" s="23">
        <f>'Annual Raw'!G11</f>
        <v>0.21909999999999999</v>
      </c>
      <c r="G21" s="23">
        <f>'Annual Raw'!H11</f>
        <v>0</v>
      </c>
      <c r="H21" s="23">
        <f>'Annual Raw'!I11</f>
        <v>0</v>
      </c>
      <c r="I21" s="23">
        <f>'Annual Raw'!J11</f>
        <v>0</v>
      </c>
      <c r="J21" s="23">
        <f>'Annual Raw'!K11</f>
        <v>0</v>
      </c>
      <c r="K21" s="23">
        <f>'Annual Raw'!L11</f>
        <v>0</v>
      </c>
      <c r="L21" s="23">
        <f>'Annual Raw'!M11</f>
        <v>-0.50870000000000004</v>
      </c>
      <c r="M21" s="23">
        <f>'Annual Raw'!N11</f>
        <v>0.54979999999999996</v>
      </c>
      <c r="N21" s="23">
        <f>'Annual Raw'!O11</f>
        <v>-0.29089999999999999</v>
      </c>
      <c r="O21" s="23">
        <f>'Annual Raw'!P11</f>
        <v>0.31219999999999998</v>
      </c>
      <c r="P21" s="23">
        <f>'Annual Raw'!Q11</f>
        <v>-0.28899999999999998</v>
      </c>
      <c r="Q21" s="23">
        <f>'Annual Raw'!R11</f>
        <v>0.28899999999999998</v>
      </c>
      <c r="R21" s="23">
        <f>'Annual Raw'!S11</f>
        <v>0</v>
      </c>
      <c r="S21" s="23">
        <f>'Annual Raw'!T11</f>
        <v>0</v>
      </c>
      <c r="T21" s="23">
        <f>'Annual Raw'!U11</f>
        <v>-1.6623000000000001</v>
      </c>
      <c r="U21" s="23">
        <f>'Annual Raw'!V11</f>
        <v>-4.9700000000000001E-2</v>
      </c>
      <c r="V21" s="23">
        <f>'Annual Raw'!W11</f>
        <v>1.6491</v>
      </c>
      <c r="W21" s="23">
        <f>'Annual Raw'!X11</f>
        <v>-0.50460000000000005</v>
      </c>
      <c r="X21" s="23">
        <f>'Annual Raw'!Y11</f>
        <v>0.18129999999999999</v>
      </c>
      <c r="Y21" s="23">
        <f>'Annual Raw'!Z11</f>
        <v>-0.72089999999999999</v>
      </c>
      <c r="Z21" s="23">
        <f>'Annual Raw'!AA11</f>
        <v>1.1071</v>
      </c>
      <c r="AA21" s="23">
        <f>'Annual Raw'!AB11</f>
        <v>0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23">
        <f>'QTR Raw'!C10</f>
        <v>1.2E-2</v>
      </c>
      <c r="AJ21" s="23">
        <f>'QTR Raw'!D10</f>
        <v>-6.0000000000000001E-3</v>
      </c>
      <c r="AK21" s="23">
        <f>'QTR Raw'!E10</f>
        <v>-0.63200000000000001</v>
      </c>
      <c r="AL21" s="23">
        <f>'QTR Raw'!F10</f>
        <v>0.33500000000000002</v>
      </c>
      <c r="AM21" s="23">
        <f>'QTR Raw'!G10</f>
        <v>0.19900000000000001</v>
      </c>
      <c r="AN21" s="23">
        <f>'QTR Raw'!H10</f>
        <v>-0.2</v>
      </c>
      <c r="AO21" s="23">
        <f>'QTR Raw'!I10</f>
        <v>0.08</v>
      </c>
      <c r="AP21" s="23">
        <f>'QTR Raw'!J10</f>
        <v>0.23300000000000001</v>
      </c>
      <c r="AQ21" s="23">
        <f>'QTR Raw'!K10</f>
        <v>0</v>
      </c>
      <c r="AR21" s="23">
        <f>'QTR Raw'!L10</f>
        <v>-5.2999999999999999E-2</v>
      </c>
      <c r="AS21" s="23">
        <f>'QTR Raw'!M10</f>
        <v>-0.129</v>
      </c>
      <c r="AT21" s="23">
        <f>'QTR Raw'!N10</f>
        <v>-0.107</v>
      </c>
      <c r="AU21" s="23">
        <f>'QTR Raw'!O10</f>
        <v>0.23300000000000001</v>
      </c>
      <c r="AV21" s="23">
        <f>'QTR Raw'!P10</f>
        <v>0</v>
      </c>
      <c r="AW21" s="23">
        <f>'QTR Raw'!Q10</f>
        <v>5.5E-2</v>
      </c>
      <c r="AX21" s="23">
        <f>'QTR Raw'!R10</f>
        <v>0</v>
      </c>
      <c r="AY21" s="23">
        <f>'QTR Raw'!S10</f>
        <v>0</v>
      </c>
      <c r="AZ21" s="23">
        <f>'QTR Raw'!T10</f>
        <v>0</v>
      </c>
      <c r="BA21" s="23">
        <f>'QTR Raw'!U10</f>
        <v>-5.0000000000000001E-3</v>
      </c>
      <c r="BB21" s="23">
        <f>'QTR Raw'!V10</f>
        <v>5.0000000000000001E-3</v>
      </c>
      <c r="BC21" s="23">
        <f>'QTR Raw'!W10</f>
        <v>-8.5999999999999993E-2</v>
      </c>
      <c r="BD21" s="23">
        <f>'QTR Raw'!X10</f>
        <v>8.5999999999999993E-2</v>
      </c>
      <c r="BE21" s="23">
        <f>'QTR Raw'!Y10</f>
        <v>0</v>
      </c>
      <c r="BF21" s="23">
        <f>'QTR Raw'!Z10</f>
        <v>0</v>
      </c>
      <c r="BG21" s="23">
        <f>'QTR Raw'!AA10</f>
        <v>0</v>
      </c>
      <c r="BH21" s="23">
        <f>'QTR Raw'!AB10</f>
        <v>0</v>
      </c>
      <c r="BI21" s="23">
        <f>'QTR Raw'!AC10</f>
        <v>0</v>
      </c>
      <c r="BJ21" s="23">
        <f>'QTR Raw'!AD10</f>
        <v>-1.6619999999999999</v>
      </c>
      <c r="BK21" s="23">
        <f>'QTR Raw'!AE10</f>
        <v>0.47299999999999998</v>
      </c>
      <c r="BL21" s="23">
        <f>'QTR Raw'!AF10</f>
        <v>-0.154</v>
      </c>
      <c r="BM21" s="23">
        <f>'QTR Raw'!AG10</f>
        <v>0.503</v>
      </c>
      <c r="BN21" s="23">
        <f>'QTR Raw'!AH10</f>
        <v>-0.872</v>
      </c>
      <c r="BO21" s="23">
        <f>'QTR Raw'!AI10</f>
        <v>0.90900000000000003</v>
      </c>
      <c r="BP21" s="23">
        <f>'QTR Raw'!AJ10</f>
        <v>0.80300000000000005</v>
      </c>
      <c r="BQ21" s="23">
        <f>'QTR Raw'!AK10</f>
        <v>0</v>
      </c>
      <c r="BR21" s="23">
        <f>'QTR Raw'!AL10</f>
        <v>-6.3E-2</v>
      </c>
      <c r="BS21" s="23">
        <f>'QTR Raw'!AM10</f>
        <v>6.3E-2</v>
      </c>
      <c r="BT21" s="23">
        <f>'QTR Raw'!AN10</f>
        <v>0</v>
      </c>
      <c r="BU21" s="23">
        <f>'QTR Raw'!AO10</f>
        <v>0</v>
      </c>
      <c r="BV21" s="23">
        <f>'QTR Raw'!AP10</f>
        <v>-0.56799999999999995</v>
      </c>
      <c r="BW21" s="23">
        <f>'QTR Raw'!AQ10</f>
        <v>0.56000000000000005</v>
      </c>
      <c r="BX21" s="23">
        <f>'QTR Raw'!AR10</f>
        <v>-0.03</v>
      </c>
      <c r="BY21" s="23">
        <f>'QTR Raw'!AS10</f>
        <v>-1.1040000000000001</v>
      </c>
      <c r="BZ21" s="23">
        <f>'QTR Raw'!AT10</f>
        <v>0.75600000000000001</v>
      </c>
      <c r="CA21" s="23">
        <f>'QTR Raw'!AU10</f>
        <v>0.17499999999999999</v>
      </c>
      <c r="CB21" s="23">
        <f>'QTR Raw'!AV10</f>
        <v>0</v>
      </c>
      <c r="CC21" s="23">
        <f>'QTR Raw'!AW10</f>
        <v>0.21099999999999999</v>
      </c>
      <c r="CD21" s="23">
        <f>'QTR Raw'!AX10</f>
        <v>-1.107</v>
      </c>
      <c r="CE21" s="23">
        <f>'QTR Raw'!AY10</f>
        <v>1.107</v>
      </c>
      <c r="CF21" s="23">
        <f>'QTR Raw'!AZ10</f>
        <v>0</v>
      </c>
      <c r="CG21" s="23">
        <f>'QTR Raw'!BA10</f>
        <v>0</v>
      </c>
      <c r="CH21" s="23">
        <f>'QTR Raw'!BB10</f>
        <v>0</v>
      </c>
      <c r="CI21" s="23">
        <f>'QTR Raw'!BC10</f>
        <v>0</v>
      </c>
      <c r="CJ21" s="23">
        <f>'QTR Raw'!BD10</f>
        <v>0</v>
      </c>
      <c r="CK21" s="23">
        <f>'QTR Raw'!BE10</f>
        <v>0</v>
      </c>
      <c r="CL21" s="23">
        <f>'QTR Raw'!BF10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3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>
        <f>'QTR Raw'!C12</f>
        <v>14.545</v>
      </c>
      <c r="AJ22" s="23">
        <f>'QTR Raw'!D12</f>
        <v>16.946000000000002</v>
      </c>
      <c r="AK22" s="23">
        <f>'QTR Raw'!E12</f>
        <v>14.137</v>
      </c>
      <c r="AL22" s="23">
        <f>'QTR Raw'!F12</f>
        <v>14.058999999999999</v>
      </c>
      <c r="AM22" s="23">
        <f>'QTR Raw'!G12</f>
        <v>25.067</v>
      </c>
      <c r="AN22" s="23">
        <f>'QTR Raw'!H12</f>
        <v>12.887</v>
      </c>
      <c r="AO22" s="23">
        <f>'QTR Raw'!I12</f>
        <v>13.340999999999999</v>
      </c>
      <c r="AP22" s="23">
        <f>'QTR Raw'!J12</f>
        <v>23.64</v>
      </c>
      <c r="AQ22" s="23">
        <f>'QTR Raw'!K12</f>
        <v>15.96</v>
      </c>
      <c r="AR22" s="23">
        <f>'QTR Raw'!L12</f>
        <v>16.795999999999999</v>
      </c>
      <c r="AS22" s="23">
        <f>'QTR Raw'!M12</f>
        <v>19.391999999999999</v>
      </c>
      <c r="AT22" s="23">
        <f>'QTR Raw'!N12</f>
        <v>23.349</v>
      </c>
      <c r="AU22" s="23">
        <f>'QTR Raw'!O12</f>
        <v>16.837</v>
      </c>
      <c r="AV22" s="23">
        <f>'QTR Raw'!P12</f>
        <v>17.338000000000001</v>
      </c>
      <c r="AW22" s="23">
        <f>'QTR Raw'!Q12</f>
        <v>14.167</v>
      </c>
      <c r="AX22" s="23">
        <f>'QTR Raw'!R12</f>
        <v>21.347999999999999</v>
      </c>
      <c r="AY22" s="23">
        <f>'QTR Raw'!S12</f>
        <v>17.974</v>
      </c>
      <c r="AZ22" s="23">
        <f>'QTR Raw'!T12</f>
        <v>16.780999999999999</v>
      </c>
      <c r="BA22" s="23">
        <f>'QTR Raw'!U12</f>
        <v>15.397</v>
      </c>
      <c r="BB22" s="23">
        <f>'QTR Raw'!V12</f>
        <v>26.346</v>
      </c>
      <c r="BC22" s="23">
        <f>'QTR Raw'!W12</f>
        <v>19.212</v>
      </c>
      <c r="BD22" s="23">
        <f>'QTR Raw'!X12</f>
        <v>20.806999999999999</v>
      </c>
      <c r="BE22" s="23">
        <f>'QTR Raw'!Y12</f>
        <v>15.334</v>
      </c>
      <c r="BF22" s="23">
        <f>'QTR Raw'!Z12</f>
        <v>21.934000000000001</v>
      </c>
      <c r="BG22" s="23">
        <f>'QTR Raw'!AA12</f>
        <v>22.843</v>
      </c>
      <c r="BH22" s="23">
        <f>'QTR Raw'!AB12</f>
        <v>22.57</v>
      </c>
      <c r="BI22" s="23">
        <f>'QTR Raw'!AC12</f>
        <v>23.163</v>
      </c>
      <c r="BJ22" s="23">
        <f>'QTR Raw'!AD12</f>
        <v>31.986999999999998</v>
      </c>
      <c r="BK22" s="23">
        <f>'QTR Raw'!AE12</f>
        <v>14.78</v>
      </c>
      <c r="BL22" s="23">
        <f>'QTR Raw'!AF12</f>
        <v>23.233000000000001</v>
      </c>
      <c r="BM22" s="23">
        <f>'QTR Raw'!AG12</f>
        <v>21.675999999999998</v>
      </c>
      <c r="BN22" s="23">
        <f>'QTR Raw'!AH12</f>
        <v>0</v>
      </c>
      <c r="BO22" s="23">
        <f>'QTR Raw'!AI12</f>
        <v>0</v>
      </c>
      <c r="BP22" s="23">
        <f>'QTR Raw'!AJ12</f>
        <v>0</v>
      </c>
      <c r="BQ22" s="23">
        <f>'QTR Raw'!AK12</f>
        <v>0</v>
      </c>
      <c r="BR22" s="23">
        <f>'QTR Raw'!AL12</f>
        <v>0</v>
      </c>
      <c r="BS22" s="23">
        <f>'QTR Raw'!AM12</f>
        <v>0</v>
      </c>
      <c r="BT22" s="23">
        <f>'QTR Raw'!AN12</f>
        <v>0</v>
      </c>
      <c r="BU22" s="23">
        <f>'QTR Raw'!AO12</f>
        <v>0</v>
      </c>
      <c r="BV22" s="23">
        <f>'QTR Raw'!AP12</f>
        <v>0</v>
      </c>
      <c r="BW22" s="23">
        <f>'QTR Raw'!AQ12</f>
        <v>0</v>
      </c>
      <c r="BX22" s="23">
        <f>'QTR Raw'!AR12</f>
        <v>0</v>
      </c>
      <c r="BY22" s="23">
        <f>'QTR Raw'!AS12</f>
        <v>0</v>
      </c>
      <c r="BZ22" s="23">
        <f>'QTR Raw'!AT12</f>
        <v>0</v>
      </c>
      <c r="CA22" s="23">
        <f>'QTR Raw'!AU12</f>
        <v>0</v>
      </c>
      <c r="CB22" s="23">
        <f>'QTR Raw'!AV12</f>
        <v>0</v>
      </c>
      <c r="CC22" s="23">
        <f>'QTR Raw'!AW12</f>
        <v>0</v>
      </c>
      <c r="CD22" s="23">
        <f>'QTR Raw'!AX12</f>
        <v>0</v>
      </c>
      <c r="CE22" s="23">
        <f>'QTR Raw'!AY12</f>
        <v>0</v>
      </c>
      <c r="CF22" s="23">
        <f>'QTR Raw'!AZ12</f>
        <v>0</v>
      </c>
      <c r="CG22" s="23">
        <f>'QTR Raw'!BA12</f>
        <v>0</v>
      </c>
      <c r="CH22" s="23">
        <f>'QTR Raw'!BB12</f>
        <v>0</v>
      </c>
      <c r="CI22" s="23">
        <f>'QTR Raw'!BC12</f>
        <v>0</v>
      </c>
      <c r="CJ22" s="23">
        <f>'QTR Raw'!BD12</f>
        <v>0</v>
      </c>
      <c r="CK22" s="23">
        <f>'QTR Raw'!BE12</f>
        <v>0</v>
      </c>
      <c r="CL22" s="23">
        <f>'QTR Raw'!BF12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4</v>
      </c>
      <c r="B23" s="23">
        <f>'Annual Raw'!C12</f>
        <v>60.078699999999998</v>
      </c>
      <c r="C23" s="23">
        <f>'Annual Raw'!D12</f>
        <v>42.341799999999999</v>
      </c>
      <c r="D23" s="23">
        <f>'Annual Raw'!E12</f>
        <v>14.739599999999999</v>
      </c>
      <c r="E23" s="23">
        <f>'Annual Raw'!F12</f>
        <v>40.104999999999997</v>
      </c>
      <c r="F23" s="23">
        <f>'Annual Raw'!G12</f>
        <v>26.4834</v>
      </c>
      <c r="G23" s="23">
        <f>'Annual Raw'!H12</f>
        <v>32.117600000000003</v>
      </c>
      <c r="H23" s="23">
        <f>'Annual Raw'!I12</f>
        <v>21.610299999999999</v>
      </c>
      <c r="I23" s="23">
        <f>'Annual Raw'!J12</f>
        <v>31.388000000000002</v>
      </c>
      <c r="J23" s="23">
        <f>'Annual Raw'!K12</f>
        <v>17.1404</v>
      </c>
      <c r="K23" s="23">
        <f>'Annual Raw'!L12</f>
        <v>26.225300000000001</v>
      </c>
      <c r="L23" s="23">
        <f>'Annual Raw'!M12</f>
        <v>22.592199999999998</v>
      </c>
      <c r="M23" s="23">
        <f>'Annual Raw'!N12</f>
        <v>43.588900000000002</v>
      </c>
      <c r="N23" s="23">
        <f>'Annual Raw'!O12</f>
        <v>30.002199999999998</v>
      </c>
      <c r="O23" s="23">
        <f>'Annual Raw'!P12</f>
        <v>42.488100000000003</v>
      </c>
      <c r="P23" s="23">
        <f>'Annual Raw'!Q12</f>
        <v>24.637</v>
      </c>
      <c r="Q23" s="23">
        <f>'Annual Raw'!R12</f>
        <v>25.645900000000001</v>
      </c>
      <c r="R23" s="23">
        <f>'Annual Raw'!S12</f>
        <v>22.852499999999999</v>
      </c>
      <c r="S23" s="23">
        <f>'Annual Raw'!T12</f>
        <v>18.660399999999999</v>
      </c>
      <c r="T23" s="23">
        <f>'Annual Raw'!U12</f>
        <v>14.7441</v>
      </c>
      <c r="U23" s="23">
        <f>'Annual Raw'!V12</f>
        <v>12.576700000000001</v>
      </c>
      <c r="V23" s="23">
        <f>'Annual Raw'!W12</f>
        <v>12.0375</v>
      </c>
      <c r="W23" s="23">
        <f>'Annual Raw'!X12</f>
        <v>13.138299999999999</v>
      </c>
      <c r="X23" s="23">
        <f>'Annual Raw'!Y12</f>
        <v>21.031700000000001</v>
      </c>
      <c r="Y23" s="23">
        <f>'Annual Raw'!Z12</f>
        <v>18.315899999999999</v>
      </c>
      <c r="Z23" s="23">
        <f>'Annual Raw'!AA12</f>
        <v>23.675899999999999</v>
      </c>
      <c r="AA23" s="23">
        <f>'Annual Raw'!AB12</f>
        <v>17.368200000000002</v>
      </c>
      <c r="AB23" s="24">
        <f>+SUM(CM23:CP23)</f>
        <v>244.54621977652027</v>
      </c>
      <c r="AC23" s="24">
        <f>+SUM(CQ23:CT23)</f>
        <v>270.33105776629077</v>
      </c>
      <c r="AD23" s="24">
        <f>+SUM(CU23:CX23)</f>
        <v>292.85735693854235</v>
      </c>
      <c r="AE23" s="24">
        <f>+SUM(CY23:DB23)</f>
        <v>302.06038977772823</v>
      </c>
      <c r="AI23" s="23">
        <f>'QTR Raw'!C11</f>
        <v>0</v>
      </c>
      <c r="AJ23" s="23">
        <f>'QTR Raw'!D11</f>
        <v>0</v>
      </c>
      <c r="AK23" s="23">
        <f>'QTR Raw'!E11</f>
        <v>0</v>
      </c>
      <c r="AL23" s="23">
        <f>'QTR Raw'!F11</f>
        <v>0</v>
      </c>
      <c r="AM23" s="23">
        <f>'QTR Raw'!G11</f>
        <v>0</v>
      </c>
      <c r="AN23" s="23">
        <f>'QTR Raw'!H11</f>
        <v>0</v>
      </c>
      <c r="AO23" s="23">
        <f>'QTR Raw'!I11</f>
        <v>0</v>
      </c>
      <c r="AP23" s="23">
        <f>'QTR Raw'!J11</f>
        <v>0</v>
      </c>
      <c r="AQ23" s="23">
        <f>'QTR Raw'!K11</f>
        <v>0</v>
      </c>
      <c r="AR23" s="23">
        <f>'QTR Raw'!L11</f>
        <v>0</v>
      </c>
      <c r="AS23" s="23">
        <f>'QTR Raw'!M11</f>
        <v>0</v>
      </c>
      <c r="AT23" s="23">
        <f>'QTR Raw'!N11</f>
        <v>0</v>
      </c>
      <c r="AU23" s="23">
        <f>'QTR Raw'!O11</f>
        <v>0</v>
      </c>
      <c r="AV23" s="23">
        <f>'QTR Raw'!P11</f>
        <v>0</v>
      </c>
      <c r="AW23" s="23">
        <f>'QTR Raw'!Q11</f>
        <v>0</v>
      </c>
      <c r="AX23" s="23">
        <f>'QTR Raw'!R11</f>
        <v>0</v>
      </c>
      <c r="AY23" s="23">
        <f>'QTR Raw'!S11</f>
        <v>0</v>
      </c>
      <c r="AZ23" s="23">
        <f>'QTR Raw'!T11</f>
        <v>0</v>
      </c>
      <c r="BA23" s="23">
        <f>'QTR Raw'!U11</f>
        <v>0</v>
      </c>
      <c r="BB23" s="23">
        <f>'QTR Raw'!V11</f>
        <v>0</v>
      </c>
      <c r="BC23" s="23">
        <f>'QTR Raw'!W11</f>
        <v>0</v>
      </c>
      <c r="BD23" s="23">
        <f>'QTR Raw'!X11</f>
        <v>0</v>
      </c>
      <c r="BE23" s="23">
        <f>'QTR Raw'!Y11</f>
        <v>0</v>
      </c>
      <c r="BF23" s="23">
        <f>'QTR Raw'!Z11</f>
        <v>0</v>
      </c>
      <c r="BG23" s="23">
        <f>'QTR Raw'!AA11</f>
        <v>0</v>
      </c>
      <c r="BH23" s="23">
        <f>'QTR Raw'!AB11</f>
        <v>0</v>
      </c>
      <c r="BI23" s="23">
        <f>'QTR Raw'!AC11</f>
        <v>0</v>
      </c>
      <c r="BJ23" s="23">
        <f>'QTR Raw'!AD11</f>
        <v>0</v>
      </c>
      <c r="BK23" s="23">
        <f>'QTR Raw'!AE11</f>
        <v>0</v>
      </c>
      <c r="BL23" s="23">
        <f>'QTR Raw'!AF11</f>
        <v>0</v>
      </c>
      <c r="BM23" s="23">
        <f>'QTR Raw'!AG11</f>
        <v>0</v>
      </c>
      <c r="BN23" s="23">
        <f>'QTR Raw'!AH11</f>
        <v>21.436</v>
      </c>
      <c r="BO23" s="23">
        <f>'QTR Raw'!AI11</f>
        <v>14.407999999999999</v>
      </c>
      <c r="BP23" s="23">
        <f>'QTR Raw'!AJ11</f>
        <v>18.260000000000002</v>
      </c>
      <c r="BQ23" s="23">
        <f>'QTR Raw'!AK11</f>
        <v>21.829000000000001</v>
      </c>
      <c r="BR23" s="23">
        <f>'QTR Raw'!AL11</f>
        <v>30.895</v>
      </c>
      <c r="BS23" s="23">
        <f>'QTR Raw'!AM11</f>
        <v>39.656999999999996</v>
      </c>
      <c r="BT23" s="23">
        <f>'QTR Raw'!AN11</f>
        <v>30.312999999999999</v>
      </c>
      <c r="BU23" s="23">
        <f>'QTR Raw'!AO11</f>
        <v>22.286999999999999</v>
      </c>
      <c r="BV23" s="23">
        <f>'QTR Raw'!AP11</f>
        <v>34.445999999999998</v>
      </c>
      <c r="BW23" s="23">
        <f>'QTR Raw'!AQ11</f>
        <v>39.186</v>
      </c>
      <c r="BX23" s="23">
        <f>'QTR Raw'!AR11</f>
        <v>41.6</v>
      </c>
      <c r="BY23" s="23">
        <f>'QTR Raw'!AS11</f>
        <v>50.258000000000003</v>
      </c>
      <c r="BZ23" s="23">
        <f>'QTR Raw'!AT11</f>
        <v>55.072000000000003</v>
      </c>
      <c r="CA23" s="23">
        <f>'QTR Raw'!AU11</f>
        <v>58.005000000000003</v>
      </c>
      <c r="CB23" s="23">
        <f>'QTR Raw'!AV11</f>
        <v>49.857999999999997</v>
      </c>
      <c r="CC23" s="23">
        <f>'QTR Raw'!AW11</f>
        <v>44.323999999999998</v>
      </c>
      <c r="CD23" s="23">
        <f>'QTR Raw'!AX11</f>
        <v>41.878999999999998</v>
      </c>
      <c r="CE23" s="23">
        <f>'QTR Raw'!AY11</f>
        <v>49.296999999999997</v>
      </c>
      <c r="CF23" s="23">
        <f>'QTR Raw'!AZ11</f>
        <v>59.19</v>
      </c>
      <c r="CG23" s="23">
        <f>'QTR Raw'!BA11</f>
        <v>56.023000000000003</v>
      </c>
      <c r="CH23" s="23">
        <f>'QTR Raw'!BB11</f>
        <v>74.152000000000001</v>
      </c>
      <c r="CI23" s="23">
        <f>'QTR Raw'!BC11</f>
        <v>66.540000000000006</v>
      </c>
      <c r="CJ23" s="23">
        <f>'QTR Raw'!BD11</f>
        <v>72.36</v>
      </c>
      <c r="CK23" s="23">
        <f>'QTR Raw'!BE11</f>
        <v>66.39</v>
      </c>
      <c r="CL23" s="23">
        <f>'QTR Raw'!BF11</f>
        <v>70.478999999999999</v>
      </c>
      <c r="CM23" s="24">
        <f t="shared" ref="CM23:DB23" si="110">+CM18-CM24</f>
        <v>62.362967418827111</v>
      </c>
      <c r="CN23" s="24">
        <f t="shared" si="110"/>
        <v>62.576264584173373</v>
      </c>
      <c r="CO23" s="24">
        <f t="shared" si="110"/>
        <v>60.583157964248244</v>
      </c>
      <c r="CP23" s="24">
        <f t="shared" si="110"/>
        <v>59.023829809271547</v>
      </c>
      <c r="CQ23" s="24">
        <f t="shared" si="110"/>
        <v>65.651893010960293</v>
      </c>
      <c r="CR23" s="24">
        <f t="shared" si="110"/>
        <v>66.734733566213208</v>
      </c>
      <c r="CS23" s="24">
        <f t="shared" si="110"/>
        <v>67.956904931234476</v>
      </c>
      <c r="CT23" s="24">
        <f t="shared" si="110"/>
        <v>69.987526257882791</v>
      </c>
      <c r="CU23" s="24">
        <f t="shared" si="110"/>
        <v>71.849488259653981</v>
      </c>
      <c r="CV23" s="24">
        <f t="shared" si="110"/>
        <v>72.620786113137456</v>
      </c>
      <c r="CW23" s="24">
        <f t="shared" si="110"/>
        <v>73.597858139195068</v>
      </c>
      <c r="CX23" s="24">
        <f t="shared" si="110"/>
        <v>74.789224426555847</v>
      </c>
      <c r="CY23" s="24">
        <f t="shared" si="110"/>
        <v>74.539505297042979</v>
      </c>
      <c r="CZ23" s="24">
        <f t="shared" si="110"/>
        <v>75.215457747522578</v>
      </c>
      <c r="DA23" s="24">
        <f t="shared" si="110"/>
        <v>75.86827521319924</v>
      </c>
      <c r="DB23" s="24">
        <f t="shared" si="110"/>
        <v>76.437151519963436</v>
      </c>
      <c r="DE23" s="123"/>
      <c r="DF23" s="23">
        <v>62.792056493903829</v>
      </c>
    </row>
    <row r="24" spans="1:110" s="31" customFormat="1" x14ac:dyDescent="0.2">
      <c r="A24" s="31" t="s">
        <v>5</v>
      </c>
      <c r="B24" s="31">
        <f t="shared" ref="B24:T24" si="111">B18-B21-B23-B22</f>
        <v>76.831699999999984</v>
      </c>
      <c r="C24" s="31">
        <f t="shared" si="111"/>
        <v>86.686599999999999</v>
      </c>
      <c r="D24" s="31">
        <f t="shared" si="111"/>
        <v>94.176200000000009</v>
      </c>
      <c r="E24" s="31">
        <f t="shared" si="111"/>
        <v>113.15650000000002</v>
      </c>
      <c r="F24" s="31">
        <f t="shared" si="111"/>
        <v>159.07150000000001</v>
      </c>
      <c r="G24" s="31">
        <f t="shared" si="111"/>
        <v>203.51419999999999</v>
      </c>
      <c r="H24" s="31">
        <f t="shared" si="111"/>
        <v>286.35270000000003</v>
      </c>
      <c r="I24" s="31">
        <f t="shared" si="111"/>
        <v>370.62569999999999</v>
      </c>
      <c r="J24" s="31">
        <f t="shared" si="111"/>
        <v>402.22109999999998</v>
      </c>
      <c r="K24" s="31">
        <f t="shared" si="111"/>
        <v>361.94720000000001</v>
      </c>
      <c r="L24" s="31">
        <f t="shared" si="111"/>
        <v>393.82769999999999</v>
      </c>
      <c r="M24" s="31">
        <f t="shared" si="111"/>
        <v>494.56869999999998</v>
      </c>
      <c r="N24" s="31">
        <f t="shared" si="111"/>
        <v>591.95989999999995</v>
      </c>
      <c r="O24" s="31">
        <f t="shared" si="111"/>
        <v>731.98540000000003</v>
      </c>
      <c r="P24" s="31">
        <f t="shared" si="111"/>
        <v>825.05310000000009</v>
      </c>
      <c r="Q24" s="31">
        <f t="shared" si="111"/>
        <v>1049.2712000000001</v>
      </c>
      <c r="R24" s="31">
        <f t="shared" si="111"/>
        <v>1214.4598000000001</v>
      </c>
      <c r="S24" s="31">
        <f t="shared" si="111"/>
        <v>1367.6351</v>
      </c>
      <c r="T24" s="31">
        <f t="shared" si="111"/>
        <v>1583.8498</v>
      </c>
      <c r="U24" s="31">
        <f t="shared" ref="U24:Z24" si="112">U18-U21-U23-U22</f>
        <v>1597.3334</v>
      </c>
      <c r="V24" s="31">
        <f t="shared" si="112"/>
        <v>1812.4730999999999</v>
      </c>
      <c r="W24" s="31">
        <f t="shared" si="112"/>
        <v>2458.1655000000001</v>
      </c>
      <c r="X24" s="31">
        <f t="shared" si="112"/>
        <v>3123.5094999999997</v>
      </c>
      <c r="Y24" s="31">
        <f t="shared" si="112"/>
        <v>3534.5506999999998</v>
      </c>
      <c r="Z24" s="31">
        <f t="shared" si="112"/>
        <v>3704.2652999999996</v>
      </c>
      <c r="AA24" s="31">
        <f t="shared" ref="AA24" si="113">AA18-AA21-AA23-AA22</f>
        <v>3740.0554999999999</v>
      </c>
      <c r="AB24" s="32">
        <f t="shared" ref="AA24:AD24" si="114">AB18-AB21-AB23-AB22</f>
        <v>3963.8849836529171</v>
      </c>
      <c r="AC24" s="32">
        <f t="shared" si="114"/>
        <v>4486.5331575834925</v>
      </c>
      <c r="AD24" s="32">
        <f t="shared" si="114"/>
        <v>4886.3183395746619</v>
      </c>
      <c r="AE24" s="32">
        <f t="shared" ref="AE24" si="115">AE18-AE21-AE23-AE22</f>
        <v>5045.1222300286254</v>
      </c>
      <c r="AI24" s="31">
        <f t="shared" ref="AI24" si="116">AI18-AI21-AI23-AI22</f>
        <v>131.64000000000001</v>
      </c>
      <c r="AJ24" s="31">
        <f t="shared" ref="AJ24" si="117">AJ18-AJ21-AJ23-AJ22</f>
        <v>135.61200000000002</v>
      </c>
      <c r="AK24" s="31">
        <f t="shared" ref="AK24:AM24" si="118">AK18-AK21-AK23-AK22</f>
        <v>143.173</v>
      </c>
      <c r="AL24" s="31">
        <f t="shared" si="118"/>
        <v>145.65199999999999</v>
      </c>
      <c r="AM24" s="31">
        <f t="shared" si="118"/>
        <v>147.90699999999998</v>
      </c>
      <c r="AN24" s="31">
        <f t="shared" ref="AN24:AO24" si="119">AN18-AN21-AN23-AN22</f>
        <v>177.28299999999999</v>
      </c>
      <c r="AO24" s="31">
        <f t="shared" si="119"/>
        <v>185.48799999999997</v>
      </c>
      <c r="AP24" s="31">
        <f t="shared" ref="AP24:CD24" si="120">AP18-AP21-AP23-AP22</f>
        <v>186.51900000000001</v>
      </c>
      <c r="AQ24" s="31">
        <f t="shared" si="120"/>
        <v>174.79499999999999</v>
      </c>
      <c r="AR24" s="31">
        <f t="shared" si="120"/>
        <v>187.71700000000001</v>
      </c>
      <c r="AS24" s="31">
        <f t="shared" si="120"/>
        <v>200.452</v>
      </c>
      <c r="AT24" s="31">
        <f t="shared" si="120"/>
        <v>203.86600000000001</v>
      </c>
      <c r="AU24" s="31">
        <f t="shared" si="120"/>
        <v>226.45099999999999</v>
      </c>
      <c r="AV24" s="31">
        <f t="shared" si="120"/>
        <v>246.32000000000002</v>
      </c>
      <c r="AW24" s="31">
        <f t="shared" si="120"/>
        <v>258.56100000000004</v>
      </c>
      <c r="AX24" s="31">
        <f t="shared" si="120"/>
        <v>270.08499999999998</v>
      </c>
      <c r="AY24" s="31">
        <f t="shared" si="120"/>
        <v>275.59399999999999</v>
      </c>
      <c r="AZ24" s="31">
        <f t="shared" si="120"/>
        <v>280.923</v>
      </c>
      <c r="BA24" s="31">
        <f t="shared" si="120"/>
        <v>294.85300000000001</v>
      </c>
      <c r="BB24" s="31">
        <f t="shared" si="120"/>
        <v>300.64600000000002</v>
      </c>
      <c r="BC24" s="31">
        <f t="shared" si="120"/>
        <v>304.10400000000004</v>
      </c>
      <c r="BD24" s="31">
        <f t="shared" si="120"/>
        <v>321.26099999999997</v>
      </c>
      <c r="BE24" s="31">
        <f t="shared" si="120"/>
        <v>326.95799999999997</v>
      </c>
      <c r="BF24" s="31">
        <f t="shared" si="120"/>
        <v>353.44199999999995</v>
      </c>
      <c r="BG24" s="31">
        <f t="shared" si="120"/>
        <v>359.19200000000001</v>
      </c>
      <c r="BH24" s="31">
        <f t="shared" si="120"/>
        <v>380.214</v>
      </c>
      <c r="BI24" s="31">
        <f t="shared" si="120"/>
        <v>372.089</v>
      </c>
      <c r="BJ24" s="31">
        <f t="shared" si="120"/>
        <v>374.77899999999994</v>
      </c>
      <c r="BK24" s="31">
        <f t="shared" si="120"/>
        <v>345.34199999999998</v>
      </c>
      <c r="BL24" s="31">
        <f t="shared" si="120"/>
        <v>362.73099999999999</v>
      </c>
      <c r="BM24" s="31">
        <f t="shared" si="120"/>
        <v>401.25900000000001</v>
      </c>
      <c r="BN24" s="31">
        <f t="shared" si="120"/>
        <v>418.32100000000003</v>
      </c>
      <c r="BO24" s="31">
        <f t="shared" si="120"/>
        <v>385.17099999999999</v>
      </c>
      <c r="BP24" s="31">
        <f t="shared" si="120"/>
        <v>409.17699999999996</v>
      </c>
      <c r="BQ24" s="31">
        <f t="shared" si="120"/>
        <v>455.26799999999997</v>
      </c>
      <c r="BR24" s="31">
        <f t="shared" si="120"/>
        <v>483.59899999999993</v>
      </c>
      <c r="BS24" s="31">
        <f t="shared" si="120"/>
        <v>518.596</v>
      </c>
      <c r="BT24" s="31">
        <f t="shared" si="120"/>
        <v>560.27600000000007</v>
      </c>
      <c r="BU24" s="31">
        <f t="shared" si="120"/>
        <v>611.38400000000001</v>
      </c>
      <c r="BV24" s="31">
        <f t="shared" si="120"/>
        <v>647.86099999999999</v>
      </c>
      <c r="BW24" s="31">
        <f t="shared" si="120"/>
        <v>686.14300000000003</v>
      </c>
      <c r="BX24" s="31">
        <f t="shared" si="120"/>
        <v>721.601</v>
      </c>
      <c r="BY24" s="31">
        <f t="shared" si="120"/>
        <v>768.58900000000006</v>
      </c>
      <c r="BZ24" s="31">
        <f t="shared" si="120"/>
        <v>782.09199999999998</v>
      </c>
      <c r="CA24" s="31">
        <f t="shared" si="120"/>
        <v>792.0920000000001</v>
      </c>
      <c r="CB24" s="31">
        <f t="shared" si="120"/>
        <v>831.84</v>
      </c>
      <c r="CC24" s="31">
        <f t="shared" si="120"/>
        <v>869.69799999999998</v>
      </c>
      <c r="CD24" s="31">
        <f t="shared" si="120"/>
        <v>865.17099999999994</v>
      </c>
      <c r="CE24" s="31">
        <f t="shared" ref="CE24:CF24" si="121">CE18-CE21-CE23-CE22</f>
        <v>876.05100000000004</v>
      </c>
      <c r="CF24" s="31">
        <f t="shared" si="121"/>
        <v>895.89599999999996</v>
      </c>
      <c r="CG24" s="31">
        <f t="shared" ref="CG24:CH24" si="122">CG18-CG21-CG23-CG22</f>
        <v>883.14800000000002</v>
      </c>
      <c r="CH24" s="31">
        <f t="shared" si="122"/>
        <v>834.18399999999997</v>
      </c>
      <c r="CI24" s="31">
        <f t="shared" ref="CI24:CJ24" si="123">CI18-CI21-CI23-CI22</f>
        <v>825.55600000000004</v>
      </c>
      <c r="CJ24" s="31">
        <f t="shared" si="123"/>
        <v>845.74199999999996</v>
      </c>
      <c r="CK24" s="31">
        <f t="shared" ref="CK24:CL24" si="124">CK18-CK21-CK23-CK22</f>
        <v>887.08400000000006</v>
      </c>
      <c r="CL24" s="31">
        <f t="shared" si="124"/>
        <v>923.27199999999993</v>
      </c>
      <c r="CM24" s="32">
        <f t="shared" ref="CM24:DB24" si="125">+CM25*CM18</f>
        <v>919.90527820117893</v>
      </c>
      <c r="CN24" s="32">
        <f t="shared" si="125"/>
        <v>968.09950659632807</v>
      </c>
      <c r="CO24" s="32">
        <f t="shared" si="125"/>
        <v>1017.6280038210112</v>
      </c>
      <c r="CP24" s="32">
        <f t="shared" si="125"/>
        <v>1058.2521950343985</v>
      </c>
      <c r="CQ24" s="32">
        <f t="shared" si="125"/>
        <v>1060.3585981836836</v>
      </c>
      <c r="CR24" s="32">
        <f t="shared" si="125"/>
        <v>1103.8672581431842</v>
      </c>
      <c r="CS24" s="32">
        <f t="shared" si="125"/>
        <v>1143.7704102676767</v>
      </c>
      <c r="CT24" s="32">
        <f t="shared" si="125"/>
        <v>1178.5368909889476</v>
      </c>
      <c r="CU24" s="32">
        <f t="shared" si="125"/>
        <v>1191.7012896994449</v>
      </c>
      <c r="CV24" s="32">
        <f t="shared" si="125"/>
        <v>1212.6407318275667</v>
      </c>
      <c r="CW24" s="32">
        <f t="shared" si="125"/>
        <v>1231.8798596432709</v>
      </c>
      <c r="CX24" s="32">
        <f t="shared" si="125"/>
        <v>1250.0964584043795</v>
      </c>
      <c r="CY24" s="32">
        <f t="shared" si="125"/>
        <v>1243.6259788225586</v>
      </c>
      <c r="CZ24" s="32">
        <f t="shared" si="125"/>
        <v>1256.7600457821034</v>
      </c>
      <c r="DA24" s="32">
        <f t="shared" si="125"/>
        <v>1267.8679148437143</v>
      </c>
      <c r="DB24" s="32">
        <f t="shared" si="125"/>
        <v>1276.8682905802489</v>
      </c>
      <c r="DE24" s="124"/>
      <c r="DF24" s="31">
        <v>886.2024544537619</v>
      </c>
    </row>
    <row r="25" spans="1:110" s="41" customFormat="1" x14ac:dyDescent="0.2">
      <c r="A25" s="41" t="s">
        <v>6</v>
      </c>
      <c r="B25" s="41">
        <f>B24/B18</f>
        <v>0.56188002960354066</v>
      </c>
      <c r="C25" s="41">
        <f t="shared" ref="C25:U25" si="126">C24/C18</f>
        <v>0.66781452994613522</v>
      </c>
      <c r="D25" s="41">
        <f t="shared" si="126"/>
        <v>0.85923975471720493</v>
      </c>
      <c r="E25" s="41">
        <f t="shared" si="126"/>
        <v>0.73726955541583472</v>
      </c>
      <c r="F25" s="41">
        <f t="shared" si="126"/>
        <v>0.85626352449750776</v>
      </c>
      <c r="G25" s="41">
        <f t="shared" si="126"/>
        <v>0.86369581694830655</v>
      </c>
      <c r="H25" s="41">
        <f t="shared" si="126"/>
        <v>0.92982825858950591</v>
      </c>
      <c r="I25" s="41">
        <f t="shared" si="126"/>
        <v>0.92192305884102965</v>
      </c>
      <c r="J25" s="41">
        <f t="shared" si="126"/>
        <v>0.95912738770726447</v>
      </c>
      <c r="K25" s="41">
        <f t="shared" si="126"/>
        <v>0.93243905737784105</v>
      </c>
      <c r="L25" s="41">
        <f t="shared" si="126"/>
        <v>0.94690332936453736</v>
      </c>
      <c r="M25" s="41">
        <f t="shared" si="126"/>
        <v>0.91806553984593486</v>
      </c>
      <c r="N25" s="41">
        <f t="shared" si="126"/>
        <v>0.95220737264328792</v>
      </c>
      <c r="O25" s="41">
        <f t="shared" si="126"/>
        <v>0.94475853129452447</v>
      </c>
      <c r="P25" s="41">
        <f t="shared" si="126"/>
        <v>0.9713350971643433</v>
      </c>
      <c r="Q25" s="41">
        <f t="shared" si="126"/>
        <v>0.97587913610237143</v>
      </c>
      <c r="R25" s="41">
        <f t="shared" si="126"/>
        <v>0.98153053194411799</v>
      </c>
      <c r="S25" s="41">
        <f t="shared" si="126"/>
        <v>0.98653937778778045</v>
      </c>
      <c r="T25" s="41">
        <f t="shared" si="126"/>
        <v>0.99180816510863712</v>
      </c>
      <c r="U25" s="41">
        <f t="shared" si="126"/>
        <v>0.99221857994643503</v>
      </c>
      <c r="V25" s="41">
        <f>V24/V18</f>
        <v>0.99250525570134962</v>
      </c>
      <c r="W25" s="41">
        <f>W24/W18</f>
        <v>0.9948867961427218</v>
      </c>
      <c r="X25" s="41">
        <f>X24/X18</f>
        <v>0.9932544127502505</v>
      </c>
      <c r="Y25" s="41">
        <f>Y24/Y18</f>
        <v>0.99504665588463892</v>
      </c>
      <c r="Z25" s="41">
        <f>Z24/Z18</f>
        <v>0.99335406838254137</v>
      </c>
      <c r="AA25" s="41">
        <f>AA24/AA18</f>
        <v>0.9953776306888148</v>
      </c>
      <c r="AB25" s="42">
        <f t="shared" ref="AA25:AD25" si="127">AB24/AB18</f>
        <v>0.94189135857151707</v>
      </c>
      <c r="AC25" s="42">
        <f t="shared" si="127"/>
        <v>0.94317032281603341</v>
      </c>
      <c r="AD25" s="42">
        <f t="shared" si="127"/>
        <v>0.94345483256424301</v>
      </c>
      <c r="AE25" s="42">
        <f t="shared" ref="AE25" si="128">AE24/AE18</f>
        <v>0.9435103658777475</v>
      </c>
      <c r="AI25" s="41">
        <f t="shared" ref="AI25" si="129">AI24/AI18</f>
        <v>0.90042887336949462</v>
      </c>
      <c r="AJ25" s="41">
        <f t="shared" ref="AJ25" si="130">AJ24/AJ18</f>
        <v>0.88895589700561128</v>
      </c>
      <c r="AK25" s="41">
        <f t="shared" ref="AK25:AM25" si="131">AK24/AK18</f>
        <v>0.9138041077879473</v>
      </c>
      <c r="AL25" s="41">
        <f t="shared" si="131"/>
        <v>0.91006335678492434</v>
      </c>
      <c r="AM25" s="41">
        <f t="shared" si="131"/>
        <v>0.85409965756786554</v>
      </c>
      <c r="AN25" s="41">
        <f t="shared" ref="AN25:AO25" si="132">AN24/AN18</f>
        <v>0.93321577091119645</v>
      </c>
      <c r="AO25" s="41">
        <f t="shared" si="132"/>
        <v>0.93252693442730084</v>
      </c>
      <c r="AP25" s="41">
        <f t="shared" ref="AP25:CD25" si="133">AP24/AP18</f>
        <v>0.88653085668656606</v>
      </c>
      <c r="AQ25" s="41">
        <f t="shared" si="133"/>
        <v>0.91633246834945348</v>
      </c>
      <c r="AR25" s="41">
        <f t="shared" si="133"/>
        <v>0.91811112197984934</v>
      </c>
      <c r="AS25" s="41">
        <f t="shared" si="133"/>
        <v>0.91232733313610814</v>
      </c>
      <c r="AT25" s="41">
        <f t="shared" si="133"/>
        <v>0.89766102471071041</v>
      </c>
      <c r="AU25" s="41">
        <f t="shared" si="133"/>
        <v>0.92990337588955374</v>
      </c>
      <c r="AV25" s="41">
        <f t="shared" si="133"/>
        <v>0.93424056922225007</v>
      </c>
      <c r="AW25" s="41">
        <f t="shared" si="133"/>
        <v>0.94786331992829476</v>
      </c>
      <c r="AX25" s="41">
        <f t="shared" si="133"/>
        <v>0.92674817196405346</v>
      </c>
      <c r="AY25" s="41">
        <f t="shared" si="133"/>
        <v>0.9387739808153478</v>
      </c>
      <c r="AZ25" s="41">
        <f t="shared" si="133"/>
        <v>0.94363192970198584</v>
      </c>
      <c r="BA25" s="41">
        <f t="shared" si="133"/>
        <v>0.95038759689922481</v>
      </c>
      <c r="BB25" s="41">
        <f t="shared" si="133"/>
        <v>0.91941516283024005</v>
      </c>
      <c r="BC25" s="41">
        <f t="shared" si="133"/>
        <v>0.94082851220493158</v>
      </c>
      <c r="BD25" s="41">
        <f t="shared" si="133"/>
        <v>0.93893685299601926</v>
      </c>
      <c r="BE25" s="41">
        <f t="shared" si="133"/>
        <v>0.95520199128229699</v>
      </c>
      <c r="BF25" s="41">
        <f t="shared" si="133"/>
        <v>0.94156792123097899</v>
      </c>
      <c r="BG25" s="41">
        <f t="shared" si="133"/>
        <v>0.94020704909236064</v>
      </c>
      <c r="BH25" s="41">
        <f t="shared" si="133"/>
        <v>0.94396500357511715</v>
      </c>
      <c r="BI25" s="41">
        <f t="shared" si="133"/>
        <v>0.94139688097719931</v>
      </c>
      <c r="BJ25" s="41">
        <f t="shared" si="133"/>
        <v>0.92514267941071915</v>
      </c>
      <c r="BK25" s="41">
        <f t="shared" si="133"/>
        <v>0.95770046728324021</v>
      </c>
      <c r="BL25" s="41">
        <f t="shared" si="133"/>
        <v>0.94018039967859823</v>
      </c>
      <c r="BM25" s="41">
        <f t="shared" si="133"/>
        <v>0.94762161166451764</v>
      </c>
      <c r="BN25" s="41">
        <f t="shared" si="133"/>
        <v>0.95314490128393548</v>
      </c>
      <c r="BO25" s="41">
        <f t="shared" si="133"/>
        <v>0.96175415992489166</v>
      </c>
      <c r="BP25" s="41">
        <f t="shared" si="133"/>
        <v>0.9554852419204185</v>
      </c>
      <c r="BQ25" s="41">
        <f t="shared" si="133"/>
        <v>0.95424620150619266</v>
      </c>
      <c r="BR25" s="41">
        <f t="shared" si="133"/>
        <v>0.94006582029465569</v>
      </c>
      <c r="BS25" s="41">
        <f t="shared" si="133"/>
        <v>0.92885749288933139</v>
      </c>
      <c r="BT25" s="41">
        <f t="shared" si="133"/>
        <v>0.94867327363022336</v>
      </c>
      <c r="BU25" s="41">
        <f t="shared" si="133"/>
        <v>0.96482875182863026</v>
      </c>
      <c r="BV25" s="41">
        <f t="shared" si="133"/>
        <v>0.95030649559435498</v>
      </c>
      <c r="BW25" s="41">
        <f t="shared" si="133"/>
        <v>0.94524507190493312</v>
      </c>
      <c r="BX25" s="41">
        <f t="shared" si="133"/>
        <v>0.94552990090032241</v>
      </c>
      <c r="BY25" s="41">
        <f t="shared" si="133"/>
        <v>0.93989065024096818</v>
      </c>
      <c r="BZ25" s="41">
        <f t="shared" si="133"/>
        <v>0.93337311437846093</v>
      </c>
      <c r="CA25" s="41">
        <f t="shared" si="133"/>
        <v>0.9315748372285575</v>
      </c>
      <c r="CB25" s="41">
        <f t="shared" si="133"/>
        <v>0.9434522931888244</v>
      </c>
      <c r="CC25" s="41">
        <f t="shared" si="133"/>
        <v>0.95128703514311996</v>
      </c>
      <c r="CD25" s="41">
        <f t="shared" si="133"/>
        <v>0.9549949610516334</v>
      </c>
      <c r="CE25" s="41">
        <f t="shared" ref="CE25:CF25" si="134">CE24/CE18</f>
        <v>0.94559476715005042</v>
      </c>
      <c r="CF25" s="41">
        <f t="shared" si="134"/>
        <v>0.93802652326596758</v>
      </c>
      <c r="CG25" s="41">
        <f t="shared" ref="CG25:CH25" si="135">CG24/CG18</f>
        <v>0.94034845624492236</v>
      </c>
      <c r="CH25" s="41">
        <f t="shared" si="135"/>
        <v>0.91836501030455686</v>
      </c>
      <c r="CI25" s="41">
        <f t="shared" ref="CI25:CJ25" si="136">CI24/CI18</f>
        <v>0.92541161489346446</v>
      </c>
      <c r="CJ25" s="41">
        <f t="shared" si="136"/>
        <v>0.921185227785148</v>
      </c>
      <c r="CK25" s="41">
        <f t="shared" ref="CK25:CL25" si="137">CK24/CK18</f>
        <v>0.93037041387599451</v>
      </c>
      <c r="CL25" s="41">
        <f t="shared" si="137"/>
        <v>0.92907780721730082</v>
      </c>
      <c r="CM25" s="42">
        <f t="shared" ref="CM25:CP25" si="138">AVERAGE(CI25:CL25)+1%</f>
        <v>0.93651126594297696</v>
      </c>
      <c r="CN25" s="42">
        <f t="shared" si="138"/>
        <v>0.93928617870535502</v>
      </c>
      <c r="CO25" s="42">
        <f t="shared" si="138"/>
        <v>0.94381141643540678</v>
      </c>
      <c r="CP25" s="42">
        <f t="shared" si="138"/>
        <v>0.9471716670752599</v>
      </c>
      <c r="CQ25" s="42">
        <f t="shared" ref="CQ25:DB25" si="139">AVERAGE(CM25:CP25)</f>
        <v>0.94169513203974964</v>
      </c>
      <c r="CR25" s="42">
        <f t="shared" si="139"/>
        <v>0.94299109856394281</v>
      </c>
      <c r="CS25" s="42">
        <f t="shared" si="139"/>
        <v>0.94391732852858978</v>
      </c>
      <c r="CT25" s="42">
        <f t="shared" si="139"/>
        <v>0.94394380655188548</v>
      </c>
      <c r="CU25" s="42">
        <f t="shared" si="139"/>
        <v>0.94313684142104193</v>
      </c>
      <c r="CV25" s="42">
        <f t="shared" si="139"/>
        <v>0.94349726876636497</v>
      </c>
      <c r="CW25" s="42">
        <f t="shared" si="139"/>
        <v>0.94362381131697048</v>
      </c>
      <c r="CX25" s="42">
        <f t="shared" si="139"/>
        <v>0.94355043201406574</v>
      </c>
      <c r="CY25" s="42">
        <f t="shared" si="139"/>
        <v>0.9434520883796107</v>
      </c>
      <c r="CZ25" s="42">
        <f t="shared" si="139"/>
        <v>0.94353090011925311</v>
      </c>
      <c r="DA25" s="42">
        <f t="shared" si="139"/>
        <v>0.94353930795747498</v>
      </c>
      <c r="DB25" s="42">
        <f t="shared" si="139"/>
        <v>0.94351818211760108</v>
      </c>
      <c r="DE25" s="125"/>
      <c r="DF25" s="41">
        <v>0.93383306671479094</v>
      </c>
    </row>
    <row r="26" spans="1:110" s="39" customFormat="1" x14ac:dyDescent="0.2">
      <c r="A26" s="39" t="s">
        <v>447</v>
      </c>
      <c r="C26" s="39">
        <f t="shared" ref="C26:AE26" si="140">+IF(B24&lt;0,1-C24/B24,C24/B24-1)</f>
        <v>0.12826606726129985</v>
      </c>
      <c r="D26" s="39">
        <f t="shared" si="140"/>
        <v>8.6398589862793251E-2</v>
      </c>
      <c r="E26" s="39">
        <f t="shared" si="140"/>
        <v>0.201540304238226</v>
      </c>
      <c r="F26" s="39">
        <f t="shared" si="140"/>
        <v>0.40576546641156264</v>
      </c>
      <c r="G26" s="39">
        <f t="shared" si="140"/>
        <v>0.27938819964607098</v>
      </c>
      <c r="H26" s="39">
        <f t="shared" si="140"/>
        <v>0.40704039325020092</v>
      </c>
      <c r="I26" s="39">
        <f t="shared" si="140"/>
        <v>0.29429790604384021</v>
      </c>
      <c r="J26" s="39">
        <f t="shared" si="140"/>
        <v>8.5248810322651636E-2</v>
      </c>
      <c r="K26" s="39">
        <f t="shared" si="140"/>
        <v>-0.10012876002775584</v>
      </c>
      <c r="L26" s="39">
        <f t="shared" si="140"/>
        <v>8.8080526662452474E-2</v>
      </c>
      <c r="M26" s="39">
        <f t="shared" si="140"/>
        <v>0.25579968092645577</v>
      </c>
      <c r="N26" s="39">
        <f t="shared" si="140"/>
        <v>0.19692147926061643</v>
      </c>
      <c r="O26" s="39">
        <f t="shared" si="140"/>
        <v>0.2365455835775363</v>
      </c>
      <c r="P26" s="39">
        <f t="shared" si="140"/>
        <v>0.12714420260294812</v>
      </c>
      <c r="Q26" s="39">
        <f t="shared" si="140"/>
        <v>0.27176202355945334</v>
      </c>
      <c r="R26" s="39">
        <f t="shared" si="140"/>
        <v>0.15743174881765554</v>
      </c>
      <c r="S26" s="39">
        <f t="shared" si="140"/>
        <v>0.12612628264846637</v>
      </c>
      <c r="T26" s="39">
        <f t="shared" si="140"/>
        <v>0.15809385120343866</v>
      </c>
      <c r="U26" s="39">
        <f t="shared" si="140"/>
        <v>8.5131809847120987E-3</v>
      </c>
      <c r="V26" s="39">
        <f t="shared" si="140"/>
        <v>0.13468678486282193</v>
      </c>
      <c r="W26" s="39">
        <f t="shared" si="140"/>
        <v>0.35624936999064993</v>
      </c>
      <c r="X26" s="39">
        <f t="shared" si="140"/>
        <v>0.27066688552906615</v>
      </c>
      <c r="Y26" s="39">
        <f t="shared" si="140"/>
        <v>0.13159595000431401</v>
      </c>
      <c r="Z26" s="39">
        <f t="shared" si="140"/>
        <v>4.8015890676005757E-2</v>
      </c>
      <c r="AA26" s="39">
        <f t="shared" si="140"/>
        <v>9.6618889581154832E-3</v>
      </c>
      <c r="AB26" s="40">
        <f t="shared" si="140"/>
        <v>5.9846567424712616E-2</v>
      </c>
      <c r="AC26" s="40">
        <f t="shared" si="140"/>
        <v>0.13185250734720588</v>
      </c>
      <c r="AD26" s="40">
        <f t="shared" si="140"/>
        <v>8.9107818431124475E-2</v>
      </c>
      <c r="AE26" s="40">
        <f t="shared" si="140"/>
        <v>3.2499702110646123E-2</v>
      </c>
      <c r="AM26" s="39">
        <f>+IF(AI24&lt;0,1-AM24/AI24,AM24/AI24-1)</f>
        <v>0.12357186265572739</v>
      </c>
      <c r="AN26" s="39">
        <f t="shared" ref="AN26" si="141">+IF(AJ24&lt;0,1-AN24/AJ24,AN24/AJ24-1)</f>
        <v>0.30728106657227938</v>
      </c>
      <c r="AO26" s="39">
        <f t="shared" ref="AO26" si="142">+IF(AK24&lt;0,1-AO24/AK24,AO24/AK24-1)</f>
        <v>0.29555153555488789</v>
      </c>
      <c r="AP26" s="39">
        <f t="shared" ref="AP26" si="143">+IF(AL24&lt;0,1-AP24/AL24,AP24/AL24-1)</f>
        <v>0.28057973800565739</v>
      </c>
      <c r="AQ26" s="39">
        <f t="shared" ref="AQ26" si="144">+IF(AM24&lt;0,1-AQ24/AM24,AQ24/AM24-1)</f>
        <v>0.18178990852359944</v>
      </c>
      <c r="AR26" s="39">
        <f t="shared" ref="AR26" si="145">+IF(AN24&lt;0,1-AR24/AN24,AR24/AN24-1)</f>
        <v>5.8855050963713573E-2</v>
      </c>
      <c r="AS26" s="39">
        <f t="shared" ref="AS26" si="146">+IF(AO24&lt;0,1-AS24/AO24,AS24/AO24-1)</f>
        <v>8.067368239454864E-2</v>
      </c>
      <c r="AT26" s="39">
        <f t="shared" ref="AT26" si="147">+IF(AP24&lt;0,1-AT24/AP24,AT24/AP24-1)</f>
        <v>9.3003929894541537E-2</v>
      </c>
      <c r="AU26" s="39">
        <f t="shared" ref="AU26" si="148">+IF(AQ24&lt;0,1-AU24/AQ24,AU24/AQ24-1)</f>
        <v>0.29552332732629649</v>
      </c>
      <c r="AV26" s="39">
        <f t="shared" ref="AV26" si="149">+IF(AR24&lt;0,1-AV24/AR24,AV24/AR24-1)</f>
        <v>0.31218802772258236</v>
      </c>
      <c r="AW26" s="39">
        <f t="shared" ref="AW26" si="150">+IF(AS24&lt;0,1-AW24/AS24,AW24/AS24-1)</f>
        <v>0.28988984894139258</v>
      </c>
      <c r="AX26" s="39">
        <f t="shared" ref="AX26" si="151">+IF(AT24&lt;0,1-AX24/AT24,AX24/AT24-1)</f>
        <v>0.32481630090353453</v>
      </c>
      <c r="AY26" s="39">
        <f t="shared" ref="AY26" si="152">+IF(AU24&lt;0,1-AY24/AU24,AY24/AU24-1)</f>
        <v>0.21701383522263096</v>
      </c>
      <c r="AZ26" s="39">
        <f t="shared" ref="AZ26" si="153">+IF(AV24&lt;0,1-AZ24/AV24,AZ24/AV24-1)</f>
        <v>0.1404798635920752</v>
      </c>
      <c r="BA26" s="39">
        <f t="shared" ref="BA26" si="154">+IF(AW24&lt;0,1-BA24/AW24,BA24/AW24-1)</f>
        <v>0.14036146209211742</v>
      </c>
      <c r="BB26" s="39">
        <f t="shared" ref="BB26" si="155">+IF(AX24&lt;0,1-BB24/AX24,BB24/AX24-1)</f>
        <v>0.11315326656422986</v>
      </c>
      <c r="BC26" s="39">
        <f t="shared" ref="BC26" si="156">+IF(AY24&lt;0,1-BC24/AY24,BC24/AY24-1)</f>
        <v>0.10344927683476435</v>
      </c>
      <c r="BD26" s="39">
        <f t="shared" ref="BD26" si="157">+IF(AZ24&lt;0,1-BD24/AZ24,BD24/AZ24-1)</f>
        <v>0.14359094840935049</v>
      </c>
      <c r="BE26" s="39">
        <f t="shared" ref="BE26" si="158">+IF(BA24&lt;0,1-BE24/BA24,BE24/BA24-1)</f>
        <v>0.1088847663072785</v>
      </c>
      <c r="BF26" s="39">
        <f t="shared" ref="BF26" si="159">+IF(BB24&lt;0,1-BF24/BB24,BF24/BB24-1)</f>
        <v>0.1756085229805151</v>
      </c>
      <c r="BG26" s="39">
        <f t="shared" ref="BG26" si="160">+IF(BC24&lt;0,1-BG24/BC24,BG24/BC24-1)</f>
        <v>0.18114855444190137</v>
      </c>
      <c r="BH26" s="39">
        <f t="shared" ref="BH26" si="161">+IF(BD24&lt;0,1-BH24/BD24,BH24/BD24-1)</f>
        <v>0.18350500060698316</v>
      </c>
      <c r="BI26" s="39">
        <f t="shared" ref="BI26" si="162">+IF(BE24&lt;0,1-BI24/BE24,BI24/BE24-1)</f>
        <v>0.13803301953156066</v>
      </c>
      <c r="BJ26" s="39">
        <f t="shared" ref="BJ26" si="163">+IF(BF24&lt;0,1-BJ24/BF24,BJ24/BF24-1)</f>
        <v>6.036916948183868E-2</v>
      </c>
      <c r="BK26" s="39">
        <f t="shared" ref="BK26" si="164">+IF(BG24&lt;0,1-BK24/BG24,BK24/BG24-1)</f>
        <v>-3.8558765228624337E-2</v>
      </c>
      <c r="BL26" s="39">
        <f t="shared" ref="BL26" si="165">+IF(BH24&lt;0,1-BL24/BH24,BL24/BH24-1)</f>
        <v>-4.5981999610745561E-2</v>
      </c>
      <c r="BM26" s="39">
        <f t="shared" ref="BM26" si="166">+IF(BI24&lt;0,1-BM24/BI24,BM24/BI24-1)</f>
        <v>7.8395222648344864E-2</v>
      </c>
      <c r="BN26" s="39">
        <f t="shared" ref="BN26" si="167">+IF(BJ24&lt;0,1-BN24/BJ24,BN24/BJ24-1)</f>
        <v>0.11618046902307788</v>
      </c>
      <c r="BO26" s="39">
        <f t="shared" ref="BO26" si="168">+IF(BK24&lt;0,1-BO24/BK24,BO24/BK24-1)</f>
        <v>0.11533204765131377</v>
      </c>
      <c r="BP26" s="39">
        <f t="shared" ref="BP26" si="169">+IF(BL24&lt;0,1-BP24/BL24,BP24/BL24-1)</f>
        <v>0.12804530078763587</v>
      </c>
      <c r="BQ26" s="39">
        <f t="shared" ref="BQ26" si="170">+IF(BM24&lt;0,1-BQ24/BM24,BQ24/BM24-1)</f>
        <v>0.13459885011924966</v>
      </c>
      <c r="BR26" s="39">
        <f t="shared" ref="BR26" si="171">+IF(BN24&lt;0,1-BR24/BN24,BR24/BN24-1)</f>
        <v>0.15604762849581988</v>
      </c>
      <c r="BS26" s="39">
        <f t="shared" ref="BS26" si="172">+IF(BO24&lt;0,1-BS24/BO24,BS24/BO24-1)</f>
        <v>0.34640458393804319</v>
      </c>
      <c r="BT26" s="39">
        <f t="shared" ref="BT26" si="173">+IF(BP24&lt;0,1-BT24/BP24,BT24/BP24-1)</f>
        <v>0.36927539915488916</v>
      </c>
      <c r="BU26" s="39">
        <f t="shared" ref="BU26" si="174">+IF(BQ24&lt;0,1-BU24/BQ24,BU24/BQ24-1)</f>
        <v>0.34291011008900263</v>
      </c>
      <c r="BV26" s="39">
        <f t="shared" ref="BV26" si="175">+IF(BR24&lt;0,1-BV24/BR24,BV24/BR24-1)</f>
        <v>0.33966571477608531</v>
      </c>
      <c r="BW26" s="39">
        <f t="shared" ref="BW26" si="176">+IF(BS24&lt;0,1-BW24/BS24,BW24/BS24-1)</f>
        <v>0.32307808004689598</v>
      </c>
      <c r="BX26" s="39">
        <f t="shared" ref="BX26" si="177">+IF(BT24&lt;0,1-BX24/BT24,BX24/BT24-1)</f>
        <v>0.28793844462372098</v>
      </c>
      <c r="BY26" s="39">
        <f t="shared" ref="BY26" si="178">+IF(BU24&lt;0,1-BY24/BU24,BY24/BU24-1)</f>
        <v>0.25712972534446443</v>
      </c>
      <c r="BZ26" s="39">
        <f t="shared" ref="BZ26" si="179">+IF(BV24&lt;0,1-BZ24/BV24,BZ24/BV24-1)</f>
        <v>0.2071910486971742</v>
      </c>
      <c r="CA26" s="39">
        <f t="shared" ref="CA26" si="180">+IF(BW24&lt;0,1-CA24/BW24,CA24/BW24-1)</f>
        <v>0.15441241840257791</v>
      </c>
      <c r="CB26" s="39">
        <f t="shared" ref="CB26" si="181">+IF(BX24&lt;0,1-CB24/BX24,CB24/BX24-1)</f>
        <v>0.1527700211058467</v>
      </c>
      <c r="CC26" s="39">
        <f t="shared" ref="CC26" si="182">+IF(BY24&lt;0,1-CC24/BY24,CC24/BY24-1)</f>
        <v>0.13155145337755281</v>
      </c>
      <c r="CD26" s="39">
        <f t="shared" ref="CD26" si="183">+IF(BZ24&lt;0,1-CD24/BZ24,CD24/BZ24-1)</f>
        <v>0.10622663318381975</v>
      </c>
      <c r="CE26" s="39">
        <f t="shared" ref="CE26" si="184">+IF(CA24&lt;0,1-CE24/CA24,CE24/CA24-1)</f>
        <v>0.10599652565611062</v>
      </c>
      <c r="CF26" s="39">
        <f t="shared" ref="CF26" si="185">+IF(CB24&lt;0,1-CF24/CB24,CF24/CB24-1)</f>
        <v>7.7005193306405095E-2</v>
      </c>
      <c r="CG26" s="39">
        <f t="shared" ref="CG26" si="186">+IF(CC24&lt;0,1-CG24/CC24,CG24/CC24-1)</f>
        <v>1.5465138473355067E-2</v>
      </c>
      <c r="CH26" s="39">
        <f t="shared" ref="CH26:CL26" si="187">+IF(CD24&lt;0,1-CH24/CD24,CH24/CD24-1)</f>
        <v>-3.5816040990740539E-2</v>
      </c>
      <c r="CI26" s="39">
        <f t="shared" si="187"/>
        <v>-5.7639338349023017E-2</v>
      </c>
      <c r="CJ26" s="39">
        <f t="shared" si="187"/>
        <v>-5.5981944332824329E-2</v>
      </c>
      <c r="CK26" s="39">
        <f t="shared" si="187"/>
        <v>4.456784140370651E-3</v>
      </c>
      <c r="CL26" s="39">
        <f t="shared" si="187"/>
        <v>0.10679658204904441</v>
      </c>
      <c r="CM26" s="40">
        <f t="shared" ref="CM26" si="188">+CM24/CI24-1</f>
        <v>0.11428573979376178</v>
      </c>
      <c r="CN26" s="40">
        <f t="shared" ref="CN26" si="189">+CN24/CJ24-1</f>
        <v>0.14467474312063033</v>
      </c>
      <c r="CO26" s="40">
        <f t="shared" ref="CO26" si="190">+CO24/CK24-1</f>
        <v>0.14716081433213901</v>
      </c>
      <c r="CP26" s="40">
        <f t="shared" ref="CP26" si="191">+CP24/CL24-1</f>
        <v>0.14619764818428216</v>
      </c>
      <c r="CQ26" s="40">
        <f t="shared" ref="CQ26" si="192">+CQ24/CM24-1</f>
        <v>0.15268237209938929</v>
      </c>
      <c r="CR26" s="40">
        <f t="shared" ref="CR26" si="193">+CR24/CN24-1</f>
        <v>0.14024152540289192</v>
      </c>
      <c r="CS26" s="40">
        <f t="shared" ref="CS26" si="194">+CS24/CO24-1</f>
        <v>0.12395728691921137</v>
      </c>
      <c r="CT26" s="40">
        <f t="shared" ref="CT26" si="195">+CT24/CP24-1</f>
        <v>0.11366354496494968</v>
      </c>
      <c r="CU26" s="40">
        <f t="shared" ref="CU26" si="196">+CU24/CQ24-1</f>
        <v>0.1238662955539207</v>
      </c>
      <c r="CV26" s="40">
        <f t="shared" ref="CV26" si="197">+CV24/CR24-1</f>
        <v>9.8538545175576919E-2</v>
      </c>
      <c r="CW26" s="40">
        <f t="shared" ref="CW26" si="198">+CW24/CS24-1</f>
        <v>7.7034209474761584E-2</v>
      </c>
      <c r="CX26" s="40">
        <f t="shared" ref="CX26" si="199">+CX24/CT24-1</f>
        <v>6.0718988062719026E-2</v>
      </c>
      <c r="CY26" s="40">
        <f t="shared" ref="CY26" si="200">+CY24/CU24-1</f>
        <v>4.3571899746965403E-2</v>
      </c>
      <c r="CZ26" s="40">
        <f t="shared" ref="CZ26" si="201">+CZ24/CV24-1</f>
        <v>3.6382840190469778E-2</v>
      </c>
      <c r="DA26" s="40">
        <f t="shared" ref="DA26" si="202">+DA24/CW24-1</f>
        <v>2.9213932607734083E-2</v>
      </c>
      <c r="DB26" s="40">
        <f t="shared" ref="DB26" si="203">+DB24/CX24-1</f>
        <v>2.1415813152563246E-2</v>
      </c>
      <c r="DE26" s="122"/>
      <c r="DF26" s="39">
        <v>6.2358489798128414E-2</v>
      </c>
    </row>
    <row r="27" spans="1:110" s="39" customFormat="1" x14ac:dyDescent="0.2">
      <c r="A27" s="39" t="s">
        <v>448</v>
      </c>
      <c r="AB27" s="40"/>
      <c r="AC27" s="40"/>
      <c r="AD27" s="40"/>
      <c r="AE27" s="40"/>
      <c r="AJ27" s="39">
        <f>+IF(AI24&lt;0,1-AJ24/AI24,AJ24/AI24-1)</f>
        <v>3.0173199635369352E-2</v>
      </c>
      <c r="AK27" s="39">
        <f t="shared" ref="AK27" si="204">+IF(AJ24&lt;0,1-AK24/AJ24,AK24/AJ24-1)</f>
        <v>5.5754652980561925E-2</v>
      </c>
      <c r="AL27" s="39">
        <f t="shared" ref="AL27" si="205">+IF(AK24&lt;0,1-AL24/AK24,AL24/AK24-1)</f>
        <v>1.7314717160358262E-2</v>
      </c>
      <c r="AM27" s="39">
        <f t="shared" ref="AM27" si="206">+IF(AL24&lt;0,1-AM24/AL24,AM24/AL24-1)</f>
        <v>1.5482108038337827E-2</v>
      </c>
      <c r="AN27" s="39">
        <f t="shared" ref="AN27" si="207">+IF(AM24&lt;0,1-AN24/AM24,AN24/AM24-1)</f>
        <v>0.19861128952652685</v>
      </c>
      <c r="AO27" s="39">
        <f t="shared" ref="AO27" si="208">+IF(AN24&lt;0,1-AO24/AN24,AO24/AN24-1)</f>
        <v>4.6281933405910136E-2</v>
      </c>
      <c r="AP27" s="39">
        <f t="shared" ref="AP27" si="209">+IF(AO24&lt;0,1-AP24/AO24,AP24/AO24-1)</f>
        <v>5.5583110497716692E-3</v>
      </c>
      <c r="AQ27" s="39">
        <f t="shared" ref="AQ27" si="210">+IF(AP24&lt;0,1-AQ24/AP24,AQ24/AP24-1)</f>
        <v>-6.2856867128818106E-2</v>
      </c>
      <c r="AR27" s="39">
        <f t="shared" ref="AR27" si="211">+IF(AQ24&lt;0,1-AR24/AQ24,AR24/AQ24-1)</f>
        <v>7.3926599731113818E-2</v>
      </c>
      <c r="AS27" s="39">
        <f t="shared" ref="AS27" si="212">+IF(AR24&lt;0,1-AS24/AR24,AS24/AR24-1)</f>
        <v>6.7841484788271567E-2</v>
      </c>
      <c r="AT27" s="39">
        <f t="shared" ref="AT27" si="213">+IF(AS24&lt;0,1-AT24/AS24,AT24/AS24-1)</f>
        <v>1.7031508790134264E-2</v>
      </c>
      <c r="AU27" s="39">
        <f t="shared" ref="AU27" si="214">+IF(AT24&lt;0,1-AU24/AT24,AU24/AT24-1)</f>
        <v>0.11078355390305394</v>
      </c>
      <c r="AV27" s="39">
        <f t="shared" ref="AV27" si="215">+IF(AU24&lt;0,1-AV24/AU24,AV24/AU24-1)</f>
        <v>8.7740835765794944E-2</v>
      </c>
      <c r="AW27" s="39">
        <f t="shared" ref="AW27" si="216">+IF(AV24&lt;0,1-AW24/AV24,AW24/AV24-1)</f>
        <v>4.9695518025332897E-2</v>
      </c>
      <c r="AX27" s="39">
        <f t="shared" ref="AX27" si="217">+IF(AW24&lt;0,1-AX24/AW24,AX24/AW24-1)</f>
        <v>4.4569753365743203E-2</v>
      </c>
      <c r="AY27" s="39">
        <f t="shared" ref="AY27" si="218">+IF(AX24&lt;0,1-AY24/AX24,AY24/AX24-1)</f>
        <v>2.0397282337042189E-2</v>
      </c>
      <c r="AZ27" s="39">
        <f t="shared" ref="AZ27" si="219">+IF(AY24&lt;0,1-AZ24/AY24,AZ24/AY24-1)</f>
        <v>1.9336415161433251E-2</v>
      </c>
      <c r="BA27" s="39">
        <f t="shared" ref="BA27" si="220">+IF(AZ24&lt;0,1-BA24/AZ24,BA24/AZ24-1)</f>
        <v>4.9586541507815385E-2</v>
      </c>
      <c r="BB27" s="39">
        <f t="shared" ref="BB27" si="221">+IF(BA24&lt;0,1-BB24/BA24,BB24/BA24-1)</f>
        <v>1.9647078374647631E-2</v>
      </c>
      <c r="BC27" s="39">
        <f t="shared" ref="BC27" si="222">+IF(BB24&lt;0,1-BC24/BB24,BC24/BB24-1)</f>
        <v>1.1501899243628877E-2</v>
      </c>
      <c r="BD27" s="39">
        <f t="shared" ref="BD27" si="223">+IF(BC24&lt;0,1-BD24/BC24,BD24/BC24-1)</f>
        <v>5.6418199037171268E-2</v>
      </c>
      <c r="BE27" s="39">
        <f t="shared" ref="BE27" si="224">+IF(BD24&lt;0,1-BE24/BD24,BE24/BD24-1)</f>
        <v>1.773324493169115E-2</v>
      </c>
      <c r="BF27" s="39">
        <f t="shared" ref="BF27" si="225">+IF(BE24&lt;0,1-BF24/BE24,BF24/BE24-1)</f>
        <v>8.1001229515717643E-2</v>
      </c>
      <c r="BG27" s="39">
        <f t="shared" ref="BG27" si="226">+IF(BF24&lt;0,1-BG24/BF24,BG24/BF24-1)</f>
        <v>1.6268581549448102E-2</v>
      </c>
      <c r="BH27" s="39">
        <f t="shared" ref="BH27" si="227">+IF(BG24&lt;0,1-BH24/BG24,BH24/BG24-1)</f>
        <v>5.8525802356399925E-2</v>
      </c>
      <c r="BI27" s="39">
        <f t="shared" ref="BI27" si="228">+IF(BH24&lt;0,1-BI24/BH24,BI24/BH24-1)</f>
        <v>-2.1369544519665218E-2</v>
      </c>
      <c r="BJ27" s="39">
        <f t="shared" ref="BJ27" si="229">+IF(BI24&lt;0,1-BJ24/BI24,BJ24/BI24-1)</f>
        <v>7.229453168462241E-3</v>
      </c>
      <c r="BK27" s="39">
        <f t="shared" ref="BK27" si="230">+IF(BJ24&lt;0,1-BK24/BJ24,BK24/BJ24-1)</f>
        <v>-7.8544955827300811E-2</v>
      </c>
      <c r="BL27" s="39">
        <f t="shared" ref="BL27" si="231">+IF(BK24&lt;0,1-BL24/BK24,BL24/BK24-1)</f>
        <v>5.0352983419335029E-2</v>
      </c>
      <c r="BM27" s="39">
        <f t="shared" ref="BM27" si="232">+IF(BL24&lt;0,1-BM24/BL24,BM24/BL24-1)</f>
        <v>0.10621645241239386</v>
      </c>
      <c r="BN27" s="39">
        <f t="shared" ref="BN27" si="233">+IF(BM24&lt;0,1-BN24/BM24,BN24/BM24-1)</f>
        <v>4.2521164634313546E-2</v>
      </c>
      <c r="BO27" s="39">
        <f t="shared" ref="BO27" si="234">+IF(BN24&lt;0,1-BO24/BN24,BO24/BN24-1)</f>
        <v>-7.9245364205956736E-2</v>
      </c>
      <c r="BP27" s="39">
        <f t="shared" ref="BP27" si="235">+IF(BO24&lt;0,1-BP24/BO24,BP24/BO24-1)</f>
        <v>6.232556448953841E-2</v>
      </c>
      <c r="BQ27" s="39">
        <f t="shared" ref="BQ27" si="236">+IF(BP24&lt;0,1-BQ24/BP24,BQ24/BP24-1)</f>
        <v>0.11264318375666282</v>
      </c>
      <c r="BR27" s="39">
        <f t="shared" ref="BR27" si="237">+IF(BQ24&lt;0,1-BR24/BQ24,BR24/BQ24-1)</f>
        <v>6.2229280335977855E-2</v>
      </c>
      <c r="BS27" s="39">
        <f t="shared" ref="BS27" si="238">+IF(BR24&lt;0,1-BS24/BR24,BS24/BR24-1)</f>
        <v>7.2367808866437011E-2</v>
      </c>
      <c r="BT27" s="39">
        <f t="shared" ref="BT27" si="239">+IF(BS24&lt;0,1-BT24/BS24,BT24/BS24-1)</f>
        <v>8.0370847441939564E-2</v>
      </c>
      <c r="BU27" s="39">
        <f t="shared" ref="BU27" si="240">+IF(BT24&lt;0,1-BU24/BT24,BU24/BT24-1)</f>
        <v>9.1219327617102941E-2</v>
      </c>
      <c r="BV27" s="39">
        <f t="shared" ref="BV27" si="241">+IF(BU24&lt;0,1-BV24/BU24,BV24/BU24-1)</f>
        <v>5.9662994124805246E-2</v>
      </c>
      <c r="BW27" s="39">
        <f t="shared" ref="BW27" si="242">+IF(BV24&lt;0,1-BW24/BV24,BW24/BV24-1)</f>
        <v>5.9089835628321596E-2</v>
      </c>
      <c r="BX27" s="39">
        <f t="shared" ref="BX27" si="243">+IF(BW24&lt;0,1-BX24/BW24,BX24/BW24-1)</f>
        <v>5.1677274270815143E-2</v>
      </c>
      <c r="BY27" s="39">
        <f t="shared" ref="BY27" si="244">+IF(BX24&lt;0,1-BY24/BX24,BY24/BX24-1)</f>
        <v>6.511631774346216E-2</v>
      </c>
      <c r="BZ27" s="39">
        <f t="shared" ref="BZ27" si="245">+IF(BY24&lt;0,1-BZ24/BY24,BZ24/BY24-1)</f>
        <v>1.7568557447478428E-2</v>
      </c>
      <c r="CA27" s="39">
        <f t="shared" ref="CA27" si="246">+IF(BZ24&lt;0,1-CA24/BZ24,CA24/BZ24-1)</f>
        <v>1.2786219524046016E-2</v>
      </c>
      <c r="CB27" s="39">
        <f t="shared" ref="CB27" si="247">+IF(CA24&lt;0,1-CB24/CA24,CB24/CA24-1)</f>
        <v>5.0181039576210784E-2</v>
      </c>
      <c r="CC27" s="39">
        <f t="shared" ref="CC27" si="248">+IF(CB24&lt;0,1-CC24/CB24,CC24/CB24-1)</f>
        <v>4.5511155991536878E-2</v>
      </c>
      <c r="CD27" s="39">
        <f t="shared" ref="CD27" si="249">+IF(CC24&lt;0,1-CD24/CC24,CD24/CC24-1)</f>
        <v>-5.2052551575374473E-3</v>
      </c>
      <c r="CE27" s="39">
        <f t="shared" ref="CE27" si="250">+IF(CD24&lt;0,1-CE24/CD24,CE24/CD24-1)</f>
        <v>1.2575548648764423E-2</v>
      </c>
      <c r="CF27" s="39">
        <f t="shared" ref="CF27" si="251">+IF(CE24&lt;0,1-CF24/CE24,CF24/CE24-1)</f>
        <v>2.2652790762181629E-2</v>
      </c>
      <c r="CG27" s="39">
        <f t="shared" ref="CG27" si="252">+IF(CF24&lt;0,1-CG24/CF24,CG24/CF24-1)</f>
        <v>-1.42293301901113E-2</v>
      </c>
      <c r="CH27" s="39">
        <f t="shared" ref="CH27:CL27" si="253">+IF(CG24&lt;0,1-CH24/CG24,CH24/CG24-1)</f>
        <v>-5.5442575876297084E-2</v>
      </c>
      <c r="CI27" s="39">
        <f t="shared" si="253"/>
        <v>-1.0343041822907129E-2</v>
      </c>
      <c r="CJ27" s="39">
        <f t="shared" si="253"/>
        <v>2.4451400026164194E-2</v>
      </c>
      <c r="CK27" s="39">
        <f t="shared" si="253"/>
        <v>4.888251972823876E-2</v>
      </c>
      <c r="CL27" s="39">
        <f t="shared" si="253"/>
        <v>4.0794332892938989E-2</v>
      </c>
      <c r="CM27" s="40">
        <f t="shared" ref="CM27" si="254">+CM24/CL24-1</f>
        <v>-3.6465113193305809E-3</v>
      </c>
      <c r="CN27" s="40">
        <f t="shared" ref="CN27" si="255">+CN24/CM24-1</f>
        <v>5.239042490264878E-2</v>
      </c>
      <c r="CO27" s="40">
        <f t="shared" ref="CO27" si="256">+CO24/CN24-1</f>
        <v>5.1160543815187864E-2</v>
      </c>
      <c r="CP27" s="40">
        <f t="shared" ref="CP27" si="257">+CP24/CO24-1</f>
        <v>3.9920472963451026E-2</v>
      </c>
      <c r="CQ27" s="40">
        <f t="shared" ref="CQ27" si="258">+CQ24/CP24-1</f>
        <v>1.9904547887252821E-3</v>
      </c>
      <c r="CR27" s="40">
        <f t="shared" ref="CR27" si="259">+CR24/CQ24-1</f>
        <v>4.1032024481178153E-2</v>
      </c>
      <c r="CS27" s="40">
        <f t="shared" ref="CS27" si="260">+CS24/CR24-1</f>
        <v>3.6148505927799279E-2</v>
      </c>
      <c r="CT27" s="40">
        <f t="shared" ref="CT27" si="261">+CT24/CS24-1</f>
        <v>3.0396380610278717E-2</v>
      </c>
      <c r="CU27" s="40">
        <f t="shared" ref="CU27" si="262">+CU24/CT24-1</f>
        <v>1.1170120181346777E-2</v>
      </c>
      <c r="CV27" s="40">
        <f t="shared" ref="CV27" si="263">+CV24/CU24-1</f>
        <v>1.7571049313375164E-2</v>
      </c>
      <c r="CW27" s="40">
        <f t="shared" ref="CW27" si="264">+CW24/CV24-1</f>
        <v>1.5865480443419511E-2</v>
      </c>
      <c r="CX27" s="40">
        <f t="shared" ref="CX27" si="265">+CX24/CW24-1</f>
        <v>1.4787642332575901E-2</v>
      </c>
      <c r="CY27" s="40">
        <f t="shared" ref="CY27" si="266">+CY24/CX24-1</f>
        <v>-5.1759842517110632E-3</v>
      </c>
      <c r="CZ27" s="40">
        <f t="shared" ref="CZ27" si="267">+CZ24/CY24-1</f>
        <v>1.0561106943085763E-2</v>
      </c>
      <c r="DA27" s="40">
        <f t="shared" ref="DA27" si="268">+DA24/CZ24-1</f>
        <v>8.8384963373802083E-3</v>
      </c>
      <c r="DB27" s="40">
        <f t="shared" ref="DB27" si="269">+DB24/DA24-1</f>
        <v>7.0988275917085453E-3</v>
      </c>
      <c r="DE27" s="122"/>
      <c r="DF27" s="39">
        <v>-9.9375656221756259E-4</v>
      </c>
    </row>
    <row r="28" spans="1:110" s="23" customFormat="1" outlineLevel="1" x14ac:dyDescent="0.2">
      <c r="A28" s="23" t="s">
        <v>8</v>
      </c>
      <c r="B28" s="23">
        <f>'Annual Raw'!C14</f>
        <v>31.931100000000001</v>
      </c>
      <c r="C28" s="23">
        <f>'Annual Raw'!D14</f>
        <v>43.047699999999999</v>
      </c>
      <c r="D28" s="23">
        <f>'Annual Raw'!E14</f>
        <v>49.988999999999997</v>
      </c>
      <c r="E28" s="23">
        <f>'Annual Raw'!F14</f>
        <v>61.637900000000002</v>
      </c>
      <c r="F28" s="23">
        <f>'Annual Raw'!G14</f>
        <v>92.073899999999995</v>
      </c>
      <c r="G28" s="23">
        <f>'Annual Raw'!H14</f>
        <v>118.971</v>
      </c>
      <c r="H28" s="23">
        <f>'Annual Raw'!I14</f>
        <v>148.49160000000001</v>
      </c>
      <c r="I28" s="23">
        <f>'Annual Raw'!J14</f>
        <v>212.5214</v>
      </c>
      <c r="J28" s="23">
        <f>'Annual Raw'!K14</f>
        <v>225.90260000000001</v>
      </c>
      <c r="K28" s="23">
        <f>'Annual Raw'!L14</f>
        <v>198.49119999999999</v>
      </c>
      <c r="L28" s="23">
        <f>'Annual Raw'!M14</f>
        <v>216.7028</v>
      </c>
      <c r="M28" s="23">
        <f>'Annual Raw'!N14</f>
        <v>278.0729</v>
      </c>
      <c r="N28" s="23">
        <f>'Annual Raw'!O14</f>
        <v>351.49270000000001</v>
      </c>
      <c r="O28" s="23">
        <f>'Annual Raw'!P14</f>
        <v>402.95960000000002</v>
      </c>
      <c r="P28" s="23">
        <f>'Annual Raw'!Q14</f>
        <v>460.6112</v>
      </c>
      <c r="Q28" s="23">
        <f>'Annual Raw'!R14</f>
        <v>576.48739999999998</v>
      </c>
      <c r="R28" s="23">
        <f>'Annual Raw'!S14</f>
        <v>665.6825</v>
      </c>
      <c r="S28" s="23">
        <f>'Annual Raw'!T14</f>
        <v>748.74310000000003</v>
      </c>
      <c r="T28" s="23">
        <f>'Annual Raw'!U14</f>
        <v>842.58079999999995</v>
      </c>
      <c r="U28" s="23">
        <f>'Annual Raw'!V14</f>
        <v>950.86760000000004</v>
      </c>
      <c r="V28" s="23">
        <f>'Annual Raw'!W14</f>
        <v>1024.5234</v>
      </c>
      <c r="W28" s="23">
        <f>'Annual Raw'!X14</f>
        <v>1288.1056000000001</v>
      </c>
      <c r="X28" s="23">
        <f>'Annual Raw'!Y14</f>
        <v>1597.7748999999999</v>
      </c>
      <c r="Y28" s="23">
        <f>'Annual Raw'!Z14</f>
        <v>1909.5956000000001</v>
      </c>
      <c r="Z28" s="23">
        <f>'Annual Raw'!AA14</f>
        <v>2046.4269999999999</v>
      </c>
      <c r="AA28" s="23">
        <f>'Annual Raw'!AB14</f>
        <v>2184.1804999999999</v>
      </c>
      <c r="AB28" s="76">
        <f t="shared" ref="AB28:AB33" si="270">+SUM(CM28:CP28)</f>
        <v>2337.0736700000002</v>
      </c>
      <c r="AC28" s="76">
        <f t="shared" ref="AC28:AC33" si="271">+SUM(CQ28:CT28)</f>
        <v>2500.6688269000006</v>
      </c>
      <c r="AD28" s="76">
        <f t="shared" ref="AD28:AD33" si="272">+SUM(CU28:CX28)</f>
        <v>2675.7156447830002</v>
      </c>
      <c r="AE28" s="76">
        <f t="shared" ref="AE28:AE33" si="273">+SUM(CY28:DB28)</f>
        <v>2863.0157399178106</v>
      </c>
      <c r="AI28" s="23">
        <f>'QTR Raw'!C16</f>
        <v>86.42</v>
      </c>
      <c r="AJ28" s="23">
        <f>'QTR Raw'!D16</f>
        <v>85.040999999999997</v>
      </c>
      <c r="AK28" s="23">
        <f>'QTR Raw'!E16</f>
        <v>89.799000000000007</v>
      </c>
      <c r="AL28" s="23">
        <f>'QTR Raw'!F16</f>
        <v>90.233000000000004</v>
      </c>
      <c r="AM28" s="23">
        <f>'QTR Raw'!G16</f>
        <v>93.828000000000003</v>
      </c>
      <c r="AN28" s="23">
        <f>'QTR Raw'!H16</f>
        <v>99.688000000000002</v>
      </c>
      <c r="AO28" s="23">
        <f>'QTR Raw'!I16</f>
        <v>104.35599999999999</v>
      </c>
      <c r="AP28" s="23">
        <f>'QTR Raw'!J16</f>
        <v>105.087</v>
      </c>
      <c r="AQ28" s="23">
        <f>'QTR Raw'!K16</f>
        <v>106.033</v>
      </c>
      <c r="AR28" s="23">
        <f>'QTR Raw'!L16</f>
        <v>113.973</v>
      </c>
      <c r="AS28" s="23">
        <f>'QTR Raw'!M16</f>
        <v>117.53100000000001</v>
      </c>
      <c r="AT28" s="23">
        <f>'QTR Raw'!N16</f>
        <v>123.075</v>
      </c>
      <c r="AU28" s="23">
        <f>'QTR Raw'!O16</f>
        <v>129.14599999999999</v>
      </c>
      <c r="AV28" s="23">
        <f>'QTR Raw'!P16</f>
        <v>143.57400000000001</v>
      </c>
      <c r="AW28" s="23">
        <f>'QTR Raw'!Q16</f>
        <v>147.34700000000001</v>
      </c>
      <c r="AX28" s="23">
        <f>'QTR Raw'!R16</f>
        <v>156.41900000000001</v>
      </c>
      <c r="AY28" s="23">
        <f>'QTR Raw'!S16</f>
        <v>156.34399999999999</v>
      </c>
      <c r="AZ28" s="23">
        <f>'QTR Raw'!T16</f>
        <v>162.315</v>
      </c>
      <c r="BA28" s="23">
        <f>'QTR Raw'!U16</f>
        <v>172.32900000000001</v>
      </c>
      <c r="BB28" s="23">
        <f>'QTR Raw'!V16</f>
        <v>174.69399999999999</v>
      </c>
      <c r="BC28" s="23">
        <f>'QTR Raw'!W16</f>
        <v>179.227</v>
      </c>
      <c r="BD28" s="23">
        <f>'QTR Raw'!X16</f>
        <v>186.43299999999999</v>
      </c>
      <c r="BE28" s="23">
        <f>'QTR Raw'!Y16</f>
        <v>183.92</v>
      </c>
      <c r="BF28" s="23">
        <f>'QTR Raw'!Z16</f>
        <v>201.91499999999999</v>
      </c>
      <c r="BG28" s="23">
        <f>'QTR Raw'!AA16</f>
        <v>196.215</v>
      </c>
      <c r="BH28" s="23">
        <f>'QTR Raw'!AB16</f>
        <v>214.327</v>
      </c>
      <c r="BI28" s="23">
        <f>'QTR Raw'!AC16</f>
        <v>218.06899999999999</v>
      </c>
      <c r="BJ28" s="23">
        <f>'QTR Raw'!AD16</f>
        <v>213.97</v>
      </c>
      <c r="BK28" s="23">
        <f>'QTR Raw'!AE16</f>
        <v>217.518</v>
      </c>
      <c r="BL28" s="23">
        <f>'QTR Raw'!AF16</f>
        <v>236.994</v>
      </c>
      <c r="BM28" s="23">
        <f>'QTR Raw'!AG16</f>
        <v>242.565</v>
      </c>
      <c r="BN28" s="23">
        <f>'QTR Raw'!AH16</f>
        <v>253.791</v>
      </c>
      <c r="BO28" s="23">
        <f>'QTR Raw'!AI16</f>
        <v>250.96299999999999</v>
      </c>
      <c r="BP28" s="23">
        <f>'QTR Raw'!AJ16</f>
        <v>245.886</v>
      </c>
      <c r="BQ28" s="23">
        <f>'QTR Raw'!AK16</f>
        <v>262.83699999999999</v>
      </c>
      <c r="BR28" s="23">
        <f>'QTR Raw'!AL16</f>
        <v>264.83800000000002</v>
      </c>
      <c r="BS28" s="23">
        <f>'QTR Raw'!AM16</f>
        <v>302.887</v>
      </c>
      <c r="BT28" s="23">
        <f>'QTR Raw'!AN16</f>
        <v>310.94600000000003</v>
      </c>
      <c r="BU28" s="23">
        <f>'QTR Raw'!AO16</f>
        <v>329.50599999999997</v>
      </c>
      <c r="BV28" s="23">
        <f>'QTR Raw'!AP16</f>
        <v>344.767</v>
      </c>
      <c r="BW28" s="23">
        <f>'QTR Raw'!AQ16</f>
        <v>365.67899999999997</v>
      </c>
      <c r="BX28" s="23">
        <f>'QTR Raw'!AR16</f>
        <v>392.16500000000002</v>
      </c>
      <c r="BY28" s="23">
        <f>'QTR Raw'!AS16</f>
        <v>410.71300000000002</v>
      </c>
      <c r="BZ28" s="23">
        <f>'QTR Raw'!AT16</f>
        <v>429.21899999999999</v>
      </c>
      <c r="CA28" s="23">
        <f>'QTR Raw'!AU16</f>
        <v>442.43200000000002</v>
      </c>
      <c r="CB28" s="23">
        <f>'QTR Raw'!AV16</f>
        <v>477.33100000000002</v>
      </c>
      <c r="CC28" s="23">
        <f>'QTR Raw'!AW16</f>
        <v>495.77199999999999</v>
      </c>
      <c r="CD28" s="23">
        <f>'QTR Raw'!AX16</f>
        <v>496.351</v>
      </c>
      <c r="CE28" s="23">
        <f>'QTR Raw'!AY16</f>
        <v>498.52300000000002</v>
      </c>
      <c r="CF28" s="23">
        <f>'QTR Raw'!AZ16</f>
        <v>515.07299999999998</v>
      </c>
      <c r="CG28" s="23">
        <f>'QTR Raw'!BA16</f>
        <v>515.24900000000002</v>
      </c>
      <c r="CH28" s="23">
        <f>'QTR Raw'!BB16</f>
        <v>517.58199999999999</v>
      </c>
      <c r="CI28" s="23">
        <f>'QTR Raw'!BC16</f>
        <v>529.14599999999996</v>
      </c>
      <c r="CJ28" s="23">
        <f>'QTR Raw'!BD16</f>
        <v>538.81799999999998</v>
      </c>
      <c r="CK28" s="23">
        <f>'QTR Raw'!BE16</f>
        <v>549.00400000000002</v>
      </c>
      <c r="CL28" s="23">
        <f>'QTR Raw'!BF16</f>
        <v>567.21299999999997</v>
      </c>
      <c r="CM28" s="24">
        <f t="shared" ref="CM28:DB28" si="274">CI28*107%</f>
        <v>566.18621999999993</v>
      </c>
      <c r="CN28" s="24">
        <f t="shared" si="274"/>
        <v>576.53525999999999</v>
      </c>
      <c r="CO28" s="24">
        <f t="shared" si="274"/>
        <v>587.43428000000006</v>
      </c>
      <c r="CP28" s="24">
        <f t="shared" si="274"/>
        <v>606.91791000000001</v>
      </c>
      <c r="CQ28" s="24">
        <f t="shared" si="274"/>
        <v>605.81925539999997</v>
      </c>
      <c r="CR28" s="24">
        <f t="shared" si="274"/>
        <v>616.89272820000008</v>
      </c>
      <c r="CS28" s="24">
        <f t="shared" si="274"/>
        <v>628.5546796000001</v>
      </c>
      <c r="CT28" s="24">
        <f t="shared" si="274"/>
        <v>649.40216370000007</v>
      </c>
      <c r="CU28" s="24">
        <f t="shared" si="274"/>
        <v>648.22660327799997</v>
      </c>
      <c r="CV28" s="24">
        <f t="shared" si="274"/>
        <v>660.07521917400015</v>
      </c>
      <c r="CW28" s="24">
        <f t="shared" si="274"/>
        <v>672.5535071720002</v>
      </c>
      <c r="CX28" s="24">
        <f t="shared" si="274"/>
        <v>694.86031515900015</v>
      </c>
      <c r="CY28" s="24">
        <f t="shared" si="274"/>
        <v>693.60246550746001</v>
      </c>
      <c r="CZ28" s="24">
        <f t="shared" si="274"/>
        <v>706.28048451618019</v>
      </c>
      <c r="DA28" s="24">
        <f t="shared" si="274"/>
        <v>719.63225267404027</v>
      </c>
      <c r="DB28" s="24">
        <f t="shared" si="274"/>
        <v>743.50053722013024</v>
      </c>
      <c r="DE28" s="123"/>
      <c r="DF28" s="23">
        <v>553.81274000000008</v>
      </c>
    </row>
    <row r="29" spans="1:110" s="23" customFormat="1" outlineLevel="1" x14ac:dyDescent="0.2">
      <c r="A29" s="23" t="s">
        <v>10</v>
      </c>
      <c r="B29" s="23">
        <f>'Annual Raw'!C17</f>
        <v>9.5288000000000004</v>
      </c>
      <c r="C29" s="23">
        <f>'Annual Raw'!D17</f>
        <v>8.3062000000000005</v>
      </c>
      <c r="D29" s="23">
        <f>'Annual Raw'!E17</f>
        <v>8.7408000000000001</v>
      </c>
      <c r="E29" s="23">
        <f>'Annual Raw'!F17</f>
        <v>9.4275000000000002</v>
      </c>
      <c r="F29" s="23">
        <f>'Annual Raw'!G17</f>
        <v>12.9869</v>
      </c>
      <c r="G29" s="23">
        <f>'Annual Raw'!H17</f>
        <v>16.089099999999998</v>
      </c>
      <c r="H29" s="23">
        <f>'Annual Raw'!I17</f>
        <v>21.600100000000001</v>
      </c>
      <c r="I29" s="23">
        <f>'Annual Raw'!J17</f>
        <v>28.9023</v>
      </c>
      <c r="J29" s="23">
        <f>'Annual Raw'!K17</f>
        <v>23.5839</v>
      </c>
      <c r="K29" s="23">
        <f>'Annual Raw'!L17</f>
        <v>32.184399999999997</v>
      </c>
      <c r="L29" s="23">
        <f>'Annual Raw'!M17</f>
        <v>0</v>
      </c>
      <c r="M29" s="23">
        <f>'Annual Raw'!N17</f>
        <v>0</v>
      </c>
      <c r="N29" s="23">
        <f>'Annual Raw'!O17</f>
        <v>43.146700000000003</v>
      </c>
      <c r="O29" s="23">
        <f>'Annual Raw'!P17</f>
        <v>49.162199999999999</v>
      </c>
      <c r="P29" s="23">
        <f>'Annual Raw'!Q17</f>
        <v>46.741999999999997</v>
      </c>
      <c r="Q29" s="23">
        <f>'Annual Raw'!R17</f>
        <v>48.317399999999999</v>
      </c>
      <c r="R29" s="23">
        <f>'Annual Raw'!S17</f>
        <v>51.758499999999998</v>
      </c>
      <c r="S29" s="23">
        <f>'Annual Raw'!T17</f>
        <v>54.918799999999997</v>
      </c>
      <c r="T29" s="23">
        <f>'Annual Raw'!U17</f>
        <v>58.8977</v>
      </c>
      <c r="U29" s="23">
        <f>'Annual Raw'!V17</f>
        <v>40.96</v>
      </c>
      <c r="V29" s="23">
        <f>'Annual Raw'!W17</f>
        <v>30.293500000000002</v>
      </c>
      <c r="W29" s="23">
        <f>'Annual Raw'!X17</f>
        <v>39.700699999999998</v>
      </c>
      <c r="X29" s="23">
        <f>'Annual Raw'!Y17</f>
        <v>55.9163</v>
      </c>
      <c r="Y29" s="23">
        <f>'Annual Raw'!Z17</f>
        <v>62.681199999999997</v>
      </c>
      <c r="Z29" s="23">
        <f>'Annual Raw'!AA17</f>
        <v>75.666799999999995</v>
      </c>
      <c r="AA29" s="23">
        <f>'Annual Raw'!AB17</f>
        <v>75.770899999999997</v>
      </c>
      <c r="AB29" s="76">
        <f t="shared" si="270"/>
        <v>0</v>
      </c>
      <c r="AC29" s="76">
        <f t="shared" si="271"/>
        <v>0</v>
      </c>
      <c r="AD29" s="76">
        <f t="shared" si="272"/>
        <v>0</v>
      </c>
      <c r="AE29" s="76">
        <f t="shared" si="273"/>
        <v>0</v>
      </c>
      <c r="AI29" s="23">
        <f>'QTR Raw'!C17</f>
        <v>0</v>
      </c>
      <c r="AJ29" s="23">
        <f>'QTR Raw'!D17</f>
        <v>0</v>
      </c>
      <c r="AK29" s="23">
        <f>'QTR Raw'!E17</f>
        <v>0</v>
      </c>
      <c r="AL29" s="23">
        <f>'QTR Raw'!F17</f>
        <v>0</v>
      </c>
      <c r="AM29" s="23">
        <f>'QTR Raw'!G17</f>
        <v>0</v>
      </c>
      <c r="AN29" s="23">
        <f>'QTR Raw'!H17</f>
        <v>0</v>
      </c>
      <c r="AO29" s="23">
        <f>'QTR Raw'!I17</f>
        <v>0</v>
      </c>
      <c r="AP29" s="23">
        <f>'QTR Raw'!J17</f>
        <v>0</v>
      </c>
      <c r="AQ29" s="23">
        <f>'QTR Raw'!K17</f>
        <v>0</v>
      </c>
      <c r="AR29" s="23">
        <f>'QTR Raw'!L17</f>
        <v>0</v>
      </c>
      <c r="AS29" s="23">
        <f>'QTR Raw'!M17</f>
        <v>0</v>
      </c>
      <c r="AT29" s="23">
        <f>'QTR Raw'!N17</f>
        <v>0</v>
      </c>
      <c r="AU29" s="23">
        <f>'QTR Raw'!O17</f>
        <v>0</v>
      </c>
      <c r="AV29" s="23">
        <f>'QTR Raw'!P17</f>
        <v>0</v>
      </c>
      <c r="AW29" s="23">
        <f>'QTR Raw'!Q17</f>
        <v>0</v>
      </c>
      <c r="AX29" s="23">
        <f>'QTR Raw'!R17</f>
        <v>0</v>
      </c>
      <c r="AY29" s="23">
        <f>'QTR Raw'!S17</f>
        <v>0</v>
      </c>
      <c r="AZ29" s="23">
        <f>'QTR Raw'!T17</f>
        <v>0</v>
      </c>
      <c r="BA29" s="23">
        <f>'QTR Raw'!U17</f>
        <v>0</v>
      </c>
      <c r="BB29" s="23">
        <f>'QTR Raw'!V17</f>
        <v>0</v>
      </c>
      <c r="BC29" s="23">
        <f>'QTR Raw'!W17</f>
        <v>0</v>
      </c>
      <c r="BD29" s="23">
        <f>'QTR Raw'!X17</f>
        <v>0</v>
      </c>
      <c r="BE29" s="23">
        <f>'QTR Raw'!Y17</f>
        <v>0</v>
      </c>
      <c r="BF29" s="23">
        <f>'QTR Raw'!Z17</f>
        <v>0</v>
      </c>
      <c r="BG29" s="23">
        <f>'QTR Raw'!AA17</f>
        <v>0</v>
      </c>
      <c r="BH29" s="23">
        <f>'QTR Raw'!AB17</f>
        <v>0</v>
      </c>
      <c r="BI29" s="23">
        <f>'QTR Raw'!AC17</f>
        <v>0</v>
      </c>
      <c r="BJ29" s="23">
        <f>'QTR Raw'!AD17</f>
        <v>0</v>
      </c>
      <c r="BK29" s="23">
        <f>'QTR Raw'!AE17</f>
        <v>0</v>
      </c>
      <c r="BL29" s="23">
        <f>'QTR Raw'!AF17</f>
        <v>0</v>
      </c>
      <c r="BM29" s="23">
        <f>'QTR Raw'!AG17</f>
        <v>0</v>
      </c>
      <c r="BN29" s="23">
        <f>'QTR Raw'!AH17</f>
        <v>0</v>
      </c>
      <c r="BO29" s="23">
        <f>'QTR Raw'!AI17</f>
        <v>0</v>
      </c>
      <c r="BP29" s="23">
        <f>'QTR Raw'!AJ17</f>
        <v>0</v>
      </c>
      <c r="BQ29" s="23">
        <f>'QTR Raw'!AK17</f>
        <v>0</v>
      </c>
      <c r="BR29" s="23">
        <f>'QTR Raw'!AL17</f>
        <v>0</v>
      </c>
      <c r="BS29" s="23">
        <f>'QTR Raw'!AM17</f>
        <v>0</v>
      </c>
      <c r="BT29" s="23">
        <f>'QTR Raw'!AN17</f>
        <v>0</v>
      </c>
      <c r="BU29" s="23">
        <f>'QTR Raw'!AO17</f>
        <v>0</v>
      </c>
      <c r="BV29" s="23">
        <f>'QTR Raw'!AP17</f>
        <v>0</v>
      </c>
      <c r="BW29" s="23">
        <f>'QTR Raw'!AQ17</f>
        <v>0</v>
      </c>
      <c r="BX29" s="23">
        <f>'QTR Raw'!AR17</f>
        <v>0</v>
      </c>
      <c r="BY29" s="23">
        <f>'QTR Raw'!AS17</f>
        <v>0</v>
      </c>
      <c r="BZ29" s="23">
        <f>'QTR Raw'!AT17</f>
        <v>0</v>
      </c>
      <c r="CA29" s="23">
        <f>'QTR Raw'!AU17</f>
        <v>0</v>
      </c>
      <c r="CB29" s="23">
        <f>'QTR Raw'!AV17</f>
        <v>0</v>
      </c>
      <c r="CC29" s="23">
        <f>'QTR Raw'!AW17</f>
        <v>0</v>
      </c>
      <c r="CD29" s="23">
        <f>'QTR Raw'!AX17</f>
        <v>0</v>
      </c>
      <c r="CE29" s="23">
        <f>'QTR Raw'!AY17</f>
        <v>0</v>
      </c>
      <c r="CF29" s="23">
        <f>'QTR Raw'!AZ17</f>
        <v>0</v>
      </c>
      <c r="CG29" s="23">
        <f>'QTR Raw'!BA17</f>
        <v>0</v>
      </c>
      <c r="CH29" s="23">
        <f>'QTR Raw'!BB17</f>
        <v>0</v>
      </c>
      <c r="CI29" s="23">
        <f>'QTR Raw'!BC17</f>
        <v>0</v>
      </c>
      <c r="CJ29" s="23">
        <f>'QTR Raw'!BD17</f>
        <v>0</v>
      </c>
      <c r="CK29" s="23">
        <f>'QTR Raw'!BE17</f>
        <v>0</v>
      </c>
      <c r="CL29" s="23">
        <f>'QTR Raw'!BF17</f>
        <v>0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12</v>
      </c>
      <c r="B30" s="23">
        <f>'Annual Raw'!C19-'Annual Raw'!C20</f>
        <v>2.6282000000000001</v>
      </c>
      <c r="C30" s="23">
        <f>'Annual Raw'!D19-'Annual Raw'!D20</f>
        <v>1.1299999999999999</v>
      </c>
      <c r="D30" s="23">
        <f>'Annual Raw'!E19-'Annual Raw'!E20</f>
        <v>2.0977999999999999</v>
      </c>
      <c r="E30" s="23">
        <f>'Annual Raw'!F19-'Annual Raw'!F20</f>
        <v>4.5462999999999996</v>
      </c>
      <c r="F30" s="23">
        <f>'Annual Raw'!G19-'Annual Raw'!G20</f>
        <v>1.7335</v>
      </c>
      <c r="G30" s="23">
        <f>'Annual Raw'!H19-'Annual Raw'!H20</f>
        <v>1.0578000000000001</v>
      </c>
      <c r="H30" s="23">
        <f>'Annual Raw'!I19-'Annual Raw'!I20</f>
        <v>4.4576000000000002</v>
      </c>
      <c r="I30" s="23">
        <f>'Annual Raw'!J19-'Annual Raw'!J20</f>
        <v>6.3125</v>
      </c>
      <c r="J30" s="23">
        <f>'Annual Raw'!K19-'Annual Raw'!K20</f>
        <v>7.3262999999999998</v>
      </c>
      <c r="K30" s="23">
        <f>'Annual Raw'!L19-'Annual Raw'!L20</f>
        <v>10.68</v>
      </c>
      <c r="L30" s="23">
        <f>'Annual Raw'!M19-'Annual Raw'!M20</f>
        <v>16.409800000000001</v>
      </c>
      <c r="M30" s="23">
        <f>'Annual Raw'!N19-'Annual Raw'!N20</f>
        <v>17.2117</v>
      </c>
      <c r="N30" s="23">
        <f>'Annual Raw'!O19-'Annual Raw'!O20</f>
        <v>2.4123999999999999</v>
      </c>
      <c r="O30" s="23">
        <f>'Annual Raw'!P19-'Annual Raw'!P20</f>
        <v>33.816200000000002</v>
      </c>
      <c r="P30" s="23">
        <f>'Annual Raw'!Q19-'Annual Raw'!Q20</f>
        <v>10.9193</v>
      </c>
      <c r="Q30" s="23">
        <f>'Annual Raw'!R19-'Annual Raw'!R20</f>
        <v>6.1349999999999998</v>
      </c>
      <c r="R30" s="23">
        <f>'Annual Raw'!S19-'Annual Raw'!S20</f>
        <v>28.555299999999999</v>
      </c>
      <c r="S30" s="23">
        <f>'Annual Raw'!T19-'Annual Raw'!T20</f>
        <v>6.1822999999999997</v>
      </c>
      <c r="T30" s="23">
        <f>'Annual Raw'!U19-'Annual Raw'!U20</f>
        <v>7.7274000000000003</v>
      </c>
      <c r="U30" s="23">
        <f>'Annual Raw'!V19-'Annual Raw'!V20</f>
        <v>15.7628</v>
      </c>
      <c r="V30" s="23">
        <f>'Annual Raw'!W19-'Annual Raw'!W20</f>
        <v>18.539899999999999</v>
      </c>
      <c r="W30" s="23">
        <f>'Annual Raw'!X19-'Annual Raw'!X20</f>
        <v>19.099499999999999</v>
      </c>
      <c r="X30" s="23">
        <f>'Annual Raw'!Y19-'Annual Raw'!Y20</f>
        <v>12.9392</v>
      </c>
      <c r="Y30" s="23">
        <f>'Annual Raw'!Z19-'Annual Raw'!Z20</f>
        <v>13.953099999999999</v>
      </c>
      <c r="Z30" s="23">
        <f>'Annual Raw'!AA19-'Annual Raw'!AA20</f>
        <v>43.792900000000003</v>
      </c>
      <c r="AA30" s="23">
        <f>'Annual Raw'!AB19-'Annual Raw'!AB20</f>
        <v>48.046500000000002</v>
      </c>
      <c r="AB30" s="76">
        <f t="shared" si="270"/>
        <v>0</v>
      </c>
      <c r="AC30" s="76">
        <f t="shared" si="271"/>
        <v>0</v>
      </c>
      <c r="AD30" s="76">
        <f t="shared" si="272"/>
        <v>0</v>
      </c>
      <c r="AE30" s="76">
        <f t="shared" si="273"/>
        <v>0</v>
      </c>
      <c r="AI30" s="23">
        <f>+'QTR Raw'!C21</f>
        <v>0</v>
      </c>
      <c r="AJ30" s="23">
        <f>+'QTR Raw'!D21</f>
        <v>0</v>
      </c>
      <c r="AK30" s="23">
        <f>+'QTR Raw'!E21</f>
        <v>0</v>
      </c>
      <c r="AL30" s="23">
        <f>+'QTR Raw'!F21</f>
        <v>0</v>
      </c>
      <c r="AM30" s="23">
        <f>+'QTR Raw'!G21</f>
        <v>0</v>
      </c>
      <c r="AN30" s="23">
        <f>+'QTR Raw'!H21</f>
        <v>0</v>
      </c>
      <c r="AO30" s="23">
        <f>+'QTR Raw'!I21</f>
        <v>0</v>
      </c>
      <c r="AP30" s="23">
        <f>+'QTR Raw'!J21</f>
        <v>0</v>
      </c>
      <c r="AQ30" s="23">
        <f>+'QTR Raw'!K21</f>
        <v>0</v>
      </c>
      <c r="AR30" s="23">
        <f>+'QTR Raw'!L21</f>
        <v>0</v>
      </c>
      <c r="AS30" s="23">
        <f>+'QTR Raw'!M21</f>
        <v>0</v>
      </c>
      <c r="AT30" s="23">
        <f>+'QTR Raw'!N21</f>
        <v>0</v>
      </c>
      <c r="AU30" s="23">
        <f>+'QTR Raw'!O21</f>
        <v>0</v>
      </c>
      <c r="AV30" s="23">
        <f>+'QTR Raw'!P21</f>
        <v>0</v>
      </c>
      <c r="AW30" s="23">
        <f>+'QTR Raw'!Q21</f>
        <v>0</v>
      </c>
      <c r="AX30" s="23">
        <f>+'QTR Raw'!R21</f>
        <v>0</v>
      </c>
      <c r="AY30" s="23">
        <f>+'QTR Raw'!S21</f>
        <v>0</v>
      </c>
      <c r="AZ30" s="23">
        <f>+'QTR Raw'!T21</f>
        <v>0</v>
      </c>
      <c r="BA30" s="23">
        <f>+'QTR Raw'!U21</f>
        <v>0</v>
      </c>
      <c r="BB30" s="23">
        <f>+'QTR Raw'!V21</f>
        <v>0</v>
      </c>
      <c r="BC30" s="23">
        <f>+'QTR Raw'!W21</f>
        <v>0</v>
      </c>
      <c r="BD30" s="23">
        <f>+'QTR Raw'!X21</f>
        <v>0</v>
      </c>
      <c r="BE30" s="23">
        <f>+'QTR Raw'!Y21</f>
        <v>0</v>
      </c>
      <c r="BF30" s="23">
        <f>+'QTR Raw'!Z21</f>
        <v>0</v>
      </c>
      <c r="BG30" s="23">
        <f>+'QTR Raw'!AA21</f>
        <v>0</v>
      </c>
      <c r="BH30" s="23">
        <f>+'QTR Raw'!AB21</f>
        <v>0</v>
      </c>
      <c r="BI30" s="23">
        <f>+'QTR Raw'!AC21</f>
        <v>0</v>
      </c>
      <c r="BJ30" s="23">
        <f>+'QTR Raw'!AD21</f>
        <v>0</v>
      </c>
      <c r="BK30" s="23">
        <f>+'QTR Raw'!AE21</f>
        <v>0</v>
      </c>
      <c r="BL30" s="23">
        <f>+'QTR Raw'!AF21</f>
        <v>0</v>
      </c>
      <c r="BM30" s="23">
        <f>+'QTR Raw'!AG21</f>
        <v>0</v>
      </c>
      <c r="BN30" s="23">
        <f>+'QTR Raw'!AH21</f>
        <v>0</v>
      </c>
      <c r="BO30" s="23">
        <f>+'QTR Raw'!AI21</f>
        <v>0</v>
      </c>
      <c r="BP30" s="23">
        <f>+'QTR Raw'!AJ21</f>
        <v>0</v>
      </c>
      <c r="BQ30" s="23">
        <f>+'QTR Raw'!AK21</f>
        <v>0</v>
      </c>
      <c r="BR30" s="23">
        <f>+'QTR Raw'!AL21</f>
        <v>0</v>
      </c>
      <c r="BS30" s="23">
        <f>+'QTR Raw'!AM21</f>
        <v>0</v>
      </c>
      <c r="BT30" s="23">
        <f>+'QTR Raw'!AN21</f>
        <v>0</v>
      </c>
      <c r="BU30" s="23">
        <f>+'QTR Raw'!AO21</f>
        <v>0</v>
      </c>
      <c r="BV30" s="23">
        <f>+'QTR Raw'!AP21</f>
        <v>0</v>
      </c>
      <c r="BW30" s="23">
        <f>+'QTR Raw'!AQ21</f>
        <v>0</v>
      </c>
      <c r="BX30" s="23">
        <f>+'QTR Raw'!AR21</f>
        <v>0</v>
      </c>
      <c r="BY30" s="23">
        <f>+'QTR Raw'!AS21</f>
        <v>0</v>
      </c>
      <c r="BZ30" s="23">
        <f>+'QTR Raw'!AT21</f>
        <v>0</v>
      </c>
      <c r="CA30" s="23">
        <f>+'QTR Raw'!AU21</f>
        <v>0</v>
      </c>
      <c r="CB30" s="23">
        <f>+'QTR Raw'!AV21</f>
        <v>0</v>
      </c>
      <c r="CC30" s="23">
        <f>+'QTR Raw'!AW21</f>
        <v>0</v>
      </c>
      <c r="CD30" s="23">
        <f>+'QTR Raw'!AX21</f>
        <v>0</v>
      </c>
      <c r="CE30" s="23">
        <f>+'QTR Raw'!AY21</f>
        <v>0</v>
      </c>
      <c r="CF30" s="23">
        <f>+'QTR Raw'!AZ21</f>
        <v>0</v>
      </c>
      <c r="CG30" s="23">
        <f>+'QTR Raw'!BA21</f>
        <v>0</v>
      </c>
      <c r="CH30" s="23">
        <f>+'QTR Raw'!BB21</f>
        <v>0</v>
      </c>
      <c r="CI30" s="23">
        <f>+'QTR Raw'!BC21</f>
        <v>0</v>
      </c>
      <c r="CJ30" s="23">
        <f>+'QTR Raw'!BD21</f>
        <v>0</v>
      </c>
      <c r="CK30" s="23">
        <f>+'QTR Raw'!BE21</f>
        <v>0</v>
      </c>
      <c r="CL30" s="23">
        <f>+'QTR Raw'!BF21</f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9</v>
      </c>
      <c r="B31" s="23">
        <f>'Annual Raw'!C15+'Annual Raw'!C16</f>
        <v>9.8292999999999999</v>
      </c>
      <c r="C31" s="23">
        <f>'Annual Raw'!D15+'Annual Raw'!D16</f>
        <v>9.9550000000000001</v>
      </c>
      <c r="D31" s="23">
        <f>'Annual Raw'!E15+'Annual Raw'!E16</f>
        <v>13.3263</v>
      </c>
      <c r="E31" s="23">
        <f>'Annual Raw'!F15+'Annual Raw'!F16</f>
        <v>12.3727</v>
      </c>
      <c r="F31" s="23">
        <f>'Annual Raw'!G15+'Annual Raw'!G16</f>
        <v>13.264799999999999</v>
      </c>
      <c r="G31" s="23">
        <f>'Annual Raw'!H15+'Annual Raw'!H16</f>
        <v>14.6759</v>
      </c>
      <c r="H31" s="23">
        <f>'Annual Raw'!I15+'Annual Raw'!I16</f>
        <v>34.002699999999997</v>
      </c>
      <c r="I31" s="23">
        <f>'Annual Raw'!J15+'Annual Raw'!J16</f>
        <v>37.067799999999998</v>
      </c>
      <c r="J31" s="23">
        <f>'Annual Raw'!K15+'Annual Raw'!K16</f>
        <v>52.633800000000001</v>
      </c>
      <c r="K31" s="23">
        <f>'Annual Raw'!L15+'Annual Raw'!L16</f>
        <v>42.610199999999999</v>
      </c>
      <c r="L31" s="23">
        <f>'Annual Raw'!M15+'Annual Raw'!M16</f>
        <v>0</v>
      </c>
      <c r="M31" s="23">
        <f>'Annual Raw'!N15+'Annual Raw'!N16</f>
        <v>0</v>
      </c>
      <c r="N31" s="23">
        <f>'Annual Raw'!O15+'Annual Raw'!O16</f>
        <v>108.7396</v>
      </c>
      <c r="O31" s="23">
        <f>'Annual Raw'!P15+'Annual Raw'!P16</f>
        <v>119.1789</v>
      </c>
      <c r="P31" s="23">
        <f>'Annual Raw'!Q15+'Annual Raw'!Q16</f>
        <v>123.8235</v>
      </c>
      <c r="Q31" s="23">
        <f>'Annual Raw'!R15+'Annual Raw'!R16</f>
        <v>153.66470000000001</v>
      </c>
      <c r="R31" s="23">
        <f>'Annual Raw'!S15+'Annual Raw'!S16</f>
        <v>177.26300000000001</v>
      </c>
      <c r="S31" s="23">
        <f>'Annual Raw'!T15+'Annual Raw'!T16</f>
        <v>193.8595</v>
      </c>
      <c r="T31" s="23">
        <f>'Annual Raw'!U15+'Annual Raw'!U16</f>
        <v>235.26140000000001</v>
      </c>
      <c r="U31" s="23">
        <f>'Annual Raw'!V15+'Annual Raw'!V16</f>
        <v>230.27180000000001</v>
      </c>
      <c r="V31" s="23">
        <f>'Annual Raw'!W15+'Annual Raw'!W16</f>
        <v>195.44820000000001</v>
      </c>
      <c r="W31" s="23">
        <f>'Annual Raw'!X15+'Annual Raw'!X16</f>
        <v>315.85149999999999</v>
      </c>
      <c r="X31" s="23">
        <f>'Annual Raw'!Y15+'Annual Raw'!Y16</f>
        <v>462.80180000000001</v>
      </c>
      <c r="Y31" s="23">
        <f>'Annual Raw'!Z15+'Annual Raw'!Z16</f>
        <v>463.59289999999999</v>
      </c>
      <c r="Z31" s="23">
        <f>'Annual Raw'!AA15+'Annual Raw'!AA16</f>
        <v>521.68389999999999</v>
      </c>
      <c r="AA31" s="23">
        <f>'Annual Raw'!AB15+'Annual Raw'!AB16</f>
        <v>552.05579999999998</v>
      </c>
      <c r="AB31" s="76">
        <f t="shared" si="270"/>
        <v>597.11937812312885</v>
      </c>
      <c r="AC31" s="76">
        <f t="shared" si="271"/>
        <v>715.91799650756025</v>
      </c>
      <c r="AD31" s="76">
        <f t="shared" si="272"/>
        <v>817.63662603487887</v>
      </c>
      <c r="AE31" s="76">
        <f t="shared" si="273"/>
        <v>741.56315917150584</v>
      </c>
      <c r="AI31" s="23">
        <f>'QTR Raw'!C14</f>
        <v>32.078000000000003</v>
      </c>
      <c r="AJ31" s="23">
        <f>'QTR Raw'!D14</f>
        <v>33.101999999999997</v>
      </c>
      <c r="AK31" s="23">
        <f>'QTR Raw'!E14</f>
        <v>36.892000000000003</v>
      </c>
      <c r="AL31" s="23">
        <f>'QTR Raw'!F14</f>
        <v>36.654000000000003</v>
      </c>
      <c r="AM31" s="23">
        <f>'QTR Raw'!G14</f>
        <v>40.58</v>
      </c>
      <c r="AN31" s="23">
        <f>'QTR Raw'!H14</f>
        <v>45.156999999999996</v>
      </c>
      <c r="AO31" s="23">
        <f>'QTR Raw'!I14</f>
        <v>38.79</v>
      </c>
      <c r="AP31" s="23">
        <f>'QTR Raw'!J14</f>
        <v>35.593000000000004</v>
      </c>
      <c r="AQ31" s="23">
        <f>'QTR Raw'!K14</f>
        <v>31.084</v>
      </c>
      <c r="AR31" s="23">
        <f>'QTR Raw'!L14</f>
        <v>33.372</v>
      </c>
      <c r="AS31" s="23">
        <f>'QTR Raw'!M14</f>
        <v>34.244</v>
      </c>
      <c r="AT31" s="23">
        <f>'QTR Raw'!N14</f>
        <v>37.564999999999998</v>
      </c>
      <c r="AU31" s="23">
        <f>'QTR Raw'!O14</f>
        <v>45.011000000000003</v>
      </c>
      <c r="AV31" s="23">
        <f>'QTR Raw'!P14</f>
        <v>41.460999999999999</v>
      </c>
      <c r="AW31" s="23">
        <f>'QTR Raw'!Q14</f>
        <v>46.158000000000001</v>
      </c>
      <c r="AX31" s="23">
        <f>'QTR Raw'!R14</f>
        <v>49.021999999999998</v>
      </c>
      <c r="AY31" s="23">
        <f>'QTR Raw'!S14</f>
        <v>52.457999999999998</v>
      </c>
      <c r="AZ31" s="23">
        <f>'QTR Raw'!T14</f>
        <v>47.593000000000004</v>
      </c>
      <c r="BA31" s="23">
        <f>'QTR Raw'!U14</f>
        <v>51.222000000000001</v>
      </c>
      <c r="BB31" s="23">
        <f>'QTR Raw'!V14</f>
        <v>50.436</v>
      </c>
      <c r="BC31" s="23">
        <f>'QTR Raw'!W14</f>
        <v>51.432000000000002</v>
      </c>
      <c r="BD31" s="23">
        <f>'QTR Raw'!X14</f>
        <v>50.817999999999998</v>
      </c>
      <c r="BE31" s="23">
        <f>'QTR Raw'!Y14</f>
        <v>52.793999999999997</v>
      </c>
      <c r="BF31" s="23">
        <f>'QTR Raw'!Z14</f>
        <v>56.432000000000002</v>
      </c>
      <c r="BG31" s="23">
        <f>'QTR Raw'!AA14</f>
        <v>56.457000000000001</v>
      </c>
      <c r="BH31" s="23">
        <f>'QTR Raw'!AB14</f>
        <v>59.167000000000002</v>
      </c>
      <c r="BI31" s="23">
        <f>'QTR Raw'!AC14</f>
        <v>62.451999999999998</v>
      </c>
      <c r="BJ31" s="23">
        <f>'QTR Raw'!AD14</f>
        <v>62.341000000000001</v>
      </c>
      <c r="BK31" s="23">
        <f>'QTR Raw'!AE14</f>
        <v>59.088999999999999</v>
      </c>
      <c r="BL31" s="23">
        <f>'QTR Raw'!AF14</f>
        <v>55.393999999999998</v>
      </c>
      <c r="BM31" s="23">
        <f>'QTR Raw'!AG14</f>
        <v>64.501999999999995</v>
      </c>
      <c r="BN31" s="23">
        <f>'QTR Raw'!AH14</f>
        <v>55.929000000000002</v>
      </c>
      <c r="BO31" s="23">
        <f>'QTR Raw'!AI14</f>
        <v>41.497</v>
      </c>
      <c r="BP31" s="23">
        <f>'QTR Raw'!AJ14</f>
        <v>45.24</v>
      </c>
      <c r="BQ31" s="23">
        <f>'QTR Raw'!AK14</f>
        <v>48.82</v>
      </c>
      <c r="BR31" s="23">
        <f>'QTR Raw'!AL14</f>
        <v>54.683999999999997</v>
      </c>
      <c r="BS31" s="23">
        <f>'QTR Raw'!AM14</f>
        <v>65.721000000000004</v>
      </c>
      <c r="BT31" s="23">
        <f>'QTR Raw'!AN14</f>
        <v>70.433000000000007</v>
      </c>
      <c r="BU31" s="23">
        <f>'QTR Raw'!AO14</f>
        <v>72.777000000000001</v>
      </c>
      <c r="BV31" s="23">
        <f>'QTR Raw'!AP14</f>
        <v>81.849000000000004</v>
      </c>
      <c r="BW31" s="23">
        <f>'QTR Raw'!AQ14</f>
        <v>82.31</v>
      </c>
      <c r="BX31" s="23">
        <f>'QTR Raw'!AR14</f>
        <v>102.895</v>
      </c>
      <c r="BY31" s="23">
        <f>'QTR Raw'!AS14</f>
        <v>111.01900000000001</v>
      </c>
      <c r="BZ31" s="23">
        <f>'QTR Raw'!AT14</f>
        <v>103.148</v>
      </c>
      <c r="CA31" s="23">
        <f>'QTR Raw'!AU14</f>
        <v>98.197000000000003</v>
      </c>
      <c r="CB31" s="23">
        <f>'QTR Raw'!AV14</f>
        <v>90.962999999999994</v>
      </c>
      <c r="CC31" s="23">
        <f>'QTR Raw'!AW14</f>
        <v>103.779</v>
      </c>
      <c r="CD31" s="23">
        <f>'QTR Raw'!AX14</f>
        <v>107.541</v>
      </c>
      <c r="CE31" s="23">
        <f>'QTR Raw'!AY14</f>
        <v>125.26</v>
      </c>
      <c r="CF31" s="23">
        <f>'QTR Raw'!AZ14</f>
        <v>114.416</v>
      </c>
      <c r="CG31" s="23">
        <f>'QTR Raw'!BA14</f>
        <v>121.286</v>
      </c>
      <c r="CH31" s="23">
        <f>'QTR Raw'!BB14</f>
        <v>108.944</v>
      </c>
      <c r="CI31" s="23">
        <f>'QTR Raw'!BC14</f>
        <v>109.702</v>
      </c>
      <c r="CJ31" s="23">
        <f>'QTR Raw'!BD14</f>
        <v>113.59699999999999</v>
      </c>
      <c r="CK31" s="23">
        <f>'QTR Raw'!BE14</f>
        <v>115.83499999999999</v>
      </c>
      <c r="CL31" s="23">
        <f>'QTR Raw'!BF14</f>
        <v>111.491</v>
      </c>
      <c r="CM31" s="24">
        <f t="shared" ref="CM31:DB31" si="275">CM34-CM28-CM29-CM30-CM32-CM33</f>
        <v>123.11697897333602</v>
      </c>
      <c r="CN31" s="24">
        <f t="shared" si="275"/>
        <v>143.03405214074257</v>
      </c>
      <c r="CO31" s="24">
        <f t="shared" si="275"/>
        <v>161.96342210736077</v>
      </c>
      <c r="CP31" s="24">
        <f t="shared" si="275"/>
        <v>169.00492490168949</v>
      </c>
      <c r="CQ31" s="24">
        <f t="shared" si="275"/>
        <v>163.7037197406114</v>
      </c>
      <c r="CR31" s="24">
        <f t="shared" si="275"/>
        <v>177.84455822992925</v>
      </c>
      <c r="CS31" s="24">
        <f t="shared" si="275"/>
        <v>188.39141207759258</v>
      </c>
      <c r="CT31" s="24">
        <f t="shared" si="275"/>
        <v>185.97830645942702</v>
      </c>
      <c r="CU31" s="24">
        <f t="shared" si="275"/>
        <v>206.4434814677287</v>
      </c>
      <c r="CV31" s="24">
        <f t="shared" si="275"/>
        <v>207.02986705308012</v>
      </c>
      <c r="CW31" s="24">
        <f t="shared" si="275"/>
        <v>206.79993814772172</v>
      </c>
      <c r="CX31" s="24">
        <f t="shared" si="275"/>
        <v>197.36333936634833</v>
      </c>
      <c r="CY31" s="24">
        <f t="shared" si="275"/>
        <v>195.52585968085975</v>
      </c>
      <c r="CZ31" s="24">
        <f t="shared" si="275"/>
        <v>191.53563021242155</v>
      </c>
      <c r="DA31" s="24">
        <f t="shared" si="275"/>
        <v>185.9081877481384</v>
      </c>
      <c r="DB31" s="24">
        <f t="shared" si="275"/>
        <v>168.59348153008614</v>
      </c>
      <c r="DE31" s="123"/>
      <c r="DF31" s="23">
        <v>113.74915756025621</v>
      </c>
    </row>
    <row r="32" spans="1:110" s="23" customFormat="1" outlineLevel="1" x14ac:dyDescent="0.2">
      <c r="A32" s="23" t="s">
        <v>7</v>
      </c>
      <c r="B32" s="23">
        <f>'Annual Raw'!C13</f>
        <v>0.74860000000000004</v>
      </c>
      <c r="C32" s="23">
        <f>'Annual Raw'!D13</f>
        <v>0.85509999999999997</v>
      </c>
      <c r="D32" s="23">
        <f>'Annual Raw'!E13</f>
        <v>1.0044</v>
      </c>
      <c r="E32" s="23">
        <f>'Annual Raw'!F13</f>
        <v>1.1838</v>
      </c>
      <c r="F32" s="23">
        <f>'Annual Raw'!G13</f>
        <v>1.7032</v>
      </c>
      <c r="G32" s="23">
        <f>'Annual Raw'!H13</f>
        <v>2.7069999999999999</v>
      </c>
      <c r="H32" s="23">
        <f>'Annual Raw'!I13</f>
        <v>3.4929999999999999</v>
      </c>
      <c r="I32" s="23">
        <f>'Annual Raw'!J13</f>
        <v>5.5614999999999997</v>
      </c>
      <c r="J32" s="23">
        <f>'Annual Raw'!K13</f>
        <v>6.3975999999999997</v>
      </c>
      <c r="K32" s="23">
        <f>'Annual Raw'!L13</f>
        <v>6.4099000000000004</v>
      </c>
      <c r="L32" s="23">
        <f>'Annual Raw'!M13</f>
        <v>6.4214000000000002</v>
      </c>
      <c r="M32" s="23">
        <f>'Annual Raw'!N13</f>
        <v>7.3738999999999999</v>
      </c>
      <c r="N32" s="23">
        <f>'Annual Raw'!O13</f>
        <v>7.9004000000000003</v>
      </c>
      <c r="O32" s="23">
        <f>'Annual Raw'!P13</f>
        <v>7.6943000000000001</v>
      </c>
      <c r="P32" s="23">
        <f>'Annual Raw'!Q13</f>
        <v>8.2020999999999997</v>
      </c>
      <c r="Q32" s="23">
        <f>'Annual Raw'!R13</f>
        <v>8.8564000000000007</v>
      </c>
      <c r="R32" s="23">
        <f>'Annual Raw'!S13</f>
        <v>8.6511999999999993</v>
      </c>
      <c r="S32" s="23">
        <f>'Annual Raw'!T13</f>
        <v>8.8285999999999998</v>
      </c>
      <c r="T32" s="23">
        <f>'Annual Raw'!U13</f>
        <v>8.7139000000000006</v>
      </c>
      <c r="U32" s="23">
        <f>'Annual Raw'!V13</f>
        <v>8.9633000000000003</v>
      </c>
      <c r="V32" s="23">
        <f>'Annual Raw'!W13</f>
        <v>7.0583999999999998</v>
      </c>
      <c r="W32" s="23">
        <f>'Annual Raw'!X13</f>
        <v>7.6524999999999999</v>
      </c>
      <c r="X32" s="23">
        <f>'Annual Raw'!Y13</f>
        <v>10.2525</v>
      </c>
      <c r="Y32" s="23">
        <f>'Annual Raw'!Z13</f>
        <v>13.7835</v>
      </c>
      <c r="Z32" s="23">
        <f>'Annual Raw'!AA13</f>
        <v>15.299899999999999</v>
      </c>
      <c r="AA32" s="23">
        <f>'Annual Raw'!AB13</f>
        <v>13.886100000000001</v>
      </c>
      <c r="AB32" s="76">
        <f t="shared" si="270"/>
        <v>0</v>
      </c>
      <c r="AC32" s="76">
        <f t="shared" si="271"/>
        <v>0</v>
      </c>
      <c r="AD32" s="76">
        <f t="shared" si="272"/>
        <v>0</v>
      </c>
      <c r="AE32" s="76">
        <f t="shared" si="273"/>
        <v>0</v>
      </c>
      <c r="AI32" s="23">
        <f>'QTR Raw'!C15</f>
        <v>0</v>
      </c>
      <c r="AJ32" s="23">
        <f>'QTR Raw'!D15</f>
        <v>0</v>
      </c>
      <c r="AK32" s="23">
        <f>'QTR Raw'!E15</f>
        <v>0</v>
      </c>
      <c r="AL32" s="23">
        <f>'QTR Raw'!F15</f>
        <v>0</v>
      </c>
      <c r="AM32" s="23">
        <f>'QTR Raw'!G15</f>
        <v>0</v>
      </c>
      <c r="AN32" s="23">
        <f>'QTR Raw'!H15</f>
        <v>0</v>
      </c>
      <c r="AO32" s="23">
        <f>'QTR Raw'!I15</f>
        <v>0</v>
      </c>
      <c r="AP32" s="23">
        <f>'QTR Raw'!J15</f>
        <v>0</v>
      </c>
      <c r="AQ32" s="23">
        <f>'QTR Raw'!K15</f>
        <v>0</v>
      </c>
      <c r="AR32" s="23">
        <f>'QTR Raw'!L15</f>
        <v>0</v>
      </c>
      <c r="AS32" s="23">
        <f>'QTR Raw'!M15</f>
        <v>0</v>
      </c>
      <c r="AT32" s="23">
        <f>'QTR Raw'!N15</f>
        <v>0</v>
      </c>
      <c r="AU32" s="23">
        <f>'QTR Raw'!O15</f>
        <v>0</v>
      </c>
      <c r="AV32" s="23">
        <f>'QTR Raw'!P15</f>
        <v>0</v>
      </c>
      <c r="AW32" s="23">
        <f>'QTR Raw'!Q15</f>
        <v>0</v>
      </c>
      <c r="AX32" s="23">
        <f>'QTR Raw'!R15</f>
        <v>0</v>
      </c>
      <c r="AY32" s="23">
        <f>'QTR Raw'!S15</f>
        <v>0</v>
      </c>
      <c r="AZ32" s="23">
        <f>'QTR Raw'!T15</f>
        <v>0</v>
      </c>
      <c r="BA32" s="23">
        <f>'QTR Raw'!U15</f>
        <v>0</v>
      </c>
      <c r="BB32" s="23">
        <f>'QTR Raw'!V15</f>
        <v>0</v>
      </c>
      <c r="BC32" s="23">
        <f>'QTR Raw'!W15</f>
        <v>0</v>
      </c>
      <c r="BD32" s="23">
        <f>'QTR Raw'!X15</f>
        <v>0</v>
      </c>
      <c r="BE32" s="23">
        <f>'QTR Raw'!Y15</f>
        <v>0</v>
      </c>
      <c r="BF32" s="23">
        <f>'QTR Raw'!Z15</f>
        <v>0</v>
      </c>
      <c r="BG32" s="23">
        <f>'QTR Raw'!AA15</f>
        <v>0</v>
      </c>
      <c r="BH32" s="23">
        <f>'QTR Raw'!AB15</f>
        <v>0</v>
      </c>
      <c r="BI32" s="23">
        <f>'QTR Raw'!AC15</f>
        <v>0</v>
      </c>
      <c r="BJ32" s="23">
        <f>'QTR Raw'!AD15</f>
        <v>0</v>
      </c>
      <c r="BK32" s="23">
        <f>'QTR Raw'!AE15</f>
        <v>0</v>
      </c>
      <c r="BL32" s="23">
        <f>'QTR Raw'!AF15</f>
        <v>0</v>
      </c>
      <c r="BM32" s="23">
        <f>'QTR Raw'!AG15</f>
        <v>0</v>
      </c>
      <c r="BN32" s="23">
        <f>'QTR Raw'!AH15</f>
        <v>0</v>
      </c>
      <c r="BO32" s="23">
        <f>'QTR Raw'!AI15</f>
        <v>0</v>
      </c>
      <c r="BP32" s="23">
        <f>'QTR Raw'!AJ15</f>
        <v>0</v>
      </c>
      <c r="BQ32" s="23">
        <f>'QTR Raw'!AK15</f>
        <v>0</v>
      </c>
      <c r="BR32" s="23">
        <f>'QTR Raw'!AL15</f>
        <v>0</v>
      </c>
      <c r="BS32" s="23">
        <f>'QTR Raw'!AM15</f>
        <v>0</v>
      </c>
      <c r="BT32" s="23">
        <f>'QTR Raw'!AN15</f>
        <v>0</v>
      </c>
      <c r="BU32" s="23">
        <f>'QTR Raw'!AO15</f>
        <v>0</v>
      </c>
      <c r="BV32" s="23">
        <f>'QTR Raw'!AP15</f>
        <v>0</v>
      </c>
      <c r="BW32" s="23">
        <f>'QTR Raw'!AQ15</f>
        <v>0</v>
      </c>
      <c r="BX32" s="23">
        <f>'QTR Raw'!AR15</f>
        <v>0</v>
      </c>
      <c r="BY32" s="23">
        <f>'QTR Raw'!AS15</f>
        <v>0</v>
      </c>
      <c r="BZ32" s="23">
        <f>'QTR Raw'!AT15</f>
        <v>0</v>
      </c>
      <c r="CA32" s="23">
        <f>'QTR Raw'!AU15</f>
        <v>0</v>
      </c>
      <c r="CB32" s="23">
        <f>'QTR Raw'!AV15</f>
        <v>0</v>
      </c>
      <c r="CC32" s="23">
        <f>'QTR Raw'!AW15</f>
        <v>0</v>
      </c>
      <c r="CD32" s="23">
        <f>'QTR Raw'!AX15</f>
        <v>0</v>
      </c>
      <c r="CE32" s="23">
        <f>'QTR Raw'!AY15</f>
        <v>0</v>
      </c>
      <c r="CF32" s="23">
        <f>'QTR Raw'!AZ15</f>
        <v>0</v>
      </c>
      <c r="CG32" s="23">
        <f>'QTR Raw'!BA15</f>
        <v>0</v>
      </c>
      <c r="CH32" s="23">
        <f>'QTR Raw'!BB15</f>
        <v>0</v>
      </c>
      <c r="CI32" s="23">
        <f>'QTR Raw'!BC15</f>
        <v>0</v>
      </c>
      <c r="CJ32" s="23">
        <f>'QTR Raw'!BD15</f>
        <v>0</v>
      </c>
      <c r="CK32" s="23">
        <f>'QTR Raw'!BE15</f>
        <v>0</v>
      </c>
      <c r="CL32" s="23">
        <f>'QTR Raw'!BF15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11</v>
      </c>
      <c r="B33" s="23">
        <f>'Annual Raw'!C18</f>
        <v>0.71509999999999996</v>
      </c>
      <c r="C33" s="23">
        <f>'Annual Raw'!D18</f>
        <v>0.73839999999999995</v>
      </c>
      <c r="D33" s="23">
        <f>'Annual Raw'!E18</f>
        <v>1.0150999999999999</v>
      </c>
      <c r="E33" s="23">
        <f>'Annual Raw'!F18</f>
        <v>0.87529999999999997</v>
      </c>
      <c r="F33" s="23">
        <f>'Annual Raw'!G18</f>
        <v>1.1807000000000001</v>
      </c>
      <c r="G33" s="23">
        <f>'Annual Raw'!H18</f>
        <v>2.9462999999999999</v>
      </c>
      <c r="H33" s="23">
        <f>'Annual Raw'!I18</f>
        <v>4.7529000000000003</v>
      </c>
      <c r="I33" s="23">
        <f>'Annual Raw'!J18</f>
        <v>5.0582000000000003</v>
      </c>
      <c r="J33" s="23">
        <f>'Annual Raw'!K18</f>
        <v>4.5156000000000001</v>
      </c>
      <c r="K33" s="23">
        <f>'Annual Raw'!L18</f>
        <v>3.2088000000000001</v>
      </c>
      <c r="L33" s="23">
        <f>'Annual Raw'!M18</f>
        <v>0</v>
      </c>
      <c r="M33" s="23">
        <f>'Annual Raw'!N18</f>
        <v>0</v>
      </c>
      <c r="N33" s="23">
        <f>'Annual Raw'!O18</f>
        <v>5.4710999999999999</v>
      </c>
      <c r="O33" s="23">
        <f>'Annual Raw'!P18</f>
        <v>6.2594000000000003</v>
      </c>
      <c r="P33" s="23">
        <f>'Annual Raw'!Q18</f>
        <v>6.1040000000000001</v>
      </c>
      <c r="Q33" s="23">
        <f>'Annual Raw'!R18</f>
        <v>8.0893999999999995</v>
      </c>
      <c r="R33" s="23">
        <f>'Annual Raw'!S18</f>
        <v>8.9594000000000005</v>
      </c>
      <c r="S33" s="23">
        <f>'Annual Raw'!T18</f>
        <v>9.8757999999999999</v>
      </c>
      <c r="T33" s="23">
        <f>'Annual Raw'!U18</f>
        <v>14.5975</v>
      </c>
      <c r="U33" s="23">
        <f>'Annual Raw'!V18</f>
        <v>12.565099999999999</v>
      </c>
      <c r="V33" s="23">
        <f>'Annual Raw'!W18</f>
        <v>13.089</v>
      </c>
      <c r="W33" s="23">
        <f>'Annual Raw'!X18</f>
        <v>21.0169</v>
      </c>
      <c r="X33" s="23">
        <f>'Annual Raw'!Y18</f>
        <v>24.772200000000002</v>
      </c>
      <c r="Y33" s="23">
        <f>'Annual Raw'!Z18</f>
        <v>23.687899999999999</v>
      </c>
      <c r="Z33" s="23">
        <f>'Annual Raw'!AA18</f>
        <v>28.005500000000001</v>
      </c>
      <c r="AA33" s="23">
        <f>'Annual Raw'!AB18</f>
        <v>26.921099999999999</v>
      </c>
      <c r="AB33" s="76">
        <f t="shared" si="270"/>
        <v>0</v>
      </c>
      <c r="AC33" s="76">
        <f t="shared" si="271"/>
        <v>0</v>
      </c>
      <c r="AD33" s="76">
        <f t="shared" si="272"/>
        <v>0</v>
      </c>
      <c r="AE33" s="76">
        <f t="shared" si="273"/>
        <v>0</v>
      </c>
      <c r="AI33" s="23">
        <f>'QTR Raw'!C18</f>
        <v>0</v>
      </c>
      <c r="AJ33" s="23">
        <f>'QTR Raw'!D18</f>
        <v>0</v>
      </c>
      <c r="AK33" s="23">
        <f>'QTR Raw'!E18</f>
        <v>0</v>
      </c>
      <c r="AL33" s="23">
        <f>'QTR Raw'!F18</f>
        <v>0</v>
      </c>
      <c r="AM33" s="23">
        <f>'QTR Raw'!G18</f>
        <v>0</v>
      </c>
      <c r="AN33" s="23">
        <f>'QTR Raw'!H18</f>
        <v>0</v>
      </c>
      <c r="AO33" s="23">
        <f>'QTR Raw'!I18</f>
        <v>0</v>
      </c>
      <c r="AP33" s="23">
        <f>'QTR Raw'!J18</f>
        <v>0</v>
      </c>
      <c r="AQ33" s="23">
        <f>'QTR Raw'!K18</f>
        <v>0</v>
      </c>
      <c r="AR33" s="23">
        <f>'QTR Raw'!L18</f>
        <v>0</v>
      </c>
      <c r="AS33" s="23">
        <f>'QTR Raw'!M18</f>
        <v>0</v>
      </c>
      <c r="AT33" s="23">
        <f>'QTR Raw'!N18</f>
        <v>0</v>
      </c>
      <c r="AU33" s="23">
        <f>'QTR Raw'!O18</f>
        <v>0</v>
      </c>
      <c r="AV33" s="23">
        <f>'QTR Raw'!P18</f>
        <v>0</v>
      </c>
      <c r="AW33" s="23">
        <f>'QTR Raw'!Q18</f>
        <v>0</v>
      </c>
      <c r="AX33" s="23">
        <f>'QTR Raw'!R18</f>
        <v>0</v>
      </c>
      <c r="AY33" s="23">
        <f>'QTR Raw'!S18</f>
        <v>0</v>
      </c>
      <c r="AZ33" s="23">
        <f>'QTR Raw'!T18</f>
        <v>0</v>
      </c>
      <c r="BA33" s="23">
        <f>'QTR Raw'!U18</f>
        <v>0</v>
      </c>
      <c r="BB33" s="23">
        <f>'QTR Raw'!V18</f>
        <v>0</v>
      </c>
      <c r="BC33" s="23">
        <f>'QTR Raw'!W18</f>
        <v>0</v>
      </c>
      <c r="BD33" s="23">
        <f>'QTR Raw'!X18</f>
        <v>0</v>
      </c>
      <c r="BE33" s="23">
        <f>'QTR Raw'!Y18</f>
        <v>0</v>
      </c>
      <c r="BF33" s="23">
        <f>'QTR Raw'!Z18</f>
        <v>0</v>
      </c>
      <c r="BG33" s="23">
        <f>'QTR Raw'!AA18</f>
        <v>0</v>
      </c>
      <c r="BH33" s="23">
        <f>'QTR Raw'!AB18</f>
        <v>0</v>
      </c>
      <c r="BI33" s="23">
        <f>'QTR Raw'!AC18</f>
        <v>0</v>
      </c>
      <c r="BJ33" s="23">
        <f>'QTR Raw'!AD18</f>
        <v>0</v>
      </c>
      <c r="BK33" s="23">
        <f>'QTR Raw'!AE18</f>
        <v>0</v>
      </c>
      <c r="BL33" s="23">
        <f>'QTR Raw'!AF18</f>
        <v>0</v>
      </c>
      <c r="BM33" s="23">
        <f>'QTR Raw'!AG18</f>
        <v>0</v>
      </c>
      <c r="BN33" s="23">
        <f>'QTR Raw'!AH18</f>
        <v>0</v>
      </c>
      <c r="BO33" s="23">
        <f>'QTR Raw'!AI18</f>
        <v>0</v>
      </c>
      <c r="BP33" s="23">
        <f>'QTR Raw'!AJ18</f>
        <v>0</v>
      </c>
      <c r="BQ33" s="23">
        <f>'QTR Raw'!AK18</f>
        <v>0</v>
      </c>
      <c r="BR33" s="23">
        <f>'QTR Raw'!AL18</f>
        <v>0</v>
      </c>
      <c r="BS33" s="23">
        <f>'QTR Raw'!AM18</f>
        <v>0</v>
      </c>
      <c r="BT33" s="23">
        <f>'QTR Raw'!AN18</f>
        <v>0</v>
      </c>
      <c r="BU33" s="23">
        <f>'QTR Raw'!AO18</f>
        <v>0</v>
      </c>
      <c r="BV33" s="23">
        <f>'QTR Raw'!AP18</f>
        <v>0</v>
      </c>
      <c r="BW33" s="23">
        <f>'QTR Raw'!AQ18</f>
        <v>0</v>
      </c>
      <c r="BX33" s="23">
        <f>'QTR Raw'!AR18</f>
        <v>0</v>
      </c>
      <c r="BY33" s="23">
        <f>'QTR Raw'!AS18</f>
        <v>0</v>
      </c>
      <c r="BZ33" s="23">
        <f>'QTR Raw'!AT18</f>
        <v>0</v>
      </c>
      <c r="CA33" s="23">
        <f>'QTR Raw'!AU18</f>
        <v>0</v>
      </c>
      <c r="CB33" s="23">
        <f>'QTR Raw'!AV18</f>
        <v>0</v>
      </c>
      <c r="CC33" s="23">
        <f>'QTR Raw'!AW18</f>
        <v>0</v>
      </c>
      <c r="CD33" s="23">
        <f>'QTR Raw'!AX18</f>
        <v>0</v>
      </c>
      <c r="CE33" s="23">
        <f>'QTR Raw'!AY18</f>
        <v>0</v>
      </c>
      <c r="CF33" s="23">
        <f>'QTR Raw'!AZ18</f>
        <v>0</v>
      </c>
      <c r="CG33" s="23">
        <f>'QTR Raw'!BA18</f>
        <v>0</v>
      </c>
      <c r="CH33" s="23">
        <f>'QTR Raw'!BB18</f>
        <v>0</v>
      </c>
      <c r="CI33" s="23">
        <f>'QTR Raw'!BC18</f>
        <v>0</v>
      </c>
      <c r="CJ33" s="23">
        <f>'QTR Raw'!BD18</f>
        <v>0</v>
      </c>
      <c r="CK33" s="23">
        <f>'QTR Raw'!BE18</f>
        <v>0</v>
      </c>
      <c r="CL33" s="23">
        <f>'QTR Raw'!BF18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2" customFormat="1" x14ac:dyDescent="0.2">
      <c r="A34" s="33" t="s">
        <v>348</v>
      </c>
      <c r="B34" s="22">
        <f t="shared" ref="B34:E34" si="276">+SUM(B28:B33)</f>
        <v>55.381100000000004</v>
      </c>
      <c r="C34" s="22">
        <f t="shared" si="276"/>
        <v>64.032399999999996</v>
      </c>
      <c r="D34" s="22">
        <f t="shared" si="276"/>
        <v>76.173400000000001</v>
      </c>
      <c r="E34" s="22">
        <f t="shared" si="276"/>
        <v>90.043499999999995</v>
      </c>
      <c r="F34" s="22">
        <f t="shared" ref="F34:AE34" si="277">+SUM(F28:F33)</f>
        <v>122.943</v>
      </c>
      <c r="G34" s="22">
        <f t="shared" si="277"/>
        <v>156.44710000000001</v>
      </c>
      <c r="H34" s="22">
        <f t="shared" si="277"/>
        <v>216.79790000000003</v>
      </c>
      <c r="I34" s="22">
        <f t="shared" si="277"/>
        <v>295.4237</v>
      </c>
      <c r="J34" s="22">
        <f t="shared" si="277"/>
        <v>320.35980000000001</v>
      </c>
      <c r="K34" s="22">
        <f t="shared" si="277"/>
        <v>293.58449999999999</v>
      </c>
      <c r="L34" s="22">
        <f t="shared" si="277"/>
        <v>239.53399999999999</v>
      </c>
      <c r="M34" s="22">
        <f t="shared" si="277"/>
        <v>302.6585</v>
      </c>
      <c r="N34" s="22">
        <f t="shared" si="277"/>
        <v>519.16290000000004</v>
      </c>
      <c r="O34" s="22">
        <f t="shared" si="277"/>
        <v>619.07060000000001</v>
      </c>
      <c r="P34" s="22">
        <f t="shared" si="277"/>
        <v>656.40210000000002</v>
      </c>
      <c r="Q34" s="22">
        <f t="shared" si="277"/>
        <v>801.55029999999999</v>
      </c>
      <c r="R34" s="22">
        <f t="shared" si="277"/>
        <v>940.86990000000003</v>
      </c>
      <c r="S34" s="22">
        <f t="shared" si="277"/>
        <v>1022.4081000000002</v>
      </c>
      <c r="T34" s="22">
        <f t="shared" si="277"/>
        <v>1167.7787000000001</v>
      </c>
      <c r="U34" s="22">
        <f t="shared" si="277"/>
        <v>1259.3905999999999</v>
      </c>
      <c r="V34" s="22">
        <f t="shared" si="277"/>
        <v>1288.9523999999999</v>
      </c>
      <c r="W34" s="22">
        <f t="shared" si="277"/>
        <v>1691.4267000000002</v>
      </c>
      <c r="X34" s="22">
        <f t="shared" si="277"/>
        <v>2164.4569000000001</v>
      </c>
      <c r="Y34" s="22">
        <f t="shared" si="277"/>
        <v>2487.2941999999998</v>
      </c>
      <c r="Z34" s="22">
        <f t="shared" ref="Z34:AA34" si="278">+SUM(Z28:Z33)</f>
        <v>2730.8760000000002</v>
      </c>
      <c r="AA34" s="22">
        <f t="shared" si="278"/>
        <v>2900.8609000000001</v>
      </c>
      <c r="AB34" s="21">
        <f t="shared" si="277"/>
        <v>2934.1930481231293</v>
      </c>
      <c r="AC34" s="21">
        <f t="shared" si="277"/>
        <v>3216.5868234075606</v>
      </c>
      <c r="AD34" s="21">
        <f t="shared" si="277"/>
        <v>3493.3522708178789</v>
      </c>
      <c r="AE34" s="21">
        <f t="shared" si="277"/>
        <v>3604.5788990893166</v>
      </c>
      <c r="AI34" s="22">
        <f t="shared" ref="AI34:BN34" si="279">+SUM(AI28:AI33)</f>
        <v>118.498</v>
      </c>
      <c r="AJ34" s="22">
        <f t="shared" si="279"/>
        <v>118.143</v>
      </c>
      <c r="AK34" s="22">
        <f t="shared" si="279"/>
        <v>126.691</v>
      </c>
      <c r="AL34" s="22">
        <f t="shared" si="279"/>
        <v>126.887</v>
      </c>
      <c r="AM34" s="22">
        <f t="shared" si="279"/>
        <v>134.40800000000002</v>
      </c>
      <c r="AN34" s="22">
        <f t="shared" si="279"/>
        <v>144.845</v>
      </c>
      <c r="AO34" s="22">
        <f t="shared" si="279"/>
        <v>143.14599999999999</v>
      </c>
      <c r="AP34" s="22">
        <f t="shared" si="279"/>
        <v>140.68</v>
      </c>
      <c r="AQ34" s="22">
        <f t="shared" si="279"/>
        <v>137.11699999999999</v>
      </c>
      <c r="AR34" s="22">
        <f t="shared" si="279"/>
        <v>147.345</v>
      </c>
      <c r="AS34" s="22">
        <f t="shared" si="279"/>
        <v>151.77500000000001</v>
      </c>
      <c r="AT34" s="22">
        <f t="shared" si="279"/>
        <v>160.63999999999999</v>
      </c>
      <c r="AU34" s="22">
        <f t="shared" si="279"/>
        <v>174.15699999999998</v>
      </c>
      <c r="AV34" s="22">
        <f t="shared" si="279"/>
        <v>185.03500000000003</v>
      </c>
      <c r="AW34" s="22">
        <f t="shared" si="279"/>
        <v>193.505</v>
      </c>
      <c r="AX34" s="22">
        <f t="shared" si="279"/>
        <v>205.441</v>
      </c>
      <c r="AY34" s="22">
        <f t="shared" si="279"/>
        <v>208.80199999999999</v>
      </c>
      <c r="AZ34" s="22">
        <f t="shared" si="279"/>
        <v>209.90800000000002</v>
      </c>
      <c r="BA34" s="22">
        <f t="shared" si="279"/>
        <v>223.55100000000002</v>
      </c>
      <c r="BB34" s="22">
        <f t="shared" si="279"/>
        <v>225.13</v>
      </c>
      <c r="BC34" s="22">
        <f t="shared" si="279"/>
        <v>230.65899999999999</v>
      </c>
      <c r="BD34" s="22">
        <f t="shared" si="279"/>
        <v>237.25099999999998</v>
      </c>
      <c r="BE34" s="22">
        <f t="shared" si="279"/>
        <v>236.714</v>
      </c>
      <c r="BF34" s="22">
        <f t="shared" si="279"/>
        <v>258.34699999999998</v>
      </c>
      <c r="BG34" s="22">
        <f t="shared" si="279"/>
        <v>252.672</v>
      </c>
      <c r="BH34" s="22">
        <f t="shared" si="279"/>
        <v>273.49400000000003</v>
      </c>
      <c r="BI34" s="22">
        <f t="shared" si="279"/>
        <v>280.52099999999996</v>
      </c>
      <c r="BJ34" s="22">
        <f t="shared" si="279"/>
        <v>276.31099999999998</v>
      </c>
      <c r="BK34" s="22">
        <f t="shared" si="279"/>
        <v>276.60699999999997</v>
      </c>
      <c r="BL34" s="22">
        <f t="shared" si="279"/>
        <v>292.38799999999998</v>
      </c>
      <c r="BM34" s="22">
        <f t="shared" si="279"/>
        <v>307.06700000000001</v>
      </c>
      <c r="BN34" s="22">
        <f t="shared" si="279"/>
        <v>309.72000000000003</v>
      </c>
      <c r="BO34" s="22">
        <f t="shared" ref="BO34:CH34" si="280">+SUM(BO28:BO33)</f>
        <v>292.45999999999998</v>
      </c>
      <c r="BP34" s="22">
        <f t="shared" si="280"/>
        <v>291.12599999999998</v>
      </c>
      <c r="BQ34" s="22">
        <f t="shared" si="280"/>
        <v>311.65699999999998</v>
      </c>
      <c r="BR34" s="22">
        <f t="shared" si="280"/>
        <v>319.52200000000005</v>
      </c>
      <c r="BS34" s="22">
        <f t="shared" si="280"/>
        <v>368.608</v>
      </c>
      <c r="BT34" s="22">
        <f t="shared" si="280"/>
        <v>381.37900000000002</v>
      </c>
      <c r="BU34" s="22">
        <f t="shared" si="280"/>
        <v>402.28299999999996</v>
      </c>
      <c r="BV34" s="22">
        <f t="shared" si="280"/>
        <v>426.61599999999999</v>
      </c>
      <c r="BW34" s="22">
        <f t="shared" si="280"/>
        <v>447.98899999999998</v>
      </c>
      <c r="BX34" s="22">
        <f t="shared" si="280"/>
        <v>495.06</v>
      </c>
      <c r="BY34" s="22">
        <f t="shared" si="280"/>
        <v>521.73199999999997</v>
      </c>
      <c r="BZ34" s="22">
        <f t="shared" si="280"/>
        <v>532.36699999999996</v>
      </c>
      <c r="CA34" s="22">
        <f t="shared" si="280"/>
        <v>540.62900000000002</v>
      </c>
      <c r="CB34" s="22">
        <f t="shared" si="280"/>
        <v>568.29399999999998</v>
      </c>
      <c r="CC34" s="22">
        <f t="shared" si="280"/>
        <v>599.55099999999993</v>
      </c>
      <c r="CD34" s="22">
        <f t="shared" si="280"/>
        <v>603.89200000000005</v>
      </c>
      <c r="CE34" s="22">
        <f t="shared" si="280"/>
        <v>623.78300000000002</v>
      </c>
      <c r="CF34" s="22">
        <f t="shared" si="280"/>
        <v>629.48900000000003</v>
      </c>
      <c r="CG34" s="22">
        <f t="shared" si="280"/>
        <v>636.53500000000008</v>
      </c>
      <c r="CH34" s="22">
        <f t="shared" si="280"/>
        <v>626.52599999999995</v>
      </c>
      <c r="CI34" s="22">
        <f t="shared" ref="CI34:CJ34" si="281">+SUM(CI28:CI33)</f>
        <v>638.84799999999996</v>
      </c>
      <c r="CJ34" s="22">
        <f t="shared" si="281"/>
        <v>652.41499999999996</v>
      </c>
      <c r="CK34" s="22">
        <f t="shared" ref="CK34:CL34" si="282">+SUM(CK28:CK33)</f>
        <v>664.83900000000006</v>
      </c>
      <c r="CL34" s="22">
        <f t="shared" si="282"/>
        <v>678.70399999999995</v>
      </c>
      <c r="CM34" s="21">
        <f t="shared" ref="CM34:DB34" si="283">CM35*CM18</f>
        <v>689.30319897333595</v>
      </c>
      <c r="CN34" s="21">
        <f t="shared" si="283"/>
        <v>719.56931214074257</v>
      </c>
      <c r="CO34" s="21">
        <f t="shared" si="283"/>
        <v>749.39770210736083</v>
      </c>
      <c r="CP34" s="21">
        <f t="shared" si="283"/>
        <v>775.9228349016895</v>
      </c>
      <c r="CQ34" s="21">
        <f t="shared" si="283"/>
        <v>769.52297514061138</v>
      </c>
      <c r="CR34" s="21">
        <f t="shared" si="283"/>
        <v>794.73728642992933</v>
      </c>
      <c r="CS34" s="21">
        <f t="shared" si="283"/>
        <v>816.94609167759268</v>
      </c>
      <c r="CT34" s="21">
        <f t="shared" si="283"/>
        <v>835.38047015942709</v>
      </c>
      <c r="CU34" s="21">
        <f t="shared" si="283"/>
        <v>854.67008474572867</v>
      </c>
      <c r="CV34" s="21">
        <f t="shared" si="283"/>
        <v>867.10508622708028</v>
      </c>
      <c r="CW34" s="21">
        <f t="shared" si="283"/>
        <v>879.35344531972191</v>
      </c>
      <c r="CX34" s="21">
        <f t="shared" si="283"/>
        <v>892.22365452534848</v>
      </c>
      <c r="CY34" s="21">
        <f t="shared" si="283"/>
        <v>889.12832518831976</v>
      </c>
      <c r="CZ34" s="21">
        <f t="shared" si="283"/>
        <v>897.81611472860175</v>
      </c>
      <c r="DA34" s="21">
        <f t="shared" si="283"/>
        <v>905.54044042217868</v>
      </c>
      <c r="DB34" s="21">
        <f t="shared" si="283"/>
        <v>912.09401875021638</v>
      </c>
      <c r="DE34" s="126"/>
      <c r="DF34" s="22">
        <v>667.56189756025628</v>
      </c>
    </row>
    <row r="35" spans="1:110" s="44" customFormat="1" x14ac:dyDescent="0.2">
      <c r="A35" s="43" t="s">
        <v>349</v>
      </c>
      <c r="B35" s="44">
        <f t="shared" ref="B35:E35" si="284">B34/B18</f>
        <v>0.40500905365202972</v>
      </c>
      <c r="C35" s="44">
        <f t="shared" si="284"/>
        <v>0.49329154802844849</v>
      </c>
      <c r="D35" s="44">
        <f t="shared" si="284"/>
        <v>0.69498677512976248</v>
      </c>
      <c r="E35" s="44">
        <f t="shared" si="284"/>
        <v>0.5866771348803268</v>
      </c>
      <c r="F35" s="44">
        <f t="shared" ref="F35:AE35" si="285">F34/F18</f>
        <v>0.66178797894215546</v>
      </c>
      <c r="G35" s="44">
        <f t="shared" si="285"/>
        <v>0.66394731101659454</v>
      </c>
      <c r="H35" s="44">
        <f t="shared" si="285"/>
        <v>0.70397385400194179</v>
      </c>
      <c r="I35" s="44">
        <f t="shared" si="285"/>
        <v>0.73485978214175296</v>
      </c>
      <c r="J35" s="44">
        <f t="shared" si="285"/>
        <v>0.76392277307287393</v>
      </c>
      <c r="K35" s="44">
        <f t="shared" si="285"/>
        <v>0.75632482981148841</v>
      </c>
      <c r="L35" s="44">
        <f t="shared" si="285"/>
        <v>0.57592582262752234</v>
      </c>
      <c r="M35" s="44">
        <f t="shared" si="285"/>
        <v>0.56182354279892943</v>
      </c>
      <c r="N35" s="44">
        <f t="shared" si="285"/>
        <v>0.83510849465119186</v>
      </c>
      <c r="O35" s="44">
        <f t="shared" si="285"/>
        <v>0.79902171658563137</v>
      </c>
      <c r="P35" s="44">
        <f t="shared" si="285"/>
        <v>0.77278225799330846</v>
      </c>
      <c r="Q35" s="44">
        <f t="shared" si="285"/>
        <v>0.74548526091881351</v>
      </c>
      <c r="R35" s="44">
        <f t="shared" si="285"/>
        <v>0.76041424626587806</v>
      </c>
      <c r="S35" s="44">
        <f t="shared" si="285"/>
        <v>0.73751094193121181</v>
      </c>
      <c r="T35" s="44">
        <f t="shared" si="285"/>
        <v>0.73126406916864828</v>
      </c>
      <c r="U35" s="44">
        <f t="shared" si="285"/>
        <v>0.78229801789024689</v>
      </c>
      <c r="V35" s="44">
        <f t="shared" si="285"/>
        <v>0.70582676860079652</v>
      </c>
      <c r="W35" s="44">
        <f t="shared" si="285"/>
        <v>0.68456663738599244</v>
      </c>
      <c r="X35" s="44">
        <f t="shared" si="285"/>
        <v>0.68828232061811501</v>
      </c>
      <c r="Y35" s="44">
        <f t="shared" si="285"/>
        <v>0.70022302294638417</v>
      </c>
      <c r="Z35" s="44">
        <f t="shared" ref="Z35:AA35" si="286">Z34/Z18</f>
        <v>0.73232518870833618</v>
      </c>
      <c r="AA35" s="44">
        <f t="shared" si="286"/>
        <v>0.77203454590441856</v>
      </c>
      <c r="AB35" s="52">
        <f t="shared" si="285"/>
        <v>0.69721777695500042</v>
      </c>
      <c r="AC35" s="52">
        <f t="shared" si="285"/>
        <v>0.67619899954849516</v>
      </c>
      <c r="AD35" s="52">
        <f t="shared" si="285"/>
        <v>0.6744996647187933</v>
      </c>
      <c r="AE35" s="52">
        <f t="shared" si="285"/>
        <v>0.67410805939892415</v>
      </c>
      <c r="AI35" s="44">
        <f t="shared" ref="AI35:BN35" si="287">AI34/AI18</f>
        <v>0.8105364679165783</v>
      </c>
      <c r="AJ35" s="44">
        <f t="shared" si="287"/>
        <v>0.77444412397084261</v>
      </c>
      <c r="AK35" s="44">
        <f t="shared" si="287"/>
        <v>0.80860746243888748</v>
      </c>
      <c r="AL35" s="44">
        <f t="shared" si="287"/>
        <v>0.79281581545305724</v>
      </c>
      <c r="AM35" s="44">
        <f t="shared" si="287"/>
        <v>0.77614870678454506</v>
      </c>
      <c r="AN35" s="44">
        <f t="shared" si="287"/>
        <v>0.76246249407801236</v>
      </c>
      <c r="AO35" s="44">
        <f t="shared" si="287"/>
        <v>0.71965572196330985</v>
      </c>
      <c r="AP35" s="44">
        <f t="shared" si="287"/>
        <v>0.66865660291265827</v>
      </c>
      <c r="AQ35" s="44">
        <f t="shared" si="287"/>
        <v>0.71881208880501168</v>
      </c>
      <c r="AR35" s="44">
        <f t="shared" si="287"/>
        <v>0.72065440672992265</v>
      </c>
      <c r="AS35" s="44">
        <f t="shared" si="287"/>
        <v>0.69078123933277202</v>
      </c>
      <c r="AT35" s="44">
        <f t="shared" si="287"/>
        <v>0.70732867182133607</v>
      </c>
      <c r="AU35" s="44">
        <f t="shared" si="287"/>
        <v>0.71516214207398943</v>
      </c>
      <c r="AV35" s="44">
        <f t="shared" si="287"/>
        <v>0.70179930060912243</v>
      </c>
      <c r="AW35" s="44">
        <f t="shared" si="287"/>
        <v>0.70937338470505851</v>
      </c>
      <c r="AX35" s="44">
        <f t="shared" si="287"/>
        <v>0.70493389561237063</v>
      </c>
      <c r="AY35" s="44">
        <f t="shared" si="287"/>
        <v>0.71125599520383698</v>
      </c>
      <c r="AZ35" s="44">
        <f t="shared" si="287"/>
        <v>0.70508961921909019</v>
      </c>
      <c r="BA35" s="44">
        <f t="shared" si="287"/>
        <v>0.72056278102789739</v>
      </c>
      <c r="BB35" s="44">
        <f t="shared" si="287"/>
        <v>0.68847726431740963</v>
      </c>
      <c r="BC35" s="44">
        <f t="shared" si="287"/>
        <v>0.71360641029607397</v>
      </c>
      <c r="BD35" s="44">
        <f t="shared" si="287"/>
        <v>0.69340413965641201</v>
      </c>
      <c r="BE35" s="44">
        <f t="shared" si="287"/>
        <v>0.69155574772416539</v>
      </c>
      <c r="BF35" s="44">
        <f t="shared" si="287"/>
        <v>0.68823526277652269</v>
      </c>
      <c r="BG35" s="44">
        <f t="shared" si="287"/>
        <v>0.66138442812831277</v>
      </c>
      <c r="BH35" s="44">
        <f t="shared" si="287"/>
        <v>0.67900909668705811</v>
      </c>
      <c r="BI35" s="44">
        <f t="shared" si="287"/>
        <v>0.70972695900336991</v>
      </c>
      <c r="BJ35" s="44">
        <f t="shared" si="287"/>
        <v>0.68207423278960466</v>
      </c>
      <c r="BK35" s="44">
        <f t="shared" si="287"/>
        <v>0.76708495680749866</v>
      </c>
      <c r="BL35" s="44">
        <f t="shared" si="287"/>
        <v>0.75785490267229982</v>
      </c>
      <c r="BM35" s="44">
        <f t="shared" si="287"/>
        <v>0.72517582267061531</v>
      </c>
      <c r="BN35" s="44">
        <f t="shared" si="287"/>
        <v>0.70569739225537453</v>
      </c>
      <c r="BO35" s="44">
        <f t="shared" ref="BO35:CH35" si="288">BO34/BO18</f>
        <v>0.7302590839176204</v>
      </c>
      <c r="BP35" s="44">
        <f t="shared" si="288"/>
        <v>0.67981972725574447</v>
      </c>
      <c r="BQ35" s="44">
        <f t="shared" si="288"/>
        <v>0.65323613437099792</v>
      </c>
      <c r="BR35" s="44">
        <f t="shared" si="288"/>
        <v>0.6211173121370992</v>
      </c>
      <c r="BS35" s="44">
        <f t="shared" si="288"/>
        <v>0.66021392902943854</v>
      </c>
      <c r="BT35" s="44">
        <f t="shared" si="288"/>
        <v>0.64576041883611102</v>
      </c>
      <c r="BU35" s="44">
        <f t="shared" si="288"/>
        <v>0.6348452114740929</v>
      </c>
      <c r="BV35" s="44">
        <f t="shared" si="288"/>
        <v>0.62577614013574101</v>
      </c>
      <c r="BW35" s="44">
        <f t="shared" si="288"/>
        <v>0.61715909732755281</v>
      </c>
      <c r="BX35" s="44">
        <f t="shared" si="288"/>
        <v>0.64868817080313579</v>
      </c>
      <c r="BY35" s="44">
        <f t="shared" si="288"/>
        <v>0.63801463295925487</v>
      </c>
      <c r="BZ35" s="44">
        <f t="shared" si="288"/>
        <v>0.63534346954363186</v>
      </c>
      <c r="CA35" s="44">
        <f t="shared" si="288"/>
        <v>0.63583065183847054</v>
      </c>
      <c r="CB35" s="44">
        <f t="shared" si="288"/>
        <v>0.64454495757050601</v>
      </c>
      <c r="CC35" s="44">
        <f t="shared" si="288"/>
        <v>0.65579671702946618</v>
      </c>
      <c r="CD35" s="44">
        <f t="shared" si="288"/>
        <v>0.6665893991123063</v>
      </c>
      <c r="CE35" s="44">
        <f t="shared" si="288"/>
        <v>0.6733009158566795</v>
      </c>
      <c r="CF35" s="44">
        <f t="shared" si="288"/>
        <v>0.65909143260397496</v>
      </c>
      <c r="CG35" s="44">
        <f t="shared" si="288"/>
        <v>0.67776262256820119</v>
      </c>
      <c r="CH35" s="44">
        <f t="shared" si="288"/>
        <v>0.68975136953726368</v>
      </c>
      <c r="CI35" s="44">
        <f t="shared" ref="CI35:CJ35" si="289">CI34/CI18</f>
        <v>0.71612023818064419</v>
      </c>
      <c r="CJ35" s="44">
        <f t="shared" si="289"/>
        <v>0.71061276415910213</v>
      </c>
      <c r="CK35" s="44">
        <f t="shared" ref="CK35:CL35" si="290">CK34/CK18</f>
        <v>0.69728068096245943</v>
      </c>
      <c r="CL35" s="44">
        <f t="shared" si="290"/>
        <v>0.68297189134904013</v>
      </c>
      <c r="CM35" s="52">
        <f t="shared" ref="CM35:DB35" si="291">AVERAGE(CI35:CL35)</f>
        <v>0.70174639366281144</v>
      </c>
      <c r="CN35" s="52">
        <f t="shared" si="291"/>
        <v>0.69815293253335331</v>
      </c>
      <c r="CO35" s="52">
        <f t="shared" si="291"/>
        <v>0.69503797462691597</v>
      </c>
      <c r="CP35" s="52">
        <f t="shared" si="291"/>
        <v>0.69447729804303027</v>
      </c>
      <c r="CQ35" s="52">
        <f>AVERAGE(CM35:CP35)*0.98</f>
        <v>0.68340657672219718</v>
      </c>
      <c r="CR35" s="52">
        <f t="shared" ref="CR35:CT35" si="292">AVERAGE(CN35:CQ35)*0.98</f>
        <v>0.67891332157174666</v>
      </c>
      <c r="CS35" s="52">
        <f t="shared" si="292"/>
        <v>0.67419961688615304</v>
      </c>
      <c r="CT35" s="52">
        <f t="shared" si="292"/>
        <v>0.66909421923966617</v>
      </c>
      <c r="CU35" s="52">
        <f t="shared" si="291"/>
        <v>0.67640343360494082</v>
      </c>
      <c r="CV35" s="52">
        <f t="shared" si="291"/>
        <v>0.67465264782562673</v>
      </c>
      <c r="CW35" s="52">
        <f t="shared" si="291"/>
        <v>0.6735874793890968</v>
      </c>
      <c r="CX35" s="52">
        <f t="shared" si="291"/>
        <v>0.67343444501483263</v>
      </c>
      <c r="CY35" s="52">
        <f t="shared" si="291"/>
        <v>0.67451950145862427</v>
      </c>
      <c r="CZ35" s="52">
        <f t="shared" si="291"/>
        <v>0.67404851842204505</v>
      </c>
      <c r="DA35" s="52">
        <f t="shared" si="291"/>
        <v>0.67389748607114974</v>
      </c>
      <c r="DB35" s="52">
        <f t="shared" si="291"/>
        <v>0.67397498774166298</v>
      </c>
      <c r="DE35" s="128"/>
      <c r="DF35" s="44">
        <v>0.70344126320986733</v>
      </c>
    </row>
    <row r="36" spans="1:110" s="26" customFormat="1" x14ac:dyDescent="0.2">
      <c r="A36" s="34" t="s">
        <v>13</v>
      </c>
      <c r="B36" s="26">
        <f t="shared" ref="B36:E36" si="293">B24-B34</f>
        <v>21.45059999999998</v>
      </c>
      <c r="C36" s="26">
        <f t="shared" si="293"/>
        <v>22.654200000000003</v>
      </c>
      <c r="D36" s="26">
        <f t="shared" si="293"/>
        <v>18.002800000000008</v>
      </c>
      <c r="E36" s="26">
        <f t="shared" si="293"/>
        <v>23.113000000000028</v>
      </c>
      <c r="F36" s="26">
        <f t="shared" ref="F36:AE36" si="294">F24-F34</f>
        <v>36.128500000000017</v>
      </c>
      <c r="G36" s="26">
        <f t="shared" si="294"/>
        <v>47.067099999999982</v>
      </c>
      <c r="H36" s="26">
        <f t="shared" si="294"/>
        <v>69.5548</v>
      </c>
      <c r="I36" s="26">
        <f t="shared" si="294"/>
        <v>75.201999999999998</v>
      </c>
      <c r="J36" s="26">
        <f t="shared" si="294"/>
        <v>81.861299999999972</v>
      </c>
      <c r="K36" s="26">
        <f t="shared" si="294"/>
        <v>68.362700000000018</v>
      </c>
      <c r="L36" s="26">
        <f t="shared" si="294"/>
        <v>154.2937</v>
      </c>
      <c r="M36" s="26">
        <f t="shared" si="294"/>
        <v>191.91019999999997</v>
      </c>
      <c r="N36" s="26">
        <f t="shared" si="294"/>
        <v>72.796999999999912</v>
      </c>
      <c r="O36" s="26">
        <f t="shared" si="294"/>
        <v>112.91480000000001</v>
      </c>
      <c r="P36" s="26">
        <f t="shared" si="294"/>
        <v>168.65100000000007</v>
      </c>
      <c r="Q36" s="26">
        <f t="shared" si="294"/>
        <v>247.72090000000014</v>
      </c>
      <c r="R36" s="26">
        <f t="shared" si="294"/>
        <v>273.58990000000006</v>
      </c>
      <c r="S36" s="26">
        <f t="shared" si="294"/>
        <v>345.22699999999975</v>
      </c>
      <c r="T36" s="26">
        <f t="shared" si="294"/>
        <v>416.07109999999989</v>
      </c>
      <c r="U36" s="26">
        <f t="shared" si="294"/>
        <v>337.94280000000003</v>
      </c>
      <c r="V36" s="26">
        <f t="shared" si="294"/>
        <v>523.52070000000003</v>
      </c>
      <c r="W36" s="26">
        <f t="shared" si="294"/>
        <v>766.73879999999986</v>
      </c>
      <c r="X36" s="26">
        <f t="shared" si="294"/>
        <v>959.05259999999953</v>
      </c>
      <c r="Y36" s="26">
        <f t="shared" si="294"/>
        <v>1047.2565</v>
      </c>
      <c r="Z36" s="26">
        <f t="shared" ref="Z36:AA36" si="295">Z24-Z34</f>
        <v>973.38929999999937</v>
      </c>
      <c r="AA36" s="26">
        <f t="shared" si="295"/>
        <v>839.19459999999981</v>
      </c>
      <c r="AB36" s="27">
        <f t="shared" si="294"/>
        <v>1029.6919355297878</v>
      </c>
      <c r="AC36" s="27">
        <f t="shared" si="294"/>
        <v>1269.946334175932</v>
      </c>
      <c r="AD36" s="27">
        <f t="shared" si="294"/>
        <v>1392.966068756783</v>
      </c>
      <c r="AE36" s="27">
        <f t="shared" si="294"/>
        <v>1440.5433309393088</v>
      </c>
      <c r="AI36" s="26">
        <f t="shared" ref="AI36:BN36" si="296">AI24-AI34</f>
        <v>13.14200000000001</v>
      </c>
      <c r="AJ36" s="26">
        <f t="shared" si="296"/>
        <v>17.469000000000023</v>
      </c>
      <c r="AK36" s="26">
        <f t="shared" si="296"/>
        <v>16.481999999999999</v>
      </c>
      <c r="AL36" s="26">
        <f t="shared" si="296"/>
        <v>18.764999999999986</v>
      </c>
      <c r="AM36" s="26">
        <f t="shared" si="296"/>
        <v>13.498999999999967</v>
      </c>
      <c r="AN36" s="26">
        <f t="shared" si="296"/>
        <v>32.437999999999988</v>
      </c>
      <c r="AO36" s="26">
        <f t="shared" si="296"/>
        <v>42.341999999999985</v>
      </c>
      <c r="AP36" s="26">
        <f t="shared" si="296"/>
        <v>45.838999999999999</v>
      </c>
      <c r="AQ36" s="26">
        <f t="shared" si="296"/>
        <v>37.677999999999997</v>
      </c>
      <c r="AR36" s="26">
        <f t="shared" si="296"/>
        <v>40.372000000000014</v>
      </c>
      <c r="AS36" s="26">
        <f t="shared" si="296"/>
        <v>48.676999999999992</v>
      </c>
      <c r="AT36" s="26">
        <f t="shared" si="296"/>
        <v>43.226000000000028</v>
      </c>
      <c r="AU36" s="26">
        <f t="shared" si="296"/>
        <v>52.294000000000011</v>
      </c>
      <c r="AV36" s="26">
        <f t="shared" si="296"/>
        <v>61.284999999999997</v>
      </c>
      <c r="AW36" s="26">
        <f t="shared" si="296"/>
        <v>65.05600000000004</v>
      </c>
      <c r="AX36" s="26">
        <f t="shared" si="296"/>
        <v>64.643999999999977</v>
      </c>
      <c r="AY36" s="26">
        <f t="shared" si="296"/>
        <v>66.792000000000002</v>
      </c>
      <c r="AZ36" s="26">
        <f t="shared" si="296"/>
        <v>71.014999999999986</v>
      </c>
      <c r="BA36" s="26">
        <f t="shared" si="296"/>
        <v>71.301999999999992</v>
      </c>
      <c r="BB36" s="26">
        <f t="shared" si="296"/>
        <v>75.51600000000002</v>
      </c>
      <c r="BC36" s="26">
        <f t="shared" si="296"/>
        <v>73.44500000000005</v>
      </c>
      <c r="BD36" s="26">
        <f t="shared" si="296"/>
        <v>84.009999999999991</v>
      </c>
      <c r="BE36" s="26">
        <f t="shared" si="296"/>
        <v>90.243999999999971</v>
      </c>
      <c r="BF36" s="26">
        <f t="shared" si="296"/>
        <v>95.09499999999997</v>
      </c>
      <c r="BG36" s="26">
        <f t="shared" si="296"/>
        <v>106.52000000000001</v>
      </c>
      <c r="BH36" s="26">
        <f t="shared" si="296"/>
        <v>106.71999999999997</v>
      </c>
      <c r="BI36" s="26">
        <f t="shared" si="296"/>
        <v>91.56800000000004</v>
      </c>
      <c r="BJ36" s="26">
        <f t="shared" si="296"/>
        <v>98.467999999999961</v>
      </c>
      <c r="BK36" s="26">
        <f t="shared" si="296"/>
        <v>68.735000000000014</v>
      </c>
      <c r="BL36" s="26">
        <f t="shared" si="296"/>
        <v>70.343000000000018</v>
      </c>
      <c r="BM36" s="26">
        <f t="shared" si="296"/>
        <v>94.192000000000007</v>
      </c>
      <c r="BN36" s="26">
        <f t="shared" si="296"/>
        <v>108.601</v>
      </c>
      <c r="BO36" s="26">
        <f t="shared" ref="BO36:CT36" si="297">BO24-BO34</f>
        <v>92.711000000000013</v>
      </c>
      <c r="BP36" s="26">
        <f t="shared" si="297"/>
        <v>118.05099999999999</v>
      </c>
      <c r="BQ36" s="26">
        <f t="shared" si="297"/>
        <v>143.61099999999999</v>
      </c>
      <c r="BR36" s="26">
        <f t="shared" si="297"/>
        <v>164.07699999999988</v>
      </c>
      <c r="BS36" s="26">
        <f t="shared" si="297"/>
        <v>149.988</v>
      </c>
      <c r="BT36" s="26">
        <f t="shared" si="297"/>
        <v>178.89700000000005</v>
      </c>
      <c r="BU36" s="26">
        <f t="shared" si="297"/>
        <v>209.10100000000006</v>
      </c>
      <c r="BV36" s="26">
        <f t="shared" si="297"/>
        <v>221.245</v>
      </c>
      <c r="BW36" s="26">
        <f t="shared" si="297"/>
        <v>238.15400000000005</v>
      </c>
      <c r="BX36" s="26">
        <f t="shared" si="297"/>
        <v>226.541</v>
      </c>
      <c r="BY36" s="26">
        <f t="shared" si="297"/>
        <v>246.85700000000008</v>
      </c>
      <c r="BZ36" s="26">
        <f t="shared" si="297"/>
        <v>249.72500000000002</v>
      </c>
      <c r="CA36" s="26">
        <f t="shared" si="297"/>
        <v>251.46300000000008</v>
      </c>
      <c r="CB36" s="26">
        <f t="shared" si="297"/>
        <v>263.54600000000005</v>
      </c>
      <c r="CC36" s="26">
        <f t="shared" si="297"/>
        <v>270.14700000000005</v>
      </c>
      <c r="CD36" s="26">
        <f t="shared" si="297"/>
        <v>261.27899999999988</v>
      </c>
      <c r="CE36" s="26">
        <f t="shared" si="297"/>
        <v>252.26800000000003</v>
      </c>
      <c r="CF36" s="26">
        <f t="shared" si="297"/>
        <v>266.40699999999993</v>
      </c>
      <c r="CG36" s="26">
        <f t="shared" si="297"/>
        <v>246.61299999999994</v>
      </c>
      <c r="CH36" s="26">
        <f t="shared" si="297"/>
        <v>207.65800000000002</v>
      </c>
      <c r="CI36" s="26">
        <f t="shared" ref="CI36:CJ36" si="298">CI24-CI34</f>
        <v>186.70800000000008</v>
      </c>
      <c r="CJ36" s="26">
        <f t="shared" si="298"/>
        <v>193.327</v>
      </c>
      <c r="CK36" s="26">
        <f t="shared" ref="CK36:CL36" si="299">CK24-CK34</f>
        <v>222.245</v>
      </c>
      <c r="CL36" s="26">
        <f t="shared" si="299"/>
        <v>244.56799999999998</v>
      </c>
      <c r="CM36" s="27">
        <f t="shared" si="297"/>
        <v>230.60207922784298</v>
      </c>
      <c r="CN36" s="27">
        <f t="shared" si="297"/>
        <v>248.5301944555855</v>
      </c>
      <c r="CO36" s="27">
        <f t="shared" si="297"/>
        <v>268.23030171365042</v>
      </c>
      <c r="CP36" s="27">
        <f t="shared" si="297"/>
        <v>282.32936013270898</v>
      </c>
      <c r="CQ36" s="27">
        <f t="shared" si="297"/>
        <v>290.83562304307225</v>
      </c>
      <c r="CR36" s="27">
        <f t="shared" si="297"/>
        <v>309.12997171325492</v>
      </c>
      <c r="CS36" s="27">
        <f t="shared" si="297"/>
        <v>326.82431859008398</v>
      </c>
      <c r="CT36" s="27">
        <f t="shared" si="297"/>
        <v>343.15642082952047</v>
      </c>
      <c r="CU36" s="27">
        <f t="shared" ref="CU36:DB36" si="300">CU24-CU34</f>
        <v>337.03120495371627</v>
      </c>
      <c r="CV36" s="27">
        <f t="shared" si="300"/>
        <v>345.53564560048642</v>
      </c>
      <c r="CW36" s="27">
        <f t="shared" si="300"/>
        <v>352.52641432354903</v>
      </c>
      <c r="CX36" s="27">
        <f t="shared" si="300"/>
        <v>357.87280387903104</v>
      </c>
      <c r="CY36" s="27">
        <f t="shared" si="300"/>
        <v>354.49765363423887</v>
      </c>
      <c r="CZ36" s="27">
        <f t="shared" si="300"/>
        <v>358.94393105350161</v>
      </c>
      <c r="DA36" s="27">
        <f t="shared" si="300"/>
        <v>362.32747442153561</v>
      </c>
      <c r="DB36" s="27">
        <f t="shared" si="300"/>
        <v>364.77427183003249</v>
      </c>
      <c r="DE36" s="121"/>
      <c r="DF36" s="26">
        <v>218.64055689350562</v>
      </c>
    </row>
    <row r="37" spans="1:110" s="168" customFormat="1" x14ac:dyDescent="0.2">
      <c r="A37" s="165" t="s">
        <v>14</v>
      </c>
      <c r="B37" s="166">
        <f t="shared" ref="B37:E37" si="301">B36/B18</f>
        <v>0.15687097595151089</v>
      </c>
      <c r="C37" s="166">
        <f t="shared" si="301"/>
        <v>0.17452298191768667</v>
      </c>
      <c r="D37" s="166">
        <f t="shared" si="301"/>
        <v>0.1642529795874425</v>
      </c>
      <c r="E37" s="166">
        <f t="shared" si="301"/>
        <v>0.15059242053550795</v>
      </c>
      <c r="F37" s="166">
        <f t="shared" ref="F37:AE37" si="302">F36/F18</f>
        <v>0.19447554555535229</v>
      </c>
      <c r="G37" s="166">
        <f t="shared" si="302"/>
        <v>0.19974850593171203</v>
      </c>
      <c r="H37" s="166">
        <f t="shared" si="302"/>
        <v>0.22585440458756406</v>
      </c>
      <c r="I37" s="166">
        <f t="shared" si="302"/>
        <v>0.18706327669927666</v>
      </c>
      <c r="J37" s="166">
        <f t="shared" si="302"/>
        <v>0.19520461463439057</v>
      </c>
      <c r="K37" s="166">
        <f t="shared" si="302"/>
        <v>0.17611422756635262</v>
      </c>
      <c r="L37" s="166">
        <f t="shared" si="302"/>
        <v>0.37097750673701502</v>
      </c>
      <c r="M37" s="166">
        <f t="shared" si="302"/>
        <v>0.35624199704700543</v>
      </c>
      <c r="N37" s="166">
        <f t="shared" si="302"/>
        <v>0.11709887799209601</v>
      </c>
      <c r="O37" s="166">
        <f t="shared" si="302"/>
        <v>0.14573681470889308</v>
      </c>
      <c r="P37" s="166">
        <f t="shared" si="302"/>
        <v>0.19855283917103481</v>
      </c>
      <c r="Q37" s="166">
        <f t="shared" si="302"/>
        <v>0.23039387518355794</v>
      </c>
      <c r="R37" s="166">
        <f t="shared" si="302"/>
        <v>0.22111628567823988</v>
      </c>
      <c r="S37" s="166">
        <f t="shared" si="302"/>
        <v>0.24902843585656864</v>
      </c>
      <c r="T37" s="166">
        <f t="shared" si="302"/>
        <v>0.26054409593998884</v>
      </c>
      <c r="U37" s="166">
        <f t="shared" si="302"/>
        <v>0.20992056205618825</v>
      </c>
      <c r="V37" s="166">
        <f t="shared" si="302"/>
        <v>0.28667848710055316</v>
      </c>
      <c r="W37" s="166">
        <f t="shared" si="302"/>
        <v>0.31032015875672936</v>
      </c>
      <c r="X37" s="166">
        <f t="shared" si="302"/>
        <v>0.30497209213213555</v>
      </c>
      <c r="Y37" s="166">
        <f t="shared" si="302"/>
        <v>0.29482363293825475</v>
      </c>
      <c r="Z37" s="166">
        <f t="shared" ref="Z37:AA37" si="303">Z36/Z18</f>
        <v>0.26102887967420518</v>
      </c>
      <c r="AA37" s="166">
        <f t="shared" si="303"/>
        <v>0.22334308478439624</v>
      </c>
      <c r="AB37" s="167">
        <f t="shared" si="302"/>
        <v>0.24467358161651664</v>
      </c>
      <c r="AC37" s="167">
        <f t="shared" si="302"/>
        <v>0.26697132326753831</v>
      </c>
      <c r="AD37" s="167">
        <f t="shared" si="302"/>
        <v>0.26895516784544976</v>
      </c>
      <c r="AE37" s="167">
        <f t="shared" si="302"/>
        <v>0.26940230647882335</v>
      </c>
      <c r="AI37" s="166">
        <f t="shared" ref="AI37:BN37" si="304">AI36/AI18</f>
        <v>8.9892405452916338E-2</v>
      </c>
      <c r="AJ37" s="166">
        <f t="shared" si="304"/>
        <v>0.1145117730347686</v>
      </c>
      <c r="AK37" s="166">
        <f t="shared" si="304"/>
        <v>0.10519664534905986</v>
      </c>
      <c r="AL37" s="166">
        <f t="shared" si="304"/>
        <v>0.117247541331867</v>
      </c>
      <c r="AM37" s="166">
        <f t="shared" si="304"/>
        <v>7.7950950783320538E-2</v>
      </c>
      <c r="AN37" s="166">
        <f t="shared" si="304"/>
        <v>0.17075327683318411</v>
      </c>
      <c r="AO37" s="166">
        <f t="shared" si="304"/>
        <v>0.21287121246399099</v>
      </c>
      <c r="AP37" s="166">
        <f t="shared" si="304"/>
        <v>0.21787425377390776</v>
      </c>
      <c r="AQ37" s="166">
        <f t="shared" si="304"/>
        <v>0.19752037954444182</v>
      </c>
      <c r="AR37" s="166">
        <f t="shared" si="304"/>
        <v>0.1974567152499267</v>
      </c>
      <c r="AS37" s="166">
        <f t="shared" si="304"/>
        <v>0.22154609380333609</v>
      </c>
      <c r="AT37" s="166">
        <f t="shared" si="304"/>
        <v>0.19033235288937433</v>
      </c>
      <c r="AU37" s="166">
        <f t="shared" si="304"/>
        <v>0.21474123381556423</v>
      </c>
      <c r="AV37" s="166">
        <f t="shared" si="304"/>
        <v>0.23244126861312758</v>
      </c>
      <c r="AW37" s="166">
        <f t="shared" si="304"/>
        <v>0.23848993522323619</v>
      </c>
      <c r="AX37" s="166">
        <f t="shared" si="304"/>
        <v>0.22181427635168283</v>
      </c>
      <c r="AY37" s="166">
        <f t="shared" si="304"/>
        <v>0.22751798561151082</v>
      </c>
      <c r="AZ37" s="166">
        <f t="shared" si="304"/>
        <v>0.2385423104828957</v>
      </c>
      <c r="BA37" s="166">
        <f t="shared" si="304"/>
        <v>0.22982481587132747</v>
      </c>
      <c r="BB37" s="166">
        <f t="shared" si="304"/>
        <v>0.23093789851283045</v>
      </c>
      <c r="BC37" s="166">
        <f t="shared" si="304"/>
        <v>0.22722210190885761</v>
      </c>
      <c r="BD37" s="166">
        <f t="shared" si="304"/>
        <v>0.2455327133396073</v>
      </c>
      <c r="BE37" s="166">
        <f t="shared" si="304"/>
        <v>0.2636462435581316</v>
      </c>
      <c r="BF37" s="166">
        <f t="shared" si="304"/>
        <v>0.25333265845445629</v>
      </c>
      <c r="BG37" s="166">
        <f t="shared" si="304"/>
        <v>0.27882262096404781</v>
      </c>
      <c r="BH37" s="166">
        <f t="shared" si="304"/>
        <v>0.26495590688805903</v>
      </c>
      <c r="BI37" s="166">
        <f t="shared" si="304"/>
        <v>0.23166992197382946</v>
      </c>
      <c r="BJ37" s="166">
        <f t="shared" si="304"/>
        <v>0.24306844662111449</v>
      </c>
      <c r="BK37" s="166">
        <f t="shared" si="304"/>
        <v>0.19061551047574155</v>
      </c>
      <c r="BL37" s="166">
        <f t="shared" si="304"/>
        <v>0.18232549700629849</v>
      </c>
      <c r="BM37" s="166">
        <f t="shared" si="304"/>
        <v>0.22244578899390233</v>
      </c>
      <c r="BN37" s="166">
        <f t="shared" si="304"/>
        <v>0.24744750902856102</v>
      </c>
      <c r="BO37" s="166">
        <f t="shared" ref="BO37:CT37" si="305">BO36/BO18</f>
        <v>0.23149507600727115</v>
      </c>
      <c r="BP37" s="166">
        <f t="shared" si="305"/>
        <v>0.27566551466467404</v>
      </c>
      <c r="BQ37" s="166">
        <f t="shared" si="305"/>
        <v>0.30101006713519474</v>
      </c>
      <c r="BR37" s="166">
        <f t="shared" si="305"/>
        <v>0.31894850815755643</v>
      </c>
      <c r="BS37" s="166">
        <f t="shared" si="305"/>
        <v>0.26864356385989296</v>
      </c>
      <c r="BT37" s="166">
        <f t="shared" si="305"/>
        <v>0.3029128547941124</v>
      </c>
      <c r="BU37" s="166">
        <f t="shared" si="305"/>
        <v>0.32998354035453736</v>
      </c>
      <c r="BV37" s="166">
        <f t="shared" si="305"/>
        <v>0.32453035545861392</v>
      </c>
      <c r="BW37" s="166">
        <f t="shared" si="305"/>
        <v>0.32808597457738037</v>
      </c>
      <c r="BX37" s="166">
        <f t="shared" si="305"/>
        <v>0.29684173009718656</v>
      </c>
      <c r="BY37" s="166">
        <f t="shared" si="305"/>
        <v>0.30187601728171326</v>
      </c>
      <c r="BZ37" s="166">
        <f t="shared" si="305"/>
        <v>0.29802964483482913</v>
      </c>
      <c r="CA37" s="166">
        <f t="shared" si="305"/>
        <v>0.29574418539008701</v>
      </c>
      <c r="CB37" s="166">
        <f t="shared" si="305"/>
        <v>0.29890733561831834</v>
      </c>
      <c r="CC37" s="166">
        <f t="shared" si="305"/>
        <v>0.29549031811365378</v>
      </c>
      <c r="CD37" s="166">
        <f t="shared" si="305"/>
        <v>0.2884055619393272</v>
      </c>
      <c r="CE37" s="166">
        <f t="shared" si="305"/>
        <v>0.27229385129337097</v>
      </c>
      <c r="CF37" s="166">
        <f t="shared" si="305"/>
        <v>0.27893509066199268</v>
      </c>
      <c r="CG37" s="166">
        <f t="shared" si="305"/>
        <v>0.26258583367672123</v>
      </c>
      <c r="CH37" s="166">
        <f t="shared" si="305"/>
        <v>0.22861364076729318</v>
      </c>
      <c r="CI37" s="166">
        <f t="shared" ref="CI37:CJ37" si="306">CI36/CI18</f>
        <v>0.20929137671282025</v>
      </c>
      <c r="CJ37" s="166">
        <f t="shared" si="306"/>
        <v>0.21057246362604592</v>
      </c>
      <c r="CK37" s="166">
        <f t="shared" ref="CK37:CL37" si="307">CK36/CK18</f>
        <v>0.23308973291353513</v>
      </c>
      <c r="CL37" s="166">
        <f t="shared" si="307"/>
        <v>0.24610591586826075</v>
      </c>
      <c r="CM37" s="167">
        <f t="shared" si="305"/>
        <v>0.23476487228016552</v>
      </c>
      <c r="CN37" s="167">
        <f t="shared" si="305"/>
        <v>0.24113324617200166</v>
      </c>
      <c r="CO37" s="167">
        <f t="shared" si="305"/>
        <v>0.2487734418084907</v>
      </c>
      <c r="CP37" s="167">
        <f t="shared" si="305"/>
        <v>0.25269436903222969</v>
      </c>
      <c r="CQ37" s="167">
        <f t="shared" si="305"/>
        <v>0.25828855531755252</v>
      </c>
      <c r="CR37" s="167">
        <f t="shared" si="305"/>
        <v>0.26407777699219614</v>
      </c>
      <c r="CS37" s="167">
        <f t="shared" si="305"/>
        <v>0.26971771164243674</v>
      </c>
      <c r="CT37" s="167">
        <f t="shared" si="305"/>
        <v>0.27484958731221937</v>
      </c>
      <c r="CU37" s="167">
        <f t="shared" ref="CU37:DB37" si="308">CU36/CU18</f>
        <v>0.26673340781610122</v>
      </c>
      <c r="CV37" s="167">
        <f t="shared" si="308"/>
        <v>0.26884462094073824</v>
      </c>
      <c r="CW37" s="167">
        <f t="shared" si="308"/>
        <v>0.27003633192787369</v>
      </c>
      <c r="CX37" s="167">
        <f t="shared" si="308"/>
        <v>0.27011598699923312</v>
      </c>
      <c r="CY37" s="167">
        <f t="shared" si="308"/>
        <v>0.26893258692098637</v>
      </c>
      <c r="CZ37" s="167">
        <f t="shared" si="308"/>
        <v>0.26948238169720812</v>
      </c>
      <c r="DA37" s="167">
        <f t="shared" si="308"/>
        <v>0.26964182188632529</v>
      </c>
      <c r="DB37" s="167">
        <f t="shared" si="308"/>
        <v>0.26954319437593821</v>
      </c>
      <c r="DE37" s="169"/>
      <c r="DF37" s="168">
        <v>0.23039180350492355</v>
      </c>
    </row>
    <row r="38" spans="1:110" s="38" customFormat="1" x14ac:dyDescent="0.2">
      <c r="A38" s="39" t="s">
        <v>449</v>
      </c>
      <c r="B38" s="39"/>
      <c r="C38" s="39">
        <f t="shared" ref="C38:E38" si="309">+IF(B36&lt;0,1-C36/B36,C36/B36-1)</f>
        <v>5.6110318592488051E-2</v>
      </c>
      <c r="D38" s="39">
        <f t="shared" si="309"/>
        <v>-0.20532175049218226</v>
      </c>
      <c r="E38" s="39">
        <f t="shared" si="309"/>
        <v>0.28385584464638924</v>
      </c>
      <c r="F38" s="39">
        <f t="shared" ref="F38:Y38" si="310">+IF(E36&lt;0,1-F36/E36,F36/E36-1)</f>
        <v>0.56312464846623</v>
      </c>
      <c r="G38" s="39">
        <f t="shared" si="310"/>
        <v>0.30276928186888363</v>
      </c>
      <c r="H38" s="39">
        <f t="shared" si="310"/>
        <v>0.47777959551363969</v>
      </c>
      <c r="I38" s="39">
        <f t="shared" si="310"/>
        <v>8.1190658301080632E-2</v>
      </c>
      <c r="J38" s="39">
        <f t="shared" si="310"/>
        <v>8.8552166165793089E-2</v>
      </c>
      <c r="K38" s="39">
        <f t="shared" si="310"/>
        <v>-0.16489598870284194</v>
      </c>
      <c r="L38" s="39">
        <f t="shared" si="310"/>
        <v>1.2569866315988101</v>
      </c>
      <c r="M38" s="39">
        <f t="shared" si="310"/>
        <v>0.24379802934274042</v>
      </c>
      <c r="N38" s="39">
        <f t="shared" si="310"/>
        <v>-0.62067154325304275</v>
      </c>
      <c r="O38" s="39">
        <f t="shared" si="310"/>
        <v>0.55109139112875738</v>
      </c>
      <c r="P38" s="39">
        <f t="shared" si="310"/>
        <v>0.49361288334213094</v>
      </c>
      <c r="Q38" s="39">
        <f t="shared" si="310"/>
        <v>0.46883742165774311</v>
      </c>
      <c r="R38" s="39">
        <f t="shared" si="310"/>
        <v>0.10442800748745817</v>
      </c>
      <c r="S38" s="39">
        <f t="shared" si="310"/>
        <v>0.26184117176840105</v>
      </c>
      <c r="T38" s="39">
        <f t="shared" si="310"/>
        <v>0.20521019503109605</v>
      </c>
      <c r="U38" s="39">
        <f t="shared" si="310"/>
        <v>-0.18777631996069877</v>
      </c>
      <c r="V38" s="39">
        <f t="shared" si="310"/>
        <v>0.54913997280013072</v>
      </c>
      <c r="W38" s="39">
        <f t="shared" si="310"/>
        <v>0.46458162972352346</v>
      </c>
      <c r="X38" s="39">
        <f t="shared" si="310"/>
        <v>0.25082048802017032</v>
      </c>
      <c r="Y38" s="39">
        <f t="shared" si="310"/>
        <v>9.1969825221265733E-2</v>
      </c>
      <c r="Z38" s="39">
        <f t="shared" ref="Z38:AE38" si="311">+IF(Y36&lt;0,1-Z36/Y36,Z36/Y36-1)</f>
        <v>-7.0534009576451062E-2</v>
      </c>
      <c r="AA38" s="39">
        <f t="shared" si="311"/>
        <v>-0.13786333998123834</v>
      </c>
      <c r="AB38" s="40">
        <f t="shared" si="311"/>
        <v>0.22700019224359647</v>
      </c>
      <c r="AC38" s="40">
        <f t="shared" si="311"/>
        <v>0.23332648373373011</v>
      </c>
      <c r="AD38" s="40">
        <f t="shared" si="311"/>
        <v>9.6870026134355136E-2</v>
      </c>
      <c r="AE38" s="40">
        <f t="shared" si="311"/>
        <v>3.4155363328403521E-2</v>
      </c>
      <c r="AI38" s="39"/>
      <c r="AJ38" s="39"/>
      <c r="AK38" s="39"/>
      <c r="AL38" s="39"/>
      <c r="AM38" s="39">
        <f>+IF(AI36&lt;0,1-AM36/AI36,AM36/AI36-1)</f>
        <v>2.7164815096633488E-2</v>
      </c>
      <c r="AN38" s="39">
        <f t="shared" ref="AN38" si="312">+IF(AJ36&lt;0,1-AN36/AJ36,AN36/AJ36-1)</f>
        <v>0.85688934684297591</v>
      </c>
      <c r="AO38" s="39">
        <f t="shared" ref="AO38" si="313">+IF(AK36&lt;0,1-AO36/AK36,AO36/AK36-1)</f>
        <v>1.5689843465598825</v>
      </c>
      <c r="AP38" s="39">
        <f t="shared" ref="AP38" si="314">+IF(AL36&lt;0,1-AP36/AL36,AP36/AL36-1)</f>
        <v>1.4427924327204922</v>
      </c>
      <c r="AQ38" s="39">
        <f t="shared" ref="AQ38" si="315">+IF(AM36&lt;0,1-AQ36/AM36,AQ36/AM36-1)</f>
        <v>1.7911697162752862</v>
      </c>
      <c r="AR38" s="39">
        <f t="shared" ref="AR38" si="316">+IF(AN36&lt;0,1-AR36/AN36,AR36/AN36-1)</f>
        <v>0.24458967877181181</v>
      </c>
      <c r="AS38" s="39">
        <f t="shared" ref="AS38" si="317">+IF(AO36&lt;0,1-AS36/AO36,AS36/AO36-1)</f>
        <v>0.14961503944074472</v>
      </c>
      <c r="AT38" s="39">
        <f t="shared" ref="AT38" si="318">+IF(AP36&lt;0,1-AT36/AP36,AT36/AP36-1)</f>
        <v>-5.7003861340779061E-2</v>
      </c>
      <c r="AU38" s="39">
        <f t="shared" ref="AU38" si="319">+IF(AQ36&lt;0,1-AU36/AQ36,AU36/AQ36-1)</f>
        <v>0.38791867933542168</v>
      </c>
      <c r="AV38" s="39">
        <f t="shared" ref="AV38" si="320">+IF(AR36&lt;0,1-AV36/AR36,AV36/AR36-1)</f>
        <v>0.51800752997126653</v>
      </c>
      <c r="AW38" s="39">
        <f t="shared" ref="AW38" si="321">+IF(AS36&lt;0,1-AW36/AS36,AW36/AS36-1)</f>
        <v>0.33648334942580793</v>
      </c>
      <c r="AX38" s="39">
        <f t="shared" ref="AX38" si="322">+IF(AT36&lt;0,1-AX36/AT36,AX36/AT36-1)</f>
        <v>0.49548882616943368</v>
      </c>
      <c r="AY38" s="39">
        <f t="shared" ref="AY38" si="323">+IF(AU36&lt;0,1-AY36/AU36,AY36/AU36-1)</f>
        <v>0.27724021876314664</v>
      </c>
      <c r="AZ38" s="39">
        <f t="shared" ref="AZ38" si="324">+IF(AV36&lt;0,1-AZ36/AV36,AZ36/AV36-1)</f>
        <v>0.15876641918903478</v>
      </c>
      <c r="BA38" s="39">
        <f t="shared" ref="BA38" si="325">+IF(AW36&lt;0,1-BA36/AW36,BA36/AW36-1)</f>
        <v>9.6009591736349487E-2</v>
      </c>
      <c r="BB38" s="39">
        <f t="shared" ref="BB38" si="326">+IF(AX36&lt;0,1-BB36/AX36,BB36/AX36-1)</f>
        <v>0.16818266196398812</v>
      </c>
      <c r="BC38" s="39">
        <f t="shared" ref="BC38" si="327">+IF(AY36&lt;0,1-BC36/AY36,BC36/AY36-1)</f>
        <v>9.9607737453587974E-2</v>
      </c>
      <c r="BD38" s="39">
        <f t="shared" ref="BD38" si="328">+IF(AZ36&lt;0,1-BD36/AZ36,BD36/AZ36-1)</f>
        <v>0.18298950925860735</v>
      </c>
      <c r="BE38" s="39">
        <f t="shared" ref="BE38" si="329">+IF(BA36&lt;0,1-BE36/BA36,BE36/BA36-1)</f>
        <v>0.26565874730021566</v>
      </c>
      <c r="BF38" s="39">
        <f t="shared" ref="BF38" si="330">+IF(BB36&lt;0,1-BF36/BB36,BF36/BB36-1)</f>
        <v>0.25926955876900193</v>
      </c>
      <c r="BG38" s="39">
        <f t="shared" ref="BG38" si="331">+IF(BC36&lt;0,1-BG36/BC36,BG36/BC36-1)</f>
        <v>0.4503369868609155</v>
      </c>
      <c r="BH38" s="39">
        <f t="shared" ref="BH38" si="332">+IF(BD36&lt;0,1-BH36/BD36,BH36/BD36-1)</f>
        <v>0.27032496131412898</v>
      </c>
      <c r="BI38" s="39">
        <f t="shared" ref="BI38" si="333">+IF(BE36&lt;0,1-BI36/BE36,BI36/BE36-1)</f>
        <v>1.4671335490448856E-2</v>
      </c>
      <c r="BJ38" s="39">
        <f t="shared" ref="BJ38" si="334">+IF(BF36&lt;0,1-BJ36/BF36,BJ36/BF36-1)</f>
        <v>3.5469793364530044E-2</v>
      </c>
      <c r="BK38" s="39">
        <f t="shared" ref="BK38" si="335">+IF(BG36&lt;0,1-BK36/BG36,BK36/BG36-1)</f>
        <v>-0.35472211791212915</v>
      </c>
      <c r="BL38" s="39">
        <f t="shared" ref="BL38" si="336">+IF(BH36&lt;0,1-BL36/BH36,BL36/BH36-1)</f>
        <v>-0.34086394302848544</v>
      </c>
      <c r="BM38" s="39">
        <f t="shared" ref="BM38" si="337">+IF(BI36&lt;0,1-BM36/BI36,BM36/BI36-1)</f>
        <v>2.8656299143805297E-2</v>
      </c>
      <c r="BN38" s="39">
        <f t="shared" ref="BN38" si="338">+IF(BJ36&lt;0,1-BN36/BJ36,BN36/BJ36-1)</f>
        <v>0.10290652800909994</v>
      </c>
      <c r="BO38" s="39">
        <f t="shared" ref="BO38" si="339">+IF(BK36&lt;0,1-BO36/BK36,BO36/BK36-1)</f>
        <v>0.34881792391067123</v>
      </c>
      <c r="BP38" s="39">
        <f t="shared" ref="BP38" si="340">+IF(BL36&lt;0,1-BP36/BL36,BP36/BL36-1)</f>
        <v>0.67821958119500114</v>
      </c>
      <c r="BQ38" s="39">
        <f t="shared" ref="BQ38" si="341">+IF(BM36&lt;0,1-BQ36/BM36,BQ36/BM36-1)</f>
        <v>0.5246623917105484</v>
      </c>
      <c r="BR38" s="39">
        <f t="shared" ref="BR38" si="342">+IF(BN36&lt;0,1-BR36/BN36,BR36/BN36-1)</f>
        <v>0.51082402556145778</v>
      </c>
      <c r="BS38" s="39">
        <f t="shared" ref="BS38" si="343">+IF(BO36&lt;0,1-BS36/BO36,BS36/BO36-1)</f>
        <v>0.61780155537099124</v>
      </c>
      <c r="BT38" s="39">
        <f t="shared" ref="BT38" si="344">+IF(BP36&lt;0,1-BT36/BP36,BT36/BP36-1)</f>
        <v>0.51542130096314365</v>
      </c>
      <c r="BU38" s="39">
        <f t="shared" ref="BU38" si="345">+IF(BQ36&lt;0,1-BU36/BQ36,BU36/BQ36-1)</f>
        <v>0.45602356365459529</v>
      </c>
      <c r="BV38" s="39">
        <f t="shared" ref="BV38" si="346">+IF(BR36&lt;0,1-BV36/BR36,BV36/BR36-1)</f>
        <v>0.34842177758003956</v>
      </c>
      <c r="BW38" s="39">
        <f t="shared" ref="BW38" si="347">+IF(BS36&lt;0,1-BW36/BS36,BW36/BS36-1)</f>
        <v>0.58782035896205076</v>
      </c>
      <c r="BX38" s="39">
        <f t="shared" ref="BX38" si="348">+IF(BT36&lt;0,1-BX36/BT36,BX36/BT36-1)</f>
        <v>0.26632084383751509</v>
      </c>
      <c r="BY38" s="39">
        <f t="shared" ref="BY38" si="349">+IF(BU36&lt;0,1-BY36/BU36,BY36/BU36-1)</f>
        <v>0.18056345976346377</v>
      </c>
      <c r="BZ38" s="39">
        <f t="shared" ref="BZ38" si="350">+IF(BV36&lt;0,1-BZ36/BV36,BZ36/BV36-1)</f>
        <v>0.12872607290560256</v>
      </c>
      <c r="CA38" s="39">
        <f t="shared" ref="CA38" si="351">+IF(BW36&lt;0,1-CA36/BW36,CA36/BW36-1)</f>
        <v>5.5884007826868531E-2</v>
      </c>
      <c r="CB38" s="39">
        <f t="shared" ref="CB38" si="352">+IF(BX36&lt;0,1-CB36/BX36,CB36/BX36-1)</f>
        <v>0.16334791494696344</v>
      </c>
      <c r="CC38" s="39">
        <f t="shared" ref="CC38" si="353">+IF(BY36&lt;0,1-CC36/BY36,CC36/BY36-1)</f>
        <v>9.4346119413263319E-2</v>
      </c>
      <c r="CD38" s="39">
        <f t="shared" ref="CD38" si="354">+IF(BZ36&lt;0,1-CD36/BZ36,CD36/BZ36-1)</f>
        <v>4.6266893582940671E-2</v>
      </c>
      <c r="CE38" s="39">
        <f t="shared" ref="CE38" si="355">+IF(CA36&lt;0,1-CE36/CA36,CE36/CA36-1)</f>
        <v>3.2012661902545148E-3</v>
      </c>
      <c r="CF38" s="39">
        <f t="shared" ref="CF38" si="356">+IF(CB36&lt;0,1-CF36/CB36,CF36/CB36-1)</f>
        <v>1.0855789881082822E-2</v>
      </c>
      <c r="CG38" s="39">
        <f t="shared" ref="CG38" si="357">+IF(CC36&lt;0,1-CG36/CC36,CG36/CC36-1)</f>
        <v>-8.711553339478173E-2</v>
      </c>
      <c r="CH38" s="39">
        <f t="shared" ref="CH38:CL38" si="358">+IF(CD36&lt;0,1-CH36/CD36,CH36/CD36-1)</f>
        <v>-0.20522506592569589</v>
      </c>
      <c r="CI38" s="39">
        <f t="shared" si="358"/>
        <v>-0.25988234734488691</v>
      </c>
      <c r="CJ38" s="39">
        <f t="shared" si="358"/>
        <v>-0.27431711629198918</v>
      </c>
      <c r="CK38" s="39">
        <f t="shared" si="358"/>
        <v>-9.8810687190050595E-2</v>
      </c>
      <c r="CL38" s="39">
        <f t="shared" si="358"/>
        <v>0.17774417551936339</v>
      </c>
      <c r="CM38" s="40">
        <f t="shared" ref="CM38" si="359">+CM36/CI36-1</f>
        <v>0.23509479630140584</v>
      </c>
      <c r="CN38" s="40">
        <f t="shared" ref="CN38" si="360">+CN36/CJ36-1</f>
        <v>0.28554311842414926</v>
      </c>
      <c r="CO38" s="40">
        <f t="shared" ref="CO38" si="361">+CO36/CK36-1</f>
        <v>0.20691264916488739</v>
      </c>
      <c r="CP38" s="40">
        <f t="shared" ref="CP38" si="362">+CP36/CL36-1</f>
        <v>0.154400249144242</v>
      </c>
      <c r="CQ38" s="40">
        <f t="shared" ref="CQ38" si="363">+CQ36/CM36-1</f>
        <v>0.26120121733905277</v>
      </c>
      <c r="CR38" s="40">
        <f t="shared" ref="CR38" si="364">+CR36/CN36-1</f>
        <v>0.24383265538585941</v>
      </c>
      <c r="CS38" s="40">
        <f t="shared" ref="CS38" si="365">+CS36/CO36-1</f>
        <v>0.21844667251273364</v>
      </c>
      <c r="CT38" s="40">
        <f t="shared" ref="CT38" si="366">+CT36/CP36-1</f>
        <v>0.21544716662914443</v>
      </c>
      <c r="CU38" s="40">
        <f t="shared" ref="CU38" si="367">+CU36/CQ36-1</f>
        <v>0.15883742654111721</v>
      </c>
      <c r="CV38" s="40">
        <f t="shared" ref="CV38" si="368">+CV36/CR36-1</f>
        <v>0.11776817914311111</v>
      </c>
      <c r="CW38" s="40">
        <f t="shared" ref="CW38" si="369">+CW36/CS36-1</f>
        <v>7.8641931678596011E-2</v>
      </c>
      <c r="CX38" s="40">
        <f t="shared" ref="CX38" si="370">+CX36/CT36-1</f>
        <v>4.2885349526423866E-2</v>
      </c>
      <c r="CY38" s="40">
        <f t="shared" ref="CY38" si="371">+CY36/CU36-1</f>
        <v>5.1824425821108244E-2</v>
      </c>
      <c r="CZ38" s="40">
        <f t="shared" ref="CZ38" si="372">+CZ36/CV36-1</f>
        <v>3.8804348042627224E-2</v>
      </c>
      <c r="DA38" s="40">
        <f t="shared" ref="DA38" si="373">+DA36/CW36-1</f>
        <v>2.7802342462176943E-2</v>
      </c>
      <c r="DB38" s="40">
        <f t="shared" ref="DB38" si="374">+DB36/CX36-1</f>
        <v>1.9284695221865267E-2</v>
      </c>
      <c r="DE38" s="122"/>
      <c r="DF38" s="38">
        <v>5.2887713902212363E-2</v>
      </c>
    </row>
    <row r="39" spans="1:110" s="38" customFormat="1" x14ac:dyDescent="0.2">
      <c r="A39" s="39" t="s">
        <v>450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0"/>
      <c r="AD39" s="40"/>
      <c r="AE39" s="40"/>
      <c r="AI39" s="39"/>
      <c r="AJ39" s="39">
        <f>+IF(AI36&lt;0,1-AJ36/AI36,AJ36/AI36-1)</f>
        <v>0.32924973367828403</v>
      </c>
      <c r="AK39" s="39">
        <f t="shared" ref="AK39:AM39" si="375">+IF(AJ36&lt;0,1-AK36/AJ36,AK36/AJ36-1)</f>
        <v>-5.6500085866393102E-2</v>
      </c>
      <c r="AL39" s="39">
        <f t="shared" si="375"/>
        <v>0.13851474335638803</v>
      </c>
      <c r="AM39" s="39">
        <f t="shared" si="375"/>
        <v>-0.28062883026911933</v>
      </c>
      <c r="AN39" s="39">
        <f t="shared" ref="AN39" si="376">+IF(AM36&lt;0,1-AN36/AM36,AN36/AM36-1)</f>
        <v>1.4029928142825443</v>
      </c>
      <c r="AO39" s="39">
        <f t="shared" ref="AO39" si="377">+IF(AN36&lt;0,1-AO36/AN36,AO36/AN36-1)</f>
        <v>0.30532091990874899</v>
      </c>
      <c r="AP39" s="39">
        <f t="shared" ref="AP39" si="378">+IF(AO36&lt;0,1-AP36/AO36,AP36/AO36-1)</f>
        <v>8.2589391148269131E-2</v>
      </c>
      <c r="AQ39" s="39">
        <f t="shared" ref="AQ39" si="379">+IF(AP36&lt;0,1-AQ36/AP36,AQ36/AP36-1)</f>
        <v>-0.17803617007351824</v>
      </c>
      <c r="AR39" s="39">
        <f t="shared" ref="AR39" si="380">+IF(AQ36&lt;0,1-AR36/AQ36,AR36/AQ36-1)</f>
        <v>7.1500610435798473E-2</v>
      </c>
      <c r="AS39" s="39">
        <f t="shared" ref="AS39" si="381">+IF(AR36&lt;0,1-AS36/AR36,AS36/AR36-1)</f>
        <v>0.20571187952045911</v>
      </c>
      <c r="AT39" s="39">
        <f t="shared" ref="AT39" si="382">+IF(AS36&lt;0,1-AT36/AS36,AT36/AS36-1)</f>
        <v>-0.11198307208743274</v>
      </c>
      <c r="AU39" s="39">
        <f t="shared" ref="AU39" si="383">+IF(AT36&lt;0,1-AU36/AT36,AU36/AT36-1)</f>
        <v>0.20978115023365507</v>
      </c>
      <c r="AV39" s="39">
        <f t="shared" ref="AV39" si="384">+IF(AU36&lt;0,1-AV36/AU36,AV36/AU36-1)</f>
        <v>0.17193177037518614</v>
      </c>
      <c r="AW39" s="39">
        <f t="shared" ref="AW39" si="385">+IF(AV36&lt;0,1-AW36/AV36,AW36/AV36-1)</f>
        <v>6.1532185689810559E-2</v>
      </c>
      <c r="AX39" s="39">
        <f t="shared" ref="AX39" si="386">+IF(AW36&lt;0,1-AX36/AW36,AX36/AW36-1)</f>
        <v>-6.333005410724013E-3</v>
      </c>
      <c r="AY39" s="39">
        <f t="shared" ref="AY39" si="387">+IF(AX36&lt;0,1-AY36/AX36,AY36/AX36-1)</f>
        <v>3.3228141822907453E-2</v>
      </c>
      <c r="AZ39" s="39">
        <f t="shared" ref="AZ39" si="388">+IF(AY36&lt;0,1-AZ36/AY36,AZ36/AY36-1)</f>
        <v>6.32261348664509E-2</v>
      </c>
      <c r="BA39" s="39">
        <f t="shared" ref="BA39" si="389">+IF(AZ36&lt;0,1-BA36/AZ36,BA36/AZ36-1)</f>
        <v>4.0413997042878513E-3</v>
      </c>
      <c r="BB39" s="39">
        <f t="shared" ref="BB39" si="390">+IF(BA36&lt;0,1-BB36/BA36,BB36/BA36-1)</f>
        <v>5.9100726487335997E-2</v>
      </c>
      <c r="BC39" s="39">
        <f t="shared" ref="BC39" si="391">+IF(BB36&lt;0,1-BC36/BB36,BC36/BB36-1)</f>
        <v>-2.7424651729434424E-2</v>
      </c>
      <c r="BD39" s="39">
        <f t="shared" ref="BD39" si="392">+IF(BC36&lt;0,1-BD36/BC36,BD36/BC36-1)</f>
        <v>0.14384913881135453</v>
      </c>
      <c r="BE39" s="39">
        <f t="shared" ref="BE39" si="393">+IF(BD36&lt;0,1-BE36/BD36,BE36/BD36-1)</f>
        <v>7.4205451731936378E-2</v>
      </c>
      <c r="BF39" s="39">
        <f t="shared" ref="BF39" si="394">+IF(BE36&lt;0,1-BF36/BE36,BF36/BE36-1)</f>
        <v>5.3754266211604174E-2</v>
      </c>
      <c r="BG39" s="39">
        <f t="shared" ref="BG39" si="395">+IF(BF36&lt;0,1-BG36/BF36,BG36/BF36-1)</f>
        <v>0.12014301487985746</v>
      </c>
      <c r="BH39" s="39">
        <f t="shared" ref="BH39" si="396">+IF(BG36&lt;0,1-BH36/BG36,BH36/BG36-1)</f>
        <v>1.8775816748024532E-3</v>
      </c>
      <c r="BI39" s="39">
        <f t="shared" ref="BI39" si="397">+IF(BH36&lt;0,1-BI36/BH36,BI36/BH36-1)</f>
        <v>-0.14197901049475203</v>
      </c>
      <c r="BJ39" s="39">
        <f t="shared" ref="BJ39" si="398">+IF(BI36&lt;0,1-BJ36/BI36,BJ36/BI36-1)</f>
        <v>7.5353835401012592E-2</v>
      </c>
      <c r="BK39" s="39">
        <f t="shared" ref="BK39" si="399">+IF(BJ36&lt;0,1-BK36/BJ36,BK36/BJ36-1)</f>
        <v>-0.30195596538977088</v>
      </c>
      <c r="BL39" s="39">
        <f t="shared" ref="BL39" si="400">+IF(BK36&lt;0,1-BL36/BK36,BL36/BK36-1)</f>
        <v>2.3394195097112158E-2</v>
      </c>
      <c r="BM39" s="39">
        <f t="shared" ref="BM39" si="401">+IF(BL36&lt;0,1-BM36/BL36,BM36/BL36-1)</f>
        <v>0.33903871031943456</v>
      </c>
      <c r="BN39" s="39">
        <f t="shared" ref="BN39" si="402">+IF(BM36&lt;0,1-BN36/BM36,BN36/BM36-1)</f>
        <v>0.15297477492780698</v>
      </c>
      <c r="BO39" s="39">
        <f t="shared" ref="BO39" si="403">+IF(BN36&lt;0,1-BO36/BN36,BO36/BN36-1)</f>
        <v>-0.14631541146029947</v>
      </c>
      <c r="BP39" s="39">
        <f t="shared" ref="BP39" si="404">+IF(BO36&lt;0,1-BP36/BO36,BP36/BO36-1)</f>
        <v>0.27332247521869002</v>
      </c>
      <c r="BQ39" s="39">
        <f t="shared" ref="BQ39" si="405">+IF(BP36&lt;0,1-BQ36/BP36,BQ36/BP36-1)</f>
        <v>0.21651659028724879</v>
      </c>
      <c r="BR39" s="39">
        <f t="shared" ref="BR39" si="406">+IF(BQ36&lt;0,1-BR36/BQ36,BR36/BQ36-1)</f>
        <v>0.14250997486264905</v>
      </c>
      <c r="BS39" s="39">
        <f t="shared" ref="BS39" si="407">+IF(BR36&lt;0,1-BS36/BR36,BS36/BR36-1)</f>
        <v>-8.5868220408709894E-2</v>
      </c>
      <c r="BT39" s="39">
        <f t="shared" ref="BT39" si="408">+IF(BS36&lt;0,1-BT36/BS36,BT36/BS36-1)</f>
        <v>0.19274208603354959</v>
      </c>
      <c r="BU39" s="39">
        <f t="shared" ref="BU39" si="409">+IF(BT36&lt;0,1-BU36/BT36,BU36/BT36-1)</f>
        <v>0.16883458079229952</v>
      </c>
      <c r="BV39" s="39">
        <f t="shared" ref="BV39" si="410">+IF(BU36&lt;0,1-BV36/BU36,BV36/BU36-1)</f>
        <v>5.8077197143963755E-2</v>
      </c>
      <c r="BW39" s="39">
        <f t="shared" ref="BW39" si="411">+IF(BV36&lt;0,1-BW36/BV36,BW36/BV36-1)</f>
        <v>7.6426585911546274E-2</v>
      </c>
      <c r="BX39" s="39">
        <f t="shared" ref="BX39" si="412">+IF(BW36&lt;0,1-BX36/BW36,BX36/BW36-1)</f>
        <v>-4.8762565398859814E-2</v>
      </c>
      <c r="BY39" s="39">
        <f t="shared" ref="BY39" si="413">+IF(BX36&lt;0,1-BY36/BX36,BY36/BX36-1)</f>
        <v>8.9679130929942508E-2</v>
      </c>
      <c r="BZ39" s="39">
        <f t="shared" ref="BZ39" si="414">+IF(BY36&lt;0,1-BZ36/BY36,BZ36/BY36-1)</f>
        <v>1.1618062278970998E-2</v>
      </c>
      <c r="CA39" s="39">
        <f t="shared" ref="CA39" si="415">+IF(BZ36&lt;0,1-CA36/BZ36,CA36/BZ36-1)</f>
        <v>6.9596556211835026E-3</v>
      </c>
      <c r="CB39" s="39">
        <f t="shared" ref="CB39" si="416">+IF(CA36&lt;0,1-CB36/CA36,CB36/CA36-1)</f>
        <v>4.8050806679312608E-2</v>
      </c>
      <c r="CC39" s="39">
        <f t="shared" ref="CC39" si="417">+IF(CB36&lt;0,1-CC36/CB36,CC36/CB36-1)</f>
        <v>2.5046860889559985E-2</v>
      </c>
      <c r="CD39" s="39">
        <f t="shared" ref="CD39" si="418">+IF(CC36&lt;0,1-CD36/CC36,CD36/CC36-1)</f>
        <v>-3.282657219958085E-2</v>
      </c>
      <c r="CE39" s="39">
        <f t="shared" ref="CE39" si="419">+IF(CD36&lt;0,1-CE36/CD36,CE36/CD36-1)</f>
        <v>-3.4488037691509321E-2</v>
      </c>
      <c r="CF39" s="39">
        <f t="shared" ref="CF39" si="420">+IF(CE36&lt;0,1-CF36/CE36,CF36/CE36-1)</f>
        <v>5.6047536746634208E-2</v>
      </c>
      <c r="CG39" s="39">
        <f t="shared" ref="CG39" si="421">+IF(CF36&lt;0,1-CG36/CF36,CG36/CF36-1)</f>
        <v>-7.4299849478429603E-2</v>
      </c>
      <c r="CH39" s="39">
        <f t="shared" ref="CH39:CI39" si="422">+IF(CG36&lt;0,1-CH36/CG36,CH36/CG36-1)</f>
        <v>-0.1579600426579294</v>
      </c>
      <c r="CI39" s="39">
        <f t="shared" si="422"/>
        <v>-0.10088703541399768</v>
      </c>
      <c r="CJ39" s="39">
        <f>+IF(CI36&gt;1,CJ36/CI36-1,1-CJ36/CI36)</f>
        <v>3.5451078689718196E-2</v>
      </c>
      <c r="CK39" s="39">
        <f>+IF(CJ36&gt;1,CK36/CJ36-1,1-CK36/CJ36)</f>
        <v>0.14958076212841465</v>
      </c>
      <c r="CL39" s="39">
        <f>+IF(CK36&gt;1,CL36/CK36-1,1-CL36/CK36)</f>
        <v>0.10044320457153133</v>
      </c>
      <c r="CM39" s="40">
        <f t="shared" ref="CM39" si="423">+CM36/CL36-1</f>
        <v>-5.7104448546649644E-2</v>
      </c>
      <c r="CN39" s="40">
        <f t="shared" ref="CN39" si="424">+CN36/CM36-1</f>
        <v>7.7744811702365135E-2</v>
      </c>
      <c r="CO39" s="40">
        <f t="shared" ref="CO39" si="425">+CO36/CN36-1</f>
        <v>7.9266454127309149E-2</v>
      </c>
      <c r="CP39" s="40">
        <f t="shared" ref="CP39" si="426">+CP36/CO36-1</f>
        <v>5.2563257502912686E-2</v>
      </c>
      <c r="CQ39" s="40">
        <f t="shared" ref="CQ39" si="427">+CQ36/CP36-1</f>
        <v>3.0128864055672055E-2</v>
      </c>
      <c r="CR39" s="40">
        <f t="shared" ref="CR39" si="428">+CR36/CQ36-1</f>
        <v>6.2902709368148235E-2</v>
      </c>
      <c r="CS39" s="40">
        <f t="shared" ref="CS39" si="429">+CS36/CR36-1</f>
        <v>5.723918253142446E-2</v>
      </c>
      <c r="CT39" s="40">
        <f t="shared" ref="CT39" si="430">+CT36/CS36-1</f>
        <v>4.9972114406580781E-2</v>
      </c>
      <c r="CU39" s="40">
        <f t="shared" ref="CU39" si="431">+CU36/CT36-1</f>
        <v>-1.7849632132767801E-2</v>
      </c>
      <c r="CV39" s="40">
        <f t="shared" ref="CV39" si="432">+CV36/CU36-1</f>
        <v>2.5233392403347432E-2</v>
      </c>
      <c r="CW39" s="40">
        <f t="shared" ref="CW39" si="433">+CW36/CV36-1</f>
        <v>2.0231686114217773E-2</v>
      </c>
      <c r="CX39" s="40">
        <f t="shared" ref="CX39" si="434">+CX36/CW36-1</f>
        <v>1.5165926121425644E-2</v>
      </c>
      <c r="CY39" s="40">
        <f t="shared" ref="CY39" si="435">+CY36/CX36-1</f>
        <v>-9.4311448319304159E-3</v>
      </c>
      <c r="CZ39" s="40">
        <f t="shared" ref="CZ39" si="436">+CZ36/CY36-1</f>
        <v>1.2542473479529193E-2</v>
      </c>
      <c r="DA39" s="40">
        <f t="shared" ref="DA39" si="437">+DA36/CZ36-1</f>
        <v>9.4263841099173629E-3</v>
      </c>
      <c r="DB39" s="40">
        <f t="shared" ref="DB39" si="438">+DB36/DA36-1</f>
        <v>6.7529999274917873E-3</v>
      </c>
      <c r="DE39" s="122"/>
      <c r="DF39" s="38">
        <v>-1.6218331600235669E-2</v>
      </c>
    </row>
    <row r="40" spans="1:110" s="23" customFormat="1" x14ac:dyDescent="0.2">
      <c r="A40" s="23" t="s">
        <v>15</v>
      </c>
      <c r="B40" s="23">
        <f>'Annual Raw'!C27</f>
        <v>4.5792000000000002</v>
      </c>
      <c r="C40" s="23">
        <f>'Annual Raw'!D27</f>
        <v>3.0535000000000001</v>
      </c>
      <c r="D40" s="23">
        <f>'Annual Raw'!E27</f>
        <v>3.4146000000000001</v>
      </c>
      <c r="E40" s="23">
        <f>'Annual Raw'!F27</f>
        <v>4.0393999999999997</v>
      </c>
      <c r="F40" s="23">
        <f>'Annual Raw'!G27</f>
        <v>5.0180999999999996</v>
      </c>
      <c r="G40" s="23">
        <f>'Annual Raw'!H27</f>
        <v>6.7335000000000003</v>
      </c>
      <c r="H40" s="23">
        <f>'Annual Raw'!I27</f>
        <v>8.6968999999999994</v>
      </c>
      <c r="I40" s="23">
        <f>'Annual Raw'!J27</f>
        <v>13.4413</v>
      </c>
      <c r="J40" s="23">
        <f>'Annual Raw'!K27</f>
        <v>15.9518</v>
      </c>
      <c r="K40" s="23">
        <f>'Annual Raw'!L27</f>
        <v>16.582599999999999</v>
      </c>
      <c r="L40" s="23">
        <f>'Annual Raw'!M27</f>
        <v>17.204699999999999</v>
      </c>
      <c r="M40" s="23">
        <f>'Annual Raw'!N27</f>
        <v>20.519200000000001</v>
      </c>
      <c r="N40" s="23">
        <f>'Annual Raw'!O27</f>
        <v>23.725300000000001</v>
      </c>
      <c r="O40" s="23">
        <f>'Annual Raw'!P27</f>
        <v>34.986600000000003</v>
      </c>
      <c r="P40" s="23">
        <f>'Annual Raw'!Q27</f>
        <v>25.537700000000001</v>
      </c>
      <c r="Q40" s="23">
        <f>'Annual Raw'!R27</f>
        <v>22.604199999999999</v>
      </c>
      <c r="R40" s="23">
        <f>'Annual Raw'!S27</f>
        <v>26.921299999999999</v>
      </c>
      <c r="S40" s="23">
        <f>'Annual Raw'!T27</f>
        <v>25.354500000000002</v>
      </c>
      <c r="T40" s="23">
        <f>'Annual Raw'!U27</f>
        <v>25.096499999999999</v>
      </c>
      <c r="U40" s="23">
        <f>'Annual Raw'!V27</f>
        <v>43.413400000000003</v>
      </c>
      <c r="V40" s="23">
        <f>'Annual Raw'!W27</f>
        <v>44.380899999999997</v>
      </c>
      <c r="W40" s="23">
        <f>'Annual Raw'!X27</f>
        <v>55.335500000000003</v>
      </c>
      <c r="X40" s="23">
        <f>'Annual Raw'!Y27</f>
        <v>81.389799999999994</v>
      </c>
      <c r="Y40" s="23">
        <f>'Annual Raw'!Z27</f>
        <v>99.449399999999997</v>
      </c>
      <c r="Z40" s="23">
        <f>'Annual Raw'!AA27</f>
        <v>104.8708</v>
      </c>
      <c r="AA40" s="23">
        <f>'Annual Raw'!AB27</f>
        <v>93.799700000000001</v>
      </c>
      <c r="AB40" s="76">
        <f>+SUM(CM40:CP40)</f>
        <v>96.208702709228618</v>
      </c>
      <c r="AC40" s="76">
        <f>+SUM(CQ40:CT40)</f>
        <v>142.38664394185938</v>
      </c>
      <c r="AD40" s="76">
        <f>+SUM(CU40:CX40)</f>
        <v>130.58403898566615</v>
      </c>
      <c r="AE40" s="76">
        <f>+SUM(CY40:DB40)</f>
        <v>72.485698993765666</v>
      </c>
      <c r="AI40" s="23">
        <f>'QTR Raw'!C28</f>
        <v>5.4779999999999998</v>
      </c>
      <c r="AJ40" s="23">
        <f>'QTR Raw'!D28</f>
        <v>6.2140000000000004</v>
      </c>
      <c r="AK40" s="23">
        <f>'QTR Raw'!E28</f>
        <v>6.1509999999999998</v>
      </c>
      <c r="AL40" s="23">
        <f>'QTR Raw'!F28</f>
        <v>5.8819999999999997</v>
      </c>
      <c r="AM40" s="23">
        <f>'QTR Raw'!G28</f>
        <v>5.758</v>
      </c>
      <c r="AN40" s="23">
        <f>'QTR Raw'!H28</f>
        <v>8.2859999999999996</v>
      </c>
      <c r="AO40" s="23">
        <f>'QTR Raw'!I28</f>
        <v>9.2650000000000006</v>
      </c>
      <c r="AP40" s="23">
        <f>'QTR Raw'!J28</f>
        <v>11.678000000000001</v>
      </c>
      <c r="AQ40" s="23">
        <f>'QTR Raw'!K28</f>
        <v>8.9700000000000006</v>
      </c>
      <c r="AR40" s="23">
        <f>'QTR Raw'!L28</f>
        <v>7.8780000000000001</v>
      </c>
      <c r="AS40" s="23">
        <f>'QTR Raw'!M28</f>
        <v>7.2809999999999997</v>
      </c>
      <c r="AT40" s="23">
        <f>'QTR Raw'!N28</f>
        <v>1.4079999999999999</v>
      </c>
      <c r="AU40" s="23">
        <f>'QTR Raw'!O28</f>
        <v>5.2709999999999999</v>
      </c>
      <c r="AV40" s="23">
        <f>'QTR Raw'!P28</f>
        <v>5.6840000000000002</v>
      </c>
      <c r="AW40" s="23">
        <f>'QTR Raw'!Q28</f>
        <v>5.7240000000000002</v>
      </c>
      <c r="AX40" s="23">
        <f>'QTR Raw'!R28</f>
        <v>5.9260000000000002</v>
      </c>
      <c r="AY40" s="23">
        <f>'QTR Raw'!S28</f>
        <v>6.7450000000000001</v>
      </c>
      <c r="AZ40" s="23">
        <f>'QTR Raw'!T28</f>
        <v>6.4219999999999997</v>
      </c>
      <c r="BA40" s="23">
        <f>'QTR Raw'!U28</f>
        <v>6.931</v>
      </c>
      <c r="BB40" s="23">
        <f>'QTR Raw'!V28</f>
        <v>6.8230000000000004</v>
      </c>
      <c r="BC40" s="23">
        <f>'QTR Raw'!W28</f>
        <v>6.4809999999999999</v>
      </c>
      <c r="BD40" s="23">
        <f>'QTR Raw'!X28</f>
        <v>6.4470000000000001</v>
      </c>
      <c r="BE40" s="23">
        <f>'QTR Raw'!Y28</f>
        <v>6.2850000000000001</v>
      </c>
      <c r="BF40" s="23">
        <f>'QTR Raw'!Z28</f>
        <v>6.1420000000000003</v>
      </c>
      <c r="BG40" s="23">
        <f>'QTR Raw'!AA28</f>
        <v>6.1040000000000001</v>
      </c>
      <c r="BH40" s="23">
        <f>'QTR Raw'!AB28</f>
        <v>6.0830000000000002</v>
      </c>
      <c r="BI40" s="23">
        <f>'QTR Raw'!AC28</f>
        <v>6.2169999999999996</v>
      </c>
      <c r="BJ40" s="23">
        <f>'QTR Raw'!AD28</f>
        <v>6.6920000000000002</v>
      </c>
      <c r="BK40" s="23">
        <f>'QTR Raw'!AE28</f>
        <v>10.446999999999999</v>
      </c>
      <c r="BL40" s="23">
        <f>'QTR Raw'!AF28</f>
        <v>10.96</v>
      </c>
      <c r="BM40" s="23">
        <f>'QTR Raw'!AG28</f>
        <v>11.217000000000001</v>
      </c>
      <c r="BN40" s="23">
        <f>'QTR Raw'!AH28</f>
        <v>10.788</v>
      </c>
      <c r="BO40" s="23">
        <f>'QTR Raw'!AI28</f>
        <v>10.824</v>
      </c>
      <c r="BP40" s="23">
        <f>'QTR Raw'!AJ28</f>
        <v>11.206</v>
      </c>
      <c r="BQ40" s="23">
        <f>'QTR Raw'!AK28</f>
        <v>11.053000000000001</v>
      </c>
      <c r="BR40" s="23">
        <f>'QTR Raw'!AL28</f>
        <v>11.298</v>
      </c>
      <c r="BS40" s="23">
        <f>'QTR Raw'!AM28</f>
        <v>11.916</v>
      </c>
      <c r="BT40" s="23">
        <f>'QTR Raw'!AN28</f>
        <v>13.497</v>
      </c>
      <c r="BU40" s="23">
        <f>'QTR Raw'!AO28</f>
        <v>14.04</v>
      </c>
      <c r="BV40" s="23">
        <f>'QTR Raw'!AP28</f>
        <v>15.882</v>
      </c>
      <c r="BW40" s="23">
        <f>'QTR Raw'!AQ28</f>
        <v>17.093</v>
      </c>
      <c r="BX40" s="23">
        <f>'QTR Raw'!AR28</f>
        <v>21.788</v>
      </c>
      <c r="BY40" s="23">
        <f>'QTR Raw'!AS28</f>
        <v>21.43</v>
      </c>
      <c r="BZ40" s="23">
        <f>'QTR Raw'!AT28</f>
        <v>21.079000000000001</v>
      </c>
      <c r="CA40" s="23">
        <f>'QTR Raw'!AU28</f>
        <v>21.41</v>
      </c>
      <c r="CB40" s="23">
        <f>'QTR Raw'!AV28</f>
        <v>25.009</v>
      </c>
      <c r="CC40" s="23">
        <f>'QTR Raw'!AW28</f>
        <v>25.45</v>
      </c>
      <c r="CD40" s="23">
        <f>'QTR Raw'!AX28</f>
        <v>27.58</v>
      </c>
      <c r="CE40" s="23">
        <f>'QTR Raw'!AY28</f>
        <v>27.061</v>
      </c>
      <c r="CF40" s="23">
        <f>'QTR Raw'!AZ28</f>
        <v>27.155000000000001</v>
      </c>
      <c r="CG40" s="23">
        <f>'QTR Raw'!BA28</f>
        <v>25.966999999999999</v>
      </c>
      <c r="CH40" s="23">
        <f>'QTR Raw'!BB28</f>
        <v>24.687999999999999</v>
      </c>
      <c r="CI40" s="23">
        <f>'QTR Raw'!BC28</f>
        <v>24.271999999999998</v>
      </c>
      <c r="CJ40" s="23">
        <f>'QTR Raw'!BD28</f>
        <v>23.446999999999999</v>
      </c>
      <c r="CK40" s="23">
        <f>'QTR Raw'!BE28</f>
        <v>22.806999999999999</v>
      </c>
      <c r="CL40" s="23">
        <f>'QTR Raw'!BF28</f>
        <v>23.274000000000001</v>
      </c>
      <c r="CM40" s="24">
        <f t="shared" ref="CM40:DB40" si="439">CM41*CL142</f>
        <v>18.076897189557851</v>
      </c>
      <c r="CN40" s="24">
        <f t="shared" si="439"/>
        <v>22.44530202734143</v>
      </c>
      <c r="CO40" s="24">
        <f t="shared" si="439"/>
        <v>26.215927854103281</v>
      </c>
      <c r="CP40" s="24">
        <f t="shared" si="439"/>
        <v>29.470575638226052</v>
      </c>
      <c r="CQ40" s="24">
        <f t="shared" si="439"/>
        <v>32.279852581993261</v>
      </c>
      <c r="CR40" s="24">
        <f t="shared" si="439"/>
        <v>34.70470389318028</v>
      </c>
      <c r="CS40" s="24">
        <f t="shared" si="439"/>
        <v>36.797734946744029</v>
      </c>
      <c r="CT40" s="24">
        <f t="shared" si="439"/>
        <v>38.604352519941806</v>
      </c>
      <c r="CU40" s="24">
        <f t="shared" si="439"/>
        <v>40.163749859140268</v>
      </c>
      <c r="CV40" s="24">
        <f t="shared" si="439"/>
        <v>34.667682630649971</v>
      </c>
      <c r="CW40" s="24">
        <f t="shared" si="439"/>
        <v>29.923705410837247</v>
      </c>
      <c r="CX40" s="24">
        <f t="shared" si="439"/>
        <v>25.828901085038652</v>
      </c>
      <c r="CY40" s="24">
        <f t="shared" si="439"/>
        <v>22.294435869533071</v>
      </c>
      <c r="CZ40" s="24">
        <f t="shared" si="439"/>
        <v>19.243632127602723</v>
      </c>
      <c r="DA40" s="24">
        <f t="shared" si="439"/>
        <v>16.610304904308826</v>
      </c>
      <c r="DB40" s="24">
        <f t="shared" si="439"/>
        <v>14.337326092321039</v>
      </c>
      <c r="DE40" s="123"/>
      <c r="DF40" s="23">
        <v>20.409600000000005</v>
      </c>
    </row>
    <row r="41" spans="1:110" s="46" customFormat="1" x14ac:dyDescent="0.2">
      <c r="A41" s="46" t="s">
        <v>483</v>
      </c>
      <c r="B41" s="46">
        <f t="shared" ref="B41:D41" si="440">+B40/B142</f>
        <v>0.24847120106351231</v>
      </c>
      <c r="C41" s="46">
        <f t="shared" si="440"/>
        <v>0.1612605095272297</v>
      </c>
      <c r="D41" s="46">
        <f t="shared" si="440"/>
        <v>0.1588392906983235</v>
      </c>
      <c r="E41" s="46">
        <f t="shared" ref="E41:AE41" si="441">+E40/E142</f>
        <v>0.16652993242992545</v>
      </c>
      <c r="F41" s="46">
        <f t="shared" si="441"/>
        <v>0.14431812626002627</v>
      </c>
      <c r="G41" s="46">
        <f t="shared" si="441"/>
        <v>0.14866502844804177</v>
      </c>
      <c r="H41" s="46">
        <f t="shared" si="441"/>
        <v>0.13766820899467969</v>
      </c>
      <c r="I41" s="46">
        <f t="shared" si="441"/>
        <v>0.13601911369450473</v>
      </c>
      <c r="J41" s="46">
        <f t="shared" si="441"/>
        <v>0.16393270782163671</v>
      </c>
      <c r="K41" s="46">
        <f t="shared" si="441"/>
        <v>0.18422593356685701</v>
      </c>
      <c r="L41" s="46">
        <f t="shared" si="441"/>
        <v>0.18955944976669623</v>
      </c>
      <c r="M41" s="46">
        <f t="shared" si="441"/>
        <v>0.20545004525684263</v>
      </c>
      <c r="N41" s="46">
        <f t="shared" si="441"/>
        <v>0.23931107524712528</v>
      </c>
      <c r="O41" s="46">
        <f t="shared" si="441"/>
        <v>0.3613164805862592</v>
      </c>
      <c r="P41" s="46">
        <f t="shared" si="441"/>
        <v>0.25929784267915151</v>
      </c>
      <c r="Q41" s="46">
        <f t="shared" si="441"/>
        <v>0.21132273737370902</v>
      </c>
      <c r="R41" s="46">
        <f t="shared" si="441"/>
        <v>0.24972264685802487</v>
      </c>
      <c r="S41" s="46">
        <f t="shared" si="441"/>
        <v>0.26893964304731438</v>
      </c>
      <c r="T41" s="46">
        <f t="shared" si="441"/>
        <v>0.2480205006166788</v>
      </c>
      <c r="U41" s="46">
        <f t="shared" si="441"/>
        <v>0.29520855758972014</v>
      </c>
      <c r="V41" s="46">
        <f t="shared" si="441"/>
        <v>0.26159916488016965</v>
      </c>
      <c r="W41" s="46">
        <f t="shared" si="441"/>
        <v>0.20380986757174352</v>
      </c>
      <c r="X41" s="46">
        <f t="shared" si="441"/>
        <v>0.24397831618276566</v>
      </c>
      <c r="Y41" s="46">
        <f t="shared" si="441"/>
        <v>0.25114962572292765</v>
      </c>
      <c r="Z41" s="46">
        <f t="shared" si="441"/>
        <v>0.3297420535664034</v>
      </c>
      <c r="AA41" s="46">
        <f t="shared" ref="AA41" si="442">+AA40/AA142</f>
        <v>0.36180771748358465</v>
      </c>
      <c r="AB41" s="110">
        <f t="shared" si="441"/>
        <v>0.40785012403621401</v>
      </c>
      <c r="AC41" s="110">
        <f t="shared" si="441"/>
        <v>0.48512402509873898</v>
      </c>
      <c r="AD41" s="110">
        <f t="shared" si="441"/>
        <v>0.8015145166344797</v>
      </c>
      <c r="AE41" s="110">
        <f t="shared" si="441"/>
        <v>0.80151451663448003</v>
      </c>
      <c r="AI41" s="46" t="e">
        <f t="shared" ref="AI41:BN41" si="443">+AI40/AH142</f>
        <v>#DIV/0!</v>
      </c>
      <c r="AJ41" s="46" t="e">
        <f t="shared" si="443"/>
        <v>#DIV/0!</v>
      </c>
      <c r="AK41" s="46">
        <f t="shared" si="443"/>
        <v>5.3124784080701995E-2</v>
      </c>
      <c r="AL41" s="46">
        <f t="shared" si="443"/>
        <v>5.0801492434187794E-2</v>
      </c>
      <c r="AM41" s="46">
        <f t="shared" si="443"/>
        <v>4.9666617787860225E-2</v>
      </c>
      <c r="AN41" s="46">
        <f t="shared" si="443"/>
        <v>7.1472315906601219E-2</v>
      </c>
      <c r="AO41" s="46">
        <f t="shared" si="443"/>
        <v>8.3436897750400751E-2</v>
      </c>
      <c r="AP41" s="46">
        <f t="shared" si="443"/>
        <v>0.10516741413158985</v>
      </c>
      <c r="AQ41" s="46">
        <f t="shared" si="443"/>
        <v>8.9830253868108764E-2</v>
      </c>
      <c r="AR41" s="46">
        <f t="shared" si="443"/>
        <v>7.8894396875469425E-2</v>
      </c>
      <c r="AS41" s="46">
        <f t="shared" si="443"/>
        <v>8.7100594547390331E-2</v>
      </c>
      <c r="AT41" s="46">
        <f t="shared" si="443"/>
        <v>1.6843515605373654E-2</v>
      </c>
      <c r="AU41" s="46">
        <f t="shared" si="443"/>
        <v>5.3324835351603997E-2</v>
      </c>
      <c r="AV41" s="46">
        <f t="shared" si="443"/>
        <v>5.7503009701862479E-2</v>
      </c>
      <c r="AW41" s="46">
        <f t="shared" si="443"/>
        <v>5.4886468241791962E-2</v>
      </c>
      <c r="AX41" s="46">
        <f t="shared" si="443"/>
        <v>5.6823412089598041E-2</v>
      </c>
      <c r="AY41" s="46">
        <f t="shared" si="443"/>
        <v>6.3058009629317999E-2</v>
      </c>
      <c r="AZ41" s="46">
        <f t="shared" si="443"/>
        <v>6.0038330294956289E-2</v>
      </c>
      <c r="BA41" s="46">
        <f t="shared" si="443"/>
        <v>6.3725715546647299E-2</v>
      </c>
      <c r="BB41" s="46">
        <f t="shared" si="443"/>
        <v>6.273273079999632E-2</v>
      </c>
      <c r="BC41" s="46">
        <f t="shared" si="443"/>
        <v>6.0117805296600338E-2</v>
      </c>
      <c r="BD41" s="46">
        <f t="shared" si="443"/>
        <v>5.9802421037985248E-2</v>
      </c>
      <c r="BE41" s="46">
        <f t="shared" si="443"/>
        <v>6.3023946091211744E-2</v>
      </c>
      <c r="BF41" s="46">
        <f t="shared" si="443"/>
        <v>6.1589988367895393E-2</v>
      </c>
      <c r="BG41" s="46">
        <f t="shared" si="443"/>
        <v>6.4746064746064744E-2</v>
      </c>
      <c r="BH41" s="46">
        <f t="shared" si="443"/>
        <v>6.4523314523314529E-2</v>
      </c>
      <c r="BI41" s="46">
        <f t="shared" si="443"/>
        <v>6.5713953512953588E-2</v>
      </c>
      <c r="BJ41" s="46">
        <f t="shared" si="443"/>
        <v>7.0734723646241823E-2</v>
      </c>
      <c r="BK41" s="46">
        <f t="shared" si="443"/>
        <v>0.10324448792829118</v>
      </c>
      <c r="BL41" s="46">
        <f t="shared" si="443"/>
        <v>0.10831430915038494</v>
      </c>
      <c r="BM41" s="46">
        <f t="shared" si="443"/>
        <v>7.4191905495770205E-2</v>
      </c>
      <c r="BN41" s="46">
        <f t="shared" si="443"/>
        <v>7.1354397476006859E-2</v>
      </c>
      <c r="BO41" s="46">
        <f t="shared" ref="BO41:CL41" si="444">+BO40/BN142</f>
        <v>0.11366404838912925</v>
      </c>
      <c r="BP41" s="46">
        <f t="shared" si="444"/>
        <v>0.11767547360020163</v>
      </c>
      <c r="BQ41" s="46">
        <f t="shared" si="444"/>
        <v>0.11764017199540211</v>
      </c>
      <c r="BR41" s="46">
        <f t="shared" si="444"/>
        <v>0.12024777555451488</v>
      </c>
      <c r="BS41" s="46">
        <f t="shared" si="444"/>
        <v>0.11396545458023298</v>
      </c>
      <c r="BT41" s="46">
        <f t="shared" si="444"/>
        <v>0.12908624878058111</v>
      </c>
      <c r="BU41" s="46">
        <f t="shared" si="444"/>
        <v>0.11694542546811487</v>
      </c>
      <c r="BV41" s="46">
        <f t="shared" si="444"/>
        <v>0.13228826547611114</v>
      </c>
      <c r="BW41" s="46">
        <f t="shared" si="444"/>
        <v>0.11618248800315384</v>
      </c>
      <c r="BX41" s="46">
        <f t="shared" si="444"/>
        <v>0.14809477848316363</v>
      </c>
      <c r="BY41" s="46">
        <f t="shared" si="444"/>
        <v>0.11625068486462736</v>
      </c>
      <c r="BZ41" s="46">
        <f t="shared" si="444"/>
        <v>0.11434662558383016</v>
      </c>
      <c r="CA41" s="46">
        <f t="shared" si="444"/>
        <v>0.1216919789014187</v>
      </c>
      <c r="CB41" s="46">
        <f t="shared" si="444"/>
        <v>0.14214828119316114</v>
      </c>
      <c r="CC41" s="46">
        <f t="shared" si="444"/>
        <v>0.14488133393297317</v>
      </c>
      <c r="CD41" s="46">
        <f t="shared" si="444"/>
        <v>0.15700696227392533</v>
      </c>
      <c r="CE41" s="46">
        <f t="shared" si="444"/>
        <v>0.13155822184194152</v>
      </c>
      <c r="CF41" s="46">
        <f t="shared" si="444"/>
        <v>0.13201520690728066</v>
      </c>
      <c r="CG41" s="46">
        <f t="shared" si="444"/>
        <v>0.13959026571983035</v>
      </c>
      <c r="CH41" s="46">
        <f t="shared" si="444"/>
        <v>0.13271477182928992</v>
      </c>
      <c r="CI41" s="46">
        <f t="shared" si="444"/>
        <v>7.6317708305493448E-2</v>
      </c>
      <c r="CJ41" s="46">
        <f t="shared" si="444"/>
        <v>7.9814982559301278E-2</v>
      </c>
      <c r="CK41" s="46">
        <f t="shared" si="444"/>
        <v>0.15961564033117079</v>
      </c>
      <c r="CL41" s="46">
        <f t="shared" si="444"/>
        <v>0.13684148635936028</v>
      </c>
      <c r="CM41" s="47">
        <f t="shared" ref="CM41" si="445">CL41</f>
        <v>0.13684148635936028</v>
      </c>
      <c r="CN41" s="47">
        <f t="shared" ref="CN41" si="446">CM41</f>
        <v>0.13684148635936028</v>
      </c>
      <c r="CO41" s="47">
        <f t="shared" ref="CO41" si="447">CN41</f>
        <v>0.13684148635936028</v>
      </c>
      <c r="CP41" s="47">
        <f t="shared" ref="CP41" si="448">CO41</f>
        <v>0.13684148635936028</v>
      </c>
      <c r="CQ41" s="47">
        <f>+CP41</f>
        <v>0.13684148635936028</v>
      </c>
      <c r="CR41" s="47">
        <f t="shared" ref="CR41" si="449">CQ41</f>
        <v>0.13684148635936028</v>
      </c>
      <c r="CS41" s="47">
        <f t="shared" ref="CS41" si="450">CR41</f>
        <v>0.13684148635936028</v>
      </c>
      <c r="CT41" s="47">
        <f t="shared" ref="CT41" si="451">CS41</f>
        <v>0.13684148635936028</v>
      </c>
      <c r="CU41" s="47">
        <f t="shared" ref="CU41" si="452">CT41</f>
        <v>0.13684148635936028</v>
      </c>
      <c r="CV41" s="47">
        <f t="shared" ref="CV41" si="453">CU41</f>
        <v>0.13684148635936028</v>
      </c>
      <c r="CW41" s="47">
        <f t="shared" ref="CW41" si="454">CV41</f>
        <v>0.13684148635936028</v>
      </c>
      <c r="CX41" s="47">
        <f t="shared" ref="CX41" si="455">CW41</f>
        <v>0.13684148635936028</v>
      </c>
      <c r="CY41" s="47">
        <f t="shared" ref="CY41" si="456">CX41</f>
        <v>0.13684148635936028</v>
      </c>
      <c r="CZ41" s="47">
        <f t="shared" ref="CZ41" si="457">CY41</f>
        <v>0.13684148635936028</v>
      </c>
      <c r="DA41" s="47">
        <f t="shared" ref="DA41" si="458">CZ41</f>
        <v>0.13684148635936028</v>
      </c>
      <c r="DB41" s="47">
        <f t="shared" ref="DB41" si="459">DA41</f>
        <v>0.13684148635936028</v>
      </c>
      <c r="DE41" s="130"/>
      <c r="DF41" s="46">
        <v>0.12</v>
      </c>
    </row>
    <row r="42" spans="1:110" s="26" customFormat="1" x14ac:dyDescent="0.2">
      <c r="A42" s="34" t="s">
        <v>16</v>
      </c>
      <c r="B42" s="26">
        <f>B36-B40</f>
        <v>16.87139999999998</v>
      </c>
      <c r="C42" s="26">
        <f t="shared" ref="C42:T42" si="460">C36-C40</f>
        <v>19.600700000000003</v>
      </c>
      <c r="D42" s="26">
        <f>D36-D40</f>
        <v>14.588200000000008</v>
      </c>
      <c r="E42" s="26">
        <f t="shared" si="460"/>
        <v>19.073600000000027</v>
      </c>
      <c r="F42" s="26">
        <f t="shared" si="460"/>
        <v>31.110400000000016</v>
      </c>
      <c r="G42" s="26">
        <f t="shared" si="460"/>
        <v>40.333599999999983</v>
      </c>
      <c r="H42" s="26">
        <f t="shared" si="460"/>
        <v>60.857900000000001</v>
      </c>
      <c r="I42" s="26">
        <f t="shared" si="460"/>
        <v>61.7607</v>
      </c>
      <c r="J42" s="26">
        <f t="shared" si="460"/>
        <v>65.909499999999966</v>
      </c>
      <c r="K42" s="26">
        <f t="shared" si="460"/>
        <v>51.780100000000019</v>
      </c>
      <c r="L42" s="26">
        <f t="shared" si="460"/>
        <v>137.089</v>
      </c>
      <c r="M42" s="26">
        <f t="shared" si="460"/>
        <v>171.39099999999996</v>
      </c>
      <c r="N42" s="26">
        <f t="shared" si="460"/>
        <v>49.071699999999908</v>
      </c>
      <c r="O42" s="26">
        <f t="shared" si="460"/>
        <v>77.928200000000004</v>
      </c>
      <c r="P42" s="26">
        <f t="shared" si="460"/>
        <v>143.11330000000007</v>
      </c>
      <c r="Q42" s="26">
        <f t="shared" si="460"/>
        <v>225.11670000000015</v>
      </c>
      <c r="R42" s="26">
        <f t="shared" si="460"/>
        <v>246.66860000000005</v>
      </c>
      <c r="S42" s="26">
        <f t="shared" si="460"/>
        <v>319.87249999999972</v>
      </c>
      <c r="T42" s="26">
        <f t="shared" si="460"/>
        <v>390.9745999999999</v>
      </c>
      <c r="U42" s="26">
        <f t="shared" ref="U42:Z42" si="461">U36-U40</f>
        <v>294.52940000000001</v>
      </c>
      <c r="V42" s="26">
        <f t="shared" si="461"/>
        <v>479.13980000000004</v>
      </c>
      <c r="W42" s="26">
        <f t="shared" si="461"/>
        <v>711.40329999999983</v>
      </c>
      <c r="X42" s="26">
        <f t="shared" si="461"/>
        <v>877.66279999999949</v>
      </c>
      <c r="Y42" s="26">
        <f t="shared" si="461"/>
        <v>947.80709999999999</v>
      </c>
      <c r="Z42" s="26">
        <f t="shared" si="461"/>
        <v>868.51849999999934</v>
      </c>
      <c r="AA42" s="26">
        <f t="shared" ref="AA42" si="462">AA36-AA40</f>
        <v>745.39489999999978</v>
      </c>
      <c r="AB42" s="27">
        <f t="shared" ref="AA42:AD42" si="463">AB36-AB40</f>
        <v>933.48323282055912</v>
      </c>
      <c r="AC42" s="27">
        <f t="shared" si="463"/>
        <v>1127.5596902340726</v>
      </c>
      <c r="AD42" s="27">
        <f t="shared" si="463"/>
        <v>1262.3820297711168</v>
      </c>
      <c r="AE42" s="27">
        <f t="shared" ref="AE42" si="464">AE36-AE40</f>
        <v>1368.0576319455431</v>
      </c>
      <c r="AI42" s="26">
        <f t="shared" ref="AI42" si="465">AI36-AI40</f>
        <v>7.6640000000000104</v>
      </c>
      <c r="AJ42" s="26">
        <f t="shared" ref="AJ42" si="466">AJ36-AJ40</f>
        <v>11.255000000000022</v>
      </c>
      <c r="AK42" s="26">
        <f t="shared" ref="AK42:AM42" si="467">AK36-AK40</f>
        <v>10.331</v>
      </c>
      <c r="AL42" s="26">
        <f t="shared" si="467"/>
        <v>12.882999999999987</v>
      </c>
      <c r="AM42" s="26">
        <f t="shared" si="467"/>
        <v>7.7409999999999668</v>
      </c>
      <c r="AN42" s="26">
        <f t="shared" ref="AN42:AO42" si="468">AN36-AN40</f>
        <v>24.151999999999987</v>
      </c>
      <c r="AO42" s="26">
        <f t="shared" si="468"/>
        <v>33.076999999999984</v>
      </c>
      <c r="AP42" s="26">
        <f t="shared" ref="AP42:CD42" si="469">AP36-AP40</f>
        <v>34.161000000000001</v>
      </c>
      <c r="AQ42" s="26">
        <f t="shared" si="469"/>
        <v>28.707999999999998</v>
      </c>
      <c r="AR42" s="26">
        <f t="shared" si="469"/>
        <v>32.494000000000014</v>
      </c>
      <c r="AS42" s="26">
        <f t="shared" si="469"/>
        <v>41.395999999999994</v>
      </c>
      <c r="AT42" s="26">
        <f t="shared" si="469"/>
        <v>41.818000000000026</v>
      </c>
      <c r="AU42" s="26">
        <f t="shared" si="469"/>
        <v>47.02300000000001</v>
      </c>
      <c r="AV42" s="26">
        <f t="shared" si="469"/>
        <v>55.600999999999999</v>
      </c>
      <c r="AW42" s="26">
        <f t="shared" si="469"/>
        <v>59.332000000000036</v>
      </c>
      <c r="AX42" s="26">
        <f t="shared" si="469"/>
        <v>58.717999999999975</v>
      </c>
      <c r="AY42" s="26">
        <f t="shared" si="469"/>
        <v>60.047000000000004</v>
      </c>
      <c r="AZ42" s="26">
        <f t="shared" si="469"/>
        <v>64.592999999999989</v>
      </c>
      <c r="BA42" s="26">
        <f t="shared" si="469"/>
        <v>64.370999999999995</v>
      </c>
      <c r="BB42" s="26">
        <f t="shared" si="469"/>
        <v>68.693000000000012</v>
      </c>
      <c r="BC42" s="26">
        <f t="shared" si="469"/>
        <v>66.964000000000055</v>
      </c>
      <c r="BD42" s="26">
        <f t="shared" si="469"/>
        <v>77.562999999999988</v>
      </c>
      <c r="BE42" s="26">
        <f t="shared" si="469"/>
        <v>83.958999999999975</v>
      </c>
      <c r="BF42" s="26">
        <f t="shared" si="469"/>
        <v>88.952999999999975</v>
      </c>
      <c r="BG42" s="26">
        <f t="shared" si="469"/>
        <v>100.41600000000001</v>
      </c>
      <c r="BH42" s="26">
        <f t="shared" si="469"/>
        <v>100.63699999999997</v>
      </c>
      <c r="BI42" s="26">
        <f t="shared" si="469"/>
        <v>85.351000000000042</v>
      </c>
      <c r="BJ42" s="26">
        <f t="shared" si="469"/>
        <v>91.775999999999954</v>
      </c>
      <c r="BK42" s="26">
        <f t="shared" si="469"/>
        <v>58.288000000000011</v>
      </c>
      <c r="BL42" s="26">
        <f t="shared" si="469"/>
        <v>59.383000000000017</v>
      </c>
      <c r="BM42" s="26">
        <f t="shared" si="469"/>
        <v>82.975000000000009</v>
      </c>
      <c r="BN42" s="26">
        <f t="shared" si="469"/>
        <v>97.813000000000002</v>
      </c>
      <c r="BO42" s="26">
        <f t="shared" si="469"/>
        <v>81.887000000000015</v>
      </c>
      <c r="BP42" s="26">
        <f t="shared" si="469"/>
        <v>106.84499999999998</v>
      </c>
      <c r="BQ42" s="26">
        <f t="shared" si="469"/>
        <v>132.55799999999999</v>
      </c>
      <c r="BR42" s="26">
        <f t="shared" si="469"/>
        <v>152.77899999999988</v>
      </c>
      <c r="BS42" s="26">
        <f t="shared" si="469"/>
        <v>138.072</v>
      </c>
      <c r="BT42" s="26">
        <f t="shared" si="469"/>
        <v>165.40000000000003</v>
      </c>
      <c r="BU42" s="26">
        <f t="shared" si="469"/>
        <v>195.06100000000006</v>
      </c>
      <c r="BV42" s="26">
        <f t="shared" si="469"/>
        <v>205.363</v>
      </c>
      <c r="BW42" s="26">
        <f t="shared" si="469"/>
        <v>221.06100000000006</v>
      </c>
      <c r="BX42" s="26">
        <f t="shared" si="469"/>
        <v>204.75299999999999</v>
      </c>
      <c r="BY42" s="26">
        <f t="shared" si="469"/>
        <v>225.42700000000008</v>
      </c>
      <c r="BZ42" s="26">
        <f t="shared" si="469"/>
        <v>228.64600000000002</v>
      </c>
      <c r="CA42" s="26">
        <f t="shared" si="469"/>
        <v>230.05300000000008</v>
      </c>
      <c r="CB42" s="26">
        <f t="shared" si="469"/>
        <v>238.53700000000003</v>
      </c>
      <c r="CC42" s="26">
        <f t="shared" si="469"/>
        <v>244.69700000000006</v>
      </c>
      <c r="CD42" s="26">
        <f t="shared" si="469"/>
        <v>233.6989999999999</v>
      </c>
      <c r="CE42" s="26">
        <f t="shared" ref="CE42:CF42" si="470">CE36-CE40</f>
        <v>225.20700000000002</v>
      </c>
      <c r="CF42" s="26">
        <f t="shared" si="470"/>
        <v>239.25199999999992</v>
      </c>
      <c r="CG42" s="26">
        <f t="shared" ref="CG42:CH42" si="471">CG36-CG40</f>
        <v>220.64599999999996</v>
      </c>
      <c r="CH42" s="26">
        <f t="shared" si="471"/>
        <v>182.97000000000003</v>
      </c>
      <c r="CI42" s="26">
        <f t="shared" ref="CI42:CJ42" si="472">CI36-CI40</f>
        <v>162.43600000000009</v>
      </c>
      <c r="CJ42" s="26">
        <f t="shared" si="472"/>
        <v>169.88</v>
      </c>
      <c r="CK42" s="26">
        <f t="shared" ref="CK42:CL42" si="473">CK36-CK40</f>
        <v>199.43800000000002</v>
      </c>
      <c r="CL42" s="26">
        <f t="shared" si="473"/>
        <v>221.29399999999998</v>
      </c>
      <c r="CM42" s="27">
        <f t="shared" ref="CM42:DB42" si="474">CM36-CM40</f>
        <v>212.52518203828512</v>
      </c>
      <c r="CN42" s="27">
        <f t="shared" si="474"/>
        <v>226.08489242824407</v>
      </c>
      <c r="CO42" s="27">
        <f t="shared" si="474"/>
        <v>242.01437385954713</v>
      </c>
      <c r="CP42" s="27">
        <f t="shared" si="474"/>
        <v>252.85878449448293</v>
      </c>
      <c r="CQ42" s="27">
        <f t="shared" si="474"/>
        <v>258.55577046107896</v>
      </c>
      <c r="CR42" s="27">
        <f t="shared" si="474"/>
        <v>274.42526782007462</v>
      </c>
      <c r="CS42" s="27">
        <f t="shared" si="474"/>
        <v>290.02658364333996</v>
      </c>
      <c r="CT42" s="27">
        <f t="shared" si="474"/>
        <v>304.55206830957866</v>
      </c>
      <c r="CU42" s="27">
        <f t="shared" si="474"/>
        <v>296.86745509457603</v>
      </c>
      <c r="CV42" s="27">
        <f t="shared" si="474"/>
        <v>310.86796296983647</v>
      </c>
      <c r="CW42" s="27">
        <f t="shared" si="474"/>
        <v>322.60270891271176</v>
      </c>
      <c r="CX42" s="27">
        <f t="shared" si="474"/>
        <v>332.0439027939924</v>
      </c>
      <c r="CY42" s="27">
        <f t="shared" si="474"/>
        <v>332.20321776470581</v>
      </c>
      <c r="CZ42" s="27">
        <f t="shared" si="474"/>
        <v>339.70029892589889</v>
      </c>
      <c r="DA42" s="27">
        <f t="shared" si="474"/>
        <v>345.71716951722681</v>
      </c>
      <c r="DB42" s="27">
        <f t="shared" si="474"/>
        <v>350.43694573771143</v>
      </c>
      <c r="DE42" s="121"/>
      <c r="DF42" s="26">
        <v>198.23095689350561</v>
      </c>
    </row>
    <row r="43" spans="1:110" s="23" customFormat="1" x14ac:dyDescent="0.2">
      <c r="A43" s="23" t="s">
        <v>17</v>
      </c>
      <c r="B43" s="23">
        <f>'Annual Raw'!C23</f>
        <v>1.1606000000000001</v>
      </c>
      <c r="C43" s="23">
        <f>'Annual Raw'!D23</f>
        <v>2.1545000000000001</v>
      </c>
      <c r="D43" s="23">
        <f>'Annual Raw'!E23</f>
        <v>1.6827000000000001</v>
      </c>
      <c r="E43" s="23">
        <f>'Annual Raw'!F23</f>
        <v>1.5256000000000001</v>
      </c>
      <c r="F43" s="23">
        <f>'Annual Raw'!G23</f>
        <v>1.0804</v>
      </c>
      <c r="G43" s="23">
        <f>'Annual Raw'!H23</f>
        <v>0.68120000000000003</v>
      </c>
      <c r="H43" s="23">
        <f>'Annual Raw'!I23</f>
        <v>0.4239</v>
      </c>
      <c r="I43" s="23">
        <f>'Annual Raw'!J23</f>
        <v>2.2730999999999999</v>
      </c>
      <c r="J43" s="23">
        <f>'Annual Raw'!K23</f>
        <v>0.15459999999999999</v>
      </c>
      <c r="K43" s="23">
        <f>'Annual Raw'!L23</f>
        <v>0.94940000000000002</v>
      </c>
      <c r="L43" s="23">
        <f>'Annual Raw'!M23</f>
        <v>3.8633999999999999</v>
      </c>
      <c r="M43" s="23">
        <f>'Annual Raw'!N23</f>
        <v>16.205200000000001</v>
      </c>
      <c r="N43" s="23">
        <f>'Annual Raw'!O23</f>
        <v>4.8444000000000003</v>
      </c>
      <c r="O43" s="23">
        <f>'Annual Raw'!P23</f>
        <v>36.889499999999998</v>
      </c>
      <c r="P43" s="23">
        <f>'Annual Raw'!Q23</f>
        <v>12.678699999999999</v>
      </c>
      <c r="Q43" s="23">
        <f>'Annual Raw'!R23</f>
        <v>11.8591</v>
      </c>
      <c r="R43" s="23">
        <f>'Annual Raw'!S23</f>
        <v>18.3475</v>
      </c>
      <c r="S43" s="23">
        <f>'Annual Raw'!T23</f>
        <v>44.833100000000002</v>
      </c>
      <c r="T43" s="23">
        <f>'Annual Raw'!U23</f>
        <v>43.461599999999997</v>
      </c>
      <c r="U43" s="23">
        <f>'Annual Raw'!V23</f>
        <v>64.724900000000005</v>
      </c>
      <c r="V43" s="23">
        <f>'Annual Raw'!W23</f>
        <v>39.779499999999999</v>
      </c>
      <c r="W43" s="23">
        <f>'Annual Raw'!X23</f>
        <v>44.558100000000003</v>
      </c>
      <c r="X43" s="23">
        <f>'Annual Raw'!Y23</f>
        <v>77.124300000000005</v>
      </c>
      <c r="Y43" s="23">
        <f>'Annual Raw'!Z23</f>
        <v>121.9842</v>
      </c>
      <c r="Z43" s="23">
        <f>'Annual Raw'!AA23</f>
        <v>180.08750000000001</v>
      </c>
      <c r="AA43" s="23">
        <f>'Annual Raw'!AB23</f>
        <v>193.2653</v>
      </c>
      <c r="AB43" s="76">
        <f t="shared" ref="AB43:AB44" si="475">+SUM(CM43:CP43)</f>
        <v>0</v>
      </c>
      <c r="AC43" s="76">
        <f t="shared" ref="AC43:AC44" si="476">+SUM(CQ43:CT43)</f>
        <v>0</v>
      </c>
      <c r="AD43" s="76">
        <f t="shared" ref="AD43:AD44" si="477">+SUM(CU43:CX43)</f>
        <v>0</v>
      </c>
      <c r="AE43" s="76">
        <f t="shared" ref="AE43:AE44" si="478">+SUM(CY43:DB43)</f>
        <v>0</v>
      </c>
      <c r="AI43" s="23">
        <f>'QTR Raw'!C23</f>
        <v>5.5839999999999996</v>
      </c>
      <c r="AJ43" s="23">
        <f>'QTR Raw'!D23</f>
        <v>1.1160000000000001</v>
      </c>
      <c r="AK43" s="23">
        <f>'QTR Raw'!E23</f>
        <v>3.5590000000000002</v>
      </c>
      <c r="AL43" s="23">
        <f>'QTR Raw'!F23</f>
        <v>0.77900000000000003</v>
      </c>
      <c r="AM43" s="23">
        <f>'QTR Raw'!G23</f>
        <v>6.9169999999999998</v>
      </c>
      <c r="AN43" s="23">
        <f>'QTR Raw'!H23</f>
        <v>6.5309999999999997</v>
      </c>
      <c r="AO43" s="23">
        <f>'QTR Raw'!I23</f>
        <v>6.3E-2</v>
      </c>
      <c r="AP43" s="23">
        <f>'QTR Raw'!J23</f>
        <v>1.373</v>
      </c>
      <c r="AQ43" s="23">
        <f>'QTR Raw'!K23</f>
        <v>2.2120000000000002</v>
      </c>
      <c r="AR43" s="23">
        <f>'QTR Raw'!L23</f>
        <v>2.7389999999999999</v>
      </c>
      <c r="AS43" s="23">
        <f>'QTR Raw'!M23</f>
        <v>2.097</v>
      </c>
      <c r="AT43" s="23">
        <f>'QTR Raw'!N23</f>
        <v>3.66</v>
      </c>
      <c r="AU43" s="23">
        <f>'QTR Raw'!O23</f>
        <v>7.5659999999999998</v>
      </c>
      <c r="AV43" s="23">
        <f>'QTR Raw'!P23</f>
        <v>2.71</v>
      </c>
      <c r="AW43" s="23">
        <f>'QTR Raw'!Q23</f>
        <v>2.2549999999999999</v>
      </c>
      <c r="AX43" s="23">
        <f>'QTR Raw'!R23</f>
        <v>3.1280000000000001</v>
      </c>
      <c r="AY43" s="23">
        <f>'QTR Raw'!S23</f>
        <v>3.1179999999999999</v>
      </c>
      <c r="AZ43" s="23">
        <f>'QTR Raw'!T23</f>
        <v>3.923</v>
      </c>
      <c r="BA43" s="23">
        <f>'QTR Raw'!U23</f>
        <v>2.4159999999999999</v>
      </c>
      <c r="BB43" s="23">
        <f>'QTR Raw'!V23</f>
        <v>-2.903</v>
      </c>
      <c r="BC43" s="23">
        <f>'QTR Raw'!W23</f>
        <v>7.907</v>
      </c>
      <c r="BD43" s="23">
        <f>'QTR Raw'!X23</f>
        <v>8.8819999999999997</v>
      </c>
      <c r="BE43" s="23">
        <f>'QTR Raw'!Y23</f>
        <v>10.057</v>
      </c>
      <c r="BF43" s="23">
        <f>'QTR Raw'!Z23</f>
        <v>19.623000000000001</v>
      </c>
      <c r="BG43" s="23">
        <f>'QTR Raw'!AA23</f>
        <v>7.8470000000000004</v>
      </c>
      <c r="BH43" s="23">
        <f>'QTR Raw'!AB23</f>
        <v>23.318999999999999</v>
      </c>
      <c r="BI43" s="23">
        <f>'QTR Raw'!AC23</f>
        <v>9.0640000000000001</v>
      </c>
      <c r="BJ43" s="23">
        <f>'QTR Raw'!AD23</f>
        <v>14.988</v>
      </c>
      <c r="BK43" s="23">
        <f>'QTR Raw'!AE23</f>
        <v>13.222</v>
      </c>
      <c r="BL43" s="23">
        <f>'QTR Raw'!AF23</f>
        <v>12.409000000000001</v>
      </c>
      <c r="BM43" s="23">
        <f>'QTR Raw'!AG23</f>
        <v>20.524999999999999</v>
      </c>
      <c r="BN43" s="23">
        <f>'QTR Raw'!AH23</f>
        <v>13.388999999999999</v>
      </c>
      <c r="BO43" s="23">
        <f>'QTR Raw'!AI23</f>
        <v>13.449</v>
      </c>
      <c r="BP43" s="23">
        <f>'QTR Raw'!AJ23</f>
        <v>4.407</v>
      </c>
      <c r="BQ43" s="23">
        <f>'QTR Raw'!AK23</f>
        <v>15.085000000000001</v>
      </c>
      <c r="BR43" s="23">
        <f>'QTR Raw'!AL23</f>
        <v>10.789</v>
      </c>
      <c r="BS43" s="23">
        <f>'QTR Raw'!AM23</f>
        <v>17.501000000000001</v>
      </c>
      <c r="BT43" s="23">
        <f>'QTR Raw'!AN23</f>
        <v>7.1740000000000004</v>
      </c>
      <c r="BU43" s="23">
        <f>'QTR Raw'!AO23</f>
        <v>8.2530000000000001</v>
      </c>
      <c r="BV43" s="23">
        <f>'QTR Raw'!AP23</f>
        <v>18.088999999999999</v>
      </c>
      <c r="BW43" s="23">
        <f>'QTR Raw'!AQ23</f>
        <v>10.319000000000001</v>
      </c>
      <c r="BX43" s="23">
        <f>'QTR Raw'!AR23</f>
        <v>18.669</v>
      </c>
      <c r="BY43" s="23">
        <f>'QTR Raw'!AS23</f>
        <v>19.135000000000002</v>
      </c>
      <c r="BZ43" s="23">
        <f>'QTR Raw'!AT23</f>
        <v>25.687000000000001</v>
      </c>
      <c r="CA43" s="23">
        <f>'QTR Raw'!AU23</f>
        <v>22.209</v>
      </c>
      <c r="CB43" s="23">
        <f>'QTR Raw'!AV23</f>
        <v>31.13</v>
      </c>
      <c r="CC43" s="23">
        <f>'QTR Raw'!AW23</f>
        <v>34.93</v>
      </c>
      <c r="CD43" s="23">
        <f>'QTR Raw'!AX23</f>
        <v>33.682000000000002</v>
      </c>
      <c r="CE43" s="23">
        <f>'QTR Raw'!AY23</f>
        <v>32.082999999999998</v>
      </c>
      <c r="CF43" s="23">
        <f>'QTR Raw'!AZ23</f>
        <v>64.304000000000002</v>
      </c>
      <c r="CG43" s="23">
        <f>'QTR Raw'!BA23</f>
        <v>39.853999999999999</v>
      </c>
      <c r="CH43" s="23">
        <f>'QTR Raw'!BB23</f>
        <v>43.070999999999998</v>
      </c>
      <c r="CI43" s="23">
        <f>'QTR Raw'!BC23</f>
        <v>38.472999999999999</v>
      </c>
      <c r="CJ43" s="23">
        <f>'QTR Raw'!BD23</f>
        <v>48.877000000000002</v>
      </c>
      <c r="CK43" s="23">
        <f>'QTR Raw'!BE23</f>
        <v>46.037999999999997</v>
      </c>
      <c r="CL43" s="23">
        <f>'QTR Raw'!BF23</f>
        <v>50.588999999999999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183.97699999999998</v>
      </c>
    </row>
    <row r="44" spans="1:110" s="23" customFormat="1" x14ac:dyDescent="0.2">
      <c r="A44" s="23" t="s">
        <v>18</v>
      </c>
      <c r="B44" s="23">
        <f>'Annual Raw'!C25</f>
        <v>3.0680000000000001</v>
      </c>
      <c r="C44" s="23">
        <f>'Annual Raw'!D25</f>
        <v>1.5358000000000001</v>
      </c>
      <c r="D44" s="23">
        <f>'Annual Raw'!E25</f>
        <v>1.212</v>
      </c>
      <c r="E44" s="23">
        <f>'Annual Raw'!F25</f>
        <v>0.44209999999999999</v>
      </c>
      <c r="F44" s="23">
        <f>'Annual Raw'!G25</f>
        <v>0.45929999999999999</v>
      </c>
      <c r="G44" s="23">
        <f>'Annual Raw'!H25</f>
        <v>0.61260000000000003</v>
      </c>
      <c r="H44" s="23">
        <f>'Annual Raw'!I25</f>
        <v>0.75570000000000004</v>
      </c>
      <c r="I44" s="23">
        <f>'Annual Raw'!J25</f>
        <v>2.4952000000000001</v>
      </c>
      <c r="J44" s="23">
        <f>'Annual Raw'!K25</f>
        <v>4.13</v>
      </c>
      <c r="K44" s="23">
        <f>'Annual Raw'!L25</f>
        <v>2.1143000000000001</v>
      </c>
      <c r="L44" s="23">
        <f>'Annual Raw'!M25</f>
        <v>2.3489</v>
      </c>
      <c r="M44" s="23">
        <f>'Annual Raw'!N25</f>
        <v>3.0337999999999998</v>
      </c>
      <c r="N44" s="23">
        <f>'Annual Raw'!O25</f>
        <v>4.6525999999999996</v>
      </c>
      <c r="O44" s="23">
        <f>'Annual Raw'!P25</f>
        <v>2.6316999999999999</v>
      </c>
      <c r="P44" s="23">
        <f>'Annual Raw'!Q25</f>
        <v>0.66979999999999995</v>
      </c>
      <c r="Q44" s="23">
        <f>'Annual Raw'!R25</f>
        <v>0.63270000000000004</v>
      </c>
      <c r="R44" s="23">
        <f>'Annual Raw'!S25</f>
        <v>0.75890000000000002</v>
      </c>
      <c r="S44" s="23">
        <f>'Annual Raw'!T25</f>
        <v>0.79900000000000004</v>
      </c>
      <c r="T44" s="23">
        <f>'Annual Raw'!U25</f>
        <v>1.0375000000000001</v>
      </c>
      <c r="U44" s="23">
        <f>'Annual Raw'!V25</f>
        <v>6.8139000000000003</v>
      </c>
      <c r="V44" s="23">
        <f>'Annual Raw'!W25</f>
        <v>7.0526</v>
      </c>
      <c r="W44" s="23">
        <f>'Annual Raw'!X25</f>
        <v>10.4724</v>
      </c>
      <c r="X44" s="23">
        <f>'Annual Raw'!Y25</f>
        <v>17.286799999999999</v>
      </c>
      <c r="Y44" s="23">
        <f>'Annual Raw'!Z25</f>
        <v>21.115300000000001</v>
      </c>
      <c r="Z44" s="23">
        <f>'Annual Raw'!AA25</f>
        <v>20.202000000000002</v>
      </c>
      <c r="AA44" s="23">
        <f>'Annual Raw'!AB25</f>
        <v>17.862300000000001</v>
      </c>
      <c r="AB44" s="76">
        <f t="shared" si="475"/>
        <v>-128.63952153569011</v>
      </c>
      <c r="AC44" s="76">
        <f t="shared" si="476"/>
        <v>-143.29070338192963</v>
      </c>
      <c r="AD44" s="76">
        <f t="shared" si="477"/>
        <v>-154.03433207955368</v>
      </c>
      <c r="AE44" s="76">
        <f t="shared" si="478"/>
        <v>-207.95109372449474</v>
      </c>
      <c r="AF44" s="23">
        <f>Y43-Y44</f>
        <v>100.8689</v>
      </c>
      <c r="AG44" s="23">
        <f>Z43-Z44</f>
        <v>159.88550000000001</v>
      </c>
      <c r="AH44" s="23">
        <f>AA43-AA44</f>
        <v>175.40299999999999</v>
      </c>
      <c r="AI44" s="23">
        <f>'QTR Raw'!C25</f>
        <v>0.71199999999999997</v>
      </c>
      <c r="AJ44" s="23">
        <f>'QTR Raw'!D25</f>
        <v>0.97399999999999998</v>
      </c>
      <c r="AK44" s="23">
        <f>'QTR Raw'!E25</f>
        <v>1.25</v>
      </c>
      <c r="AL44" s="23">
        <f>'QTR Raw'!F25</f>
        <v>0.97099999999999997</v>
      </c>
      <c r="AM44" s="23">
        <f>'QTR Raw'!G25</f>
        <v>0.77500000000000002</v>
      </c>
      <c r="AN44" s="23">
        <f>'QTR Raw'!H25</f>
        <v>0.60899999999999999</v>
      </c>
      <c r="AO44" s="23">
        <f>'QTR Raw'!I25</f>
        <v>0.40400000000000003</v>
      </c>
      <c r="AP44" s="23">
        <f>'QTR Raw'!J25</f>
        <v>3.9E-2</v>
      </c>
      <c r="AQ44" s="23">
        <f>'QTR Raw'!K25</f>
        <v>1E-3</v>
      </c>
      <c r="AR44" s="23">
        <f>'QTR Raw'!L25</f>
        <v>0</v>
      </c>
      <c r="AS44" s="23">
        <f>'QTR Raw'!M25</f>
        <v>0</v>
      </c>
      <c r="AT44" s="23">
        <f>'QTR Raw'!N25</f>
        <v>1E-3</v>
      </c>
      <c r="AU44" s="23">
        <f>'QTR Raw'!O25</f>
        <v>0</v>
      </c>
      <c r="AV44" s="23">
        <f>'QTR Raw'!P25</f>
        <v>0</v>
      </c>
      <c r="AW44" s="23">
        <f>'QTR Raw'!Q25</f>
        <v>0</v>
      </c>
      <c r="AX44" s="23">
        <f>'QTR Raw'!R25</f>
        <v>0</v>
      </c>
      <c r="AY44" s="23">
        <f>'QTR Raw'!S25</f>
        <v>0</v>
      </c>
      <c r="AZ44" s="23">
        <f>'QTR Raw'!T25</f>
        <v>0</v>
      </c>
      <c r="BA44" s="23">
        <f>'QTR Raw'!U25</f>
        <v>0</v>
      </c>
      <c r="BB44" s="23">
        <f>'QTR Raw'!V25</f>
        <v>0</v>
      </c>
      <c r="BC44" s="23">
        <f>'QTR Raw'!W25</f>
        <v>0</v>
      </c>
      <c r="BD44" s="23">
        <f>'QTR Raw'!X25</f>
        <v>0</v>
      </c>
      <c r="BE44" s="23">
        <f>'QTR Raw'!Y25</f>
        <v>0</v>
      </c>
      <c r="BF44" s="23">
        <f>'QTR Raw'!Z25</f>
        <v>0</v>
      </c>
      <c r="BG44" s="23">
        <f>'QTR Raw'!AA25</f>
        <v>0</v>
      </c>
      <c r="BH44" s="23">
        <f>'QTR Raw'!AB25</f>
        <v>0</v>
      </c>
      <c r="BI44" s="23">
        <f>'QTR Raw'!AC25</f>
        <v>0</v>
      </c>
      <c r="BJ44" s="23">
        <f>'QTR Raw'!AD25</f>
        <v>0</v>
      </c>
      <c r="BK44" s="23">
        <f>'QTR Raw'!AE25</f>
        <v>1.321</v>
      </c>
      <c r="BL44" s="23">
        <f>'QTR Raw'!AF25</f>
        <v>1.355</v>
      </c>
      <c r="BM44" s="23">
        <f>'QTR Raw'!AG25</f>
        <v>1.4430000000000001</v>
      </c>
      <c r="BN44" s="23">
        <f>'QTR Raw'!AH25</f>
        <v>1.4430000000000001</v>
      </c>
      <c r="BO44" s="23">
        <f>'QTR Raw'!AI25</f>
        <v>1.3859999999999999</v>
      </c>
      <c r="BP44" s="23">
        <f>'QTR Raw'!AJ25</f>
        <v>1.3009999999999999</v>
      </c>
      <c r="BQ44" s="23">
        <f>'QTR Raw'!AK25</f>
        <v>1.3480000000000001</v>
      </c>
      <c r="BR44" s="23">
        <f>'QTR Raw'!AL25</f>
        <v>1.897</v>
      </c>
      <c r="BS44" s="23">
        <f>'QTR Raw'!AM25</f>
        <v>1.643</v>
      </c>
      <c r="BT44" s="23">
        <f>'QTR Raw'!AN25</f>
        <v>1.587</v>
      </c>
      <c r="BU44" s="23">
        <f>'QTR Raw'!AO25</f>
        <v>3.008</v>
      </c>
      <c r="BV44" s="23">
        <f>'QTR Raw'!AP25</f>
        <v>3.1869999999999998</v>
      </c>
      <c r="BW44" s="23">
        <f>'QTR Raw'!AQ25</f>
        <v>3.3580000000000001</v>
      </c>
      <c r="BX44" s="23">
        <f>'QTR Raw'!AR25</f>
        <v>4.2560000000000002</v>
      </c>
      <c r="BY44" s="23">
        <f>'QTR Raw'!AS25</f>
        <v>4.4660000000000002</v>
      </c>
      <c r="BZ44" s="23">
        <f>'QTR Raw'!AT25</f>
        <v>4.1180000000000003</v>
      </c>
      <c r="CA44" s="23">
        <f>'QTR Raw'!AU25</f>
        <v>3.923</v>
      </c>
      <c r="CB44" s="23">
        <f>'QTR Raw'!AV25</f>
        <v>5.8120000000000003</v>
      </c>
      <c r="CC44" s="23">
        <f>'QTR Raw'!AW25</f>
        <v>5.5529999999999999</v>
      </c>
      <c r="CD44" s="23">
        <f>'QTR Raw'!AX25</f>
        <v>4.9729999999999999</v>
      </c>
      <c r="CE44" s="23">
        <f>'QTR Raw'!AY25</f>
        <v>4.8929999999999998</v>
      </c>
      <c r="CF44" s="23">
        <f>'QTR Raw'!AZ25</f>
        <v>4.8470000000000004</v>
      </c>
      <c r="CG44" s="23">
        <f>'QTR Raw'!BA25</f>
        <v>4.6500000000000004</v>
      </c>
      <c r="CH44" s="23">
        <f>'QTR Raw'!BB25</f>
        <v>4.5910000000000002</v>
      </c>
      <c r="CI44" s="23">
        <f>'QTR Raw'!BC25</f>
        <v>4.5620000000000003</v>
      </c>
      <c r="CJ44" s="23">
        <f>'QTR Raw'!BD25</f>
        <v>4.0389999999999997</v>
      </c>
      <c r="CK44" s="23">
        <f>'QTR Raw'!BE25</f>
        <v>3.5169999999999999</v>
      </c>
      <c r="CL44" s="23">
        <f>'QTR Raw'!BF25</f>
        <v>4.1109999999999998</v>
      </c>
      <c r="CM44" s="24">
        <f t="shared" ref="CM44:DB44" si="479">CM45*CL176</f>
        <v>-28.366795000000003</v>
      </c>
      <c r="CN44" s="24">
        <f t="shared" si="479"/>
        <v>-31.251395423313788</v>
      </c>
      <c r="CO44" s="24">
        <f t="shared" si="479"/>
        <v>-33.288462190649994</v>
      </c>
      <c r="CP44" s="24">
        <f t="shared" si="479"/>
        <v>-35.732868921726322</v>
      </c>
      <c r="CQ44" s="24">
        <f t="shared" si="479"/>
        <v>-31.739825720080603</v>
      </c>
      <c r="CR44" s="24">
        <f t="shared" si="479"/>
        <v>-34.577821991636718</v>
      </c>
      <c r="CS44" s="24">
        <f t="shared" si="479"/>
        <v>-37.085500143587282</v>
      </c>
      <c r="CT44" s="24">
        <f t="shared" si="479"/>
        <v>-39.887555526625036</v>
      </c>
      <c r="CU44" s="24">
        <f t="shared" si="479"/>
        <v>-33.758848988355062</v>
      </c>
      <c r="CV44" s="24">
        <f t="shared" si="479"/>
        <v>-36.905972705898655</v>
      </c>
      <c r="CW44" s="24">
        <f t="shared" si="479"/>
        <v>-40.059366839510048</v>
      </c>
      <c r="CX44" s="24">
        <f t="shared" si="479"/>
        <v>-43.310143545789906</v>
      </c>
      <c r="CY44" s="24">
        <f t="shared" si="479"/>
        <v>-46.635892527239278</v>
      </c>
      <c r="CZ44" s="24">
        <f t="shared" si="479"/>
        <v>-50.290164928487606</v>
      </c>
      <c r="DA44" s="24">
        <f t="shared" si="479"/>
        <v>-53.744988459562954</v>
      </c>
      <c r="DB44" s="24">
        <f t="shared" si="479"/>
        <v>-57.280047809204881</v>
      </c>
      <c r="DE44" s="123"/>
      <c r="DF44" s="23">
        <v>-43.655287247818777</v>
      </c>
    </row>
    <row r="45" spans="1:110" s="46" customFormat="1" x14ac:dyDescent="0.2">
      <c r="A45" s="46" t="s">
        <v>482</v>
      </c>
      <c r="B45" s="46">
        <f t="shared" ref="B45:D45" si="480">+B44/B136</f>
        <v>0.161669389260684</v>
      </c>
      <c r="C45" s="46">
        <f t="shared" si="480"/>
        <v>0.7456787725771995</v>
      </c>
      <c r="D45" s="46">
        <f t="shared" si="480"/>
        <v>0.52930386933356621</v>
      </c>
      <c r="E45" s="46" t="e">
        <f t="shared" ref="E45:AE45" si="481">+E44/E136</f>
        <v>#DIV/0!</v>
      </c>
      <c r="F45" s="46" t="e">
        <f t="shared" si="481"/>
        <v>#DIV/0!</v>
      </c>
      <c r="G45" s="46" t="e">
        <f t="shared" si="481"/>
        <v>#DIV/0!</v>
      </c>
      <c r="H45" s="46" t="e">
        <f t="shared" si="481"/>
        <v>#DIV/0!</v>
      </c>
      <c r="I45" s="46">
        <f t="shared" si="481"/>
        <v>4.5099708456918318E-2</v>
      </c>
      <c r="J45" s="46">
        <f t="shared" si="481"/>
        <v>0.31576613427324091</v>
      </c>
      <c r="K45" s="46">
        <f t="shared" si="481"/>
        <v>6.2241494525939606E-2</v>
      </c>
      <c r="L45" s="46">
        <f t="shared" si="481"/>
        <v>9.2361471555073224E-2</v>
      </c>
      <c r="M45" s="46">
        <f t="shared" si="481"/>
        <v>8.8821876097903735E-2</v>
      </c>
      <c r="N45" s="46">
        <f t="shared" si="481"/>
        <v>7.9522788066283226E-2</v>
      </c>
      <c r="O45" s="46" t="e">
        <f t="shared" si="481"/>
        <v>#DIV/0!</v>
      </c>
      <c r="P45" s="46" t="e">
        <f t="shared" si="481"/>
        <v>#DIV/0!</v>
      </c>
      <c r="Q45" s="46" t="e">
        <f t="shared" si="481"/>
        <v>#DIV/0!</v>
      </c>
      <c r="R45" s="46" t="e">
        <f t="shared" si="481"/>
        <v>#DIV/0!</v>
      </c>
      <c r="S45" s="46" t="e">
        <f t="shared" si="481"/>
        <v>#DIV/0!</v>
      </c>
      <c r="T45" s="46" t="e">
        <f t="shared" si="481"/>
        <v>#DIV/0!</v>
      </c>
      <c r="U45" s="46" t="e">
        <f t="shared" si="481"/>
        <v>#DIV/0!</v>
      </c>
      <c r="V45" s="46" t="e">
        <f t="shared" si="481"/>
        <v>#DIV/0!</v>
      </c>
      <c r="W45" s="46" t="e">
        <f t="shared" si="481"/>
        <v>#DIV/0!</v>
      </c>
      <c r="X45" s="46" t="e">
        <f t="shared" si="481"/>
        <v>#DIV/0!</v>
      </c>
      <c r="Y45" s="46" t="e">
        <f t="shared" si="481"/>
        <v>#DIV/0!</v>
      </c>
      <c r="Z45" s="46" t="e">
        <f t="shared" si="481"/>
        <v>#DIV/0!</v>
      </c>
      <c r="AA45" s="46" t="e">
        <f t="shared" ref="AA45" si="482">+AA44/AA136</f>
        <v>#DIV/0!</v>
      </c>
      <c r="AB45" s="110" t="e">
        <f t="shared" si="481"/>
        <v>#DIV/0!</v>
      </c>
      <c r="AC45" s="110" t="e">
        <f t="shared" si="481"/>
        <v>#DIV/0!</v>
      </c>
      <c r="AD45" s="110" t="e">
        <f t="shared" si="481"/>
        <v>#DIV/0!</v>
      </c>
      <c r="AE45" s="110" t="e">
        <f t="shared" si="481"/>
        <v>#DIV/0!</v>
      </c>
      <c r="AI45" s="46" t="e">
        <f t="shared" ref="AI45:BN45" si="483">(AI44-AI43)/AH176</f>
        <v>#DIV/0!</v>
      </c>
      <c r="AJ45" s="46" t="e">
        <f t="shared" si="483"/>
        <v>#DIV/0!</v>
      </c>
      <c r="AK45" s="46">
        <f t="shared" si="483"/>
        <v>-9.5432940690225274E-2</v>
      </c>
      <c r="AL45" s="46">
        <f t="shared" si="483"/>
        <v>1.1652206862296314E-2</v>
      </c>
      <c r="AM45" s="46">
        <f t="shared" si="483"/>
        <v>-0.17444898886616678</v>
      </c>
      <c r="AN45" s="46">
        <f t="shared" si="483"/>
        <v>-0.18780989535518736</v>
      </c>
      <c r="AO45" s="46">
        <f t="shared" si="483"/>
        <v>2.478197674418605E-2</v>
      </c>
      <c r="AP45" s="46">
        <f t="shared" si="483"/>
        <v>0.38194873770062393</v>
      </c>
      <c r="AQ45" s="46">
        <f t="shared" si="483"/>
        <v>4.2966244971725069E-2</v>
      </c>
      <c r="AR45" s="46">
        <f t="shared" si="483"/>
        <v>3.3722345890566691E-2</v>
      </c>
      <c r="AS45" s="46">
        <f t="shared" si="483"/>
        <v>3.2062259189040425E-2</v>
      </c>
      <c r="AT45" s="46">
        <f t="shared" si="483"/>
        <v>4.193759507990804E-2</v>
      </c>
      <c r="AU45" s="46">
        <f t="shared" si="483"/>
        <v>5.6777505121682156E-2</v>
      </c>
      <c r="AV45" s="46">
        <f t="shared" si="483"/>
        <v>1.6494402922743352E-2</v>
      </c>
      <c r="AW45" s="46">
        <f t="shared" si="483"/>
        <v>1.9799806831152865E-2</v>
      </c>
      <c r="AX45" s="46">
        <f t="shared" si="483"/>
        <v>2.0958664496140526E-2</v>
      </c>
      <c r="AY45" s="46">
        <f t="shared" si="483"/>
        <v>1.7089145268696388E-2</v>
      </c>
      <c r="AZ45" s="46">
        <f t="shared" si="483"/>
        <v>1.7488396531815137E-2</v>
      </c>
      <c r="BA45" s="46">
        <f t="shared" si="483"/>
        <v>1.2735831650861092E-2</v>
      </c>
      <c r="BB45" s="46">
        <f t="shared" si="483"/>
        <v>-1.257106260758094E-2</v>
      </c>
      <c r="BC45" s="46">
        <f t="shared" si="483"/>
        <v>3.1436238942451046E-2</v>
      </c>
      <c r="BD45" s="46">
        <f t="shared" si="483"/>
        <v>2.9260051667372534E-2</v>
      </c>
      <c r="BE45" s="46">
        <f t="shared" si="483"/>
        <v>4.2145449364277152E-2</v>
      </c>
      <c r="BF45" s="46">
        <f t="shared" si="483"/>
        <v>6.5129294029504389E-2</v>
      </c>
      <c r="BG45" s="46">
        <f t="shared" si="483"/>
        <v>1.9898870022112675E-2</v>
      </c>
      <c r="BH45" s="46">
        <f t="shared" si="483"/>
        <v>5.0671450643742066E-2</v>
      </c>
      <c r="BI45" s="46">
        <f t="shared" si="483"/>
        <v>2.2255069019195734E-2</v>
      </c>
      <c r="BJ45" s="46">
        <f t="shared" si="483"/>
        <v>3.1306103762438288E-2</v>
      </c>
      <c r="BK45" s="46">
        <f t="shared" si="483"/>
        <v>2.3072270236945878E-2</v>
      </c>
      <c r="BL45" s="46">
        <f t="shared" si="483"/>
        <v>1.8489102306383811E-2</v>
      </c>
      <c r="BM45" s="46">
        <f t="shared" si="483"/>
        <v>4.2734736474350644E-2</v>
      </c>
      <c r="BN45" s="46">
        <f t="shared" si="483"/>
        <v>2.420682368901109E-2</v>
      </c>
      <c r="BO45" s="46">
        <f t="shared" ref="BO45:CL45" si="484">(BO44-BO43)/BN176</f>
        <v>1.8161014716398811E-2</v>
      </c>
      <c r="BP45" s="46">
        <f t="shared" si="484"/>
        <v>4.0683536387475482E-3</v>
      </c>
      <c r="BQ45" s="46">
        <f t="shared" si="484"/>
        <v>2.0044972413903801E-2</v>
      </c>
      <c r="BR45" s="46">
        <f t="shared" si="484"/>
        <v>1.1760750284100438E-2</v>
      </c>
      <c r="BS45" s="46">
        <f t="shared" si="484"/>
        <v>1.8447707647225108E-2</v>
      </c>
      <c r="BT45" s="46">
        <f t="shared" si="484"/>
        <v>5.945979075297269E-3</v>
      </c>
      <c r="BU45" s="46">
        <f t="shared" si="484"/>
        <v>5.9618938930655618E-3</v>
      </c>
      <c r="BV45" s="46">
        <f t="shared" si="484"/>
        <v>1.4783917841728467E-2</v>
      </c>
      <c r="BW45" s="46">
        <f t="shared" si="484"/>
        <v>7.2119095449793783E-3</v>
      </c>
      <c r="BX45" s="46">
        <f t="shared" si="484"/>
        <v>1.2963872749553289E-2</v>
      </c>
      <c r="BY45" s="46">
        <f t="shared" si="484"/>
        <v>1.5253974674804062E-2</v>
      </c>
      <c r="BZ45" s="46">
        <f t="shared" si="484"/>
        <v>1.9469431395905085E-2</v>
      </c>
      <c r="CA45" s="46">
        <f t="shared" si="484"/>
        <v>1.5346358911437426E-2</v>
      </c>
      <c r="CB45" s="46">
        <f t="shared" si="484"/>
        <v>1.8513695483327573E-2</v>
      </c>
      <c r="CC45" s="46">
        <f t="shared" si="484"/>
        <v>2.4926413751146535E-2</v>
      </c>
      <c r="CD45" s="46">
        <f t="shared" si="484"/>
        <v>2.1172436897355332E-2</v>
      </c>
      <c r="CE45" s="46">
        <f t="shared" si="484"/>
        <v>1.9526438970721829E-2</v>
      </c>
      <c r="CF45" s="46">
        <f t="shared" si="484"/>
        <v>3.8199983719970361E-2</v>
      </c>
      <c r="CG45" s="46">
        <f t="shared" si="484"/>
        <v>2.6738081639101217E-2</v>
      </c>
      <c r="CH45" s="46">
        <f t="shared" si="484"/>
        <v>2.514761886605163E-2</v>
      </c>
      <c r="CI45" s="46">
        <f t="shared" si="484"/>
        <v>2.1110023305002581E-2</v>
      </c>
      <c r="CJ45" s="46">
        <f t="shared" si="484"/>
        <v>2.5034365321913075E-2</v>
      </c>
      <c r="CK45" s="46">
        <f t="shared" si="484"/>
        <v>3.3500596016107005E-2</v>
      </c>
      <c r="CL45" s="46">
        <f t="shared" si="484"/>
        <v>3.5666715300663114E-2</v>
      </c>
      <c r="CM45" s="47">
        <v>1.7000000000000001E-2</v>
      </c>
      <c r="CN45" s="47">
        <f t="shared" ref="CN45" si="485">+CM45</f>
        <v>1.7000000000000001E-2</v>
      </c>
      <c r="CO45" s="47">
        <f t="shared" ref="CO45" si="486">+CN45</f>
        <v>1.7000000000000001E-2</v>
      </c>
      <c r="CP45" s="47">
        <f t="shared" ref="CP45" si="487">+CO45</f>
        <v>1.7000000000000001E-2</v>
      </c>
      <c r="CQ45" s="47">
        <v>1.4E-2</v>
      </c>
      <c r="CR45" s="47">
        <f t="shared" ref="CR45" si="488">+CQ45</f>
        <v>1.4E-2</v>
      </c>
      <c r="CS45" s="47">
        <f t="shared" ref="CS45" si="489">+CR45</f>
        <v>1.4E-2</v>
      </c>
      <c r="CT45" s="47">
        <f t="shared" ref="CT45" si="490">+CS45</f>
        <v>1.4E-2</v>
      </c>
      <c r="CU45" s="47">
        <v>1.0999999999999999E-2</v>
      </c>
      <c r="CV45" s="47">
        <f t="shared" ref="CV45" si="491">+CU45</f>
        <v>1.0999999999999999E-2</v>
      </c>
      <c r="CW45" s="47">
        <f t="shared" ref="CW45" si="492">+CV45</f>
        <v>1.0999999999999999E-2</v>
      </c>
      <c r="CX45" s="47">
        <f t="shared" ref="CX45" si="493">+CW45</f>
        <v>1.0999999999999999E-2</v>
      </c>
      <c r="CY45" s="47">
        <f t="shared" ref="CY45" si="494">+CX45</f>
        <v>1.0999999999999999E-2</v>
      </c>
      <c r="CZ45" s="47">
        <f t="shared" ref="CZ45" si="495">+CY45</f>
        <v>1.0999999999999999E-2</v>
      </c>
      <c r="DA45" s="47">
        <f t="shared" ref="DA45" si="496">+CZ45</f>
        <v>1.0999999999999999E-2</v>
      </c>
      <c r="DB45" s="47">
        <f t="shared" ref="DB45" si="497">+DA45</f>
        <v>1.0999999999999999E-2</v>
      </c>
      <c r="DE45" s="130"/>
      <c r="DF45" s="46">
        <v>3.3500596016107005E-2</v>
      </c>
    </row>
    <row r="46" spans="1:110" s="26" customFormat="1" x14ac:dyDescent="0.2">
      <c r="A46" s="26" t="s">
        <v>20</v>
      </c>
      <c r="B46" s="26">
        <f>B42+B43-B44</f>
        <v>14.963999999999979</v>
      </c>
      <c r="C46" s="26">
        <f t="shared" ref="C46:T46" si="498">C42+C43-C44</f>
        <v>20.2194</v>
      </c>
      <c r="D46" s="26">
        <f>D42+D43-D44</f>
        <v>15.058900000000008</v>
      </c>
      <c r="E46" s="26">
        <f t="shared" si="498"/>
        <v>20.157100000000028</v>
      </c>
      <c r="F46" s="26">
        <f t="shared" si="498"/>
        <v>31.731500000000018</v>
      </c>
      <c r="G46" s="26">
        <f t="shared" si="498"/>
        <v>40.402199999999979</v>
      </c>
      <c r="H46" s="26">
        <f t="shared" si="498"/>
        <v>60.526100000000007</v>
      </c>
      <c r="I46" s="26">
        <f t="shared" si="498"/>
        <v>61.538600000000002</v>
      </c>
      <c r="J46" s="26">
        <f t="shared" si="498"/>
        <v>61.934099999999965</v>
      </c>
      <c r="K46" s="26">
        <f t="shared" si="498"/>
        <v>50.615200000000016</v>
      </c>
      <c r="L46" s="26">
        <f t="shared" si="498"/>
        <v>138.60350000000003</v>
      </c>
      <c r="M46" s="26">
        <f t="shared" si="498"/>
        <v>184.56239999999994</v>
      </c>
      <c r="N46" s="26">
        <f t="shared" si="498"/>
        <v>49.263499999999908</v>
      </c>
      <c r="O46" s="26">
        <f t="shared" si="498"/>
        <v>112.18600000000001</v>
      </c>
      <c r="P46" s="26">
        <f t="shared" si="498"/>
        <v>155.12220000000005</v>
      </c>
      <c r="Q46" s="26">
        <f t="shared" si="498"/>
        <v>236.34310000000016</v>
      </c>
      <c r="R46" s="26">
        <f t="shared" si="498"/>
        <v>264.25720000000007</v>
      </c>
      <c r="S46" s="26">
        <f t="shared" si="498"/>
        <v>363.90659999999974</v>
      </c>
      <c r="T46" s="26">
        <f t="shared" si="498"/>
        <v>433.39869999999985</v>
      </c>
      <c r="U46" s="26">
        <f t="shared" ref="U46:Z46" si="499">U42+U43-U44</f>
        <v>352.44040000000001</v>
      </c>
      <c r="V46" s="26">
        <f t="shared" si="499"/>
        <v>511.86670000000004</v>
      </c>
      <c r="W46" s="26">
        <f t="shared" si="499"/>
        <v>745.48899999999981</v>
      </c>
      <c r="X46" s="26">
        <f t="shared" si="499"/>
        <v>937.50029999999958</v>
      </c>
      <c r="Y46" s="26">
        <f t="shared" si="499"/>
        <v>1048.6760000000002</v>
      </c>
      <c r="Z46" s="26">
        <f t="shared" si="499"/>
        <v>1028.4039999999993</v>
      </c>
      <c r="AA46" s="26">
        <f t="shared" ref="AA46" si="500">AA42+AA43-AA44</f>
        <v>920.7978999999998</v>
      </c>
      <c r="AB46" s="27">
        <f t="shared" ref="AB46:AD46" si="501">AB42+AB43-AB44</f>
        <v>1062.1227543562493</v>
      </c>
      <c r="AC46" s="27">
        <f t="shared" si="501"/>
        <v>1270.8503936160023</v>
      </c>
      <c r="AD46" s="27">
        <f t="shared" si="501"/>
        <v>1416.4163618506705</v>
      </c>
      <c r="AE46" s="27">
        <f t="shared" ref="AE46" si="502">AE42+AE43-AE44</f>
        <v>1576.0087256700378</v>
      </c>
      <c r="AI46" s="26">
        <f>AI42+AI43-AI44</f>
        <v>12.53600000000001</v>
      </c>
      <c r="AJ46" s="26">
        <f t="shared" ref="AJ46" si="503">AJ42+AJ43-AJ44</f>
        <v>11.397000000000022</v>
      </c>
      <c r="AK46" s="26">
        <f t="shared" ref="AK46:AM46" si="504">AK42+AK43-AK44</f>
        <v>12.64</v>
      </c>
      <c r="AL46" s="26">
        <f t="shared" si="504"/>
        <v>12.690999999999987</v>
      </c>
      <c r="AM46" s="26">
        <f t="shared" si="504"/>
        <v>13.882999999999965</v>
      </c>
      <c r="AN46" s="26">
        <f t="shared" ref="AN46:AO46" si="505">AN42+AN43-AN44</f>
        <v>30.073999999999984</v>
      </c>
      <c r="AO46" s="26">
        <f t="shared" si="505"/>
        <v>32.735999999999983</v>
      </c>
      <c r="AP46" s="26">
        <f t="shared" ref="AP46:CD46" si="506">AP42+AP43-AP44</f>
        <v>35.494999999999997</v>
      </c>
      <c r="AQ46" s="26">
        <f t="shared" si="506"/>
        <v>30.918999999999997</v>
      </c>
      <c r="AR46" s="26">
        <f t="shared" si="506"/>
        <v>35.233000000000011</v>
      </c>
      <c r="AS46" s="26">
        <f t="shared" si="506"/>
        <v>43.492999999999995</v>
      </c>
      <c r="AT46" s="26">
        <f t="shared" si="506"/>
        <v>45.477000000000025</v>
      </c>
      <c r="AU46" s="26">
        <f t="shared" si="506"/>
        <v>54.589000000000013</v>
      </c>
      <c r="AV46" s="26">
        <f t="shared" si="506"/>
        <v>58.311</v>
      </c>
      <c r="AW46" s="26">
        <f t="shared" si="506"/>
        <v>61.587000000000039</v>
      </c>
      <c r="AX46" s="26">
        <f t="shared" si="506"/>
        <v>61.845999999999975</v>
      </c>
      <c r="AY46" s="26">
        <f t="shared" si="506"/>
        <v>63.165000000000006</v>
      </c>
      <c r="AZ46" s="26">
        <f t="shared" si="506"/>
        <v>68.515999999999991</v>
      </c>
      <c r="BA46" s="26">
        <f t="shared" si="506"/>
        <v>66.786999999999992</v>
      </c>
      <c r="BB46" s="26">
        <f t="shared" si="506"/>
        <v>65.790000000000006</v>
      </c>
      <c r="BC46" s="26">
        <f t="shared" si="506"/>
        <v>74.871000000000052</v>
      </c>
      <c r="BD46" s="26">
        <f t="shared" si="506"/>
        <v>86.444999999999993</v>
      </c>
      <c r="BE46" s="26">
        <f t="shared" si="506"/>
        <v>94.015999999999977</v>
      </c>
      <c r="BF46" s="26">
        <f t="shared" si="506"/>
        <v>108.57599999999998</v>
      </c>
      <c r="BG46" s="26">
        <f t="shared" si="506"/>
        <v>108.26300000000001</v>
      </c>
      <c r="BH46" s="26">
        <f t="shared" si="506"/>
        <v>123.95599999999997</v>
      </c>
      <c r="BI46" s="26">
        <f t="shared" si="506"/>
        <v>94.415000000000049</v>
      </c>
      <c r="BJ46" s="26">
        <f t="shared" si="506"/>
        <v>106.76399999999995</v>
      </c>
      <c r="BK46" s="26">
        <f t="shared" si="506"/>
        <v>70.189000000000007</v>
      </c>
      <c r="BL46" s="26">
        <f t="shared" si="506"/>
        <v>70.437000000000012</v>
      </c>
      <c r="BM46" s="26">
        <f t="shared" si="506"/>
        <v>102.057</v>
      </c>
      <c r="BN46" s="26">
        <f t="shared" si="506"/>
        <v>109.759</v>
      </c>
      <c r="BO46" s="26">
        <f t="shared" si="506"/>
        <v>93.950000000000017</v>
      </c>
      <c r="BP46" s="26">
        <f t="shared" si="506"/>
        <v>109.95099999999998</v>
      </c>
      <c r="BQ46" s="26">
        <f t="shared" si="506"/>
        <v>146.29499999999999</v>
      </c>
      <c r="BR46" s="26">
        <f t="shared" si="506"/>
        <v>161.67099999999988</v>
      </c>
      <c r="BS46" s="26">
        <f t="shared" si="506"/>
        <v>153.93</v>
      </c>
      <c r="BT46" s="26">
        <f t="shared" si="506"/>
        <v>170.98700000000005</v>
      </c>
      <c r="BU46" s="26">
        <f t="shared" si="506"/>
        <v>200.30600000000007</v>
      </c>
      <c r="BV46" s="26">
        <f t="shared" si="506"/>
        <v>220.26499999999999</v>
      </c>
      <c r="BW46" s="26">
        <f t="shared" si="506"/>
        <v>228.02200000000005</v>
      </c>
      <c r="BX46" s="26">
        <f t="shared" si="506"/>
        <v>219.166</v>
      </c>
      <c r="BY46" s="26">
        <f t="shared" si="506"/>
        <v>240.09600000000006</v>
      </c>
      <c r="BZ46" s="26">
        <f t="shared" si="506"/>
        <v>250.21500000000003</v>
      </c>
      <c r="CA46" s="26">
        <f t="shared" si="506"/>
        <v>248.33900000000008</v>
      </c>
      <c r="CB46" s="26">
        <f t="shared" si="506"/>
        <v>263.85500000000002</v>
      </c>
      <c r="CC46" s="26">
        <f t="shared" si="506"/>
        <v>274.07400000000007</v>
      </c>
      <c r="CD46" s="26">
        <f t="shared" si="506"/>
        <v>262.4079999999999</v>
      </c>
      <c r="CE46" s="26">
        <f t="shared" ref="CE46:CF46" si="507">CE42+CE43-CE44</f>
        <v>252.39700000000002</v>
      </c>
      <c r="CF46" s="26">
        <f t="shared" si="507"/>
        <v>298.70899999999995</v>
      </c>
      <c r="CG46" s="26">
        <f t="shared" ref="CG46:CH46" si="508">CG42+CG43-CG44</f>
        <v>255.84999999999994</v>
      </c>
      <c r="CH46" s="26">
        <f t="shared" si="508"/>
        <v>221.45000000000002</v>
      </c>
      <c r="CI46" s="26">
        <f t="shared" ref="CI46:CJ46" si="509">CI42+CI43-CI44</f>
        <v>196.34700000000009</v>
      </c>
      <c r="CJ46" s="26">
        <f t="shared" si="509"/>
        <v>214.71800000000002</v>
      </c>
      <c r="CK46" s="26">
        <f t="shared" ref="CK46:CL46" si="510">CK42+CK43-CK44</f>
        <v>241.959</v>
      </c>
      <c r="CL46" s="26">
        <f t="shared" si="510"/>
        <v>267.77199999999999</v>
      </c>
      <c r="CM46" s="27">
        <f t="shared" ref="CM46:DB46" si="511">CM42+CM43-CM44</f>
        <v>240.89197703828512</v>
      </c>
      <c r="CN46" s="27">
        <f t="shared" si="511"/>
        <v>257.33628785155787</v>
      </c>
      <c r="CO46" s="27">
        <f t="shared" si="511"/>
        <v>275.30283605019713</v>
      </c>
      <c r="CP46" s="27">
        <f t="shared" si="511"/>
        <v>288.59165341620928</v>
      </c>
      <c r="CQ46" s="27">
        <f t="shared" si="511"/>
        <v>290.29559618115957</v>
      </c>
      <c r="CR46" s="27">
        <f t="shared" si="511"/>
        <v>309.00308981171133</v>
      </c>
      <c r="CS46" s="27">
        <f t="shared" si="511"/>
        <v>327.11208378692726</v>
      </c>
      <c r="CT46" s="27">
        <f t="shared" si="511"/>
        <v>344.43962383620368</v>
      </c>
      <c r="CU46" s="27">
        <f t="shared" si="511"/>
        <v>330.62630408293109</v>
      </c>
      <c r="CV46" s="27">
        <f t="shared" si="511"/>
        <v>347.77393567573512</v>
      </c>
      <c r="CW46" s="27">
        <f t="shared" si="511"/>
        <v>362.66207575222182</v>
      </c>
      <c r="CX46" s="27">
        <f t="shared" si="511"/>
        <v>375.35404633978231</v>
      </c>
      <c r="CY46" s="27">
        <f t="shared" si="511"/>
        <v>378.83911029194508</v>
      </c>
      <c r="CZ46" s="27">
        <f t="shared" si="511"/>
        <v>389.99046385438652</v>
      </c>
      <c r="DA46" s="27">
        <f t="shared" si="511"/>
        <v>399.46215797678974</v>
      </c>
      <c r="DB46" s="27">
        <f t="shared" si="511"/>
        <v>407.71699354691629</v>
      </c>
      <c r="DE46" s="121"/>
      <c r="DF46" s="26">
        <v>241.88624414132437</v>
      </c>
    </row>
    <row r="47" spans="1:110" s="23" customFormat="1" x14ac:dyDescent="0.2">
      <c r="A47" s="23" t="s">
        <v>21</v>
      </c>
      <c r="B47" s="23">
        <f>'Annual Raw'!C30</f>
        <v>1.1000000000000001</v>
      </c>
      <c r="C47" s="23">
        <f>'Annual Raw'!D30</f>
        <v>3.47</v>
      </c>
      <c r="D47" s="23">
        <f>'Annual Raw'!E30</f>
        <v>3.3725000000000001</v>
      </c>
      <c r="E47" s="23">
        <f>'Annual Raw'!F30</f>
        <v>2.6113</v>
      </c>
      <c r="F47" s="23">
        <f>'Annual Raw'!G30</f>
        <v>5.4401000000000002</v>
      </c>
      <c r="G47" s="23">
        <f>'Annual Raw'!H30</f>
        <v>6.0738000000000003</v>
      </c>
      <c r="H47" s="23">
        <f>'Annual Raw'!I30</f>
        <v>8.4092000000000002</v>
      </c>
      <c r="I47" s="23">
        <f>'Annual Raw'!J30</f>
        <v>8.6928999999999998</v>
      </c>
      <c r="J47" s="23">
        <f>'Annual Raw'!K30</f>
        <v>3.7749000000000001</v>
      </c>
      <c r="K47" s="23">
        <f>'Annual Raw'!L30</f>
        <v>1.7981</v>
      </c>
      <c r="L47" s="23">
        <f>'Annual Raw'!M30</f>
        <v>-0.54449999999999998</v>
      </c>
      <c r="M47" s="23">
        <f>'Annual Raw'!N30</f>
        <v>16.655799999999999</v>
      </c>
      <c r="N47" s="23">
        <f>'Annual Raw'!O30</f>
        <v>10.9941</v>
      </c>
      <c r="O47" s="23">
        <f>'Annual Raw'!P30</f>
        <v>39.924100000000003</v>
      </c>
      <c r="P47" s="23">
        <f>'Annual Raw'!Q30</f>
        <v>53.101300000000002</v>
      </c>
      <c r="Q47" s="23">
        <f>'Annual Raw'!R30</f>
        <v>81.533000000000001</v>
      </c>
      <c r="R47" s="23">
        <f>'Annual Raw'!S30</f>
        <v>89.4726</v>
      </c>
      <c r="S47" s="23">
        <f>'Annual Raw'!T30</f>
        <v>123.8687</v>
      </c>
      <c r="T47" s="23">
        <f>'Annual Raw'!U30</f>
        <v>143.4298</v>
      </c>
      <c r="U47" s="23">
        <f>'Annual Raw'!V30</f>
        <v>96.340299999999999</v>
      </c>
      <c r="V47" s="23">
        <f>'Annual Raw'!W30</f>
        <v>143.7448</v>
      </c>
      <c r="W47" s="23">
        <f>'Annual Raw'!X30</f>
        <v>195.8175</v>
      </c>
      <c r="X47" s="23">
        <f>'Annual Raw'!Y30</f>
        <v>182.30709999999999</v>
      </c>
      <c r="Y47" s="23">
        <f>'Annual Raw'!Z30</f>
        <v>256.43810000000002</v>
      </c>
      <c r="Z47" s="23">
        <f>'Annual Raw'!AA30</f>
        <v>243.46719999999999</v>
      </c>
      <c r="AA47" s="23">
        <f>'Annual Raw'!AB30</f>
        <v>196.6788</v>
      </c>
      <c r="AB47" s="24">
        <f>+SUM(CM47:CP47)</f>
        <v>215.41228854705597</v>
      </c>
      <c r="AC47" s="24">
        <f>+SUM(CQ47:CT47)</f>
        <v>257.92735941073795</v>
      </c>
      <c r="AD47" s="24">
        <f>+SUM(CU47:CX47)</f>
        <v>287.07953775977097</v>
      </c>
      <c r="AE47" s="24">
        <f>+SUM(CY47:DB47)</f>
        <v>319.39575150124659</v>
      </c>
      <c r="AI47" s="23">
        <f>'QTR Raw'!C29</f>
        <v>1.472</v>
      </c>
      <c r="AJ47" s="23">
        <f>'QTR Raw'!D29</f>
        <v>1.0740000000000001</v>
      </c>
      <c r="AK47" s="23">
        <f>'QTR Raw'!E29</f>
        <v>3.8919999999999999</v>
      </c>
      <c r="AL47" s="23">
        <f>'QTR Raw'!F29</f>
        <v>4.556</v>
      </c>
      <c r="AM47" s="23">
        <f>'QTR Raw'!G29</f>
        <v>4.9560000000000004</v>
      </c>
      <c r="AN47" s="23">
        <f>'QTR Raw'!H29</f>
        <v>10.144</v>
      </c>
      <c r="AO47" s="23">
        <f>'QTR Raw'!I29</f>
        <v>11.179</v>
      </c>
      <c r="AP47" s="23">
        <f>'QTR Raw'!J29</f>
        <v>13.646000000000001</v>
      </c>
      <c r="AQ47" s="23">
        <f>'QTR Raw'!K29</f>
        <v>10.127000000000001</v>
      </c>
      <c r="AR47" s="23">
        <f>'QTR Raw'!L29</f>
        <v>11.596</v>
      </c>
      <c r="AS47" s="23">
        <f>'QTR Raw'!M29</f>
        <v>15.734999999999999</v>
      </c>
      <c r="AT47" s="23">
        <f>'QTR Raw'!N29</f>
        <v>15.643000000000001</v>
      </c>
      <c r="AU47" s="23">
        <f>'QTR Raw'!O29</f>
        <v>18.876999999999999</v>
      </c>
      <c r="AV47" s="23">
        <f>'QTR Raw'!P29</f>
        <v>20.212</v>
      </c>
      <c r="AW47" s="23">
        <f>'QTR Raw'!Q29</f>
        <v>21.686</v>
      </c>
      <c r="AX47" s="23">
        <f>'QTR Raw'!R29</f>
        <v>20.757999999999999</v>
      </c>
      <c r="AY47" s="23">
        <f>'QTR Raw'!S29</f>
        <v>21.481000000000002</v>
      </c>
      <c r="AZ47" s="23">
        <f>'QTR Raw'!T29</f>
        <v>23.055</v>
      </c>
      <c r="BA47" s="23">
        <f>'QTR Raw'!U29</f>
        <v>22.638000000000002</v>
      </c>
      <c r="BB47" s="23">
        <f>'QTR Raw'!V29</f>
        <v>22.297999999999998</v>
      </c>
      <c r="BC47" s="23">
        <f>'QTR Raw'!W29</f>
        <v>25.126999999999999</v>
      </c>
      <c r="BD47" s="23">
        <f>'QTR Raw'!X29</f>
        <v>29.204999999999998</v>
      </c>
      <c r="BE47" s="23">
        <f>'QTR Raw'!Y29</f>
        <v>31.25</v>
      </c>
      <c r="BF47" s="23">
        <f>'QTR Raw'!Z29</f>
        <v>38.286000000000001</v>
      </c>
      <c r="BG47" s="23">
        <f>'QTR Raw'!AA29</f>
        <v>37.765000000000001</v>
      </c>
      <c r="BH47" s="23">
        <f>'QTR Raw'!AB29</f>
        <v>41.773000000000003</v>
      </c>
      <c r="BI47" s="23">
        <f>'QTR Raw'!AC29</f>
        <v>28.420999999999999</v>
      </c>
      <c r="BJ47" s="23">
        <f>'QTR Raw'!AD29</f>
        <v>35.470999999999997</v>
      </c>
      <c r="BK47" s="23">
        <f>'QTR Raw'!AE29</f>
        <v>21.396000000000001</v>
      </c>
      <c r="BL47" s="23">
        <f>'QTR Raw'!AF29</f>
        <v>20.63</v>
      </c>
      <c r="BM47" s="23">
        <f>'QTR Raw'!AG29</f>
        <v>26.635999999999999</v>
      </c>
      <c r="BN47" s="23">
        <f>'QTR Raw'!AH29</f>
        <v>27.678000000000001</v>
      </c>
      <c r="BO47" s="23">
        <f>'QTR Raw'!AI29</f>
        <v>25.076000000000001</v>
      </c>
      <c r="BP47" s="23">
        <f>'QTR Raw'!AJ29</f>
        <v>31.073</v>
      </c>
      <c r="BQ47" s="23">
        <f>'QTR Raw'!AK29</f>
        <v>41.093000000000004</v>
      </c>
      <c r="BR47" s="23">
        <f>'QTR Raw'!AL29</f>
        <v>46.503</v>
      </c>
      <c r="BS47" s="23">
        <f>'QTR Raw'!AM29</f>
        <v>40.555</v>
      </c>
      <c r="BT47" s="23">
        <f>'QTR Raw'!AN29</f>
        <v>45.654000000000003</v>
      </c>
      <c r="BU47" s="23">
        <f>'QTR Raw'!AO29</f>
        <v>49.356000000000002</v>
      </c>
      <c r="BV47" s="23">
        <f>'QTR Raw'!AP29</f>
        <v>60.253</v>
      </c>
      <c r="BW47" s="23">
        <f>'QTR Raw'!AQ29</f>
        <v>43.301000000000002</v>
      </c>
      <c r="BX47" s="23">
        <f>'QTR Raw'!AR29</f>
        <v>44.889000000000003</v>
      </c>
      <c r="BY47" s="23">
        <f>'QTR Raw'!AS29</f>
        <v>45.418999999999997</v>
      </c>
      <c r="BZ47" s="23">
        <f>'QTR Raw'!AT29</f>
        <v>48.7</v>
      </c>
      <c r="CA47" s="23">
        <f>'QTR Raw'!AU29</f>
        <v>59.485999999999997</v>
      </c>
      <c r="CB47" s="23">
        <f>'QTR Raw'!AV29</f>
        <v>63.837000000000003</v>
      </c>
      <c r="CC47" s="23">
        <f>'QTR Raw'!AW29</f>
        <v>67.641000000000005</v>
      </c>
      <c r="CD47" s="23">
        <f>'QTR Raw'!AX29</f>
        <v>65.474000000000004</v>
      </c>
      <c r="CE47" s="23">
        <f>'QTR Raw'!AY29</f>
        <v>68.316999999999993</v>
      </c>
      <c r="CF47" s="23">
        <f>'QTR Raw'!AZ29</f>
        <v>69.278000000000006</v>
      </c>
      <c r="CG47" s="23">
        <f>'QTR Raw'!BA29</f>
        <v>56.841999999999999</v>
      </c>
      <c r="CH47" s="23">
        <f>'QTR Raw'!BB29</f>
        <v>49.03</v>
      </c>
      <c r="CI47" s="23">
        <f>'QTR Raw'!BC29</f>
        <v>51.978999999999999</v>
      </c>
      <c r="CJ47" s="23">
        <f>'QTR Raw'!BD29</f>
        <v>59.899000000000001</v>
      </c>
      <c r="CK47" s="23">
        <f>'QTR Raw'!BE29</f>
        <v>37.380000000000003</v>
      </c>
      <c r="CL47" s="23">
        <f>'QTR Raw'!BF29</f>
        <v>47.420999999999999</v>
      </c>
      <c r="CM47" s="24">
        <f t="shared" ref="CM47:DB47" si="512">+CM46*CM48</f>
        <v>52.711974859867517</v>
      </c>
      <c r="CN47" s="24">
        <f t="shared" si="512"/>
        <v>53.35671994450243</v>
      </c>
      <c r="CO47" s="24">
        <f t="shared" si="512"/>
        <v>52.152407826144874</v>
      </c>
      <c r="CP47" s="24">
        <f t="shared" si="512"/>
        <v>57.191185916541137</v>
      </c>
      <c r="CQ47" s="24">
        <f t="shared" si="512"/>
        <v>59.649211452675416</v>
      </c>
      <c r="CR47" s="24">
        <f t="shared" si="512"/>
        <v>62.452156669617054</v>
      </c>
      <c r="CS47" s="24">
        <f t="shared" si="512"/>
        <v>65.67984312084559</v>
      </c>
      <c r="CT47" s="24">
        <f t="shared" si="512"/>
        <v>70.146148167599932</v>
      </c>
      <c r="CU47" s="24">
        <f t="shared" si="512"/>
        <v>67.119283546894877</v>
      </c>
      <c r="CV47" s="24">
        <f t="shared" si="512"/>
        <v>70.385525789834958</v>
      </c>
      <c r="CW47" s="24">
        <f t="shared" si="512"/>
        <v>73.424123268701763</v>
      </c>
      <c r="CX47" s="24">
        <f t="shared" si="512"/>
        <v>76.150605154339374</v>
      </c>
      <c r="CY47" s="24">
        <f t="shared" si="512"/>
        <v>76.784128125722503</v>
      </c>
      <c r="CZ47" s="24">
        <f t="shared" si="512"/>
        <v>79.012744785363722</v>
      </c>
      <c r="DA47" s="24">
        <f t="shared" si="512"/>
        <v>80.95299817784111</v>
      </c>
      <c r="DB47" s="24">
        <f t="shared" si="512"/>
        <v>82.6458804123193</v>
      </c>
      <c r="DE47" s="123"/>
      <c r="DF47" s="23">
        <v>60.471561035331092</v>
      </c>
    </row>
    <row r="48" spans="1:110" s="90" customFormat="1" x14ac:dyDescent="0.2">
      <c r="A48" s="90" t="s">
        <v>106</v>
      </c>
      <c r="B48" s="90">
        <f t="shared" ref="B48:E48" si="513">B47/B46</f>
        <v>7.3509756749532321E-2</v>
      </c>
      <c r="C48" s="90">
        <f t="shared" si="513"/>
        <v>0.17161735758726768</v>
      </c>
      <c r="D48" s="90">
        <f t="shared" si="513"/>
        <v>0.22395394085889395</v>
      </c>
      <c r="E48" s="90">
        <f t="shared" si="513"/>
        <v>0.12954740513268259</v>
      </c>
      <c r="F48" s="90">
        <f t="shared" ref="F48:T48" si="514">F47/F46</f>
        <v>0.17144162740494451</v>
      </c>
      <c r="G48" s="90">
        <f t="shared" si="514"/>
        <v>0.15033339768626469</v>
      </c>
      <c r="H48" s="90">
        <f t="shared" si="514"/>
        <v>0.13893510402950132</v>
      </c>
      <c r="I48" s="90">
        <f t="shared" si="514"/>
        <v>0.14125930716655888</v>
      </c>
      <c r="J48" s="90">
        <f t="shared" si="514"/>
        <v>6.0950268107553066E-2</v>
      </c>
      <c r="K48" s="90">
        <f t="shared" si="514"/>
        <v>3.5524901610583373E-2</v>
      </c>
      <c r="L48" s="90">
        <f t="shared" si="514"/>
        <v>-3.9284722247273692E-3</v>
      </c>
      <c r="M48" s="90">
        <f t="shared" si="514"/>
        <v>9.0244816929125352E-2</v>
      </c>
      <c r="N48" s="90">
        <f t="shared" si="514"/>
        <v>0.22316928354664245</v>
      </c>
      <c r="O48" s="90">
        <f t="shared" si="514"/>
        <v>0.35587417324799886</v>
      </c>
      <c r="P48" s="90">
        <f t="shared" si="514"/>
        <v>0.34231915225544757</v>
      </c>
      <c r="Q48" s="90">
        <f t="shared" si="514"/>
        <v>0.34497728091067581</v>
      </c>
      <c r="R48" s="90">
        <f t="shared" si="514"/>
        <v>0.33858150317190971</v>
      </c>
      <c r="S48" s="90">
        <f t="shared" si="514"/>
        <v>0.340385967168499</v>
      </c>
      <c r="T48" s="90">
        <f t="shared" si="514"/>
        <v>0.33094192483733814</v>
      </c>
      <c r="U48" s="90">
        <f t="shared" ref="U48:Z48" si="515">U47/U46</f>
        <v>0.27335203342182107</v>
      </c>
      <c r="V48" s="90">
        <f t="shared" si="515"/>
        <v>0.28082467564309221</v>
      </c>
      <c r="W48" s="90">
        <f t="shared" si="515"/>
        <v>0.26266987172178269</v>
      </c>
      <c r="X48" s="90">
        <f t="shared" si="515"/>
        <v>0.19446084443919653</v>
      </c>
      <c r="Y48" s="90">
        <f t="shared" si="515"/>
        <v>0.24453510903272316</v>
      </c>
      <c r="Z48" s="90">
        <f t="shared" si="515"/>
        <v>0.23674275868238567</v>
      </c>
      <c r="AA48" s="90">
        <f t="shared" ref="AA48" si="516">AA47/AA46</f>
        <v>0.21359605620299529</v>
      </c>
      <c r="AB48" s="91">
        <f t="shared" ref="AA48:AD48" si="517">AB47/AB46</f>
        <v>0.2028129871651389</v>
      </c>
      <c r="AC48" s="91">
        <f t="shared" si="517"/>
        <v>0.20295650904812387</v>
      </c>
      <c r="AD48" s="91">
        <f t="shared" si="517"/>
        <v>0.20268019029706544</v>
      </c>
      <c r="AE48" s="91">
        <f t="shared" ref="AE48" si="518">AE47/AE46</f>
        <v>0.20266115681907532</v>
      </c>
      <c r="AI48" s="90">
        <f t="shared" ref="AI48" si="519">AI47/AI46</f>
        <v>0.11742182514358637</v>
      </c>
      <c r="AJ48" s="90">
        <f t="shared" ref="AJ48" si="520">AJ47/AJ46</f>
        <v>9.423532508554866E-2</v>
      </c>
      <c r="AK48" s="90">
        <f t="shared" ref="AK48:AM48" si="521">AK47/AK46</f>
        <v>0.30791139240506327</v>
      </c>
      <c r="AL48" s="90">
        <f t="shared" si="521"/>
        <v>0.35899456307619609</v>
      </c>
      <c r="AM48" s="90">
        <f t="shared" si="521"/>
        <v>0.35698336094504163</v>
      </c>
      <c r="AN48" s="90">
        <f t="shared" ref="AN48:AO48" si="522">AN47/AN46</f>
        <v>0.33730132340227459</v>
      </c>
      <c r="AO48" s="90">
        <f t="shared" si="522"/>
        <v>0.34148949169110476</v>
      </c>
      <c r="AP48" s="90">
        <f t="shared" ref="AP48:CD48" si="523">AP47/AP46</f>
        <v>0.38444851387519374</v>
      </c>
      <c r="AQ48" s="90">
        <f t="shared" si="523"/>
        <v>0.32753323199327278</v>
      </c>
      <c r="AR48" s="90">
        <f t="shared" si="523"/>
        <v>0.32912326512076734</v>
      </c>
      <c r="AS48" s="90">
        <f t="shared" si="523"/>
        <v>0.36178235578139012</v>
      </c>
      <c r="AT48" s="90">
        <f t="shared" si="523"/>
        <v>0.34397607581854545</v>
      </c>
      <c r="AU48" s="90">
        <f t="shared" si="523"/>
        <v>0.34580226785616142</v>
      </c>
      <c r="AV48" s="90">
        <f t="shared" si="523"/>
        <v>0.34662413609782028</v>
      </c>
      <c r="AW48" s="90">
        <f t="shared" si="523"/>
        <v>0.35211976553493407</v>
      </c>
      <c r="AX48" s="90">
        <f t="shared" si="523"/>
        <v>0.33564013840830464</v>
      </c>
      <c r="AY48" s="90">
        <f t="shared" si="523"/>
        <v>0.34007757460619015</v>
      </c>
      <c r="AZ48" s="90">
        <f t="shared" si="523"/>
        <v>0.33649074668690526</v>
      </c>
      <c r="BA48" s="90">
        <f t="shared" si="523"/>
        <v>0.33895818048422605</v>
      </c>
      <c r="BB48" s="90">
        <f t="shared" si="523"/>
        <v>0.33892688858489128</v>
      </c>
      <c r="BC48" s="90">
        <f t="shared" si="523"/>
        <v>0.33560390538392676</v>
      </c>
      <c r="BD48" s="90">
        <f t="shared" si="523"/>
        <v>0.33784487246225925</v>
      </c>
      <c r="BE48" s="90">
        <f t="shared" si="523"/>
        <v>0.33239023144996604</v>
      </c>
      <c r="BF48" s="90">
        <f t="shared" si="523"/>
        <v>0.35261936339522554</v>
      </c>
      <c r="BG48" s="90">
        <f t="shared" si="523"/>
        <v>0.34882646887671687</v>
      </c>
      <c r="BH48" s="90">
        <f t="shared" si="523"/>
        <v>0.33699861241085555</v>
      </c>
      <c r="BI48" s="90">
        <f t="shared" si="523"/>
        <v>0.30102208335539887</v>
      </c>
      <c r="BJ48" s="90">
        <f t="shared" si="523"/>
        <v>0.33223745831928375</v>
      </c>
      <c r="BK48" s="90">
        <f t="shared" si="523"/>
        <v>0.30483409081195056</v>
      </c>
      <c r="BL48" s="90">
        <f t="shared" si="523"/>
        <v>0.29288584124820755</v>
      </c>
      <c r="BM48" s="90">
        <f t="shared" si="523"/>
        <v>0.2609914067628874</v>
      </c>
      <c r="BN48" s="90">
        <f t="shared" si="523"/>
        <v>0.25217066482019701</v>
      </c>
      <c r="BO48" s="90">
        <f t="shared" si="523"/>
        <v>0.26690792974986693</v>
      </c>
      <c r="BP48" s="90">
        <f t="shared" si="523"/>
        <v>0.28260770706951283</v>
      </c>
      <c r="BQ48" s="90">
        <f t="shared" si="523"/>
        <v>0.28089134967018697</v>
      </c>
      <c r="BR48" s="90">
        <f t="shared" si="523"/>
        <v>0.28763971274996775</v>
      </c>
      <c r="BS48" s="90">
        <f t="shared" si="523"/>
        <v>0.26346391216786852</v>
      </c>
      <c r="BT48" s="90">
        <f t="shared" si="523"/>
        <v>0.26700275459537853</v>
      </c>
      <c r="BU48" s="90">
        <f t="shared" si="523"/>
        <v>0.2464030034047906</v>
      </c>
      <c r="BV48" s="90">
        <f t="shared" si="523"/>
        <v>0.27354777200190683</v>
      </c>
      <c r="BW48" s="90">
        <f t="shared" si="523"/>
        <v>0.18989834314232834</v>
      </c>
      <c r="BX48" s="90">
        <f t="shared" si="523"/>
        <v>0.20481735305658727</v>
      </c>
      <c r="BY48" s="90">
        <f t="shared" si="523"/>
        <v>0.18917016526722638</v>
      </c>
      <c r="BZ48" s="90">
        <f t="shared" si="523"/>
        <v>0.19463261595028275</v>
      </c>
      <c r="CA48" s="90">
        <f t="shared" si="523"/>
        <v>0.23953547368717751</v>
      </c>
      <c r="CB48" s="90">
        <f t="shared" si="523"/>
        <v>0.24193970173011692</v>
      </c>
      <c r="CC48" s="90">
        <f t="shared" si="523"/>
        <v>0.24679830994548912</v>
      </c>
      <c r="CD48" s="90">
        <f t="shared" si="523"/>
        <v>0.24951220999359786</v>
      </c>
      <c r="CE48" s="90">
        <f t="shared" ref="CE48:CF48" si="524">CE47/CE46</f>
        <v>0.27067278929622773</v>
      </c>
      <c r="CF48" s="90">
        <f t="shared" si="524"/>
        <v>0.23192471602797377</v>
      </c>
      <c r="CG48" s="90">
        <f t="shared" ref="CG48:CH48" si="525">CG47/CG46</f>
        <v>0.22216923978893888</v>
      </c>
      <c r="CH48" s="90">
        <f t="shared" si="525"/>
        <v>0.2214043802212689</v>
      </c>
      <c r="CI48" s="90">
        <f t="shared" ref="CI48:CJ48" si="526">CI47/CI46</f>
        <v>0.26473029890958344</v>
      </c>
      <c r="CJ48" s="90">
        <f t="shared" si="526"/>
        <v>0.27896589945882505</v>
      </c>
      <c r="CK48" s="90">
        <f t="shared" ref="CK48:CL48" si="527">CK47/CK46</f>
        <v>0.1544889836707872</v>
      </c>
      <c r="CL48" s="90">
        <f t="shared" si="527"/>
        <v>0.1770946924995892</v>
      </c>
      <c r="CM48" s="91">
        <f>AVERAGE(CI48:CL48)</f>
        <v>0.21881996863469624</v>
      </c>
      <c r="CN48" s="91">
        <f t="shared" ref="CN48:DB48" si="528">AVERAGE(CJ48:CM48)</f>
        <v>0.20734238606597441</v>
      </c>
      <c r="CO48" s="91">
        <f t="shared" si="528"/>
        <v>0.18943650771776177</v>
      </c>
      <c r="CP48" s="91">
        <f t="shared" si="528"/>
        <v>0.19817338872950541</v>
      </c>
      <c r="CQ48" s="91">
        <f>AVERAGE(CM48:CP48)*1.01</f>
        <v>0.2054774934148543</v>
      </c>
      <c r="CR48" s="91">
        <f t="shared" ref="CR48:CT48" si="529">AVERAGE(CN48:CQ48)*1.01</f>
        <v>0.20210851842184424</v>
      </c>
      <c r="CS48" s="91">
        <f t="shared" si="529"/>
        <v>0.20078696684170133</v>
      </c>
      <c r="CT48" s="91">
        <f t="shared" si="529"/>
        <v>0.20365295777049605</v>
      </c>
      <c r="CU48" s="91">
        <f t="shared" si="528"/>
        <v>0.20300648411222397</v>
      </c>
      <c r="CV48" s="91">
        <f t="shared" si="528"/>
        <v>0.20238873178656641</v>
      </c>
      <c r="CW48" s="91">
        <f t="shared" si="528"/>
        <v>0.20245878512774695</v>
      </c>
      <c r="CX48" s="91">
        <f t="shared" si="528"/>
        <v>0.20287673969925835</v>
      </c>
      <c r="CY48" s="91">
        <f t="shared" si="528"/>
        <v>0.20268268518144891</v>
      </c>
      <c r="CZ48" s="91">
        <f t="shared" si="528"/>
        <v>0.20260173544875515</v>
      </c>
      <c r="DA48" s="91">
        <f t="shared" si="528"/>
        <v>0.20265498636430235</v>
      </c>
      <c r="DB48" s="91">
        <f t="shared" si="528"/>
        <v>0.2027040366734412</v>
      </c>
      <c r="DE48" s="127"/>
      <c r="DF48" s="90">
        <v>0.25</v>
      </c>
    </row>
    <row r="49" spans="1:110" s="26" customFormat="1" x14ac:dyDescent="0.2">
      <c r="A49" s="26" t="s">
        <v>22</v>
      </c>
      <c r="B49" s="26">
        <f t="shared" ref="B49:E49" si="530">B46-B47</f>
        <v>13.863999999999979</v>
      </c>
      <c r="C49" s="26">
        <f t="shared" si="530"/>
        <v>16.749400000000001</v>
      </c>
      <c r="D49" s="26">
        <f t="shared" si="530"/>
        <v>11.686400000000008</v>
      </c>
      <c r="E49" s="26">
        <f t="shared" si="530"/>
        <v>17.545800000000028</v>
      </c>
      <c r="F49" s="26">
        <f t="shared" ref="F49:T49" si="531">F46-F47</f>
        <v>26.291400000000017</v>
      </c>
      <c r="G49" s="26">
        <f t="shared" si="531"/>
        <v>34.328399999999981</v>
      </c>
      <c r="H49" s="26">
        <f t="shared" si="531"/>
        <v>52.116900000000008</v>
      </c>
      <c r="I49" s="26">
        <f t="shared" si="531"/>
        <v>52.845700000000001</v>
      </c>
      <c r="J49" s="26">
        <f t="shared" si="531"/>
        <v>58.159199999999963</v>
      </c>
      <c r="K49" s="26">
        <f t="shared" si="531"/>
        <v>48.817100000000018</v>
      </c>
      <c r="L49" s="26">
        <f t="shared" si="531"/>
        <v>139.14800000000002</v>
      </c>
      <c r="M49" s="26">
        <f t="shared" si="531"/>
        <v>167.90659999999994</v>
      </c>
      <c r="N49" s="26">
        <f t="shared" si="531"/>
        <v>38.269399999999905</v>
      </c>
      <c r="O49" s="26">
        <f t="shared" si="531"/>
        <v>72.261899999999997</v>
      </c>
      <c r="P49" s="26">
        <f t="shared" si="531"/>
        <v>102.02090000000004</v>
      </c>
      <c r="Q49" s="26">
        <f t="shared" si="531"/>
        <v>154.81010000000015</v>
      </c>
      <c r="R49" s="26">
        <f t="shared" si="531"/>
        <v>174.78460000000007</v>
      </c>
      <c r="S49" s="26">
        <f t="shared" si="531"/>
        <v>240.03789999999975</v>
      </c>
      <c r="T49" s="26">
        <f t="shared" si="531"/>
        <v>289.96889999999985</v>
      </c>
      <c r="U49" s="26">
        <f t="shared" ref="U49:Z49" si="532">U46-U47</f>
        <v>256.1001</v>
      </c>
      <c r="V49" s="26">
        <f t="shared" si="532"/>
        <v>368.12190000000004</v>
      </c>
      <c r="W49" s="26">
        <f t="shared" si="532"/>
        <v>549.67149999999981</v>
      </c>
      <c r="X49" s="26">
        <f t="shared" si="532"/>
        <v>755.19319999999959</v>
      </c>
      <c r="Y49" s="26">
        <f t="shared" si="532"/>
        <v>792.23790000000008</v>
      </c>
      <c r="Z49" s="26">
        <f t="shared" si="532"/>
        <v>784.93679999999927</v>
      </c>
      <c r="AA49" s="26">
        <f t="shared" ref="AA49" si="533">AA46-AA47</f>
        <v>724.11909999999978</v>
      </c>
      <c r="AB49" s="27">
        <f t="shared" ref="AA49:AD49" si="534">AB46-AB47</f>
        <v>846.71046580919335</v>
      </c>
      <c r="AC49" s="27">
        <f t="shared" si="534"/>
        <v>1012.9230342052643</v>
      </c>
      <c r="AD49" s="27">
        <f t="shared" si="534"/>
        <v>1129.3368240908994</v>
      </c>
      <c r="AE49" s="27">
        <f t="shared" ref="AE49" si="535">AE46-AE47</f>
        <v>1256.6129741687912</v>
      </c>
      <c r="AI49" s="26">
        <f>AI46-AI47</f>
        <v>11.064000000000011</v>
      </c>
      <c r="AJ49" s="26">
        <f t="shared" ref="AJ49" si="536">AJ46-AJ47</f>
        <v>10.323000000000022</v>
      </c>
      <c r="AK49" s="26">
        <f t="shared" ref="AK49:AM49" si="537">AK46-AK47</f>
        <v>8.7480000000000011</v>
      </c>
      <c r="AL49" s="26">
        <f t="shared" si="537"/>
        <v>8.1349999999999874</v>
      </c>
      <c r="AM49" s="26">
        <f t="shared" si="537"/>
        <v>8.9269999999999641</v>
      </c>
      <c r="AN49" s="26">
        <f t="shared" ref="AN49:AO49" si="538">AN46-AN47</f>
        <v>19.929999999999986</v>
      </c>
      <c r="AO49" s="26">
        <f t="shared" si="538"/>
        <v>21.556999999999981</v>
      </c>
      <c r="AP49" s="26">
        <f t="shared" ref="AP49:CD49" si="539">AP46-AP47</f>
        <v>21.848999999999997</v>
      </c>
      <c r="AQ49" s="26">
        <f t="shared" si="539"/>
        <v>20.791999999999994</v>
      </c>
      <c r="AR49" s="26">
        <f t="shared" si="539"/>
        <v>23.637000000000011</v>
      </c>
      <c r="AS49" s="26">
        <f t="shared" si="539"/>
        <v>27.757999999999996</v>
      </c>
      <c r="AT49" s="26">
        <f t="shared" si="539"/>
        <v>29.834000000000024</v>
      </c>
      <c r="AU49" s="26">
        <f t="shared" si="539"/>
        <v>35.712000000000018</v>
      </c>
      <c r="AV49" s="26">
        <f t="shared" si="539"/>
        <v>38.099000000000004</v>
      </c>
      <c r="AW49" s="26">
        <f t="shared" si="539"/>
        <v>39.901000000000039</v>
      </c>
      <c r="AX49" s="26">
        <f t="shared" si="539"/>
        <v>41.08799999999998</v>
      </c>
      <c r="AY49" s="26">
        <f t="shared" si="539"/>
        <v>41.684000000000005</v>
      </c>
      <c r="AZ49" s="26">
        <f t="shared" si="539"/>
        <v>45.460999999999991</v>
      </c>
      <c r="BA49" s="26">
        <f t="shared" si="539"/>
        <v>44.148999999999987</v>
      </c>
      <c r="BB49" s="26">
        <f t="shared" si="539"/>
        <v>43.492000000000004</v>
      </c>
      <c r="BC49" s="26">
        <f t="shared" si="539"/>
        <v>49.744000000000057</v>
      </c>
      <c r="BD49" s="26">
        <f t="shared" si="539"/>
        <v>57.239999999999995</v>
      </c>
      <c r="BE49" s="26">
        <f t="shared" si="539"/>
        <v>62.765999999999977</v>
      </c>
      <c r="BF49" s="26">
        <f t="shared" si="539"/>
        <v>70.289999999999978</v>
      </c>
      <c r="BG49" s="26">
        <f t="shared" si="539"/>
        <v>70.498000000000005</v>
      </c>
      <c r="BH49" s="26">
        <f t="shared" si="539"/>
        <v>82.182999999999964</v>
      </c>
      <c r="BI49" s="26">
        <f t="shared" si="539"/>
        <v>65.994000000000057</v>
      </c>
      <c r="BJ49" s="26">
        <f t="shared" si="539"/>
        <v>71.29299999999995</v>
      </c>
      <c r="BK49" s="26">
        <f t="shared" si="539"/>
        <v>48.793000000000006</v>
      </c>
      <c r="BL49" s="26">
        <f t="shared" si="539"/>
        <v>49.807000000000016</v>
      </c>
      <c r="BM49" s="26">
        <f t="shared" si="539"/>
        <v>75.421000000000006</v>
      </c>
      <c r="BN49" s="26">
        <f t="shared" si="539"/>
        <v>82.081000000000003</v>
      </c>
      <c r="BO49" s="26">
        <f t="shared" si="539"/>
        <v>68.874000000000024</v>
      </c>
      <c r="BP49" s="26">
        <f t="shared" si="539"/>
        <v>78.877999999999986</v>
      </c>
      <c r="BQ49" s="26">
        <f t="shared" si="539"/>
        <v>105.20199999999998</v>
      </c>
      <c r="BR49" s="26">
        <f t="shared" si="539"/>
        <v>115.16799999999988</v>
      </c>
      <c r="BS49" s="26">
        <f t="shared" si="539"/>
        <v>113.375</v>
      </c>
      <c r="BT49" s="26">
        <f t="shared" si="539"/>
        <v>125.33300000000006</v>
      </c>
      <c r="BU49" s="26">
        <f t="shared" si="539"/>
        <v>150.95000000000007</v>
      </c>
      <c r="BV49" s="26">
        <f t="shared" si="539"/>
        <v>160.012</v>
      </c>
      <c r="BW49" s="26">
        <f t="shared" si="539"/>
        <v>184.72100000000006</v>
      </c>
      <c r="BX49" s="26">
        <f t="shared" si="539"/>
        <v>174.27699999999999</v>
      </c>
      <c r="BY49" s="26">
        <f t="shared" si="539"/>
        <v>194.67700000000008</v>
      </c>
      <c r="BZ49" s="26">
        <f t="shared" si="539"/>
        <v>201.51500000000004</v>
      </c>
      <c r="CA49" s="26">
        <f t="shared" si="539"/>
        <v>188.85300000000009</v>
      </c>
      <c r="CB49" s="26">
        <f t="shared" si="539"/>
        <v>200.01800000000003</v>
      </c>
      <c r="CC49" s="26">
        <f t="shared" si="539"/>
        <v>206.43300000000005</v>
      </c>
      <c r="CD49" s="26">
        <f t="shared" si="539"/>
        <v>196.93399999999991</v>
      </c>
      <c r="CE49" s="26">
        <f t="shared" ref="CE49:CF49" si="540">CE46-CE47</f>
        <v>184.08000000000004</v>
      </c>
      <c r="CF49" s="26">
        <f t="shared" si="540"/>
        <v>229.43099999999993</v>
      </c>
      <c r="CG49" s="26">
        <f t="shared" ref="CG49:CH49" si="541">CG46-CG47</f>
        <v>199.00799999999992</v>
      </c>
      <c r="CH49" s="26">
        <f t="shared" si="541"/>
        <v>172.42000000000002</v>
      </c>
      <c r="CI49" s="26">
        <f t="shared" ref="CI49:CJ49" si="542">CI46-CI47</f>
        <v>144.36800000000011</v>
      </c>
      <c r="CJ49" s="26">
        <f t="shared" si="542"/>
        <v>154.81900000000002</v>
      </c>
      <c r="CK49" s="26">
        <f t="shared" ref="CK49:CL49" si="543">CK46-CK47</f>
        <v>204.57900000000001</v>
      </c>
      <c r="CL49" s="26">
        <f t="shared" si="543"/>
        <v>220.351</v>
      </c>
      <c r="CM49" s="27">
        <f t="shared" ref="CM49:DB49" si="544">CM46-CM47</f>
        <v>188.1800021784176</v>
      </c>
      <c r="CN49" s="27">
        <f t="shared" si="544"/>
        <v>203.97956790705544</v>
      </c>
      <c r="CO49" s="27">
        <f t="shared" si="544"/>
        <v>223.15042822405226</v>
      </c>
      <c r="CP49" s="27">
        <f t="shared" si="544"/>
        <v>231.40046749966814</v>
      </c>
      <c r="CQ49" s="27">
        <f t="shared" si="544"/>
        <v>230.64638472848415</v>
      </c>
      <c r="CR49" s="27">
        <f t="shared" si="544"/>
        <v>246.55093314209427</v>
      </c>
      <c r="CS49" s="27">
        <f t="shared" si="544"/>
        <v>261.43224066608167</v>
      </c>
      <c r="CT49" s="27">
        <f t="shared" si="544"/>
        <v>274.29347566860372</v>
      </c>
      <c r="CU49" s="27">
        <f t="shared" si="544"/>
        <v>263.50702053603618</v>
      </c>
      <c r="CV49" s="27">
        <f t="shared" si="544"/>
        <v>277.38840988590016</v>
      </c>
      <c r="CW49" s="27">
        <f t="shared" si="544"/>
        <v>289.23795248352008</v>
      </c>
      <c r="CX49" s="27">
        <f t="shared" si="544"/>
        <v>299.20344118544295</v>
      </c>
      <c r="CY49" s="27">
        <f t="shared" si="544"/>
        <v>302.05498216622254</v>
      </c>
      <c r="CZ49" s="27">
        <f t="shared" si="544"/>
        <v>310.97771906902278</v>
      </c>
      <c r="DA49" s="27">
        <f t="shared" si="544"/>
        <v>318.50915979894864</v>
      </c>
      <c r="DB49" s="27">
        <f t="shared" si="544"/>
        <v>325.071113134597</v>
      </c>
      <c r="DE49" s="121"/>
      <c r="DF49" s="26">
        <v>181.41468310599328</v>
      </c>
    </row>
    <row r="50" spans="1:110" s="45" customFormat="1" x14ac:dyDescent="0.2">
      <c r="A50" s="45" t="s">
        <v>107</v>
      </c>
      <c r="B50" s="45">
        <f t="shared" ref="B50:E50" si="545">+B49/B18</f>
        <v>0.10138920172823818</v>
      </c>
      <c r="C50" s="45">
        <f t="shared" si="545"/>
        <v>0.12903369941697793</v>
      </c>
      <c r="D50" s="45">
        <f t="shared" si="545"/>
        <v>0.10662374856415049</v>
      </c>
      <c r="E50" s="45">
        <f t="shared" si="545"/>
        <v>0.11431940865451981</v>
      </c>
      <c r="F50" s="45">
        <f t="shared" ref="F50:AE50" si="546">+F49/F18</f>
        <v>0.14152357165157675</v>
      </c>
      <c r="G50" s="45">
        <f t="shared" si="546"/>
        <v>0.14568661785039194</v>
      </c>
      <c r="H50" s="45">
        <f t="shared" si="546"/>
        <v>0.16923104398905064</v>
      </c>
      <c r="I50" s="45">
        <f t="shared" si="546"/>
        <v>0.13145248532574885</v>
      </c>
      <c r="J50" s="45">
        <f t="shared" si="546"/>
        <v>0.13868512011713036</v>
      </c>
      <c r="K50" s="45">
        <f t="shared" si="546"/>
        <v>0.12576135609812653</v>
      </c>
      <c r="L50" s="45">
        <f t="shared" si="546"/>
        <v>0.33456180069207087</v>
      </c>
      <c r="M50" s="45">
        <f t="shared" si="546"/>
        <v>0.31168422783871158</v>
      </c>
      <c r="N50" s="45">
        <f t="shared" si="546"/>
        <v>6.1558907666946619E-2</v>
      </c>
      <c r="O50" s="45">
        <f t="shared" si="546"/>
        <v>9.3266951106609208E-2</v>
      </c>
      <c r="P50" s="45">
        <f t="shared" si="546"/>
        <v>0.12010921577568011</v>
      </c>
      <c r="Q50" s="45">
        <f t="shared" si="546"/>
        <v>0.14398179102592529</v>
      </c>
      <c r="R50" s="45">
        <f t="shared" si="546"/>
        <v>0.14126150689684411</v>
      </c>
      <c r="S50" s="45">
        <f t="shared" si="546"/>
        <v>0.17315060172957336</v>
      </c>
      <c r="T50" s="45">
        <f t="shared" si="546"/>
        <v>0.18157878521534665</v>
      </c>
      <c r="U50" s="45">
        <f t="shared" si="546"/>
        <v>0.15908217880258438</v>
      </c>
      <c r="V50" s="45">
        <f t="shared" si="546"/>
        <v>0.20158253410148086</v>
      </c>
      <c r="W50" s="45">
        <f t="shared" si="546"/>
        <v>0.22246708676285787</v>
      </c>
      <c r="X50" s="45">
        <f t="shared" si="546"/>
        <v>0.24014621321913129</v>
      </c>
      <c r="Y50" s="45">
        <f t="shared" si="546"/>
        <v>0.22303080079175808</v>
      </c>
      <c r="Z50" s="45">
        <f t="shared" ref="Z50:AA50" si="547">+Z49/Z18</f>
        <v>0.21049252700749391</v>
      </c>
      <c r="AA50" s="45">
        <f t="shared" si="547"/>
        <v>0.1927169139855055</v>
      </c>
      <c r="AB50" s="48">
        <f t="shared" si="546"/>
        <v>0.20119384751239647</v>
      </c>
      <c r="AC50" s="48">
        <f t="shared" si="546"/>
        <v>0.21293923651145921</v>
      </c>
      <c r="AD50" s="48">
        <f t="shared" si="546"/>
        <v>0.21805339117018313</v>
      </c>
      <c r="AE50" s="48">
        <f t="shared" si="546"/>
        <v>0.23500468630231652</v>
      </c>
      <c r="AI50" s="45">
        <f t="shared" ref="AI50:BN50" si="548">+AI49/AI18</f>
        <v>7.5678707497417938E-2</v>
      </c>
      <c r="AJ50" s="45">
        <f t="shared" si="548"/>
        <v>6.7668729351303289E-2</v>
      </c>
      <c r="AK50" s="45">
        <f t="shared" si="548"/>
        <v>5.5834258798299709E-2</v>
      </c>
      <c r="AL50" s="45">
        <f t="shared" si="548"/>
        <v>5.082913662322075E-2</v>
      </c>
      <c r="AM50" s="45">
        <f t="shared" si="548"/>
        <v>5.1549606462901056E-2</v>
      </c>
      <c r="AN50" s="45">
        <f t="shared" si="548"/>
        <v>0.10491130178449221</v>
      </c>
      <c r="AO50" s="45">
        <f t="shared" si="548"/>
        <v>0.10837619212805846</v>
      </c>
      <c r="AP50" s="45">
        <f t="shared" si="548"/>
        <v>0.10384900566561465</v>
      </c>
      <c r="AQ50" s="45">
        <f t="shared" si="548"/>
        <v>0.10899845351366934</v>
      </c>
      <c r="AR50" s="45">
        <f t="shared" si="548"/>
        <v>0.11560696468746948</v>
      </c>
      <c r="AS50" s="45">
        <f t="shared" si="548"/>
        <v>0.12633639032382857</v>
      </c>
      <c r="AT50" s="45">
        <f t="shared" si="548"/>
        <v>0.13136481321661952</v>
      </c>
      <c r="AU50" s="45">
        <f t="shared" si="548"/>
        <v>0.14664854365742594</v>
      </c>
      <c r="AV50" s="45">
        <f t="shared" si="548"/>
        <v>0.14450158917992248</v>
      </c>
      <c r="AW50" s="45">
        <f t="shared" si="548"/>
        <v>0.14627377805801695</v>
      </c>
      <c r="AX50" s="45">
        <f t="shared" si="548"/>
        <v>0.14098609285839278</v>
      </c>
      <c r="AY50" s="45">
        <f t="shared" si="548"/>
        <v>0.14199095269239156</v>
      </c>
      <c r="AZ50" s="45">
        <f t="shared" si="548"/>
        <v>0.15270537177867946</v>
      </c>
      <c r="BA50" s="45">
        <f t="shared" si="548"/>
        <v>0.14230366323389576</v>
      </c>
      <c r="BB50" s="45">
        <f t="shared" si="548"/>
        <v>0.13300427832671249</v>
      </c>
      <c r="BC50" s="45">
        <f t="shared" si="548"/>
        <v>0.15389660613185674</v>
      </c>
      <c r="BD50" s="45">
        <f t="shared" si="548"/>
        <v>0.16729309024591266</v>
      </c>
      <c r="BE50" s="45">
        <f t="shared" si="548"/>
        <v>0.18336975447863221</v>
      </c>
      <c r="BF50" s="45">
        <f t="shared" si="548"/>
        <v>0.1872522484122586</v>
      </c>
      <c r="BG50" s="45">
        <f t="shared" si="548"/>
        <v>0.18453283076157945</v>
      </c>
      <c r="BH50" s="45">
        <f t="shared" si="548"/>
        <v>0.20403739969810114</v>
      </c>
      <c r="BI50" s="45">
        <f t="shared" si="548"/>
        <v>0.16696689706819967</v>
      </c>
      <c r="BJ50" s="45">
        <f t="shared" si="548"/>
        <v>0.17598690706583978</v>
      </c>
      <c r="BK50" s="45">
        <f t="shared" si="548"/>
        <v>0.13531246966818733</v>
      </c>
      <c r="BL50" s="45">
        <f t="shared" si="548"/>
        <v>0.12909722402218712</v>
      </c>
      <c r="BM50" s="45">
        <f t="shared" si="548"/>
        <v>0.17811580443890251</v>
      </c>
      <c r="BN50" s="45">
        <f t="shared" si="548"/>
        <v>0.18702165715392416</v>
      </c>
      <c r="BO50" s="45">
        <f t="shared" ref="BO50:CT50" si="549">+BO49/BO18</f>
        <v>0.17197519026787325</v>
      </c>
      <c r="BP50" s="45">
        <f t="shared" si="549"/>
        <v>0.18419110779002426</v>
      </c>
      <c r="BQ50" s="45">
        <f t="shared" si="549"/>
        <v>0.22050442572474777</v>
      </c>
      <c r="BR50" s="45">
        <f t="shared" si="549"/>
        <v>0.22387453322214232</v>
      </c>
      <c r="BS50" s="45">
        <f t="shared" si="549"/>
        <v>0.2030660056312196</v>
      </c>
      <c r="BT50" s="45">
        <f t="shared" si="549"/>
        <v>0.21221695629278575</v>
      </c>
      <c r="BU50" s="45">
        <f t="shared" si="549"/>
        <v>0.23821509900247931</v>
      </c>
      <c r="BV50" s="45">
        <f t="shared" si="549"/>
        <v>0.2347115244983784</v>
      </c>
      <c r="BW50" s="45">
        <f t="shared" si="549"/>
        <v>0.25447554653672955</v>
      </c>
      <c r="BX50" s="45">
        <f t="shared" si="549"/>
        <v>0.22835904404124369</v>
      </c>
      <c r="BY50" s="45">
        <f t="shared" si="549"/>
        <v>0.23806623841475874</v>
      </c>
      <c r="BZ50" s="45">
        <f t="shared" si="549"/>
        <v>0.24049431926675585</v>
      </c>
      <c r="CA50" s="45">
        <f t="shared" si="549"/>
        <v>0.22210892514395403</v>
      </c>
      <c r="CB50" s="45">
        <f t="shared" si="549"/>
        <v>0.22685545390825435</v>
      </c>
      <c r="CC50" s="45">
        <f t="shared" si="549"/>
        <v>0.225799112480079</v>
      </c>
      <c r="CD50" s="45">
        <f t="shared" si="549"/>
        <v>0.21738012214896513</v>
      </c>
      <c r="CE50" s="45">
        <f t="shared" si="549"/>
        <v>0.19869286689585575</v>
      </c>
      <c r="CF50" s="45">
        <f t="shared" si="549"/>
        <v>0.24022025241705974</v>
      </c>
      <c r="CG50" s="45">
        <f t="shared" si="549"/>
        <v>0.21189751387127576</v>
      </c>
      <c r="CH50" s="45">
        <f t="shared" si="549"/>
        <v>0.18981962621761111</v>
      </c>
      <c r="CI50" s="45">
        <f t="shared" ref="CI50:CJ50" si="550">+CI49/CI18</f>
        <v>0.16183011693808749</v>
      </c>
      <c r="CJ50" s="45">
        <f t="shared" si="550"/>
        <v>0.1686294115468652</v>
      </c>
      <c r="CK50" s="45">
        <f t="shared" ref="CK50:CL50" si="551">+CK49/CK18</f>
        <v>0.21456169753973364</v>
      </c>
      <c r="CL50" s="45">
        <f t="shared" si="551"/>
        <v>0.22173663221470974</v>
      </c>
      <c r="CM50" s="48">
        <f t="shared" si="549"/>
        <v>0.1915769984599662</v>
      </c>
      <c r="CN50" s="48">
        <f t="shared" si="549"/>
        <v>0.197908569902079</v>
      </c>
      <c r="CO50" s="48">
        <f t="shared" si="549"/>
        <v>0.20696356718712555</v>
      </c>
      <c r="CP50" s="48">
        <f t="shared" si="549"/>
        <v>0.2071112798934765</v>
      </c>
      <c r="CQ50" s="48">
        <f t="shared" si="549"/>
        <v>0.20483502288134034</v>
      </c>
      <c r="CR50" s="48">
        <f t="shared" si="549"/>
        <v>0.21061892503878524</v>
      </c>
      <c r="CS50" s="48">
        <f t="shared" si="549"/>
        <v>0.21575171029561735</v>
      </c>
      <c r="CT50" s="48">
        <f t="shared" si="549"/>
        <v>0.21969412202082431</v>
      </c>
      <c r="CU50" s="48">
        <f t="shared" ref="CU50:DB50" si="552">+CU49/CU18</f>
        <v>0.20854486035112543</v>
      </c>
      <c r="CV50" s="48">
        <f t="shared" si="552"/>
        <v>0.21582254351654645</v>
      </c>
      <c r="CW50" s="48">
        <f t="shared" si="552"/>
        <v>0.22155717293653288</v>
      </c>
      <c r="CX50" s="48">
        <f t="shared" si="552"/>
        <v>0.22583340212879588</v>
      </c>
      <c r="CY50" s="48">
        <f t="shared" si="552"/>
        <v>0.22914799833949837</v>
      </c>
      <c r="CZ50" s="48">
        <f t="shared" si="552"/>
        <v>0.23347104976402142</v>
      </c>
      <c r="DA50" s="48">
        <f t="shared" si="552"/>
        <v>0.23703250843118118</v>
      </c>
      <c r="DB50" s="48">
        <f t="shared" si="552"/>
        <v>0.24020528036162694</v>
      </c>
      <c r="DE50" s="129"/>
      <c r="DF50" s="45">
        <v>0.19116515534408371</v>
      </c>
    </row>
    <row r="51" spans="1:110" s="39" customFormat="1" x14ac:dyDescent="0.2">
      <c r="A51" s="39" t="s">
        <v>451</v>
      </c>
      <c r="C51" s="39">
        <f t="shared" ref="C51:E51" si="553">+IF(B49&lt;0,1-C49/B49,C49/B49-1)</f>
        <v>0.20812175418349876</v>
      </c>
      <c r="D51" s="39">
        <f t="shared" si="553"/>
        <v>-0.30227948463825527</v>
      </c>
      <c r="E51" s="39">
        <f t="shared" si="553"/>
        <v>0.50138622672508348</v>
      </c>
      <c r="F51" s="39">
        <f t="shared" ref="F51:AE51" si="554">+IF(E49&lt;0,1-F49/E49,F49/E49-1)</f>
        <v>0.4984440720856258</v>
      </c>
      <c r="G51" s="39">
        <f t="shared" si="554"/>
        <v>0.30568931285515255</v>
      </c>
      <c r="H51" s="39">
        <f t="shared" si="554"/>
        <v>0.51818610829517353</v>
      </c>
      <c r="I51" s="39">
        <f t="shared" si="554"/>
        <v>1.3983947625434201E-2</v>
      </c>
      <c r="J51" s="39">
        <f t="shared" si="554"/>
        <v>0.10054744283830019</v>
      </c>
      <c r="K51" s="39">
        <f t="shared" si="554"/>
        <v>-0.16062978858030974</v>
      </c>
      <c r="L51" s="39">
        <f t="shared" si="554"/>
        <v>1.8503946363057202</v>
      </c>
      <c r="M51" s="39">
        <f t="shared" si="554"/>
        <v>0.20667634461149209</v>
      </c>
      <c r="N51" s="39">
        <f t="shared" si="554"/>
        <v>-0.77207923929136846</v>
      </c>
      <c r="O51" s="39">
        <f t="shared" si="554"/>
        <v>0.88824230325012099</v>
      </c>
      <c r="P51" s="39">
        <f t="shared" si="554"/>
        <v>0.41182144394210574</v>
      </c>
      <c r="Q51" s="39">
        <f t="shared" si="554"/>
        <v>0.51743515299316201</v>
      </c>
      <c r="R51" s="39">
        <f t="shared" si="554"/>
        <v>0.12902581937483348</v>
      </c>
      <c r="S51" s="39">
        <f t="shared" si="554"/>
        <v>0.3733355226947892</v>
      </c>
      <c r="T51" s="39">
        <f t="shared" si="554"/>
        <v>0.20801298461618001</v>
      </c>
      <c r="U51" s="39">
        <f t="shared" si="554"/>
        <v>-0.11680149147029173</v>
      </c>
      <c r="V51" s="39">
        <f t="shared" si="554"/>
        <v>0.43741412049429118</v>
      </c>
      <c r="W51" s="39">
        <f t="shared" si="554"/>
        <v>0.49317793915548025</v>
      </c>
      <c r="X51" s="39">
        <f t="shared" si="554"/>
        <v>0.37389913793966012</v>
      </c>
      <c r="Y51" s="39">
        <f t="shared" si="554"/>
        <v>4.9053275373772687E-2</v>
      </c>
      <c r="Z51" s="39">
        <f t="shared" ref="Z51:AA51" si="555">+IF(Y49&lt;0,1-Z49/Y49,Z49/Y49-1)</f>
        <v>-9.2157923775179063E-3</v>
      </c>
      <c r="AA51" s="39">
        <f t="shared" si="555"/>
        <v>-7.7481015032037637E-2</v>
      </c>
      <c r="AB51" s="40">
        <f t="shared" si="554"/>
        <v>0.16929724103285437</v>
      </c>
      <c r="AC51" s="40">
        <f t="shared" si="554"/>
        <v>0.19630390211041404</v>
      </c>
      <c r="AD51" s="40">
        <f t="shared" si="554"/>
        <v>0.11492856412034591</v>
      </c>
      <c r="AE51" s="40">
        <f t="shared" si="554"/>
        <v>0.11269990260022489</v>
      </c>
      <c r="AM51" s="39">
        <f>+IF(AI49&lt;0,1-AM49/AI49,AM49/AI49-1)</f>
        <v>-0.19314895155459555</v>
      </c>
      <c r="AN51" s="39">
        <f t="shared" ref="AN51" si="556">+IF(AJ49&lt;0,1-AN49/AJ49,AN49/AJ49-1)</f>
        <v>0.93064031773708655</v>
      </c>
      <c r="AO51" s="39">
        <f t="shared" ref="AO51" si="557">+IF(AK49&lt;0,1-AO49/AK49,AO49/AK49-1)</f>
        <v>1.4642203932327362</v>
      </c>
      <c r="AP51" s="39">
        <f t="shared" ref="AP51" si="558">+IF(AL49&lt;0,1-AP49/AL49,AP49/AL49-1)</f>
        <v>1.6858020897357138</v>
      </c>
      <c r="AQ51" s="39">
        <f t="shared" ref="AQ51" si="559">+IF(AM49&lt;0,1-AQ49/AM49,AQ49/AM49-1)</f>
        <v>1.3291139240506418</v>
      </c>
      <c r="AR51" s="39">
        <f t="shared" ref="AR51" si="560">+IF(AN49&lt;0,1-AR49/AN49,AR49/AN49-1)</f>
        <v>0.18600100351229454</v>
      </c>
      <c r="AS51" s="39">
        <f t="shared" ref="AS51" si="561">+IF(AO49&lt;0,1-AS49/AO49,AS49/AO49-1)</f>
        <v>0.28765598181565255</v>
      </c>
      <c r="AT51" s="39">
        <f t="shared" ref="AT51" si="562">+IF(AP49&lt;0,1-AT49/AP49,AT49/AP49-1)</f>
        <v>0.36546295024944064</v>
      </c>
      <c r="AU51" s="39">
        <f t="shared" ref="AU51" si="563">+IF(AQ49&lt;0,1-AU49/AQ49,AU49/AQ49-1)</f>
        <v>0.71758368603309086</v>
      </c>
      <c r="AV51" s="39">
        <f t="shared" ref="AV51" si="564">+IF(AR49&lt;0,1-AV49/AR49,AV49/AR49-1)</f>
        <v>0.61183737360917156</v>
      </c>
      <c r="AW51" s="39">
        <f t="shared" ref="AW51" si="565">+IF(AS49&lt;0,1-AW49/AS49,AW49/AS49-1)</f>
        <v>0.43745947114345585</v>
      </c>
      <c r="AX51" s="39">
        <f t="shared" ref="AX51" si="566">+IF(AT49&lt;0,1-AX49/AT49,AX49/AT49-1)</f>
        <v>0.37722062076824914</v>
      </c>
      <c r="AY51" s="39">
        <f t="shared" ref="AY51" si="567">+IF(AU49&lt;0,1-AY49/AU49,AY49/AU49-1)</f>
        <v>0.16722670250896021</v>
      </c>
      <c r="AZ51" s="39">
        <f t="shared" ref="AZ51" si="568">+IF(AV49&lt;0,1-AZ49/AV49,AZ49/AV49-1)</f>
        <v>0.19323341819995243</v>
      </c>
      <c r="BA51" s="39">
        <f t="shared" ref="BA51" si="569">+IF(AW49&lt;0,1-BA49/AW49,BA49/AW49-1)</f>
        <v>0.10646349715545833</v>
      </c>
      <c r="BB51" s="39">
        <f t="shared" ref="BB51" si="570">+IF(AX49&lt;0,1-BB49/AX49,BB49/AX49-1)</f>
        <v>5.8508566978193732E-2</v>
      </c>
      <c r="BC51" s="39">
        <f t="shared" ref="BC51" si="571">+IF(AY49&lt;0,1-BC49/AY49,BC49/AY49-1)</f>
        <v>0.19335956242203367</v>
      </c>
      <c r="BD51" s="39">
        <f t="shared" ref="BD51" si="572">+IF(AZ49&lt;0,1-BD49/AZ49,BD49/AZ49-1)</f>
        <v>0.25910120762851685</v>
      </c>
      <c r="BE51" s="39">
        <f t="shared" ref="BE51" si="573">+IF(BA49&lt;0,1-BE49/BA49,BE49/BA49-1)</f>
        <v>0.42168565539423297</v>
      </c>
      <c r="BF51" s="39">
        <f t="shared" ref="BF51" si="574">+IF(BB49&lt;0,1-BF49/BB49,BF49/BB49-1)</f>
        <v>0.61615929366320166</v>
      </c>
      <c r="BG51" s="39">
        <f t="shared" ref="BG51" si="575">+IF(BC49&lt;0,1-BG49/BC49,BG49/BC49-1)</f>
        <v>0.41721614667095386</v>
      </c>
      <c r="BH51" s="39">
        <f t="shared" ref="BH51" si="576">+IF(BD49&lt;0,1-BH49/BD49,BH49/BD49-1)</f>
        <v>0.43576170510132717</v>
      </c>
      <c r="BI51" s="39">
        <f t="shared" ref="BI51" si="577">+IF(BE49&lt;0,1-BI49/BE49,BI49/BE49-1)</f>
        <v>5.1429117675175773E-2</v>
      </c>
      <c r="BJ51" s="39">
        <f t="shared" ref="BJ51" si="578">+IF(BF49&lt;0,1-BJ49/BF49,BJ49/BF49-1)</f>
        <v>1.4269455114525043E-2</v>
      </c>
      <c r="BK51" s="39">
        <f t="shared" ref="BK51" si="579">+IF(BG49&lt;0,1-BK49/BG49,BK49/BG49-1)</f>
        <v>-0.30788107464041525</v>
      </c>
      <c r="BL51" s="39">
        <f t="shared" ref="BL51" si="580">+IF(BH49&lt;0,1-BL49/BH49,BL49/BH49-1)</f>
        <v>-0.39395008700096079</v>
      </c>
      <c r="BM51" s="39">
        <f t="shared" ref="BM51" si="581">+IF(BI49&lt;0,1-BM49/BI49,BM49/BI49-1)</f>
        <v>0.14284631936236547</v>
      </c>
      <c r="BN51" s="39">
        <f t="shared" ref="BN51" si="582">+IF(BJ49&lt;0,1-BN49/BJ49,BN49/BJ49-1)</f>
        <v>0.15131920384890618</v>
      </c>
      <c r="BO51" s="39">
        <f t="shared" ref="BO51" si="583">+IF(BK49&lt;0,1-BO49/BK49,BO49/BK49-1)</f>
        <v>0.41155493615887551</v>
      </c>
      <c r="BP51" s="39">
        <f t="shared" ref="BP51" si="584">+IF(BL49&lt;0,1-BP49/BL49,BP49/BL49-1)</f>
        <v>0.58367297769389759</v>
      </c>
      <c r="BQ51" s="39">
        <f t="shared" ref="BQ51" si="585">+IF(BM49&lt;0,1-BQ49/BM49,BQ49/BM49-1)</f>
        <v>0.39486349955582623</v>
      </c>
      <c r="BR51" s="39">
        <f t="shared" ref="BR51" si="586">+IF(BN49&lt;0,1-BR49/BN49,BR49/BN49-1)</f>
        <v>0.40310181406171797</v>
      </c>
      <c r="BS51" s="39">
        <f t="shared" ref="BS51" si="587">+IF(BO49&lt;0,1-BS49/BO49,BS49/BO49-1)</f>
        <v>0.6461219037662973</v>
      </c>
      <c r="BT51" s="39">
        <f t="shared" ref="BT51" si="588">+IF(BP49&lt;0,1-BT49/BP49,BT49/BP49-1)</f>
        <v>0.5889474885265864</v>
      </c>
      <c r="BU51" s="39">
        <f t="shared" ref="BU51" si="589">+IF(BQ49&lt;0,1-BU49/BQ49,BU49/BQ49-1)</f>
        <v>0.43485865287732262</v>
      </c>
      <c r="BV51" s="39">
        <f t="shared" ref="BV51" si="590">+IF(BR49&lt;0,1-BV49/BR49,BV49/BR49-1)</f>
        <v>0.3893789941650474</v>
      </c>
      <c r="BW51" s="39">
        <f t="shared" ref="BW51" si="591">+IF(BS49&lt;0,1-BW49/BS49,BW49/BS49-1)</f>
        <v>0.6292921719955904</v>
      </c>
      <c r="BX51" s="39">
        <f t="shared" ref="BX51" si="592">+IF(BT49&lt;0,1-BX49/BT49,BX49/BT49-1)</f>
        <v>0.39051167689275701</v>
      </c>
      <c r="BY51" s="39">
        <f t="shared" ref="BY51" si="593">+IF(BU49&lt;0,1-BY49/BU49,BY49/BU49-1)</f>
        <v>0.28967870155680675</v>
      </c>
      <c r="BZ51" s="39">
        <f t="shared" ref="BZ51" si="594">+IF(BV49&lt;0,1-BZ49/BV49,BZ49/BV49-1)</f>
        <v>0.25937429692773062</v>
      </c>
      <c r="CA51" s="39">
        <f t="shared" ref="CA51" si="595">+IF(BW49&lt;0,1-CA49/BW49,CA49/BW49-1)</f>
        <v>2.2368869809063607E-2</v>
      </c>
      <c r="CB51" s="39">
        <f t="shared" ref="CB51" si="596">+IF(BX49&lt;0,1-CB49/BX49,CB49/BX49-1)</f>
        <v>0.14770164737745106</v>
      </c>
      <c r="CC51" s="39">
        <f t="shared" ref="CC51" si="597">+IF(BY49&lt;0,1-CC49/BY49,CC49/BY49-1)</f>
        <v>6.0387205473681815E-2</v>
      </c>
      <c r="CD51" s="39">
        <f t="shared" ref="CD51" si="598">+IF(BZ49&lt;0,1-CD49/BZ49,CD49/BZ49-1)</f>
        <v>-2.2732799047217922E-2</v>
      </c>
      <c r="CE51" s="39">
        <f t="shared" ref="CE51" si="599">+IF(CA49&lt;0,1-CE49/CA49,CE49/CA49-1)</f>
        <v>-2.5273625518260512E-2</v>
      </c>
      <c r="CF51" s="39">
        <f t="shared" ref="CF51" si="600">+IF(CB49&lt;0,1-CF49/CB49,CF49/CB49-1)</f>
        <v>0.14705176534111875</v>
      </c>
      <c r="CG51" s="39">
        <f t="shared" ref="CG51" si="601">+IF(CC49&lt;0,1-CG49/CC49,CG49/CC49-1)</f>
        <v>-3.5968086497798923E-2</v>
      </c>
      <c r="CH51" s="39">
        <f t="shared" ref="CH51:CL51" si="602">+IF(CD49&lt;0,1-CH49/CD49,CH49/CD49-1)</f>
        <v>-0.12447825159698123</v>
      </c>
      <c r="CI51" s="39">
        <f t="shared" si="602"/>
        <v>-0.21573229030856111</v>
      </c>
      <c r="CJ51" s="39">
        <f t="shared" si="602"/>
        <v>-0.32520452772293162</v>
      </c>
      <c r="CK51" s="39">
        <f t="shared" si="602"/>
        <v>2.7993849493488154E-2</v>
      </c>
      <c r="CL51" s="39">
        <f t="shared" si="602"/>
        <v>0.27798979236747456</v>
      </c>
      <c r="CM51" s="40">
        <f t="shared" ref="CM51" si="603">+CM49/CI49-1</f>
        <v>0.30347446926200727</v>
      </c>
      <c r="CN51" s="40">
        <f t="shared" ref="CN51" si="604">+CN49/CJ49-1</f>
        <v>0.31753575405509293</v>
      </c>
      <c r="CO51" s="40">
        <f t="shared" ref="CO51" si="605">+CO49/CK49-1</f>
        <v>9.0778761378500494E-2</v>
      </c>
      <c r="CP51" s="40">
        <f t="shared" ref="CP51" si="606">+CP49/CL49-1</f>
        <v>5.0144848444836354E-2</v>
      </c>
      <c r="CQ51" s="40">
        <f t="shared" ref="CQ51" si="607">+CQ49/CM49-1</f>
        <v>0.2256689449381728</v>
      </c>
      <c r="CR51" s="40">
        <f t="shared" ref="CR51" si="608">+CR49/CN49-1</f>
        <v>0.20870406615645321</v>
      </c>
      <c r="CS51" s="40">
        <f t="shared" ref="CS51" si="609">+CS49/CO49-1</f>
        <v>0.17155159748827775</v>
      </c>
      <c r="CT51" s="40">
        <f t="shared" ref="CT51" si="610">+CT49/CP49-1</f>
        <v>0.18536266859096595</v>
      </c>
      <c r="CU51" s="40">
        <f t="shared" ref="CU51" si="611">+CU49/CQ49-1</f>
        <v>0.142471930987496</v>
      </c>
      <c r="CV51" s="40">
        <f t="shared" ref="CV51" si="612">+CV49/CR49-1</f>
        <v>0.12507548177087369</v>
      </c>
      <c r="CW51" s="40">
        <f t="shared" ref="CW51" si="613">+CW49/CS49-1</f>
        <v>0.10635915350989045</v>
      </c>
      <c r="CX51" s="40">
        <f t="shared" ref="CX51" si="614">+CX49/CT49-1</f>
        <v>9.0815012847534904E-2</v>
      </c>
      <c r="CY51" s="40">
        <f t="shared" ref="CY51" si="615">+CY49/CU49-1</f>
        <v>0.14628817688337348</v>
      </c>
      <c r="CZ51" s="40">
        <f t="shared" ref="CZ51" si="616">+CZ49/CV49-1</f>
        <v>0.12109124961976292</v>
      </c>
      <c r="DA51" s="40">
        <f t="shared" ref="DA51" si="617">+DA49/CW49-1</f>
        <v>0.10120112891165745</v>
      </c>
      <c r="DB51" s="40">
        <f t="shared" ref="DB51" si="618">+DB49/CX49-1</f>
        <v>8.6455128479359766E-2</v>
      </c>
      <c r="DE51" s="122"/>
      <c r="DF51" s="39">
        <v>5.2167283992537117E-2</v>
      </c>
    </row>
    <row r="52" spans="1:110" s="39" customFormat="1" x14ac:dyDescent="0.2">
      <c r="A52" s="39" t="s">
        <v>452</v>
      </c>
      <c r="AB52" s="40"/>
      <c r="AC52" s="40"/>
      <c r="AD52" s="40"/>
      <c r="AE52" s="40"/>
      <c r="AJ52" s="39">
        <f>+IF(AI49&lt;0,1-AJ49/AI49,AJ49/AI49-1)</f>
        <v>-6.6973969631235364E-2</v>
      </c>
      <c r="AK52" s="39">
        <f t="shared" ref="AK52:AM52" si="619">+IF(AJ49&lt;0,1-AK49/AJ49,AK49/AJ49-1)</f>
        <v>-0.15257192676547682</v>
      </c>
      <c r="AL52" s="39">
        <f t="shared" si="619"/>
        <v>-7.0073159579334021E-2</v>
      </c>
      <c r="AM52" s="39">
        <f t="shared" si="619"/>
        <v>9.735709895512934E-2</v>
      </c>
      <c r="AN52" s="39">
        <f t="shared" ref="AN52" si="620">+IF(AM49&lt;0,1-AN49/AM49,AN49/AM49-1)</f>
        <v>1.2325529293155668</v>
      </c>
      <c r="AO52" s="39">
        <f t="shared" ref="AO52" si="621">+IF(AN49&lt;0,1-AO49/AN49,AO49/AN49-1)</f>
        <v>8.1635725037631612E-2</v>
      </c>
      <c r="AP52" s="39">
        <f t="shared" ref="AP52" si="622">+IF(AO49&lt;0,1-AP49/AO49,AP49/AO49-1)</f>
        <v>1.3545484065501601E-2</v>
      </c>
      <c r="AQ52" s="39">
        <f t="shared" ref="AQ52" si="623">+IF(AP49&lt;0,1-AQ49/AP49,AQ49/AP49-1)</f>
        <v>-4.8377500114421768E-2</v>
      </c>
      <c r="AR52" s="39">
        <f t="shared" ref="AR52" si="624">+IF(AQ49&lt;0,1-AR49/AQ49,AR49/AQ49-1)</f>
        <v>0.13683147364370996</v>
      </c>
      <c r="AS52" s="39">
        <f t="shared" ref="AS52" si="625">+IF(AR49&lt;0,1-AS49/AR49,AS49/AR49-1)</f>
        <v>0.17434530608791232</v>
      </c>
      <c r="AT52" s="39">
        <f t="shared" ref="AT52" si="626">+IF(AS49&lt;0,1-AT49/AS49,AT49/AS49-1)</f>
        <v>7.4789249945962588E-2</v>
      </c>
      <c r="AU52" s="39">
        <f t="shared" ref="AU52" si="627">+IF(AT49&lt;0,1-AU49/AT49,AU49/AT49-1)</f>
        <v>0.19702353020044194</v>
      </c>
      <c r="AV52" s="39">
        <f t="shared" ref="AV52" si="628">+IF(AU49&lt;0,1-AV49/AU49,AV49/AU49-1)</f>
        <v>6.6840277777777457E-2</v>
      </c>
      <c r="AW52" s="39">
        <f t="shared" ref="AW52" si="629">+IF(AV49&lt;0,1-AW49/AV49,AW49/AV49-1)</f>
        <v>4.7297829339353559E-2</v>
      </c>
      <c r="AX52" s="39">
        <f t="shared" ref="AX52" si="630">+IF(AW49&lt;0,1-AX49/AW49,AX49/AW49-1)</f>
        <v>2.9748627853936949E-2</v>
      </c>
      <c r="AY52" s="39">
        <f t="shared" ref="AY52" si="631">+IF(AX49&lt;0,1-AY49/AX49,AY49/AX49-1)</f>
        <v>1.4505451713396234E-2</v>
      </c>
      <c r="AZ52" s="39">
        <f t="shared" ref="AZ52" si="632">+IF(AY49&lt;0,1-AZ49/AY49,AZ49/AY49-1)</f>
        <v>9.0610306112656858E-2</v>
      </c>
      <c r="BA52" s="39">
        <f t="shared" ref="BA52" si="633">+IF(AZ49&lt;0,1-BA49/AZ49,BA49/AZ49-1)</f>
        <v>-2.8859901893931172E-2</v>
      </c>
      <c r="BB52" s="39">
        <f t="shared" ref="BB52" si="634">+IF(BA49&lt;0,1-BB49/BA49,BB49/BA49-1)</f>
        <v>-1.4881424267819909E-2</v>
      </c>
      <c r="BC52" s="39">
        <f t="shared" ref="BC52" si="635">+IF(BB49&lt;0,1-BC49/BB49,BC49/BB49-1)</f>
        <v>0.14375057481835851</v>
      </c>
      <c r="BD52" s="39">
        <f t="shared" ref="BD52" si="636">+IF(BC49&lt;0,1-BD49/BC49,BD49/BC49-1)</f>
        <v>0.15069154068832291</v>
      </c>
      <c r="BE52" s="39">
        <f t="shared" ref="BE52" si="637">+IF(BD49&lt;0,1-BE49/BD49,BE49/BD49-1)</f>
        <v>9.6540880503144244E-2</v>
      </c>
      <c r="BF52" s="39">
        <f t="shared" ref="BF52" si="638">+IF(BE49&lt;0,1-BF49/BE49,BF49/BE49-1)</f>
        <v>0.11987381703470046</v>
      </c>
      <c r="BG52" s="39">
        <f t="shared" ref="BG52" si="639">+IF(BF49&lt;0,1-BG49/BF49,BG49/BF49-1)</f>
        <v>2.9591691563526368E-3</v>
      </c>
      <c r="BH52" s="39">
        <f t="shared" ref="BH52" si="640">+IF(BG49&lt;0,1-BH49/BG49,BH49/BG49-1)</f>
        <v>0.16574938296121822</v>
      </c>
      <c r="BI52" s="39">
        <f t="shared" ref="BI52" si="641">+IF(BH49&lt;0,1-BI49/BH49,BI49/BH49-1)</f>
        <v>-0.19698721146709075</v>
      </c>
      <c r="BJ52" s="39">
        <f t="shared" ref="BJ52" si="642">+IF(BI49&lt;0,1-BJ49/BI49,BJ49/BI49-1)</f>
        <v>8.0295178349545138E-2</v>
      </c>
      <c r="BK52" s="39">
        <f t="shared" ref="BK52" si="643">+IF(BJ49&lt;0,1-BK49/BJ49,BK49/BJ49-1)</f>
        <v>-0.31559900691512432</v>
      </c>
      <c r="BL52" s="39">
        <f t="shared" ref="BL52" si="644">+IF(BK49&lt;0,1-BL49/BK49,BL49/BK49-1)</f>
        <v>2.078166950177307E-2</v>
      </c>
      <c r="BM52" s="39">
        <f t="shared" ref="BM52" si="645">+IF(BL49&lt;0,1-BM49/BL49,BM49/BL49-1)</f>
        <v>0.51426506314373444</v>
      </c>
      <c r="BN52" s="39">
        <f t="shared" ref="BN52" si="646">+IF(BM49&lt;0,1-BN49/BM49,BN49/BM49-1)</f>
        <v>8.8304318425902473E-2</v>
      </c>
      <c r="BO52" s="39">
        <f t="shared" ref="BO52" si="647">+IF(BN49&lt;0,1-BO49/BN49,BO49/BN49-1)</f>
        <v>-0.1609020357939106</v>
      </c>
      <c r="BP52" s="39">
        <f t="shared" ref="BP52" si="648">+IF(BO49&lt;0,1-BP49/BO49,BP49/BO49-1)</f>
        <v>0.14525074774225333</v>
      </c>
      <c r="BQ52" s="39">
        <f t="shared" ref="BQ52" si="649">+IF(BP49&lt;0,1-BQ49/BP49,BQ49/BP49-1)</f>
        <v>0.33373057126194894</v>
      </c>
      <c r="BR52" s="39">
        <f t="shared" ref="BR52" si="650">+IF(BQ49&lt;0,1-BR49/BQ49,BR49/BQ49-1)</f>
        <v>9.4732039314840977E-2</v>
      </c>
      <c r="BS52" s="39">
        <f t="shared" ref="BS52" si="651">+IF(BR49&lt;0,1-BS49/BR49,BS49/BR49-1)</f>
        <v>-1.5568560711307633E-2</v>
      </c>
      <c r="BT52" s="39">
        <f t="shared" ref="BT52" si="652">+IF(BS49&lt;0,1-BT49/BS49,BT49/BS49-1)</f>
        <v>0.10547298787210635</v>
      </c>
      <c r="BU52" s="39">
        <f t="shared" ref="BU52" si="653">+IF(BT49&lt;0,1-BU49/BT49,BU49/BT49-1)</f>
        <v>0.20439150104122628</v>
      </c>
      <c r="BV52" s="39">
        <f t="shared" ref="BV52" si="654">+IF(BU49&lt;0,1-BV49/BU49,BV49/BU49-1)</f>
        <v>6.0033123550844225E-2</v>
      </c>
      <c r="BW52" s="39">
        <f t="shared" ref="BW52" si="655">+IF(BV49&lt;0,1-BW49/BV49,BW49/BV49-1)</f>
        <v>0.15441966852486111</v>
      </c>
      <c r="BX52" s="39">
        <f t="shared" ref="BX52" si="656">+IF(BW49&lt;0,1-BX49/BW49,BX49/BW49-1)</f>
        <v>-5.653932146317997E-2</v>
      </c>
      <c r="BY52" s="39">
        <f t="shared" ref="BY52" si="657">+IF(BX49&lt;0,1-BY49/BX49,BY49/BX49-1)</f>
        <v>0.11705503307952325</v>
      </c>
      <c r="BZ52" s="39">
        <f t="shared" ref="BZ52" si="658">+IF(BY49&lt;0,1-BZ49/BY49,BZ49/BY49-1)</f>
        <v>3.5124847824858474E-2</v>
      </c>
      <c r="CA52" s="39">
        <f t="shared" ref="CA52" si="659">+IF(BZ49&lt;0,1-CA49/BZ49,CA49/BZ49-1)</f>
        <v>-6.2834032206039003E-2</v>
      </c>
      <c r="CB52" s="39">
        <f t="shared" ref="CB52" si="660">+IF(CA49&lt;0,1-CB49/CA49,CB49/CA49-1)</f>
        <v>5.9120056340115967E-2</v>
      </c>
      <c r="CC52" s="39">
        <f t="shared" ref="CC52" si="661">+IF(CB49&lt;0,1-CC49/CB49,CC49/CB49-1)</f>
        <v>3.2072113509784117E-2</v>
      </c>
      <c r="CD52" s="39">
        <f t="shared" ref="CD52" si="662">+IF(CC49&lt;0,1-CD49/CC49,CD49/CC49-1)</f>
        <v>-4.6014929783513958E-2</v>
      </c>
      <c r="CE52" s="39">
        <f t="shared" ref="CE52" si="663">+IF(CD49&lt;0,1-CE49/CD49,CE49/CD49-1)</f>
        <v>-6.5270598271501501E-2</v>
      </c>
      <c r="CF52" s="39">
        <f t="shared" ref="CF52" si="664">+IF(CE49&lt;0,1-CF49/CE49,CF49/CE49-1)</f>
        <v>0.24636571056062517</v>
      </c>
      <c r="CG52" s="39">
        <f t="shared" ref="CG52" si="665">+IF(CF49&lt;0,1-CG49/CF49,CG49/CF49-1)</f>
        <v>-0.13260195875884262</v>
      </c>
      <c r="CH52" s="39">
        <f t="shared" ref="CH52:CL52" si="666">+IF(CG49&lt;0,1-CH49/CG49,CH49/CG49-1)</f>
        <v>-0.13360266923942721</v>
      </c>
      <c r="CI52" s="39">
        <f t="shared" si="666"/>
        <v>-0.16269574295325318</v>
      </c>
      <c r="CJ52" s="39">
        <f t="shared" si="666"/>
        <v>7.2391388673389567E-2</v>
      </c>
      <c r="CK52" s="39">
        <f t="shared" si="666"/>
        <v>0.32140757917309881</v>
      </c>
      <c r="CL52" s="39">
        <f t="shared" si="666"/>
        <v>7.7094911989989079E-2</v>
      </c>
      <c r="CM52" s="40">
        <f t="shared" ref="CM52" si="667">+CM49/CL49-1</f>
        <v>-0.14599887371322307</v>
      </c>
      <c r="CN52" s="40">
        <f t="shared" ref="CN52" si="668">+CN49/CM49-1</f>
        <v>8.3959855169190245E-2</v>
      </c>
      <c r="CO52" s="40">
        <f t="shared" ref="CO52" si="669">+CO49/CN49-1</f>
        <v>9.3984218682785725E-2</v>
      </c>
      <c r="CP52" s="40">
        <f t="shared" ref="CP52" si="670">+CP49/CO49-1</f>
        <v>3.6970752605200108E-2</v>
      </c>
      <c r="CQ52" s="40">
        <f t="shared" ref="CQ52" si="671">+CQ49/CP49-1</f>
        <v>-3.2587780799754329E-3</v>
      </c>
      <c r="CR52" s="40">
        <f t="shared" ref="CR52" si="672">+CR49/CQ49-1</f>
        <v>6.8956417558128535E-2</v>
      </c>
      <c r="CS52" s="40">
        <f t="shared" ref="CS52" si="673">+CS49/CR49-1</f>
        <v>6.0357944439053846E-2</v>
      </c>
      <c r="CT52" s="40">
        <f t="shared" ref="CT52" si="674">+CT49/CS49-1</f>
        <v>4.9195290411595538E-2</v>
      </c>
      <c r="CU52" s="40">
        <f t="shared" ref="CU52" si="675">+CU49/CT49-1</f>
        <v>-3.9324504916768532E-2</v>
      </c>
      <c r="CV52" s="40">
        <f t="shared" ref="CV52" si="676">+CV49/CU49-1</f>
        <v>5.2679390938525694E-2</v>
      </c>
      <c r="CW52" s="40">
        <f t="shared" ref="CW52" si="677">+CW49/CV49-1</f>
        <v>4.2718232540768675E-2</v>
      </c>
      <c r="CX52" s="40">
        <f t="shared" ref="CX52" si="678">+CX49/CW49-1</f>
        <v>3.4454291410774163E-2</v>
      </c>
      <c r="CY52" s="40">
        <f t="shared" ref="CY52" si="679">+CY49/CX49-1</f>
        <v>9.5304417939907626E-3</v>
      </c>
      <c r="CZ52" s="40">
        <f t="shared" ref="CZ52" si="680">+CZ49/CY49-1</f>
        <v>2.9540108356464811E-2</v>
      </c>
      <c r="DA52" s="40">
        <f t="shared" ref="DA52" si="681">+DA49/CZ49-1</f>
        <v>2.4218586310533086E-2</v>
      </c>
      <c r="DB52" s="40">
        <f t="shared" ref="DB52" si="682">+DB49/DA49-1</f>
        <v>2.0602086733676472E-2</v>
      </c>
      <c r="DE52" s="122"/>
      <c r="DF52" s="39">
        <v>-0.11322920189270025</v>
      </c>
    </row>
    <row r="53" spans="1:110" s="75" customFormat="1" x14ac:dyDescent="0.2">
      <c r="A53" s="23" t="s">
        <v>23</v>
      </c>
      <c r="B53" s="75">
        <f>'Annual Raw'!C32</f>
        <v>0</v>
      </c>
      <c r="C53" s="75">
        <f>'Annual Raw'!D32</f>
        <v>0</v>
      </c>
      <c r="D53" s="75">
        <f>'Annual Raw'!E32</f>
        <v>0</v>
      </c>
      <c r="E53" s="75">
        <f>'Annual Raw'!F32</f>
        <v>0</v>
      </c>
      <c r="F53" s="75">
        <f>'Annual Raw'!G32</f>
        <v>0</v>
      </c>
      <c r="G53" s="75">
        <f>'Annual Raw'!H32</f>
        <v>0</v>
      </c>
      <c r="H53" s="75">
        <f>'Annual Raw'!I32</f>
        <v>0</v>
      </c>
      <c r="I53" s="75">
        <f>'Annual Raw'!J32</f>
        <v>0</v>
      </c>
      <c r="J53" s="75">
        <f>'Annual Raw'!K32</f>
        <v>0</v>
      </c>
      <c r="K53" s="75">
        <f>'Annual Raw'!L32</f>
        <v>0</v>
      </c>
      <c r="L53" s="75">
        <f>'Annual Raw'!M32</f>
        <v>0</v>
      </c>
      <c r="M53" s="75">
        <f>'Annual Raw'!N32</f>
        <v>0</v>
      </c>
      <c r="N53" s="75">
        <f>'Annual Raw'!O32</f>
        <v>0</v>
      </c>
      <c r="O53" s="75">
        <f>'Annual Raw'!P32</f>
        <v>0</v>
      </c>
      <c r="P53" s="75">
        <f>'Annual Raw'!Q32</f>
        <v>0</v>
      </c>
      <c r="Q53" s="75">
        <f>'Annual Raw'!R32</f>
        <v>0</v>
      </c>
      <c r="R53" s="75">
        <f>'Annual Raw'!S32</f>
        <v>0</v>
      </c>
      <c r="S53" s="75">
        <f>'Annual Raw'!T32</f>
        <v>0</v>
      </c>
      <c r="T53" s="75">
        <f>'Annual Raw'!U32</f>
        <v>0</v>
      </c>
      <c r="U53" s="75">
        <f>'Annual Raw'!V32</f>
        <v>0</v>
      </c>
      <c r="V53" s="75">
        <f>'Annual Raw'!W32</f>
        <v>0</v>
      </c>
      <c r="W53" s="75">
        <f>'Annual Raw'!X32</f>
        <v>0</v>
      </c>
      <c r="X53" s="75">
        <f>'Annual Raw'!Y32</f>
        <v>0</v>
      </c>
      <c r="Y53" s="75">
        <f>'Annual Raw'!Z32</f>
        <v>0</v>
      </c>
      <c r="Z53" s="75">
        <f>'Annual Raw'!AA32</f>
        <v>0</v>
      </c>
      <c r="AA53" s="75">
        <f>'Annual Raw'!AB32</f>
        <v>0</v>
      </c>
      <c r="AB53" s="76">
        <f t="shared" ref="AB53:AB54" si="683">+SUM(CM53:CP53)</f>
        <v>0</v>
      </c>
      <c r="AC53" s="76">
        <f t="shared" ref="AC53:AC54" si="684">+SUM(CQ53:CT53)</f>
        <v>0</v>
      </c>
      <c r="AD53" s="76">
        <f t="shared" ref="AD53:AD54" si="685">+SUM(CU53:CX53)</f>
        <v>0</v>
      </c>
      <c r="AE53" s="76">
        <f t="shared" ref="AE53:AE54" si="686">+SUM(CY53:DB53)</f>
        <v>0</v>
      </c>
      <c r="AI53" s="75">
        <f>'QTR Raw'!C34</f>
        <v>0</v>
      </c>
      <c r="AJ53" s="75">
        <f>'QTR Raw'!D34</f>
        <v>0</v>
      </c>
      <c r="AK53" s="75">
        <f>'QTR Raw'!E34</f>
        <v>0</v>
      </c>
      <c r="AL53" s="75">
        <f>'QTR Raw'!F34</f>
        <v>0</v>
      </c>
      <c r="AM53" s="75">
        <f>'QTR Raw'!G34</f>
        <v>0</v>
      </c>
      <c r="AN53" s="75">
        <f>'QTR Raw'!H34</f>
        <v>0</v>
      </c>
      <c r="AO53" s="75">
        <f>'QTR Raw'!I34</f>
        <v>0</v>
      </c>
      <c r="AP53" s="75">
        <f>'QTR Raw'!J34</f>
        <v>0</v>
      </c>
      <c r="AQ53" s="75">
        <f>'QTR Raw'!K34</f>
        <v>0</v>
      </c>
      <c r="AR53" s="75">
        <f>'QTR Raw'!L34</f>
        <v>0</v>
      </c>
      <c r="AS53" s="75">
        <f>'QTR Raw'!M34</f>
        <v>0</v>
      </c>
      <c r="AT53" s="75">
        <f>'QTR Raw'!N34</f>
        <v>0</v>
      </c>
      <c r="AU53" s="75">
        <f>'QTR Raw'!O34</f>
        <v>0</v>
      </c>
      <c r="AV53" s="75">
        <f>'QTR Raw'!P34</f>
        <v>0</v>
      </c>
      <c r="AW53" s="75">
        <f>'QTR Raw'!Q34</f>
        <v>0</v>
      </c>
      <c r="AX53" s="75">
        <f>'QTR Raw'!R34</f>
        <v>0</v>
      </c>
      <c r="AY53" s="75">
        <f>'QTR Raw'!S34</f>
        <v>0</v>
      </c>
      <c r="AZ53" s="75">
        <f>'QTR Raw'!T34</f>
        <v>0</v>
      </c>
      <c r="BA53" s="75">
        <f>'QTR Raw'!U34</f>
        <v>0</v>
      </c>
      <c r="BB53" s="75">
        <f>'QTR Raw'!V34</f>
        <v>0</v>
      </c>
      <c r="BC53" s="75">
        <f>'QTR Raw'!W34</f>
        <v>0</v>
      </c>
      <c r="BD53" s="75">
        <f>'QTR Raw'!X34</f>
        <v>0</v>
      </c>
      <c r="BE53" s="75">
        <f>'QTR Raw'!Y34</f>
        <v>0</v>
      </c>
      <c r="BF53" s="75">
        <f>'QTR Raw'!Z34</f>
        <v>0</v>
      </c>
      <c r="BG53" s="75">
        <f>'QTR Raw'!AA34</f>
        <v>0</v>
      </c>
      <c r="BH53" s="75">
        <f>'QTR Raw'!AB34</f>
        <v>0</v>
      </c>
      <c r="BI53" s="75">
        <f>'QTR Raw'!AC34</f>
        <v>0</v>
      </c>
      <c r="BJ53" s="75">
        <f>'QTR Raw'!AD34</f>
        <v>0</v>
      </c>
      <c r="BK53" s="75">
        <f>'QTR Raw'!AE34</f>
        <v>0</v>
      </c>
      <c r="BL53" s="75">
        <f>'QTR Raw'!AF34</f>
        <v>0</v>
      </c>
      <c r="BM53" s="75">
        <f>'QTR Raw'!AG34</f>
        <v>0</v>
      </c>
      <c r="BN53" s="75">
        <f>'QTR Raw'!AH34</f>
        <v>0</v>
      </c>
      <c r="BO53" s="75">
        <f>'QTR Raw'!AI34</f>
        <v>0</v>
      </c>
      <c r="BP53" s="75">
        <f>'QTR Raw'!AJ34</f>
        <v>0</v>
      </c>
      <c r="BQ53" s="75">
        <f>'QTR Raw'!AK34</f>
        <v>0</v>
      </c>
      <c r="BR53" s="75">
        <f>'QTR Raw'!AL34</f>
        <v>0</v>
      </c>
      <c r="BS53" s="75">
        <f>'QTR Raw'!AM34</f>
        <v>0</v>
      </c>
      <c r="BT53" s="75">
        <f>'QTR Raw'!AN34</f>
        <v>0</v>
      </c>
      <c r="BU53" s="75">
        <f>'QTR Raw'!AO34</f>
        <v>0</v>
      </c>
      <c r="BV53" s="75">
        <f>'QTR Raw'!AP34</f>
        <v>0</v>
      </c>
      <c r="BW53" s="75">
        <f>'QTR Raw'!AQ34</f>
        <v>0</v>
      </c>
      <c r="BX53" s="75">
        <f>'QTR Raw'!AR34</f>
        <v>0</v>
      </c>
      <c r="BY53" s="75">
        <f>'QTR Raw'!AS34</f>
        <v>0</v>
      </c>
      <c r="BZ53" s="75">
        <f>'QTR Raw'!AT34</f>
        <v>0</v>
      </c>
      <c r="CA53" s="75">
        <f>'QTR Raw'!AU34</f>
        <v>0</v>
      </c>
      <c r="CB53" s="75">
        <f>'QTR Raw'!AV34</f>
        <v>0</v>
      </c>
      <c r="CC53" s="75">
        <f>'QTR Raw'!AW34</f>
        <v>0</v>
      </c>
      <c r="CD53" s="75">
        <f>'QTR Raw'!AX34</f>
        <v>0</v>
      </c>
      <c r="CE53" s="75">
        <f>'QTR Raw'!AY34</f>
        <v>0</v>
      </c>
      <c r="CF53" s="75">
        <f>'QTR Raw'!AZ34</f>
        <v>0</v>
      </c>
      <c r="CG53" s="75">
        <f>'QTR Raw'!BA34</f>
        <v>0</v>
      </c>
      <c r="CH53" s="75">
        <f>'QTR Raw'!BB34</f>
        <v>0</v>
      </c>
      <c r="CI53" s="75">
        <f>'QTR Raw'!BC34</f>
        <v>0</v>
      </c>
      <c r="CJ53" s="75">
        <f>'QTR Raw'!BD34</f>
        <v>0</v>
      </c>
      <c r="CK53" s="75">
        <f>'QTR Raw'!BE34</f>
        <v>0</v>
      </c>
      <c r="CL53" s="75">
        <f>'QTR Raw'!BF34</f>
        <v>0</v>
      </c>
      <c r="CM53" s="76">
        <f t="shared" ref="CM53:CM54" si="687">+CL53</f>
        <v>0</v>
      </c>
      <c r="CN53" s="76">
        <f t="shared" ref="CN53:CN54" si="688">+CM53</f>
        <v>0</v>
      </c>
      <c r="CO53" s="76">
        <f t="shared" ref="CO53:CO54" si="689">+CN53</f>
        <v>0</v>
      </c>
      <c r="CP53" s="76">
        <f t="shared" ref="CP53:CP54" si="690">+CO53</f>
        <v>0</v>
      </c>
      <c r="CQ53" s="76">
        <f t="shared" ref="CQ53:CQ54" si="691">+CP53</f>
        <v>0</v>
      </c>
      <c r="CR53" s="76">
        <f t="shared" ref="CR53:CR54" si="692">+CQ53</f>
        <v>0</v>
      </c>
      <c r="CS53" s="76">
        <f t="shared" ref="CS53:CS54" si="693">+CR53</f>
        <v>0</v>
      </c>
      <c r="CT53" s="76">
        <f t="shared" ref="CT53:CT54" si="694">+CS53</f>
        <v>0</v>
      </c>
      <c r="CU53" s="76">
        <f t="shared" ref="CU53:CU54" si="695">+CT53</f>
        <v>0</v>
      </c>
      <c r="CV53" s="76">
        <f t="shared" ref="CV53:CV54" si="696">+CU53</f>
        <v>0</v>
      </c>
      <c r="CW53" s="76">
        <f t="shared" ref="CW53:CW54" si="697">+CV53</f>
        <v>0</v>
      </c>
      <c r="CX53" s="76">
        <f t="shared" ref="CX53:CX54" si="698">+CW53</f>
        <v>0</v>
      </c>
      <c r="CY53" s="76">
        <f t="shared" ref="CY53:CY54" si="699">+CX53</f>
        <v>0</v>
      </c>
      <c r="CZ53" s="76">
        <f t="shared" ref="CZ53:CZ54" si="700">+CY53</f>
        <v>0</v>
      </c>
      <c r="DA53" s="76">
        <f t="shared" ref="DA53:DA54" si="701">+CZ53</f>
        <v>0</v>
      </c>
      <c r="DB53" s="76">
        <f t="shared" ref="DB53:DB54" si="702">+DA53</f>
        <v>0</v>
      </c>
      <c r="DE53" s="131"/>
      <c r="DF53" s="75">
        <v>0</v>
      </c>
    </row>
    <row r="54" spans="1:110" s="75" customFormat="1" x14ac:dyDescent="0.2">
      <c r="A54" s="23" t="s">
        <v>24</v>
      </c>
      <c r="B54" s="75">
        <f>'Annual Raw'!C33+'Annual Raw'!C28</f>
        <v>0</v>
      </c>
      <c r="C54" s="75">
        <f>'Annual Raw'!D33+'Annual Raw'!D28</f>
        <v>0</v>
      </c>
      <c r="D54" s="75">
        <f>'Annual Raw'!E33+'Annual Raw'!E28</f>
        <v>0</v>
      </c>
      <c r="E54" s="75">
        <f>'Annual Raw'!F33+'Annual Raw'!F28</f>
        <v>0</v>
      </c>
      <c r="F54" s="75">
        <f>'Annual Raw'!G33+'Annual Raw'!G28</f>
        <v>0</v>
      </c>
      <c r="G54" s="75">
        <f>'Annual Raw'!H33+'Annual Raw'!H28</f>
        <v>0</v>
      </c>
      <c r="H54" s="75">
        <f>'Annual Raw'!I33+'Annual Raw'!I28</f>
        <v>0</v>
      </c>
      <c r="I54" s="75">
        <f>'Annual Raw'!J33+'Annual Raw'!J28</f>
        <v>0</v>
      </c>
      <c r="J54" s="75">
        <f>'Annual Raw'!K33+'Annual Raw'!K28</f>
        <v>0</v>
      </c>
      <c r="K54" s="75">
        <f>'Annual Raw'!L33+'Annual Raw'!L28</f>
        <v>0</v>
      </c>
      <c r="L54" s="75">
        <f>'Annual Raw'!M33+'Annual Raw'!M28</f>
        <v>0</v>
      </c>
      <c r="M54" s="75">
        <f>'Annual Raw'!N33+'Annual Raw'!N28</f>
        <v>-4.1174999999999997</v>
      </c>
      <c r="N54" s="75">
        <f>'Annual Raw'!O33+'Annual Raw'!O28</f>
        <v>-1.0654999999999999</v>
      </c>
      <c r="O54" s="75">
        <f>'Annual Raw'!P33+'Annual Raw'!P28</f>
        <v>0</v>
      </c>
      <c r="P54" s="75">
        <f>'Annual Raw'!Q33+'Annual Raw'!Q28</f>
        <v>0</v>
      </c>
      <c r="Q54" s="75">
        <f>'Annual Raw'!R33+'Annual Raw'!R28</f>
        <v>0</v>
      </c>
      <c r="R54" s="75">
        <f>'Annual Raw'!S33+'Annual Raw'!S28</f>
        <v>0</v>
      </c>
      <c r="S54" s="75">
        <f>'Annual Raw'!T33+'Annual Raw'!T28</f>
        <v>0</v>
      </c>
      <c r="T54" s="75">
        <f>'Annual Raw'!U33+'Annual Raw'!U28</f>
        <v>0</v>
      </c>
      <c r="U54" s="75">
        <f>'Annual Raw'!V33+'Annual Raw'!V28</f>
        <v>0</v>
      </c>
      <c r="V54" s="75">
        <f>'Annual Raw'!W33+'Annual Raw'!W28</f>
        <v>0</v>
      </c>
      <c r="W54" s="75">
        <f>'Annual Raw'!X33+'Annual Raw'!X28</f>
        <v>0</v>
      </c>
      <c r="X54" s="75">
        <f>'Annual Raw'!Y33+'Annual Raw'!Y28</f>
        <v>0</v>
      </c>
      <c r="Y54" s="75">
        <f>'Annual Raw'!Z33+'Annual Raw'!Z28</f>
        <v>0</v>
      </c>
      <c r="Z54" s="75">
        <f>'Annual Raw'!AA33+'Annual Raw'!AA28</f>
        <v>0</v>
      </c>
      <c r="AA54" s="75">
        <f>'Annual Raw'!AB33+'Annual Raw'!AB28</f>
        <v>0</v>
      </c>
      <c r="AB54" s="76">
        <f t="shared" si="683"/>
        <v>0</v>
      </c>
      <c r="AC54" s="76">
        <f t="shared" si="684"/>
        <v>0</v>
      </c>
      <c r="AD54" s="76">
        <f t="shared" si="685"/>
        <v>0</v>
      </c>
      <c r="AE54" s="76">
        <f t="shared" si="686"/>
        <v>0</v>
      </c>
      <c r="AI54" s="75">
        <f>'QTR Raw'!C35</f>
        <v>-1.0660000000000001</v>
      </c>
      <c r="AJ54" s="75">
        <f>'QTR Raw'!D35</f>
        <v>0</v>
      </c>
      <c r="AK54" s="75">
        <f>'QTR Raw'!E35</f>
        <v>0</v>
      </c>
      <c r="AL54" s="75">
        <f>'QTR Raw'!F35</f>
        <v>0</v>
      </c>
      <c r="AM54" s="75">
        <f>'QTR Raw'!G35</f>
        <v>0</v>
      </c>
      <c r="AN54" s="75">
        <f>'QTR Raw'!H35</f>
        <v>0</v>
      </c>
      <c r="AO54" s="75">
        <f>'QTR Raw'!I35</f>
        <v>0</v>
      </c>
      <c r="AP54" s="75">
        <f>'QTR Raw'!J35</f>
        <v>0</v>
      </c>
      <c r="AQ54" s="75">
        <f>'QTR Raw'!K35</f>
        <v>0</v>
      </c>
      <c r="AR54" s="75">
        <f>'QTR Raw'!L35</f>
        <v>0</v>
      </c>
      <c r="AS54" s="75">
        <f>'QTR Raw'!M35</f>
        <v>0</v>
      </c>
      <c r="AT54" s="75">
        <f>'QTR Raw'!N35</f>
        <v>0</v>
      </c>
      <c r="AU54" s="75">
        <f>'QTR Raw'!O35</f>
        <v>0</v>
      </c>
      <c r="AV54" s="75">
        <f>'QTR Raw'!P35</f>
        <v>0</v>
      </c>
      <c r="AW54" s="75">
        <f>'QTR Raw'!Q35</f>
        <v>0</v>
      </c>
      <c r="AX54" s="75">
        <f>'QTR Raw'!R35</f>
        <v>0</v>
      </c>
      <c r="AY54" s="75">
        <f>'QTR Raw'!S35</f>
        <v>0</v>
      </c>
      <c r="AZ54" s="75">
        <f>'QTR Raw'!T35</f>
        <v>0</v>
      </c>
      <c r="BA54" s="75">
        <f>'QTR Raw'!U35</f>
        <v>0</v>
      </c>
      <c r="BB54" s="75">
        <f>'QTR Raw'!V35</f>
        <v>0</v>
      </c>
      <c r="BC54" s="75">
        <f>'QTR Raw'!W35</f>
        <v>0</v>
      </c>
      <c r="BD54" s="75">
        <f>'QTR Raw'!X35</f>
        <v>0</v>
      </c>
      <c r="BE54" s="75">
        <f>'QTR Raw'!Y35</f>
        <v>0</v>
      </c>
      <c r="BF54" s="75">
        <f>'QTR Raw'!Z35</f>
        <v>0</v>
      </c>
      <c r="BG54" s="75">
        <f>'QTR Raw'!AA35</f>
        <v>0</v>
      </c>
      <c r="BH54" s="75">
        <f>'QTR Raw'!AB35</f>
        <v>0</v>
      </c>
      <c r="BI54" s="75">
        <f>'QTR Raw'!AC35</f>
        <v>0</v>
      </c>
      <c r="BJ54" s="75">
        <f>'QTR Raw'!AD35</f>
        <v>0</v>
      </c>
      <c r="BK54" s="75">
        <f>'QTR Raw'!AE35</f>
        <v>0</v>
      </c>
      <c r="BL54" s="75">
        <f>'QTR Raw'!AF35</f>
        <v>0</v>
      </c>
      <c r="BM54" s="75">
        <f>'QTR Raw'!AG35</f>
        <v>0</v>
      </c>
      <c r="BN54" s="75">
        <f>'QTR Raw'!AH35</f>
        <v>0</v>
      </c>
      <c r="BO54" s="75">
        <f>'QTR Raw'!AI35</f>
        <v>0</v>
      </c>
      <c r="BP54" s="75">
        <f>'QTR Raw'!AJ35</f>
        <v>0</v>
      </c>
      <c r="BQ54" s="75">
        <f>'QTR Raw'!AK35</f>
        <v>0</v>
      </c>
      <c r="BR54" s="75">
        <f>'QTR Raw'!AL35</f>
        <v>0</v>
      </c>
      <c r="BS54" s="75">
        <f>'QTR Raw'!AM35</f>
        <v>0</v>
      </c>
      <c r="BT54" s="75">
        <f>'QTR Raw'!AN35</f>
        <v>0</v>
      </c>
      <c r="BU54" s="75">
        <f>'QTR Raw'!AO35</f>
        <v>0</v>
      </c>
      <c r="BV54" s="75">
        <f>'QTR Raw'!AP35</f>
        <v>0</v>
      </c>
      <c r="BW54" s="75">
        <f>'QTR Raw'!AQ35</f>
        <v>0</v>
      </c>
      <c r="BX54" s="75">
        <f>'QTR Raw'!AR35</f>
        <v>0</v>
      </c>
      <c r="BY54" s="75">
        <f>'QTR Raw'!AS35</f>
        <v>0</v>
      </c>
      <c r="BZ54" s="75">
        <f>'QTR Raw'!AT35</f>
        <v>0</v>
      </c>
      <c r="CA54" s="75">
        <f>'QTR Raw'!AU35</f>
        <v>0</v>
      </c>
      <c r="CB54" s="75">
        <f>'QTR Raw'!AV35</f>
        <v>0</v>
      </c>
      <c r="CC54" s="75">
        <f>'QTR Raw'!AW35</f>
        <v>0</v>
      </c>
      <c r="CD54" s="75">
        <f>'QTR Raw'!AX35</f>
        <v>0</v>
      </c>
      <c r="CE54" s="75">
        <f>'QTR Raw'!AY35</f>
        <v>0</v>
      </c>
      <c r="CF54" s="75">
        <f>'QTR Raw'!AZ35</f>
        <v>0</v>
      </c>
      <c r="CG54" s="75">
        <f>'QTR Raw'!BA35</f>
        <v>0</v>
      </c>
      <c r="CH54" s="75">
        <f>'QTR Raw'!BB35</f>
        <v>0</v>
      </c>
      <c r="CI54" s="75">
        <f>'QTR Raw'!BC35</f>
        <v>0</v>
      </c>
      <c r="CJ54" s="75">
        <f>'QTR Raw'!BD35</f>
        <v>0</v>
      </c>
      <c r="CK54" s="75">
        <f>'QTR Raw'!BE35</f>
        <v>0</v>
      </c>
      <c r="CL54" s="75">
        <f>'QTR Raw'!BF35</f>
        <v>0</v>
      </c>
      <c r="CM54" s="76">
        <f t="shared" si="687"/>
        <v>0</v>
      </c>
      <c r="CN54" s="76">
        <f t="shared" si="688"/>
        <v>0</v>
      </c>
      <c r="CO54" s="76">
        <f t="shared" si="689"/>
        <v>0</v>
      </c>
      <c r="CP54" s="76">
        <f t="shared" si="690"/>
        <v>0</v>
      </c>
      <c r="CQ54" s="76">
        <f t="shared" si="691"/>
        <v>0</v>
      </c>
      <c r="CR54" s="76">
        <f t="shared" si="692"/>
        <v>0</v>
      </c>
      <c r="CS54" s="76">
        <f t="shared" si="693"/>
        <v>0</v>
      </c>
      <c r="CT54" s="76">
        <f t="shared" si="694"/>
        <v>0</v>
      </c>
      <c r="CU54" s="76">
        <f t="shared" si="695"/>
        <v>0</v>
      </c>
      <c r="CV54" s="76">
        <f t="shared" si="696"/>
        <v>0</v>
      </c>
      <c r="CW54" s="76">
        <f t="shared" si="697"/>
        <v>0</v>
      </c>
      <c r="CX54" s="76">
        <f t="shared" si="698"/>
        <v>0</v>
      </c>
      <c r="CY54" s="76">
        <f t="shared" si="699"/>
        <v>0</v>
      </c>
      <c r="CZ54" s="76">
        <f t="shared" si="700"/>
        <v>0</v>
      </c>
      <c r="DA54" s="76">
        <f t="shared" si="701"/>
        <v>0</v>
      </c>
      <c r="DB54" s="76">
        <f t="shared" si="702"/>
        <v>0</v>
      </c>
      <c r="DE54" s="131"/>
      <c r="DF54" s="75">
        <v>0</v>
      </c>
    </row>
    <row r="55" spans="1:110" s="23" customFormat="1" x14ac:dyDescent="0.2">
      <c r="A55" s="23" t="s">
        <v>19</v>
      </c>
      <c r="B55" s="75">
        <f>'Annual Raw'!C29+'Annual Raw'!C31+'Annual Raw'!C34+'Annual Raw'!C36</f>
        <v>0</v>
      </c>
      <c r="C55" s="75">
        <f>'Annual Raw'!D29+'Annual Raw'!D31+'Annual Raw'!D34+'Annual Raw'!D36</f>
        <v>0</v>
      </c>
      <c r="D55" s="75">
        <f>'Annual Raw'!E29+'Annual Raw'!E31+'Annual Raw'!E34+'Annual Raw'!E36</f>
        <v>0</v>
      </c>
      <c r="E55" s="75">
        <f>'Annual Raw'!F29+'Annual Raw'!F31+'Annual Raw'!F34+'Annual Raw'!F36</f>
        <v>0</v>
      </c>
      <c r="F55" s="75">
        <f>'Annual Raw'!G29+'Annual Raw'!G31+'Annual Raw'!G34+'Annual Raw'!G36</f>
        <v>0</v>
      </c>
      <c r="G55" s="75">
        <f>'Annual Raw'!H29+'Annual Raw'!H31+'Annual Raw'!H34+'Annual Raw'!H36</f>
        <v>0</v>
      </c>
      <c r="H55" s="75">
        <f>'Annual Raw'!I29+'Annual Raw'!I31+'Annual Raw'!I34+'Annual Raw'!I36</f>
        <v>0</v>
      </c>
      <c r="I55" s="75">
        <f>'Annual Raw'!J29+'Annual Raw'!J31+'Annual Raw'!J34+'Annual Raw'!J36</f>
        <v>0</v>
      </c>
      <c r="J55" s="75">
        <f>'Annual Raw'!K29+'Annual Raw'!K31+'Annual Raw'!K34+'Annual Raw'!K36</f>
        <v>0</v>
      </c>
      <c r="K55" s="75">
        <f>'Annual Raw'!L29+'Annual Raw'!L31+'Annual Raw'!L34+'Annual Raw'!L36</f>
        <v>0</v>
      </c>
      <c r="L55" s="75">
        <f>'Annual Raw'!M29+'Annual Raw'!M31+'Annual Raw'!M34+'Annual Raw'!M36</f>
        <v>0</v>
      </c>
      <c r="M55" s="75">
        <f>'Annual Raw'!N29+'Annual Raw'!N31+'Annual Raw'!N34+'Annual Raw'!N36</f>
        <v>0</v>
      </c>
      <c r="N55" s="75">
        <f>'Annual Raw'!O29+'Annual Raw'!O31+'Annual Raw'!O34+'Annual Raw'!O36</f>
        <v>-15.8957</v>
      </c>
      <c r="O55" s="75">
        <f>'Annual Raw'!P29+'Annual Raw'!P31+'Annual Raw'!P34+'Annual Raw'!P36</f>
        <v>0</v>
      </c>
      <c r="P55" s="75">
        <f>'Annual Raw'!Q29+'Annual Raw'!Q31+'Annual Raw'!Q34+'Annual Raw'!Q36</f>
        <v>0</v>
      </c>
      <c r="Q55" s="75">
        <f>'Annual Raw'!R29+'Annual Raw'!R31+'Annual Raw'!R34+'Annual Raw'!R36</f>
        <v>0</v>
      </c>
      <c r="R55" s="75">
        <f>'Annual Raw'!S29+'Annual Raw'!S31+'Annual Raw'!S34+'Annual Raw'!S36</f>
        <v>0</v>
      </c>
      <c r="S55" s="75">
        <f>'Annual Raw'!T29+'Annual Raw'!T31+'Annual Raw'!T34+'Annual Raw'!T36</f>
        <v>0</v>
      </c>
      <c r="T55" s="75">
        <f>'Annual Raw'!U29+'Annual Raw'!U31+'Annual Raw'!U34+'Annual Raw'!U36</f>
        <v>0</v>
      </c>
      <c r="U55" s="75">
        <f>'Annual Raw'!V29+'Annual Raw'!V31+'Annual Raw'!V34+'Annual Raw'!V36</f>
        <v>0</v>
      </c>
      <c r="V55" s="75">
        <f>'Annual Raw'!W29+'Annual Raw'!W31+'Annual Raw'!W34+'Annual Raw'!W36</f>
        <v>0</v>
      </c>
      <c r="W55" s="75">
        <f>'Annual Raw'!X29+'Annual Raw'!X31+'Annual Raw'!X34+'Annual Raw'!X36</f>
        <v>0</v>
      </c>
      <c r="X55" s="75">
        <f>'Annual Raw'!Y29+'Annual Raw'!Y31+'Annual Raw'!Y34+'Annual Raw'!Y36</f>
        <v>0</v>
      </c>
      <c r="Y55" s="75">
        <f>'Annual Raw'!Z29+'Annual Raw'!Z31+'Annual Raw'!Z34+'Annual Raw'!Z36</f>
        <v>0</v>
      </c>
      <c r="Z55" s="75">
        <f>'Annual Raw'!AA29+'Annual Raw'!AA31+'Annual Raw'!AA34+'Annual Raw'!AA36</f>
        <v>0</v>
      </c>
      <c r="AA55" s="75">
        <f>'Annual Raw'!AB29+'Annual Raw'!AB31+'Annual Raw'!AB34+'Annual Raw'!AB36</f>
        <v>-95.688800000000001</v>
      </c>
      <c r="AB55" s="76">
        <f>+SUM(CM55:CP55)</f>
        <v>0</v>
      </c>
      <c r="AC55" s="76">
        <f>+SUM(CQ55:CT55)</f>
        <v>0</v>
      </c>
      <c r="AD55" s="76">
        <f>+SUM(CU55:CX55)</f>
        <v>0</v>
      </c>
      <c r="AE55" s="76">
        <f>+SUM(CY55:DB55)</f>
        <v>0</v>
      </c>
      <c r="AI55" s="75">
        <f>'QTR Raw'!C26+'QTR Raw'!C31+'QTR Raw'!C32+'QTR Raw'!C33+'QTR Raw'!C36+'QTR Raw'!C37+'QTR Raw'!C39</f>
        <v>-7.3849999999999998</v>
      </c>
      <c r="AJ55" s="75">
        <f>'QTR Raw'!D26+'QTR Raw'!D31+'QTR Raw'!D32+'QTR Raw'!D33+'QTR Raw'!D36+'QTR Raw'!D37+'QTR Raw'!D39</f>
        <v>-8.5109999999999992</v>
      </c>
      <c r="AK55" s="75">
        <f>'QTR Raw'!E26+'QTR Raw'!E31+'QTR Raw'!E32+'QTR Raw'!E33+'QTR Raw'!E36+'QTR Raw'!E37+'QTR Raw'!E39</f>
        <v>0</v>
      </c>
      <c r="AL55" s="75">
        <f>'QTR Raw'!F26+'QTR Raw'!F31+'QTR Raw'!F32+'QTR Raw'!F33+'QTR Raw'!F36+'QTR Raw'!F37+'QTR Raw'!F39</f>
        <v>0</v>
      </c>
      <c r="AM55" s="75">
        <f>'QTR Raw'!G26+'QTR Raw'!G31+'QTR Raw'!G32+'QTR Raw'!G33+'QTR Raw'!G36+'QTR Raw'!G37+'QTR Raw'!G39</f>
        <v>0</v>
      </c>
      <c r="AN55" s="75">
        <f>'QTR Raw'!H26+'QTR Raw'!H31+'QTR Raw'!H32+'QTR Raw'!H33+'QTR Raw'!H36+'QTR Raw'!H37+'QTR Raw'!H39</f>
        <v>0</v>
      </c>
      <c r="AO55" s="75">
        <f>'QTR Raw'!I26+'QTR Raw'!I31+'QTR Raw'!I32+'QTR Raw'!I33+'QTR Raw'!I36+'QTR Raw'!I37+'QTR Raw'!I39</f>
        <v>0</v>
      </c>
      <c r="AP55" s="75">
        <f>'QTR Raw'!J26+'QTR Raw'!J31+'QTR Raw'!J32+'QTR Raw'!J33+'QTR Raw'!J36+'QTR Raw'!J37+'QTR Raw'!J39</f>
        <v>0</v>
      </c>
      <c r="AQ55" s="75">
        <f>'QTR Raw'!K26+'QTR Raw'!K31+'QTR Raw'!K32+'QTR Raw'!K33+'QTR Raw'!K36+'QTR Raw'!K37+'QTR Raw'!K39</f>
        <v>0</v>
      </c>
      <c r="AR55" s="75">
        <f>'QTR Raw'!L26+'QTR Raw'!L31+'QTR Raw'!L32+'QTR Raw'!L33+'QTR Raw'!L36+'QTR Raw'!L37+'QTR Raw'!L39</f>
        <v>0</v>
      </c>
      <c r="AS55" s="75">
        <f>'QTR Raw'!M26+'QTR Raw'!M31+'QTR Raw'!M32+'QTR Raw'!M33+'QTR Raw'!M36+'QTR Raw'!M37+'QTR Raw'!M39</f>
        <v>0</v>
      </c>
      <c r="AT55" s="75">
        <f>'QTR Raw'!N26+'QTR Raw'!N31+'QTR Raw'!N32+'QTR Raw'!N33+'QTR Raw'!N36+'QTR Raw'!N37+'QTR Raw'!N39</f>
        <v>0</v>
      </c>
      <c r="AU55" s="75">
        <f>'QTR Raw'!O26+'QTR Raw'!O31+'QTR Raw'!O32+'QTR Raw'!O33+'QTR Raw'!O36+'QTR Raw'!O37+'QTR Raw'!O39</f>
        <v>0</v>
      </c>
      <c r="AV55" s="75">
        <f>'QTR Raw'!P26+'QTR Raw'!P31+'QTR Raw'!P32+'QTR Raw'!P33+'QTR Raw'!P36+'QTR Raw'!P37+'QTR Raw'!P39</f>
        <v>0</v>
      </c>
      <c r="AW55" s="75">
        <f>'QTR Raw'!Q26+'QTR Raw'!Q31+'QTR Raw'!Q32+'QTR Raw'!Q33+'QTR Raw'!Q36+'QTR Raw'!Q37+'QTR Raw'!Q39</f>
        <v>0</v>
      </c>
      <c r="AX55" s="75">
        <f>'QTR Raw'!R26+'QTR Raw'!R31+'QTR Raw'!R32+'QTR Raw'!R33+'QTR Raw'!R36+'QTR Raw'!R37+'QTR Raw'!R39</f>
        <v>0</v>
      </c>
      <c r="AY55" s="75">
        <f>'QTR Raw'!S26+'QTR Raw'!S31+'QTR Raw'!S32+'QTR Raw'!S33+'QTR Raw'!S36+'QTR Raw'!S37+'QTR Raw'!S39</f>
        <v>0</v>
      </c>
      <c r="AZ55" s="75">
        <f>'QTR Raw'!T26+'QTR Raw'!T31+'QTR Raw'!T32+'QTR Raw'!T33+'QTR Raw'!T36+'QTR Raw'!T37+'QTR Raw'!T39</f>
        <v>0</v>
      </c>
      <c r="BA55" s="75">
        <f>'QTR Raw'!U26+'QTR Raw'!U31+'QTR Raw'!U32+'QTR Raw'!U33+'QTR Raw'!U36+'QTR Raw'!U37+'QTR Raw'!U39</f>
        <v>0</v>
      </c>
      <c r="BB55" s="75">
        <f>'QTR Raw'!V26+'QTR Raw'!V31+'QTR Raw'!V32+'QTR Raw'!V33+'QTR Raw'!V36+'QTR Raw'!V37+'QTR Raw'!V39</f>
        <v>0</v>
      </c>
      <c r="BC55" s="75">
        <f>'QTR Raw'!W26+'QTR Raw'!W31+'QTR Raw'!W32+'QTR Raw'!W33+'QTR Raw'!W36+'QTR Raw'!W37+'QTR Raw'!W39</f>
        <v>0</v>
      </c>
      <c r="BD55" s="75">
        <f>'QTR Raw'!X26+'QTR Raw'!X31+'QTR Raw'!X32+'QTR Raw'!X33+'QTR Raw'!X36+'QTR Raw'!X37+'QTR Raw'!X39</f>
        <v>0</v>
      </c>
      <c r="BE55" s="75">
        <f>'QTR Raw'!Y26+'QTR Raw'!Y31+'QTR Raw'!Y32+'QTR Raw'!Y33+'QTR Raw'!Y36+'QTR Raw'!Y37+'QTR Raw'!Y39</f>
        <v>0</v>
      </c>
      <c r="BF55" s="75">
        <f>'QTR Raw'!Z26+'QTR Raw'!Z31+'QTR Raw'!Z32+'QTR Raw'!Z33+'QTR Raw'!Z36+'QTR Raw'!Z37+'QTR Raw'!Z39</f>
        <v>0</v>
      </c>
      <c r="BG55" s="75">
        <f>'QTR Raw'!AA26+'QTR Raw'!AA31+'QTR Raw'!AA32+'QTR Raw'!AA33+'QTR Raw'!AA36+'QTR Raw'!AA37+'QTR Raw'!AA39</f>
        <v>0</v>
      </c>
      <c r="BH55" s="75">
        <f>'QTR Raw'!AB26+'QTR Raw'!AB31+'QTR Raw'!AB32+'QTR Raw'!AB33+'QTR Raw'!AB36+'QTR Raw'!AB37+'QTR Raw'!AB39</f>
        <v>0</v>
      </c>
      <c r="BI55" s="75">
        <f>'QTR Raw'!AC26+'QTR Raw'!AC31+'QTR Raw'!AC32+'QTR Raw'!AC33+'QTR Raw'!AC36+'QTR Raw'!AC37+'QTR Raw'!AC39</f>
        <v>0</v>
      </c>
      <c r="BJ55" s="75">
        <f>'QTR Raw'!AD26+'QTR Raw'!AD31+'QTR Raw'!AD32+'QTR Raw'!AD33+'QTR Raw'!AD36+'QTR Raw'!AD37+'QTR Raw'!AD39</f>
        <v>0</v>
      </c>
      <c r="BK55" s="75">
        <f>'QTR Raw'!AE26+'QTR Raw'!AE31+'QTR Raw'!AE32+'QTR Raw'!AE33+'QTR Raw'!AE36+'QTR Raw'!AE37+'QTR Raw'!AE39</f>
        <v>0</v>
      </c>
      <c r="BL55" s="75">
        <f>'QTR Raw'!AF26+'QTR Raw'!AF31+'QTR Raw'!AF32+'QTR Raw'!AF33+'QTR Raw'!AF36+'QTR Raw'!AF37+'QTR Raw'!AF39</f>
        <v>0</v>
      </c>
      <c r="BM55" s="75">
        <f>'QTR Raw'!AG26+'QTR Raw'!AG31+'QTR Raw'!AG32+'QTR Raw'!AG33+'QTR Raw'!AG36+'QTR Raw'!AG37+'QTR Raw'!AG39</f>
        <v>0</v>
      </c>
      <c r="BN55" s="75">
        <f>'QTR Raw'!AH26+'QTR Raw'!AH31+'QTR Raw'!AH32+'QTR Raw'!AH33+'QTR Raw'!AH36+'QTR Raw'!AH37+'QTR Raw'!AH39</f>
        <v>0</v>
      </c>
      <c r="BO55" s="75">
        <f>'QTR Raw'!AI26+'QTR Raw'!AI31+'QTR Raw'!AI32+'QTR Raw'!AI33+'QTR Raw'!AI36+'QTR Raw'!AI37+'QTR Raw'!AI39</f>
        <v>0</v>
      </c>
      <c r="BP55" s="75">
        <f>'QTR Raw'!AJ26+'QTR Raw'!AJ31+'QTR Raw'!AJ32+'QTR Raw'!AJ33+'QTR Raw'!AJ36+'QTR Raw'!AJ37+'QTR Raw'!AJ39</f>
        <v>0</v>
      </c>
      <c r="BQ55" s="75">
        <f>'QTR Raw'!AK26+'QTR Raw'!AK31+'QTR Raw'!AK32+'QTR Raw'!AK33+'QTR Raw'!AK36+'QTR Raw'!AK37+'QTR Raw'!AK39</f>
        <v>0</v>
      </c>
      <c r="BR55" s="75">
        <f>'QTR Raw'!AL26+'QTR Raw'!AL31+'QTR Raw'!AL32+'QTR Raw'!AL33+'QTR Raw'!AL36+'QTR Raw'!AL37+'QTR Raw'!AL39</f>
        <v>0</v>
      </c>
      <c r="BS55" s="75">
        <f>'QTR Raw'!AM26+'QTR Raw'!AM31+'QTR Raw'!AM32+'QTR Raw'!AM33+'QTR Raw'!AM36+'QTR Raw'!AM37+'QTR Raw'!AM39</f>
        <v>0</v>
      </c>
      <c r="BT55" s="75">
        <f>'QTR Raw'!AN26+'QTR Raw'!AN31+'QTR Raw'!AN32+'QTR Raw'!AN33+'QTR Raw'!AN36+'QTR Raw'!AN37+'QTR Raw'!AN39</f>
        <v>0</v>
      </c>
      <c r="BU55" s="75">
        <f>'QTR Raw'!AO26+'QTR Raw'!AO31+'QTR Raw'!AO32+'QTR Raw'!AO33+'QTR Raw'!AO36+'QTR Raw'!AO37+'QTR Raw'!AO39</f>
        <v>0</v>
      </c>
      <c r="BV55" s="75">
        <f>'QTR Raw'!AP26+'QTR Raw'!AP31+'QTR Raw'!AP32+'QTR Raw'!AP33+'QTR Raw'!AP36+'QTR Raw'!AP37+'QTR Raw'!AP39</f>
        <v>0</v>
      </c>
      <c r="BW55" s="75">
        <f>'QTR Raw'!AQ26+'QTR Raw'!AQ31+'QTR Raw'!AQ32+'QTR Raw'!AQ33+'QTR Raw'!AQ36+'QTR Raw'!AQ37+'QTR Raw'!AQ39</f>
        <v>0</v>
      </c>
      <c r="BX55" s="75">
        <f>'QTR Raw'!AR26+'QTR Raw'!AR31+'QTR Raw'!AR32+'QTR Raw'!AR33+'QTR Raw'!AR36+'QTR Raw'!AR37+'QTR Raw'!AR39</f>
        <v>0</v>
      </c>
      <c r="BY55" s="75">
        <f>'QTR Raw'!AS26+'QTR Raw'!AS31+'QTR Raw'!AS32+'QTR Raw'!AS33+'QTR Raw'!AS36+'QTR Raw'!AS37+'QTR Raw'!AS39</f>
        <v>0</v>
      </c>
      <c r="BZ55" s="75">
        <f>'QTR Raw'!AT26+'QTR Raw'!AT31+'QTR Raw'!AT32+'QTR Raw'!AT33+'QTR Raw'!AT36+'QTR Raw'!AT37+'QTR Raw'!AT39</f>
        <v>0</v>
      </c>
      <c r="CA55" s="75">
        <f>'QTR Raw'!AU26+'QTR Raw'!AU31+'QTR Raw'!AU32+'QTR Raw'!AU33+'QTR Raw'!AU36+'QTR Raw'!AU37+'QTR Raw'!AU39</f>
        <v>0</v>
      </c>
      <c r="CB55" s="75">
        <f>'QTR Raw'!AV26+'QTR Raw'!AV31+'QTR Raw'!AV32+'QTR Raw'!AV33+'QTR Raw'!AV36+'QTR Raw'!AV37+'QTR Raw'!AV39</f>
        <v>0</v>
      </c>
      <c r="CC55" s="75">
        <f>'QTR Raw'!AW26+'QTR Raw'!AW31+'QTR Raw'!AW32+'QTR Raw'!AW33+'QTR Raw'!AW36+'QTR Raw'!AW37+'QTR Raw'!AW39</f>
        <v>0</v>
      </c>
      <c r="CD55" s="75">
        <f>'QTR Raw'!AX26+'QTR Raw'!AX31+'QTR Raw'!AX32+'QTR Raw'!AX33+'QTR Raw'!AX36+'QTR Raw'!AX37+'QTR Raw'!AX39</f>
        <v>0</v>
      </c>
      <c r="CE55" s="75">
        <f>'QTR Raw'!AY26+'QTR Raw'!AY31+'QTR Raw'!AY32+'QTR Raw'!AY33+'QTR Raw'!AY36+'QTR Raw'!AY37+'QTR Raw'!AY39</f>
        <v>0</v>
      </c>
      <c r="CF55" s="75">
        <f>'QTR Raw'!AZ26+'QTR Raw'!AZ31+'QTR Raw'!AZ32+'QTR Raw'!AZ33+'QTR Raw'!AZ36+'QTR Raw'!AZ37+'QTR Raw'!AZ39</f>
        <v>0</v>
      </c>
      <c r="CG55" s="75">
        <f>'QTR Raw'!BA26+'QTR Raw'!BA31+'QTR Raw'!BA32+'QTR Raw'!BA33+'QTR Raw'!BA36+'QTR Raw'!BA37+'QTR Raw'!BA39</f>
        <v>0</v>
      </c>
      <c r="CH55" s="75">
        <f>'QTR Raw'!BB26+'QTR Raw'!BB31+'QTR Raw'!BB32+'QTR Raw'!BB33+'QTR Raw'!BB36+'QTR Raw'!BB37+'QTR Raw'!BB39</f>
        <v>0</v>
      </c>
      <c r="CI55" s="75">
        <f>'QTR Raw'!BC26+'QTR Raw'!BC31+'QTR Raw'!BC32+'QTR Raw'!BC33+'QTR Raw'!BC36+'QTR Raw'!BC37+'QTR Raw'!BC39</f>
        <v>0</v>
      </c>
      <c r="CJ55" s="75">
        <f>'QTR Raw'!BD26+'QTR Raw'!BD31+'QTR Raw'!BD32+'QTR Raw'!BD33+'QTR Raw'!BD36+'QTR Raw'!BD37+'QTR Raw'!BD39</f>
        <v>0</v>
      </c>
      <c r="CK55" s="75">
        <f>'QTR Raw'!BE26+'QTR Raw'!BE31+'QTR Raw'!BE32+'QTR Raw'!BE33+'QTR Raw'!BE36+'QTR Raw'!BE37+'QTR Raw'!BE39</f>
        <v>-95.688999999999993</v>
      </c>
      <c r="CL55" s="75">
        <f>'QTR Raw'!BF26+'QTR Raw'!BF31+'QTR Raw'!BF32+'QTR Raw'!BF33+'QTR Raw'!BF36+'QTR Raw'!BF37+'QTR Raw'!BF39</f>
        <v>0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-95.688999999999993</v>
      </c>
    </row>
    <row r="56" spans="1:110" s="26" customFormat="1" x14ac:dyDescent="0.2">
      <c r="A56" s="35" t="s">
        <v>25</v>
      </c>
      <c r="B56" s="26">
        <f>B49+B53+B54+B55</f>
        <v>13.863999999999979</v>
      </c>
      <c r="C56" s="26">
        <f>C49+C53+C54+C55</f>
        <v>16.749400000000001</v>
      </c>
      <c r="D56" s="26">
        <f>D49+D53+D54+D55</f>
        <v>11.686400000000008</v>
      </c>
      <c r="E56" s="26">
        <f t="shared" ref="E56:U56" si="703">E49+E53+E54+E55</f>
        <v>17.545800000000028</v>
      </c>
      <c r="F56" s="26">
        <f t="shared" si="703"/>
        <v>26.291400000000017</v>
      </c>
      <c r="G56" s="26">
        <f t="shared" si="703"/>
        <v>34.328399999999981</v>
      </c>
      <c r="H56" s="26">
        <f t="shared" si="703"/>
        <v>52.116900000000008</v>
      </c>
      <c r="I56" s="26">
        <f t="shared" si="703"/>
        <v>52.845700000000001</v>
      </c>
      <c r="J56" s="26">
        <f t="shared" si="703"/>
        <v>58.159199999999963</v>
      </c>
      <c r="K56" s="26">
        <f t="shared" si="703"/>
        <v>48.817100000000018</v>
      </c>
      <c r="L56" s="26">
        <f t="shared" si="703"/>
        <v>139.14800000000002</v>
      </c>
      <c r="M56" s="26">
        <f t="shared" si="703"/>
        <v>163.78909999999993</v>
      </c>
      <c r="N56" s="26">
        <f t="shared" si="703"/>
        <v>21.308199999999907</v>
      </c>
      <c r="O56" s="26">
        <f t="shared" si="703"/>
        <v>72.261899999999997</v>
      </c>
      <c r="P56" s="26">
        <f t="shared" si="703"/>
        <v>102.02090000000004</v>
      </c>
      <c r="Q56" s="26">
        <f t="shared" si="703"/>
        <v>154.81010000000015</v>
      </c>
      <c r="R56" s="26">
        <f t="shared" si="703"/>
        <v>174.78460000000007</v>
      </c>
      <c r="S56" s="26">
        <f t="shared" si="703"/>
        <v>240.03789999999975</v>
      </c>
      <c r="T56" s="26">
        <f t="shared" si="703"/>
        <v>289.96889999999985</v>
      </c>
      <c r="U56" s="26">
        <f t="shared" si="703"/>
        <v>256.1001</v>
      </c>
      <c r="V56" s="26">
        <f>V49+V53+V54+V55</f>
        <v>368.12190000000004</v>
      </c>
      <c r="W56" s="26">
        <f>W49+W53+W54+W55</f>
        <v>549.67149999999981</v>
      </c>
      <c r="X56" s="26">
        <f>X49+X53+X54+X55</f>
        <v>755.19319999999959</v>
      </c>
      <c r="Y56" s="26">
        <f>Y49+Y53+Y54+Y55</f>
        <v>792.23790000000008</v>
      </c>
      <c r="Z56" s="26">
        <f>Z49+Z53+Z54+Z55</f>
        <v>784.93679999999927</v>
      </c>
      <c r="AA56" s="26">
        <f>AA49+AA53+AA54+AA55</f>
        <v>628.43029999999976</v>
      </c>
      <c r="AB56" s="27">
        <f>AB49+AB53+AB54+AB55</f>
        <v>846.71046580919335</v>
      </c>
      <c r="AC56" s="27">
        <f t="shared" ref="AA56:AD56" si="704">AC49+AC53+AC54+AC55</f>
        <v>1012.9230342052643</v>
      </c>
      <c r="AD56" s="27">
        <f t="shared" si="704"/>
        <v>1129.3368240908994</v>
      </c>
      <c r="AE56" s="27">
        <f t="shared" ref="AE56" si="705">AE49+AE53+AE54+AE55</f>
        <v>1256.6129741687912</v>
      </c>
      <c r="AI56" s="26">
        <f t="shared" ref="AI56" si="706">AI49+AI53+AI54+AI55</f>
        <v>2.6130000000000102</v>
      </c>
      <c r="AJ56" s="26">
        <f t="shared" ref="AJ56" si="707">AJ49+AJ53+AJ54+AJ55</f>
        <v>1.8120000000000225</v>
      </c>
      <c r="AK56" s="26">
        <f t="shared" ref="AK56:AM56" si="708">AK49+AK53+AK54+AK55</f>
        <v>8.7480000000000011</v>
      </c>
      <c r="AL56" s="26">
        <f t="shared" si="708"/>
        <v>8.1349999999999874</v>
      </c>
      <c r="AM56" s="26">
        <f t="shared" si="708"/>
        <v>8.9269999999999641</v>
      </c>
      <c r="AN56" s="26">
        <f t="shared" ref="AN56:AO56" si="709">AN49+AN53+AN54+AN55</f>
        <v>19.929999999999986</v>
      </c>
      <c r="AO56" s="26">
        <f t="shared" si="709"/>
        <v>21.556999999999981</v>
      </c>
      <c r="AP56" s="26">
        <f t="shared" ref="AP56:CD56" si="710">AP49+AP53+AP54+AP55</f>
        <v>21.848999999999997</v>
      </c>
      <c r="AQ56" s="26">
        <f t="shared" si="710"/>
        <v>20.791999999999994</v>
      </c>
      <c r="AR56" s="26">
        <f t="shared" si="710"/>
        <v>23.637000000000011</v>
      </c>
      <c r="AS56" s="26">
        <f t="shared" si="710"/>
        <v>27.757999999999996</v>
      </c>
      <c r="AT56" s="26">
        <f t="shared" si="710"/>
        <v>29.834000000000024</v>
      </c>
      <c r="AU56" s="26">
        <f t="shared" si="710"/>
        <v>35.712000000000018</v>
      </c>
      <c r="AV56" s="26">
        <f t="shared" si="710"/>
        <v>38.099000000000004</v>
      </c>
      <c r="AW56" s="26">
        <f t="shared" si="710"/>
        <v>39.901000000000039</v>
      </c>
      <c r="AX56" s="26">
        <f t="shared" si="710"/>
        <v>41.08799999999998</v>
      </c>
      <c r="AY56" s="26">
        <f t="shared" si="710"/>
        <v>41.684000000000005</v>
      </c>
      <c r="AZ56" s="26">
        <f t="shared" si="710"/>
        <v>45.460999999999991</v>
      </c>
      <c r="BA56" s="26">
        <f t="shared" si="710"/>
        <v>44.148999999999987</v>
      </c>
      <c r="BB56" s="26">
        <f t="shared" si="710"/>
        <v>43.492000000000004</v>
      </c>
      <c r="BC56" s="26">
        <f t="shared" si="710"/>
        <v>49.744000000000057</v>
      </c>
      <c r="BD56" s="26">
        <f t="shared" si="710"/>
        <v>57.239999999999995</v>
      </c>
      <c r="BE56" s="26">
        <f t="shared" si="710"/>
        <v>62.765999999999977</v>
      </c>
      <c r="BF56" s="26">
        <f t="shared" si="710"/>
        <v>70.289999999999978</v>
      </c>
      <c r="BG56" s="26">
        <f t="shared" si="710"/>
        <v>70.498000000000005</v>
      </c>
      <c r="BH56" s="26">
        <f t="shared" si="710"/>
        <v>82.182999999999964</v>
      </c>
      <c r="BI56" s="26">
        <f t="shared" si="710"/>
        <v>65.994000000000057</v>
      </c>
      <c r="BJ56" s="26">
        <f t="shared" si="710"/>
        <v>71.29299999999995</v>
      </c>
      <c r="BK56" s="26">
        <f t="shared" si="710"/>
        <v>48.793000000000006</v>
      </c>
      <c r="BL56" s="26">
        <f t="shared" si="710"/>
        <v>49.807000000000016</v>
      </c>
      <c r="BM56" s="26">
        <f t="shared" si="710"/>
        <v>75.421000000000006</v>
      </c>
      <c r="BN56" s="26">
        <f t="shared" si="710"/>
        <v>82.081000000000003</v>
      </c>
      <c r="BO56" s="26">
        <f t="shared" si="710"/>
        <v>68.874000000000024</v>
      </c>
      <c r="BP56" s="26">
        <f t="shared" si="710"/>
        <v>78.877999999999986</v>
      </c>
      <c r="BQ56" s="26">
        <f t="shared" si="710"/>
        <v>105.20199999999998</v>
      </c>
      <c r="BR56" s="26">
        <f t="shared" si="710"/>
        <v>115.16799999999988</v>
      </c>
      <c r="BS56" s="26">
        <f t="shared" si="710"/>
        <v>113.375</v>
      </c>
      <c r="BT56" s="26">
        <f t="shared" si="710"/>
        <v>125.33300000000006</v>
      </c>
      <c r="BU56" s="26">
        <f t="shared" si="710"/>
        <v>150.95000000000007</v>
      </c>
      <c r="BV56" s="26">
        <f t="shared" si="710"/>
        <v>160.012</v>
      </c>
      <c r="BW56" s="26">
        <f t="shared" si="710"/>
        <v>184.72100000000006</v>
      </c>
      <c r="BX56" s="26">
        <f t="shared" si="710"/>
        <v>174.27699999999999</v>
      </c>
      <c r="BY56" s="26">
        <f t="shared" si="710"/>
        <v>194.67700000000008</v>
      </c>
      <c r="BZ56" s="26">
        <f t="shared" si="710"/>
        <v>201.51500000000004</v>
      </c>
      <c r="CA56" s="26">
        <f t="shared" si="710"/>
        <v>188.85300000000009</v>
      </c>
      <c r="CB56" s="26">
        <f t="shared" si="710"/>
        <v>200.01800000000003</v>
      </c>
      <c r="CC56" s="26">
        <f t="shared" si="710"/>
        <v>206.43300000000005</v>
      </c>
      <c r="CD56" s="26">
        <f t="shared" si="710"/>
        <v>196.93399999999991</v>
      </c>
      <c r="CE56" s="26">
        <f t="shared" ref="CE56:CF56" si="711">CE49+CE53+CE54+CE55</f>
        <v>184.08000000000004</v>
      </c>
      <c r="CF56" s="26">
        <f t="shared" si="711"/>
        <v>229.43099999999993</v>
      </c>
      <c r="CG56" s="26">
        <f t="shared" ref="CG56:CH56" si="712">CG49+CG53+CG54+CG55</f>
        <v>199.00799999999992</v>
      </c>
      <c r="CH56" s="26">
        <f t="shared" si="712"/>
        <v>172.42000000000002</v>
      </c>
      <c r="CI56" s="26">
        <f t="shared" ref="CI56:CJ56" si="713">CI49+CI53+CI54+CI55</f>
        <v>144.36800000000011</v>
      </c>
      <c r="CJ56" s="26">
        <f t="shared" si="713"/>
        <v>154.81900000000002</v>
      </c>
      <c r="CK56" s="26">
        <f t="shared" ref="CK56:CL56" si="714">CK49+CK53+CK54+CK55</f>
        <v>108.89000000000001</v>
      </c>
      <c r="CL56" s="26">
        <f t="shared" si="714"/>
        <v>220.351</v>
      </c>
      <c r="CM56" s="27">
        <f t="shared" ref="CM56:DB56" si="715">CM49+CM53+CM54+CM55</f>
        <v>188.1800021784176</v>
      </c>
      <c r="CN56" s="27">
        <f t="shared" si="715"/>
        <v>203.97956790705544</v>
      </c>
      <c r="CO56" s="27">
        <f t="shared" si="715"/>
        <v>223.15042822405226</v>
      </c>
      <c r="CP56" s="27">
        <f t="shared" si="715"/>
        <v>231.40046749966814</v>
      </c>
      <c r="CQ56" s="27">
        <f t="shared" si="715"/>
        <v>230.64638472848415</v>
      </c>
      <c r="CR56" s="27">
        <f t="shared" si="715"/>
        <v>246.55093314209427</v>
      </c>
      <c r="CS56" s="27">
        <f t="shared" si="715"/>
        <v>261.43224066608167</v>
      </c>
      <c r="CT56" s="27">
        <f t="shared" si="715"/>
        <v>274.29347566860372</v>
      </c>
      <c r="CU56" s="27">
        <f t="shared" si="715"/>
        <v>263.50702053603618</v>
      </c>
      <c r="CV56" s="27">
        <f t="shared" si="715"/>
        <v>277.38840988590016</v>
      </c>
      <c r="CW56" s="27">
        <f t="shared" si="715"/>
        <v>289.23795248352008</v>
      </c>
      <c r="CX56" s="27">
        <f t="shared" si="715"/>
        <v>299.20344118544295</v>
      </c>
      <c r="CY56" s="27">
        <f t="shared" si="715"/>
        <v>302.05498216622254</v>
      </c>
      <c r="CZ56" s="27">
        <f t="shared" si="715"/>
        <v>310.97771906902278</v>
      </c>
      <c r="DA56" s="27">
        <f t="shared" si="715"/>
        <v>318.50915979894864</v>
      </c>
      <c r="DB56" s="27">
        <f t="shared" si="715"/>
        <v>325.071113134597</v>
      </c>
      <c r="DE56" s="121"/>
      <c r="DF56" s="26">
        <v>181.41468310599328</v>
      </c>
    </row>
    <row r="57" spans="1:110" s="25" customFormat="1" x14ac:dyDescent="0.2">
      <c r="A57" s="151" t="s">
        <v>486</v>
      </c>
      <c r="AB57" s="17"/>
      <c r="AC57" s="17"/>
      <c r="AD57" s="17"/>
      <c r="AE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</row>
    <row r="58" spans="1:110" s="1" customFormat="1" x14ac:dyDescent="0.2">
      <c r="AB58" s="20"/>
      <c r="AC58" s="20"/>
      <c r="AD58" s="20"/>
      <c r="AE58" s="20"/>
      <c r="BV58" s="183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22" customFormat="1" x14ac:dyDescent="0.2">
      <c r="A59" s="22" t="s">
        <v>434</v>
      </c>
      <c r="B59" s="22">
        <f>'Annual Raw'!C35</f>
        <v>13.864000000000001</v>
      </c>
      <c r="C59" s="22">
        <f>'Annual Raw'!D35</f>
        <v>16.749400000000001</v>
      </c>
      <c r="D59" s="22">
        <f>'Annual Raw'!E35</f>
        <v>11.686400000000001</v>
      </c>
      <c r="E59" s="22">
        <f>'Annual Raw'!F35</f>
        <v>17.5458</v>
      </c>
      <c r="F59" s="22">
        <f>'Annual Raw'!G35</f>
        <v>26.291399999999999</v>
      </c>
      <c r="G59" s="22">
        <f>'Annual Raw'!H35</f>
        <v>34.328400000000002</v>
      </c>
      <c r="H59" s="22">
        <f>'Annual Raw'!I35</f>
        <v>52.116900000000001</v>
      </c>
      <c r="I59" s="22">
        <f>'Annual Raw'!J35</f>
        <v>52.845700000000001</v>
      </c>
      <c r="J59" s="22">
        <f>'Annual Raw'!K35</f>
        <v>58.159199999999998</v>
      </c>
      <c r="K59" s="22">
        <f>'Annual Raw'!L35</f>
        <v>48.817100000000003</v>
      </c>
      <c r="L59" s="22">
        <f>'Annual Raw'!M35</f>
        <v>32.5167</v>
      </c>
      <c r="M59" s="22">
        <f>'Annual Raw'!N35</f>
        <v>34.587499999999999</v>
      </c>
      <c r="N59" s="22">
        <f>'Annual Raw'!O35</f>
        <v>21.308199999999999</v>
      </c>
      <c r="O59" s="22">
        <f>'Annual Raw'!P35</f>
        <v>72.261899999999997</v>
      </c>
      <c r="P59" s="22">
        <f>'Annual Raw'!Q35</f>
        <v>102.0209</v>
      </c>
      <c r="Q59" s="22">
        <f>'Annual Raw'!R35</f>
        <v>154.81010000000001</v>
      </c>
      <c r="R59" s="22">
        <f>'Annual Raw'!S35</f>
        <v>174.78460000000001</v>
      </c>
      <c r="S59" s="22">
        <f>'Annual Raw'!T35</f>
        <v>240.03790000000001</v>
      </c>
      <c r="T59" s="22">
        <f>'Annual Raw'!U35</f>
        <v>289.96890000000002</v>
      </c>
      <c r="U59" s="22">
        <f>'Annual Raw'!V35</f>
        <v>256.1001</v>
      </c>
      <c r="V59" s="22">
        <f>'Annual Raw'!W35</f>
        <v>368.12189999999998</v>
      </c>
      <c r="W59" s="22">
        <f>'Annual Raw'!X35</f>
        <v>549.67150000000004</v>
      </c>
      <c r="X59" s="22">
        <f>'Annual Raw'!Y35</f>
        <v>755.19320000000005</v>
      </c>
      <c r="Y59" s="22">
        <f>'Annual Raw'!Z35</f>
        <v>792.23789999999997</v>
      </c>
      <c r="Z59" s="22">
        <f>'Annual Raw'!AA35</f>
        <v>784.93679999999995</v>
      </c>
      <c r="AA59" s="22">
        <f>'Annual Raw'!AB35</f>
        <v>628.43029999999999</v>
      </c>
      <c r="AB59" s="21">
        <f t="shared" ref="AA59:AD59" si="716">+AB56</f>
        <v>846.71046580919335</v>
      </c>
      <c r="AC59" s="21">
        <f t="shared" si="716"/>
        <v>1012.9230342052643</v>
      </c>
      <c r="AD59" s="21">
        <f t="shared" si="716"/>
        <v>1129.3368240908994</v>
      </c>
      <c r="AE59" s="21">
        <f t="shared" ref="AE59" si="717">+AE56</f>
        <v>1256.6129741687912</v>
      </c>
      <c r="AI59" s="22">
        <f>'QTR Raw'!C42</f>
        <v>2.613</v>
      </c>
      <c r="AJ59" s="22">
        <f>'QTR Raw'!D42</f>
        <v>1.8120000000000001</v>
      </c>
      <c r="AK59" s="22">
        <f>'QTR Raw'!E42</f>
        <v>8.7479999999999993</v>
      </c>
      <c r="AL59" s="22">
        <f>'QTR Raw'!F42</f>
        <v>8.1349999999999998</v>
      </c>
      <c r="AM59" s="22">
        <f>'QTR Raw'!G42</f>
        <v>8.9260000000000002</v>
      </c>
      <c r="AN59" s="22">
        <f>'QTR Raw'!H42</f>
        <v>19.93</v>
      </c>
      <c r="AO59" s="22">
        <f>'QTR Raw'!I42</f>
        <v>21.556999999999999</v>
      </c>
      <c r="AP59" s="22">
        <f>'QTR Raw'!J42</f>
        <v>21.849</v>
      </c>
      <c r="AQ59" s="22">
        <f>'QTR Raw'!K42</f>
        <v>20.792000000000002</v>
      </c>
      <c r="AR59" s="22">
        <f>'QTR Raw'!L42</f>
        <v>23.635999999999999</v>
      </c>
      <c r="AS59" s="22">
        <f>'QTR Raw'!M42</f>
        <v>27.757999999999999</v>
      </c>
      <c r="AT59" s="22">
        <f>'QTR Raw'!N42</f>
        <v>29.834</v>
      </c>
      <c r="AU59" s="22">
        <f>'QTR Raw'!O42</f>
        <v>35.722000000000001</v>
      </c>
      <c r="AV59" s="22">
        <f>'QTR Raw'!P42</f>
        <v>38.098999999999997</v>
      </c>
      <c r="AW59" s="22">
        <f>'QTR Raw'!Q42</f>
        <v>39.901000000000003</v>
      </c>
      <c r="AX59" s="22">
        <f>'QTR Raw'!R42</f>
        <v>41.088000000000001</v>
      </c>
      <c r="AY59" s="22">
        <f>'QTR Raw'!S42</f>
        <v>41.683999999999997</v>
      </c>
      <c r="AZ59" s="22">
        <f>'QTR Raw'!T42</f>
        <v>45.460999999999999</v>
      </c>
      <c r="BA59" s="22">
        <f>'QTR Raw'!U42</f>
        <v>44.148000000000003</v>
      </c>
      <c r="BB59" s="22">
        <f>'QTR Raw'!V42</f>
        <v>43.491</v>
      </c>
      <c r="BC59" s="22">
        <f>'QTR Raw'!W42</f>
        <v>49.743000000000002</v>
      </c>
      <c r="BD59" s="22">
        <f>'QTR Raw'!X42</f>
        <v>57.24</v>
      </c>
      <c r="BE59" s="22">
        <f>'QTR Raw'!Y42</f>
        <v>62.765999999999998</v>
      </c>
      <c r="BF59" s="22">
        <f>'QTR Raw'!Z42</f>
        <v>70.289000000000001</v>
      </c>
      <c r="BG59" s="22">
        <f>'QTR Raw'!AA42</f>
        <v>70.498000000000005</v>
      </c>
      <c r="BH59" s="22">
        <f>'QTR Raw'!AB42</f>
        <v>82.183000000000007</v>
      </c>
      <c r="BI59" s="22">
        <f>'QTR Raw'!AC42</f>
        <v>65.9939999999999</v>
      </c>
      <c r="BJ59" s="22">
        <f>'QTR Raw'!AD42</f>
        <v>71.293000000000006</v>
      </c>
      <c r="BK59" s="22">
        <f>'QTR Raw'!AE42</f>
        <v>48.792999999999999</v>
      </c>
      <c r="BL59" s="22">
        <f>'QTR Raw'!AF42</f>
        <v>49.807000000000002</v>
      </c>
      <c r="BM59" s="22">
        <f>'QTR Raw'!AG42</f>
        <v>75.421000000000006</v>
      </c>
      <c r="BN59" s="22">
        <f>'QTR Raw'!AH42</f>
        <v>82.081999999999994</v>
      </c>
      <c r="BO59" s="22">
        <f>'QTR Raw'!AI42</f>
        <v>68.872999999999905</v>
      </c>
      <c r="BP59" s="22">
        <f>'QTR Raw'!AJ42</f>
        <v>78.878</v>
      </c>
      <c r="BQ59" s="22">
        <f>'QTR Raw'!AK42</f>
        <v>105.202</v>
      </c>
      <c r="BR59" s="22">
        <f>'QTR Raw'!AL42</f>
        <v>115.16800000000001</v>
      </c>
      <c r="BS59" s="22">
        <f>'QTR Raw'!AM42</f>
        <v>113.375</v>
      </c>
      <c r="BT59" s="22">
        <f>'QTR Raw'!AN42</f>
        <v>125.333</v>
      </c>
      <c r="BU59" s="22">
        <f>'QTR Raw'!AO42</f>
        <v>150.94999999999999</v>
      </c>
      <c r="BV59" s="22">
        <f>'QTR Raw'!AP42</f>
        <v>160.012</v>
      </c>
      <c r="BW59" s="22">
        <f>'QTR Raw'!AQ42</f>
        <v>184.721</v>
      </c>
      <c r="BX59" s="22">
        <f>'QTR Raw'!AR42</f>
        <v>174.27799999999999</v>
      </c>
      <c r="BY59" s="22">
        <f>'QTR Raw'!AS42</f>
        <v>194.67699999999999</v>
      </c>
      <c r="BZ59" s="22">
        <f>'QTR Raw'!AT42</f>
        <v>201.51499999999999</v>
      </c>
      <c r="CA59" s="22">
        <f>'QTR Raw'!AU42</f>
        <v>188.85300000000001</v>
      </c>
      <c r="CB59" s="22">
        <f>'QTR Raw'!AV42</f>
        <v>200.018</v>
      </c>
      <c r="CC59" s="22">
        <f>'QTR Raw'!AW42</f>
        <v>206.43199999999999</v>
      </c>
      <c r="CD59" s="22">
        <f>'QTR Raw'!AX42</f>
        <v>196.935</v>
      </c>
      <c r="CE59" s="22">
        <f>'QTR Raw'!AY42</f>
        <v>184.08</v>
      </c>
      <c r="CF59" s="22">
        <f>'QTR Raw'!AZ42</f>
        <v>229.43100000000001</v>
      </c>
      <c r="CG59" s="22">
        <f>'QTR Raw'!BA42</f>
        <v>199.00800000000001</v>
      </c>
      <c r="CH59" s="22">
        <f>'QTR Raw'!BB42</f>
        <v>172.42</v>
      </c>
      <c r="CI59" s="22">
        <f>'QTR Raw'!BC42</f>
        <v>144.36799999999999</v>
      </c>
      <c r="CJ59" s="22">
        <f>'QTR Raw'!BD42</f>
        <v>154.82</v>
      </c>
      <c r="CL59" s="22">
        <f>'QTR Raw'!BF42</f>
        <v>220.351</v>
      </c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  <c r="DF59" s="22">
        <v>628.428</v>
      </c>
    </row>
    <row r="60" spans="1:110" s="25" customFormat="1" x14ac:dyDescent="0.2">
      <c r="A60" s="36" t="s">
        <v>435</v>
      </c>
      <c r="B60" s="25">
        <f t="shared" ref="B60:V60" si="718">B59-B56</f>
        <v>2.1316282072803006E-14</v>
      </c>
      <c r="C60" s="25">
        <f>C59-C56</f>
        <v>0</v>
      </c>
      <c r="D60" s="25">
        <f t="shared" si="718"/>
        <v>0</v>
      </c>
      <c r="E60" s="25">
        <f t="shared" si="718"/>
        <v>-2.8421709430404007E-14</v>
      </c>
      <c r="F60" s="25">
        <f t="shared" si="718"/>
        <v>0</v>
      </c>
      <c r="G60" s="25">
        <f t="shared" si="718"/>
        <v>0</v>
      </c>
      <c r="H60" s="25">
        <f t="shared" si="718"/>
        <v>0</v>
      </c>
      <c r="I60" s="25">
        <f t="shared" si="718"/>
        <v>0</v>
      </c>
      <c r="J60" s="25">
        <f t="shared" si="718"/>
        <v>0</v>
      </c>
      <c r="K60" s="25">
        <f t="shared" si="718"/>
        <v>0</v>
      </c>
      <c r="L60" s="25">
        <f t="shared" si="718"/>
        <v>-106.63130000000002</v>
      </c>
      <c r="M60" s="25">
        <f t="shared" si="718"/>
        <v>-129.20159999999993</v>
      </c>
      <c r="N60" s="25">
        <f t="shared" si="718"/>
        <v>9.2370555648813024E-14</v>
      </c>
      <c r="O60" s="25">
        <f t="shared" si="718"/>
        <v>0</v>
      </c>
      <c r="P60" s="25">
        <f t="shared" si="718"/>
        <v>0</v>
      </c>
      <c r="Q60" s="25">
        <f t="shared" si="718"/>
        <v>0</v>
      </c>
      <c r="R60" s="25">
        <f t="shared" si="718"/>
        <v>0</v>
      </c>
      <c r="S60" s="25">
        <f t="shared" si="718"/>
        <v>2.5579538487363607E-13</v>
      </c>
      <c r="T60" s="25">
        <f t="shared" si="718"/>
        <v>0</v>
      </c>
      <c r="U60" s="25">
        <f t="shared" si="718"/>
        <v>0</v>
      </c>
      <c r="V60" s="25">
        <f t="shared" si="718"/>
        <v>0</v>
      </c>
      <c r="W60" s="25">
        <f t="shared" ref="W60" si="719">W59-W56</f>
        <v>0</v>
      </c>
      <c r="X60" s="25">
        <f t="shared" ref="X60:Y60" si="720">X59-X56</f>
        <v>0</v>
      </c>
      <c r="Y60" s="25">
        <f t="shared" si="720"/>
        <v>0</v>
      </c>
      <c r="Z60" s="25">
        <f t="shared" ref="Z60:AA60" si="721">Z59-Z56</f>
        <v>0</v>
      </c>
      <c r="AA60" s="25">
        <f t="shared" si="721"/>
        <v>0</v>
      </c>
      <c r="AB60" s="17">
        <f t="shared" ref="AA60:AD60" si="722">AB59-AB56</f>
        <v>0</v>
      </c>
      <c r="AC60" s="17">
        <f t="shared" si="722"/>
        <v>0</v>
      </c>
      <c r="AD60" s="17">
        <f t="shared" si="722"/>
        <v>0</v>
      </c>
      <c r="AE60" s="17">
        <f t="shared" ref="AE60" si="723">AE59-AE56</f>
        <v>0</v>
      </c>
      <c r="AI60" s="25">
        <f t="shared" ref="AI60" si="724">AI59-AI56</f>
        <v>-1.021405182655144E-14</v>
      </c>
      <c r="AJ60" s="25">
        <f t="shared" ref="AJ60" si="725">AJ59-AJ56</f>
        <v>-2.2426505097428162E-14</v>
      </c>
      <c r="AK60" s="25">
        <f t="shared" ref="AK60:AM60" si="726">AK59-AK56</f>
        <v>0</v>
      </c>
      <c r="AL60" s="25">
        <f t="shared" si="726"/>
        <v>0</v>
      </c>
      <c r="AM60" s="25">
        <f t="shared" si="726"/>
        <v>-9.9999999996391864E-4</v>
      </c>
      <c r="AN60" s="25">
        <f t="shared" ref="AN60:AO60" si="727">AN59-AN56</f>
        <v>0</v>
      </c>
      <c r="AO60" s="25">
        <f t="shared" si="727"/>
        <v>0</v>
      </c>
      <c r="AP60" s="25">
        <f t="shared" ref="AP60:CD60" si="728">AP59-AP56</f>
        <v>0</v>
      </c>
      <c r="AQ60" s="25">
        <f t="shared" si="728"/>
        <v>0</v>
      </c>
      <c r="AR60" s="25">
        <f t="shared" si="728"/>
        <v>-1.0000000000118803E-3</v>
      </c>
      <c r="AS60" s="25">
        <f t="shared" si="728"/>
        <v>0</v>
      </c>
      <c r="AT60" s="25">
        <f t="shared" si="728"/>
        <v>0</v>
      </c>
      <c r="AU60" s="25">
        <f t="shared" si="728"/>
        <v>9.9999999999837996E-3</v>
      </c>
      <c r="AV60" s="25">
        <f t="shared" si="728"/>
        <v>0</v>
      </c>
      <c r="AW60" s="25">
        <f t="shared" si="728"/>
        <v>0</v>
      </c>
      <c r="AX60" s="25">
        <f t="shared" si="728"/>
        <v>0</v>
      </c>
      <c r="AY60" s="25">
        <f t="shared" si="728"/>
        <v>0</v>
      </c>
      <c r="AZ60" s="25">
        <f t="shared" si="728"/>
        <v>0</v>
      </c>
      <c r="BA60" s="25">
        <f t="shared" si="728"/>
        <v>-9.9999999998345857E-4</v>
      </c>
      <c r="BB60" s="25">
        <f t="shared" si="728"/>
        <v>-1.0000000000047748E-3</v>
      </c>
      <c r="BC60" s="25">
        <f t="shared" si="728"/>
        <v>-1.0000000000545128E-3</v>
      </c>
      <c r="BD60" s="25">
        <f t="shared" si="728"/>
        <v>0</v>
      </c>
      <c r="BE60" s="25">
        <f t="shared" si="728"/>
        <v>0</v>
      </c>
      <c r="BF60" s="25">
        <f t="shared" si="728"/>
        <v>-9.9999999997635314E-4</v>
      </c>
      <c r="BG60" s="25">
        <f t="shared" si="728"/>
        <v>0</v>
      </c>
      <c r="BH60" s="25">
        <f t="shared" si="728"/>
        <v>0</v>
      </c>
      <c r="BI60" s="25">
        <f t="shared" si="728"/>
        <v>-1.5631940186722204E-13</v>
      </c>
      <c r="BJ60" s="25">
        <f t="shared" si="728"/>
        <v>0</v>
      </c>
      <c r="BK60" s="25">
        <f t="shared" si="728"/>
        <v>0</v>
      </c>
      <c r="BL60" s="25">
        <f t="shared" si="728"/>
        <v>0</v>
      </c>
      <c r="BM60" s="25">
        <f t="shared" si="728"/>
        <v>0</v>
      </c>
      <c r="BN60" s="25">
        <f t="shared" si="728"/>
        <v>9.9999999999056399E-4</v>
      </c>
      <c r="BO60" s="25">
        <f t="shared" si="728"/>
        <v>-1.0000000001184617E-3</v>
      </c>
      <c r="BP60" s="25">
        <f t="shared" si="728"/>
        <v>0</v>
      </c>
      <c r="BQ60" s="25">
        <f t="shared" si="728"/>
        <v>0</v>
      </c>
      <c r="BR60" s="25">
        <f t="shared" si="728"/>
        <v>1.2789769243681803E-13</v>
      </c>
      <c r="BS60" s="25">
        <f t="shared" si="728"/>
        <v>0</v>
      </c>
      <c r="BT60" s="25">
        <f t="shared" si="728"/>
        <v>0</v>
      </c>
      <c r="BU60" s="25">
        <f t="shared" si="728"/>
        <v>0</v>
      </c>
      <c r="BV60" s="25">
        <f t="shared" si="728"/>
        <v>0</v>
      </c>
      <c r="BW60" s="25">
        <f t="shared" si="728"/>
        <v>0</v>
      </c>
      <c r="BX60" s="25">
        <f t="shared" si="728"/>
        <v>1.0000000000047748E-3</v>
      </c>
      <c r="BY60" s="25">
        <f t="shared" si="728"/>
        <v>0</v>
      </c>
      <c r="BZ60" s="25">
        <f t="shared" si="728"/>
        <v>0</v>
      </c>
      <c r="CA60" s="25">
        <f t="shared" si="728"/>
        <v>0</v>
      </c>
      <c r="CB60" s="25">
        <f t="shared" si="728"/>
        <v>0</v>
      </c>
      <c r="CC60" s="25">
        <f t="shared" si="728"/>
        <v>-1.0000000000616183E-3</v>
      </c>
      <c r="CD60" s="25">
        <f t="shared" si="728"/>
        <v>1.00000000009004E-3</v>
      </c>
      <c r="CE60" s="25">
        <f t="shared" ref="CE60:CF60" si="729">CE59-CE56</f>
        <v>0</v>
      </c>
      <c r="CF60" s="25">
        <f t="shared" si="729"/>
        <v>0</v>
      </c>
      <c r="CG60" s="25">
        <f t="shared" ref="CG60:CH60" si="730">CG59-CG56</f>
        <v>0</v>
      </c>
      <c r="CH60" s="25">
        <f t="shared" si="730"/>
        <v>0</v>
      </c>
      <c r="CI60" s="25">
        <f t="shared" ref="CI60:CJ60" si="731">CI59-CI56</f>
        <v>0</v>
      </c>
      <c r="CJ60" s="25">
        <f t="shared" si="731"/>
        <v>9.9999999997635314E-4</v>
      </c>
      <c r="CL60" s="25">
        <f t="shared" ref="CL60" si="732">CL59-CL56</f>
        <v>0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5">
        <v>0</v>
      </c>
    </row>
    <row r="61" spans="1:110" s="1" customFormat="1" x14ac:dyDescent="0.2">
      <c r="A61" s="150" t="s">
        <v>487</v>
      </c>
      <c r="AB61" s="20"/>
      <c r="AC61" s="20"/>
      <c r="AD61" s="20"/>
      <c r="AE61" s="20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38" customFormat="1" x14ac:dyDescent="0.2">
      <c r="A62" s="38" t="s">
        <v>350</v>
      </c>
      <c r="B62" s="39">
        <f t="shared" ref="B62:AE62" si="733">(B56-B55)/B128</f>
        <v>0.36276479946412066</v>
      </c>
      <c r="C62" s="39">
        <f t="shared" si="733"/>
        <v>0.40024182641069389</v>
      </c>
      <c r="D62" s="39">
        <f t="shared" si="733"/>
        <v>0.2611322643499403</v>
      </c>
      <c r="E62" s="39">
        <f t="shared" si="733"/>
        <v>0.3636601047094381</v>
      </c>
      <c r="F62" s="39">
        <f t="shared" si="733"/>
        <v>0.48069286294126712</v>
      </c>
      <c r="G62" s="39">
        <f t="shared" si="733"/>
        <v>0.52059659844860107</v>
      </c>
      <c r="H62" s="39">
        <f t="shared" si="733"/>
        <v>0.5630838344703003</v>
      </c>
      <c r="I62" s="39">
        <f t="shared" si="733"/>
        <v>0.44353175685599783</v>
      </c>
      <c r="J62" s="39">
        <f t="shared" si="733"/>
        <v>0.38305372310156571</v>
      </c>
      <c r="K62" s="39">
        <f t="shared" si="733"/>
        <v>0.27875272159788139</v>
      </c>
      <c r="L62" s="39">
        <f t="shared" si="733"/>
        <v>0.76301043335119112</v>
      </c>
      <c r="M62" s="39">
        <f t="shared" si="733"/>
        <v>0.85315887729737916</v>
      </c>
      <c r="N62" s="39">
        <f t="shared" si="733"/>
        <v>0.19061992117770218</v>
      </c>
      <c r="O62" s="39">
        <f t="shared" si="733"/>
        <v>0.30657003982420838</v>
      </c>
      <c r="P62" s="39">
        <f t="shared" si="733"/>
        <v>0.35995413289112749</v>
      </c>
      <c r="Q62" s="39">
        <f t="shared" si="733"/>
        <v>0.40138166884024379</v>
      </c>
      <c r="R62" s="39">
        <f t="shared" si="733"/>
        <v>0.3134198553551103</v>
      </c>
      <c r="S62" s="39">
        <f t="shared" si="733"/>
        <v>0.3250998542292805</v>
      </c>
      <c r="T62" s="39">
        <f t="shared" si="733"/>
        <v>0.30757684385311213</v>
      </c>
      <c r="U62" s="39">
        <f t="shared" si="733"/>
        <v>0.23494661136203571</v>
      </c>
      <c r="V62" s="39">
        <f t="shared" si="733"/>
        <v>0.27224497780052315</v>
      </c>
      <c r="W62" s="39">
        <f t="shared" si="733"/>
        <v>0.34335093027815727</v>
      </c>
      <c r="X62" s="39">
        <f t="shared" si="733"/>
        <v>0.36206976320606438</v>
      </c>
      <c r="Y62" s="39">
        <f t="shared" si="733"/>
        <v>0.3161797968859496</v>
      </c>
      <c r="Z62" s="39">
        <f t="shared" si="733"/>
        <v>0.27445641104698704</v>
      </c>
      <c r="AA62" s="39">
        <f t="shared" ref="AA62" si="734">(AA56-AA55)/AA128</f>
        <v>0.23809199078156848</v>
      </c>
      <c r="AB62" s="40">
        <f t="shared" si="733"/>
        <v>0.21777238688392375</v>
      </c>
      <c r="AC62" s="40">
        <f t="shared" si="733"/>
        <v>0.20667784080991153</v>
      </c>
      <c r="AD62" s="40">
        <f t="shared" si="733"/>
        <v>0.18727667215121327</v>
      </c>
      <c r="AE62" s="40">
        <f t="shared" si="733"/>
        <v>0.17244762677427347</v>
      </c>
      <c r="AF62" s="39"/>
      <c r="AG62" s="39"/>
      <c r="AH62" s="39"/>
      <c r="AI62" s="39"/>
      <c r="AJ62" s="39"/>
      <c r="AK62" s="39"/>
      <c r="AL62" s="39">
        <f t="shared" ref="AL62:BQ62" si="735">(SUM(AI56:AL56)-SUM(AI55:AL55))/AL128</f>
        <v>0.19062062887796991</v>
      </c>
      <c r="AM62" s="39">
        <f t="shared" si="735"/>
        <v>0.17703576678098962</v>
      </c>
      <c r="AN62" s="39">
        <f t="shared" si="735"/>
        <v>0.20370172438363945</v>
      </c>
      <c r="AO62" s="39">
        <f t="shared" si="735"/>
        <v>0.23790638802767936</v>
      </c>
      <c r="AP62" s="39">
        <f t="shared" si="735"/>
        <v>0.30657457649409625</v>
      </c>
      <c r="AQ62" s="39">
        <f t="shared" si="735"/>
        <v>0.32798056942803772</v>
      </c>
      <c r="AR62" s="39">
        <f t="shared" si="735"/>
        <v>0.31703892466287426</v>
      </c>
      <c r="AS62" s="39">
        <f t="shared" si="735"/>
        <v>0.30851098731652266</v>
      </c>
      <c r="AT62" s="39">
        <f t="shared" si="735"/>
        <v>0.35995512071891539</v>
      </c>
      <c r="AU62" s="39">
        <f t="shared" si="735"/>
        <v>0.36642654141298958</v>
      </c>
      <c r="AV62" s="39">
        <f t="shared" si="735"/>
        <v>0.36789837949223353</v>
      </c>
      <c r="AW62" s="39">
        <f t="shared" si="735"/>
        <v>0.36151035200076581</v>
      </c>
      <c r="AX62" s="39">
        <f t="shared" si="735"/>
        <v>0.40135548220994433</v>
      </c>
      <c r="AY62" s="39">
        <f t="shared" si="735"/>
        <v>0.37618308893553004</v>
      </c>
      <c r="AZ62" s="39">
        <f t="shared" si="735"/>
        <v>0.3572014327658074</v>
      </c>
      <c r="BA62" s="39">
        <f t="shared" si="735"/>
        <v>0.33482180142838541</v>
      </c>
      <c r="BB62" s="39">
        <f t="shared" si="735"/>
        <v>0.31342247820839964</v>
      </c>
      <c r="BC62" s="39">
        <f t="shared" si="735"/>
        <v>0.30102417959444405</v>
      </c>
      <c r="BD62" s="39">
        <f t="shared" si="735"/>
        <v>0.32196296081853459</v>
      </c>
      <c r="BE62" s="39">
        <f t="shared" si="735"/>
        <v>0.31957809612730254</v>
      </c>
      <c r="BF62" s="39">
        <f t="shared" si="735"/>
        <v>0.32510283049660665</v>
      </c>
      <c r="BG62" s="39">
        <f t="shared" si="735"/>
        <v>0.32242606469192631</v>
      </c>
      <c r="BH62" s="39">
        <f t="shared" si="735"/>
        <v>0.3541810762636442</v>
      </c>
      <c r="BI62" s="39">
        <f t="shared" si="735"/>
        <v>0.33109786559235893</v>
      </c>
      <c r="BJ62" s="39">
        <f t="shared" si="735"/>
        <v>0.30757611757917241</v>
      </c>
      <c r="BK62" s="39">
        <f t="shared" si="735"/>
        <v>0.27055050451568008</v>
      </c>
      <c r="BL62" s="39">
        <f t="shared" si="735"/>
        <v>0.25252836684683994</v>
      </c>
      <c r="BM62" s="39">
        <f t="shared" si="735"/>
        <v>0.2430001525474432</v>
      </c>
      <c r="BN62" s="39">
        <f t="shared" si="735"/>
        <v>0.2349484190874605</v>
      </c>
      <c r="BO62" s="39">
        <f t="shared" si="735"/>
        <v>0.23831293052344923</v>
      </c>
      <c r="BP62" s="39">
        <f t="shared" si="735"/>
        <v>0.26916348348094143</v>
      </c>
      <c r="BQ62" s="39">
        <f t="shared" si="735"/>
        <v>0.2703451826293527</v>
      </c>
      <c r="BR62" s="39">
        <f t="shared" ref="BR62:CW62" si="736">(SUM(BO56:BR56)-SUM(BO55:BR55))/BR128</f>
        <v>0.27224515242524788</v>
      </c>
      <c r="BS62" s="39">
        <f t="shared" si="736"/>
        <v>0.28154899266212036</v>
      </c>
      <c r="BT62" s="39">
        <f t="shared" si="736"/>
        <v>0.35571007503510005</v>
      </c>
      <c r="BU62" s="39">
        <f t="shared" si="736"/>
        <v>0.35019763503904838</v>
      </c>
      <c r="BV62" s="39">
        <f t="shared" si="736"/>
        <v>0.34335018633245512</v>
      </c>
      <c r="BW62" s="39">
        <f t="shared" si="736"/>
        <v>0.34778673885809053</v>
      </c>
      <c r="BX62" s="39">
        <f t="shared" si="736"/>
        <v>0.39595136244951323</v>
      </c>
      <c r="BY62" s="39">
        <f t="shared" si="736"/>
        <v>0.37827204387760027</v>
      </c>
      <c r="BZ62" s="39">
        <f t="shared" si="736"/>
        <v>0.36206824635733537</v>
      </c>
      <c r="CA62" s="39">
        <f t="shared" si="736"/>
        <v>0.3338236716462531</v>
      </c>
      <c r="CB62" s="39">
        <f t="shared" si="736"/>
        <v>0.37448828017298547</v>
      </c>
      <c r="CC62" s="39">
        <f t="shared" si="736"/>
        <v>0.34602255085667644</v>
      </c>
      <c r="CD62" s="39">
        <f t="shared" si="736"/>
        <v>0.31617987465158826</v>
      </c>
      <c r="CE62" s="39">
        <f t="shared" si="736"/>
        <v>0.29276665070475322</v>
      </c>
      <c r="CF62" s="39">
        <f t="shared" si="736"/>
        <v>0.32851598788692854</v>
      </c>
      <c r="CG62" s="39">
        <f t="shared" si="736"/>
        <v>0.30140736928884576</v>
      </c>
      <c r="CH62" s="39">
        <f t="shared" si="736"/>
        <v>0.27445718028612126</v>
      </c>
      <c r="CI62" s="39">
        <f t="shared" si="736"/>
        <v>0.24805041005887193</v>
      </c>
      <c r="CJ62" s="39">
        <f t="shared" si="736"/>
        <v>0.24813312306994412</v>
      </c>
      <c r="CK62" s="39">
        <f t="shared" si="736"/>
        <v>0.24050446518126065</v>
      </c>
      <c r="CL62" s="39">
        <f t="shared" si="736"/>
        <v>0.238091276811355</v>
      </c>
      <c r="CM62" s="40">
        <f t="shared" si="736"/>
        <v>0.23778410602572905</v>
      </c>
      <c r="CN62" s="40">
        <f t="shared" si="736"/>
        <v>0.2379755923819579</v>
      </c>
      <c r="CO62" s="40">
        <f t="shared" si="736"/>
        <v>0.22853172757370743</v>
      </c>
      <c r="CP62" s="40">
        <f t="shared" si="736"/>
        <v>0.21777238688392378</v>
      </c>
      <c r="CQ62" s="40">
        <f t="shared" si="736"/>
        <v>0.21588780355795667</v>
      </c>
      <c r="CR62" s="40">
        <f t="shared" si="736"/>
        <v>0.21344671204791027</v>
      </c>
      <c r="CS62" s="40">
        <f t="shared" si="736"/>
        <v>0.20965997250988452</v>
      </c>
      <c r="CT62" s="40">
        <f t="shared" si="736"/>
        <v>0.20667784080991145</v>
      </c>
      <c r="CU62" s="40">
        <f t="shared" si="736"/>
        <v>0.20249534505179115</v>
      </c>
      <c r="CV62" s="40">
        <f t="shared" si="736"/>
        <v>0.19784025760976398</v>
      </c>
      <c r="CW62" s="40">
        <f t="shared" si="736"/>
        <v>0.1927073592800721</v>
      </c>
      <c r="CX62" s="40">
        <f t="shared" ref="CX62:DB62" si="737">(SUM(CU56:CX56)-SUM(CU55:CX55))/CX128</f>
        <v>0.18727667215121327</v>
      </c>
      <c r="CY62" s="40">
        <f t="shared" si="737"/>
        <v>0.18443099227115467</v>
      </c>
      <c r="CZ62" s="40">
        <f t="shared" si="737"/>
        <v>0.18085378530262466</v>
      </c>
      <c r="DA62" s="40">
        <f t="shared" si="737"/>
        <v>0.17678412524737</v>
      </c>
      <c r="DB62" s="40">
        <f t="shared" si="737"/>
        <v>0.17244762677427344</v>
      </c>
      <c r="DE62" s="122"/>
      <c r="DF62" s="38">
        <v>0.22893180388864551</v>
      </c>
    </row>
    <row r="63" spans="1:110" s="38" customFormat="1" x14ac:dyDescent="0.2">
      <c r="A63" s="38" t="s">
        <v>351</v>
      </c>
      <c r="B63" s="39">
        <f t="shared" ref="B63:AE63" si="738">+B42/B137</f>
        <v>0.29498239344273719</v>
      </c>
      <c r="C63" s="39">
        <f t="shared" si="738"/>
        <v>0.44640587777114771</v>
      </c>
      <c r="D63" s="39">
        <f t="shared" si="738"/>
        <v>0.31010615909834932</v>
      </c>
      <c r="E63" s="39">
        <f t="shared" si="738"/>
        <v>0.39532579723842387</v>
      </c>
      <c r="F63" s="39">
        <f t="shared" si="738"/>
        <v>0.5687999590454671</v>
      </c>
      <c r="G63" s="39">
        <f t="shared" si="738"/>
        <v>0.61166657820307679</v>
      </c>
      <c r="H63" s="39">
        <f t="shared" si="738"/>
        <v>0.65752375313593248</v>
      </c>
      <c r="I63" s="39">
        <f t="shared" si="738"/>
        <v>0.35398266100698217</v>
      </c>
      <c r="J63" s="39">
        <f t="shared" si="738"/>
        <v>0.39967024377583593</v>
      </c>
      <c r="K63" s="39">
        <f t="shared" si="738"/>
        <v>0.24763769021149123</v>
      </c>
      <c r="L63" s="39">
        <f t="shared" si="738"/>
        <v>0.65972020036698975</v>
      </c>
      <c r="M63" s="39">
        <f t="shared" si="738"/>
        <v>0.75791250913168895</v>
      </c>
      <c r="N63" s="39">
        <f t="shared" si="738"/>
        <v>0.19343960119788814</v>
      </c>
      <c r="O63" s="39">
        <f t="shared" si="738"/>
        <v>0.33060923359929473</v>
      </c>
      <c r="P63" s="39">
        <f t="shared" si="738"/>
        <v>0.50493794709405426</v>
      </c>
      <c r="Q63" s="39">
        <f t="shared" si="738"/>
        <v>0.58366809872100389</v>
      </c>
      <c r="R63" s="39">
        <f t="shared" si="738"/>
        <v>0.44232064456850062</v>
      </c>
      <c r="S63" s="39">
        <f t="shared" si="738"/>
        <v>0.43322534950503877</v>
      </c>
      <c r="T63" s="39">
        <f t="shared" si="738"/>
        <v>0.41471596952201772</v>
      </c>
      <c r="U63" s="39">
        <f t="shared" si="738"/>
        <v>0.27020170814651601</v>
      </c>
      <c r="V63" s="39">
        <f t="shared" si="738"/>
        <v>0.35434839441594507</v>
      </c>
      <c r="W63" s="39">
        <f t="shared" si="738"/>
        <v>0.44437629540180096</v>
      </c>
      <c r="X63" s="39">
        <f t="shared" si="738"/>
        <v>0.42078657775357542</v>
      </c>
      <c r="Y63" s="39">
        <f t="shared" si="738"/>
        <v>0.37826700333960406</v>
      </c>
      <c r="Z63" s="39">
        <f t="shared" si="738"/>
        <v>0.30368109946929822</v>
      </c>
      <c r="AA63" s="39">
        <f t="shared" ref="AA63" si="739">+AA42/AA137</f>
        <v>0.24508752173423978</v>
      </c>
      <c r="AB63" s="40">
        <f t="shared" si="738"/>
        <v>0.24009018423219239</v>
      </c>
      <c r="AC63" s="40">
        <f t="shared" si="738"/>
        <v>0.23006842009937548</v>
      </c>
      <c r="AD63" s="40">
        <f t="shared" si="738"/>
        <v>0.20933941094973077</v>
      </c>
      <c r="AE63" s="40">
        <f t="shared" si="738"/>
        <v>0.18774141025839217</v>
      </c>
      <c r="AF63" s="39"/>
      <c r="AG63" s="39"/>
      <c r="AH63" s="39"/>
      <c r="AI63" s="39"/>
      <c r="AJ63" s="39"/>
      <c r="AK63" s="39"/>
      <c r="AL63" s="39">
        <f t="shared" ref="AL63:BQ63" si="740">+SUM(AI42:AL42)/AL137</f>
        <v>0.16608719646799122</v>
      </c>
      <c r="AM63" s="39">
        <f t="shared" si="740"/>
        <v>0.16073448156370537</v>
      </c>
      <c r="AN63" s="39">
        <f t="shared" si="740"/>
        <v>0.20505922146931735</v>
      </c>
      <c r="AO63" s="39">
        <f t="shared" si="740"/>
        <v>0.26818673482745053</v>
      </c>
      <c r="AP63" s="39">
        <f t="shared" si="740"/>
        <v>0.42056161994985358</v>
      </c>
      <c r="AQ63" s="39">
        <f t="shared" si="740"/>
        <v>0.4682128474130906</v>
      </c>
      <c r="AR63" s="39">
        <f t="shared" si="740"/>
        <v>0.46360197510900636</v>
      </c>
      <c r="AS63" s="39">
        <f t="shared" si="740"/>
        <v>0.44867555100621387</v>
      </c>
      <c r="AT63" s="39">
        <f t="shared" si="740"/>
        <v>0.50953508310781992</v>
      </c>
      <c r="AU63" s="39">
        <f t="shared" si="740"/>
        <v>0.50990634175077343</v>
      </c>
      <c r="AV63" s="39">
        <f t="shared" si="740"/>
        <v>0.52030394319823514</v>
      </c>
      <c r="AW63" s="39">
        <f t="shared" si="740"/>
        <v>0.51319026979925619</v>
      </c>
      <c r="AX63" s="39">
        <f t="shared" si="740"/>
        <v>0.57214935194571859</v>
      </c>
      <c r="AY63" s="39">
        <f t="shared" si="740"/>
        <v>0.54681931877475864</v>
      </c>
      <c r="AZ63" s="39">
        <f t="shared" si="740"/>
        <v>0.51559598723597722</v>
      </c>
      <c r="BA63" s="39">
        <f t="shared" si="740"/>
        <v>0.48117013403982151</v>
      </c>
      <c r="BB63" s="39">
        <f t="shared" si="740"/>
        <v>0.46210924401392217</v>
      </c>
      <c r="BC63" s="39">
        <f t="shared" si="740"/>
        <v>0.43565251319942128</v>
      </c>
      <c r="BD63" s="39">
        <f t="shared" si="740"/>
        <v>0.4592114078693787</v>
      </c>
      <c r="BE63" s="39">
        <f t="shared" si="740"/>
        <v>0.44537145135112055</v>
      </c>
      <c r="BF63" s="39">
        <f t="shared" si="740"/>
        <v>0.42992966759711837</v>
      </c>
      <c r="BG63" s="39">
        <f t="shared" si="740"/>
        <v>0.43381521149188529</v>
      </c>
      <c r="BH63" s="39">
        <f t="shared" si="740"/>
        <v>0.46354278999546328</v>
      </c>
      <c r="BI63" s="39">
        <f t="shared" si="740"/>
        <v>0.43008634794923628</v>
      </c>
      <c r="BJ63" s="39">
        <f t="shared" si="740"/>
        <v>0.40114473371575987</v>
      </c>
      <c r="BK63" s="39">
        <f t="shared" si="740"/>
        <v>0.33891754786721728</v>
      </c>
      <c r="BL63" s="39">
        <f t="shared" si="740"/>
        <v>0.29709693609147592</v>
      </c>
      <c r="BM63" s="39">
        <f t="shared" si="740"/>
        <v>0.27388466426832681</v>
      </c>
      <c r="BN63" s="39">
        <f t="shared" si="740"/>
        <v>0.27380680436866706</v>
      </c>
      <c r="BO63" s="39">
        <f t="shared" si="740"/>
        <v>0.27789757435657159</v>
      </c>
      <c r="BP63" s="39">
        <f t="shared" si="740"/>
        <v>0.31099952952820681</v>
      </c>
      <c r="BQ63" s="39">
        <f t="shared" si="740"/>
        <v>0.32403927411392397</v>
      </c>
      <c r="BR63" s="39">
        <f t="shared" ref="BR63:CW63" si="741">+SUM(BO42:BR42)/BR137</f>
        <v>0.35059840804158632</v>
      </c>
      <c r="BS63" s="39">
        <f t="shared" si="741"/>
        <v>0.3618132764171168</v>
      </c>
      <c r="BT63" s="39">
        <f t="shared" si="741"/>
        <v>0.45623029979947249</v>
      </c>
      <c r="BU63" s="39">
        <f t="shared" si="741"/>
        <v>0.45181492647477084</v>
      </c>
      <c r="BV63" s="39">
        <f t="shared" si="741"/>
        <v>0.43968712638250196</v>
      </c>
      <c r="BW63" s="39">
        <f t="shared" si="741"/>
        <v>0.44067812746587609</v>
      </c>
      <c r="BX63" s="39">
        <f t="shared" si="741"/>
        <v>0.48831282734426068</v>
      </c>
      <c r="BY63" s="39">
        <f t="shared" si="741"/>
        <v>0.45402164516619742</v>
      </c>
      <c r="BZ63" s="39">
        <f t="shared" si="741"/>
        <v>0.42185296823662483</v>
      </c>
      <c r="CA63" s="39">
        <f t="shared" si="741"/>
        <v>0.39078131731893689</v>
      </c>
      <c r="CB63" s="39">
        <f t="shared" si="741"/>
        <v>0.44012579888397146</v>
      </c>
      <c r="CC63" s="39">
        <f t="shared" si="741"/>
        <v>0.40903901563100503</v>
      </c>
      <c r="CD63" s="39">
        <f t="shared" si="741"/>
        <v>0.37793935001452716</v>
      </c>
      <c r="CE63" s="39">
        <f t="shared" si="741"/>
        <v>0.3502722943813073</v>
      </c>
      <c r="CF63" s="39">
        <f t="shared" si="741"/>
        <v>0.37917894931572399</v>
      </c>
      <c r="CG63" s="39">
        <f t="shared" si="741"/>
        <v>0.34212523337620426</v>
      </c>
      <c r="CH63" s="39">
        <f t="shared" si="741"/>
        <v>0.30352602785296023</v>
      </c>
      <c r="CI63" s="39">
        <f t="shared" si="741"/>
        <v>0.26804716874462386</v>
      </c>
      <c r="CJ63" s="39">
        <f t="shared" si="741"/>
        <v>0.27230095587946906</v>
      </c>
      <c r="CK63" s="39">
        <f t="shared" si="741"/>
        <v>0.25421158286656526</v>
      </c>
      <c r="CL63" s="39">
        <f t="shared" si="741"/>
        <v>0.2476038538250549</v>
      </c>
      <c r="CM63" s="40">
        <f t="shared" si="741"/>
        <v>0.24868608465789765</v>
      </c>
      <c r="CN63" s="40">
        <f t="shared" si="741"/>
        <v>0.25028154405216624</v>
      </c>
      <c r="CO63" s="40">
        <f t="shared" si="741"/>
        <v>0.24665143107493809</v>
      </c>
      <c r="CP63" s="40">
        <f t="shared" si="741"/>
        <v>0.24009018423219247</v>
      </c>
      <c r="CQ63" s="40">
        <f t="shared" si="741"/>
        <v>0.23782118013204151</v>
      </c>
      <c r="CR63" s="40">
        <f t="shared" si="741"/>
        <v>0.23546285953165644</v>
      </c>
      <c r="CS63" s="40">
        <f t="shared" si="741"/>
        <v>0.23253519493185593</v>
      </c>
      <c r="CT63" s="40">
        <f t="shared" si="741"/>
        <v>0.23006842009937536</v>
      </c>
      <c r="CU63" s="40">
        <f t="shared" si="741"/>
        <v>0.22574795639802009</v>
      </c>
      <c r="CV63" s="40">
        <f t="shared" si="741"/>
        <v>0.22093763071314071</v>
      </c>
      <c r="CW63" s="40">
        <f t="shared" si="741"/>
        <v>0.21547142455572146</v>
      </c>
      <c r="CX63" s="40">
        <f t="shared" ref="CX63:DB63" si="742">+SUM(CU42:CX42)/CX137</f>
        <v>0.20933941094973071</v>
      </c>
      <c r="CY63" s="40">
        <f t="shared" si="742"/>
        <v>0.20493406804687195</v>
      </c>
      <c r="CZ63" s="40">
        <f t="shared" si="742"/>
        <v>0.19968105274335013</v>
      </c>
      <c r="DA63" s="40">
        <f t="shared" si="742"/>
        <v>0.19386567904320023</v>
      </c>
      <c r="DB63" s="40">
        <f t="shared" si="742"/>
        <v>0.18774141025839214</v>
      </c>
      <c r="DE63" s="122"/>
      <c r="DF63" s="38">
        <v>0.24390175776066567</v>
      </c>
    </row>
    <row r="64" spans="1:110" s="1" customFormat="1" x14ac:dyDescent="0.2">
      <c r="A64" s="150" t="s">
        <v>488</v>
      </c>
      <c r="AB64" s="20"/>
      <c r="AC64" s="20"/>
      <c r="AD64" s="20"/>
      <c r="AE64" s="20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8" customFormat="1" x14ac:dyDescent="0.2">
      <c r="A65" s="12" t="s">
        <v>26</v>
      </c>
      <c r="AB65" s="58"/>
      <c r="AC65" s="58"/>
      <c r="AD65" s="58"/>
      <c r="AE65" s="58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E65" s="132"/>
    </row>
    <row r="66" spans="1:110" s="9" customFormat="1" x14ac:dyDescent="0.2">
      <c r="A66" s="9" t="s">
        <v>453</v>
      </c>
      <c r="N66" s="9">
        <f>N18-SUM(AI18:AL18)</f>
        <v>6.1982000000000426</v>
      </c>
      <c r="O66" s="9">
        <f>O18-SUM(AM18:AP18)</f>
        <v>2.3417000000000598</v>
      </c>
      <c r="P66" s="9">
        <f>P18-SUM(AQ18:AT18)</f>
        <v>7.3631000000000313</v>
      </c>
      <c r="Q66" s="9">
        <f>Q18-SUM(AU18:AX18)</f>
        <v>3.8111000000001241</v>
      </c>
      <c r="R66" s="9">
        <f>R18-SUM(AY18:BB18)</f>
        <v>8.7983000000001539</v>
      </c>
      <c r="S66" s="9">
        <f>S18-SUM(BC18:BF18)</f>
        <v>3.24350000000004</v>
      </c>
      <c r="T66" s="9">
        <f>T18-SUM(BG18:BJ18)</f>
        <v>11.756599999999935</v>
      </c>
      <c r="U66" s="9">
        <f>U18-SUM(BK18:BN18)</f>
        <v>1.1324000000001888</v>
      </c>
      <c r="V66" s="9">
        <f>V18-SUM(BO18:BR18)</f>
        <v>5.9037000000000717</v>
      </c>
      <c r="W66" s="9">
        <f>W18-SUM(BS18:BV18)</f>
        <v>6.4841999999994187</v>
      </c>
      <c r="X66" s="9">
        <f>X18-SUM(BW18:BZ18)</f>
        <v>-5.0000000010186341E-4</v>
      </c>
      <c r="Y66" s="9">
        <f>Y18-SUM(CA18:CD18)</f>
        <v>-2.9999999969732016E-4</v>
      </c>
      <c r="Z66" s="9">
        <f>Z18-SUM(CE18:CH18)</f>
        <v>2.9999999924257281E-4</v>
      </c>
      <c r="AA66" s="9">
        <f>AA18-SUM(CF18:CI18)</f>
        <v>62.734699999999975</v>
      </c>
      <c r="AB66" s="15">
        <f>AB18-SUM(CM18:CP18)</f>
        <v>0</v>
      </c>
      <c r="AC66" s="15">
        <f>AC18-SUM(CQ18:CT18)</f>
        <v>0</v>
      </c>
      <c r="AD66" s="15">
        <f>AD18-SUM(CU18:CX18)</f>
        <v>0</v>
      </c>
      <c r="AE66" s="15">
        <f>AE18-SUM(CY18:DB18)</f>
        <v>0</v>
      </c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E66" s="133"/>
      <c r="DF66" s="9">
        <v>0</v>
      </c>
    </row>
    <row r="67" spans="1:110" s="9" customFormat="1" x14ac:dyDescent="0.2">
      <c r="A67" s="9" t="s">
        <v>454</v>
      </c>
      <c r="N67" s="9">
        <f>N24-SUM(AI24:AL24)</f>
        <v>35.88289999999995</v>
      </c>
      <c r="O67" s="9">
        <f>O24-SUM(AM24:AP24)</f>
        <v>34.788400000000138</v>
      </c>
      <c r="P67" s="9">
        <f>P24-SUM(AQ24:AT24)</f>
        <v>58.223100000000159</v>
      </c>
      <c r="Q67" s="9">
        <f>Q24-SUM(AU24:AX24)</f>
        <v>47.854199999999992</v>
      </c>
      <c r="R67" s="9">
        <f>R24-SUM(AY24:BB24)</f>
        <v>62.44380000000001</v>
      </c>
      <c r="S67" s="9">
        <f>S24-SUM(BC24:BF24)</f>
        <v>61.870100000000093</v>
      </c>
      <c r="T67" s="9">
        <f>T24-SUM(BG24:BJ24)</f>
        <v>97.575800000000072</v>
      </c>
      <c r="U67" s="9">
        <f>U24-SUM(BK24:BN24)</f>
        <v>69.680400000000191</v>
      </c>
      <c r="V67" s="9">
        <f>V24-SUM(BO24:BR24)</f>
        <v>79.258100000000013</v>
      </c>
      <c r="W67" s="9">
        <f>W24-SUM(BS24:BV24)</f>
        <v>120.04849999999988</v>
      </c>
      <c r="X67" s="9">
        <f>X24-SUM(BW24:BZ24)</f>
        <v>165.08449999999948</v>
      </c>
      <c r="Y67" s="9">
        <f>Y24-SUM(CA24:CD24)</f>
        <v>175.74969999999985</v>
      </c>
      <c r="Z67" s="9">
        <f>Z24-SUM(CE24:CH24)</f>
        <v>214.98629999999912</v>
      </c>
      <c r="AA67" s="9">
        <f>AA24-SUM(CF24:CI24)</f>
        <v>301.27149999999983</v>
      </c>
      <c r="AB67" s="15">
        <f>AB24-SUM(CM24:CP24)</f>
        <v>0</v>
      </c>
      <c r="AC67" s="15">
        <f>AC24-SUM(CQ24:CT24)</f>
        <v>0</v>
      </c>
      <c r="AD67" s="15">
        <f>AD24-SUM(CU24:CX24)</f>
        <v>0</v>
      </c>
      <c r="AE67" s="15">
        <f>AE24-SUM(CY24:DB24)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455</v>
      </c>
      <c r="N68" s="9">
        <f>N36-SUM(AI36:AL36)</f>
        <v>6.9389999999998935</v>
      </c>
      <c r="O68" s="9">
        <f>O36-SUM(AM36:AP36)</f>
        <v>-21.203199999999924</v>
      </c>
      <c r="P68" s="9">
        <f>P36-SUM(AQ36:AT36)</f>
        <v>-1.3019999999999641</v>
      </c>
      <c r="Q68" s="9">
        <f>Q36-SUM(AU36:AX36)</f>
        <v>4.4419000000001176</v>
      </c>
      <c r="R68" s="9">
        <f>R36-SUM(AY36:BB36)</f>
        <v>-11.035099999999943</v>
      </c>
      <c r="S68" s="9">
        <f>S36-SUM(BC36:BF36)</f>
        <v>2.4329999999997654</v>
      </c>
      <c r="T68" s="9">
        <f>T36-SUM(BG36:BJ36)</f>
        <v>12.795099999999934</v>
      </c>
      <c r="U68" s="9">
        <f>U36-SUM(BK36:BN36)</f>
        <v>-3.9282000000000039</v>
      </c>
      <c r="V68" s="9">
        <f>V36-SUM(BO36:BR36)</f>
        <v>5.0707000000002154</v>
      </c>
      <c r="W68" s="9">
        <f>W36-SUM(BS36:BV36)</f>
        <v>7.5077999999997473</v>
      </c>
      <c r="X68" s="9">
        <f>X36-SUM(BW36:BZ36)</f>
        <v>-2.2244000000006281</v>
      </c>
      <c r="Y68" s="9">
        <f>Y36-SUM(CA36:CD36)</f>
        <v>0.82150000000001455</v>
      </c>
      <c r="Z68" s="9">
        <f>Z36-SUM(CE36:CH36)</f>
        <v>0.44329999999945358</v>
      </c>
      <c r="AA68" s="9">
        <f>AA36-SUM(CF36:CI36)</f>
        <v>-68.191400000000158</v>
      </c>
      <c r="AB68" s="15">
        <f>AB36-SUM(CM36:CP36)</f>
        <v>0</v>
      </c>
      <c r="AC68" s="15">
        <f>AC36-SUM(CQ36:CT36)</f>
        <v>0</v>
      </c>
      <c r="AD68" s="15">
        <f>AD36-SUM(CU36:CX36)</f>
        <v>0</v>
      </c>
      <c r="AE68" s="15">
        <f>AE36-SUM(CY36:DB36)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456</v>
      </c>
      <c r="N69" s="9">
        <f>N56-SUM(AI56:AL56)</f>
        <v>1.9999999988584705E-4</v>
      </c>
      <c r="O69" s="9">
        <f>O56-SUM(AM56:AP56)</f>
        <v>-1.0999999999228294E-3</v>
      </c>
      <c r="P69" s="9">
        <f>P56-SUM(AQ56:AT56)</f>
        <v>-9.9999999974897946E-5</v>
      </c>
      <c r="Q69" s="9">
        <f>Q56-SUM(AU56:AX56)</f>
        <v>1.0100000000107912E-2</v>
      </c>
      <c r="R69" s="9">
        <f>R56-SUM(AY56:BB56)</f>
        <v>-1.3999999999327883E-3</v>
      </c>
      <c r="S69" s="9">
        <f>S56-SUM(BC56:BF56)</f>
        <v>-2.1000000002686647E-3</v>
      </c>
      <c r="T69" s="9">
        <f>T56-SUM(BG56:BJ56)</f>
        <v>8.9999999988776835E-4</v>
      </c>
      <c r="U69" s="9">
        <f>U56-SUM(BK56:BN56)</f>
        <v>-1.9000000000346517E-3</v>
      </c>
      <c r="V69" s="9">
        <f>V56-SUM(BO56:BR56)</f>
        <v>-9.9999999861211109E-5</v>
      </c>
      <c r="W69" s="9">
        <f>W49-SUM(BS49:BV49)</f>
        <v>1.499999999737156E-3</v>
      </c>
      <c r="X69" s="9">
        <f>X49-SUM(BW49:BZ49)</f>
        <v>3.1999999993104211E-3</v>
      </c>
      <c r="Y69" s="9">
        <f>Y49-SUM(CA49:CD49)</f>
        <v>-9.9999999974897946E-5</v>
      </c>
      <c r="Z69" s="9">
        <f>Z49-SUM(CE49:CH49)</f>
        <v>-2.2000000005846232E-3</v>
      </c>
      <c r="AA69" s="9">
        <f>AA49-SUM(CF49:CI49)</f>
        <v>-21.107900000000313</v>
      </c>
      <c r="AB69" s="15">
        <f>AB49-SUM(CM49:CP49)</f>
        <v>0</v>
      </c>
      <c r="AC69" s="15">
        <f>AC49-SUM(CQ49:CT49)</f>
        <v>0</v>
      </c>
      <c r="AD69" s="15">
        <f>AD49-SUM(CU49:CX49)</f>
        <v>0</v>
      </c>
      <c r="AE69" s="15">
        <f>AE49-SUM(CY49:DB49)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8" customFormat="1" x14ac:dyDescent="0.2">
      <c r="A70" s="149" t="s">
        <v>489</v>
      </c>
      <c r="AB70" s="58"/>
      <c r="AC70" s="58"/>
      <c r="AD70" s="58"/>
      <c r="AE70" s="58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E70" s="132"/>
    </row>
    <row r="71" spans="1:110" s="3" customFormat="1" x14ac:dyDescent="0.2">
      <c r="A71" s="3" t="s">
        <v>27</v>
      </c>
      <c r="B71" s="3">
        <f>'Annual Raw'!C104</f>
        <v>31.138200000000001</v>
      </c>
      <c r="C71" s="3">
        <f>'Annual Raw'!D104</f>
        <v>31.138200000000001</v>
      </c>
      <c r="D71" s="3">
        <f>'Annual Raw'!E104</f>
        <v>31.138200000000001</v>
      </c>
      <c r="E71" s="3">
        <f t="shared" ref="E71:Y71" si="743">+F71</f>
        <v>62.296999999999997</v>
      </c>
      <c r="F71" s="3">
        <f t="shared" si="743"/>
        <v>62.296999999999997</v>
      </c>
      <c r="G71" s="3">
        <f t="shared" si="743"/>
        <v>62.296999999999997</v>
      </c>
      <c r="H71" s="3">
        <f t="shared" si="743"/>
        <v>62.296999999999997</v>
      </c>
      <c r="I71" s="3">
        <f t="shared" si="743"/>
        <v>62.296999999999997</v>
      </c>
      <c r="J71" s="3">
        <f t="shared" si="743"/>
        <v>62.296999999999997</v>
      </c>
      <c r="K71" s="3">
        <f t="shared" si="743"/>
        <v>62.296999999999997</v>
      </c>
      <c r="L71" s="3">
        <f t="shared" si="743"/>
        <v>62.296999999999997</v>
      </c>
      <c r="M71" s="3">
        <f t="shared" si="743"/>
        <v>62.296999999999997</v>
      </c>
      <c r="N71" s="3">
        <f t="shared" si="743"/>
        <v>62.296999999999997</v>
      </c>
      <c r="O71" s="3">
        <f t="shared" si="743"/>
        <v>62.296999999999997</v>
      </c>
      <c r="P71" s="3">
        <f t="shared" si="743"/>
        <v>62.296999999999997</v>
      </c>
      <c r="Q71" s="3">
        <f t="shared" si="743"/>
        <v>62.296999999999997</v>
      </c>
      <c r="R71" s="3">
        <f t="shared" si="743"/>
        <v>62.296999999999997</v>
      </c>
      <c r="S71" s="3">
        <f t="shared" si="743"/>
        <v>62.296999999999997</v>
      </c>
      <c r="T71" s="3">
        <f t="shared" si="743"/>
        <v>62.296999999999997</v>
      </c>
      <c r="U71" s="3">
        <f t="shared" si="743"/>
        <v>62.296999999999997</v>
      </c>
      <c r="V71" s="3">
        <f t="shared" si="743"/>
        <v>62.296999999999997</v>
      </c>
      <c r="W71" s="3">
        <f t="shared" si="743"/>
        <v>62.296999999999997</v>
      </c>
      <c r="X71" s="3">
        <f t="shared" si="743"/>
        <v>62.296999999999997</v>
      </c>
      <c r="Y71" s="3">
        <f t="shared" si="743"/>
        <v>62.296999999999997</v>
      </c>
      <c r="Z71" s="3">
        <f>+AA71</f>
        <v>62.296999999999997</v>
      </c>
      <c r="AA71" s="3">
        <f>+AB71</f>
        <v>62.296999999999997</v>
      </c>
      <c r="AB71" s="37">
        <f>CP71</f>
        <v>62.296999999999997</v>
      </c>
      <c r="AC71" s="37">
        <f>CT71</f>
        <v>62.296999999999997</v>
      </c>
      <c r="AD71" s="37">
        <f>CX71</f>
        <v>62.296999999999997</v>
      </c>
      <c r="AE71" s="37">
        <f>DB71</f>
        <v>62.296999999999997</v>
      </c>
      <c r="AI71" s="3">
        <f t="shared" ref="AI71:CH71" si="744">+AJ71</f>
        <v>62.292999999999999</v>
      </c>
      <c r="AJ71" s="3">
        <f t="shared" si="744"/>
        <v>62.292999999999999</v>
      </c>
      <c r="AK71" s="3">
        <f t="shared" si="744"/>
        <v>62.292999999999999</v>
      </c>
      <c r="AL71" s="3">
        <f t="shared" si="744"/>
        <v>62.292999999999999</v>
      </c>
      <c r="AM71" s="3">
        <f t="shared" si="744"/>
        <v>62.292999999999999</v>
      </c>
      <c r="AN71" s="3">
        <f t="shared" si="744"/>
        <v>62.292999999999999</v>
      </c>
      <c r="AO71" s="3">
        <f t="shared" si="744"/>
        <v>62.292999999999999</v>
      </c>
      <c r="AP71" s="3">
        <f t="shared" si="744"/>
        <v>62.292999999999999</v>
      </c>
      <c r="AQ71" s="3">
        <f t="shared" si="744"/>
        <v>62.292999999999999</v>
      </c>
      <c r="AR71" s="3">
        <f t="shared" si="744"/>
        <v>62.292999999999999</v>
      </c>
      <c r="AS71" s="3">
        <f t="shared" si="744"/>
        <v>62.292999999999999</v>
      </c>
      <c r="AT71" s="3">
        <f t="shared" si="744"/>
        <v>62.292999999999999</v>
      </c>
      <c r="AU71" s="3">
        <f t="shared" si="744"/>
        <v>62.292999999999999</v>
      </c>
      <c r="AV71" s="3">
        <f t="shared" si="744"/>
        <v>62.292999999999999</v>
      </c>
      <c r="AW71" s="3">
        <f t="shared" si="744"/>
        <v>62.292999999999999</v>
      </c>
      <c r="AX71" s="3">
        <f t="shared" si="744"/>
        <v>62.292999999999999</v>
      </c>
      <c r="AY71" s="3">
        <f t="shared" si="744"/>
        <v>62.292999999999999</v>
      </c>
      <c r="AZ71" s="3">
        <f t="shared" si="744"/>
        <v>62.292999999999999</v>
      </c>
      <c r="BA71" s="3">
        <f t="shared" si="744"/>
        <v>62.292999999999999</v>
      </c>
      <c r="BB71" s="3">
        <f t="shared" si="744"/>
        <v>62.292999999999999</v>
      </c>
      <c r="BC71" s="3">
        <f t="shared" si="744"/>
        <v>62.292999999999999</v>
      </c>
      <c r="BD71" s="3">
        <f t="shared" si="744"/>
        <v>62.292999999999999</v>
      </c>
      <c r="BE71" s="3">
        <f t="shared" si="744"/>
        <v>62.292999999999999</v>
      </c>
      <c r="BF71" s="3">
        <f t="shared" si="744"/>
        <v>62.292999999999999</v>
      </c>
      <c r="BG71" s="3">
        <f t="shared" si="744"/>
        <v>62.292999999999999</v>
      </c>
      <c r="BH71" s="3">
        <f t="shared" si="744"/>
        <v>62.292999999999999</v>
      </c>
      <c r="BI71" s="3">
        <f t="shared" si="744"/>
        <v>62.292999999999999</v>
      </c>
      <c r="BJ71" s="3">
        <f t="shared" si="744"/>
        <v>62.292999999999999</v>
      </c>
      <c r="BK71" s="3">
        <f t="shared" si="744"/>
        <v>62.292999999999999</v>
      </c>
      <c r="BL71" s="3">
        <f t="shared" si="744"/>
        <v>62.292999999999999</v>
      </c>
      <c r="BM71" s="3">
        <f t="shared" si="744"/>
        <v>62.292999999999999</v>
      </c>
      <c r="BN71" s="3">
        <f t="shared" si="744"/>
        <v>62.292999999999999</v>
      </c>
      <c r="BO71" s="3">
        <f t="shared" si="744"/>
        <v>62.292999999999999</v>
      </c>
      <c r="BP71" s="3">
        <f t="shared" si="744"/>
        <v>62.292999999999999</v>
      </c>
      <c r="BQ71" s="3">
        <f t="shared" si="744"/>
        <v>62.292999999999999</v>
      </c>
      <c r="BR71" s="3">
        <f t="shared" si="744"/>
        <v>62.292999999999999</v>
      </c>
      <c r="BS71" s="3">
        <f t="shared" si="744"/>
        <v>62.292999999999999</v>
      </c>
      <c r="BT71" s="3">
        <f t="shared" si="744"/>
        <v>62.292999999999999</v>
      </c>
      <c r="BU71" s="3">
        <f t="shared" si="744"/>
        <v>62.292999999999999</v>
      </c>
      <c r="BV71" s="3">
        <f t="shared" si="744"/>
        <v>62.292999999999999</v>
      </c>
      <c r="BW71" s="3">
        <f t="shared" si="744"/>
        <v>62.292999999999999</v>
      </c>
      <c r="BX71" s="3">
        <f t="shared" si="744"/>
        <v>62.292999999999999</v>
      </c>
      <c r="BY71" s="3">
        <f t="shared" si="744"/>
        <v>62.292999999999999</v>
      </c>
      <c r="BZ71" s="3">
        <f t="shared" si="744"/>
        <v>62.292999999999999</v>
      </c>
      <c r="CA71" s="3">
        <f t="shared" si="744"/>
        <v>62.292999999999999</v>
      </c>
      <c r="CB71" s="3">
        <f t="shared" si="744"/>
        <v>62.292999999999999</v>
      </c>
      <c r="CC71" s="3">
        <f t="shared" si="744"/>
        <v>62.292999999999999</v>
      </c>
      <c r="CD71" s="3">
        <f t="shared" si="744"/>
        <v>62.292999999999999</v>
      </c>
      <c r="CE71" s="3">
        <f t="shared" si="744"/>
        <v>62.292999999999999</v>
      </c>
      <c r="CF71" s="3">
        <f t="shared" si="744"/>
        <v>62.292999999999999</v>
      </c>
      <c r="CG71" s="3">
        <f t="shared" si="744"/>
        <v>62.292999999999999</v>
      </c>
      <c r="CH71" s="3">
        <f t="shared" si="744"/>
        <v>62.292999999999999</v>
      </c>
      <c r="CI71" s="3">
        <f>+CJ71</f>
        <v>62.292999999999999</v>
      </c>
      <c r="CJ71" s="3">
        <f>'QTR Raw'!BD45</f>
        <v>62.292999999999999</v>
      </c>
      <c r="CK71" s="3">
        <f t="shared" ref="CK71:CK72" si="745">+CJ71</f>
        <v>62.292999999999999</v>
      </c>
      <c r="CL71" s="3">
        <f>'QTR Raw'!BF45</f>
        <v>62.296999999999997</v>
      </c>
      <c r="CM71" s="37">
        <f t="shared" ref="CM71:CM72" si="746">+CL71</f>
        <v>62.296999999999997</v>
      </c>
      <c r="CN71" s="37">
        <f t="shared" ref="CN71:CN72" si="747">+CM71</f>
        <v>62.296999999999997</v>
      </c>
      <c r="CO71" s="37">
        <f t="shared" ref="CO71:CO72" si="748">+CN71</f>
        <v>62.296999999999997</v>
      </c>
      <c r="CP71" s="37">
        <f t="shared" ref="CP71:CP72" si="749">+CO71</f>
        <v>62.296999999999997</v>
      </c>
      <c r="CQ71" s="37">
        <f t="shared" ref="CQ71:CQ72" si="750">+CP71</f>
        <v>62.296999999999997</v>
      </c>
      <c r="CR71" s="37">
        <f t="shared" ref="CR71:CR72" si="751">+CQ71</f>
        <v>62.296999999999997</v>
      </c>
      <c r="CS71" s="37">
        <f t="shared" ref="CS71:CS72" si="752">+CR71</f>
        <v>62.296999999999997</v>
      </c>
      <c r="CT71" s="37">
        <f t="shared" ref="CT71:CT72" si="753">+CS71</f>
        <v>62.296999999999997</v>
      </c>
      <c r="CU71" s="37">
        <f t="shared" ref="CU71:CU72" si="754">+CT71</f>
        <v>62.296999999999997</v>
      </c>
      <c r="CV71" s="37">
        <f t="shared" ref="CV71:CV72" si="755">+CU71</f>
        <v>62.296999999999997</v>
      </c>
      <c r="CW71" s="37">
        <f t="shared" ref="CW71:CW72" si="756">+CV71</f>
        <v>62.296999999999997</v>
      </c>
      <c r="CX71" s="37">
        <f t="shared" ref="CX71:CX72" si="757">+CW71</f>
        <v>62.296999999999997</v>
      </c>
      <c r="CY71" s="37">
        <f t="shared" ref="CY71:CY72" si="758">+CX71</f>
        <v>62.296999999999997</v>
      </c>
      <c r="CZ71" s="37">
        <f t="shared" ref="CZ71:CZ72" si="759">+CY71</f>
        <v>62.296999999999997</v>
      </c>
      <c r="DA71" s="37">
        <f t="shared" ref="DA71:DA72" si="760">+CZ71</f>
        <v>62.296999999999997</v>
      </c>
      <c r="DB71" s="37">
        <f t="shared" ref="DB71:DB72" si="761">+DA71</f>
        <v>62.296999999999997</v>
      </c>
      <c r="DE71" s="134"/>
      <c r="DF71" s="3">
        <v>62.292999999999999</v>
      </c>
    </row>
    <row r="72" spans="1:110" s="3" customFormat="1" x14ac:dyDescent="0.2">
      <c r="A72" s="3" t="s">
        <v>28</v>
      </c>
      <c r="B72" s="3">
        <f>'Annual Raw'!C105</f>
        <v>10</v>
      </c>
      <c r="C72" s="3">
        <f>'Annual Raw'!D105</f>
        <v>10</v>
      </c>
      <c r="D72" s="3">
        <f>'Annual Raw'!E105</f>
        <v>10</v>
      </c>
      <c r="E72" s="3">
        <f t="shared" ref="E72:Y72" si="762">+F72</f>
        <v>10</v>
      </c>
      <c r="F72" s="3">
        <f t="shared" si="762"/>
        <v>10</v>
      </c>
      <c r="G72" s="3">
        <f t="shared" si="762"/>
        <v>10</v>
      </c>
      <c r="H72" s="3">
        <f t="shared" si="762"/>
        <v>10</v>
      </c>
      <c r="I72" s="3">
        <f t="shared" si="762"/>
        <v>10</v>
      </c>
      <c r="J72" s="3">
        <f t="shared" si="762"/>
        <v>10</v>
      </c>
      <c r="K72" s="3">
        <f t="shared" si="762"/>
        <v>10</v>
      </c>
      <c r="L72" s="3">
        <f t="shared" si="762"/>
        <v>10</v>
      </c>
      <c r="M72" s="3">
        <f t="shared" si="762"/>
        <v>10</v>
      </c>
      <c r="N72" s="3">
        <f t="shared" si="762"/>
        <v>10</v>
      </c>
      <c r="O72" s="3">
        <f t="shared" si="762"/>
        <v>10</v>
      </c>
      <c r="P72" s="3">
        <f t="shared" si="762"/>
        <v>10</v>
      </c>
      <c r="Q72" s="3">
        <f t="shared" si="762"/>
        <v>10</v>
      </c>
      <c r="R72" s="3">
        <f t="shared" si="762"/>
        <v>10</v>
      </c>
      <c r="S72" s="3">
        <f t="shared" si="762"/>
        <v>10</v>
      </c>
      <c r="T72" s="3">
        <f t="shared" si="762"/>
        <v>10</v>
      </c>
      <c r="U72" s="3">
        <f t="shared" si="762"/>
        <v>10</v>
      </c>
      <c r="V72" s="3">
        <f t="shared" si="762"/>
        <v>10</v>
      </c>
      <c r="W72" s="3">
        <f t="shared" si="762"/>
        <v>10</v>
      </c>
      <c r="X72" s="3">
        <f t="shared" si="762"/>
        <v>10</v>
      </c>
      <c r="Y72" s="3">
        <f t="shared" si="762"/>
        <v>10</v>
      </c>
      <c r="Z72" s="3">
        <f>+AA72</f>
        <v>10</v>
      </c>
      <c r="AA72" s="3">
        <f>+AB72</f>
        <v>10</v>
      </c>
      <c r="AB72" s="37">
        <f>CP72</f>
        <v>10</v>
      </c>
      <c r="AC72" s="37">
        <f>CT72</f>
        <v>10</v>
      </c>
      <c r="AD72" s="37">
        <f>CX72</f>
        <v>10</v>
      </c>
      <c r="AE72" s="37">
        <f>DB72</f>
        <v>10</v>
      </c>
      <c r="AI72" s="3">
        <f t="shared" ref="AI72:CH72" si="763">AJ72</f>
        <v>10</v>
      </c>
      <c r="AJ72" s="3">
        <f t="shared" si="763"/>
        <v>10</v>
      </c>
      <c r="AK72" s="3">
        <f t="shared" si="763"/>
        <v>10</v>
      </c>
      <c r="AL72" s="3">
        <f t="shared" si="763"/>
        <v>10</v>
      </c>
      <c r="AM72" s="3">
        <f t="shared" si="763"/>
        <v>10</v>
      </c>
      <c r="AN72" s="3">
        <f t="shared" si="763"/>
        <v>10</v>
      </c>
      <c r="AO72" s="3">
        <f t="shared" si="763"/>
        <v>10</v>
      </c>
      <c r="AP72" s="3">
        <f t="shared" si="763"/>
        <v>10</v>
      </c>
      <c r="AQ72" s="3">
        <f t="shared" si="763"/>
        <v>10</v>
      </c>
      <c r="AR72" s="3">
        <f t="shared" si="763"/>
        <v>10</v>
      </c>
      <c r="AS72" s="3">
        <f t="shared" si="763"/>
        <v>10</v>
      </c>
      <c r="AT72" s="3">
        <f t="shared" si="763"/>
        <v>10</v>
      </c>
      <c r="AU72" s="3">
        <f t="shared" si="763"/>
        <v>10</v>
      </c>
      <c r="AV72" s="3">
        <f t="shared" si="763"/>
        <v>10</v>
      </c>
      <c r="AW72" s="3">
        <f t="shared" si="763"/>
        <v>10</v>
      </c>
      <c r="AX72" s="3">
        <f t="shared" si="763"/>
        <v>10</v>
      </c>
      <c r="AY72" s="3">
        <f t="shared" si="763"/>
        <v>10</v>
      </c>
      <c r="AZ72" s="3">
        <f t="shared" si="763"/>
        <v>10</v>
      </c>
      <c r="BA72" s="3">
        <f t="shared" si="763"/>
        <v>10</v>
      </c>
      <c r="BB72" s="3">
        <f t="shared" si="763"/>
        <v>10</v>
      </c>
      <c r="BC72" s="3">
        <f t="shared" si="763"/>
        <v>10</v>
      </c>
      <c r="BD72" s="3">
        <f t="shared" si="763"/>
        <v>10</v>
      </c>
      <c r="BE72" s="3">
        <f t="shared" si="763"/>
        <v>10</v>
      </c>
      <c r="BF72" s="3">
        <f t="shared" si="763"/>
        <v>10</v>
      </c>
      <c r="BG72" s="3">
        <f t="shared" si="763"/>
        <v>10</v>
      </c>
      <c r="BH72" s="3">
        <f t="shared" si="763"/>
        <v>10</v>
      </c>
      <c r="BI72" s="3">
        <f t="shared" si="763"/>
        <v>10</v>
      </c>
      <c r="BJ72" s="3">
        <f t="shared" si="763"/>
        <v>10</v>
      </c>
      <c r="BK72" s="3">
        <f t="shared" si="763"/>
        <v>10</v>
      </c>
      <c r="BL72" s="3">
        <f t="shared" si="763"/>
        <v>10</v>
      </c>
      <c r="BM72" s="3">
        <f t="shared" si="763"/>
        <v>10</v>
      </c>
      <c r="BN72" s="3">
        <f t="shared" si="763"/>
        <v>10</v>
      </c>
      <c r="BO72" s="3">
        <f t="shared" si="763"/>
        <v>10</v>
      </c>
      <c r="BP72" s="3">
        <f t="shared" si="763"/>
        <v>10</v>
      </c>
      <c r="BQ72" s="3">
        <f t="shared" si="763"/>
        <v>10</v>
      </c>
      <c r="BR72" s="3">
        <f t="shared" si="763"/>
        <v>10</v>
      </c>
      <c r="BS72" s="3">
        <f t="shared" si="763"/>
        <v>10</v>
      </c>
      <c r="BT72" s="3">
        <f t="shared" si="763"/>
        <v>10</v>
      </c>
      <c r="BU72" s="3">
        <f t="shared" si="763"/>
        <v>10</v>
      </c>
      <c r="BV72" s="3">
        <f t="shared" si="763"/>
        <v>10</v>
      </c>
      <c r="BW72" s="3">
        <f t="shared" si="763"/>
        <v>10</v>
      </c>
      <c r="BX72" s="3">
        <f t="shared" si="763"/>
        <v>10</v>
      </c>
      <c r="BY72" s="3">
        <f t="shared" si="763"/>
        <v>10</v>
      </c>
      <c r="BZ72" s="3">
        <f t="shared" si="763"/>
        <v>10</v>
      </c>
      <c r="CA72" s="3">
        <f t="shared" si="763"/>
        <v>10</v>
      </c>
      <c r="CB72" s="3">
        <f t="shared" si="763"/>
        <v>10</v>
      </c>
      <c r="CC72" s="3">
        <f t="shared" si="763"/>
        <v>10</v>
      </c>
      <c r="CD72" s="3">
        <f t="shared" si="763"/>
        <v>10</v>
      </c>
      <c r="CE72" s="3">
        <f t="shared" si="763"/>
        <v>10</v>
      </c>
      <c r="CF72" s="3">
        <f t="shared" si="763"/>
        <v>10</v>
      </c>
      <c r="CG72" s="3">
        <f t="shared" si="763"/>
        <v>10</v>
      </c>
      <c r="CH72" s="3">
        <f t="shared" si="763"/>
        <v>10</v>
      </c>
      <c r="CI72" s="3">
        <f>CJ72</f>
        <v>10</v>
      </c>
      <c r="CJ72" s="3">
        <f>'QTR Raw'!BD46</f>
        <v>10</v>
      </c>
      <c r="CK72" s="3">
        <f t="shared" si="745"/>
        <v>10</v>
      </c>
      <c r="CL72" s="3">
        <f>'QTR Raw'!BF46</f>
        <v>10</v>
      </c>
      <c r="CM72" s="37">
        <f t="shared" si="746"/>
        <v>10</v>
      </c>
      <c r="CN72" s="37">
        <f t="shared" si="747"/>
        <v>10</v>
      </c>
      <c r="CO72" s="37">
        <f t="shared" si="748"/>
        <v>10</v>
      </c>
      <c r="CP72" s="37">
        <f t="shared" si="749"/>
        <v>10</v>
      </c>
      <c r="CQ72" s="37">
        <f t="shared" si="750"/>
        <v>10</v>
      </c>
      <c r="CR72" s="37">
        <f t="shared" si="751"/>
        <v>10</v>
      </c>
      <c r="CS72" s="37">
        <f t="shared" si="752"/>
        <v>10</v>
      </c>
      <c r="CT72" s="37">
        <f t="shared" si="753"/>
        <v>10</v>
      </c>
      <c r="CU72" s="37">
        <f t="shared" si="754"/>
        <v>10</v>
      </c>
      <c r="CV72" s="37">
        <f t="shared" si="755"/>
        <v>10</v>
      </c>
      <c r="CW72" s="37">
        <f t="shared" si="756"/>
        <v>10</v>
      </c>
      <c r="CX72" s="37">
        <f t="shared" si="757"/>
        <v>10</v>
      </c>
      <c r="CY72" s="37">
        <f t="shared" si="758"/>
        <v>10</v>
      </c>
      <c r="CZ72" s="37">
        <f t="shared" si="759"/>
        <v>10</v>
      </c>
      <c r="DA72" s="37">
        <f t="shared" si="760"/>
        <v>10</v>
      </c>
      <c r="DB72" s="37">
        <f t="shared" si="761"/>
        <v>10</v>
      </c>
      <c r="DE72" s="134"/>
      <c r="DF72" s="3">
        <v>10</v>
      </c>
    </row>
    <row r="73" spans="1:110" s="3" customFormat="1" x14ac:dyDescent="0.2">
      <c r="A73" s="3" t="s">
        <v>29</v>
      </c>
      <c r="B73" s="3">
        <f>B71/B72</f>
        <v>3.11382</v>
      </c>
      <c r="C73" s="3">
        <f t="shared" ref="C73:W73" si="764">C71/C72</f>
        <v>3.11382</v>
      </c>
      <c r="D73" s="3">
        <f t="shared" si="764"/>
        <v>3.11382</v>
      </c>
      <c r="E73" s="3">
        <f t="shared" si="764"/>
        <v>6.2296999999999993</v>
      </c>
      <c r="F73" s="3">
        <f t="shared" si="764"/>
        <v>6.2296999999999993</v>
      </c>
      <c r="G73" s="3">
        <f t="shared" si="764"/>
        <v>6.2296999999999993</v>
      </c>
      <c r="H73" s="3">
        <f t="shared" si="764"/>
        <v>6.2296999999999993</v>
      </c>
      <c r="I73" s="3">
        <f t="shared" si="764"/>
        <v>6.2296999999999993</v>
      </c>
      <c r="J73" s="3">
        <f t="shared" si="764"/>
        <v>6.2296999999999993</v>
      </c>
      <c r="K73" s="3">
        <f t="shared" si="764"/>
        <v>6.2296999999999993</v>
      </c>
      <c r="L73" s="3">
        <f t="shared" si="764"/>
        <v>6.2296999999999993</v>
      </c>
      <c r="M73" s="3">
        <f t="shared" si="764"/>
        <v>6.2296999999999993</v>
      </c>
      <c r="N73" s="3">
        <f t="shared" si="764"/>
        <v>6.2296999999999993</v>
      </c>
      <c r="O73" s="3">
        <f t="shared" si="764"/>
        <v>6.2296999999999993</v>
      </c>
      <c r="P73" s="3">
        <f t="shared" si="764"/>
        <v>6.2296999999999993</v>
      </c>
      <c r="Q73" s="3">
        <f t="shared" si="764"/>
        <v>6.2296999999999993</v>
      </c>
      <c r="R73" s="3">
        <f t="shared" si="764"/>
        <v>6.2296999999999993</v>
      </c>
      <c r="S73" s="3">
        <f t="shared" si="764"/>
        <v>6.2296999999999993</v>
      </c>
      <c r="T73" s="3">
        <f t="shared" si="764"/>
        <v>6.2296999999999993</v>
      </c>
      <c r="U73" s="3">
        <f t="shared" si="764"/>
        <v>6.2296999999999993</v>
      </c>
      <c r="V73" s="3">
        <f>V71/V72</f>
        <v>6.2296999999999993</v>
      </c>
      <c r="W73" s="3">
        <f t="shared" si="764"/>
        <v>6.2296999999999993</v>
      </c>
      <c r="X73" s="3">
        <f t="shared" ref="X73:Y73" si="765">X71/X72</f>
        <v>6.2296999999999993</v>
      </c>
      <c r="Y73" s="3">
        <f t="shared" si="765"/>
        <v>6.2296999999999993</v>
      </c>
      <c r="Z73" s="3">
        <f t="shared" ref="Z73:AA73" si="766">Z71/Z72</f>
        <v>6.2296999999999993</v>
      </c>
      <c r="AA73" s="3">
        <f t="shared" si="766"/>
        <v>6.2296999999999993</v>
      </c>
      <c r="AB73" s="37">
        <f t="shared" ref="AA73:AD73" si="767">AB71/AB72</f>
        <v>6.2296999999999993</v>
      </c>
      <c r="AC73" s="37">
        <f t="shared" si="767"/>
        <v>6.2296999999999993</v>
      </c>
      <c r="AD73" s="37">
        <f t="shared" si="767"/>
        <v>6.2296999999999993</v>
      </c>
      <c r="AE73" s="37">
        <f t="shared" ref="AE73" si="768">AE71/AE72</f>
        <v>6.2296999999999993</v>
      </c>
      <c r="AI73" s="3">
        <f t="shared" ref="AI73" si="769">AI71/AI72</f>
        <v>6.2293000000000003</v>
      </c>
      <c r="AJ73" s="3">
        <f t="shared" ref="AJ73" si="770">AJ71/AJ72</f>
        <v>6.2293000000000003</v>
      </c>
      <c r="AK73" s="3">
        <f t="shared" ref="AK73:AM73" si="771">AK71/AK72</f>
        <v>6.2293000000000003</v>
      </c>
      <c r="AL73" s="3">
        <f t="shared" si="771"/>
        <v>6.2293000000000003</v>
      </c>
      <c r="AM73" s="3">
        <f t="shared" si="771"/>
        <v>6.2293000000000003</v>
      </c>
      <c r="AN73" s="3">
        <f t="shared" ref="AN73:AO73" si="772">AN71/AN72</f>
        <v>6.2293000000000003</v>
      </c>
      <c r="AO73" s="3">
        <f t="shared" si="772"/>
        <v>6.2293000000000003</v>
      </c>
      <c r="AP73" s="3">
        <f t="shared" ref="AP73:CD73" si="773">AP71/AP72</f>
        <v>6.2293000000000003</v>
      </c>
      <c r="AQ73" s="3">
        <f t="shared" si="773"/>
        <v>6.2293000000000003</v>
      </c>
      <c r="AR73" s="3">
        <f t="shared" si="773"/>
        <v>6.2293000000000003</v>
      </c>
      <c r="AS73" s="3">
        <f t="shared" si="773"/>
        <v>6.2293000000000003</v>
      </c>
      <c r="AT73" s="3">
        <f t="shared" si="773"/>
        <v>6.2293000000000003</v>
      </c>
      <c r="AU73" s="3">
        <f t="shared" si="773"/>
        <v>6.2293000000000003</v>
      </c>
      <c r="AV73" s="3">
        <f t="shared" si="773"/>
        <v>6.2293000000000003</v>
      </c>
      <c r="AW73" s="3">
        <f t="shared" si="773"/>
        <v>6.2293000000000003</v>
      </c>
      <c r="AX73" s="3">
        <f t="shared" si="773"/>
        <v>6.2293000000000003</v>
      </c>
      <c r="AY73" s="3">
        <f t="shared" si="773"/>
        <v>6.2293000000000003</v>
      </c>
      <c r="AZ73" s="3">
        <f t="shared" si="773"/>
        <v>6.2293000000000003</v>
      </c>
      <c r="BA73" s="3">
        <f t="shared" si="773"/>
        <v>6.2293000000000003</v>
      </c>
      <c r="BB73" s="3">
        <f t="shared" si="773"/>
        <v>6.2293000000000003</v>
      </c>
      <c r="BC73" s="3">
        <f t="shared" si="773"/>
        <v>6.2293000000000003</v>
      </c>
      <c r="BD73" s="3">
        <f t="shared" si="773"/>
        <v>6.2293000000000003</v>
      </c>
      <c r="BE73" s="3">
        <f t="shared" si="773"/>
        <v>6.2293000000000003</v>
      </c>
      <c r="BF73" s="3">
        <f t="shared" si="773"/>
        <v>6.2293000000000003</v>
      </c>
      <c r="BG73" s="3">
        <f t="shared" si="773"/>
        <v>6.2293000000000003</v>
      </c>
      <c r="BH73" s="3">
        <f t="shared" si="773"/>
        <v>6.2293000000000003</v>
      </c>
      <c r="BI73" s="3">
        <f t="shared" si="773"/>
        <v>6.2293000000000003</v>
      </c>
      <c r="BJ73" s="3">
        <f t="shared" si="773"/>
        <v>6.2293000000000003</v>
      </c>
      <c r="BK73" s="3">
        <f t="shared" si="773"/>
        <v>6.2293000000000003</v>
      </c>
      <c r="BL73" s="3">
        <f t="shared" si="773"/>
        <v>6.2293000000000003</v>
      </c>
      <c r="BM73" s="3">
        <f t="shared" si="773"/>
        <v>6.2293000000000003</v>
      </c>
      <c r="BN73" s="3">
        <f t="shared" si="773"/>
        <v>6.2293000000000003</v>
      </c>
      <c r="BO73" s="3">
        <f t="shared" si="773"/>
        <v>6.2293000000000003</v>
      </c>
      <c r="BP73" s="3">
        <f t="shared" si="773"/>
        <v>6.2293000000000003</v>
      </c>
      <c r="BQ73" s="3">
        <f t="shared" si="773"/>
        <v>6.2293000000000003</v>
      </c>
      <c r="BR73" s="3">
        <f t="shared" si="773"/>
        <v>6.2293000000000003</v>
      </c>
      <c r="BS73" s="3">
        <f t="shared" si="773"/>
        <v>6.2293000000000003</v>
      </c>
      <c r="BT73" s="3">
        <f t="shared" si="773"/>
        <v>6.2293000000000003</v>
      </c>
      <c r="BU73" s="3">
        <f t="shared" si="773"/>
        <v>6.2293000000000003</v>
      </c>
      <c r="BV73" s="3">
        <f t="shared" si="773"/>
        <v>6.2293000000000003</v>
      </c>
      <c r="BW73" s="3">
        <f t="shared" si="773"/>
        <v>6.2293000000000003</v>
      </c>
      <c r="BX73" s="3">
        <f t="shared" si="773"/>
        <v>6.2293000000000003</v>
      </c>
      <c r="BY73" s="3">
        <f t="shared" si="773"/>
        <v>6.2293000000000003</v>
      </c>
      <c r="BZ73" s="3">
        <f t="shared" si="773"/>
        <v>6.2293000000000003</v>
      </c>
      <c r="CA73" s="3">
        <f t="shared" si="773"/>
        <v>6.2293000000000003</v>
      </c>
      <c r="CB73" s="3">
        <f t="shared" si="773"/>
        <v>6.2293000000000003</v>
      </c>
      <c r="CC73" s="3">
        <f t="shared" si="773"/>
        <v>6.2293000000000003</v>
      </c>
      <c r="CD73" s="3">
        <f t="shared" si="773"/>
        <v>6.2293000000000003</v>
      </c>
      <c r="CE73" s="3">
        <f t="shared" ref="CE73:CF73" si="774">CE71/CE72</f>
        <v>6.2293000000000003</v>
      </c>
      <c r="CF73" s="3">
        <f t="shared" si="774"/>
        <v>6.2293000000000003</v>
      </c>
      <c r="CG73" s="3">
        <f t="shared" ref="CG73:CH73" si="775">CG71/CG72</f>
        <v>6.2293000000000003</v>
      </c>
      <c r="CH73" s="3">
        <f t="shared" si="775"/>
        <v>6.2293000000000003</v>
      </c>
      <c r="CI73" s="3">
        <f t="shared" ref="CI73:CJ73" si="776">CI71/CI72</f>
        <v>6.2293000000000003</v>
      </c>
      <c r="CJ73" s="3">
        <f t="shared" si="776"/>
        <v>6.2293000000000003</v>
      </c>
      <c r="CK73" s="3">
        <f t="shared" ref="CK73:CL73" si="777">CK71/CK72</f>
        <v>6.2293000000000003</v>
      </c>
      <c r="CL73" s="3">
        <f t="shared" si="777"/>
        <v>6.2296999999999993</v>
      </c>
      <c r="CM73" s="37">
        <f t="shared" ref="CM73:DB73" si="778">CM71/CM72</f>
        <v>6.2296999999999993</v>
      </c>
      <c r="CN73" s="37">
        <f t="shared" si="778"/>
        <v>6.2296999999999993</v>
      </c>
      <c r="CO73" s="37">
        <f t="shared" si="778"/>
        <v>6.2296999999999993</v>
      </c>
      <c r="CP73" s="37">
        <f t="shared" si="778"/>
        <v>6.2296999999999993</v>
      </c>
      <c r="CQ73" s="37">
        <f t="shared" si="778"/>
        <v>6.2296999999999993</v>
      </c>
      <c r="CR73" s="37">
        <f t="shared" si="778"/>
        <v>6.2296999999999993</v>
      </c>
      <c r="CS73" s="37">
        <f t="shared" si="778"/>
        <v>6.2296999999999993</v>
      </c>
      <c r="CT73" s="37">
        <f t="shared" si="778"/>
        <v>6.2296999999999993</v>
      </c>
      <c r="CU73" s="37">
        <f t="shared" si="778"/>
        <v>6.2296999999999993</v>
      </c>
      <c r="CV73" s="37">
        <f t="shared" si="778"/>
        <v>6.2296999999999993</v>
      </c>
      <c r="CW73" s="37">
        <f t="shared" si="778"/>
        <v>6.2296999999999993</v>
      </c>
      <c r="CX73" s="37">
        <f t="shared" si="778"/>
        <v>6.2296999999999993</v>
      </c>
      <c r="CY73" s="37">
        <f t="shared" si="778"/>
        <v>6.2296999999999993</v>
      </c>
      <c r="CZ73" s="37">
        <f t="shared" si="778"/>
        <v>6.2296999999999993</v>
      </c>
      <c r="DA73" s="37">
        <f t="shared" si="778"/>
        <v>6.2296999999999993</v>
      </c>
      <c r="DB73" s="37">
        <f t="shared" si="778"/>
        <v>6.2296999999999993</v>
      </c>
      <c r="DE73" s="134"/>
      <c r="DF73" s="3">
        <v>6.2293000000000003</v>
      </c>
    </row>
    <row r="74" spans="1:110" s="53" customFormat="1" x14ac:dyDescent="0.2">
      <c r="A74" s="53" t="s">
        <v>30</v>
      </c>
      <c r="B74" s="53">
        <f t="shared" ref="B74:AE74" si="779">(B56-B55)/B73</f>
        <v>4.4524089382173599</v>
      </c>
      <c r="C74" s="53">
        <f t="shared" si="779"/>
        <v>5.3790520967814457</v>
      </c>
      <c r="D74" s="53">
        <f t="shared" si="779"/>
        <v>3.7530750011240239</v>
      </c>
      <c r="E74" s="53">
        <f t="shared" si="779"/>
        <v>2.8164759137679232</v>
      </c>
      <c r="F74" s="53">
        <f t="shared" si="779"/>
        <v>4.220331637157491</v>
      </c>
      <c r="G74" s="53">
        <f t="shared" si="779"/>
        <v>5.5104419153410253</v>
      </c>
      <c r="H74" s="53">
        <f t="shared" si="779"/>
        <v>8.3658763664381937</v>
      </c>
      <c r="I74" s="53">
        <f t="shared" si="779"/>
        <v>8.4828643433873232</v>
      </c>
      <c r="J74" s="53">
        <f t="shared" si="779"/>
        <v>9.3357946610591149</v>
      </c>
      <c r="K74" s="53">
        <f t="shared" si="779"/>
        <v>7.836187938424005</v>
      </c>
      <c r="L74" s="53">
        <f t="shared" si="779"/>
        <v>22.336228068767362</v>
      </c>
      <c r="M74" s="53">
        <f t="shared" si="779"/>
        <v>26.291651283368374</v>
      </c>
      <c r="N74" s="53">
        <f t="shared" si="779"/>
        <v>5.9720211246127279</v>
      </c>
      <c r="O74" s="53">
        <f t="shared" si="779"/>
        <v>11.599579434001638</v>
      </c>
      <c r="P74" s="53">
        <f t="shared" si="779"/>
        <v>16.376534985633345</v>
      </c>
      <c r="Q74" s="53">
        <f t="shared" si="779"/>
        <v>24.850329871422407</v>
      </c>
      <c r="R74" s="53">
        <f t="shared" si="779"/>
        <v>28.05666404481758</v>
      </c>
      <c r="S74" s="53">
        <f t="shared" si="779"/>
        <v>38.531213381061654</v>
      </c>
      <c r="T74" s="53">
        <f t="shared" si="779"/>
        <v>46.546206077339178</v>
      </c>
      <c r="U74" s="53">
        <f t="shared" si="779"/>
        <v>41.10953978522241</v>
      </c>
      <c r="V74" s="53">
        <f t="shared" si="779"/>
        <v>59.091432974300538</v>
      </c>
      <c r="W74" s="53">
        <f t="shared" si="779"/>
        <v>88.234024110310273</v>
      </c>
      <c r="X74" s="53">
        <f t="shared" si="779"/>
        <v>121.22464966210245</v>
      </c>
      <c r="Y74" s="53">
        <f t="shared" si="779"/>
        <v>127.17111578406667</v>
      </c>
      <c r="Z74" s="53">
        <f t="shared" si="779"/>
        <v>125.99913318458343</v>
      </c>
      <c r="AA74" s="53">
        <f t="shared" ref="AA74" si="780">(AA56-AA55)/AA73</f>
        <v>116.236592452285</v>
      </c>
      <c r="AB74" s="54">
        <f t="shared" si="779"/>
        <v>135.91512686151717</v>
      </c>
      <c r="AC74" s="54">
        <f t="shared" si="779"/>
        <v>162.59579662026493</v>
      </c>
      <c r="AD74" s="54">
        <f t="shared" si="779"/>
        <v>181.28269805783577</v>
      </c>
      <c r="AE74" s="54">
        <f t="shared" si="779"/>
        <v>201.71324047205985</v>
      </c>
      <c r="AI74" s="53">
        <f t="shared" ref="AI74:BN74" si="781">(AI56-AI55)/AI73</f>
        <v>1.6049957459104569</v>
      </c>
      <c r="AJ74" s="53">
        <f t="shared" si="781"/>
        <v>1.657168542211809</v>
      </c>
      <c r="AK74" s="53">
        <f t="shared" si="781"/>
        <v>1.4043311447514168</v>
      </c>
      <c r="AL74" s="53">
        <f t="shared" si="781"/>
        <v>1.3059252243430219</v>
      </c>
      <c r="AM74" s="53">
        <f t="shared" si="781"/>
        <v>1.4330663156373853</v>
      </c>
      <c r="AN74" s="53">
        <f t="shared" si="781"/>
        <v>3.1993964008797113</v>
      </c>
      <c r="AO74" s="53">
        <f t="shared" si="781"/>
        <v>3.4605814457483151</v>
      </c>
      <c r="AP74" s="53">
        <f t="shared" si="781"/>
        <v>3.507456696579069</v>
      </c>
      <c r="AQ74" s="53">
        <f t="shared" si="781"/>
        <v>3.3377747098389858</v>
      </c>
      <c r="AR74" s="53">
        <f t="shared" si="781"/>
        <v>3.7944873420769607</v>
      </c>
      <c r="AS74" s="53">
        <f t="shared" si="781"/>
        <v>4.4560383991780768</v>
      </c>
      <c r="AT74" s="53">
        <f t="shared" si="781"/>
        <v>4.7893021687830126</v>
      </c>
      <c r="AU74" s="53">
        <f t="shared" si="781"/>
        <v>5.7329073892732758</v>
      </c>
      <c r="AV74" s="53">
        <f t="shared" si="781"/>
        <v>6.1160965116465738</v>
      </c>
      <c r="AW74" s="53">
        <f t="shared" si="781"/>
        <v>6.4053746006774492</v>
      </c>
      <c r="AX74" s="53">
        <f t="shared" si="781"/>
        <v>6.5959257059380629</v>
      </c>
      <c r="AY74" s="53">
        <f t="shared" si="781"/>
        <v>6.6916025877706966</v>
      </c>
      <c r="AZ74" s="53">
        <f t="shared" si="781"/>
        <v>7.2979307466328462</v>
      </c>
      <c r="BA74" s="53">
        <f t="shared" si="781"/>
        <v>7.0873131812563184</v>
      </c>
      <c r="BB74" s="53">
        <f t="shared" si="781"/>
        <v>6.9818438668871305</v>
      </c>
      <c r="BC74" s="53">
        <f t="shared" si="781"/>
        <v>7.9854879360441871</v>
      </c>
      <c r="BD74" s="53">
        <f t="shared" si="781"/>
        <v>9.1888334162747007</v>
      </c>
      <c r="BE74" s="53">
        <f t="shared" si="781"/>
        <v>10.075931485078575</v>
      </c>
      <c r="BF74" s="53">
        <f t="shared" si="781"/>
        <v>11.283771852375063</v>
      </c>
      <c r="BG74" s="53">
        <f t="shared" si="781"/>
        <v>11.31716244200793</v>
      </c>
      <c r="BH74" s="53">
        <f t="shared" si="781"/>
        <v>13.192975133642618</v>
      </c>
      <c r="BI74" s="53">
        <f t="shared" si="781"/>
        <v>10.59412775111169</v>
      </c>
      <c r="BJ74" s="53">
        <f t="shared" si="781"/>
        <v>11.444785128345071</v>
      </c>
      <c r="BK74" s="53">
        <f t="shared" si="781"/>
        <v>7.832822307482382</v>
      </c>
      <c r="BL74" s="53">
        <f t="shared" si="781"/>
        <v>7.9956014319425961</v>
      </c>
      <c r="BM74" s="53">
        <f t="shared" si="781"/>
        <v>12.107459907212689</v>
      </c>
      <c r="BN74" s="53">
        <f t="shared" si="781"/>
        <v>13.176600902188047</v>
      </c>
      <c r="BO74" s="53">
        <f t="shared" ref="BO74:CT74" si="782">(BO56-BO55)/BO73</f>
        <v>11.05645899218211</v>
      </c>
      <c r="BP74" s="53">
        <f t="shared" si="782"/>
        <v>12.662417928178122</v>
      </c>
      <c r="BQ74" s="53">
        <f t="shared" si="782"/>
        <v>16.888253896906551</v>
      </c>
      <c r="BR74" s="53">
        <f t="shared" si="782"/>
        <v>18.488112629027317</v>
      </c>
      <c r="BS74" s="53">
        <f t="shared" si="782"/>
        <v>18.200279325124814</v>
      </c>
      <c r="BT74" s="53">
        <f t="shared" si="782"/>
        <v>20.119917165652648</v>
      </c>
      <c r="BU74" s="53">
        <f t="shared" si="782"/>
        <v>24.232257235965527</v>
      </c>
      <c r="BV74" s="53">
        <f t="shared" si="782"/>
        <v>25.686995328528084</v>
      </c>
      <c r="BW74" s="53">
        <f t="shared" si="782"/>
        <v>29.653572632559044</v>
      </c>
      <c r="BX74" s="53">
        <f t="shared" si="782"/>
        <v>27.976979756955032</v>
      </c>
      <c r="BY74" s="53">
        <f t="shared" si="782"/>
        <v>31.251826047870559</v>
      </c>
      <c r="BZ74" s="53">
        <f t="shared" si="782"/>
        <v>32.349541682050955</v>
      </c>
      <c r="CA74" s="53">
        <f t="shared" si="782"/>
        <v>30.316889538150367</v>
      </c>
      <c r="CB74" s="53">
        <f t="shared" si="782"/>
        <v>32.109225755702894</v>
      </c>
      <c r="CC74" s="53">
        <f t="shared" si="782"/>
        <v>33.139036488851083</v>
      </c>
      <c r="CD74" s="53">
        <f t="shared" si="782"/>
        <v>31.614146051723292</v>
      </c>
      <c r="CE74" s="53">
        <f t="shared" si="782"/>
        <v>29.550671825084684</v>
      </c>
      <c r="CF74" s="53">
        <f t="shared" si="782"/>
        <v>36.830944086815521</v>
      </c>
      <c r="CG74" s="53">
        <f t="shared" si="782"/>
        <v>31.94708875796637</v>
      </c>
      <c r="CH74" s="53">
        <f t="shared" si="782"/>
        <v>27.67887242547317</v>
      </c>
      <c r="CI74" s="53">
        <f t="shared" si="782"/>
        <v>23.1756377121025</v>
      </c>
      <c r="CJ74" s="53">
        <f t="shared" si="782"/>
        <v>24.853354309472977</v>
      </c>
      <c r="CK74" s="53">
        <f t="shared" si="782"/>
        <v>32.841410752411988</v>
      </c>
      <c r="CL74" s="53">
        <f t="shared" ref="CL74" si="783">(CL56-CL55)/CL73</f>
        <v>35.371045154662347</v>
      </c>
      <c r="CM74" s="54">
        <f t="shared" si="782"/>
        <v>30.206912400022091</v>
      </c>
      <c r="CN74" s="54">
        <f t="shared" si="782"/>
        <v>32.743080390236365</v>
      </c>
      <c r="CO74" s="54">
        <f t="shared" si="782"/>
        <v>35.820413217980366</v>
      </c>
      <c r="CP74" s="54">
        <f t="shared" si="782"/>
        <v>37.144720853278358</v>
      </c>
      <c r="CQ74" s="54">
        <f t="shared" si="782"/>
        <v>37.023674451174884</v>
      </c>
      <c r="CR74" s="54">
        <f t="shared" si="782"/>
        <v>39.576694406166318</v>
      </c>
      <c r="CS74" s="54">
        <f t="shared" si="782"/>
        <v>41.965462328215111</v>
      </c>
      <c r="CT74" s="54">
        <f t="shared" si="782"/>
        <v>44.029965434708529</v>
      </c>
      <c r="CU74" s="54">
        <f t="shared" ref="CU74:DB74" si="784">(CU56-CU55)/CU73</f>
        <v>42.298508842486186</v>
      </c>
      <c r="CV74" s="54">
        <f t="shared" si="784"/>
        <v>44.526768525916204</v>
      </c>
      <c r="CW74" s="54">
        <f t="shared" si="784"/>
        <v>46.428873378095268</v>
      </c>
      <c r="CX74" s="54">
        <f t="shared" si="784"/>
        <v>48.028547311338102</v>
      </c>
      <c r="CY74" s="54">
        <f t="shared" si="784"/>
        <v>48.486280585938744</v>
      </c>
      <c r="CZ74" s="54">
        <f t="shared" si="784"/>
        <v>49.918570568249322</v>
      </c>
      <c r="DA74" s="54">
        <f t="shared" si="784"/>
        <v>51.127527778054912</v>
      </c>
      <c r="DB74" s="54">
        <f t="shared" si="784"/>
        <v>52.180861539816853</v>
      </c>
      <c r="DE74" s="132"/>
      <c r="DF74" s="53">
        <v>29.122804023886033</v>
      </c>
    </row>
    <row r="75" spans="1:110" s="3" customFormat="1" x14ac:dyDescent="0.2">
      <c r="A75" s="3" t="s">
        <v>31</v>
      </c>
      <c r="B75" s="3">
        <f>'Annual Raw'!C110</f>
        <v>1.25</v>
      </c>
      <c r="C75" s="3">
        <f>'Annual Raw'!D110</f>
        <v>1.75</v>
      </c>
      <c r="D75" s="3">
        <f>'Annual Raw'!E110</f>
        <v>1.25</v>
      </c>
      <c r="E75" s="3">
        <f>'Annual Raw'!F110</f>
        <v>2</v>
      </c>
      <c r="F75" s="3">
        <f>'Annual Raw'!G110</f>
        <v>2.75</v>
      </c>
      <c r="G75" s="3">
        <f>'Annual Raw'!H110</f>
        <v>3.25</v>
      </c>
      <c r="H75" s="3">
        <f>'Annual Raw'!I110</f>
        <v>3.5</v>
      </c>
      <c r="I75" s="3">
        <f>'Annual Raw'!J110</f>
        <v>3.5</v>
      </c>
      <c r="J75" s="3">
        <f>'Annual Raw'!K110</f>
        <v>3.5</v>
      </c>
      <c r="K75" s="3">
        <f>'Annual Raw'!L110</f>
        <v>3.5</v>
      </c>
      <c r="L75" s="3">
        <f>'Annual Raw'!M110</f>
        <v>3.5</v>
      </c>
      <c r="M75" s="3">
        <f>'Annual Raw'!N110</f>
        <v>3.5</v>
      </c>
      <c r="N75" s="3">
        <f>'Annual Raw'!O110</f>
        <v>2.5</v>
      </c>
      <c r="O75" s="3">
        <f>'Annual Raw'!P110</f>
        <v>4.5</v>
      </c>
      <c r="P75" s="3">
        <f>'Annual Raw'!Q110</f>
        <v>5.5</v>
      </c>
      <c r="Q75" s="3">
        <f>'Annual Raw'!R110</f>
        <v>7</v>
      </c>
      <c r="R75" s="3">
        <f>'Annual Raw'!S110</f>
        <v>8</v>
      </c>
      <c r="S75" s="3">
        <f>'Annual Raw'!T110</f>
        <v>11</v>
      </c>
      <c r="T75" s="3">
        <f>'Annual Raw'!U110</f>
        <v>13.5</v>
      </c>
      <c r="U75" s="3">
        <f>'Annual Raw'!V110</f>
        <v>16.5</v>
      </c>
      <c r="V75" s="3">
        <f>'Annual Raw'!W110</f>
        <v>48</v>
      </c>
      <c r="W75" s="3">
        <f>'Annual Raw'!X110</f>
        <v>42.5</v>
      </c>
      <c r="X75" s="3">
        <f>'Annual Raw'!Y110</f>
        <v>60.6</v>
      </c>
      <c r="Y75" s="3">
        <f>'Annual Raw'!Z110</f>
        <v>70</v>
      </c>
      <c r="Z75" s="3">
        <f>'Annual Raw'!AA110</f>
        <v>75</v>
      </c>
      <c r="AA75" s="3">
        <f>'Annual Raw'!AB110</f>
        <v>75</v>
      </c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3" customFormat="1" x14ac:dyDescent="0.2">
      <c r="A76" s="3" t="s">
        <v>32</v>
      </c>
      <c r="B76" s="3">
        <f>B75/B74</f>
        <v>0.28074689844200851</v>
      </c>
      <c r="C76" s="3">
        <f t="shared" ref="C76:U76" si="785">C75/C74</f>
        <v>0.32533613144351436</v>
      </c>
      <c r="D76" s="3">
        <f t="shared" si="785"/>
        <v>0.33306022384994499</v>
      </c>
      <c r="E76" s="3">
        <f t="shared" si="785"/>
        <v>0.71010726213680642</v>
      </c>
      <c r="F76" s="3">
        <f t="shared" si="785"/>
        <v>0.65160755988650232</v>
      </c>
      <c r="G76" s="3">
        <f t="shared" si="785"/>
        <v>0.58978935808252086</v>
      </c>
      <c r="H76" s="3">
        <f t="shared" si="785"/>
        <v>0.41836621134411284</v>
      </c>
      <c r="I76" s="3">
        <f t="shared" si="785"/>
        <v>0.41259648372526048</v>
      </c>
      <c r="J76" s="3">
        <f t="shared" si="785"/>
        <v>0.37490113344062526</v>
      </c>
      <c r="K76" s="3">
        <f t="shared" si="785"/>
        <v>0.44664574503606297</v>
      </c>
      <c r="L76" s="3">
        <f t="shared" si="785"/>
        <v>0.15669610774139761</v>
      </c>
      <c r="M76" s="3">
        <f t="shared" si="785"/>
        <v>0.13312210641611685</v>
      </c>
      <c r="N76" s="3">
        <f t="shared" si="785"/>
        <v>0.41861874695932516</v>
      </c>
      <c r="O76" s="3">
        <f t="shared" si="785"/>
        <v>0.38794509969984181</v>
      </c>
      <c r="P76" s="3">
        <f t="shared" si="785"/>
        <v>0.33584638049654514</v>
      </c>
      <c r="Q76" s="3">
        <f t="shared" si="785"/>
        <v>0.28168640159782826</v>
      </c>
      <c r="R76" s="3">
        <f t="shared" si="785"/>
        <v>0.28513724893383041</v>
      </c>
      <c r="S76" s="3">
        <f t="shared" si="785"/>
        <v>0.28548283416910436</v>
      </c>
      <c r="T76" s="3">
        <f t="shared" si="785"/>
        <v>0.29003437954897932</v>
      </c>
      <c r="U76" s="3">
        <f t="shared" si="785"/>
        <v>0.40136669216450904</v>
      </c>
      <c r="V76" s="3">
        <f>V75/V74</f>
        <v>0.81230049067985344</v>
      </c>
      <c r="W76" s="3">
        <f t="shared" ref="W76" si="786">W75/W74</f>
        <v>0.4816735995953948</v>
      </c>
      <c r="X76" s="3">
        <f t="shared" ref="X76:Y76" si="787">X75/X74</f>
        <v>0.4998983306523419</v>
      </c>
      <c r="Y76" s="3">
        <f t="shared" si="787"/>
        <v>0.55043945764271052</v>
      </c>
      <c r="Z76" s="3">
        <f t="shared" ref="Z76:AA76" si="788">Z75/Z74</f>
        <v>0.59524219019926239</v>
      </c>
      <c r="AA76" s="3">
        <f t="shared" si="788"/>
        <v>0.64523570777238182</v>
      </c>
      <c r="AB76" s="37">
        <f t="shared" ref="AA76:AD76" si="789">AB75/AB74</f>
        <v>0</v>
      </c>
      <c r="AC76" s="37">
        <f t="shared" si="789"/>
        <v>0</v>
      </c>
      <c r="AD76" s="37">
        <f t="shared" si="789"/>
        <v>0</v>
      </c>
      <c r="AE76" s="37">
        <f t="shared" ref="AE76" si="790">AE75/AE74</f>
        <v>0</v>
      </c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  <c r="DF76" s="3">
        <v>0</v>
      </c>
    </row>
    <row r="77" spans="1:110" s="3" customFormat="1" x14ac:dyDescent="0.2">
      <c r="A77" s="3" t="s">
        <v>33</v>
      </c>
      <c r="B77" s="3">
        <f>+B74</f>
        <v>4.4524089382173599</v>
      </c>
      <c r="C77" s="3">
        <f t="shared" ref="C77:U77" si="791">+C74</f>
        <v>5.3790520967814457</v>
      </c>
      <c r="D77" s="3">
        <f t="shared" si="791"/>
        <v>3.7530750011240239</v>
      </c>
      <c r="E77" s="3">
        <f t="shared" si="791"/>
        <v>2.8164759137679232</v>
      </c>
      <c r="F77" s="3">
        <f t="shared" si="791"/>
        <v>4.220331637157491</v>
      </c>
      <c r="G77" s="3">
        <f t="shared" si="791"/>
        <v>5.5104419153410253</v>
      </c>
      <c r="H77" s="3">
        <f t="shared" si="791"/>
        <v>8.3658763664381937</v>
      </c>
      <c r="I77" s="3">
        <f t="shared" si="791"/>
        <v>8.4828643433873232</v>
      </c>
      <c r="J77" s="3">
        <f t="shared" si="791"/>
        <v>9.3357946610591149</v>
      </c>
      <c r="K77" s="3">
        <f t="shared" si="791"/>
        <v>7.836187938424005</v>
      </c>
      <c r="L77" s="3">
        <f t="shared" si="791"/>
        <v>22.336228068767362</v>
      </c>
      <c r="M77" s="3">
        <f t="shared" si="791"/>
        <v>26.291651283368374</v>
      </c>
      <c r="N77" s="3">
        <f t="shared" si="791"/>
        <v>5.9720211246127279</v>
      </c>
      <c r="O77" s="3">
        <f t="shared" si="791"/>
        <v>11.599579434001638</v>
      </c>
      <c r="P77" s="3">
        <f t="shared" si="791"/>
        <v>16.376534985633345</v>
      </c>
      <c r="Q77" s="3">
        <f t="shared" si="791"/>
        <v>24.850329871422407</v>
      </c>
      <c r="R77" s="3">
        <f t="shared" si="791"/>
        <v>28.05666404481758</v>
      </c>
      <c r="S77" s="3">
        <f t="shared" si="791"/>
        <v>38.531213381061654</v>
      </c>
      <c r="T77" s="3">
        <f>+T74</f>
        <v>46.546206077339178</v>
      </c>
      <c r="U77" s="3">
        <f t="shared" si="791"/>
        <v>41.10953978522241</v>
      </c>
      <c r="V77" s="3">
        <f>+V74</f>
        <v>59.091432974300538</v>
      </c>
      <c r="W77" s="3">
        <f t="shared" ref="W77" si="792">+W74</f>
        <v>88.234024110310273</v>
      </c>
      <c r="X77" s="3">
        <f t="shared" ref="X77:Y77" si="793">+X74</f>
        <v>121.22464966210245</v>
      </c>
      <c r="Y77" s="3">
        <f t="shared" si="793"/>
        <v>127.17111578406667</v>
      </c>
      <c r="Z77" s="3">
        <f t="shared" ref="Z77:AA77" si="794">+Z74</f>
        <v>125.99913318458343</v>
      </c>
      <c r="AA77" s="3">
        <f t="shared" si="794"/>
        <v>116.236592452285</v>
      </c>
      <c r="AB77" s="37">
        <f t="shared" ref="AA77:AD77" si="795">+AB74</f>
        <v>135.91512686151717</v>
      </c>
      <c r="AC77" s="37">
        <f t="shared" si="795"/>
        <v>162.59579662026493</v>
      </c>
      <c r="AD77" s="37">
        <f t="shared" si="795"/>
        <v>181.28269805783577</v>
      </c>
      <c r="AE77" s="37">
        <f t="shared" ref="AE77" si="796">+AE74</f>
        <v>201.71324047205985</v>
      </c>
      <c r="AL77" s="3">
        <f>SUM(AI74:AL74)</f>
        <v>5.9724206572167047</v>
      </c>
      <c r="AM77" s="3">
        <f t="shared" ref="AM77" si="797">SUM(AJ74:AM74)</f>
        <v>5.8004912269436328</v>
      </c>
      <c r="AN77" s="3">
        <f t="shared" ref="AN77" si="798">SUM(AK74:AN74)</f>
        <v>7.3427190856115363</v>
      </c>
      <c r="AO77" s="3">
        <f t="shared" ref="AO77" si="799">SUM(AL74:AO74)</f>
        <v>9.3989693866084352</v>
      </c>
      <c r="AP77" s="3">
        <f t="shared" ref="AP77" si="800">SUM(AM74:AP74)</f>
        <v>11.60050085884448</v>
      </c>
      <c r="AQ77" s="3">
        <f t="shared" ref="AQ77" si="801">SUM(AN74:AQ74)</f>
        <v>13.505209253046081</v>
      </c>
      <c r="AR77" s="3">
        <f t="shared" ref="AR77" si="802">SUM(AO74:AR74)</f>
        <v>14.10030019424333</v>
      </c>
      <c r="AS77" s="3">
        <f t="shared" ref="AS77" si="803">SUM(AP74:AS74)</f>
        <v>15.095757147673092</v>
      </c>
      <c r="AT77" s="3">
        <f t="shared" ref="AT77" si="804">SUM(AQ74:AT74)</f>
        <v>16.377602619877035</v>
      </c>
      <c r="AU77" s="3">
        <f t="shared" ref="AU77" si="805">SUM(AR74:AU74)</f>
        <v>18.772735299311325</v>
      </c>
      <c r="AV77" s="3">
        <f t="shared" ref="AV77" si="806">SUM(AS74:AV74)</f>
        <v>21.094344468880941</v>
      </c>
      <c r="AW77" s="3">
        <f t="shared" ref="AW77" si="807">SUM(AT74:AW74)</f>
        <v>23.043680670380311</v>
      </c>
      <c r="AX77" s="3">
        <f t="shared" ref="AX77" si="808">SUM(AU74:AX74)</f>
        <v>24.850304207535366</v>
      </c>
      <c r="AY77" s="3">
        <f t="shared" ref="AY77" si="809">SUM(AV74:AY74)</f>
        <v>25.808999406032783</v>
      </c>
      <c r="AZ77" s="3">
        <f t="shared" ref="AZ77" si="810">SUM(AW74:AZ74)</f>
        <v>26.990833641019055</v>
      </c>
      <c r="BA77" s="3">
        <f t="shared" ref="BA77" si="811">SUM(AX74:BA74)</f>
        <v>27.672772221597924</v>
      </c>
      <c r="BB77" s="3">
        <f t="shared" ref="BB77" si="812">SUM(AY74:BB74)</f>
        <v>28.058690382546992</v>
      </c>
      <c r="BC77" s="3">
        <f t="shared" ref="BC77" si="813">SUM(AZ74:BC74)</f>
        <v>29.352575730820483</v>
      </c>
      <c r="BD77" s="3">
        <f t="shared" ref="BD77" si="814">SUM(BA74:BD74)</f>
        <v>31.243478400462337</v>
      </c>
      <c r="BE77" s="3">
        <f t="shared" ref="BE77" si="815">SUM(BB74:BE74)</f>
        <v>34.232096704284594</v>
      </c>
      <c r="BF77" s="3">
        <f t="shared" ref="BF77" si="816">SUM(BC74:BF74)</f>
        <v>38.534024689772522</v>
      </c>
      <c r="BG77" s="3">
        <f t="shared" ref="BG77" si="817">SUM(BD74:BG74)</f>
        <v>41.865699195736269</v>
      </c>
      <c r="BH77" s="3">
        <f t="shared" ref="BH77" si="818">SUM(BE74:BH74)</f>
        <v>45.869840913104184</v>
      </c>
      <c r="BI77" s="3">
        <f t="shared" ref="BI77" si="819">SUM(BF74:BI74)</f>
        <v>46.388037179137307</v>
      </c>
      <c r="BJ77" s="3">
        <f t="shared" ref="BJ77" si="820">SUM(BG74:BJ74)</f>
        <v>46.549050455107306</v>
      </c>
      <c r="BK77" s="3">
        <f t="shared" ref="BK77" si="821">SUM(BH74:BK74)</f>
        <v>43.06471032058176</v>
      </c>
      <c r="BL77" s="3">
        <f t="shared" ref="BL77" si="822">SUM(BI74:BL74)</f>
        <v>37.867336618881737</v>
      </c>
      <c r="BM77" s="3">
        <f t="shared" ref="BM77" si="823">SUM(BJ74:BM74)</f>
        <v>39.380668774982738</v>
      </c>
      <c r="BN77" s="3">
        <f t="shared" ref="BN77" si="824">SUM(BK74:BN74)</f>
        <v>41.112484548825712</v>
      </c>
      <c r="BO77" s="3">
        <f t="shared" ref="BO77" si="825">SUM(BL74:BO74)</f>
        <v>44.336121233525439</v>
      </c>
      <c r="BP77" s="3">
        <f t="shared" ref="BP77" si="826">SUM(BM74:BP74)</f>
        <v>49.002937729760966</v>
      </c>
      <c r="BQ77" s="3">
        <f t="shared" ref="BQ77" si="827">SUM(BN74:BQ74)</f>
        <v>53.783731719454835</v>
      </c>
      <c r="BR77" s="3">
        <f t="shared" ref="BR77" si="828">SUM(BO74:BR74)</f>
        <v>59.095243446294091</v>
      </c>
      <c r="BS77" s="3">
        <f t="shared" ref="BS77" si="829">SUM(BP74:BS74)</f>
        <v>66.239063779236801</v>
      </c>
      <c r="BT77" s="3">
        <f t="shared" ref="BT77" si="830">SUM(BQ74:BT74)</f>
        <v>73.696563016711337</v>
      </c>
      <c r="BU77" s="3">
        <f t="shared" ref="BU77" si="831">SUM(BR74:BU74)</f>
        <v>81.040566355770295</v>
      </c>
      <c r="BV77" s="3">
        <f t="shared" ref="BV77" si="832">SUM(BS74:BV74)</f>
        <v>88.239449055271081</v>
      </c>
      <c r="BW77" s="3">
        <f t="shared" ref="BW77" si="833">SUM(BT74:BW74)</f>
        <v>99.692742362705303</v>
      </c>
      <c r="BX77" s="3">
        <f t="shared" ref="BX77" si="834">SUM(BU74:BX74)</f>
        <v>107.54980495400768</v>
      </c>
      <c r="BY77" s="3">
        <f t="shared" ref="BY77" si="835">SUM(BV74:BY74)</f>
        <v>114.56937376591273</v>
      </c>
      <c r="BZ77" s="3">
        <f t="shared" ref="BZ77" si="836">SUM(BW74:BZ74)</f>
        <v>121.23192011943559</v>
      </c>
      <c r="CA77" s="3">
        <f t="shared" ref="CA77" si="837">SUM(BX74:CA74)</f>
        <v>121.8952370250269</v>
      </c>
      <c r="CB77" s="3">
        <f t="shared" ref="CB77" si="838">SUM(BY74:CB74)</f>
        <v>126.02748302377478</v>
      </c>
      <c r="CC77" s="3">
        <f t="shared" ref="CC77" si="839">SUM(BZ74:CC74)</f>
        <v>127.91469346475529</v>
      </c>
      <c r="CD77" s="3">
        <f t="shared" ref="CD77" si="840">SUM(CA74:CD74)</f>
        <v>127.17929783442763</v>
      </c>
      <c r="CE77" s="3">
        <f t="shared" ref="CE77" si="841">SUM(CB74:CE74)</f>
        <v>126.41308012136196</v>
      </c>
      <c r="CF77" s="3">
        <f t="shared" ref="CF77" si="842">SUM(CC74:CF74)</f>
        <v>131.13479845247457</v>
      </c>
      <c r="CG77" s="3">
        <f t="shared" ref="CG77" si="843">SUM(CD74:CG74)</f>
        <v>129.94285072158988</v>
      </c>
      <c r="CH77" s="3">
        <f t="shared" ref="CH77:CL77" si="844">SUM(CE74:CH74)</f>
        <v>126.00757709533976</v>
      </c>
      <c r="CI77" s="3">
        <f t="shared" si="844"/>
        <v>119.63254298235756</v>
      </c>
      <c r="CJ77" s="3">
        <f t="shared" si="844"/>
        <v>107.65495320501502</v>
      </c>
      <c r="CK77" s="3">
        <f t="shared" si="844"/>
        <v>108.54927519946064</v>
      </c>
      <c r="CL77" s="3">
        <f t="shared" si="844"/>
        <v>116.24144792864982</v>
      </c>
      <c r="CM77" s="37">
        <f t="shared" ref="CM77" si="845">SUM(CJ74:CM74)</f>
        <v>123.2727226165694</v>
      </c>
      <c r="CN77" s="37">
        <f t="shared" ref="CN77" si="846">SUM(CK74:CN74)</f>
        <v>131.16244869733279</v>
      </c>
      <c r="CO77" s="37">
        <f t="shared" ref="CO77" si="847">SUM(CL74:CO74)</f>
        <v>134.14145116290118</v>
      </c>
      <c r="CP77" s="37">
        <f t="shared" ref="CP77" si="848">SUM(CM74:CP74)</f>
        <v>135.91512686151719</v>
      </c>
      <c r="CQ77" s="37">
        <f t="shared" ref="CQ77" si="849">SUM(CN74:CQ74)</f>
        <v>142.73188891266997</v>
      </c>
      <c r="CR77" s="37">
        <f t="shared" ref="CR77" si="850">SUM(CO74:CR74)</f>
        <v>149.56550292859993</v>
      </c>
      <c r="CS77" s="37">
        <f t="shared" ref="CS77" si="851">SUM(CP74:CS74)</f>
        <v>155.71055203883469</v>
      </c>
      <c r="CT77" s="37">
        <f t="shared" ref="CT77" si="852">SUM(CQ74:CT74)</f>
        <v>162.59579662026485</v>
      </c>
      <c r="CU77" s="37">
        <f t="shared" ref="CU77" si="853">SUM(CR74:CU74)</f>
        <v>167.87063101157614</v>
      </c>
      <c r="CV77" s="37">
        <f t="shared" ref="CV77" si="854">SUM(CS74:CV74)</f>
        <v>172.82070513132604</v>
      </c>
      <c r="CW77" s="37">
        <f t="shared" ref="CW77" si="855">SUM(CT74:CW74)</f>
        <v>177.28411618120617</v>
      </c>
      <c r="CX77" s="37">
        <f t="shared" ref="CX77" si="856">SUM(CU74:CX74)</f>
        <v>181.28269805783577</v>
      </c>
      <c r="CY77" s="37">
        <f t="shared" ref="CY77" si="857">SUM(CV74:CY74)</f>
        <v>187.47046980128832</v>
      </c>
      <c r="CZ77" s="37">
        <f t="shared" ref="CZ77" si="858">SUM(CW74:CZ74)</f>
        <v>192.86227184362144</v>
      </c>
      <c r="DA77" s="37">
        <f t="shared" ref="DA77" si="859">SUM(CX74:DA74)</f>
        <v>197.56092624358109</v>
      </c>
      <c r="DB77" s="37">
        <f t="shared" ref="DB77" si="860">SUM(CY74:DB74)</f>
        <v>201.71324047205982</v>
      </c>
      <c r="DE77" s="134"/>
      <c r="DF77" s="3">
        <v>109.9932067978735</v>
      </c>
    </row>
    <row r="78" spans="1:110" s="97" customFormat="1" x14ac:dyDescent="0.2">
      <c r="A78" s="97" t="s">
        <v>425</v>
      </c>
      <c r="C78" s="101">
        <f t="shared" ref="C78:AA78" si="861">+C77/B77-1</f>
        <v>0.20812175418349876</v>
      </c>
      <c r="D78" s="101">
        <f t="shared" si="861"/>
        <v>-0.30227948463825527</v>
      </c>
      <c r="E78" s="101">
        <f t="shared" si="861"/>
        <v>-0.24955512135398172</v>
      </c>
      <c r="F78" s="101">
        <f t="shared" si="861"/>
        <v>0.49844407208562602</v>
      </c>
      <c r="G78" s="101">
        <f t="shared" si="861"/>
        <v>0.30568931285515255</v>
      </c>
      <c r="H78" s="101">
        <f t="shared" si="861"/>
        <v>0.51818610829517353</v>
      </c>
      <c r="I78" s="101">
        <f t="shared" si="861"/>
        <v>1.3983947625434201E-2</v>
      </c>
      <c r="J78" s="101">
        <f t="shared" si="861"/>
        <v>0.10054744283830019</v>
      </c>
      <c r="K78" s="101">
        <f t="shared" si="861"/>
        <v>-0.16062978858030974</v>
      </c>
      <c r="L78" s="101">
        <f t="shared" si="861"/>
        <v>1.8503946363057202</v>
      </c>
      <c r="M78" s="101">
        <f t="shared" si="861"/>
        <v>0.17708554919941299</v>
      </c>
      <c r="N78" s="101">
        <f t="shared" si="861"/>
        <v>-0.77285484809428762</v>
      </c>
      <c r="O78" s="101">
        <f t="shared" si="861"/>
        <v>0.94232056316676971</v>
      </c>
      <c r="P78" s="101">
        <f t="shared" si="861"/>
        <v>0.41182144394210551</v>
      </c>
      <c r="Q78" s="101">
        <f t="shared" si="861"/>
        <v>0.51743515299316201</v>
      </c>
      <c r="R78" s="101">
        <f t="shared" si="861"/>
        <v>0.12902581937483348</v>
      </c>
      <c r="S78" s="101">
        <f t="shared" si="861"/>
        <v>0.37333552269478942</v>
      </c>
      <c r="T78" s="101">
        <f t="shared" si="861"/>
        <v>0.20801298461618001</v>
      </c>
      <c r="U78" s="101">
        <f t="shared" si="861"/>
        <v>-0.11680149147029162</v>
      </c>
      <c r="V78" s="101">
        <f t="shared" si="861"/>
        <v>0.43741412049429118</v>
      </c>
      <c r="W78" s="101">
        <f t="shared" si="861"/>
        <v>0.49317793915548025</v>
      </c>
      <c r="X78" s="101">
        <f t="shared" si="861"/>
        <v>0.3738991379396599</v>
      </c>
      <c r="Y78" s="101">
        <f t="shared" si="861"/>
        <v>4.9053275373772687E-2</v>
      </c>
      <c r="Z78" s="101">
        <f t="shared" si="861"/>
        <v>-9.2157923775179063E-3</v>
      </c>
      <c r="AA78" s="101">
        <f t="shared" si="861"/>
        <v>-7.7481015032037748E-2</v>
      </c>
      <c r="AB78" s="174">
        <f t="shared" ref="AB78" si="862">+AB77/AA77-1</f>
        <v>0.1692972410328546</v>
      </c>
      <c r="AC78" s="174">
        <f t="shared" ref="AC78" si="863">+AC77/AB77-1</f>
        <v>0.19630390211041404</v>
      </c>
      <c r="AD78" s="174">
        <f t="shared" ref="AD78" si="864">+AD77/AC77-1</f>
        <v>0.11492856412034591</v>
      </c>
      <c r="AE78" s="174">
        <f t="shared" ref="AE78" si="865">+AE77/AD77-1</f>
        <v>0.11269990260022489</v>
      </c>
      <c r="AL78" s="176"/>
      <c r="AM78" s="176"/>
      <c r="AN78" s="176"/>
      <c r="AO78" s="176"/>
      <c r="AP78" s="176">
        <f t="shared" ref="AP78:CL78" si="866">+IF(AL77&lt;0,1-AP77/AL77,AP77/AL77-1)</f>
        <v>0.94234490914955082</v>
      </c>
      <c r="AQ78" s="176">
        <f t="shared" si="866"/>
        <v>1.3282871613206768</v>
      </c>
      <c r="AR78" s="176">
        <f t="shared" si="866"/>
        <v>0.9203104503716677</v>
      </c>
      <c r="AS78" s="176">
        <f t="shared" si="866"/>
        <v>0.60610770465763908</v>
      </c>
      <c r="AT78" s="176">
        <f t="shared" si="866"/>
        <v>0.41180133678369457</v>
      </c>
      <c r="AU78" s="176">
        <f t="shared" si="866"/>
        <v>0.39003661087866237</v>
      </c>
      <c r="AV78" s="176">
        <f t="shared" si="866"/>
        <v>0.49602094836910204</v>
      </c>
      <c r="AW78" s="176">
        <f t="shared" si="866"/>
        <v>0.52650048917435965</v>
      </c>
      <c r="AX78" s="176">
        <f t="shared" si="866"/>
        <v>0.51733466639221382</v>
      </c>
      <c r="AY78" s="176">
        <f t="shared" si="866"/>
        <v>0.3748129398585609</v>
      </c>
      <c r="AZ78" s="176">
        <f t="shared" si="866"/>
        <v>0.27952938669588923</v>
      </c>
      <c r="BA78" s="176">
        <f t="shared" si="866"/>
        <v>0.20088334053195389</v>
      </c>
      <c r="BB78" s="176">
        <f t="shared" si="866"/>
        <v>0.12910852713178245</v>
      </c>
      <c r="BC78" s="176">
        <f t="shared" si="866"/>
        <v>0.13730002736794988</v>
      </c>
      <c r="BD78" s="176">
        <f t="shared" si="866"/>
        <v>0.15755885186815299</v>
      </c>
      <c r="BE78" s="176">
        <f t="shared" si="866"/>
        <v>0.23703170864707501</v>
      </c>
      <c r="BF78" s="176">
        <f t="shared" si="866"/>
        <v>0.37333653725126736</v>
      </c>
      <c r="BG78" s="176">
        <f t="shared" si="866"/>
        <v>0.42630410290627019</v>
      </c>
      <c r="BH78" s="176">
        <f t="shared" si="866"/>
        <v>0.46814129736673005</v>
      </c>
      <c r="BI78" s="176">
        <f t="shared" si="866"/>
        <v>0.35510359122499313</v>
      </c>
      <c r="BJ78" s="176">
        <f t="shared" si="866"/>
        <v>0.20799866688885182</v>
      </c>
      <c r="BK78" s="176">
        <f t="shared" si="866"/>
        <v>2.8639462564322926E-2</v>
      </c>
      <c r="BL78" s="176">
        <f t="shared" si="866"/>
        <v>-0.17446113034013766</v>
      </c>
      <c r="BM78" s="176">
        <f t="shared" si="866"/>
        <v>-0.15105981693284676</v>
      </c>
      <c r="BN78" s="176">
        <f t="shared" si="866"/>
        <v>-0.11679219775975258</v>
      </c>
      <c r="BO78" s="176">
        <f t="shared" si="866"/>
        <v>2.9523266346831445E-2</v>
      </c>
      <c r="BP78" s="176">
        <f t="shared" si="866"/>
        <v>0.29406877021624744</v>
      </c>
      <c r="BQ78" s="176">
        <f t="shared" si="866"/>
        <v>0.36573941968252943</v>
      </c>
      <c r="BR78" s="176">
        <f t="shared" si="866"/>
        <v>0.43740384690474809</v>
      </c>
      <c r="BS78" s="176">
        <f t="shared" si="866"/>
        <v>0.49402026916935426</v>
      </c>
      <c r="BT78" s="176">
        <f t="shared" si="866"/>
        <v>0.50392132453628768</v>
      </c>
      <c r="BU78" s="176">
        <f t="shared" si="866"/>
        <v>0.50678585819391975</v>
      </c>
      <c r="BV78" s="176">
        <f t="shared" si="866"/>
        <v>0.49317345879898644</v>
      </c>
      <c r="BW78" s="176">
        <f t="shared" si="866"/>
        <v>0.50504455641105905</v>
      </c>
      <c r="BX78" s="176">
        <f t="shared" si="866"/>
        <v>0.45935984734620305</v>
      </c>
      <c r="BY78" s="176">
        <f t="shared" si="866"/>
        <v>0.41372869067758056</v>
      </c>
      <c r="BZ78" s="176">
        <f t="shared" si="866"/>
        <v>0.37389706551203439</v>
      </c>
      <c r="CA78" s="176">
        <f t="shared" si="866"/>
        <v>0.22270923776521045</v>
      </c>
      <c r="CB78" s="176">
        <f t="shared" si="866"/>
        <v>0.17180577944951958</v>
      </c>
      <c r="CC78" s="176">
        <f t="shared" si="866"/>
        <v>0.11648243557750093</v>
      </c>
      <c r="CD78" s="176">
        <f t="shared" si="866"/>
        <v>4.9057852990638029E-2</v>
      </c>
      <c r="CE78" s="176">
        <f t="shared" si="866"/>
        <v>3.7063327547469882E-2</v>
      </c>
      <c r="CF78" s="176">
        <f t="shared" si="866"/>
        <v>4.0525410062631329E-2</v>
      </c>
      <c r="CG78" s="176">
        <f t="shared" si="866"/>
        <v>1.5855545613244315E-2</v>
      </c>
      <c r="CH78" s="176">
        <f t="shared" si="866"/>
        <v>-9.2131404956592444E-3</v>
      </c>
      <c r="CI78" s="176">
        <f t="shared" si="866"/>
        <v>-5.3637939463976214E-2</v>
      </c>
      <c r="CJ78" s="176">
        <f t="shared" si="866"/>
        <v>-0.17905121695038895</v>
      </c>
      <c r="CK78" s="176">
        <f t="shared" si="866"/>
        <v>-0.16463834218910756</v>
      </c>
      <c r="CL78" s="176">
        <f t="shared" si="866"/>
        <v>-7.7504300866770071E-2</v>
      </c>
      <c r="CM78" s="102">
        <f t="shared" ref="CM78:DB78" si="867">+IF(CI77&lt;0,1-CM77/CI77,CM77/CI77-1)</f>
        <v>3.042800515198163E-2</v>
      </c>
      <c r="CN78" s="102">
        <f t="shared" si="867"/>
        <v>0.21835962761091698</v>
      </c>
      <c r="CO78" s="102">
        <f t="shared" si="867"/>
        <v>0.23576551677949564</v>
      </c>
      <c r="CP78" s="102">
        <f t="shared" si="867"/>
        <v>0.16924839877203945</v>
      </c>
      <c r="CQ78" s="102">
        <f t="shared" si="867"/>
        <v>0.15785459980978001</v>
      </c>
      <c r="CR78" s="102">
        <f t="shared" si="867"/>
        <v>0.14030733959331276</v>
      </c>
      <c r="CS78" s="102">
        <f t="shared" si="867"/>
        <v>0.1607937046225929</v>
      </c>
      <c r="CT78" s="102">
        <f t="shared" si="867"/>
        <v>0.19630390211041315</v>
      </c>
      <c r="CU78" s="102">
        <f t="shared" si="867"/>
        <v>0.17612561769071244</v>
      </c>
      <c r="CV78" s="102">
        <f t="shared" si="867"/>
        <v>0.1554850667257659</v>
      </c>
      <c r="CW78" s="102">
        <f t="shared" si="867"/>
        <v>0.1385491468618707</v>
      </c>
      <c r="CX78" s="102">
        <f t="shared" si="867"/>
        <v>0.11492856412034658</v>
      </c>
      <c r="CY78" s="102">
        <f t="shared" si="867"/>
        <v>0.11675561515200705</v>
      </c>
      <c r="CZ78" s="102">
        <f t="shared" si="867"/>
        <v>0.11596739347328699</v>
      </c>
      <c r="DA78" s="102">
        <f t="shared" si="867"/>
        <v>0.11437465746592612</v>
      </c>
      <c r="DB78" s="102">
        <f t="shared" si="867"/>
        <v>0.11269990260022489</v>
      </c>
      <c r="DE78" s="135"/>
      <c r="DF78" s="97">
        <v>-0.12709053428866013</v>
      </c>
    </row>
    <row r="79" spans="1:110" s="144" customFormat="1" x14ac:dyDescent="0.2">
      <c r="A79" s="144" t="s">
        <v>424</v>
      </c>
      <c r="AB79" s="145"/>
      <c r="AC79" s="145"/>
      <c r="AD79" s="145"/>
      <c r="AE79" s="145"/>
      <c r="CM79" s="145"/>
      <c r="CN79" s="145"/>
      <c r="CO79" s="145"/>
      <c r="CP79" s="145">
        <v>134.69999999999999</v>
      </c>
      <c r="CQ79" s="145"/>
      <c r="CR79" s="145"/>
      <c r="CS79" s="145"/>
      <c r="CT79" s="145">
        <v>155.4</v>
      </c>
      <c r="CU79" s="145"/>
      <c r="CV79" s="145"/>
      <c r="CW79" s="145"/>
      <c r="CX79" s="145">
        <v>172.4</v>
      </c>
      <c r="CY79" s="145"/>
      <c r="CZ79" s="145"/>
      <c r="DA79" s="145"/>
      <c r="DB79" s="145"/>
      <c r="DE79" s="146"/>
      <c r="DF79" s="144">
        <v>104.1</v>
      </c>
    </row>
    <row r="80" spans="1:110" s="144" customFormat="1" x14ac:dyDescent="0.2">
      <c r="A80" s="144" t="s">
        <v>436</v>
      </c>
      <c r="AB80" s="145"/>
      <c r="AC80" s="145"/>
      <c r="AD80" s="145"/>
      <c r="AE80" s="145"/>
      <c r="CM80" s="145"/>
      <c r="CN80" s="145"/>
      <c r="CO80" s="145"/>
      <c r="CP80" s="145">
        <f>CP77/CP79-1</f>
        <v>9.0209863512784594E-3</v>
      </c>
      <c r="CQ80" s="145"/>
      <c r="CR80" s="145"/>
      <c r="CS80" s="145"/>
      <c r="CT80" s="145">
        <f>CT77/CT79-1</f>
        <v>4.6304997556401828E-2</v>
      </c>
      <c r="CU80" s="145"/>
      <c r="CV80" s="145"/>
      <c r="CW80" s="145"/>
      <c r="CX80" s="145">
        <f>CX77/CX79-1</f>
        <v>5.1523770637098343E-2</v>
      </c>
      <c r="CY80" s="145"/>
      <c r="CZ80" s="145"/>
      <c r="DA80" s="145"/>
      <c r="DB80" s="145"/>
      <c r="DE80" s="146"/>
      <c r="DF80" s="144">
        <v>-5.3577916031696593E-2</v>
      </c>
    </row>
    <row r="81" spans="1:110" s="3" customFormat="1" x14ac:dyDescent="0.2">
      <c r="A81" s="3" t="s">
        <v>34</v>
      </c>
      <c r="B81" s="3">
        <f>'Annual Raw'!C112</f>
        <v>38.15</v>
      </c>
      <c r="C81" s="3">
        <f>'Annual Raw'!D112</f>
        <v>38.15</v>
      </c>
      <c r="D81" s="3">
        <f>'Annual Raw'!E112</f>
        <v>38.15</v>
      </c>
      <c r="E81" s="3">
        <f>'Annual Raw'!F112</f>
        <v>38.15</v>
      </c>
      <c r="F81" s="3">
        <f>'Annual Raw'!G112</f>
        <v>38.15</v>
      </c>
      <c r="G81" s="3">
        <f>'Annual Raw'!H112</f>
        <v>38.15</v>
      </c>
      <c r="H81" s="3">
        <f>'Annual Raw'!I112</f>
        <v>38.15</v>
      </c>
      <c r="I81" s="3">
        <f>'Annual Raw'!J112</f>
        <v>43.49</v>
      </c>
      <c r="J81" s="3">
        <f>'Annual Raw'!K112</f>
        <v>44.26</v>
      </c>
      <c r="K81" s="3">
        <f>'Annual Raw'!L112</f>
        <v>44.55</v>
      </c>
      <c r="L81" s="3">
        <f>'Annual Raw'!M112</f>
        <v>45.11</v>
      </c>
      <c r="M81" s="3">
        <f>'Annual Raw'!N112</f>
        <v>45.11</v>
      </c>
      <c r="N81" s="3">
        <f>'Annual Raw'!O112</f>
        <v>45.11</v>
      </c>
      <c r="O81" s="3">
        <f>'Annual Raw'!P112</f>
        <v>45.11</v>
      </c>
      <c r="P81" s="3">
        <f>'Annual Raw'!Q112</f>
        <v>44.95</v>
      </c>
      <c r="Q81" s="3">
        <f>'Annual Raw'!R112</f>
        <v>44.79</v>
      </c>
      <c r="R81" s="3">
        <f>'Annual Raw'!S112</f>
        <v>44.63</v>
      </c>
      <c r="S81" s="3">
        <f>'Annual Raw'!T112</f>
        <v>44.57</v>
      </c>
      <c r="T81" s="3">
        <f>'Annual Raw'!U112</f>
        <v>44.53</v>
      </c>
      <c r="U81" s="3">
        <f>'Annual Raw'!V112</f>
        <v>44.53</v>
      </c>
      <c r="V81" s="3">
        <f>'Annual Raw'!W112</f>
        <v>44.53</v>
      </c>
      <c r="W81" s="3">
        <f>'Annual Raw'!X112</f>
        <v>44.08</v>
      </c>
      <c r="X81" s="3">
        <f>'Annual Raw'!Y112</f>
        <v>43.92</v>
      </c>
      <c r="Y81" s="3">
        <f>'Annual Raw'!Z112</f>
        <v>43.92</v>
      </c>
      <c r="Z81" s="3">
        <f>'Annual Raw'!AA112</f>
        <v>43.91</v>
      </c>
      <c r="AA81" s="3">
        <f>'Annual Raw'!AB112</f>
        <v>43.9</v>
      </c>
      <c r="AB81" s="37"/>
      <c r="AC81" s="37"/>
      <c r="AD81" s="37"/>
      <c r="AE81" s="37"/>
      <c r="AI81" s="3">
        <f>'QTR Raw'!C49</f>
        <v>45.11</v>
      </c>
      <c r="AJ81" s="3">
        <f>'QTR Raw'!D49</f>
        <v>45.11</v>
      </c>
      <c r="AK81" s="3">
        <f>'QTR Raw'!E49</f>
        <v>45.11</v>
      </c>
      <c r="AL81" s="3">
        <f>'QTR Raw'!F49</f>
        <v>45.11</v>
      </c>
      <c r="AM81" s="3">
        <f>'QTR Raw'!G49</f>
        <v>45.11</v>
      </c>
      <c r="AN81" s="3">
        <f>'QTR Raw'!H49</f>
        <v>45.11</v>
      </c>
      <c r="AO81" s="3">
        <f>'QTR Raw'!I49</f>
        <v>45.11</v>
      </c>
      <c r="AP81" s="3">
        <f>'QTR Raw'!J49</f>
        <v>45.11</v>
      </c>
      <c r="AQ81" s="3">
        <f>'QTR Raw'!K49</f>
        <v>45.02</v>
      </c>
      <c r="AR81" s="3">
        <f>'QTR Raw'!L49</f>
        <v>45.02</v>
      </c>
      <c r="AS81" s="3">
        <f>'QTR Raw'!M49</f>
        <v>45.02</v>
      </c>
      <c r="AT81" s="3">
        <f>'QTR Raw'!N49</f>
        <v>44.95</v>
      </c>
      <c r="AU81" s="3">
        <f>'QTR Raw'!O49</f>
        <v>44.95</v>
      </c>
      <c r="AV81" s="3">
        <f>'QTR Raw'!P49</f>
        <v>44.95</v>
      </c>
      <c r="AW81" s="3">
        <f>'QTR Raw'!Q49</f>
        <v>44.79</v>
      </c>
      <c r="AX81" s="3">
        <f>'QTR Raw'!R49</f>
        <v>44.79</v>
      </c>
      <c r="AY81" s="3">
        <f>'QTR Raw'!S49</f>
        <v>44.63</v>
      </c>
      <c r="AZ81" s="3">
        <f>'QTR Raw'!T49</f>
        <v>44.63</v>
      </c>
      <c r="BA81" s="3">
        <f>'QTR Raw'!U49</f>
        <v>44.63</v>
      </c>
      <c r="BB81" s="3">
        <f>'QTR Raw'!V49</f>
        <v>44.63</v>
      </c>
      <c r="BC81" s="3">
        <f>'QTR Raw'!W49</f>
        <v>44.57</v>
      </c>
      <c r="BD81" s="3">
        <f>'QTR Raw'!X49</f>
        <v>44.57</v>
      </c>
      <c r="BE81" s="3">
        <f>'QTR Raw'!Y49</f>
        <v>44.57</v>
      </c>
      <c r="BF81" s="3">
        <f>'QTR Raw'!Z49</f>
        <v>44.57</v>
      </c>
      <c r="BG81" s="3">
        <f>'QTR Raw'!AA49</f>
        <v>44.57</v>
      </c>
      <c r="BH81" s="3">
        <f>'QTR Raw'!AB49</f>
        <v>44.57</v>
      </c>
      <c r="BI81" s="3">
        <f>'QTR Raw'!AC49</f>
        <v>44.57</v>
      </c>
      <c r="BJ81" s="3">
        <f>'QTR Raw'!AD49</f>
        <v>44.53</v>
      </c>
      <c r="BK81" s="3">
        <f>'QTR Raw'!AE49</f>
        <v>44.53</v>
      </c>
      <c r="BL81" s="3">
        <f>'QTR Raw'!AF49</f>
        <v>44.53</v>
      </c>
      <c r="BM81" s="3">
        <f>'QTR Raw'!AG49</f>
        <v>44.53</v>
      </c>
      <c r="BN81" s="3">
        <f>'QTR Raw'!AH49</f>
        <v>44.53</v>
      </c>
      <c r="BO81" s="3">
        <f>'QTR Raw'!AI49</f>
        <v>44.53</v>
      </c>
      <c r="BP81" s="3">
        <f>'QTR Raw'!AJ49</f>
        <v>44.53</v>
      </c>
      <c r="BQ81" s="3">
        <f>'QTR Raw'!AK49</f>
        <v>44.53</v>
      </c>
      <c r="BR81" s="3">
        <f>'QTR Raw'!AL49</f>
        <v>44.53</v>
      </c>
      <c r="BS81" s="3">
        <f>'QTR Raw'!AM49</f>
        <v>44.53</v>
      </c>
      <c r="BT81" s="3">
        <f>'QTR Raw'!AN49</f>
        <v>44.53</v>
      </c>
      <c r="BU81" s="3">
        <f>'QTR Raw'!AO49</f>
        <v>44.32</v>
      </c>
      <c r="BV81" s="3">
        <f>'QTR Raw'!AP49</f>
        <v>44.08</v>
      </c>
      <c r="BW81" s="3">
        <f>'QTR Raw'!AQ49</f>
        <v>43.92</v>
      </c>
      <c r="BX81" s="3">
        <f>'QTR Raw'!AR49</f>
        <v>43.92</v>
      </c>
      <c r="BY81" s="3">
        <f>'QTR Raw'!AS49</f>
        <v>43.92</v>
      </c>
      <c r="BZ81" s="3">
        <f>'QTR Raw'!AT49</f>
        <v>43.92</v>
      </c>
      <c r="CA81" s="3">
        <f>'QTR Raw'!AU49</f>
        <v>43.92</v>
      </c>
      <c r="CB81" s="3">
        <f>'QTR Raw'!AV49</f>
        <v>43.92</v>
      </c>
      <c r="CC81" s="3">
        <f>'QTR Raw'!AW49</f>
        <v>43.92</v>
      </c>
      <c r="CD81" s="3">
        <f>'QTR Raw'!AX49</f>
        <v>43.92</v>
      </c>
      <c r="CE81" s="3">
        <f>'QTR Raw'!AY49</f>
        <v>43.92</v>
      </c>
      <c r="CF81" s="3">
        <f>'QTR Raw'!AZ49</f>
        <v>43.91</v>
      </c>
      <c r="CG81" s="3">
        <f>'QTR Raw'!BA49</f>
        <v>43.91</v>
      </c>
      <c r="CH81" s="3">
        <f>'QTR Raw'!BB49</f>
        <v>43.91</v>
      </c>
      <c r="CI81" s="3">
        <f>'QTR Raw'!BC49</f>
        <v>43.91</v>
      </c>
      <c r="CJ81" s="3">
        <f>'QTR Raw'!BD49</f>
        <v>43.9</v>
      </c>
      <c r="CK81" s="3">
        <f>'QTR Raw'!BE49</f>
        <v>43.9</v>
      </c>
      <c r="CL81" s="3">
        <f>'QTR Raw'!BF49</f>
        <v>43.9</v>
      </c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3" customFormat="1" x14ac:dyDescent="0.2">
      <c r="A82" s="3" t="s">
        <v>35</v>
      </c>
      <c r="B82" s="3">
        <f>'Annual Raw'!C113</f>
        <v>0</v>
      </c>
      <c r="C82" s="3">
        <f>'Annual Raw'!D113</f>
        <v>0</v>
      </c>
      <c r="D82" s="3">
        <f>'Annual Raw'!E113</f>
        <v>0</v>
      </c>
      <c r="E82" s="3">
        <f>'Annual Raw'!F113</f>
        <v>0</v>
      </c>
      <c r="F82" s="3">
        <f>'Annual Raw'!G113</f>
        <v>0</v>
      </c>
      <c r="G82" s="3">
        <f>'Annual Raw'!H113</f>
        <v>0</v>
      </c>
      <c r="H82" s="3">
        <f>'Annual Raw'!I113</f>
        <v>0</v>
      </c>
      <c r="I82" s="3">
        <f>'Annual Raw'!J113</f>
        <v>0</v>
      </c>
      <c r="J82" s="3">
        <f>'Annual Raw'!K113</f>
        <v>0</v>
      </c>
      <c r="K82" s="3">
        <f>'Annual Raw'!L113</f>
        <v>0</v>
      </c>
      <c r="L82" s="3">
        <f>'Annual Raw'!M113</f>
        <v>0</v>
      </c>
      <c r="M82" s="3">
        <f>'Annual Raw'!N113</f>
        <v>0</v>
      </c>
      <c r="N82" s="3">
        <f>'Annual Raw'!O113</f>
        <v>0</v>
      </c>
      <c r="O82" s="3">
        <f>'Annual Raw'!P113</f>
        <v>0</v>
      </c>
      <c r="P82" s="3">
        <f>'Annual Raw'!Q113</f>
        <v>0</v>
      </c>
      <c r="Q82" s="3">
        <f>'Annual Raw'!R113</f>
        <v>0</v>
      </c>
      <c r="R82" s="3">
        <f>'Annual Raw'!S113</f>
        <v>0</v>
      </c>
      <c r="S82" s="3">
        <f>'Annual Raw'!T113</f>
        <v>0</v>
      </c>
      <c r="T82" s="3">
        <f>'Annual Raw'!U113</f>
        <v>0</v>
      </c>
      <c r="U82" s="3">
        <f>'Annual Raw'!V113</f>
        <v>0</v>
      </c>
      <c r="V82" s="3">
        <f>'Annual Raw'!W113</f>
        <v>0</v>
      </c>
      <c r="W82" s="3">
        <f>'Annual Raw'!X113</f>
        <v>0</v>
      </c>
      <c r="X82" s="3">
        <f>'Annual Raw'!Y113</f>
        <v>0</v>
      </c>
      <c r="Y82" s="3">
        <f>'Annual Raw'!Z113</f>
        <v>0</v>
      </c>
      <c r="Z82" s="3">
        <f>'Annual Raw'!AA113</f>
        <v>0</v>
      </c>
      <c r="AA82" s="3">
        <f>'Annual Raw'!AB113</f>
        <v>0</v>
      </c>
      <c r="AB82" s="37"/>
      <c r="AC82" s="37"/>
      <c r="AD82" s="37"/>
      <c r="AE82" s="37"/>
      <c r="AI82" s="3">
        <f>'QTR Raw'!C50</f>
        <v>0</v>
      </c>
      <c r="AJ82" s="3">
        <f>'QTR Raw'!D50</f>
        <v>0</v>
      </c>
      <c r="AK82" s="3">
        <f>'QTR Raw'!E50</f>
        <v>0</v>
      </c>
      <c r="AL82" s="3">
        <f>'QTR Raw'!F50</f>
        <v>0</v>
      </c>
      <c r="AM82" s="3">
        <f>'QTR Raw'!G50</f>
        <v>0</v>
      </c>
      <c r="AN82" s="3">
        <f>'QTR Raw'!H50</f>
        <v>0</v>
      </c>
      <c r="AO82" s="3">
        <f>'QTR Raw'!I50</f>
        <v>0</v>
      </c>
      <c r="AP82" s="3">
        <f>'QTR Raw'!J50</f>
        <v>0</v>
      </c>
      <c r="AQ82" s="3">
        <f>'QTR Raw'!K50</f>
        <v>0</v>
      </c>
      <c r="AR82" s="3">
        <f>'QTR Raw'!L50</f>
        <v>0</v>
      </c>
      <c r="AS82" s="3">
        <f>'QTR Raw'!M50</f>
        <v>0</v>
      </c>
      <c r="AT82" s="3">
        <f>'QTR Raw'!N50</f>
        <v>0</v>
      </c>
      <c r="AU82" s="3">
        <f>'QTR Raw'!O50</f>
        <v>0</v>
      </c>
      <c r="AV82" s="3">
        <f>'QTR Raw'!P50</f>
        <v>0</v>
      </c>
      <c r="AW82" s="3">
        <f>'QTR Raw'!Q50</f>
        <v>0</v>
      </c>
      <c r="AX82" s="3">
        <f>'QTR Raw'!R50</f>
        <v>0</v>
      </c>
      <c r="AY82" s="3">
        <f>'QTR Raw'!S50</f>
        <v>0</v>
      </c>
      <c r="AZ82" s="3">
        <f>'QTR Raw'!T50</f>
        <v>0</v>
      </c>
      <c r="BA82" s="3">
        <f>'QTR Raw'!U50</f>
        <v>0</v>
      </c>
      <c r="BB82" s="3">
        <f>'QTR Raw'!V50</f>
        <v>0</v>
      </c>
      <c r="BC82" s="3">
        <f>'QTR Raw'!W50</f>
        <v>0</v>
      </c>
      <c r="BD82" s="3">
        <f>'QTR Raw'!X50</f>
        <v>0</v>
      </c>
      <c r="BE82" s="3">
        <f>'QTR Raw'!Y50</f>
        <v>0</v>
      </c>
      <c r="BF82" s="3">
        <f>'QTR Raw'!Z50</f>
        <v>0</v>
      </c>
      <c r="BG82" s="3">
        <f>'QTR Raw'!AA50</f>
        <v>0</v>
      </c>
      <c r="BH82" s="3">
        <f>'QTR Raw'!AB50</f>
        <v>0</v>
      </c>
      <c r="BI82" s="3">
        <f>'QTR Raw'!AC50</f>
        <v>0</v>
      </c>
      <c r="BJ82" s="3">
        <f>'QTR Raw'!AD50</f>
        <v>0</v>
      </c>
      <c r="BK82" s="3">
        <f>'QTR Raw'!AE50</f>
        <v>0</v>
      </c>
      <c r="BL82" s="3">
        <f>'QTR Raw'!AF50</f>
        <v>0</v>
      </c>
      <c r="BM82" s="3">
        <f>'QTR Raw'!AG50</f>
        <v>0</v>
      </c>
      <c r="BN82" s="3">
        <f>'QTR Raw'!AH50</f>
        <v>0</v>
      </c>
      <c r="BO82" s="3">
        <f>'QTR Raw'!AI50</f>
        <v>0</v>
      </c>
      <c r="BP82" s="3">
        <f>'QTR Raw'!AJ50</f>
        <v>0</v>
      </c>
      <c r="BQ82" s="3">
        <f>'QTR Raw'!AK50</f>
        <v>0</v>
      </c>
      <c r="BR82" s="3">
        <f>'QTR Raw'!AL50</f>
        <v>0</v>
      </c>
      <c r="BS82" s="3">
        <f>'QTR Raw'!AM50</f>
        <v>0</v>
      </c>
      <c r="BT82" s="3">
        <f>'QTR Raw'!AN50</f>
        <v>0</v>
      </c>
      <c r="BU82" s="3">
        <f>'QTR Raw'!AO50</f>
        <v>0</v>
      </c>
      <c r="BV82" s="3">
        <f>'QTR Raw'!AP50</f>
        <v>0</v>
      </c>
      <c r="BW82" s="3">
        <f>'QTR Raw'!AQ50</f>
        <v>0</v>
      </c>
      <c r="BX82" s="3">
        <f>'QTR Raw'!AR50</f>
        <v>0</v>
      </c>
      <c r="BY82" s="3">
        <f>'QTR Raw'!AS50</f>
        <v>0</v>
      </c>
      <c r="BZ82" s="3">
        <f>'QTR Raw'!AT50</f>
        <v>0</v>
      </c>
      <c r="CA82" s="3">
        <f>'QTR Raw'!AU50</f>
        <v>0</v>
      </c>
      <c r="CB82" s="3">
        <f>'QTR Raw'!AV50</f>
        <v>0</v>
      </c>
      <c r="CC82" s="3">
        <f>'QTR Raw'!AW50</f>
        <v>0</v>
      </c>
      <c r="CD82" s="3">
        <f>'QTR Raw'!AX50</f>
        <v>0</v>
      </c>
      <c r="CE82" s="3">
        <f>'QTR Raw'!AY50</f>
        <v>0</v>
      </c>
      <c r="CF82" s="3">
        <f>'QTR Raw'!AZ50</f>
        <v>0</v>
      </c>
      <c r="CG82" s="3">
        <f>'QTR Raw'!BA50</f>
        <v>0</v>
      </c>
      <c r="CH82" s="3">
        <f>'QTR Raw'!BB50</f>
        <v>0</v>
      </c>
      <c r="CI82" s="3">
        <f>'QTR Raw'!BC50</f>
        <v>0</v>
      </c>
      <c r="CJ82" s="3">
        <f>'QTR Raw'!BD50</f>
        <v>0</v>
      </c>
      <c r="CK82" s="3">
        <f>'QTR Raw'!BE50</f>
        <v>0</v>
      </c>
      <c r="CL82" s="3">
        <f>'QTR Raw'!BF50</f>
        <v>0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36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457</v>
      </c>
      <c r="B85" s="13">
        <f>'Annual Raw'!C106</f>
        <v>34.975000000000001</v>
      </c>
      <c r="C85" s="13">
        <f>'Annual Raw'!D106</f>
        <v>38.424999999999997</v>
      </c>
      <c r="D85" s="13">
        <f>'Annual Raw'!E106</f>
        <v>32.774999999999999</v>
      </c>
      <c r="E85" s="13">
        <f>'Annual Raw'!F106</f>
        <v>39.799999999999997</v>
      </c>
      <c r="F85" s="13">
        <f>'Annual Raw'!G106</f>
        <v>92.224999999999994</v>
      </c>
      <c r="G85" s="13">
        <f>'Annual Raw'!H106</f>
        <v>97.174999999999997</v>
      </c>
      <c r="H85" s="13">
        <f>'Annual Raw'!I106</f>
        <v>144.125</v>
      </c>
      <c r="I85" s="13">
        <f>'Annual Raw'!J106</f>
        <v>78.849999999999994</v>
      </c>
      <c r="J85" s="13">
        <f>'Annual Raw'!K106</f>
        <v>41.125</v>
      </c>
      <c r="K85" s="13">
        <f>'Annual Raw'!L106</f>
        <v>159.94999999999999</v>
      </c>
      <c r="L85" s="13">
        <f>'Annual Raw'!M106</f>
        <v>127.05</v>
      </c>
      <c r="M85" s="13">
        <f>'Annual Raw'!N106</f>
        <v>97.95</v>
      </c>
      <c r="N85" s="13">
        <f>'Annual Raw'!O106</f>
        <v>95.575000000000003</v>
      </c>
      <c r="O85" s="13">
        <f>'Annual Raw'!P106</f>
        <v>272.2</v>
      </c>
      <c r="P85" s="13">
        <f>'Annual Raw'!Q106</f>
        <v>579.07500000000005</v>
      </c>
      <c r="Q85" s="13">
        <f>'Annual Raw'!R106</f>
        <v>940.27499999999998</v>
      </c>
      <c r="R85" s="13">
        <f>'Annual Raw'!S106</f>
        <v>731.57500000000005</v>
      </c>
      <c r="S85" s="13">
        <f>'Annual Raw'!T106</f>
        <v>985.15</v>
      </c>
      <c r="T85" s="13">
        <f>'Annual Raw'!U106</f>
        <v>963.25</v>
      </c>
      <c r="U85" s="13">
        <f>'Annual Raw'!V106</f>
        <v>629.79999999999995</v>
      </c>
      <c r="V85" s="13">
        <f>'Annual Raw'!W106</f>
        <v>2693.4</v>
      </c>
      <c r="W85" s="13">
        <f>'Annual Raw'!X106</f>
        <v>8840.25</v>
      </c>
      <c r="X85" s="13">
        <f>'Annual Raw'!Y106</f>
        <v>5961.5</v>
      </c>
      <c r="Y85" s="13">
        <f>'Annual Raw'!Z106</f>
        <v>7779.6</v>
      </c>
      <c r="Z85" s="13">
        <f>'Annual Raw'!AA106</f>
        <v>5216.3</v>
      </c>
      <c r="AA85" s="13">
        <f>'Annual Raw'!AB106</f>
        <v>3977.25</v>
      </c>
      <c r="AB85" s="37">
        <f>+CP85</f>
        <v>4214</v>
      </c>
      <c r="AC85" s="37">
        <f>+CT85</f>
        <v>4214</v>
      </c>
      <c r="AD85" s="37">
        <f>+CX85</f>
        <v>4214</v>
      </c>
      <c r="AE85" s="37">
        <f>+DB85</f>
        <v>4214</v>
      </c>
      <c r="AJ85" s="13">
        <f>'QTR Share Price'!HP21</f>
        <v>112.6</v>
      </c>
      <c r="AK85" s="13">
        <f>'QTR Share Price'!HQ21</f>
        <v>115.35</v>
      </c>
      <c r="AL85" s="13">
        <f>'QTR Share Price'!HR21</f>
        <v>95.575000000000003</v>
      </c>
      <c r="AM85" s="13">
        <f>'QTR Share Price'!HS21</f>
        <v>90.4</v>
      </c>
      <c r="AN85" s="13">
        <f>'QTR Share Price'!HT21</f>
        <v>91.9</v>
      </c>
      <c r="AO85" s="13">
        <f>'QTR Share Price'!HU21</f>
        <v>207.82499999999999</v>
      </c>
      <c r="AP85" s="13">
        <f>'QTR Share Price'!HV21</f>
        <v>272.2</v>
      </c>
      <c r="AQ85" s="13">
        <f>'QTR Share Price'!HW21</f>
        <v>309.375</v>
      </c>
      <c r="AR85" s="13">
        <f>'QTR Share Price'!HX21</f>
        <v>322.95</v>
      </c>
      <c r="AS85" s="13">
        <f>'QTR Share Price'!HY21</f>
        <v>298.375</v>
      </c>
      <c r="AT85" s="13">
        <f>'QTR Share Price'!HZ21</f>
        <v>579.07500000000005</v>
      </c>
      <c r="AU85" s="13">
        <f>'QTR Share Price'!IA21</f>
        <v>600.65</v>
      </c>
      <c r="AV85" s="13">
        <f>'QTR Share Price'!IB21</f>
        <v>940.67499999999995</v>
      </c>
      <c r="AW85" s="13">
        <f>'QTR Share Price'!IC21</f>
        <v>1122.3499999999999</v>
      </c>
      <c r="AX85" s="13">
        <f>'QTR Share Price'!ID21</f>
        <v>940.27499999999998</v>
      </c>
      <c r="AY85" s="13">
        <f>'QTR Share Price'!IE21</f>
        <v>847.875</v>
      </c>
      <c r="AZ85" s="13">
        <f>'QTR Share Price'!IF21</f>
        <v>697.67499999999995</v>
      </c>
      <c r="BA85" s="13">
        <f>'QTR Share Price'!IG21</f>
        <v>701.27499999999998</v>
      </c>
      <c r="BB85" s="13">
        <f>'QTR Share Price'!IH21</f>
        <v>731.57500000000005</v>
      </c>
      <c r="BC85" s="13">
        <f>'QTR Share Price'!II21</f>
        <v>792.52499999999998</v>
      </c>
      <c r="BD85" s="13">
        <f>'QTR Share Price'!IJ21</f>
        <v>812.35</v>
      </c>
      <c r="BE85" s="13">
        <f>'QTR Share Price'!IK21</f>
        <v>976.65</v>
      </c>
      <c r="BF85" s="13">
        <f>'QTR Share Price'!IL21</f>
        <v>985.15</v>
      </c>
      <c r="BG85" s="13">
        <f>'QTR Share Price'!IM21</f>
        <v>1335.5</v>
      </c>
      <c r="BH85" s="13">
        <f>'QTR Share Price'!IN21</f>
        <v>1153.5</v>
      </c>
      <c r="BI85" s="13">
        <f>'QTR Share Price'!IO21</f>
        <v>1020.7</v>
      </c>
      <c r="BJ85" s="13">
        <f>'QTR Share Price'!IP21</f>
        <v>963.25</v>
      </c>
      <c r="BK85" s="13">
        <f>'QTR Share Price'!IQ21</f>
        <v>885.55</v>
      </c>
      <c r="BL85" s="13">
        <f>'QTR Share Price'!IR21</f>
        <v>676.05</v>
      </c>
      <c r="BM85" s="13">
        <f>'QTR Share Price'!IS21</f>
        <v>825.6</v>
      </c>
      <c r="BN85" s="13">
        <f>'QTR Share Price'!IT21</f>
        <v>629.79999999999995</v>
      </c>
      <c r="BO85" s="13">
        <f>'QTR Share Price'!IU21</f>
        <v>897.5</v>
      </c>
      <c r="BP85" s="13">
        <f>'QTR Share Price'!IV21</f>
        <v>1283.8499999999999</v>
      </c>
      <c r="BQ85" s="13">
        <f>'QTR Share Price'!IW21</f>
        <v>1832.85</v>
      </c>
      <c r="BR85" s="13">
        <f>'QTR Share Price'!IX21</f>
        <v>2693.4</v>
      </c>
      <c r="BS85" s="13">
        <f>'QTR Share Price'!IY21</f>
        <v>4296.75</v>
      </c>
      <c r="BT85" s="13">
        <f>'QTR Share Price'!IZ21</f>
        <v>5594.6</v>
      </c>
      <c r="BU85" s="13">
        <f>'QTR Share Price'!JA21</f>
        <v>5867.8</v>
      </c>
      <c r="BV85" s="13">
        <f>'QTR Share Price'!JB21</f>
        <v>8840.25</v>
      </c>
      <c r="BW85" s="13">
        <f>'QTR Share Price'!JC21</f>
        <v>8164.6</v>
      </c>
      <c r="BX85" s="13">
        <f>'QTR Share Price'!JD21</f>
        <v>8583.2999999999993</v>
      </c>
      <c r="BY85" s="13">
        <f>'QTR Share Price'!JE21</f>
        <v>6287.1</v>
      </c>
      <c r="BZ85" s="13">
        <f>'QTR Share Price'!JF21</f>
        <v>5961.5</v>
      </c>
      <c r="CA85" s="13">
        <f>'QTR Share Price'!JG21</f>
        <v>7584.05</v>
      </c>
      <c r="CB85" s="13">
        <f>'QTR Share Price'!JH21</f>
        <v>7220.8</v>
      </c>
      <c r="CC85" s="13">
        <f>'QTR Share Price'!JI21</f>
        <v>8757.7000000000007</v>
      </c>
      <c r="CD85" s="13">
        <f>'QTR Share Price'!JJ21</f>
        <v>7779.6</v>
      </c>
      <c r="CE85" s="13">
        <f>'QTR Share Price'!JK21</f>
        <v>7001.95</v>
      </c>
      <c r="CF85" s="13">
        <f>'QTR Share Price'!JL21</f>
        <v>7727.4</v>
      </c>
      <c r="CG85" s="13">
        <f>'QTR Share Price'!JM21</f>
        <v>6794</v>
      </c>
      <c r="CH85" s="13">
        <f>'QTR Share Price'!JN21</f>
        <v>5216.3</v>
      </c>
      <c r="CI85" s="13">
        <f>'QTR Share Price'!JO21</f>
        <v>6310</v>
      </c>
      <c r="CJ85" s="13">
        <f>'QTR Share Price'!JP21</f>
        <v>5227.05</v>
      </c>
      <c r="CK85" s="13">
        <f>'QTR Share Price'!JQ21</f>
        <v>5239.05</v>
      </c>
      <c r="CL85" s="13">
        <f>'QTR Share Price'!JR21</f>
        <v>3977.25</v>
      </c>
      <c r="CM85" s="37">
        <v>4214</v>
      </c>
      <c r="CN85" s="37">
        <f t="shared" ref="CN85" si="868">+CM85</f>
        <v>4214</v>
      </c>
      <c r="CO85" s="37">
        <f t="shared" ref="CO85" si="869">+CN85</f>
        <v>4214</v>
      </c>
      <c r="CP85" s="37">
        <f t="shared" ref="CP85" si="870">+CO85</f>
        <v>4214</v>
      </c>
      <c r="CQ85" s="37">
        <f t="shared" ref="CQ85" si="871">+CP85</f>
        <v>4214</v>
      </c>
      <c r="CR85" s="37">
        <f t="shared" ref="CR85" si="872">+CQ85</f>
        <v>4214</v>
      </c>
      <c r="CS85" s="37">
        <f t="shared" ref="CS85" si="873">+CR85</f>
        <v>4214</v>
      </c>
      <c r="CT85" s="37">
        <f t="shared" ref="CT85" si="874">+CS85</f>
        <v>4214</v>
      </c>
      <c r="CU85" s="37">
        <f t="shared" ref="CU85" si="875">+CT85</f>
        <v>4214</v>
      </c>
      <c r="CV85" s="37">
        <f t="shared" ref="CV85" si="876">+CU85</f>
        <v>4214</v>
      </c>
      <c r="CW85" s="37">
        <f t="shared" ref="CW85" si="877">+CV85</f>
        <v>4214</v>
      </c>
      <c r="CX85" s="37">
        <f t="shared" ref="CX85" si="878">+CW85</f>
        <v>4214</v>
      </c>
      <c r="CY85" s="37">
        <f t="shared" ref="CY85" si="879">+CX85</f>
        <v>4214</v>
      </c>
      <c r="CZ85" s="37">
        <f t="shared" ref="CZ85" si="880">+CY85</f>
        <v>4214</v>
      </c>
      <c r="DA85" s="37">
        <f t="shared" ref="DA85" si="881">+CZ85</f>
        <v>4214</v>
      </c>
      <c r="DB85" s="37">
        <f t="shared" ref="DB85" si="882">+DA85</f>
        <v>4214</v>
      </c>
      <c r="DE85" s="134"/>
      <c r="DF85" s="13">
        <v>3977.25</v>
      </c>
    </row>
    <row r="86" spans="1:110" s="13" customFormat="1" x14ac:dyDescent="0.2">
      <c r="A86" s="13" t="s">
        <v>458</v>
      </c>
      <c r="B86" s="13">
        <f>'Annual Raw'!C107</f>
        <v>79.5</v>
      </c>
      <c r="C86" s="13">
        <f>'Annual Raw'!D107</f>
        <v>48.9</v>
      </c>
      <c r="D86" s="13">
        <f>'Annual Raw'!E107</f>
        <v>70</v>
      </c>
      <c r="E86" s="13">
        <f>'Annual Raw'!F107</f>
        <v>66.5</v>
      </c>
      <c r="F86" s="13">
        <f>'Annual Raw'!G107</f>
        <v>95.625</v>
      </c>
      <c r="G86" s="13">
        <f>'Annual Raw'!H107</f>
        <v>116</v>
      </c>
      <c r="H86" s="13">
        <f>'Annual Raw'!I107</f>
        <v>160</v>
      </c>
      <c r="I86" s="13">
        <f>'Annual Raw'!J107</f>
        <v>182.35</v>
      </c>
      <c r="J86" s="13">
        <f>'Annual Raw'!K107</f>
        <v>111.95</v>
      </c>
      <c r="K86" s="13">
        <f>'Annual Raw'!L107</f>
        <v>173.72499999999999</v>
      </c>
      <c r="L86" s="13">
        <f>'Annual Raw'!M107</f>
        <v>170.45</v>
      </c>
      <c r="M86" s="13">
        <f>'Annual Raw'!N107</f>
        <v>140.67500000000001</v>
      </c>
      <c r="N86" s="13">
        <f>'Annual Raw'!O107</f>
        <v>127.05</v>
      </c>
      <c r="O86" s="13">
        <f>'Annual Raw'!P107</f>
        <v>334.3</v>
      </c>
      <c r="P86" s="13">
        <f>'Annual Raw'!Q107</f>
        <v>743.75</v>
      </c>
      <c r="Q86" s="13">
        <f>'Annual Raw'!R107</f>
        <v>1198</v>
      </c>
      <c r="R86" s="13">
        <f>'Annual Raw'!S107</f>
        <v>1032</v>
      </c>
      <c r="S86" s="13">
        <f>'Annual Raw'!T107</f>
        <v>1123.05</v>
      </c>
      <c r="T86" s="13">
        <f>'Annual Raw'!U107</f>
        <v>1491.75</v>
      </c>
      <c r="U86" s="13">
        <f>'Annual Raw'!V107</f>
        <v>1098.75</v>
      </c>
      <c r="V86" s="13">
        <f>'Annual Raw'!W107</f>
        <v>3050</v>
      </c>
      <c r="W86" s="13">
        <f>'Annual Raw'!X107</f>
        <v>9420</v>
      </c>
      <c r="X86" s="13">
        <f>'Annual Raw'!Y107</f>
        <v>10760.4</v>
      </c>
      <c r="Y86" s="13">
        <f>'Annual Raw'!Z107</f>
        <v>9191.1</v>
      </c>
      <c r="Z86" s="13">
        <f>'Annual Raw'!AA107</f>
        <v>9082.9</v>
      </c>
      <c r="AA86" s="13">
        <f>'Annual Raw'!AB107</f>
        <v>6733.5</v>
      </c>
      <c r="AB86" s="37">
        <f>+MAX(CM86:CP86)</f>
        <v>6956.9695102736951</v>
      </c>
      <c r="AC86" s="37">
        <f>+MAX(CQ86:CT86)</f>
        <v>8322.6497720035914</v>
      </c>
      <c r="AD86" s="37">
        <f>+MAX(CU86:CX86)</f>
        <v>9279.1599599764941</v>
      </c>
      <c r="AE86" s="37">
        <f>+MAX(CY86:DB86)</f>
        <v>10324.920383677751</v>
      </c>
      <c r="AJ86" s="13">
        <f>'QTR Share Price'!HP19</f>
        <v>127.05</v>
      </c>
      <c r="AK86" s="13">
        <f>'QTR Share Price'!HQ19</f>
        <v>126</v>
      </c>
      <c r="AL86" s="13">
        <f>'QTR Share Price'!HR19</f>
        <v>123.5</v>
      </c>
      <c r="AM86" s="13">
        <f>'QTR Share Price'!HS19</f>
        <v>104.425</v>
      </c>
      <c r="AN86" s="13">
        <f>'QTR Share Price'!HT19</f>
        <v>110.47499999999999</v>
      </c>
      <c r="AO86" s="13">
        <f>'QTR Share Price'!HU19</f>
        <v>213.9</v>
      </c>
      <c r="AP86" s="13">
        <f>'QTR Share Price'!HV19</f>
        <v>334.3</v>
      </c>
      <c r="AQ86" s="13">
        <f>'QTR Share Price'!HW19</f>
        <v>314.7</v>
      </c>
      <c r="AR86" s="13">
        <f>'QTR Share Price'!HX19</f>
        <v>349.65</v>
      </c>
      <c r="AS86" s="13">
        <f>'QTR Share Price'!HY19</f>
        <v>331.9</v>
      </c>
      <c r="AT86" s="13">
        <f>'QTR Share Price'!HZ19</f>
        <v>743.75</v>
      </c>
      <c r="AU86" s="13">
        <f>'QTR Share Price'!IA19</f>
        <v>702.95</v>
      </c>
      <c r="AV86" s="13">
        <f>'QTR Share Price'!IB19</f>
        <v>1158.5</v>
      </c>
      <c r="AW86" s="13">
        <f>'QTR Share Price'!IC19</f>
        <v>1165</v>
      </c>
      <c r="AX86" s="13">
        <f>'QTR Share Price'!ID19</f>
        <v>1198</v>
      </c>
      <c r="AY86" s="13">
        <f>'QTR Share Price'!IE19</f>
        <v>1032</v>
      </c>
      <c r="AZ86" s="13">
        <f>'QTR Share Price'!IF19</f>
        <v>891.5</v>
      </c>
      <c r="BA86" s="13">
        <f>'QTR Share Price'!IG19</f>
        <v>749.4</v>
      </c>
      <c r="BB86" s="13">
        <f>'QTR Share Price'!IH19</f>
        <v>778.9</v>
      </c>
      <c r="BC86" s="13">
        <f>'QTR Share Price'!II19</f>
        <v>831.22500000000002</v>
      </c>
      <c r="BD86" s="13">
        <f>'QTR Share Price'!IJ19</f>
        <v>925.5</v>
      </c>
      <c r="BE86" s="13">
        <f>'QTR Share Price'!IK19</f>
        <v>983.9</v>
      </c>
      <c r="BF86" s="13">
        <f>'QTR Share Price'!IL19</f>
        <v>1123.05</v>
      </c>
      <c r="BG86" s="13">
        <f>'QTR Share Price'!IM19</f>
        <v>1357.5</v>
      </c>
      <c r="BH86" s="13">
        <f>'QTR Share Price'!IN19</f>
        <v>1491.75</v>
      </c>
      <c r="BI86" s="13">
        <f>'QTR Share Price'!IO19</f>
        <v>1210.6500000000001</v>
      </c>
      <c r="BJ86" s="13">
        <f>'QTR Share Price'!IP19</f>
        <v>1041.95</v>
      </c>
      <c r="BK86" s="13">
        <f>'QTR Share Price'!IQ19</f>
        <v>1001</v>
      </c>
      <c r="BL86" s="13">
        <f>'QTR Share Price'!IR19</f>
        <v>929</v>
      </c>
      <c r="BM86" s="13">
        <f>'QTR Share Price'!IS19</f>
        <v>899</v>
      </c>
      <c r="BN86" s="13">
        <f>'QTR Share Price'!IT19</f>
        <v>1098.75</v>
      </c>
      <c r="BO86" s="13">
        <f>'QTR Share Price'!IU19</f>
        <v>942.65</v>
      </c>
      <c r="BP86" s="13">
        <f>'QTR Share Price'!IV19</f>
        <v>1330</v>
      </c>
      <c r="BQ86" s="13">
        <f>'QTR Share Price'!IW19</f>
        <v>1887.6</v>
      </c>
      <c r="BR86" s="13">
        <f>'QTR Share Price'!IX19</f>
        <v>3050</v>
      </c>
      <c r="BS86" s="13">
        <f>'QTR Share Price'!IY19</f>
        <v>4355</v>
      </c>
      <c r="BT86" s="13">
        <f>'QTR Share Price'!IZ19</f>
        <v>5972.65</v>
      </c>
      <c r="BU86" s="13">
        <f>'QTR Share Price'!JA19</f>
        <v>6780</v>
      </c>
      <c r="BV86" s="13">
        <f>'QTR Share Price'!JB19</f>
        <v>9420</v>
      </c>
      <c r="BW86" s="13">
        <f>'QTR Share Price'!JC19</f>
        <v>9186</v>
      </c>
      <c r="BX86" s="13">
        <f>'QTR Share Price'!JD19</f>
        <v>10760.4</v>
      </c>
      <c r="BY86" s="13">
        <f>'QTR Share Price'!JE19</f>
        <v>8681.2000000000007</v>
      </c>
      <c r="BZ86" s="13">
        <f>'QTR Share Price'!JF19</f>
        <v>6826.7</v>
      </c>
      <c r="CA86" s="13">
        <f>'QTR Share Price'!JG19</f>
        <v>7950</v>
      </c>
      <c r="CB86" s="13">
        <f>'QTR Share Price'!JH19</f>
        <v>7849.95</v>
      </c>
      <c r="CC86" s="13">
        <f>'QTR Share Price'!JI19</f>
        <v>9191.1</v>
      </c>
      <c r="CD86" s="13">
        <f>'QTR Share Price'!JJ19</f>
        <v>8948.4</v>
      </c>
      <c r="CE86" s="13">
        <f>'QTR Share Price'!JK19</f>
        <v>8194.85</v>
      </c>
      <c r="CF86" s="13">
        <f>'QTR Share Price'!JL19</f>
        <v>9082.9</v>
      </c>
      <c r="CG86" s="13">
        <f>'QTR Share Price'!JM19</f>
        <v>8025</v>
      </c>
      <c r="CH86" s="13">
        <f>'QTR Share Price'!JN19</f>
        <v>6899.95</v>
      </c>
      <c r="CI86" s="13">
        <f>'QTR Share Price'!JO19</f>
        <v>6733.5</v>
      </c>
      <c r="CJ86" s="13">
        <f>'QTR Share Price'!JP19</f>
        <v>6423.1</v>
      </c>
      <c r="CK86" s="13">
        <f>'QTR Share Price'!JQ19</f>
        <v>5624.1</v>
      </c>
      <c r="CL86" s="13">
        <f>'QTR Share Price'!JR19</f>
        <v>5949.95</v>
      </c>
      <c r="CM86" s="37">
        <f t="shared" ref="CM86:DB86" si="883">+CM77*CM94</f>
        <v>6309.8537484036351</v>
      </c>
      <c r="CN86" s="37">
        <f t="shared" si="883"/>
        <v>6713.6983023965668</v>
      </c>
      <c r="CO86" s="37">
        <f t="shared" si="883"/>
        <v>6866.1819133275694</v>
      </c>
      <c r="CP86" s="37">
        <f t="shared" si="883"/>
        <v>6956.9695102736951</v>
      </c>
      <c r="CQ86" s="37">
        <f t="shared" si="883"/>
        <v>7305.8931867161309</v>
      </c>
      <c r="CR86" s="37">
        <f t="shared" si="883"/>
        <v>7655.6794500379692</v>
      </c>
      <c r="CS86" s="37">
        <f t="shared" si="883"/>
        <v>7970.220739784153</v>
      </c>
      <c r="CT86" s="37">
        <f t="shared" si="883"/>
        <v>8322.6497720035914</v>
      </c>
      <c r="CU86" s="37">
        <f t="shared" si="883"/>
        <v>8592.6481370088786</v>
      </c>
      <c r="CV86" s="37">
        <f t="shared" si="883"/>
        <v>8846.0232801581988</v>
      </c>
      <c r="CW86" s="37">
        <f t="shared" si="883"/>
        <v>9074.4880235820365</v>
      </c>
      <c r="CX86" s="37">
        <f t="shared" si="883"/>
        <v>9279.1599599764941</v>
      </c>
      <c r="CY86" s="37">
        <f t="shared" si="883"/>
        <v>9595.8880560300986</v>
      </c>
      <c r="CZ86" s="37">
        <f t="shared" si="883"/>
        <v>9871.8735425621617</v>
      </c>
      <c r="DA86" s="37">
        <f t="shared" si="883"/>
        <v>10112.37948295788</v>
      </c>
      <c r="DB86" s="37">
        <f t="shared" si="883"/>
        <v>10324.920383677751</v>
      </c>
      <c r="DE86" s="134"/>
      <c r="DF86" s="13">
        <v>5949.95</v>
      </c>
    </row>
    <row r="87" spans="1:110" s="13" customFormat="1" x14ac:dyDescent="0.2">
      <c r="A87" s="13" t="s">
        <v>459</v>
      </c>
      <c r="B87" s="13">
        <f>'Annual Raw'!C108</f>
        <v>30.05</v>
      </c>
      <c r="C87" s="13">
        <f>'Annual Raw'!D108</f>
        <v>15.75</v>
      </c>
      <c r="D87" s="13">
        <f>'Annual Raw'!E108</f>
        <v>32.125</v>
      </c>
      <c r="E87" s="13">
        <f>'Annual Raw'!F108</f>
        <v>32.4</v>
      </c>
      <c r="F87" s="13">
        <f>'Annual Raw'!G108</f>
        <v>37.5</v>
      </c>
      <c r="G87" s="13">
        <f>'Annual Raw'!H108</f>
        <v>83.1</v>
      </c>
      <c r="H87" s="13">
        <f>'Annual Raw'!I108</f>
        <v>73.5</v>
      </c>
      <c r="I87" s="13">
        <f>'Annual Raw'!J108</f>
        <v>69</v>
      </c>
      <c r="J87" s="13">
        <f>'Annual Raw'!K108</f>
        <v>37.5</v>
      </c>
      <c r="K87" s="13">
        <f>'Annual Raw'!L108</f>
        <v>40.9</v>
      </c>
      <c r="L87" s="13">
        <f>'Annual Raw'!M108</f>
        <v>112</v>
      </c>
      <c r="M87" s="13">
        <f>'Annual Raw'!N108</f>
        <v>83.55</v>
      </c>
      <c r="N87" s="13">
        <f>'Annual Raw'!O108</f>
        <v>91.45</v>
      </c>
      <c r="O87" s="13">
        <f>'Annual Raw'!P108</f>
        <v>78.05</v>
      </c>
      <c r="P87" s="13">
        <f>'Annual Raw'!Q108</f>
        <v>236</v>
      </c>
      <c r="Q87" s="13">
        <f>'Annual Raw'!R108</f>
        <v>489</v>
      </c>
      <c r="R87" s="13">
        <f>'Annual Raw'!S108</f>
        <v>510.82499999999999</v>
      </c>
      <c r="S87" s="13">
        <f>'Annual Raw'!T108</f>
        <v>643.75</v>
      </c>
      <c r="T87" s="13">
        <f>'Annual Raw'!U108</f>
        <v>826</v>
      </c>
      <c r="U87" s="13">
        <f>'Annual Raw'!V108</f>
        <v>501</v>
      </c>
      <c r="V87" s="13">
        <f>'Annual Raw'!W108</f>
        <v>590</v>
      </c>
      <c r="W87" s="13">
        <f>'Annual Raw'!X108</f>
        <v>2700</v>
      </c>
      <c r="X87" s="13">
        <f>'Annual Raw'!Y108</f>
        <v>5708.1</v>
      </c>
      <c r="Y87" s="13">
        <f>'Annual Raw'!Z108</f>
        <v>5976.05</v>
      </c>
      <c r="Z87" s="13">
        <f>'Annual Raw'!AA108</f>
        <v>5160</v>
      </c>
      <c r="AA87" s="13">
        <f>'Annual Raw'!AB108</f>
        <v>3970</v>
      </c>
      <c r="AB87" s="37">
        <f>+MIN(CM87:CP87)</f>
        <v>4210.1394769976941</v>
      </c>
      <c r="AC87" s="37">
        <f>+MIN(CQ87:CT87)</f>
        <v>4874.7293592825217</v>
      </c>
      <c r="AD87" s="37">
        <f>+MIN(CU87:CX87)</f>
        <v>5733.2940787612079</v>
      </c>
      <c r="AE87" s="37">
        <f>+MIN(CY87:DB87)</f>
        <v>6402.6883557743322</v>
      </c>
      <c r="AJ87" s="13">
        <f>+'QTR Share Price'!HP20</f>
        <v>102.575</v>
      </c>
      <c r="AK87" s="13">
        <f>+'QTR Share Price'!HQ20</f>
        <v>105</v>
      </c>
      <c r="AL87" s="13">
        <f>+'QTR Share Price'!HR20</f>
        <v>91.45</v>
      </c>
      <c r="AM87" s="13">
        <f>+'QTR Share Price'!HS20</f>
        <v>85.025000000000006</v>
      </c>
      <c r="AN87" s="13">
        <f>+'QTR Share Price'!HT20</f>
        <v>78.05</v>
      </c>
      <c r="AO87" s="13">
        <f>+'QTR Share Price'!HU20</f>
        <v>90</v>
      </c>
      <c r="AP87" s="13">
        <f>+'QTR Share Price'!HV20</f>
        <v>172</v>
      </c>
      <c r="AQ87" s="13">
        <f>+'QTR Share Price'!HW20</f>
        <v>236</v>
      </c>
      <c r="AR87" s="13">
        <f>+'QTR Share Price'!HX20</f>
        <v>280.8</v>
      </c>
      <c r="AS87" s="13">
        <f>+'QTR Share Price'!HY20</f>
        <v>275.55</v>
      </c>
      <c r="AT87" s="13">
        <f>+'QTR Share Price'!HZ20</f>
        <v>298.27499999999998</v>
      </c>
      <c r="AU87" s="13">
        <f>+'QTR Share Price'!IA20</f>
        <v>489</v>
      </c>
      <c r="AV87" s="13">
        <f>+'QTR Share Price'!IB20</f>
        <v>592.5</v>
      </c>
      <c r="AW87" s="13">
        <f>+'QTR Share Price'!IC20</f>
        <v>844.57500000000005</v>
      </c>
      <c r="AX87" s="13">
        <f>+'QTR Share Price'!ID20</f>
        <v>798.52499999999998</v>
      </c>
      <c r="AY87" s="13">
        <f>+'QTR Share Price'!IE20</f>
        <v>806.07500000000005</v>
      </c>
      <c r="AZ87" s="13">
        <f>+'QTR Share Price'!IF20</f>
        <v>685.85</v>
      </c>
      <c r="BA87" s="13">
        <f>+'QTR Share Price'!IG20</f>
        <v>510.82499999999999</v>
      </c>
      <c r="BB87" s="13">
        <f>+'QTR Share Price'!IH20</f>
        <v>686.02499999999998</v>
      </c>
      <c r="BC87" s="13">
        <f>+'QTR Share Price'!II20</f>
        <v>643.75</v>
      </c>
      <c r="BD87" s="13">
        <f>+'QTR Share Price'!IJ20</f>
        <v>791.47500000000002</v>
      </c>
      <c r="BE87" s="13">
        <f>+'QTR Share Price'!IK20</f>
        <v>795</v>
      </c>
      <c r="BF87" s="13">
        <f>+'QTR Share Price'!IL20</f>
        <v>927</v>
      </c>
      <c r="BG87" s="13">
        <f>+'QTR Share Price'!IM20</f>
        <v>987</v>
      </c>
      <c r="BH87" s="13">
        <f>+'QTR Share Price'!IN20</f>
        <v>1130.3</v>
      </c>
      <c r="BI87" s="13">
        <f>+'QTR Share Price'!IO20</f>
        <v>926</v>
      </c>
      <c r="BJ87" s="13">
        <f>+'QTR Share Price'!IP20</f>
        <v>826</v>
      </c>
      <c r="BK87" s="13">
        <f>+'QTR Share Price'!IQ20</f>
        <v>822.2</v>
      </c>
      <c r="BL87" s="13">
        <f>+'QTR Share Price'!IR20</f>
        <v>593</v>
      </c>
      <c r="BM87" s="13">
        <f>+'QTR Share Price'!IS20</f>
        <v>610</v>
      </c>
      <c r="BN87" s="13">
        <f>+'QTR Share Price'!IT20</f>
        <v>501</v>
      </c>
      <c r="BO87" s="13">
        <f>+'QTR Share Price'!IU20</f>
        <v>590</v>
      </c>
      <c r="BP87" s="13">
        <f>+'QTR Share Price'!IV20</f>
        <v>876.6</v>
      </c>
      <c r="BQ87" s="13">
        <f>+'QTR Share Price'!IW20</f>
        <v>1271</v>
      </c>
      <c r="BR87" s="13">
        <f>+'QTR Share Price'!IX20</f>
        <v>1838</v>
      </c>
      <c r="BS87" s="13">
        <f>+'QTR Share Price'!IY20</f>
        <v>2700</v>
      </c>
      <c r="BT87" s="13">
        <f>+'QTR Share Price'!IZ20</f>
        <v>4106.3</v>
      </c>
      <c r="BU87" s="13">
        <f>+'QTR Share Price'!JA20</f>
        <v>5264.75</v>
      </c>
      <c r="BV87" s="13">
        <f>+'QTR Share Price'!JB20</f>
        <v>5780</v>
      </c>
      <c r="BW87" s="13">
        <f>+'QTR Share Price'!JC20</f>
        <v>6431.45</v>
      </c>
      <c r="BX87" s="13">
        <f>+'QTR Share Price'!JD20</f>
        <v>7635.05</v>
      </c>
      <c r="BY87" s="13">
        <f>+'QTR Share Price'!JE20</f>
        <v>5708.1</v>
      </c>
      <c r="BZ87" s="13">
        <f>+'QTR Share Price'!JF20</f>
        <v>5883.05</v>
      </c>
      <c r="CA87" s="13">
        <f>+'QTR Share Price'!JG20</f>
        <v>5976.05</v>
      </c>
      <c r="CB87" s="13">
        <f>+'QTR Share Price'!JH20</f>
        <v>6990.05</v>
      </c>
      <c r="CC87" s="13">
        <f>+'QTR Share Price'!JI20</f>
        <v>7170.05</v>
      </c>
      <c r="CD87" s="13">
        <f>+'QTR Share Price'!JJ20</f>
        <v>7340</v>
      </c>
      <c r="CE87" s="13">
        <f>+'QTR Share Price'!JK20</f>
        <v>6406.6</v>
      </c>
      <c r="CF87" s="13">
        <f>+'QTR Share Price'!JL20</f>
        <v>6619.75</v>
      </c>
      <c r="CG87" s="13">
        <f>+'QTR Share Price'!JM20</f>
        <v>6285.05</v>
      </c>
      <c r="CH87" s="13">
        <f>+'QTR Share Price'!JN20</f>
        <v>5160</v>
      </c>
      <c r="CI87" s="13">
        <f>+'QTR Share Price'!JO20</f>
        <v>4601.05</v>
      </c>
      <c r="CJ87" s="13">
        <f>+'QTR Share Price'!JP20</f>
        <v>5211.05</v>
      </c>
      <c r="CK87" s="13">
        <f>+'QTR Share Price'!JQ20</f>
        <v>4855.2</v>
      </c>
      <c r="CL87" s="13">
        <f>+'QTR Share Price'!JR20</f>
        <v>3970</v>
      </c>
      <c r="CM87" s="37">
        <f t="shared" ref="CM87:DB87" si="884">+CM95*CM77</f>
        <v>4210.1394769976941</v>
      </c>
      <c r="CN87" s="37">
        <f t="shared" si="884"/>
        <v>4479.5976874619737</v>
      </c>
      <c r="CO87" s="37">
        <f t="shared" si="884"/>
        <v>4581.3397080497234</v>
      </c>
      <c r="CP87" s="37">
        <f t="shared" si="884"/>
        <v>4641.9161431249959</v>
      </c>
      <c r="CQ87" s="37">
        <f t="shared" si="884"/>
        <v>4874.7293592825217</v>
      </c>
      <c r="CR87" s="37">
        <f t="shared" si="884"/>
        <v>5108.1181214381195</v>
      </c>
      <c r="CS87" s="37">
        <f t="shared" si="884"/>
        <v>5317.9902918416265</v>
      </c>
      <c r="CT87" s="37">
        <f t="shared" si="884"/>
        <v>5553.1423952897521</v>
      </c>
      <c r="CU87" s="37">
        <f t="shared" si="884"/>
        <v>5733.2940787612079</v>
      </c>
      <c r="CV87" s="37">
        <f t="shared" si="884"/>
        <v>5902.3542083930197</v>
      </c>
      <c r="CW87" s="37">
        <f t="shared" si="884"/>
        <v>6054.7933097959949</v>
      </c>
      <c r="CX87" s="37">
        <f t="shared" si="884"/>
        <v>6191.3570771362247</v>
      </c>
      <c r="CY87" s="37">
        <f t="shared" si="884"/>
        <v>6402.6883557743322</v>
      </c>
      <c r="CZ87" s="37">
        <f t="shared" si="884"/>
        <v>6586.8348412964451</v>
      </c>
      <c r="DA87" s="37">
        <f t="shared" si="884"/>
        <v>6747.3082206308936</v>
      </c>
      <c r="DB87" s="37">
        <f t="shared" si="884"/>
        <v>6889.1224166926895</v>
      </c>
      <c r="DE87" s="134"/>
      <c r="DF87" s="13">
        <v>3970</v>
      </c>
    </row>
    <row r="88" spans="1:110" s="14" customFormat="1" x14ac:dyDescent="0.2">
      <c r="AB88" s="16"/>
      <c r="AC88" s="16"/>
      <c r="AD88" s="16"/>
      <c r="AE88" s="16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51" customFormat="1" x14ac:dyDescent="0.2">
      <c r="A89" s="51" t="s">
        <v>346</v>
      </c>
      <c r="AB89" s="48">
        <f t="shared" ref="AB89:AD89" si="885">+AB86/AB85-1</f>
        <v>0.65091825113281798</v>
      </c>
      <c r="AC89" s="48">
        <f t="shared" si="885"/>
        <v>0.97499994589548922</v>
      </c>
      <c r="AD89" s="48">
        <f t="shared" si="885"/>
        <v>1.2019838538150198</v>
      </c>
      <c r="AE89" s="48">
        <f t="shared" ref="AE89" si="886">+AE86/AE85-1</f>
        <v>1.4501472196672403</v>
      </c>
      <c r="CM89" s="48">
        <f t="shared" ref="CM89:DB89" si="887">+CM86/CM85-1</f>
        <v>0.49735494741424668</v>
      </c>
      <c r="CN89" s="48">
        <f t="shared" si="887"/>
        <v>0.59318896592229864</v>
      </c>
      <c r="CO89" s="48">
        <f t="shared" si="887"/>
        <v>0.62937397088931402</v>
      </c>
      <c r="CP89" s="48">
        <f t="shared" si="887"/>
        <v>0.65091825113281798</v>
      </c>
      <c r="CQ89" s="48">
        <f t="shared" si="887"/>
        <v>0.73371931341151653</v>
      </c>
      <c r="CR89" s="48">
        <f t="shared" si="887"/>
        <v>0.81672507120027737</v>
      </c>
      <c r="CS89" s="48">
        <f t="shared" si="887"/>
        <v>0.89136704788423193</v>
      </c>
      <c r="CT89" s="48">
        <f t="shared" si="887"/>
        <v>0.97499994589548922</v>
      </c>
      <c r="CU89" s="48">
        <f t="shared" si="887"/>
        <v>1.039071698388438</v>
      </c>
      <c r="CV89" s="48">
        <f t="shared" si="887"/>
        <v>1.0991986901182247</v>
      </c>
      <c r="CW89" s="48">
        <f t="shared" si="887"/>
        <v>1.1534143387712472</v>
      </c>
      <c r="CX89" s="48">
        <f t="shared" si="887"/>
        <v>1.2019838538150198</v>
      </c>
      <c r="CY89" s="48">
        <f t="shared" si="887"/>
        <v>1.2771447688728284</v>
      </c>
      <c r="CZ89" s="48">
        <f t="shared" si="887"/>
        <v>1.3426372905937733</v>
      </c>
      <c r="DA89" s="48">
        <f t="shared" si="887"/>
        <v>1.3997103661504222</v>
      </c>
      <c r="DB89" s="48">
        <f t="shared" si="887"/>
        <v>1.4501472196672403</v>
      </c>
      <c r="DE89" s="129"/>
      <c r="DF89" s="51">
        <v>0.69300396002262876</v>
      </c>
    </row>
    <row r="90" spans="1:110" s="51" customFormat="1" x14ac:dyDescent="0.2">
      <c r="A90" s="51" t="s">
        <v>347</v>
      </c>
      <c r="AB90" s="48">
        <f t="shared" ref="AB90:AD90" si="888">+AB87/AB85-1</f>
        <v>-9.1611841535499394E-4</v>
      </c>
      <c r="AC90" s="48">
        <f t="shared" si="888"/>
        <v>0.15679386788859073</v>
      </c>
      <c r="AD90" s="48">
        <f t="shared" si="888"/>
        <v>0.3605349024112976</v>
      </c>
      <c r="AE90" s="48">
        <f t="shared" ref="AE90" si="889">+AE87/AE85-1</f>
        <v>0.51938499187810439</v>
      </c>
      <c r="CM90" s="48">
        <f t="shared" ref="CM90:DB90" si="890">+CM87/CM85-1</f>
        <v>-9.1611841535499394E-4</v>
      </c>
      <c r="CN90" s="48">
        <f t="shared" si="890"/>
        <v>6.3027453123391863E-2</v>
      </c>
      <c r="CO90" s="48">
        <f t="shared" si="890"/>
        <v>8.7171264368705037E-2</v>
      </c>
      <c r="CP90" s="48">
        <f t="shared" si="890"/>
        <v>0.10154630828784894</v>
      </c>
      <c r="CQ90" s="48">
        <f t="shared" si="890"/>
        <v>0.15679386788859073</v>
      </c>
      <c r="CR90" s="48">
        <f t="shared" si="890"/>
        <v>0.21217800698579015</v>
      </c>
      <c r="CS90" s="48">
        <f t="shared" si="890"/>
        <v>0.26198155952577751</v>
      </c>
      <c r="CT90" s="48">
        <f t="shared" si="890"/>
        <v>0.31778414696007418</v>
      </c>
      <c r="CU90" s="48">
        <f t="shared" si="890"/>
        <v>0.3605349024112976</v>
      </c>
      <c r="CV90" s="48">
        <f t="shared" si="890"/>
        <v>0.40065358528548156</v>
      </c>
      <c r="CW90" s="48">
        <f t="shared" si="890"/>
        <v>0.43682802795348707</v>
      </c>
      <c r="CX90" s="48">
        <f t="shared" si="890"/>
        <v>0.46923518679075094</v>
      </c>
      <c r="CY90" s="48">
        <f t="shared" si="890"/>
        <v>0.51938499187810439</v>
      </c>
      <c r="CZ90" s="48">
        <f t="shared" si="890"/>
        <v>0.56308373073005336</v>
      </c>
      <c r="DA90" s="48">
        <f t="shared" si="890"/>
        <v>0.60116474148810961</v>
      </c>
      <c r="DB90" s="48">
        <f t="shared" si="890"/>
        <v>0.63481784923889162</v>
      </c>
      <c r="DE90" s="129"/>
      <c r="DF90" s="51">
        <v>-1.8228675592432131E-3</v>
      </c>
    </row>
    <row r="91" spans="1:110" s="14" customFormat="1" x14ac:dyDescent="0.2">
      <c r="AB91" s="16"/>
      <c r="AC91" s="16"/>
      <c r="AD91" s="16"/>
      <c r="AE91" s="16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40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460</v>
      </c>
      <c r="B93" s="13">
        <f t="shared" ref="B93:D93" si="891">+B85/B77</f>
        <v>7.8552982184073974</v>
      </c>
      <c r="C93" s="13">
        <f t="shared" si="891"/>
        <v>7.1434519146954507</v>
      </c>
      <c r="D93" s="13">
        <f t="shared" si="891"/>
        <v>8.7328390693455571</v>
      </c>
      <c r="E93" s="13">
        <f t="shared" ref="E93:AE93" si="892">+E85/E77</f>
        <v>14.131134516522447</v>
      </c>
      <c r="F93" s="13">
        <f t="shared" si="892"/>
        <v>21.852548076557333</v>
      </c>
      <c r="G93" s="13">
        <f t="shared" si="892"/>
        <v>17.634701806667373</v>
      </c>
      <c r="H93" s="13">
        <f t="shared" si="892"/>
        <v>17.227722917134361</v>
      </c>
      <c r="I93" s="13">
        <f t="shared" si="892"/>
        <v>9.2952093547819388</v>
      </c>
      <c r="J93" s="13">
        <f t="shared" si="892"/>
        <v>4.4050883179273468</v>
      </c>
      <c r="K93" s="13">
        <f t="shared" si="892"/>
        <v>20.411710548148076</v>
      </c>
      <c r="L93" s="13">
        <f t="shared" si="892"/>
        <v>5.6880687110127335</v>
      </c>
      <c r="M93" s="13">
        <f t="shared" si="892"/>
        <v>3.725517235273899</v>
      </c>
      <c r="N93" s="13">
        <f t="shared" si="892"/>
        <v>16.003794696255</v>
      </c>
      <c r="O93" s="13">
        <f t="shared" si="892"/>
        <v>23.466368030732649</v>
      </c>
      <c r="P93" s="13">
        <f t="shared" si="892"/>
        <v>35.360044142915797</v>
      </c>
      <c r="Q93" s="13">
        <f t="shared" si="892"/>
        <v>37.837525894628278</v>
      </c>
      <c r="R93" s="13">
        <f t="shared" si="892"/>
        <v>26.074910361095874</v>
      </c>
      <c r="S93" s="13">
        <f t="shared" si="892"/>
        <v>25.567583098335742</v>
      </c>
      <c r="T93" s="13">
        <f t="shared" si="892"/>
        <v>20.694490081522545</v>
      </c>
      <c r="U93" s="13">
        <f t="shared" si="892"/>
        <v>15.320045013648956</v>
      </c>
      <c r="V93" s="13">
        <f t="shared" si="892"/>
        <v>45.580211283273279</v>
      </c>
      <c r="W93" s="13">
        <f t="shared" si="892"/>
        <v>100.19094208995739</v>
      </c>
      <c r="X93" s="13">
        <f t="shared" si="892"/>
        <v>49.177292049239874</v>
      </c>
      <c r="Y93" s="13">
        <f t="shared" si="892"/>
        <v>61.174268638246154</v>
      </c>
      <c r="Z93" s="13">
        <f t="shared" ref="Z93:AA93" si="893">+Z85/Z77</f>
        <v>41.399491156485496</v>
      </c>
      <c r="AA93" s="13">
        <f t="shared" si="893"/>
        <v>34.216849583169406</v>
      </c>
      <c r="AB93" s="37">
        <f t="shared" si="892"/>
        <v>31.004643098288913</v>
      </c>
      <c r="AC93" s="37">
        <f t="shared" si="892"/>
        <v>25.917029145849352</v>
      </c>
      <c r="AD93" s="37">
        <f t="shared" si="892"/>
        <v>23.245461619594721</v>
      </c>
      <c r="AE93" s="37">
        <f t="shared" si="892"/>
        <v>20.891043097310703</v>
      </c>
      <c r="AL93" s="13">
        <f t="shared" ref="AL93:BQ93" si="894">+AL85/AL77</f>
        <v>16.002724102247061</v>
      </c>
      <c r="AM93" s="13">
        <f t="shared" si="894"/>
        <v>15.58488694545154</v>
      </c>
      <c r="AN93" s="13">
        <f t="shared" si="894"/>
        <v>12.515799519020566</v>
      </c>
      <c r="AO93" s="13">
        <f t="shared" si="894"/>
        <v>22.111466848280955</v>
      </c>
      <c r="AP93" s="13">
        <f t="shared" si="894"/>
        <v>23.464504103067984</v>
      </c>
      <c r="AQ93" s="13">
        <f t="shared" si="894"/>
        <v>22.907827209728048</v>
      </c>
      <c r="AR93" s="13">
        <f t="shared" si="894"/>
        <v>22.903767689417663</v>
      </c>
      <c r="AS93" s="13">
        <f t="shared" si="894"/>
        <v>19.765487552639417</v>
      </c>
      <c r="AT93" s="13">
        <f t="shared" si="894"/>
        <v>35.357739068427087</v>
      </c>
      <c r="AU93" s="13">
        <f t="shared" si="894"/>
        <v>31.995870096886453</v>
      </c>
      <c r="AV93" s="13">
        <f t="shared" si="894"/>
        <v>44.593706212947936</v>
      </c>
      <c r="AW93" s="13">
        <f t="shared" si="894"/>
        <v>48.705326898694466</v>
      </c>
      <c r="AX93" s="13">
        <f t="shared" si="894"/>
        <v>37.837564970930217</v>
      </c>
      <c r="AY93" s="13">
        <f t="shared" si="894"/>
        <v>32.8519128797303</v>
      </c>
      <c r="AZ93" s="13">
        <f t="shared" si="894"/>
        <v>25.84859027620826</v>
      </c>
      <c r="BA93" s="13">
        <f t="shared" si="894"/>
        <v>25.341696682368234</v>
      </c>
      <c r="BB93" s="13">
        <f t="shared" si="894"/>
        <v>26.073027287654622</v>
      </c>
      <c r="BC93" s="13">
        <f t="shared" si="894"/>
        <v>27.000185853122293</v>
      </c>
      <c r="BD93" s="13">
        <f t="shared" si="894"/>
        <v>26.000626101477195</v>
      </c>
      <c r="BE93" s="13">
        <f t="shared" si="894"/>
        <v>28.530241908254467</v>
      </c>
      <c r="BF93" s="13">
        <f t="shared" si="894"/>
        <v>25.565717776203968</v>
      </c>
      <c r="BG93" s="13">
        <f t="shared" si="894"/>
        <v>31.899622498983881</v>
      </c>
      <c r="BH93" s="13">
        <f t="shared" si="894"/>
        <v>25.14724221924358</v>
      </c>
      <c r="BI93" s="13">
        <f t="shared" si="894"/>
        <v>22.003517761666636</v>
      </c>
      <c r="BJ93" s="13">
        <f t="shared" si="894"/>
        <v>20.693225545577448</v>
      </c>
      <c r="BK93" s="13">
        <f t="shared" si="894"/>
        <v>20.563240607165358</v>
      </c>
      <c r="BL93" s="13">
        <f t="shared" si="894"/>
        <v>17.853117234099376</v>
      </c>
      <c r="BM93" s="13">
        <f t="shared" si="894"/>
        <v>20.964600797345447</v>
      </c>
      <c r="BN93" s="13">
        <f t="shared" si="894"/>
        <v>15.318947684906794</v>
      </c>
      <c r="BO93" s="13">
        <f t="shared" si="894"/>
        <v>20.243087916345321</v>
      </c>
      <c r="BP93" s="13">
        <f t="shared" si="894"/>
        <v>26.199449655041374</v>
      </c>
      <c r="BQ93" s="13">
        <f t="shared" si="894"/>
        <v>34.07814856656767</v>
      </c>
      <c r="BR93" s="13">
        <f t="shared" ref="BR93:DB93" si="895">+BR85/BR77</f>
        <v>45.577272262999792</v>
      </c>
      <c r="BS93" s="13">
        <f t="shared" si="895"/>
        <v>64.867311747042734</v>
      </c>
      <c r="BT93" s="13">
        <f t="shared" si="895"/>
        <v>75.913987993325762</v>
      </c>
      <c r="BU93" s="13">
        <f t="shared" si="895"/>
        <v>72.405713136803584</v>
      </c>
      <c r="BV93" s="13">
        <f t="shared" si="895"/>
        <v>100.18478236942163</v>
      </c>
      <c r="BW93" s="13">
        <f t="shared" si="895"/>
        <v>81.897636743658765</v>
      </c>
      <c r="BX93" s="13">
        <f t="shared" si="895"/>
        <v>79.807676114991921</v>
      </c>
      <c r="BY93" s="13">
        <f t="shared" si="895"/>
        <v>54.875921839686015</v>
      </c>
      <c r="BZ93" s="13">
        <f t="shared" si="895"/>
        <v>49.174342814391075</v>
      </c>
      <c r="CA93" s="13">
        <f t="shared" si="895"/>
        <v>62.217771465860331</v>
      </c>
      <c r="CB93" s="13">
        <f t="shared" si="895"/>
        <v>57.295439270478916</v>
      </c>
      <c r="CC93" s="13">
        <f t="shared" si="895"/>
        <v>68.465160356366994</v>
      </c>
      <c r="CD93" s="13">
        <f t="shared" si="895"/>
        <v>61.170333005990628</v>
      </c>
      <c r="CE93" s="13">
        <f t="shared" si="895"/>
        <v>55.389442241877411</v>
      </c>
      <c r="CF93" s="13">
        <f t="shared" si="895"/>
        <v>58.927150468001351</v>
      </c>
      <c r="CG93" s="13">
        <f t="shared" si="895"/>
        <v>52.284523252122121</v>
      </c>
      <c r="CH93" s="13">
        <f t="shared" si="895"/>
        <v>41.396716929595804</v>
      </c>
      <c r="CI93" s="13">
        <f t="shared" ref="CI93:CJ93" si="896">+CI85/CI77</f>
        <v>52.744845530288089</v>
      </c>
      <c r="CJ93" s="13">
        <f t="shared" si="896"/>
        <v>48.553734355777905</v>
      </c>
      <c r="CK93" s="13">
        <f t="shared" ref="CK93:CL93" si="897">+CK85/CK77</f>
        <v>48.264255936975914</v>
      </c>
      <c r="CL93" s="13">
        <f t="shared" si="897"/>
        <v>34.215420324437773</v>
      </c>
      <c r="CM93" s="37">
        <f t="shared" si="895"/>
        <v>34.184367072895213</v>
      </c>
      <c r="CN93" s="37">
        <f t="shared" si="895"/>
        <v>32.128097956787322</v>
      </c>
      <c r="CO93" s="37">
        <f t="shared" si="895"/>
        <v>31.414599763666821</v>
      </c>
      <c r="CP93" s="37">
        <f t="shared" si="895"/>
        <v>31.004643098288906</v>
      </c>
      <c r="CQ93" s="37">
        <f t="shared" si="895"/>
        <v>29.523885882140338</v>
      </c>
      <c r="CR93" s="37">
        <f t="shared" si="895"/>
        <v>28.174946210769559</v>
      </c>
      <c r="CS93" s="37">
        <f t="shared" si="895"/>
        <v>27.063034231289702</v>
      </c>
      <c r="CT93" s="37">
        <f t="shared" si="895"/>
        <v>25.917029145849366</v>
      </c>
      <c r="CU93" s="37">
        <f t="shared" si="895"/>
        <v>25.102663727459319</v>
      </c>
      <c r="CV93" s="37">
        <f t="shared" si="895"/>
        <v>24.383652391637863</v>
      </c>
      <c r="CW93" s="37">
        <f t="shared" si="895"/>
        <v>23.769754960409276</v>
      </c>
      <c r="CX93" s="37">
        <f t="shared" si="895"/>
        <v>23.245461619594721</v>
      </c>
      <c r="CY93" s="37">
        <f t="shared" si="895"/>
        <v>22.478206858214428</v>
      </c>
      <c r="CZ93" s="37">
        <f t="shared" si="895"/>
        <v>21.849789280802614</v>
      </c>
      <c r="DA93" s="37">
        <f t="shared" si="895"/>
        <v>21.330128786723666</v>
      </c>
      <c r="DB93" s="37">
        <f t="shared" si="895"/>
        <v>20.891043097310707</v>
      </c>
      <c r="DE93" s="134"/>
      <c r="DF93" s="13">
        <v>36.15905123403396</v>
      </c>
    </row>
    <row r="94" spans="1:110" s="13" customFormat="1" x14ac:dyDescent="0.2">
      <c r="A94" s="13" t="s">
        <v>461</v>
      </c>
      <c r="B94" s="13">
        <f t="shared" ref="B94:D94" si="898">+B86/B77</f>
        <v>17.855502740911739</v>
      </c>
      <c r="C94" s="13">
        <f t="shared" si="898"/>
        <v>9.0908210443359163</v>
      </c>
      <c r="D94" s="13">
        <f t="shared" si="898"/>
        <v>18.65137253559692</v>
      </c>
      <c r="E94" s="13">
        <f t="shared" ref="E94:AE94" si="899">+E86/E77</f>
        <v>23.611066466048815</v>
      </c>
      <c r="F94" s="13">
        <f t="shared" si="899"/>
        <v>22.658171968780646</v>
      </c>
      <c r="G94" s="13">
        <f t="shared" si="899"/>
        <v>21.050943242329975</v>
      </c>
      <c r="H94" s="13">
        <f t="shared" si="899"/>
        <v>19.125312518588014</v>
      </c>
      <c r="I94" s="13">
        <f t="shared" si="899"/>
        <v>21.496276802086069</v>
      </c>
      <c r="J94" s="13">
        <f t="shared" si="899"/>
        <v>11.991480539622286</v>
      </c>
      <c r="K94" s="13">
        <f t="shared" si="899"/>
        <v>22.169580587540011</v>
      </c>
      <c r="L94" s="13">
        <f t="shared" si="899"/>
        <v>7.6311004470060633</v>
      </c>
      <c r="M94" s="13">
        <f t="shared" si="899"/>
        <v>5.3505578057392116</v>
      </c>
      <c r="N94" s="13">
        <f t="shared" si="899"/>
        <v>21.274204720472905</v>
      </c>
      <c r="O94" s="13">
        <f t="shared" si="899"/>
        <v>28.82001040659047</v>
      </c>
      <c r="P94" s="13">
        <f t="shared" si="899"/>
        <v>45.415590089873717</v>
      </c>
      <c r="Q94" s="13">
        <f t="shared" si="899"/>
        <v>48.208615587742607</v>
      </c>
      <c r="R94" s="13">
        <f t="shared" si="899"/>
        <v>36.782705112464122</v>
      </c>
      <c r="S94" s="13">
        <f t="shared" si="899"/>
        <v>29.146499719419332</v>
      </c>
      <c r="T94" s="13">
        <f t="shared" si="899"/>
        <v>32.048798940162214</v>
      </c>
      <c r="U94" s="13">
        <f t="shared" si="899"/>
        <v>26.727372910045716</v>
      </c>
      <c r="V94" s="13">
        <f t="shared" si="899"/>
        <v>51.614927011949021</v>
      </c>
      <c r="W94" s="13">
        <f t="shared" si="899"/>
        <v>106.76153666326162</v>
      </c>
      <c r="X94" s="13">
        <f t="shared" si="899"/>
        <v>88.764125365535634</v>
      </c>
      <c r="Y94" s="13">
        <f t="shared" si="899"/>
        <v>72.273487130570246</v>
      </c>
      <c r="Z94" s="13">
        <f t="shared" ref="Z94:AA94" si="900">+Z86/Z77</f>
        <v>72.087003858145067</v>
      </c>
      <c r="AA94" s="13">
        <f t="shared" si="900"/>
        <v>57.92926184380444</v>
      </c>
      <c r="AB94" s="60">
        <f t="shared" si="899"/>
        <v>51.186131160824324</v>
      </c>
      <c r="AC94" s="60">
        <f t="shared" si="899"/>
        <v>51.186131160824289</v>
      </c>
      <c r="AD94" s="60">
        <f t="shared" si="899"/>
        <v>51.186131160824317</v>
      </c>
      <c r="AE94" s="60">
        <f t="shared" si="899"/>
        <v>51.18613116082431</v>
      </c>
      <c r="AL94" s="13">
        <f t="shared" ref="AL94:BQ94" si="901">+AL86/AL77</f>
        <v>20.678382700784852</v>
      </c>
      <c r="AM94" s="13">
        <f t="shared" si="901"/>
        <v>18.002785611490893</v>
      </c>
      <c r="AN94" s="13">
        <f t="shared" si="901"/>
        <v>15.045516342369934</v>
      </c>
      <c r="AO94" s="13">
        <f t="shared" si="901"/>
        <v>22.757814309381914</v>
      </c>
      <c r="AP94" s="13">
        <f t="shared" si="901"/>
        <v>28.817721240468874</v>
      </c>
      <c r="AQ94" s="13">
        <f t="shared" si="901"/>
        <v>23.302119508368214</v>
      </c>
      <c r="AR94" s="13">
        <f t="shared" si="901"/>
        <v>24.797344395742023</v>
      </c>
      <c r="AS94" s="13">
        <f t="shared" si="901"/>
        <v>21.986310242885704</v>
      </c>
      <c r="AT94" s="13">
        <f t="shared" si="901"/>
        <v>45.412629507650379</v>
      </c>
      <c r="AU94" s="13">
        <f t="shared" si="901"/>
        <v>37.445262440033851</v>
      </c>
      <c r="AV94" s="13">
        <f t="shared" si="901"/>
        <v>54.919933715364166</v>
      </c>
      <c r="AW94" s="13">
        <f t="shared" si="901"/>
        <v>50.556159697936522</v>
      </c>
      <c r="AX94" s="13">
        <f t="shared" si="901"/>
        <v>48.208665374676983</v>
      </c>
      <c r="AY94" s="13">
        <f t="shared" si="901"/>
        <v>39.986052297663768</v>
      </c>
      <c r="AZ94" s="13">
        <f t="shared" si="901"/>
        <v>33.029731940000239</v>
      </c>
      <c r="BA94" s="13">
        <f t="shared" si="901"/>
        <v>27.080770730122641</v>
      </c>
      <c r="BB94" s="13">
        <f t="shared" si="901"/>
        <v>27.759670511368192</v>
      </c>
      <c r="BC94" s="13">
        <f t="shared" si="901"/>
        <v>28.318639141682066</v>
      </c>
      <c r="BD94" s="13">
        <f t="shared" si="901"/>
        <v>29.622181888246622</v>
      </c>
      <c r="BE94" s="13">
        <f t="shared" si="901"/>
        <v>28.742031447838603</v>
      </c>
      <c r="BF94" s="13">
        <f t="shared" si="901"/>
        <v>29.144373291951343</v>
      </c>
      <c r="BG94" s="13">
        <f t="shared" si="901"/>
        <v>32.425112349210494</v>
      </c>
      <c r="BH94" s="13">
        <f t="shared" si="901"/>
        <v>32.521368513703173</v>
      </c>
      <c r="BI94" s="13">
        <f t="shared" si="901"/>
        <v>26.098323482082606</v>
      </c>
      <c r="BJ94" s="13">
        <f t="shared" si="901"/>
        <v>22.383915242371579</v>
      </c>
      <c r="BK94" s="13">
        <f t="shared" si="901"/>
        <v>23.244089941587177</v>
      </c>
      <c r="BL94" s="13">
        <f t="shared" si="901"/>
        <v>24.533016656280338</v>
      </c>
      <c r="BM94" s="13">
        <f t="shared" si="901"/>
        <v>22.828459443814868</v>
      </c>
      <c r="BN94" s="13">
        <f t="shared" si="901"/>
        <v>26.725458508719182</v>
      </c>
      <c r="BO94" s="13">
        <f t="shared" si="901"/>
        <v>21.261444929629988</v>
      </c>
      <c r="BP94" s="13">
        <f t="shared" si="901"/>
        <v>27.14122992655297</v>
      </c>
      <c r="BQ94" s="13">
        <f t="shared" si="901"/>
        <v>35.096114376109959</v>
      </c>
      <c r="BR94" s="13">
        <f t="shared" ref="BR94:CH94" si="902">+BR86/BR77</f>
        <v>51.611598872113078</v>
      </c>
      <c r="BS94" s="13">
        <f t="shared" si="902"/>
        <v>65.746702195466597</v>
      </c>
      <c r="BT94" s="13">
        <f t="shared" si="902"/>
        <v>81.043806597136012</v>
      </c>
      <c r="BU94" s="13">
        <f t="shared" si="902"/>
        <v>83.661804265231993</v>
      </c>
      <c r="BV94" s="13">
        <f t="shared" si="902"/>
        <v>106.75497298379025</v>
      </c>
      <c r="BW94" s="13">
        <f t="shared" si="902"/>
        <v>92.143116763497218</v>
      </c>
      <c r="BX94" s="13">
        <f t="shared" si="902"/>
        <v>100.05039065018806</v>
      </c>
      <c r="BY94" s="13">
        <f t="shared" si="902"/>
        <v>75.772431275895443</v>
      </c>
      <c r="BZ94" s="13">
        <f t="shared" si="902"/>
        <v>56.311077093181837</v>
      </c>
      <c r="CA94" s="13">
        <f t="shared" si="902"/>
        <v>65.219939630354446</v>
      </c>
      <c r="CB94" s="13">
        <f t="shared" si="902"/>
        <v>62.287604351497883</v>
      </c>
      <c r="CC94" s="13">
        <f t="shared" si="902"/>
        <v>71.853355944072618</v>
      </c>
      <c r="CD94" s="13">
        <f t="shared" si="902"/>
        <v>70.360507978662966</v>
      </c>
      <c r="CE94" s="13">
        <f t="shared" si="902"/>
        <v>64.8259657318103</v>
      </c>
      <c r="CF94" s="13">
        <f t="shared" si="902"/>
        <v>69.263842299584525</v>
      </c>
      <c r="CG94" s="13">
        <f t="shared" si="902"/>
        <v>61.757918619116872</v>
      </c>
      <c r="CH94" s="13">
        <f t="shared" si="902"/>
        <v>54.758215014160342</v>
      </c>
      <c r="CI94" s="13">
        <f t="shared" ref="CI94:CJ94" si="903">+CI86/CI77</f>
        <v>56.284852199396965</v>
      </c>
      <c r="CJ94" s="13">
        <f t="shared" si="903"/>
        <v>59.663766587386206</v>
      </c>
      <c r="CK94" s="13">
        <f t="shared" ref="CK94:CL94" si="904">+CK86/CK77</f>
        <v>51.811492888051504</v>
      </c>
      <c r="CL94" s="13">
        <f t="shared" si="904"/>
        <v>51.186131160824317</v>
      </c>
      <c r="CM94" s="60">
        <f t="shared" ref="CM94:CM95" si="905">+CL94</f>
        <v>51.186131160824317</v>
      </c>
      <c r="CN94" s="60">
        <f t="shared" ref="CN94:CN95" si="906">+CM94</f>
        <v>51.186131160824317</v>
      </c>
      <c r="CO94" s="60">
        <f t="shared" ref="CO94:CO95" si="907">+CN94</f>
        <v>51.186131160824317</v>
      </c>
      <c r="CP94" s="60">
        <f t="shared" ref="CP94:CP95" si="908">+CO94</f>
        <v>51.186131160824317</v>
      </c>
      <c r="CQ94" s="60">
        <f t="shared" ref="CQ94:CQ95" si="909">+CP94</f>
        <v>51.186131160824317</v>
      </c>
      <c r="CR94" s="60">
        <f t="shared" ref="CR94:CR95" si="910">+CQ94</f>
        <v>51.186131160824317</v>
      </c>
      <c r="CS94" s="60">
        <f t="shared" ref="CS94:CS95" si="911">+CR94</f>
        <v>51.186131160824317</v>
      </c>
      <c r="CT94" s="60">
        <f t="shared" ref="CT94:CT95" si="912">+CS94</f>
        <v>51.186131160824317</v>
      </c>
      <c r="CU94" s="60">
        <f t="shared" ref="CU94:CU95" si="913">+CT94</f>
        <v>51.186131160824317</v>
      </c>
      <c r="CV94" s="60">
        <f t="shared" ref="CV94:CV95" si="914">+CU94</f>
        <v>51.186131160824317</v>
      </c>
      <c r="CW94" s="60">
        <f t="shared" ref="CW94:CW95" si="915">+CV94</f>
        <v>51.186131160824317</v>
      </c>
      <c r="CX94" s="60">
        <f t="shared" ref="CX94:CX95" si="916">+CW94</f>
        <v>51.186131160824317</v>
      </c>
      <c r="CY94" s="60">
        <f t="shared" ref="CY94:CY95" si="917">+CX94</f>
        <v>51.186131160824317</v>
      </c>
      <c r="CZ94" s="60">
        <f t="shared" ref="CZ94:CZ95" si="918">+CY94</f>
        <v>51.186131160824317</v>
      </c>
      <c r="DA94" s="60">
        <f t="shared" ref="DA94:DA95" si="919">+CZ94</f>
        <v>51.186131160824317</v>
      </c>
      <c r="DB94" s="60">
        <f t="shared" ref="DB94:DB95" si="920">+DA94</f>
        <v>51.186131160824317</v>
      </c>
      <c r="DE94" s="136"/>
      <c r="DF94" s="13">
        <v>54.093795182586042</v>
      </c>
    </row>
    <row r="95" spans="1:110" s="13" customFormat="1" x14ac:dyDescent="0.2">
      <c r="A95" s="13" t="s">
        <v>462</v>
      </c>
      <c r="B95" s="13">
        <f t="shared" ref="B95:D95" si="921">+B87/B77</f>
        <v>6.7491554385458841</v>
      </c>
      <c r="C95" s="13">
        <f t="shared" si="921"/>
        <v>2.9280251829916293</v>
      </c>
      <c r="D95" s="13">
        <f t="shared" si="921"/>
        <v>8.5596477529435866</v>
      </c>
      <c r="E95" s="13">
        <f t="shared" ref="E95:AE95" si="922">+E87/E77</f>
        <v>11.503737646616264</v>
      </c>
      <c r="F95" s="13">
        <f t="shared" si="922"/>
        <v>8.8855576348159406</v>
      </c>
      <c r="G95" s="13">
        <f t="shared" si="922"/>
        <v>15.080460202048455</v>
      </c>
      <c r="H95" s="13">
        <f t="shared" si="922"/>
        <v>8.7856904382263696</v>
      </c>
      <c r="I95" s="13">
        <f t="shared" si="922"/>
        <v>8.1340449648694211</v>
      </c>
      <c r="J95" s="13">
        <f t="shared" si="922"/>
        <v>4.0167978582924135</v>
      </c>
      <c r="K95" s="13">
        <f t="shared" si="922"/>
        <v>5.2193745634214217</v>
      </c>
      <c r="L95" s="13">
        <f t="shared" si="922"/>
        <v>5.0142754477247236</v>
      </c>
      <c r="M95" s="13">
        <f t="shared" si="922"/>
        <v>3.1778148545904465</v>
      </c>
      <c r="N95" s="13">
        <f t="shared" si="922"/>
        <v>15.313073763772115</v>
      </c>
      <c r="O95" s="13">
        <f t="shared" si="922"/>
        <v>6.7286922292383666</v>
      </c>
      <c r="P95" s="13">
        <f t="shared" si="922"/>
        <v>14.410862872215391</v>
      </c>
      <c r="Q95" s="13">
        <f t="shared" si="922"/>
        <v>19.677807197334001</v>
      </c>
      <c r="R95" s="13">
        <f t="shared" si="922"/>
        <v>18.206904398327989</v>
      </c>
      <c r="S95" s="13">
        <f t="shared" si="922"/>
        <v>16.707234045123723</v>
      </c>
      <c r="T95" s="13">
        <f t="shared" si="922"/>
        <v>17.745807222774587</v>
      </c>
      <c r="U95" s="13">
        <f t="shared" si="922"/>
        <v>12.186952289358729</v>
      </c>
      <c r="V95" s="13">
        <f t="shared" si="922"/>
        <v>9.9845268646065328</v>
      </c>
      <c r="W95" s="13">
        <f t="shared" si="922"/>
        <v>30.600440444883905</v>
      </c>
      <c r="X95" s="13">
        <f t="shared" si="922"/>
        <v>47.086958105554999</v>
      </c>
      <c r="Y95" s="13">
        <f t="shared" si="922"/>
        <v>46.99219601208172</v>
      </c>
      <c r="Z95" s="13">
        <f t="shared" ref="Z95:AA95" si="923">+Z87/Z77</f>
        <v>40.95266268570925</v>
      </c>
      <c r="AA95" s="13">
        <f t="shared" si="923"/>
        <v>34.154476798084744</v>
      </c>
      <c r="AB95" s="60">
        <f t="shared" si="922"/>
        <v>30.976239173785061</v>
      </c>
      <c r="AC95" s="60">
        <f t="shared" si="922"/>
        <v>29.980660389808413</v>
      </c>
      <c r="AD95" s="60">
        <f t="shared" si="922"/>
        <v>31.626261856120866</v>
      </c>
      <c r="AE95" s="60">
        <f t="shared" si="922"/>
        <v>31.741537346732553</v>
      </c>
      <c r="AL95" s="13">
        <f t="shared" ref="AL95:BQ95" si="924">+AL87/AL77</f>
        <v>15.312049376411132</v>
      </c>
      <c r="AM95" s="13">
        <f t="shared" si="924"/>
        <v>14.658241289126297</v>
      </c>
      <c r="AN95" s="13">
        <f t="shared" si="924"/>
        <v>10.629577284652395</v>
      </c>
      <c r="AO95" s="13">
        <f t="shared" si="924"/>
        <v>9.5755179422364289</v>
      </c>
      <c r="AP95" s="13">
        <f t="shared" si="924"/>
        <v>14.826946016633702</v>
      </c>
      <c r="AQ95" s="13">
        <f t="shared" si="924"/>
        <v>17.474738493723859</v>
      </c>
      <c r="AR95" s="13">
        <f t="shared" si="924"/>
        <v>19.914469630557303</v>
      </c>
      <c r="AS95" s="13">
        <f t="shared" si="924"/>
        <v>18.253473297460548</v>
      </c>
      <c r="AT95" s="13">
        <f t="shared" si="924"/>
        <v>18.212372526244593</v>
      </c>
      <c r="AU95" s="13">
        <f t="shared" si="924"/>
        <v>26.048415012698705</v>
      </c>
      <c r="AV95" s="13">
        <f t="shared" si="924"/>
        <v>28.088097303714516</v>
      </c>
      <c r="AW95" s="13">
        <f t="shared" si="924"/>
        <v>36.651045988742268</v>
      </c>
      <c r="AX95" s="13">
        <f t="shared" si="924"/>
        <v>32.133409447674403</v>
      </c>
      <c r="AY95" s="13">
        <f t="shared" si="924"/>
        <v>31.23232277697609</v>
      </c>
      <c r="AZ95" s="13">
        <f t="shared" si="924"/>
        <v>25.410478576611514</v>
      </c>
      <c r="BA95" s="13">
        <f t="shared" si="924"/>
        <v>18.459480528709499</v>
      </c>
      <c r="BB95" s="13">
        <f t="shared" si="924"/>
        <v>24.44964432219972</v>
      </c>
      <c r="BC95" s="13">
        <f t="shared" si="924"/>
        <v>21.931635775461313</v>
      </c>
      <c r="BD95" s="13">
        <f t="shared" si="924"/>
        <v>25.332486666666664</v>
      </c>
      <c r="BE95" s="13">
        <f t="shared" si="924"/>
        <v>23.223818478536121</v>
      </c>
      <c r="BF95" s="13">
        <f t="shared" si="924"/>
        <v>24.056661806365607</v>
      </c>
      <c r="BG95" s="13">
        <f t="shared" si="924"/>
        <v>23.575385553348625</v>
      </c>
      <c r="BH95" s="13">
        <f t="shared" si="924"/>
        <v>24.641463268670147</v>
      </c>
      <c r="BI95" s="13">
        <f t="shared" si="924"/>
        <v>19.962043154015191</v>
      </c>
      <c r="BJ95" s="13">
        <f t="shared" si="924"/>
        <v>17.744722865971422</v>
      </c>
      <c r="BK95" s="13">
        <f t="shared" si="924"/>
        <v>19.092198551421557</v>
      </c>
      <c r="BL95" s="13">
        <f t="shared" si="924"/>
        <v>15.659934205784973</v>
      </c>
      <c r="BM95" s="13">
        <f t="shared" si="924"/>
        <v>15.489833437961146</v>
      </c>
      <c r="BN95" s="13">
        <f t="shared" si="924"/>
        <v>12.186079374624173</v>
      </c>
      <c r="BO95" s="13">
        <f t="shared" si="924"/>
        <v>13.307433839157369</v>
      </c>
      <c r="BP95" s="13">
        <f t="shared" si="924"/>
        <v>17.88872342377168</v>
      </c>
      <c r="BQ95" s="13">
        <f t="shared" si="924"/>
        <v>23.631681167639201</v>
      </c>
      <c r="BR95" s="13">
        <f t="shared" ref="BR95:CH95" si="925">+BR87/BR77</f>
        <v>31.102334008834045</v>
      </c>
      <c r="BS95" s="13">
        <f t="shared" si="925"/>
        <v>40.761445678016031</v>
      </c>
      <c r="BT95" s="13">
        <f t="shared" si="925"/>
        <v>55.719016354519283</v>
      </c>
      <c r="BU95" s="13">
        <f t="shared" si="925"/>
        <v>64.964378171884974</v>
      </c>
      <c r="BV95" s="13">
        <f t="shared" si="925"/>
        <v>65.503582149289556</v>
      </c>
      <c r="BW95" s="13">
        <f t="shared" si="925"/>
        <v>64.512720260025489</v>
      </c>
      <c r="BX95" s="13">
        <f t="shared" si="925"/>
        <v>70.990830743626475</v>
      </c>
      <c r="BY95" s="13">
        <f t="shared" si="925"/>
        <v>49.822215242816519</v>
      </c>
      <c r="BZ95" s="13">
        <f t="shared" si="925"/>
        <v>48.52723601345356</v>
      </c>
      <c r="CA95" s="13">
        <f t="shared" si="925"/>
        <v>49.026115751947131</v>
      </c>
      <c r="CB95" s="13">
        <f t="shared" si="925"/>
        <v>55.464489429510735</v>
      </c>
      <c r="CC95" s="13">
        <f t="shared" si="925"/>
        <v>56.05337280486534</v>
      </c>
      <c r="CD95" s="13">
        <f t="shared" si="925"/>
        <v>57.713795601826725</v>
      </c>
      <c r="CE95" s="13">
        <f t="shared" si="925"/>
        <v>50.679882128094583</v>
      </c>
      <c r="CF95" s="13">
        <f t="shared" si="925"/>
        <v>50.480498526095708</v>
      </c>
      <c r="CG95" s="13">
        <f t="shared" si="925"/>
        <v>48.367801422689162</v>
      </c>
      <c r="CH95" s="13">
        <f t="shared" si="925"/>
        <v>40.949918401302526</v>
      </c>
      <c r="CI95" s="13">
        <f t="shared" ref="CI95:CJ95" si="926">+CI87/CI77</f>
        <v>38.459852856914743</v>
      </c>
      <c r="CJ95" s="13">
        <f t="shared" si="926"/>
        <v>48.405111375379313</v>
      </c>
      <c r="CK95" s="13">
        <f t="shared" ref="CK95:CL95" si="927">+CK87/CK77</f>
        <v>44.728073873165066</v>
      </c>
      <c r="CL95" s="13">
        <f t="shared" si="927"/>
        <v>34.153050144702483</v>
      </c>
      <c r="CM95" s="60">
        <f t="shared" si="905"/>
        <v>34.153050144702483</v>
      </c>
      <c r="CN95" s="60">
        <f t="shared" si="906"/>
        <v>34.153050144702483</v>
      </c>
      <c r="CO95" s="60">
        <f t="shared" si="907"/>
        <v>34.153050144702483</v>
      </c>
      <c r="CP95" s="60">
        <f t="shared" si="908"/>
        <v>34.153050144702483</v>
      </c>
      <c r="CQ95" s="60">
        <f t="shared" si="909"/>
        <v>34.153050144702483</v>
      </c>
      <c r="CR95" s="60">
        <f t="shared" si="910"/>
        <v>34.153050144702483</v>
      </c>
      <c r="CS95" s="60">
        <f t="shared" si="911"/>
        <v>34.153050144702483</v>
      </c>
      <c r="CT95" s="60">
        <f t="shared" si="912"/>
        <v>34.153050144702483</v>
      </c>
      <c r="CU95" s="60">
        <f t="shared" si="913"/>
        <v>34.153050144702483</v>
      </c>
      <c r="CV95" s="60">
        <f t="shared" si="914"/>
        <v>34.153050144702483</v>
      </c>
      <c r="CW95" s="60">
        <f t="shared" si="915"/>
        <v>34.153050144702483</v>
      </c>
      <c r="CX95" s="60">
        <f t="shared" si="916"/>
        <v>34.153050144702483</v>
      </c>
      <c r="CY95" s="60">
        <f t="shared" si="917"/>
        <v>34.153050144702483</v>
      </c>
      <c r="CZ95" s="60">
        <f t="shared" si="918"/>
        <v>34.153050144702483</v>
      </c>
      <c r="DA95" s="60">
        <f t="shared" si="919"/>
        <v>34.153050144702483</v>
      </c>
      <c r="DB95" s="60">
        <f t="shared" si="920"/>
        <v>34.153050144702483</v>
      </c>
      <c r="DE95" s="136"/>
      <c r="DF95" s="13">
        <v>36.093138072566425</v>
      </c>
    </row>
    <row r="96" spans="1:110" s="13" customFormat="1" x14ac:dyDescent="0.2">
      <c r="AB96" s="60"/>
      <c r="AC96" s="60"/>
      <c r="AD96" s="60"/>
      <c r="AE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E96" s="136"/>
    </row>
    <row r="97" spans="1:110" s="13" customFormat="1" x14ac:dyDescent="0.2">
      <c r="A97" s="13" t="s">
        <v>463</v>
      </c>
      <c r="B97" s="13">
        <f t="shared" ref="B97:AD97" si="928">+B86/C77</f>
        <v>14.779555685576796</v>
      </c>
      <c r="C97" s="13">
        <f t="shared" si="928"/>
        <v>13.029315957009848</v>
      </c>
      <c r="D97" s="13">
        <f t="shared" si="928"/>
        <v>24.853754174788225</v>
      </c>
      <c r="E97" s="13">
        <f t="shared" si="928"/>
        <v>15.757055539073601</v>
      </c>
      <c r="F97" s="13">
        <f t="shared" si="928"/>
        <v>17.353417651274171</v>
      </c>
      <c r="G97" s="13">
        <f t="shared" si="928"/>
        <v>13.865851575976311</v>
      </c>
      <c r="H97" s="13">
        <f t="shared" si="928"/>
        <v>18.861553541726192</v>
      </c>
      <c r="I97" s="13">
        <f t="shared" si="928"/>
        <v>19.532349052256574</v>
      </c>
      <c r="J97" s="13">
        <f t="shared" si="928"/>
        <v>14.286283187653501</v>
      </c>
      <c r="K97" s="13">
        <f t="shared" si="928"/>
        <v>7.7777232335355144</v>
      </c>
      <c r="L97" s="13">
        <f t="shared" si="928"/>
        <v>6.4830465824648904</v>
      </c>
      <c r="M97" s="13">
        <f t="shared" si="928"/>
        <v>23.555676891401227</v>
      </c>
      <c r="N97" s="13">
        <f t="shared" si="928"/>
        <v>10.952983314858866</v>
      </c>
      <c r="O97" s="13">
        <f t="shared" si="928"/>
        <v>20.413353636362736</v>
      </c>
      <c r="P97" s="13">
        <f t="shared" si="928"/>
        <v>29.929180169769253</v>
      </c>
      <c r="Q97" s="13">
        <f t="shared" si="928"/>
        <v>42.699303027841104</v>
      </c>
      <c r="R97" s="13">
        <f t="shared" si="928"/>
        <v>26.783480442046883</v>
      </c>
      <c r="S97" s="13">
        <f t="shared" si="928"/>
        <v>24.12763777425787</v>
      </c>
      <c r="T97" s="13">
        <f t="shared" si="928"/>
        <v>36.287197759782202</v>
      </c>
      <c r="U97" s="13">
        <f t="shared" si="928"/>
        <v>18.59406591946852</v>
      </c>
      <c r="V97" s="13">
        <f t="shared" si="928"/>
        <v>34.567164206257743</v>
      </c>
      <c r="W97" s="13">
        <f t="shared" si="928"/>
        <v>77.706968230116516</v>
      </c>
      <c r="X97" s="13">
        <f t="shared" si="928"/>
        <v>84.613553428837463</v>
      </c>
      <c r="Y97" s="13">
        <f t="shared" si="928"/>
        <v>72.945739924539211</v>
      </c>
      <c r="Z97" s="13">
        <f t="shared" ref="Z97:AA97" si="929">+Z86/AA77</f>
        <v>78.141485468343546</v>
      </c>
      <c r="AA97" s="13">
        <f t="shared" si="929"/>
        <v>49.54194691559762</v>
      </c>
      <c r="AB97" s="37">
        <f t="shared" si="928"/>
        <v>42.786896432023887</v>
      </c>
      <c r="AC97" s="37">
        <f t="shared" si="928"/>
        <v>45.909785441015245</v>
      </c>
      <c r="AD97" s="37">
        <f t="shared" si="928"/>
        <v>46.001739589631896</v>
      </c>
      <c r="AE97" s="37"/>
      <c r="AL97" s="13">
        <f t="shared" ref="AL97:CL97" si="930">+AL85/AP77</f>
        <v>8.2388684043009661</v>
      </c>
      <c r="AM97" s="13">
        <f t="shared" si="930"/>
        <v>6.6937133891213429</v>
      </c>
      <c r="AN97" s="13">
        <f t="shared" si="930"/>
        <v>6.5175917345021936</v>
      </c>
      <c r="AO97" s="13">
        <f t="shared" si="930"/>
        <v>13.767113366157641</v>
      </c>
      <c r="AP97" s="13">
        <f t="shared" si="930"/>
        <v>16.620259162329322</v>
      </c>
      <c r="AQ97" s="13">
        <f t="shared" si="930"/>
        <v>16.480017166776403</v>
      </c>
      <c r="AR97" s="13">
        <f t="shared" si="930"/>
        <v>15.309790758201862</v>
      </c>
      <c r="AS97" s="13">
        <f t="shared" si="930"/>
        <v>12.948235321778379</v>
      </c>
      <c r="AT97" s="13">
        <f t="shared" si="930"/>
        <v>23.302531637596893</v>
      </c>
      <c r="AU97" s="13">
        <f t="shared" si="930"/>
        <v>23.272889837782696</v>
      </c>
      <c r="AV97" s="13">
        <f t="shared" si="930"/>
        <v>34.851646766864526</v>
      </c>
      <c r="AW97" s="13">
        <f t="shared" si="930"/>
        <v>40.557917038901984</v>
      </c>
      <c r="AX97" s="13">
        <f t="shared" si="930"/>
        <v>33.511008075589579</v>
      </c>
      <c r="AY97" s="13">
        <f t="shared" si="930"/>
        <v>28.885880672806618</v>
      </c>
      <c r="AZ97" s="13">
        <f t="shared" si="930"/>
        <v>22.330260128452146</v>
      </c>
      <c r="BA97" s="13">
        <f t="shared" si="930"/>
        <v>20.485890947843291</v>
      </c>
      <c r="BB97" s="13">
        <f t="shared" si="930"/>
        <v>18.985169752957844</v>
      </c>
      <c r="BC97" s="13">
        <f t="shared" si="930"/>
        <v>18.930174706856757</v>
      </c>
      <c r="BD97" s="13">
        <f t="shared" si="930"/>
        <v>17.709893555962307</v>
      </c>
      <c r="BE97" s="13">
        <f t="shared" si="930"/>
        <v>21.053919488519369</v>
      </c>
      <c r="BF97" s="13">
        <f t="shared" si="930"/>
        <v>21.163697011394365</v>
      </c>
      <c r="BG97" s="13">
        <f t="shared" si="930"/>
        <v>31.011470646343334</v>
      </c>
      <c r="BH97" s="13">
        <f t="shared" si="930"/>
        <v>30.461608948352389</v>
      </c>
      <c r="BI97" s="13">
        <f t="shared" si="930"/>
        <v>25.918808180535972</v>
      </c>
      <c r="BJ97" s="13">
        <f t="shared" si="930"/>
        <v>23.429622669873723</v>
      </c>
      <c r="BK97" s="13">
        <f t="shared" si="930"/>
        <v>19.97355599367086</v>
      </c>
      <c r="BL97" s="13">
        <f t="shared" si="930"/>
        <v>13.796111648004612</v>
      </c>
      <c r="BM97" s="13">
        <f t="shared" si="930"/>
        <v>15.350366618413002</v>
      </c>
      <c r="BN97" s="13">
        <f t="shared" si="930"/>
        <v>10.657372121198955</v>
      </c>
      <c r="BO97" s="13">
        <f t="shared" si="930"/>
        <v>13.54940648000718</v>
      </c>
      <c r="BP97" s="13">
        <f t="shared" si="930"/>
        <v>17.420758139139757</v>
      </c>
      <c r="BQ97" s="13">
        <f t="shared" si="930"/>
        <v>22.616451024709509</v>
      </c>
      <c r="BR97" s="13">
        <f t="shared" si="930"/>
        <v>30.523762657594549</v>
      </c>
      <c r="BS97" s="13">
        <f t="shared" si="930"/>
        <v>43.099927819895129</v>
      </c>
      <c r="BT97" s="13">
        <f t="shared" si="930"/>
        <v>52.018690339721772</v>
      </c>
      <c r="BU97" s="13">
        <f t="shared" si="930"/>
        <v>51.216130516599002</v>
      </c>
      <c r="BV97" s="13">
        <f t="shared" si="930"/>
        <v>72.920151650577992</v>
      </c>
      <c r="BW97" s="13">
        <f t="shared" si="930"/>
        <v>66.980467812074451</v>
      </c>
      <c r="BX97" s="13">
        <f t="shared" si="930"/>
        <v>68.10657321769078</v>
      </c>
      <c r="BY97" s="13">
        <f t="shared" si="930"/>
        <v>49.15072561020758</v>
      </c>
      <c r="BZ97" s="13">
        <f t="shared" si="930"/>
        <v>46.874767367886918</v>
      </c>
      <c r="CA97" s="13">
        <f t="shared" si="930"/>
        <v>59.994187252766785</v>
      </c>
      <c r="CB97" s="13">
        <f t="shared" si="930"/>
        <v>55.063950112501509</v>
      </c>
      <c r="CC97" s="13">
        <f t="shared" si="930"/>
        <v>67.396551263631139</v>
      </c>
      <c r="CD97" s="13">
        <f t="shared" si="930"/>
        <v>61.739144417591696</v>
      </c>
      <c r="CE97" s="13">
        <f t="shared" si="930"/>
        <v>58.528806840063496</v>
      </c>
      <c r="CF97" s="13">
        <f t="shared" si="930"/>
        <v>71.779326170753706</v>
      </c>
      <c r="CG97" s="13">
        <f t="shared" si="930"/>
        <v>62.589086730574117</v>
      </c>
      <c r="CH97" s="13">
        <f t="shared" si="930"/>
        <v>44.874699110783773</v>
      </c>
      <c r="CI97" s="13">
        <f t="shared" si="930"/>
        <v>51.187317567624298</v>
      </c>
      <c r="CJ97" s="13">
        <f t="shared" si="930"/>
        <v>39.851726251785763</v>
      </c>
      <c r="CK97" s="13">
        <f>+CK85/CO77</f>
        <v>39.056160154684072</v>
      </c>
      <c r="CL97" s="13">
        <f t="shared" si="930"/>
        <v>29.262747214681905</v>
      </c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  <c r="DF97" s="13">
        <v>30.186092267992755</v>
      </c>
    </row>
    <row r="98" spans="1:110" s="98" customFormat="1" x14ac:dyDescent="0.2">
      <c r="A98" s="98" t="s">
        <v>426</v>
      </c>
      <c r="AB98" s="99"/>
      <c r="AC98" s="99"/>
      <c r="AD98" s="99"/>
      <c r="AE98" s="99"/>
      <c r="AL98" s="175"/>
      <c r="AM98" s="175"/>
      <c r="AN98" s="175"/>
      <c r="AO98" s="175">
        <f t="shared" ref="AO98:CI98" si="931">+CORREL(AL77:AO77,AL94:AO94)</f>
        <v>0.42381693341993154</v>
      </c>
      <c r="AP98" s="175">
        <f t="shared" si="931"/>
        <v>0.89692744701360505</v>
      </c>
      <c r="AQ98" s="175">
        <f t="shared" si="931"/>
        <v>0.71850800938060322</v>
      </c>
      <c r="AR98" s="175">
        <f t="shared" si="931"/>
        <v>7.8845073033468355E-2</v>
      </c>
      <c r="AS98" s="175">
        <f t="shared" si="931"/>
        <v>-0.9270080242993245</v>
      </c>
      <c r="AT98" s="175">
        <f t="shared" si="931"/>
        <v>0.81639242578801841</v>
      </c>
      <c r="AU98" s="175">
        <f t="shared" si="931"/>
        <v>0.64355940007552992</v>
      </c>
      <c r="AV98" s="175">
        <f t="shared" si="931"/>
        <v>0.79012327760650292</v>
      </c>
      <c r="AW98" s="175">
        <f t="shared" si="931"/>
        <v>0.56979994651612254</v>
      </c>
      <c r="AX98" s="175">
        <f t="shared" si="931"/>
        <v>0.53289074707180495</v>
      </c>
      <c r="AY98" s="175">
        <f t="shared" si="931"/>
        <v>-0.92893313539500899</v>
      </c>
      <c r="AZ98" s="175">
        <f t="shared" si="931"/>
        <v>-0.9427747963538976</v>
      </c>
      <c r="BA98" s="175">
        <f t="shared" si="931"/>
        <v>-0.99690251209263969</v>
      </c>
      <c r="BB98" s="175">
        <f t="shared" si="931"/>
        <v>-0.97846093838792536</v>
      </c>
      <c r="BC98" s="175">
        <f t="shared" si="931"/>
        <v>-0.55111392264397907</v>
      </c>
      <c r="BD98" s="175">
        <f t="shared" si="931"/>
        <v>0.98633390034348289</v>
      </c>
      <c r="BE98" s="175">
        <f t="shared" si="931"/>
        <v>0.57872517671184798</v>
      </c>
      <c r="BF98" s="175">
        <f t="shared" si="931"/>
        <v>0.28880175422763904</v>
      </c>
      <c r="BG98" s="175">
        <f t="shared" si="931"/>
        <v>0.68829436840243119</v>
      </c>
      <c r="BH98" s="175">
        <f t="shared" si="931"/>
        <v>0.90618717106899194</v>
      </c>
      <c r="BI98" s="175">
        <f t="shared" si="931"/>
        <v>-0.14572045883948356</v>
      </c>
      <c r="BJ98" s="175">
        <f t="shared" si="931"/>
        <v>-0.64737175964359028</v>
      </c>
      <c r="BK98" s="175">
        <f t="shared" si="931"/>
        <v>0.24200407502799823</v>
      </c>
      <c r="BL98" s="175">
        <f t="shared" si="931"/>
        <v>-7.7675847509105805E-2</v>
      </c>
      <c r="BM98" s="175">
        <f t="shared" si="931"/>
        <v>-0.75331701908952342</v>
      </c>
      <c r="BN98" s="175">
        <f t="shared" si="931"/>
        <v>-1.4437716882570421E-2</v>
      </c>
      <c r="BO98" s="175">
        <f t="shared" si="931"/>
        <v>-0.45127028301599426</v>
      </c>
      <c r="BP98" s="175">
        <f t="shared" si="931"/>
        <v>0.36430387300051786</v>
      </c>
      <c r="BQ98" s="175">
        <f t="shared" si="931"/>
        <v>0.76153814339675363</v>
      </c>
      <c r="BR98" s="175">
        <f t="shared" si="931"/>
        <v>0.97730675945713852</v>
      </c>
      <c r="BS98" s="175">
        <f t="shared" si="931"/>
        <v>0.99444880537745306</v>
      </c>
      <c r="BT98" s="175">
        <f t="shared" si="931"/>
        <v>0.99494010950215417</v>
      </c>
      <c r="BU98" s="175">
        <f t="shared" si="931"/>
        <v>0.96657028463793315</v>
      </c>
      <c r="BV98" s="175">
        <f t="shared" si="931"/>
        <v>0.95713072966438961</v>
      </c>
      <c r="BW98" s="175">
        <f t="shared" si="931"/>
        <v>0.54484755723521616</v>
      </c>
      <c r="BX98" s="175">
        <f t="shared" si="931"/>
        <v>0.3712899244524509</v>
      </c>
      <c r="BY98" s="175">
        <f t="shared" si="931"/>
        <v>-0.80971771918701563</v>
      </c>
      <c r="BZ98" s="175">
        <f t="shared" si="931"/>
        <v>-0.86141658256617459</v>
      </c>
      <c r="CA98" s="175">
        <f t="shared" si="931"/>
        <v>-0.96539781965832816</v>
      </c>
      <c r="CB98" s="175">
        <f t="shared" si="931"/>
        <v>-0.73166133249243825</v>
      </c>
      <c r="CC98" s="175">
        <f t="shared" si="931"/>
        <v>0.73674317795750066</v>
      </c>
      <c r="CD98" s="175">
        <f t="shared" si="931"/>
        <v>0.58097826602096214</v>
      </c>
      <c r="CE98" s="175">
        <f t="shared" si="931"/>
        <v>0.97291482351530789</v>
      </c>
      <c r="CF98" s="175">
        <f t="shared" si="931"/>
        <v>0.32073799486644278</v>
      </c>
      <c r="CG98" s="175">
        <f t="shared" si="931"/>
        <v>-4.4781930541972451E-2</v>
      </c>
      <c r="CH98" s="175">
        <f t="shared" si="931"/>
        <v>0.66992883666628411</v>
      </c>
      <c r="CI98" s="175">
        <f t="shared" si="931"/>
        <v>0.75192003988394651</v>
      </c>
      <c r="CJ98" s="175">
        <f>+CORREL(CG77:CJ77,CG94:CJ94)</f>
        <v>-2.579618421087811E-2</v>
      </c>
      <c r="CK98" s="175">
        <f>+CORREL(CH77:CK77,CH94:CK94)</f>
        <v>-0.13253827960469164</v>
      </c>
      <c r="CL98" s="175">
        <f>+CORREL(CI77:CL77,CI94:CL94)</f>
        <v>-0.20750891710079447</v>
      </c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E98" s="137"/>
      <c r="DF98" s="98">
        <v>6.0700608712225164E-2</v>
      </c>
    </row>
    <row r="99" spans="1:110" s="4" customFormat="1" x14ac:dyDescent="0.2">
      <c r="A99" s="3"/>
      <c r="AB99" s="17"/>
      <c r="AC99" s="17"/>
      <c r="AD99" s="17"/>
      <c r="AE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E99" s="119"/>
    </row>
    <row r="100" spans="1:110" s="162" customFormat="1" x14ac:dyDescent="0.2">
      <c r="A100" s="49" t="s">
        <v>505</v>
      </c>
      <c r="E100" s="162">
        <f t="shared" ref="E100:AE100" si="932">+E$128/E$73</f>
        <v>7.7448031205354999</v>
      </c>
      <c r="F100" s="162">
        <f t="shared" si="932"/>
        <v>8.7796844149798563</v>
      </c>
      <c r="G100" s="162">
        <f t="shared" si="932"/>
        <v>10.584859624058945</v>
      </c>
      <c r="H100" s="162">
        <f t="shared" si="932"/>
        <v>14.857248342616822</v>
      </c>
      <c r="I100" s="162">
        <f t="shared" si="932"/>
        <v>19.125720339663228</v>
      </c>
      <c r="J100" s="162">
        <f t="shared" si="932"/>
        <v>24.372024335040212</v>
      </c>
      <c r="K100" s="162">
        <f t="shared" si="932"/>
        <v>28.111610510939535</v>
      </c>
      <c r="L100" s="162">
        <f t="shared" si="932"/>
        <v>29.273817358781329</v>
      </c>
      <c r="M100" s="162">
        <f t="shared" si="932"/>
        <v>30.816829060789448</v>
      </c>
      <c r="N100" s="162">
        <f t="shared" si="932"/>
        <v>31.329470118946343</v>
      </c>
      <c r="O100" s="162">
        <f t="shared" si="932"/>
        <v>37.836637398269588</v>
      </c>
      <c r="P100" s="162">
        <f t="shared" si="932"/>
        <v>45.49617156524392</v>
      </c>
      <c r="Q100" s="162">
        <f t="shared" si="932"/>
        <v>61.911970078815997</v>
      </c>
      <c r="R100" s="162">
        <f t="shared" si="932"/>
        <v>89.517825898518382</v>
      </c>
      <c r="S100" s="162">
        <f t="shared" si="932"/>
        <v>118.52116474308554</v>
      </c>
      <c r="T100" s="162">
        <f t="shared" si="932"/>
        <v>151.33195820023437</v>
      </c>
      <c r="U100" s="162">
        <f t="shared" si="932"/>
        <v>174.97396343323115</v>
      </c>
      <c r="V100" s="162">
        <f t="shared" si="932"/>
        <v>217.05242628055927</v>
      </c>
      <c r="W100" s="162">
        <f t="shared" si="932"/>
        <v>256.9791322214553</v>
      </c>
      <c r="X100" s="162">
        <f t="shared" si="932"/>
        <v>334.81019952806719</v>
      </c>
      <c r="Y100" s="162">
        <f t="shared" si="932"/>
        <v>402.21139059665802</v>
      </c>
      <c r="Z100" s="162">
        <f t="shared" si="932"/>
        <v>459.08613576897767</v>
      </c>
      <c r="AA100" s="162">
        <f t="shared" si="932"/>
        <v>488.20034672616663</v>
      </c>
      <c r="AB100" s="21">
        <f t="shared" si="932"/>
        <v>624.11552174409576</v>
      </c>
      <c r="AC100" s="21">
        <f t="shared" si="932"/>
        <v>786.71131836436052</v>
      </c>
      <c r="AD100" s="21">
        <f t="shared" si="932"/>
        <v>967.99401642219607</v>
      </c>
      <c r="AE100" s="21">
        <f t="shared" si="932"/>
        <v>1169.707256894256</v>
      </c>
      <c r="AL100" s="162">
        <f t="shared" ref="AL100:BQ100" si="933">+AL$128/AL$73</f>
        <v>31.331449761610454</v>
      </c>
      <c r="AM100" s="162">
        <f t="shared" si="933"/>
        <v>32.764516077247841</v>
      </c>
      <c r="AN100" s="162">
        <f t="shared" si="933"/>
        <v>36.046425762124159</v>
      </c>
      <c r="AO100" s="162">
        <f t="shared" si="933"/>
        <v>39.507007207872469</v>
      </c>
      <c r="AP100" s="162">
        <f t="shared" si="933"/>
        <v>37.839083043038542</v>
      </c>
      <c r="AQ100" s="162">
        <f t="shared" si="933"/>
        <v>41.176857752877524</v>
      </c>
      <c r="AR100" s="162">
        <f t="shared" si="933"/>
        <v>44.474981137527486</v>
      </c>
      <c r="AS100" s="162">
        <f t="shared" si="933"/>
        <v>48.931019536705563</v>
      </c>
      <c r="AT100" s="162">
        <f t="shared" si="933"/>
        <v>45.499012730162292</v>
      </c>
      <c r="AU100" s="162">
        <f t="shared" si="933"/>
        <v>51.231920119435564</v>
      </c>
      <c r="AV100" s="162">
        <f t="shared" si="933"/>
        <v>57.337421540140937</v>
      </c>
      <c r="AW100" s="162">
        <f t="shared" si="933"/>
        <v>63.742796140818392</v>
      </c>
      <c r="AX100" s="162">
        <f t="shared" si="933"/>
        <v>61.915945611866498</v>
      </c>
      <c r="AY100" s="162">
        <f t="shared" si="933"/>
        <v>68.607548199637193</v>
      </c>
      <c r="AZ100" s="162">
        <f t="shared" si="933"/>
        <v>75.561941149085769</v>
      </c>
      <c r="BA100" s="162">
        <f t="shared" si="933"/>
        <v>82.649254330342089</v>
      </c>
      <c r="BB100" s="162">
        <f t="shared" si="933"/>
        <v>89.523541971007973</v>
      </c>
      <c r="BC100" s="162">
        <f t="shared" si="933"/>
        <v>97.509029907052152</v>
      </c>
      <c r="BD100" s="162">
        <f t="shared" si="933"/>
        <v>97.040598462106487</v>
      </c>
      <c r="BE100" s="162">
        <f t="shared" si="933"/>
        <v>107.11652994718507</v>
      </c>
      <c r="BF100" s="162">
        <f t="shared" si="933"/>
        <v>118.52872714430193</v>
      </c>
      <c r="BG100" s="162">
        <f t="shared" si="933"/>
        <v>129.84588958630985</v>
      </c>
      <c r="BH100" s="162">
        <f t="shared" si="933"/>
        <v>129.50957571476729</v>
      </c>
      <c r="BI100" s="162">
        <f t="shared" si="933"/>
        <v>140.10370346587897</v>
      </c>
      <c r="BJ100" s="162">
        <f t="shared" si="933"/>
        <v>151.34156325750885</v>
      </c>
      <c r="BK100" s="162">
        <f t="shared" si="933"/>
        <v>159.17438556499124</v>
      </c>
      <c r="BL100" s="162">
        <f t="shared" si="933"/>
        <v>149.9528036858074</v>
      </c>
      <c r="BM100" s="162">
        <f t="shared" si="933"/>
        <v>162.0602635930201</v>
      </c>
      <c r="BN100" s="162">
        <f t="shared" si="933"/>
        <v>174.98515081951425</v>
      </c>
      <c r="BO100" s="162">
        <f t="shared" si="933"/>
        <v>186.04160981169633</v>
      </c>
      <c r="BP100" s="162">
        <f t="shared" si="933"/>
        <v>182.05641083267784</v>
      </c>
      <c r="BQ100" s="162">
        <f t="shared" si="933"/>
        <v>198.94466472958439</v>
      </c>
      <c r="BR100" s="162">
        <f t="shared" ref="BR100:DB100" si="934">+BR$128/BR$73</f>
        <v>217.06628353105486</v>
      </c>
      <c r="BS100" s="162">
        <f t="shared" si="934"/>
        <v>235.26656285617966</v>
      </c>
      <c r="BT100" s="162">
        <f t="shared" si="934"/>
        <v>207.18154527796059</v>
      </c>
      <c r="BU100" s="162">
        <f t="shared" si="934"/>
        <v>231.41380251392613</v>
      </c>
      <c r="BV100" s="162">
        <f t="shared" si="934"/>
        <v>256.99548905976593</v>
      </c>
      <c r="BW100" s="162">
        <f t="shared" si="934"/>
        <v>286.64906169232495</v>
      </c>
      <c r="BX100" s="162">
        <f t="shared" si="934"/>
        <v>271.62377795257896</v>
      </c>
      <c r="BY100" s="162">
        <f t="shared" si="934"/>
        <v>302.87560400044953</v>
      </c>
      <c r="BZ100" s="162">
        <f t="shared" si="934"/>
        <v>334.83168253254775</v>
      </c>
      <c r="CA100" s="162">
        <f t="shared" si="934"/>
        <v>365.14857207069809</v>
      </c>
      <c r="CB100" s="162">
        <f t="shared" si="934"/>
        <v>336.53251569197181</v>
      </c>
      <c r="CC100" s="162">
        <f t="shared" si="934"/>
        <v>369.67155218082286</v>
      </c>
      <c r="CD100" s="162">
        <f t="shared" si="934"/>
        <v>402.23716950540188</v>
      </c>
      <c r="CE100" s="162">
        <f t="shared" si="934"/>
        <v>431.78784133048651</v>
      </c>
      <c r="CF100" s="162">
        <f t="shared" si="934"/>
        <v>399.17326184322479</v>
      </c>
      <c r="CG100" s="162">
        <f t="shared" si="934"/>
        <v>431.12035060119115</v>
      </c>
      <c r="CH100" s="162">
        <f t="shared" si="934"/>
        <v>459.11561491660376</v>
      </c>
      <c r="CI100" s="162">
        <f t="shared" si="934"/>
        <v>482.29125262870622</v>
      </c>
      <c r="CJ100" s="162">
        <f t="shared" si="934"/>
        <v>433.85966320453343</v>
      </c>
      <c r="CK100" s="162">
        <f t="shared" si="934"/>
        <v>451.33995794069961</v>
      </c>
      <c r="CL100" s="162">
        <f t="shared" si="934"/>
        <v>488.20039488257868</v>
      </c>
      <c r="CM100" s="21">
        <f t="shared" si="934"/>
        <v>518.40730728260075</v>
      </c>
      <c r="CN100" s="21">
        <f t="shared" si="934"/>
        <v>551.15038767283704</v>
      </c>
      <c r="CO100" s="21">
        <f t="shared" si="934"/>
        <v>586.97080089081749</v>
      </c>
      <c r="CP100" s="21">
        <f t="shared" si="934"/>
        <v>624.11552174409576</v>
      </c>
      <c r="CQ100" s="21">
        <f t="shared" si="934"/>
        <v>661.13919619527053</v>
      </c>
      <c r="CR100" s="21">
        <f t="shared" si="934"/>
        <v>700.71589060143697</v>
      </c>
      <c r="CS100" s="21">
        <f t="shared" si="934"/>
        <v>742.68135292965201</v>
      </c>
      <c r="CT100" s="21">
        <f t="shared" si="934"/>
        <v>786.71131836436052</v>
      </c>
      <c r="CU100" s="21">
        <f t="shared" si="934"/>
        <v>829.00982720684669</v>
      </c>
      <c r="CV100" s="21">
        <f t="shared" si="934"/>
        <v>873.53659573276286</v>
      </c>
      <c r="CW100" s="21">
        <f t="shared" si="934"/>
        <v>919.96546911085807</v>
      </c>
      <c r="CX100" s="21">
        <f t="shared" si="934"/>
        <v>967.99401642219607</v>
      </c>
      <c r="CY100" s="21">
        <f t="shared" si="934"/>
        <v>1016.4802970081348</v>
      </c>
      <c r="CZ100" s="21">
        <f t="shared" si="934"/>
        <v>1066.3988675763842</v>
      </c>
      <c r="DA100" s="21">
        <f t="shared" si="934"/>
        <v>1117.526395354439</v>
      </c>
      <c r="DB100" s="21">
        <f t="shared" si="934"/>
        <v>1169.707256894256</v>
      </c>
      <c r="DE100" s="22"/>
      <c r="DF100" s="162">
        <v>480.46276196458564</v>
      </c>
    </row>
    <row r="101" spans="1:110" s="162" customFormat="1" x14ac:dyDescent="0.2">
      <c r="A101" s="49" t="s">
        <v>501</v>
      </c>
      <c r="AB101" s="21"/>
      <c r="AC101" s="21"/>
      <c r="AD101" s="21"/>
      <c r="AE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E101" s="22"/>
    </row>
    <row r="102" spans="1:110" s="162" customFormat="1" x14ac:dyDescent="0.2">
      <c r="A102" s="49" t="s">
        <v>502</v>
      </c>
      <c r="E102" s="162">
        <f t="shared" ref="E102:AE104" si="935">+E85/E$100</f>
        <v>5.1389298579417089</v>
      </c>
      <c r="F102" s="162">
        <f t="shared" si="935"/>
        <v>10.504363897482024</v>
      </c>
      <c r="G102" s="162">
        <f t="shared" si="935"/>
        <v>9.1805657752064356</v>
      </c>
      <c r="H102" s="162">
        <f t="shared" si="935"/>
        <v>9.7006522793718819</v>
      </c>
      <c r="I102" s="162">
        <f t="shared" si="935"/>
        <v>4.122720535470739</v>
      </c>
      <c r="J102" s="162">
        <f t="shared" si="935"/>
        <v>1.6873854807732838</v>
      </c>
      <c r="K102" s="162">
        <f t="shared" si="935"/>
        <v>5.6898198677644602</v>
      </c>
      <c r="L102" s="162">
        <f t="shared" si="935"/>
        <v>4.3400557721211763</v>
      </c>
      <c r="M102" s="162">
        <f t="shared" si="935"/>
        <v>3.1784581017983156</v>
      </c>
      <c r="N102" s="162">
        <f t="shared" si="935"/>
        <v>3.0506420835442567</v>
      </c>
      <c r="O102" s="162">
        <f t="shared" si="935"/>
        <v>7.1940853817112389</v>
      </c>
      <c r="P102" s="162">
        <f t="shared" si="935"/>
        <v>12.727994028455248</v>
      </c>
      <c r="Q102" s="162">
        <f t="shared" si="935"/>
        <v>15.187289288371838</v>
      </c>
      <c r="R102" s="162">
        <f t="shared" si="935"/>
        <v>8.1723946337721376</v>
      </c>
      <c r="S102" s="162">
        <f t="shared" si="935"/>
        <v>8.3120175382639676</v>
      </c>
      <c r="T102" s="162">
        <f t="shared" si="935"/>
        <v>6.3651459444242375</v>
      </c>
      <c r="U102" s="162">
        <f t="shared" si="935"/>
        <v>3.5993926618706746</v>
      </c>
      <c r="V102" s="162">
        <f t="shared" si="935"/>
        <v>12.408983608957886</v>
      </c>
      <c r="W102" s="162">
        <f t="shared" si="935"/>
        <v>34.400653172031859</v>
      </c>
      <c r="X102" s="162">
        <f t="shared" si="935"/>
        <v>17.805610487383753</v>
      </c>
      <c r="Y102" s="162">
        <f t="shared" si="935"/>
        <v>19.342067832687185</v>
      </c>
      <c r="Z102" s="162">
        <f t="shared" si="935"/>
        <v>11.362355761980488</v>
      </c>
      <c r="AA102" s="162">
        <f t="shared" ref="AA102" si="936">+AA85/AA$100</f>
        <v>8.1467578355302859</v>
      </c>
      <c r="AB102" s="21">
        <f t="shared" si="935"/>
        <v>6.7519551319985505</v>
      </c>
      <c r="AC102" s="21">
        <f t="shared" si="935"/>
        <v>5.35647562407169</v>
      </c>
      <c r="AD102" s="21">
        <f t="shared" si="935"/>
        <v>4.3533326947364515</v>
      </c>
      <c r="AE102" s="21">
        <f t="shared" si="935"/>
        <v>3.6026108029702977</v>
      </c>
      <c r="AL102" s="162">
        <f t="shared" ref="AL102:CI104" si="937">+AL85/AL$100</f>
        <v>3.0504493321309814</v>
      </c>
      <c r="AM102" s="162">
        <f t="shared" si="937"/>
        <v>2.7590824105830483</v>
      </c>
      <c r="AN102" s="162">
        <f t="shared" si="937"/>
        <v>2.549489944064415</v>
      </c>
      <c r="AO102" s="162">
        <f t="shared" si="937"/>
        <v>5.260459211868298</v>
      </c>
      <c r="AP102" s="162">
        <f t="shared" si="937"/>
        <v>7.1936204080420518</v>
      </c>
      <c r="AQ102" s="162">
        <f t="shared" si="937"/>
        <v>7.5133222126057015</v>
      </c>
      <c r="AR102" s="162">
        <f t="shared" si="937"/>
        <v>7.26138587898126</v>
      </c>
      <c r="AS102" s="162">
        <f t="shared" si="937"/>
        <v>6.0978700796572252</v>
      </c>
      <c r="AT102" s="162">
        <f t="shared" si="937"/>
        <v>12.727199234723582</v>
      </c>
      <c r="AU102" s="162">
        <f t="shared" si="937"/>
        <v>11.724136019101396</v>
      </c>
      <c r="AV102" s="162">
        <f t="shared" si="937"/>
        <v>16.405952251296295</v>
      </c>
      <c r="AW102" s="162">
        <f t="shared" si="937"/>
        <v>17.607479871459404</v>
      </c>
      <c r="AX102" s="162">
        <f t="shared" si="937"/>
        <v>15.186314134557797</v>
      </c>
      <c r="AY102" s="162">
        <f t="shared" si="937"/>
        <v>12.358334064537868</v>
      </c>
      <c r="AZ102" s="162">
        <f t="shared" si="937"/>
        <v>9.2331534816379079</v>
      </c>
      <c r="BA102" s="162">
        <f t="shared" si="937"/>
        <v>8.4849525344422716</v>
      </c>
      <c r="BB102" s="162">
        <f t="shared" si="937"/>
        <v>8.1718728268919385</v>
      </c>
      <c r="BC102" s="162">
        <f t="shared" si="937"/>
        <v>8.1277087953336533</v>
      </c>
      <c r="BD102" s="162">
        <f t="shared" si="937"/>
        <v>8.3712385627672692</v>
      </c>
      <c r="BE102" s="162">
        <f t="shared" si="937"/>
        <v>9.1176403910913422</v>
      </c>
      <c r="BF102" s="162">
        <f t="shared" si="937"/>
        <v>8.3114872127213211</v>
      </c>
      <c r="BG102" s="162">
        <f t="shared" si="937"/>
        <v>10.285269747505406</v>
      </c>
      <c r="BH102" s="162">
        <f t="shared" si="937"/>
        <v>8.9066773142742406</v>
      </c>
      <c r="BI102" s="162">
        <f t="shared" si="937"/>
        <v>7.2853177664113824</v>
      </c>
      <c r="BJ102" s="162">
        <f t="shared" si="937"/>
        <v>6.3647419734988633</v>
      </c>
      <c r="BK102" s="162">
        <f t="shared" si="937"/>
        <v>5.5633951207459065</v>
      </c>
      <c r="BL102" s="162">
        <f t="shared" si="937"/>
        <v>4.508418538252287</v>
      </c>
      <c r="BM102" s="162">
        <f t="shared" si="937"/>
        <v>5.0944011918511922</v>
      </c>
      <c r="BN102" s="162">
        <f t="shared" si="937"/>
        <v>3.599162540652364</v>
      </c>
      <c r="BO102" s="162">
        <f t="shared" si="937"/>
        <v>4.824189604188077</v>
      </c>
      <c r="BP102" s="162">
        <f t="shared" si="937"/>
        <v>7.0519351344344852</v>
      </c>
      <c r="BQ102" s="162">
        <f t="shared" si="937"/>
        <v>9.2128632978989504</v>
      </c>
      <c r="BR102" s="162">
        <f t="shared" si="937"/>
        <v>12.408191434367399</v>
      </c>
      <c r="BS102" s="162">
        <f t="shared" si="937"/>
        <v>18.263326279079607</v>
      </c>
      <c r="BT102" s="162">
        <f t="shared" si="937"/>
        <v>27.003370365319594</v>
      </c>
      <c r="BU102" s="162">
        <f t="shared" si="937"/>
        <v>25.356309503824367</v>
      </c>
      <c r="BV102" s="162">
        <f t="shared" si="937"/>
        <v>34.398463694217384</v>
      </c>
      <c r="BW102" s="162">
        <f t="shared" si="937"/>
        <v>28.48291200326161</v>
      </c>
      <c r="BX102" s="162">
        <f t="shared" si="937"/>
        <v>31.599958091660525</v>
      </c>
      <c r="BY102" s="162">
        <f t="shared" si="937"/>
        <v>20.758027113965472</v>
      </c>
      <c r="BZ102" s="162">
        <f t="shared" si="937"/>
        <v>17.804468068581009</v>
      </c>
      <c r="CA102" s="162">
        <f t="shared" si="937"/>
        <v>20.769764912380975</v>
      </c>
      <c r="CB102" s="162">
        <f t="shared" si="937"/>
        <v>21.456470514157385</v>
      </c>
      <c r="CC102" s="162">
        <f t="shared" si="937"/>
        <v>23.690489431321506</v>
      </c>
      <c r="CD102" s="162">
        <f t="shared" si="937"/>
        <v>19.340828222230027</v>
      </c>
      <c r="CE102" s="162">
        <f t="shared" si="937"/>
        <v>16.216181489558828</v>
      </c>
      <c r="CF102" s="162">
        <f t="shared" si="937"/>
        <v>19.358511049357144</v>
      </c>
      <c r="CG102" s="162">
        <f t="shared" si="937"/>
        <v>15.758940607943616</v>
      </c>
      <c r="CH102" s="162">
        <f t="shared" si="937"/>
        <v>11.361626201599606</v>
      </c>
      <c r="CI102" s="162">
        <f t="shared" si="937"/>
        <v>13.083380562279817</v>
      </c>
      <c r="CJ102" s="162">
        <f t="shared" ref="CJ102:DB102" si="938">+CJ85/CJ$100</f>
        <v>12.047789742407614</v>
      </c>
      <c r="CK102" s="162">
        <f t="shared" si="938"/>
        <v>11.607769061493876</v>
      </c>
      <c r="CL102" s="162">
        <f t="shared" ref="CL102" si="939">+CL85/CL$100</f>
        <v>8.1467570319286668</v>
      </c>
      <c r="CM102" s="21">
        <f t="shared" si="938"/>
        <v>8.1287434432377914</v>
      </c>
      <c r="CN102" s="21">
        <f t="shared" si="938"/>
        <v>7.6458260653559247</v>
      </c>
      <c r="CO102" s="21">
        <f t="shared" si="938"/>
        <v>7.1792327550273605</v>
      </c>
      <c r="CP102" s="21">
        <f t="shared" si="938"/>
        <v>6.7519551319985505</v>
      </c>
      <c r="CQ102" s="21">
        <f t="shared" si="938"/>
        <v>6.3738468755910453</v>
      </c>
      <c r="CR102" s="21">
        <f t="shared" si="938"/>
        <v>6.0138496308154918</v>
      </c>
      <c r="CS102" s="21">
        <f t="shared" si="938"/>
        <v>5.6740350129662636</v>
      </c>
      <c r="CT102" s="21">
        <f t="shared" si="938"/>
        <v>5.35647562407169</v>
      </c>
      <c r="CU102" s="21">
        <f t="shared" si="938"/>
        <v>5.0831725532109555</v>
      </c>
      <c r="CV102" s="21">
        <f t="shared" si="938"/>
        <v>4.8240680706285719</v>
      </c>
      <c r="CW102" s="21">
        <f t="shared" si="938"/>
        <v>4.5806067091548659</v>
      </c>
      <c r="CX102" s="21">
        <f t="shared" si="938"/>
        <v>4.3533326947364515</v>
      </c>
      <c r="CY102" s="21">
        <f t="shared" si="938"/>
        <v>4.1456779953367615</v>
      </c>
      <c r="CZ102" s="21">
        <f t="shared" si="938"/>
        <v>3.9516170994978657</v>
      </c>
      <c r="DA102" s="21">
        <f t="shared" si="938"/>
        <v>3.7708281589746893</v>
      </c>
      <c r="DB102" s="21">
        <f t="shared" si="938"/>
        <v>3.6026108029702977</v>
      </c>
      <c r="DE102" s="22"/>
      <c r="DF102" s="162">
        <v>8.2779568259093477</v>
      </c>
    </row>
    <row r="103" spans="1:110" s="162" customFormat="1" x14ac:dyDescent="0.2">
      <c r="A103" s="49" t="s">
        <v>503</v>
      </c>
      <c r="E103" s="162">
        <f t="shared" si="935"/>
        <v>8.5864029033448155</v>
      </c>
      <c r="F103" s="162">
        <f t="shared" si="935"/>
        <v>10.891621552688736</v>
      </c>
      <c r="G103" s="162">
        <f t="shared" si="935"/>
        <v>10.959049446091552</v>
      </c>
      <c r="H103" s="162">
        <f t="shared" si="935"/>
        <v>10.769154308409375</v>
      </c>
      <c r="I103" s="162">
        <f t="shared" si="935"/>
        <v>9.5342814158920657</v>
      </c>
      <c r="J103" s="162">
        <f t="shared" si="935"/>
        <v>4.5933812662022886</v>
      </c>
      <c r="K103" s="162">
        <f t="shared" si="935"/>
        <v>6.1798309254603367</v>
      </c>
      <c r="L103" s="162">
        <f t="shared" si="935"/>
        <v>5.8226092590165646</v>
      </c>
      <c r="M103" s="162">
        <f t="shared" si="935"/>
        <v>4.5648758904591942</v>
      </c>
      <c r="N103" s="162">
        <f t="shared" si="935"/>
        <v>4.055287226934845</v>
      </c>
      <c r="O103" s="162">
        <f t="shared" si="935"/>
        <v>8.8353517380825402</v>
      </c>
      <c r="P103" s="162">
        <f t="shared" si="935"/>
        <v>16.347529350539379</v>
      </c>
      <c r="Q103" s="162">
        <f t="shared" si="935"/>
        <v>19.35005457708592</v>
      </c>
      <c r="R103" s="162">
        <f t="shared" si="935"/>
        <v>11.528430115918184</v>
      </c>
      <c r="S103" s="162">
        <f t="shared" si="935"/>
        <v>9.4755228100769919</v>
      </c>
      <c r="T103" s="162">
        <f t="shared" si="935"/>
        <v>9.8574684272980591</v>
      </c>
      <c r="U103" s="162">
        <f t="shared" si="935"/>
        <v>6.2795056958247129</v>
      </c>
      <c r="V103" s="162">
        <f t="shared" si="935"/>
        <v>14.051904658543682</v>
      </c>
      <c r="W103" s="162">
        <f t="shared" si="935"/>
        <v>36.65667293125648</v>
      </c>
      <c r="X103" s="162">
        <f t="shared" si="935"/>
        <v>32.138805852292904</v>
      </c>
      <c r="Y103" s="162">
        <f t="shared" si="935"/>
        <v>22.851416481182991</v>
      </c>
      <c r="Z103" s="162">
        <f t="shared" si="935"/>
        <v>19.784740362036803</v>
      </c>
      <c r="AA103" s="162">
        <f t="shared" ref="AA103" si="940">+AA86/AA$100</f>
        <v>13.792493276898153</v>
      </c>
      <c r="AB103" s="21">
        <f t="shared" si="935"/>
        <v>11.146925958246301</v>
      </c>
      <c r="AC103" s="21">
        <f t="shared" si="935"/>
        <v>10.579039067732094</v>
      </c>
      <c r="AD103" s="21">
        <f t="shared" si="935"/>
        <v>9.5859683040946972</v>
      </c>
      <c r="AE103" s="21">
        <f t="shared" si="935"/>
        <v>8.8269268424408391</v>
      </c>
      <c r="AL103" s="162">
        <f t="shared" si="937"/>
        <v>3.941726314602942</v>
      </c>
      <c r="AM103" s="162">
        <f t="shared" si="937"/>
        <v>3.1871369549240574</v>
      </c>
      <c r="AN103" s="162">
        <f t="shared" si="937"/>
        <v>3.0647976231829839</v>
      </c>
      <c r="AO103" s="162">
        <f t="shared" si="937"/>
        <v>5.4142294017496893</v>
      </c>
      <c r="AP103" s="162">
        <f t="shared" si="937"/>
        <v>8.8347806848216681</v>
      </c>
      <c r="AQ103" s="162">
        <f t="shared" si="937"/>
        <v>7.6426424252347935</v>
      </c>
      <c r="AR103" s="162">
        <f t="shared" si="937"/>
        <v>7.8617234017210018</v>
      </c>
      <c r="AS103" s="162">
        <f t="shared" si="937"/>
        <v>6.7830182804800438</v>
      </c>
      <c r="AT103" s="162">
        <f t="shared" si="937"/>
        <v>16.346508536589671</v>
      </c>
      <c r="AU103" s="162">
        <f t="shared" si="937"/>
        <v>13.720938008203325</v>
      </c>
      <c r="AV103" s="162">
        <f t="shared" si="937"/>
        <v>20.204954615703361</v>
      </c>
      <c r="AW103" s="162">
        <f t="shared" si="937"/>
        <v>18.276575088207963</v>
      </c>
      <c r="AX103" s="162">
        <f t="shared" si="937"/>
        <v>19.348812138151327</v>
      </c>
      <c r="AY103" s="162">
        <f t="shared" si="937"/>
        <v>15.042076667672806</v>
      </c>
      <c r="AZ103" s="162">
        <f t="shared" si="937"/>
        <v>11.798267572838636</v>
      </c>
      <c r="BA103" s="162">
        <f t="shared" si="937"/>
        <v>9.0672324399287554</v>
      </c>
      <c r="BB103" s="162">
        <f t="shared" si="937"/>
        <v>8.7005047259216486</v>
      </c>
      <c r="BC103" s="162">
        <f t="shared" si="937"/>
        <v>8.5245951148559556</v>
      </c>
      <c r="BD103" s="162">
        <f t="shared" si="937"/>
        <v>9.5372453866450524</v>
      </c>
      <c r="BE103" s="162">
        <f t="shared" si="937"/>
        <v>9.1853236889313177</v>
      </c>
      <c r="BF103" s="162">
        <f t="shared" si="937"/>
        <v>9.4749182502630855</v>
      </c>
      <c r="BG103" s="162">
        <f t="shared" si="937"/>
        <v>10.454701371949524</v>
      </c>
      <c r="BH103" s="162">
        <f t="shared" si="937"/>
        <v>11.518453301749977</v>
      </c>
      <c r="BI103" s="162">
        <f t="shared" si="937"/>
        <v>8.641099200456491</v>
      </c>
      <c r="BJ103" s="162">
        <f t="shared" si="937"/>
        <v>6.8847577464699103</v>
      </c>
      <c r="BK103" s="162">
        <f t="shared" si="937"/>
        <v>6.288700260704255</v>
      </c>
      <c r="BL103" s="162">
        <f t="shared" si="937"/>
        <v>6.1952826300367949</v>
      </c>
      <c r="BM103" s="162">
        <f t="shared" si="937"/>
        <v>5.547319127270133</v>
      </c>
      <c r="BN103" s="162">
        <f t="shared" si="937"/>
        <v>6.279104226011091</v>
      </c>
      <c r="BO103" s="162">
        <f t="shared" si="937"/>
        <v>5.0668772483430535</v>
      </c>
      <c r="BP103" s="162">
        <f t="shared" si="937"/>
        <v>7.3054279929881734</v>
      </c>
      <c r="BQ103" s="162">
        <f t="shared" si="937"/>
        <v>9.4880654505900974</v>
      </c>
      <c r="BR103" s="162">
        <f t="shared" si="937"/>
        <v>14.051007601849173</v>
      </c>
      <c r="BS103" s="162">
        <f t="shared" si="937"/>
        <v>18.510917773990034</v>
      </c>
      <c r="BT103" s="162">
        <f t="shared" si="937"/>
        <v>28.828098525797383</v>
      </c>
      <c r="BU103" s="162">
        <f t="shared" si="937"/>
        <v>29.298165996784007</v>
      </c>
      <c r="BV103" s="162">
        <f t="shared" si="937"/>
        <v>36.654339865900603</v>
      </c>
      <c r="BW103" s="162">
        <f t="shared" si="937"/>
        <v>32.04615408739695</v>
      </c>
      <c r="BX103" s="162">
        <f t="shared" si="937"/>
        <v>39.615088491548001</v>
      </c>
      <c r="BY103" s="162">
        <f t="shared" si="937"/>
        <v>28.662592448307972</v>
      </c>
      <c r="BZ103" s="162">
        <f t="shared" si="937"/>
        <v>20.388452933621064</v>
      </c>
      <c r="CA103" s="162">
        <f t="shared" si="937"/>
        <v>21.77195971195189</v>
      </c>
      <c r="CB103" s="162">
        <f t="shared" si="937"/>
        <v>23.325977829687812</v>
      </c>
      <c r="CC103" s="162">
        <f t="shared" si="937"/>
        <v>24.862881511380738</v>
      </c>
      <c r="CD103" s="162">
        <f t="shared" si="937"/>
        <v>22.246576593115734</v>
      </c>
      <c r="CE103" s="162">
        <f t="shared" si="937"/>
        <v>18.978880866003209</v>
      </c>
      <c r="CF103" s="162">
        <f t="shared" si="937"/>
        <v>22.754279577892436</v>
      </c>
      <c r="CG103" s="162">
        <f t="shared" si="937"/>
        <v>18.614291783742644</v>
      </c>
      <c r="CH103" s="162">
        <f t="shared" si="937"/>
        <v>15.028785290287598</v>
      </c>
      <c r="CI103" s="162">
        <f t="shared" si="937"/>
        <v>13.961480668163416</v>
      </c>
      <c r="CJ103" s="162">
        <f t="shared" ref="CJ103:CK104" si="941">+CJ86/CJ$100</f>
        <v>14.804556737444322</v>
      </c>
      <c r="CK103" s="162">
        <f t="shared" si="941"/>
        <v>12.460895387283518</v>
      </c>
      <c r="CL103" s="162">
        <f t="shared" ref="CL103" si="942">+CL86/CL$100</f>
        <v>12.187515746338292</v>
      </c>
      <c r="CM103" s="94">
        <f t="shared" ref="CM103:DB103" si="943">+CL103</f>
        <v>12.187515746338292</v>
      </c>
      <c r="CN103" s="94">
        <f t="shared" si="943"/>
        <v>12.187515746338292</v>
      </c>
      <c r="CO103" s="94">
        <f t="shared" si="943"/>
        <v>12.187515746338292</v>
      </c>
      <c r="CP103" s="94">
        <f t="shared" si="943"/>
        <v>12.187515746338292</v>
      </c>
      <c r="CQ103" s="94">
        <f t="shared" si="943"/>
        <v>12.187515746338292</v>
      </c>
      <c r="CR103" s="94">
        <f t="shared" si="943"/>
        <v>12.187515746338292</v>
      </c>
      <c r="CS103" s="94">
        <f t="shared" si="943"/>
        <v>12.187515746338292</v>
      </c>
      <c r="CT103" s="94">
        <f t="shared" si="943"/>
        <v>12.187515746338292</v>
      </c>
      <c r="CU103" s="94">
        <f t="shared" si="943"/>
        <v>12.187515746338292</v>
      </c>
      <c r="CV103" s="94">
        <f t="shared" si="943"/>
        <v>12.187515746338292</v>
      </c>
      <c r="CW103" s="94">
        <f t="shared" si="943"/>
        <v>12.187515746338292</v>
      </c>
      <c r="CX103" s="94">
        <f t="shared" si="943"/>
        <v>12.187515746338292</v>
      </c>
      <c r="CY103" s="94">
        <f t="shared" si="943"/>
        <v>12.187515746338292</v>
      </c>
      <c r="CZ103" s="94">
        <f t="shared" si="943"/>
        <v>12.187515746338292</v>
      </c>
      <c r="DA103" s="94">
        <f t="shared" si="943"/>
        <v>12.187515746338292</v>
      </c>
      <c r="DB103" s="94">
        <f t="shared" si="943"/>
        <v>12.187515746338292</v>
      </c>
      <c r="DC103" s="94"/>
      <c r="DE103" s="22"/>
      <c r="DF103" s="162">
        <v>12.383790110332347</v>
      </c>
    </row>
    <row r="104" spans="1:110" s="162" customFormat="1" x14ac:dyDescent="0.2">
      <c r="A104" s="49" t="s">
        <v>504</v>
      </c>
      <c r="E104" s="162">
        <f t="shared" si="935"/>
        <v>4.1834504371183758</v>
      </c>
      <c r="F104" s="162">
        <f t="shared" si="935"/>
        <v>4.2712241383093081</v>
      </c>
      <c r="G104" s="162">
        <f t="shared" si="935"/>
        <v>7.8508362842259292</v>
      </c>
      <c r="H104" s="162">
        <f t="shared" si="935"/>
        <v>4.9470802604255564</v>
      </c>
      <c r="I104" s="162">
        <f t="shared" si="935"/>
        <v>3.6077072536142172</v>
      </c>
      <c r="J104" s="162">
        <f t="shared" si="935"/>
        <v>1.5386493745653043</v>
      </c>
      <c r="K104" s="162">
        <f t="shared" si="935"/>
        <v>1.4549148645924752</v>
      </c>
      <c r="L104" s="162">
        <f t="shared" si="935"/>
        <v>3.8259444823106787</v>
      </c>
      <c r="M104" s="162">
        <f t="shared" si="935"/>
        <v>2.7111809536013198</v>
      </c>
      <c r="N104" s="162">
        <f t="shared" si="935"/>
        <v>2.9189769138385797</v>
      </c>
      <c r="O104" s="162">
        <f t="shared" si="935"/>
        <v>2.0628154446824474</v>
      </c>
      <c r="P104" s="162">
        <f t="shared" si="935"/>
        <v>5.1872496493812346</v>
      </c>
      <c r="Q104" s="162">
        <f t="shared" si="935"/>
        <v>7.8983110919824835</v>
      </c>
      <c r="R104" s="162">
        <f t="shared" si="935"/>
        <v>5.7064053429882806</v>
      </c>
      <c r="S104" s="162">
        <f t="shared" si="935"/>
        <v>5.4315193526441954</v>
      </c>
      <c r="T104" s="162">
        <f t="shared" si="935"/>
        <v>5.4581993772067685</v>
      </c>
      <c r="U104" s="162">
        <f t="shared" si="935"/>
        <v>2.8632831432156367</v>
      </c>
      <c r="V104" s="162">
        <f t="shared" si="935"/>
        <v>2.718237294603532</v>
      </c>
      <c r="W104" s="162">
        <f t="shared" si="935"/>
        <v>10.506689693672239</v>
      </c>
      <c r="X104" s="162">
        <f t="shared" si="935"/>
        <v>17.048763771372172</v>
      </c>
      <c r="Y104" s="162">
        <f t="shared" si="935"/>
        <v>14.857982990324729</v>
      </c>
      <c r="Z104" s="162">
        <f t="shared" si="935"/>
        <v>11.239720823537626</v>
      </c>
      <c r="AA104" s="162">
        <f t="shared" ref="AA104" si="944">+AA87/AA$100</f>
        <v>8.131907374958887</v>
      </c>
      <c r="AB104" s="21">
        <f t="shared" si="935"/>
        <v>6.7457695415624759</v>
      </c>
      <c r="AC104" s="21">
        <f t="shared" si="935"/>
        <v>6.1963381554208432</v>
      </c>
      <c r="AD104" s="21">
        <f t="shared" si="935"/>
        <v>5.9228610729971694</v>
      </c>
      <c r="AE104" s="21">
        <f t="shared" si="935"/>
        <v>5.4737527856109969</v>
      </c>
      <c r="AL104" s="162">
        <f t="shared" si="937"/>
        <v>2.9187924815420168</v>
      </c>
      <c r="AM104" s="162">
        <f t="shared" si="937"/>
        <v>2.5950329862812351</v>
      </c>
      <c r="AN104" s="162">
        <f t="shared" si="937"/>
        <v>2.165263222352857</v>
      </c>
      <c r="AO104" s="162">
        <f t="shared" si="937"/>
        <v>2.2780768871317063</v>
      </c>
      <c r="AP104" s="162">
        <f t="shared" si="937"/>
        <v>4.5455646957503042</v>
      </c>
      <c r="AQ104" s="162">
        <f t="shared" si="937"/>
        <v>5.7313746817776021</v>
      </c>
      <c r="AR104" s="162">
        <f t="shared" si="937"/>
        <v>6.3136620369033531</v>
      </c>
      <c r="AS104" s="162">
        <f t="shared" si="937"/>
        <v>5.6313970689553363</v>
      </c>
      <c r="AT104" s="162">
        <f t="shared" si="937"/>
        <v>6.55563675126223</v>
      </c>
      <c r="AU104" s="162">
        <f t="shared" si="937"/>
        <v>9.5448306223933788</v>
      </c>
      <c r="AV104" s="162">
        <f t="shared" si="937"/>
        <v>10.333565481056748</v>
      </c>
      <c r="AW104" s="162">
        <f t="shared" si="937"/>
        <v>13.249732536586471</v>
      </c>
      <c r="AX104" s="162">
        <f t="shared" si="937"/>
        <v>12.896920043920943</v>
      </c>
      <c r="AY104" s="162">
        <f t="shared" si="937"/>
        <v>11.749071656874378</v>
      </c>
      <c r="AZ104" s="162">
        <f t="shared" si="937"/>
        <v>9.0766593548304861</v>
      </c>
      <c r="BA104" s="162">
        <f t="shared" si="937"/>
        <v>6.1806365240547194</v>
      </c>
      <c r="BB104" s="162">
        <f t="shared" si="937"/>
        <v>7.6630681147777624</v>
      </c>
      <c r="BC104" s="162">
        <f t="shared" si="937"/>
        <v>6.6019526664724006</v>
      </c>
      <c r="BD104" s="162">
        <f t="shared" si="937"/>
        <v>8.1561224120960478</v>
      </c>
      <c r="BE104" s="162">
        <f t="shared" si="937"/>
        <v>7.4218236941766422</v>
      </c>
      <c r="BF104" s="162">
        <f t="shared" si="937"/>
        <v>7.8208888455490682</v>
      </c>
      <c r="BG104" s="162">
        <f t="shared" si="937"/>
        <v>7.6013187875610901</v>
      </c>
      <c r="BH104" s="162">
        <f t="shared" si="937"/>
        <v>8.7275399812086469</v>
      </c>
      <c r="BI104" s="162">
        <f t="shared" si="937"/>
        <v>6.6093898811569902</v>
      </c>
      <c r="BJ104" s="162">
        <f t="shared" si="937"/>
        <v>5.4578529666338556</v>
      </c>
      <c r="BK104" s="162">
        <f t="shared" si="937"/>
        <v>5.1654039504006377</v>
      </c>
      <c r="BL104" s="162">
        <f t="shared" si="937"/>
        <v>3.9545776099158441</v>
      </c>
      <c r="BM104" s="162">
        <f t="shared" si="937"/>
        <v>3.7640318883590447</v>
      </c>
      <c r="BN104" s="162">
        <f t="shared" si="937"/>
        <v>2.8631000839422587</v>
      </c>
      <c r="BO104" s="162">
        <f t="shared" si="937"/>
        <v>3.1713335559565077</v>
      </c>
      <c r="BP104" s="162">
        <f t="shared" si="937"/>
        <v>4.8149911117694986</v>
      </c>
      <c r="BQ104" s="162">
        <f t="shared" si="937"/>
        <v>6.3887111611040552</v>
      </c>
      <c r="BR104" s="162">
        <f t="shared" si="937"/>
        <v>8.467459663015994</v>
      </c>
      <c r="BS104" s="162">
        <f t="shared" si="937"/>
        <v>11.476343970097151</v>
      </c>
      <c r="BT104" s="162">
        <f t="shared" si="937"/>
        <v>19.81981548834802</v>
      </c>
      <c r="BU104" s="162">
        <f t="shared" si="937"/>
        <v>22.750371597576489</v>
      </c>
      <c r="BV104" s="162">
        <f t="shared" si="937"/>
        <v>22.490667136401854</v>
      </c>
      <c r="BW104" s="162">
        <f t="shared" si="937"/>
        <v>22.436668594098531</v>
      </c>
      <c r="BX104" s="162">
        <f t="shared" si="937"/>
        <v>28.108916154361694</v>
      </c>
      <c r="BY104" s="162">
        <f t="shared" si="937"/>
        <v>18.846351190409937</v>
      </c>
      <c r="BZ104" s="162">
        <f t="shared" si="937"/>
        <v>17.57017124395966</v>
      </c>
      <c r="CA104" s="162">
        <f t="shared" si="937"/>
        <v>16.366077966869195</v>
      </c>
      <c r="CB104" s="162">
        <f t="shared" si="937"/>
        <v>20.770801257130209</v>
      </c>
      <c r="CC104" s="162">
        <f t="shared" si="937"/>
        <v>19.395731042059762</v>
      </c>
      <c r="CD104" s="162">
        <f t="shared" si="937"/>
        <v>18.247940659052958</v>
      </c>
      <c r="CE104" s="162">
        <f t="shared" si="937"/>
        <v>14.837379348753933</v>
      </c>
      <c r="CF104" s="162">
        <f t="shared" si="937"/>
        <v>16.583650842324968</v>
      </c>
      <c r="CG104" s="162">
        <f t="shared" si="937"/>
        <v>14.578411785098032</v>
      </c>
      <c r="CH104" s="162">
        <f t="shared" si="937"/>
        <v>11.238999137368243</v>
      </c>
      <c r="CI104" s="162">
        <f t="shared" si="937"/>
        <v>9.5399822719615788</v>
      </c>
      <c r="CJ104" s="162">
        <f t="shared" si="941"/>
        <v>12.010911458121349</v>
      </c>
      <c r="CK104" s="162">
        <f t="shared" si="941"/>
        <v>10.757301485453482</v>
      </c>
      <c r="CL104" s="162">
        <f t="shared" ref="CL104" si="945">+CL87/CL$100</f>
        <v>8.1319065728221283</v>
      </c>
      <c r="CM104" s="94">
        <f t="shared" ref="CM104:DB104" si="946">+CL104</f>
        <v>8.1319065728221283</v>
      </c>
      <c r="CN104" s="94">
        <f t="shared" si="946"/>
        <v>8.1319065728221283</v>
      </c>
      <c r="CO104" s="94">
        <f t="shared" si="946"/>
        <v>8.1319065728221283</v>
      </c>
      <c r="CP104" s="94">
        <f t="shared" si="946"/>
        <v>8.1319065728221283</v>
      </c>
      <c r="CQ104" s="94">
        <f t="shared" si="946"/>
        <v>8.1319065728221283</v>
      </c>
      <c r="CR104" s="94">
        <f t="shared" si="946"/>
        <v>8.1319065728221283</v>
      </c>
      <c r="CS104" s="94">
        <f t="shared" si="946"/>
        <v>8.1319065728221283</v>
      </c>
      <c r="CT104" s="94">
        <f t="shared" si="946"/>
        <v>8.1319065728221283</v>
      </c>
      <c r="CU104" s="94">
        <f t="shared" si="946"/>
        <v>8.1319065728221283</v>
      </c>
      <c r="CV104" s="94">
        <f t="shared" si="946"/>
        <v>8.1319065728221283</v>
      </c>
      <c r="CW104" s="94">
        <f t="shared" si="946"/>
        <v>8.1319065728221283</v>
      </c>
      <c r="CX104" s="94">
        <f t="shared" si="946"/>
        <v>8.1319065728221283</v>
      </c>
      <c r="CY104" s="94">
        <f t="shared" si="946"/>
        <v>8.1319065728221283</v>
      </c>
      <c r="CZ104" s="94">
        <f t="shared" si="946"/>
        <v>8.1319065728221283</v>
      </c>
      <c r="DA104" s="94">
        <f t="shared" si="946"/>
        <v>8.1319065728221283</v>
      </c>
      <c r="DB104" s="94">
        <f t="shared" si="946"/>
        <v>8.1319065728221283</v>
      </c>
      <c r="DC104" s="94"/>
      <c r="DE104" s="22"/>
      <c r="DF104" s="162">
        <v>8.2628672069545814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77" customFormat="1" x14ac:dyDescent="0.2">
      <c r="A106" s="177" t="s">
        <v>510</v>
      </c>
      <c r="E106" s="177">
        <f t="shared" ref="E106:Y106" si="947">+E18</f>
        <v>153.48050000000001</v>
      </c>
      <c r="F106" s="177">
        <f t="shared" si="947"/>
        <v>185.774</v>
      </c>
      <c r="G106" s="177">
        <f t="shared" si="947"/>
        <v>235.6318</v>
      </c>
      <c r="H106" s="177">
        <f t="shared" si="947"/>
        <v>307.96300000000002</v>
      </c>
      <c r="I106" s="177">
        <f t="shared" si="947"/>
        <v>402.01369999999997</v>
      </c>
      <c r="J106" s="177">
        <f t="shared" si="947"/>
        <v>419.36149999999998</v>
      </c>
      <c r="K106" s="177">
        <f t="shared" si="947"/>
        <v>388.17250000000001</v>
      </c>
      <c r="L106" s="177">
        <f t="shared" si="947"/>
        <v>415.91120000000001</v>
      </c>
      <c r="M106" s="177">
        <f t="shared" si="947"/>
        <v>538.70740000000001</v>
      </c>
      <c r="N106" s="177">
        <f t="shared" si="947"/>
        <v>621.6712</v>
      </c>
      <c r="O106" s="177">
        <f t="shared" si="947"/>
        <v>774.78570000000002</v>
      </c>
      <c r="P106" s="177">
        <f t="shared" si="947"/>
        <v>849.40110000000004</v>
      </c>
      <c r="Q106" s="177">
        <f t="shared" si="947"/>
        <v>1075.2061000000001</v>
      </c>
      <c r="R106" s="177">
        <f t="shared" si="947"/>
        <v>1237.3123000000001</v>
      </c>
      <c r="S106" s="177">
        <f t="shared" si="947"/>
        <v>1386.2954999999999</v>
      </c>
      <c r="T106" s="177">
        <f t="shared" si="947"/>
        <v>1596.9315999999999</v>
      </c>
      <c r="U106" s="177">
        <f t="shared" si="947"/>
        <v>1609.8604</v>
      </c>
      <c r="V106" s="177">
        <f t="shared" si="947"/>
        <v>1826.1596999999999</v>
      </c>
      <c r="W106" s="177">
        <f t="shared" si="947"/>
        <v>2470.7991999999999</v>
      </c>
      <c r="X106" s="177">
        <f t="shared" si="947"/>
        <v>3144.7224999999999</v>
      </c>
      <c r="Y106" s="177">
        <f t="shared" si="947"/>
        <v>3552.1457</v>
      </c>
      <c r="Z106" s="177">
        <f>+Z18</f>
        <v>3729.0482999999999</v>
      </c>
      <c r="AA106" s="177">
        <f>+AA18</f>
        <v>3757.4236999999998</v>
      </c>
      <c r="AB106" s="178">
        <f t="shared" ref="AA106:AE106" si="948">+AB18</f>
        <v>4208.4312034294371</v>
      </c>
      <c r="AC106" s="178">
        <f t="shared" si="948"/>
        <v>4756.8642153497831</v>
      </c>
      <c r="AD106" s="178">
        <f t="shared" si="948"/>
        <v>5179.1756965132045</v>
      </c>
      <c r="AE106" s="178">
        <f t="shared" si="948"/>
        <v>5347.1826198063536</v>
      </c>
      <c r="AL106" s="177">
        <f t="shared" ref="AL106:BQ106" si="949">+SUM(AI16:AL16)</f>
        <v>621.67200000000003</v>
      </c>
      <c r="AM106" s="177">
        <f t="shared" si="949"/>
        <v>648.64800000000002</v>
      </c>
      <c r="AN106" s="177">
        <f t="shared" si="949"/>
        <v>683.25300000000004</v>
      </c>
      <c r="AO106" s="177">
        <f t="shared" si="949"/>
        <v>726.69800000000009</v>
      </c>
      <c r="AP106" s="177">
        <f t="shared" si="949"/>
        <v>774.78500000000008</v>
      </c>
      <c r="AQ106" s="177">
        <f t="shared" si="949"/>
        <v>792.36699999999996</v>
      </c>
      <c r="AR106" s="177">
        <f t="shared" si="949"/>
        <v>808.28</v>
      </c>
      <c r="AS106" s="177">
        <f t="shared" si="949"/>
        <v>829.64400000000001</v>
      </c>
      <c r="AT106" s="177">
        <f t="shared" si="949"/>
        <v>849.40100000000007</v>
      </c>
      <c r="AU106" s="177">
        <f t="shared" si="949"/>
        <v>902.16699999999992</v>
      </c>
      <c r="AV106" s="177">
        <f t="shared" si="949"/>
        <v>959.94200000000001</v>
      </c>
      <c r="AW106" s="177">
        <f t="shared" si="949"/>
        <v>1012.53</v>
      </c>
      <c r="AX106" s="177">
        <f t="shared" si="949"/>
        <v>1075.2059999999999</v>
      </c>
      <c r="AY106" s="177">
        <f t="shared" si="949"/>
        <v>1127.538</v>
      </c>
      <c r="AZ106" s="177">
        <f t="shared" si="949"/>
        <v>1168.0980000000002</v>
      </c>
      <c r="BA106" s="177">
        <f t="shared" si="949"/>
        <v>1204.268</v>
      </c>
      <c r="BB106" s="177">
        <f t="shared" si="949"/>
        <v>1237.3130000000001</v>
      </c>
      <c r="BC106" s="177">
        <f t="shared" si="949"/>
        <v>1264.69</v>
      </c>
      <c r="BD106" s="177">
        <f t="shared" si="949"/>
        <v>1302.626</v>
      </c>
      <c r="BE106" s="177">
        <f t="shared" si="949"/>
        <v>1337.9170000000001</v>
      </c>
      <c r="BF106" s="177">
        <f t="shared" si="949"/>
        <v>1386.296</v>
      </c>
      <c r="BG106" s="177">
        <f t="shared" si="949"/>
        <v>1445.1010000000001</v>
      </c>
      <c r="BH106" s="177">
        <f t="shared" si="949"/>
        <v>1505.7310000000002</v>
      </c>
      <c r="BI106" s="177">
        <f t="shared" si="949"/>
        <v>1567.2040000000002</v>
      </c>
      <c r="BJ106" s="177">
        <f t="shared" si="949"/>
        <v>1596.932</v>
      </c>
      <c r="BK106" s="177">
        <f t="shared" si="949"/>
        <v>1576.607</v>
      </c>
      <c r="BL106" s="177">
        <f t="shared" si="949"/>
        <v>1559.65</v>
      </c>
      <c r="BM106" s="177">
        <f t="shared" si="949"/>
        <v>1576.0790000000002</v>
      </c>
      <c r="BN106" s="177">
        <f t="shared" si="949"/>
        <v>1609.86</v>
      </c>
      <c r="BO106" s="177">
        <f t="shared" si="949"/>
        <v>1648.6380000000001</v>
      </c>
      <c r="BP106" s="177">
        <f t="shared" si="949"/>
        <v>1692.9899999999998</v>
      </c>
      <c r="BQ106" s="177">
        <f t="shared" si="949"/>
        <v>1746.6490000000001</v>
      </c>
      <c r="BR106" s="177">
        <f t="shared" ref="BR106:CW106" si="950">+SUM(BO16:BR16)</f>
        <v>1826.1599999999999</v>
      </c>
      <c r="BS106" s="177">
        <f t="shared" si="950"/>
        <v>1983.9880000000001</v>
      </c>
      <c r="BT106" s="177">
        <f t="shared" si="950"/>
        <v>2149.14</v>
      </c>
      <c r="BU106" s="177">
        <f t="shared" si="950"/>
        <v>2307.4560000000001</v>
      </c>
      <c r="BV106" s="177">
        <f t="shared" si="950"/>
        <v>2470.799</v>
      </c>
      <c r="BW106" s="177">
        <f t="shared" si="950"/>
        <v>2638.3720000000003</v>
      </c>
      <c r="BX106" s="177">
        <f t="shared" si="950"/>
        <v>2806.2120000000004</v>
      </c>
      <c r="BY106" s="177">
        <f t="shared" si="950"/>
        <v>2988.5419999999999</v>
      </c>
      <c r="BZ106" s="177">
        <f t="shared" si="950"/>
        <v>3144.723</v>
      </c>
      <c r="CA106" s="177">
        <f t="shared" si="950"/>
        <v>3269.1060000000002</v>
      </c>
      <c r="CB106" s="177">
        <f t="shared" si="950"/>
        <v>3387.6329999999998</v>
      </c>
      <c r="CC106" s="177">
        <f t="shared" si="950"/>
        <v>3484.1229999999996</v>
      </c>
      <c r="CD106" s="177">
        <f t="shared" si="950"/>
        <v>3552.1459999999997</v>
      </c>
      <c r="CE106" s="177">
        <f t="shared" si="950"/>
        <v>3628.3289999999997</v>
      </c>
      <c r="CF106" s="177">
        <f t="shared" si="950"/>
        <v>3701.7169999999996</v>
      </c>
      <c r="CG106" s="177">
        <f t="shared" si="950"/>
        <v>3726.6550000000007</v>
      </c>
      <c r="CH106" s="177">
        <f t="shared" si="950"/>
        <v>3729.0480000000007</v>
      </c>
      <c r="CI106" s="177">
        <f t="shared" si="950"/>
        <v>3694.6889999999999</v>
      </c>
      <c r="CJ106" s="177">
        <f t="shared" si="950"/>
        <v>3657.7049999999999</v>
      </c>
      <c r="CK106" s="177">
        <f t="shared" si="950"/>
        <v>3672.0080000000003</v>
      </c>
      <c r="CL106" s="177">
        <f t="shared" si="950"/>
        <v>3757.4229999999998</v>
      </c>
      <c r="CM106" s="178">
        <f t="shared" si="950"/>
        <v>3847.5952456200062</v>
      </c>
      <c r="CN106" s="178">
        <f t="shared" si="950"/>
        <v>3960.1690168005071</v>
      </c>
      <c r="CO106" s="178">
        <f t="shared" si="950"/>
        <v>4084.9061785857675</v>
      </c>
      <c r="CP106" s="178">
        <f t="shared" si="950"/>
        <v>4208.4312034294371</v>
      </c>
      <c r="CQ106" s="178">
        <f t="shared" si="950"/>
        <v>4352.1734490040744</v>
      </c>
      <c r="CR106" s="178">
        <f t="shared" si="950"/>
        <v>4492.0996695329704</v>
      </c>
      <c r="CS106" s="178">
        <f t="shared" si="950"/>
        <v>4625.6158229466228</v>
      </c>
      <c r="CT106" s="178">
        <f t="shared" si="950"/>
        <v>4756.8642153497831</v>
      </c>
      <c r="CU106" s="178">
        <f t="shared" si="950"/>
        <v>4894.4045021142374</v>
      </c>
      <c r="CV106" s="178">
        <f t="shared" si="950"/>
        <v>5009.0640283455441</v>
      </c>
      <c r="CW106" s="178">
        <f t="shared" si="950"/>
        <v>5102.8144309290992</v>
      </c>
      <c r="CX106" s="178">
        <f t="shared" ref="CX106:DB106" si="951">+SUM(CU16:CX16)</f>
        <v>5179.1756965132045</v>
      </c>
      <c r="CY106" s="178">
        <f t="shared" si="951"/>
        <v>5233.7904026737069</v>
      </c>
      <c r="CZ106" s="178">
        <f t="shared" si="951"/>
        <v>5280.5043882626287</v>
      </c>
      <c r="DA106" s="178">
        <f t="shared" si="951"/>
        <v>5318.7628605370755</v>
      </c>
      <c r="DB106" s="178">
        <f t="shared" si="951"/>
        <v>5347.1826198063536</v>
      </c>
      <c r="DE106" s="179"/>
      <c r="DF106" s="177">
        <v>3712.6665109476658</v>
      </c>
    </row>
    <row r="107" spans="1:110" s="163" customFormat="1" x14ac:dyDescent="0.2">
      <c r="A107" s="163" t="s">
        <v>511</v>
      </c>
      <c r="E107" s="163">
        <f t="shared" ref="E107:AE107" si="952">+E106/E73</f>
        <v>24.636900653321995</v>
      </c>
      <c r="F107" s="163">
        <f t="shared" si="952"/>
        <v>29.82069762588889</v>
      </c>
      <c r="G107" s="163">
        <f t="shared" si="952"/>
        <v>37.823940157631995</v>
      </c>
      <c r="H107" s="163">
        <f t="shared" si="952"/>
        <v>49.4346437228117</v>
      </c>
      <c r="I107" s="163">
        <f t="shared" si="952"/>
        <v>64.53179125800601</v>
      </c>
      <c r="J107" s="163">
        <f t="shared" si="952"/>
        <v>67.316483939836587</v>
      </c>
      <c r="K107" s="163">
        <f t="shared" si="952"/>
        <v>62.309982824213051</v>
      </c>
      <c r="L107" s="163">
        <f t="shared" si="952"/>
        <v>66.76263704512256</v>
      </c>
      <c r="M107" s="163">
        <f t="shared" si="952"/>
        <v>86.47405171998652</v>
      </c>
      <c r="N107" s="163">
        <f t="shared" si="952"/>
        <v>99.791514840200989</v>
      </c>
      <c r="O107" s="163">
        <f t="shared" si="952"/>
        <v>124.36966467085094</v>
      </c>
      <c r="P107" s="163">
        <f t="shared" si="952"/>
        <v>136.34703115719861</v>
      </c>
      <c r="Q107" s="163">
        <f t="shared" si="952"/>
        <v>172.5935598824984</v>
      </c>
      <c r="R107" s="163">
        <f t="shared" si="952"/>
        <v>198.61506974653679</v>
      </c>
      <c r="S107" s="163">
        <f t="shared" si="952"/>
        <v>222.53005762717308</v>
      </c>
      <c r="T107" s="163">
        <f t="shared" si="952"/>
        <v>256.34165369118898</v>
      </c>
      <c r="U107" s="163">
        <f t="shared" si="952"/>
        <v>258.41700242387276</v>
      </c>
      <c r="V107" s="163">
        <f t="shared" si="952"/>
        <v>293.13766312984575</v>
      </c>
      <c r="W107" s="163">
        <f t="shared" si="952"/>
        <v>396.61608103118931</v>
      </c>
      <c r="X107" s="163">
        <f t="shared" si="952"/>
        <v>504.79517472751502</v>
      </c>
      <c r="Y107" s="163">
        <f t="shared" si="952"/>
        <v>570.19530635504123</v>
      </c>
      <c r="Z107" s="163">
        <f t="shared" ref="Z107:AA107" si="953">+Z106/Z73</f>
        <v>598.59195466876417</v>
      </c>
      <c r="AA107" s="163">
        <f t="shared" si="953"/>
        <v>603.14681284813071</v>
      </c>
      <c r="AB107" s="94">
        <f t="shared" si="952"/>
        <v>675.54315672174221</v>
      </c>
      <c r="AC107" s="94">
        <f t="shared" si="952"/>
        <v>763.57837702454106</v>
      </c>
      <c r="AD107" s="94">
        <f t="shared" si="952"/>
        <v>831.36839599229575</v>
      </c>
      <c r="AE107" s="94">
        <f t="shared" si="952"/>
        <v>858.33709806352704</v>
      </c>
      <c r="AL107" s="163">
        <f t="shared" ref="AL107:BQ107" si="954">+AL106/AL73</f>
        <v>99.798051145393543</v>
      </c>
      <c r="AM107" s="163">
        <f t="shared" si="954"/>
        <v>104.12855377008653</v>
      </c>
      <c r="AN107" s="163">
        <f t="shared" si="954"/>
        <v>109.68375258857336</v>
      </c>
      <c r="AO107" s="163">
        <f t="shared" si="954"/>
        <v>116.65805146645691</v>
      </c>
      <c r="AP107" s="163">
        <f t="shared" si="954"/>
        <v>124.37753840720467</v>
      </c>
      <c r="AQ107" s="163">
        <f t="shared" si="954"/>
        <v>127.20000642126722</v>
      </c>
      <c r="AR107" s="163">
        <f t="shared" si="954"/>
        <v>129.75454705986226</v>
      </c>
      <c r="AS107" s="163">
        <f t="shared" si="954"/>
        <v>133.18414589119163</v>
      </c>
      <c r="AT107" s="163">
        <f t="shared" si="954"/>
        <v>136.35577031127093</v>
      </c>
      <c r="AU107" s="163">
        <f t="shared" si="954"/>
        <v>144.82638498707718</v>
      </c>
      <c r="AV107" s="163">
        <f t="shared" si="954"/>
        <v>154.10110285264795</v>
      </c>
      <c r="AW107" s="163">
        <f t="shared" si="954"/>
        <v>162.54314288924917</v>
      </c>
      <c r="AX107" s="163">
        <f t="shared" si="954"/>
        <v>172.60462652304429</v>
      </c>
      <c r="AY107" s="163">
        <f t="shared" si="954"/>
        <v>181.00557044932816</v>
      </c>
      <c r="AZ107" s="163">
        <f t="shared" si="954"/>
        <v>187.51673542773668</v>
      </c>
      <c r="BA107" s="163">
        <f t="shared" si="954"/>
        <v>193.3231663268746</v>
      </c>
      <c r="BB107" s="163">
        <f t="shared" si="954"/>
        <v>198.62793572311497</v>
      </c>
      <c r="BC107" s="163">
        <f t="shared" si="954"/>
        <v>203.02281155185975</v>
      </c>
      <c r="BD107" s="163">
        <f t="shared" si="954"/>
        <v>209.11274139951519</v>
      </c>
      <c r="BE107" s="163">
        <f t="shared" si="954"/>
        <v>214.77806495111813</v>
      </c>
      <c r="BF107" s="163">
        <f t="shared" si="954"/>
        <v>222.54442714269661</v>
      </c>
      <c r="BG107" s="163">
        <f t="shared" si="954"/>
        <v>231.98449263962243</v>
      </c>
      <c r="BH107" s="163">
        <f t="shared" si="954"/>
        <v>241.71752845424047</v>
      </c>
      <c r="BI107" s="163">
        <f t="shared" si="954"/>
        <v>251.58589247588014</v>
      </c>
      <c r="BJ107" s="163">
        <f t="shared" si="954"/>
        <v>256.35817828648482</v>
      </c>
      <c r="BK107" s="163">
        <f t="shared" si="954"/>
        <v>253.09537187163886</v>
      </c>
      <c r="BL107" s="163">
        <f t="shared" si="954"/>
        <v>250.37323615815581</v>
      </c>
      <c r="BM107" s="163">
        <f t="shared" si="954"/>
        <v>253.0106111441093</v>
      </c>
      <c r="BN107" s="163">
        <f t="shared" si="954"/>
        <v>258.43353185751204</v>
      </c>
      <c r="BO107" s="163">
        <f t="shared" si="954"/>
        <v>264.65862938050827</v>
      </c>
      <c r="BP107" s="163">
        <f t="shared" si="954"/>
        <v>271.77853049299273</v>
      </c>
      <c r="BQ107" s="163">
        <f t="shared" si="954"/>
        <v>280.39249995986711</v>
      </c>
      <c r="BR107" s="163">
        <f t="shared" ref="BR107:CW107" si="955">+BR106/BR73</f>
        <v>293.15653444207209</v>
      </c>
      <c r="BS107" s="163">
        <f t="shared" si="955"/>
        <v>318.49292857945517</v>
      </c>
      <c r="BT107" s="163">
        <f t="shared" si="955"/>
        <v>345.0050567479492</v>
      </c>
      <c r="BU107" s="163">
        <f t="shared" si="955"/>
        <v>370.41979034562473</v>
      </c>
      <c r="BV107" s="163">
        <f t="shared" si="955"/>
        <v>396.64151670332137</v>
      </c>
      <c r="BW107" s="163">
        <f t="shared" si="955"/>
        <v>423.54229207134028</v>
      </c>
      <c r="BX107" s="163">
        <f t="shared" si="955"/>
        <v>450.48592939816677</v>
      </c>
      <c r="BY107" s="163">
        <f t="shared" si="955"/>
        <v>479.75567078162874</v>
      </c>
      <c r="BZ107" s="163">
        <f t="shared" si="955"/>
        <v>504.82766924052459</v>
      </c>
      <c r="CA107" s="163">
        <f t="shared" si="955"/>
        <v>524.79508130929639</v>
      </c>
      <c r="CB107" s="163">
        <f t="shared" si="955"/>
        <v>543.82241985455823</v>
      </c>
      <c r="CC107" s="163">
        <f t="shared" si="955"/>
        <v>559.31212174722668</v>
      </c>
      <c r="CD107" s="163">
        <f t="shared" si="955"/>
        <v>570.2319682789398</v>
      </c>
      <c r="CE107" s="163">
        <f t="shared" si="955"/>
        <v>582.46175332701898</v>
      </c>
      <c r="CF107" s="163">
        <f t="shared" si="955"/>
        <v>594.24285232690659</v>
      </c>
      <c r="CG107" s="163">
        <f t="shared" si="955"/>
        <v>598.24619138587013</v>
      </c>
      <c r="CH107" s="163">
        <f t="shared" si="955"/>
        <v>598.63034369832894</v>
      </c>
      <c r="CI107" s="163">
        <f t="shared" si="955"/>
        <v>593.11463567335011</v>
      </c>
      <c r="CJ107" s="163">
        <f t="shared" si="955"/>
        <v>587.17753198593743</v>
      </c>
      <c r="CK107" s="163">
        <f t="shared" ref="CK107:CL107" si="956">+CK106/CK73</f>
        <v>589.47361661823959</v>
      </c>
      <c r="CL107" s="163">
        <f t="shared" si="956"/>
        <v>603.14670048316941</v>
      </c>
      <c r="CM107" s="50">
        <f t="shared" si="955"/>
        <v>617.62127319453691</v>
      </c>
      <c r="CN107" s="50">
        <f t="shared" si="955"/>
        <v>635.69176955559783</v>
      </c>
      <c r="CO107" s="50">
        <f t="shared" si="955"/>
        <v>655.71475008198922</v>
      </c>
      <c r="CP107" s="50">
        <f t="shared" si="955"/>
        <v>675.54315672174221</v>
      </c>
      <c r="CQ107" s="50">
        <f t="shared" si="955"/>
        <v>698.61685939998313</v>
      </c>
      <c r="CR107" s="50">
        <f t="shared" si="955"/>
        <v>721.07800849687317</v>
      </c>
      <c r="CS107" s="50">
        <f t="shared" si="955"/>
        <v>742.51020481670434</v>
      </c>
      <c r="CT107" s="50">
        <f t="shared" si="955"/>
        <v>763.57837702454106</v>
      </c>
      <c r="CU107" s="50">
        <f t="shared" si="955"/>
        <v>785.65653275667171</v>
      </c>
      <c r="CV107" s="50">
        <f t="shared" si="955"/>
        <v>804.06183738310745</v>
      </c>
      <c r="CW107" s="50">
        <f t="shared" si="955"/>
        <v>819.11078076457932</v>
      </c>
      <c r="CX107" s="50">
        <f t="shared" ref="CX107:DB107" si="957">+CX106/CX73</f>
        <v>831.36839599229575</v>
      </c>
      <c r="CY107" s="50">
        <f t="shared" si="957"/>
        <v>840.13522363415689</v>
      </c>
      <c r="CZ107" s="50">
        <f t="shared" si="957"/>
        <v>847.63381675885341</v>
      </c>
      <c r="DA107" s="50">
        <f t="shared" si="957"/>
        <v>853.77511927333194</v>
      </c>
      <c r="DB107" s="50">
        <f t="shared" si="957"/>
        <v>858.33709806352704</v>
      </c>
      <c r="DE107" s="164"/>
      <c r="DF107" s="163">
        <v>596.0005957246666</v>
      </c>
    </row>
    <row r="108" spans="1:110" s="163" customFormat="1" x14ac:dyDescent="0.2">
      <c r="AB108" s="94"/>
      <c r="AC108" s="94"/>
      <c r="AD108" s="94"/>
      <c r="AE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E108" s="164"/>
    </row>
    <row r="109" spans="1:110" s="163" customFormat="1" x14ac:dyDescent="0.2">
      <c r="A109" s="163" t="s">
        <v>506</v>
      </c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x14ac:dyDescent="0.2">
      <c r="A110" s="163" t="s">
        <v>507</v>
      </c>
      <c r="E110" s="163">
        <f t="shared" ref="E110:AE112" si="958">+E85/E$107</f>
        <v>1.6154629415463198</v>
      </c>
      <c r="F110" s="163">
        <f t="shared" si="958"/>
        <v>3.0926506534821874</v>
      </c>
      <c r="G110" s="163">
        <f t="shared" si="958"/>
        <v>2.5691400630135655</v>
      </c>
      <c r="H110" s="163">
        <f t="shared" si="958"/>
        <v>2.9154655348207412</v>
      </c>
      <c r="I110" s="163">
        <f t="shared" si="958"/>
        <v>1.2218783713092363</v>
      </c>
      <c r="J110" s="163">
        <f t="shared" si="958"/>
        <v>0.61092020249832191</v>
      </c>
      <c r="K110" s="163">
        <f t="shared" si="958"/>
        <v>2.5670043988175357</v>
      </c>
      <c r="L110" s="163">
        <f t="shared" si="958"/>
        <v>1.9030105104166466</v>
      </c>
      <c r="M110" s="163">
        <f t="shared" si="958"/>
        <v>1.1327097325932407</v>
      </c>
      <c r="N110" s="163">
        <f t="shared" si="958"/>
        <v>0.9577467598627698</v>
      </c>
      <c r="O110" s="163">
        <f t="shared" si="958"/>
        <v>2.1886365997720398</v>
      </c>
      <c r="P110" s="163">
        <f t="shared" si="958"/>
        <v>4.2470671717990465</v>
      </c>
      <c r="Q110" s="163">
        <f t="shared" si="958"/>
        <v>5.4479147462984061</v>
      </c>
      <c r="R110" s="163">
        <f t="shared" si="958"/>
        <v>3.683381129808537</v>
      </c>
      <c r="S110" s="163">
        <f t="shared" si="958"/>
        <v>4.4270423982477034</v>
      </c>
      <c r="T110" s="163">
        <f t="shared" si="958"/>
        <v>3.7576803696539036</v>
      </c>
      <c r="U110" s="163">
        <f t="shared" si="958"/>
        <v>2.4371461401249448</v>
      </c>
      <c r="V110" s="163">
        <f t="shared" si="958"/>
        <v>9.188174495363139</v>
      </c>
      <c r="W110" s="163">
        <f t="shared" si="958"/>
        <v>22.28918700677902</v>
      </c>
      <c r="X110" s="163">
        <f t="shared" si="958"/>
        <v>11.809740461996249</v>
      </c>
      <c r="Y110" s="163">
        <f t="shared" si="958"/>
        <v>13.643746122238172</v>
      </c>
      <c r="Z110" s="163">
        <f>+Z85/Z$107</f>
        <v>8.7142835103530309</v>
      </c>
      <c r="AA110" s="163">
        <f>+AA85/AA$107</f>
        <v>6.5941656579746386</v>
      </c>
      <c r="AB110" s="50">
        <f t="shared" ref="AA110:AE110" si="959">+AB85/AB$107</f>
        <v>6.2379434356934151</v>
      </c>
      <c r="AC110" s="50">
        <f t="shared" si="959"/>
        <v>5.5187523989623974</v>
      </c>
      <c r="AD110" s="50">
        <f t="shared" si="959"/>
        <v>5.0687517354689664</v>
      </c>
      <c r="AE110" s="50">
        <f t="shared" si="959"/>
        <v>4.9094930296116761</v>
      </c>
      <c r="AL110" s="163">
        <f t="shared" ref="AL110:BQ110" si="960">+AL85/AL107</f>
        <v>0.95768403193323814</v>
      </c>
      <c r="AM110" s="163">
        <f t="shared" si="960"/>
        <v>0.86815764482431157</v>
      </c>
      <c r="AN110" s="163">
        <f t="shared" si="960"/>
        <v>0.83786338296355822</v>
      </c>
      <c r="AO110" s="163">
        <f t="shared" si="960"/>
        <v>1.7814886961296164</v>
      </c>
      <c r="AP110" s="163">
        <f t="shared" si="960"/>
        <v>2.1884980478455311</v>
      </c>
      <c r="AQ110" s="163">
        <f t="shared" si="960"/>
        <v>2.43219327344526</v>
      </c>
      <c r="AR110" s="163">
        <f t="shared" si="960"/>
        <v>2.4889301170386497</v>
      </c>
      <c r="AS110" s="163">
        <f t="shared" si="960"/>
        <v>2.2403192061896426</v>
      </c>
      <c r="AT110" s="163">
        <f t="shared" si="960"/>
        <v>4.2467949737520918</v>
      </c>
      <c r="AU110" s="163">
        <f t="shared" si="960"/>
        <v>4.1473796370295082</v>
      </c>
      <c r="AV110" s="163">
        <f t="shared" si="960"/>
        <v>6.1042716929772842</v>
      </c>
      <c r="AW110" s="163">
        <f t="shared" si="960"/>
        <v>6.9049360068343661</v>
      </c>
      <c r="AX110" s="163">
        <f t="shared" si="960"/>
        <v>5.4475654502486046</v>
      </c>
      <c r="AY110" s="163">
        <f t="shared" si="960"/>
        <v>4.6842481029464196</v>
      </c>
      <c r="AZ110" s="163">
        <f t="shared" si="960"/>
        <v>3.720601248782208</v>
      </c>
      <c r="BA110" s="163">
        <f t="shared" si="960"/>
        <v>3.6274752442977811</v>
      </c>
      <c r="BB110" s="163">
        <f t="shared" si="960"/>
        <v>3.6831425415396102</v>
      </c>
      <c r="BC110" s="163">
        <f t="shared" si="960"/>
        <v>3.9036253805280348</v>
      </c>
      <c r="BD110" s="163">
        <f t="shared" si="960"/>
        <v>3.8847465465912703</v>
      </c>
      <c r="BE110" s="163">
        <f t="shared" si="960"/>
        <v>4.5472520679533925</v>
      </c>
      <c r="BF110" s="163">
        <f t="shared" si="960"/>
        <v>4.4267565476637021</v>
      </c>
      <c r="BG110" s="163">
        <f t="shared" si="960"/>
        <v>5.7568503170366636</v>
      </c>
      <c r="BH110" s="163">
        <f t="shared" si="960"/>
        <v>4.7720991000384529</v>
      </c>
      <c r="BI110" s="163">
        <f t="shared" si="960"/>
        <v>4.0570637326091559</v>
      </c>
      <c r="BJ110" s="163">
        <f t="shared" si="960"/>
        <v>3.7574381532839221</v>
      </c>
      <c r="BK110" s="163">
        <f t="shared" si="960"/>
        <v>3.4988786774383214</v>
      </c>
      <c r="BL110" s="163">
        <f t="shared" si="960"/>
        <v>2.7001687974866155</v>
      </c>
      <c r="BM110" s="163">
        <f t="shared" si="960"/>
        <v>3.2631042479469619</v>
      </c>
      <c r="BN110" s="163">
        <f t="shared" si="960"/>
        <v>2.4369902600226108</v>
      </c>
      <c r="BO110" s="163">
        <f t="shared" si="960"/>
        <v>3.3911609158590301</v>
      </c>
      <c r="BP110" s="163">
        <f t="shared" si="960"/>
        <v>4.7238830737334547</v>
      </c>
      <c r="BQ110" s="163">
        <f t="shared" si="960"/>
        <v>6.5367297636789061</v>
      </c>
      <c r="BR110" s="163">
        <f t="shared" ref="BR110:DB110" si="961">+BR85/BR107</f>
        <v>9.1875830266789347</v>
      </c>
      <c r="BS110" s="163">
        <f t="shared" si="961"/>
        <v>13.490880375788564</v>
      </c>
      <c r="BT110" s="163">
        <f t="shared" si="961"/>
        <v>16.215994202332098</v>
      </c>
      <c r="BU110" s="163">
        <f t="shared" si="961"/>
        <v>15.840946280232428</v>
      </c>
      <c r="BV110" s="163">
        <f t="shared" si="961"/>
        <v>22.287757654507715</v>
      </c>
      <c r="BW110" s="163">
        <f t="shared" si="961"/>
        <v>19.276941530610543</v>
      </c>
      <c r="BX110" s="163">
        <f t="shared" si="961"/>
        <v>19.053425290035104</v>
      </c>
      <c r="BY110" s="163">
        <f t="shared" si="961"/>
        <v>13.104795592633465</v>
      </c>
      <c r="BZ110" s="163">
        <f t="shared" si="961"/>
        <v>11.808980298105748</v>
      </c>
      <c r="CA110" s="163">
        <f t="shared" si="961"/>
        <v>14.451450232877123</v>
      </c>
      <c r="CB110" s="163">
        <f t="shared" si="961"/>
        <v>13.277863759149827</v>
      </c>
      <c r="CC110" s="163">
        <f t="shared" si="961"/>
        <v>15.657983547079141</v>
      </c>
      <c r="CD110" s="163">
        <f t="shared" si="961"/>
        <v>13.642868924869644</v>
      </c>
      <c r="CE110" s="163">
        <f t="shared" si="961"/>
        <v>12.021304334584876</v>
      </c>
      <c r="CF110" s="163">
        <f t="shared" si="961"/>
        <v>13.003774416034508</v>
      </c>
      <c r="CG110" s="163">
        <f t="shared" si="961"/>
        <v>11.356528629561897</v>
      </c>
      <c r="CH110" s="163">
        <f t="shared" si="961"/>
        <v>8.7137246798646721</v>
      </c>
      <c r="CI110" s="163">
        <f t="shared" si="961"/>
        <v>10.638752815189587</v>
      </c>
      <c r="CJ110" s="163">
        <f t="shared" si="961"/>
        <v>8.9019925240007058</v>
      </c>
      <c r="CK110" s="163">
        <f t="shared" ref="CK110:CL110" si="962">+CK85/CK107</f>
        <v>8.8876751262524483</v>
      </c>
      <c r="CL110" s="163">
        <f t="shared" si="962"/>
        <v>6.5941668864538263</v>
      </c>
      <c r="CM110" s="50">
        <f t="shared" si="961"/>
        <v>6.8229515123464406</v>
      </c>
      <c r="CN110" s="50">
        <f t="shared" si="961"/>
        <v>6.6289988353096678</v>
      </c>
      <c r="CO110" s="50">
        <f t="shared" si="961"/>
        <v>6.426574969486488</v>
      </c>
      <c r="CP110" s="50">
        <f t="shared" si="961"/>
        <v>6.2379434356934151</v>
      </c>
      <c r="CQ110" s="50">
        <f t="shared" si="961"/>
        <v>6.0319185592217925</v>
      </c>
      <c r="CR110" s="50">
        <f t="shared" si="961"/>
        <v>5.8440279003714384</v>
      </c>
      <c r="CS110" s="50">
        <f t="shared" si="961"/>
        <v>5.6753428742979573</v>
      </c>
      <c r="CT110" s="50">
        <f t="shared" si="961"/>
        <v>5.5187523989623974</v>
      </c>
      <c r="CU110" s="50">
        <f t="shared" si="961"/>
        <v>5.3636669769856438</v>
      </c>
      <c r="CV110" s="50">
        <f t="shared" si="961"/>
        <v>5.2408904440917716</v>
      </c>
      <c r="CW110" s="50">
        <f t="shared" si="961"/>
        <v>5.1446032685182619</v>
      </c>
      <c r="CX110" s="50">
        <f t="shared" si="961"/>
        <v>5.0687517354689664</v>
      </c>
      <c r="CY110" s="50">
        <f t="shared" si="961"/>
        <v>5.0158592110584062</v>
      </c>
      <c r="CZ110" s="50">
        <f t="shared" si="961"/>
        <v>4.9714864092059425</v>
      </c>
      <c r="DA110" s="50">
        <f t="shared" si="961"/>
        <v>4.9357259363409822</v>
      </c>
      <c r="DB110" s="50">
        <f t="shared" si="961"/>
        <v>4.9094930296116761</v>
      </c>
      <c r="DE110" s="106"/>
      <c r="DF110" s="163">
        <v>6.673231584884797</v>
      </c>
    </row>
    <row r="111" spans="1:110" s="163" customFormat="1" x14ac:dyDescent="0.2">
      <c r="A111" s="163" t="s">
        <v>508</v>
      </c>
      <c r="E111" s="163">
        <f t="shared" si="958"/>
        <v>2.6992031561012633</v>
      </c>
      <c r="F111" s="163">
        <f t="shared" si="958"/>
        <v>3.2066654241174759</v>
      </c>
      <c r="G111" s="163">
        <f t="shared" si="958"/>
        <v>3.0668407235356172</v>
      </c>
      <c r="H111" s="163">
        <f t="shared" si="958"/>
        <v>3.2365966041375094</v>
      </c>
      <c r="I111" s="163">
        <f t="shared" si="958"/>
        <v>2.8257390108844547</v>
      </c>
      <c r="J111" s="163">
        <f t="shared" si="958"/>
        <v>1.663039919019748</v>
      </c>
      <c r="K111" s="163">
        <f t="shared" si="958"/>
        <v>2.7880765188157324</v>
      </c>
      <c r="L111" s="163">
        <f t="shared" si="958"/>
        <v>2.5530747068124153</v>
      </c>
      <c r="M111" s="163">
        <f t="shared" si="958"/>
        <v>1.6267885822619108</v>
      </c>
      <c r="N111" s="163">
        <f t="shared" si="958"/>
        <v>1.2731543378557666</v>
      </c>
      <c r="O111" s="163">
        <f t="shared" si="958"/>
        <v>2.6879545014834423</v>
      </c>
      <c r="P111" s="163">
        <f t="shared" si="958"/>
        <v>5.4548309096844809</v>
      </c>
      <c r="Q111" s="163">
        <f t="shared" si="958"/>
        <v>6.941162815203521</v>
      </c>
      <c r="R111" s="163">
        <f t="shared" si="958"/>
        <v>5.1959803519289336</v>
      </c>
      <c r="S111" s="163">
        <f t="shared" si="958"/>
        <v>5.0467339647282987</v>
      </c>
      <c r="T111" s="163">
        <f t="shared" si="958"/>
        <v>5.819381979165545</v>
      </c>
      <c r="U111" s="163">
        <f t="shared" si="958"/>
        <v>4.2518487161992429</v>
      </c>
      <c r="V111" s="163">
        <f t="shared" si="958"/>
        <v>10.404667784531659</v>
      </c>
      <c r="W111" s="163">
        <f t="shared" si="958"/>
        <v>23.75092803980186</v>
      </c>
      <c r="X111" s="163">
        <f t="shared" si="958"/>
        <v>21.316368576241622</v>
      </c>
      <c r="Y111" s="163">
        <f t="shared" si="958"/>
        <v>16.119213710743903</v>
      </c>
      <c r="Z111" s="163">
        <f t="shared" ref="Z111:AA112" si="963">+Z86/Z$107</f>
        <v>15.17377560649992</v>
      </c>
      <c r="AA111" s="163">
        <f t="shared" si="963"/>
        <v>11.163948571996286</v>
      </c>
      <c r="AB111" s="94">
        <f t="shared" si="958"/>
        <v>10.298334667520416</v>
      </c>
      <c r="AC111" s="94">
        <f t="shared" si="958"/>
        <v>10.899535689361336</v>
      </c>
      <c r="AD111" s="94">
        <f t="shared" si="958"/>
        <v>11.161309480499526</v>
      </c>
      <c r="AE111" s="94">
        <f t="shared" si="958"/>
        <v>12.028980696478746</v>
      </c>
      <c r="AL111" s="163">
        <f t="shared" ref="AL111:BQ111" si="964">+AL86/AL107</f>
        <v>1.2374991152890913</v>
      </c>
      <c r="AM111" s="163">
        <f t="shared" si="964"/>
        <v>1.0028469254510921</v>
      </c>
      <c r="AN111" s="163">
        <f t="shared" si="964"/>
        <v>1.0072138980728953</v>
      </c>
      <c r="AO111" s="163">
        <f t="shared" si="964"/>
        <v>1.8335639701774327</v>
      </c>
      <c r="AP111" s="163">
        <f t="shared" si="964"/>
        <v>2.6877843401717896</v>
      </c>
      <c r="AQ111" s="163">
        <f t="shared" si="964"/>
        <v>2.4740564788791057</v>
      </c>
      <c r="AR111" s="163">
        <f t="shared" si="964"/>
        <v>2.6947032525857373</v>
      </c>
      <c r="AS111" s="163">
        <f t="shared" si="964"/>
        <v>2.4920383562106152</v>
      </c>
      <c r="AT111" s="163">
        <f t="shared" si="964"/>
        <v>5.4544813050608605</v>
      </c>
      <c r="AU111" s="163">
        <f t="shared" si="964"/>
        <v>4.8537426385580504</v>
      </c>
      <c r="AV111" s="163">
        <f t="shared" si="964"/>
        <v>7.5177917520016839</v>
      </c>
      <c r="AW111" s="163">
        <f t="shared" si="964"/>
        <v>7.1673278816430139</v>
      </c>
      <c r="AX111" s="163">
        <f t="shared" si="964"/>
        <v>6.9407177787326351</v>
      </c>
      <c r="AY111" s="163">
        <f t="shared" si="964"/>
        <v>5.701481989963975</v>
      </c>
      <c r="AZ111" s="163">
        <f t="shared" si="964"/>
        <v>4.7542423238461149</v>
      </c>
      <c r="BA111" s="163">
        <f t="shared" si="964"/>
        <v>3.8764107491023592</v>
      </c>
      <c r="BB111" s="163">
        <f t="shared" si="964"/>
        <v>3.9214020785363117</v>
      </c>
      <c r="BC111" s="163">
        <f t="shared" si="964"/>
        <v>4.0942443543477065</v>
      </c>
      <c r="BD111" s="163">
        <f t="shared" si="964"/>
        <v>4.4258422217889093</v>
      </c>
      <c r="BE111" s="163">
        <f t="shared" si="964"/>
        <v>4.5810078427884537</v>
      </c>
      <c r="BF111" s="163">
        <f t="shared" si="964"/>
        <v>5.0464081011558859</v>
      </c>
      <c r="BG111" s="163">
        <f t="shared" si="964"/>
        <v>5.851684242139477</v>
      </c>
      <c r="BH111" s="163">
        <f t="shared" si="964"/>
        <v>6.1714597594125369</v>
      </c>
      <c r="BI111" s="163">
        <f t="shared" si="964"/>
        <v>4.812074270484251</v>
      </c>
      <c r="BJ111" s="163">
        <f t="shared" si="964"/>
        <v>4.0644305048680849</v>
      </c>
      <c r="BK111" s="163">
        <f t="shared" si="964"/>
        <v>3.9550308352049686</v>
      </c>
      <c r="BL111" s="163">
        <f t="shared" si="964"/>
        <v>3.7104604879299843</v>
      </c>
      <c r="BM111" s="163">
        <f t="shared" si="964"/>
        <v>3.5532106575875955</v>
      </c>
      <c r="BN111" s="163">
        <f t="shared" si="964"/>
        <v>4.2515767675450045</v>
      </c>
      <c r="BO111" s="163">
        <f t="shared" si="964"/>
        <v>3.5617580360273142</v>
      </c>
      <c r="BP111" s="163">
        <f t="shared" si="964"/>
        <v>4.8936904529855472</v>
      </c>
      <c r="BQ111" s="163">
        <f t="shared" si="964"/>
        <v>6.7319917625121004</v>
      </c>
      <c r="BR111" s="163">
        <f t="shared" ref="BR111:CJ111" si="965">+BR86/BR107</f>
        <v>10.403998006746399</v>
      </c>
      <c r="BS111" s="163">
        <f t="shared" si="965"/>
        <v>13.673772976449454</v>
      </c>
      <c r="BT111" s="163">
        <f t="shared" si="965"/>
        <v>17.311775242655202</v>
      </c>
      <c r="BU111" s="163">
        <f t="shared" si="965"/>
        <v>18.30355768430687</v>
      </c>
      <c r="BV111" s="163">
        <f t="shared" si="965"/>
        <v>23.749404949572995</v>
      </c>
      <c r="BW111" s="163">
        <f t="shared" si="965"/>
        <v>21.688507079365607</v>
      </c>
      <c r="BX111" s="163">
        <f t="shared" si="965"/>
        <v>23.886206644401774</v>
      </c>
      <c r="BY111" s="163">
        <f t="shared" si="965"/>
        <v>18.095044058273235</v>
      </c>
      <c r="BZ111" s="163">
        <f t="shared" si="965"/>
        <v>13.522832475229139</v>
      </c>
      <c r="CA111" s="163">
        <f t="shared" si="965"/>
        <v>15.148770030705643</v>
      </c>
      <c r="CB111" s="163">
        <f t="shared" si="965"/>
        <v>14.434767147149648</v>
      </c>
      <c r="CC111" s="163">
        <f t="shared" si="965"/>
        <v>16.432863945962875</v>
      </c>
      <c r="CD111" s="163">
        <f t="shared" si="965"/>
        <v>15.692561094054129</v>
      </c>
      <c r="CE111" s="163">
        <f t="shared" si="965"/>
        <v>14.069335803065272</v>
      </c>
      <c r="CF111" s="163">
        <f t="shared" si="965"/>
        <v>15.284828356678808</v>
      </c>
      <c r="CG111" s="163">
        <f t="shared" si="965"/>
        <v>13.414209928206391</v>
      </c>
      <c r="CH111" s="163">
        <f t="shared" si="965"/>
        <v>11.526228285342532</v>
      </c>
      <c r="CI111" s="163">
        <f t="shared" si="965"/>
        <v>11.352780044545021</v>
      </c>
      <c r="CJ111" s="163">
        <f t="shared" si="965"/>
        <v>10.938940354675951</v>
      </c>
      <c r="CK111" s="163">
        <f t="shared" ref="CK111:CL111" si="966">+CK86/CK107</f>
        <v>9.5408850225816515</v>
      </c>
      <c r="CL111" s="163">
        <f t="shared" si="966"/>
        <v>9.8648471345919777</v>
      </c>
      <c r="CM111" s="94">
        <f t="shared" ref="CM111:DB111" si="967">+CL111</f>
        <v>9.8648471345919777</v>
      </c>
      <c r="CN111" s="94">
        <f t="shared" si="967"/>
        <v>9.8648471345919777</v>
      </c>
      <c r="CO111" s="94">
        <f t="shared" si="967"/>
        <v>9.8648471345919777</v>
      </c>
      <c r="CP111" s="94">
        <f t="shared" si="967"/>
        <v>9.8648471345919777</v>
      </c>
      <c r="CQ111" s="94">
        <f t="shared" si="967"/>
        <v>9.8648471345919777</v>
      </c>
      <c r="CR111" s="94">
        <f t="shared" si="967"/>
        <v>9.8648471345919777</v>
      </c>
      <c r="CS111" s="94">
        <f t="shared" si="967"/>
        <v>9.8648471345919777</v>
      </c>
      <c r="CT111" s="94">
        <f t="shared" si="967"/>
        <v>9.8648471345919777</v>
      </c>
      <c r="CU111" s="94">
        <f t="shared" si="967"/>
        <v>9.8648471345919777</v>
      </c>
      <c r="CV111" s="94">
        <f t="shared" si="967"/>
        <v>9.8648471345919777</v>
      </c>
      <c r="CW111" s="94">
        <f t="shared" si="967"/>
        <v>9.8648471345919777</v>
      </c>
      <c r="CX111" s="94">
        <f t="shared" si="967"/>
        <v>9.8648471345919777</v>
      </c>
      <c r="CY111" s="94">
        <f t="shared" si="967"/>
        <v>9.8648471345919777</v>
      </c>
      <c r="CZ111" s="94">
        <f t="shared" si="967"/>
        <v>9.8648471345919777</v>
      </c>
      <c r="DA111" s="94">
        <f t="shared" si="967"/>
        <v>9.8648471345919777</v>
      </c>
      <c r="DB111" s="94">
        <f t="shared" si="967"/>
        <v>9.8648471345919777</v>
      </c>
      <c r="DE111" s="164"/>
      <c r="DF111" s="163">
        <v>9.9831276053769056</v>
      </c>
    </row>
    <row r="112" spans="1:110" s="163" customFormat="1" x14ac:dyDescent="0.2">
      <c r="A112" s="163" t="s">
        <v>509</v>
      </c>
      <c r="E112" s="163">
        <f t="shared" si="958"/>
        <v>1.3151004850779087</v>
      </c>
      <c r="F112" s="163">
        <f t="shared" si="958"/>
        <v>1.2575158525950885</v>
      </c>
      <c r="G112" s="163">
        <f t="shared" si="958"/>
        <v>2.1970212424638773</v>
      </c>
      <c r="H112" s="163">
        <f t="shared" si="958"/>
        <v>1.4868115650256684</v>
      </c>
      <c r="I112" s="163">
        <f t="shared" si="958"/>
        <v>1.0692404263834789</v>
      </c>
      <c r="J112" s="163">
        <f t="shared" si="958"/>
        <v>0.55707009346351544</v>
      </c>
      <c r="K112" s="163">
        <f t="shared" si="958"/>
        <v>0.65639562307994503</v>
      </c>
      <c r="L112" s="163">
        <f t="shared" si="958"/>
        <v>1.6775850229568234</v>
      </c>
      <c r="M112" s="163">
        <f t="shared" si="958"/>
        <v>0.96618579028244267</v>
      </c>
      <c r="N112" s="163">
        <f t="shared" si="958"/>
        <v>0.91641058006225784</v>
      </c>
      <c r="O112" s="163">
        <f t="shared" si="958"/>
        <v>0.62756460915579615</v>
      </c>
      <c r="P112" s="163">
        <f t="shared" si="958"/>
        <v>1.7308774382326555</v>
      </c>
      <c r="Q112" s="163">
        <f t="shared" si="958"/>
        <v>2.8332459237349932</v>
      </c>
      <c r="R112" s="163">
        <f t="shared" si="958"/>
        <v>2.5719347512345907</v>
      </c>
      <c r="S112" s="163">
        <f t="shared" si="958"/>
        <v>2.8928676281499865</v>
      </c>
      <c r="T112" s="163">
        <f t="shared" si="958"/>
        <v>3.222262118177134</v>
      </c>
      <c r="U112" s="163">
        <f t="shared" si="958"/>
        <v>1.9387269231543305</v>
      </c>
      <c r="V112" s="163">
        <f t="shared" si="958"/>
        <v>2.012706227171698</v>
      </c>
      <c r="W112" s="163">
        <f t="shared" si="958"/>
        <v>6.8075908394336535</v>
      </c>
      <c r="X112" s="163">
        <f t="shared" si="958"/>
        <v>11.307754681056913</v>
      </c>
      <c r="Y112" s="163">
        <f t="shared" si="958"/>
        <v>10.480707107537846</v>
      </c>
      <c r="Z112" s="163">
        <f t="shared" si="963"/>
        <v>8.6202294564004429</v>
      </c>
      <c r="AA112" s="163">
        <f t="shared" si="963"/>
        <v>6.582145367316441</v>
      </c>
      <c r="AB112" s="94">
        <f t="shared" si="958"/>
        <v>6.2322287408380337</v>
      </c>
      <c r="AC112" s="94">
        <f t="shared" si="958"/>
        <v>6.384058933515151</v>
      </c>
      <c r="AD112" s="94">
        <f t="shared" si="958"/>
        <v>6.8962136477633651</v>
      </c>
      <c r="AE112" s="94">
        <f t="shared" si="958"/>
        <v>7.4594100269221473</v>
      </c>
      <c r="AL112" s="163">
        <f t="shared" ref="AL112:BQ112" si="968">+AL87/AL107</f>
        <v>0.91635055945900734</v>
      </c>
      <c r="AM112" s="163">
        <f t="shared" si="968"/>
        <v>0.81653875830959166</v>
      </c>
      <c r="AN112" s="163">
        <f t="shared" si="968"/>
        <v>0.71159126268014916</v>
      </c>
      <c r="AO112" s="163">
        <f t="shared" si="968"/>
        <v>0.77148554144913017</v>
      </c>
      <c r="AP112" s="163">
        <f t="shared" si="968"/>
        <v>1.3828863491162064</v>
      </c>
      <c r="AQ112" s="163">
        <f t="shared" si="968"/>
        <v>1.8553458182887477</v>
      </c>
      <c r="AR112" s="163">
        <f t="shared" si="968"/>
        <v>2.1640860097985848</v>
      </c>
      <c r="AS112" s="163">
        <f t="shared" si="968"/>
        <v>2.068939948941956</v>
      </c>
      <c r="AT112" s="163">
        <f t="shared" si="968"/>
        <v>2.1874761832161722</v>
      </c>
      <c r="AU112" s="163">
        <f t="shared" si="968"/>
        <v>3.376456576221476</v>
      </c>
      <c r="AV112" s="163">
        <f t="shared" si="968"/>
        <v>3.8448783884859714</v>
      </c>
      <c r="AW112" s="163">
        <f t="shared" si="968"/>
        <v>5.1960051035524888</v>
      </c>
      <c r="AX112" s="163">
        <f t="shared" si="968"/>
        <v>4.6263244275980613</v>
      </c>
      <c r="AY112" s="163">
        <f t="shared" si="968"/>
        <v>4.4533159835854761</v>
      </c>
      <c r="AZ112" s="163">
        <f t="shared" si="968"/>
        <v>3.6575402106672557</v>
      </c>
      <c r="BA112" s="163">
        <f t="shared" si="968"/>
        <v>2.6423372309984159</v>
      </c>
      <c r="BB112" s="163">
        <f t="shared" si="968"/>
        <v>3.4538193104735821</v>
      </c>
      <c r="BC112" s="163">
        <f t="shared" si="968"/>
        <v>3.1708259533956942</v>
      </c>
      <c r="BD112" s="163">
        <f t="shared" si="968"/>
        <v>3.7849200134958156</v>
      </c>
      <c r="BE112" s="163">
        <f t="shared" si="968"/>
        <v>3.7014953094997667</v>
      </c>
      <c r="BF112" s="163">
        <f t="shared" si="968"/>
        <v>4.1654604067241054</v>
      </c>
      <c r="BG112" s="163">
        <f t="shared" si="968"/>
        <v>4.2545947307489236</v>
      </c>
      <c r="BH112" s="163">
        <f t="shared" si="968"/>
        <v>4.6761193001937258</v>
      </c>
      <c r="BI112" s="163">
        <f t="shared" si="968"/>
        <v>3.6806515297306537</v>
      </c>
      <c r="BJ112" s="163">
        <f t="shared" si="968"/>
        <v>3.2220544143394965</v>
      </c>
      <c r="BK112" s="163">
        <f t="shared" si="968"/>
        <v>3.2485777749305949</v>
      </c>
      <c r="BL112" s="163">
        <f t="shared" si="968"/>
        <v>2.3684640143621967</v>
      </c>
      <c r="BM112" s="163">
        <f t="shared" si="968"/>
        <v>2.4109660746701147</v>
      </c>
      <c r="BN112" s="163">
        <f t="shared" si="968"/>
        <v>1.938602921993217</v>
      </c>
      <c r="BO112" s="163">
        <f t="shared" si="968"/>
        <v>2.2292868416232063</v>
      </c>
      <c r="BP112" s="163">
        <f t="shared" si="968"/>
        <v>3.2254203391632563</v>
      </c>
      <c r="BQ112" s="163">
        <f t="shared" si="968"/>
        <v>4.532931516292054</v>
      </c>
      <c r="BR112" s="163">
        <f t="shared" ref="BR112:CJ112" si="969">+BR87/BR107</f>
        <v>6.269687979147502</v>
      </c>
      <c r="BS112" s="163">
        <f t="shared" si="969"/>
        <v>8.4774252666850796</v>
      </c>
      <c r="BT112" s="163">
        <f t="shared" si="969"/>
        <v>11.902144387987754</v>
      </c>
      <c r="BU112" s="163">
        <f t="shared" si="969"/>
        <v>14.212928513046402</v>
      </c>
      <c r="BV112" s="163">
        <f t="shared" si="969"/>
        <v>14.572352506213578</v>
      </c>
      <c r="BW112" s="163">
        <f t="shared" si="969"/>
        <v>15.184906254690391</v>
      </c>
      <c r="BX112" s="163">
        <f t="shared" si="969"/>
        <v>16.948476082705081</v>
      </c>
      <c r="BY112" s="163">
        <f t="shared" si="969"/>
        <v>11.897931275518298</v>
      </c>
      <c r="BZ112" s="163">
        <f t="shared" si="969"/>
        <v>11.653580733501807</v>
      </c>
      <c r="CA112" s="163">
        <f t="shared" si="969"/>
        <v>11.38739712477968</v>
      </c>
      <c r="CB112" s="163">
        <f t="shared" si="969"/>
        <v>12.853552455357475</v>
      </c>
      <c r="CC112" s="163">
        <f t="shared" si="969"/>
        <v>12.819407485039997</v>
      </c>
      <c r="CD112" s="163">
        <f t="shared" si="969"/>
        <v>12.871954587452207</v>
      </c>
      <c r="CE112" s="163">
        <f t="shared" si="969"/>
        <v>10.999177136362224</v>
      </c>
      <c r="CF112" s="163">
        <f t="shared" si="969"/>
        <v>11.13980584550359</v>
      </c>
      <c r="CG112" s="163">
        <f t="shared" si="969"/>
        <v>10.505791913928173</v>
      </c>
      <c r="CH112" s="163">
        <f t="shared" si="969"/>
        <v>8.619676657420337</v>
      </c>
      <c r="CI112" s="163">
        <f t="shared" si="969"/>
        <v>7.7574379778649849</v>
      </c>
      <c r="CJ112" s="163">
        <f t="shared" si="969"/>
        <v>8.8747435249698921</v>
      </c>
      <c r="CK112" s="163">
        <f t="shared" ref="CK112:CL112" si="970">+CK87/CK107</f>
        <v>8.2365009444423869</v>
      </c>
      <c r="CL112" s="163">
        <f t="shared" si="970"/>
        <v>6.5821465935562742</v>
      </c>
      <c r="CM112" s="94">
        <f t="shared" ref="CM112:DB112" si="971">+CL112</f>
        <v>6.5821465935562742</v>
      </c>
      <c r="CN112" s="94">
        <f t="shared" si="971"/>
        <v>6.5821465935562742</v>
      </c>
      <c r="CO112" s="94">
        <f t="shared" si="971"/>
        <v>6.5821465935562742</v>
      </c>
      <c r="CP112" s="94">
        <f t="shared" si="971"/>
        <v>6.5821465935562742</v>
      </c>
      <c r="CQ112" s="94">
        <f t="shared" si="971"/>
        <v>6.5821465935562742</v>
      </c>
      <c r="CR112" s="94">
        <f t="shared" si="971"/>
        <v>6.5821465935562742</v>
      </c>
      <c r="CS112" s="94">
        <f t="shared" si="971"/>
        <v>6.5821465935562742</v>
      </c>
      <c r="CT112" s="94">
        <f t="shared" si="971"/>
        <v>6.5821465935562742</v>
      </c>
      <c r="CU112" s="94">
        <f t="shared" si="971"/>
        <v>6.5821465935562742</v>
      </c>
      <c r="CV112" s="94">
        <f t="shared" si="971"/>
        <v>6.5821465935562742</v>
      </c>
      <c r="CW112" s="94">
        <f t="shared" si="971"/>
        <v>6.5821465935562742</v>
      </c>
      <c r="CX112" s="94">
        <f t="shared" si="971"/>
        <v>6.5821465935562742</v>
      </c>
      <c r="CY112" s="94">
        <f t="shared" si="971"/>
        <v>6.5821465935562742</v>
      </c>
      <c r="CZ112" s="94">
        <f t="shared" si="971"/>
        <v>6.5821465935562742</v>
      </c>
      <c r="DA112" s="94">
        <f t="shared" si="971"/>
        <v>6.5821465935562742</v>
      </c>
      <c r="DB112" s="94">
        <f t="shared" si="971"/>
        <v>6.5821465935562742</v>
      </c>
      <c r="DE112" s="164"/>
      <c r="DF112" s="163">
        <v>6.6610671675133934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162" customFormat="1" x14ac:dyDescent="0.2">
      <c r="A115" s="49" t="s">
        <v>340</v>
      </c>
      <c r="B115" s="162">
        <f t="shared" ref="B115:AE115" si="972">+B86*B73</f>
        <v>247.54868999999999</v>
      </c>
      <c r="C115" s="162">
        <f t="shared" si="972"/>
        <v>152.26579799999999</v>
      </c>
      <c r="D115" s="162">
        <f t="shared" si="972"/>
        <v>217.9674</v>
      </c>
      <c r="E115" s="162">
        <f t="shared" si="972"/>
        <v>414.27504999999996</v>
      </c>
      <c r="F115" s="162">
        <f t="shared" si="972"/>
        <v>595.71506249999993</v>
      </c>
      <c r="G115" s="162">
        <f t="shared" si="972"/>
        <v>722.64519999999993</v>
      </c>
      <c r="H115" s="162">
        <f t="shared" si="972"/>
        <v>996.75199999999995</v>
      </c>
      <c r="I115" s="162">
        <f t="shared" si="972"/>
        <v>1135.9857949999998</v>
      </c>
      <c r="J115" s="162">
        <f t="shared" si="972"/>
        <v>697.41491499999995</v>
      </c>
      <c r="K115" s="162">
        <f t="shared" si="972"/>
        <v>1082.2546324999998</v>
      </c>
      <c r="L115" s="162">
        <f t="shared" si="972"/>
        <v>1061.8523649999997</v>
      </c>
      <c r="M115" s="162">
        <f t="shared" si="972"/>
        <v>876.36304749999999</v>
      </c>
      <c r="N115" s="162">
        <f t="shared" si="972"/>
        <v>791.48338499999988</v>
      </c>
      <c r="O115" s="162">
        <f t="shared" si="972"/>
        <v>2082.58871</v>
      </c>
      <c r="P115" s="162">
        <f t="shared" si="972"/>
        <v>4633.3393749999996</v>
      </c>
      <c r="Q115" s="162">
        <f t="shared" si="972"/>
        <v>7463.1805999999988</v>
      </c>
      <c r="R115" s="162">
        <f t="shared" si="972"/>
        <v>6429.0503999999992</v>
      </c>
      <c r="S115" s="162">
        <f t="shared" si="972"/>
        <v>6996.264584999999</v>
      </c>
      <c r="T115" s="162">
        <f t="shared" si="972"/>
        <v>9293.1549749999995</v>
      </c>
      <c r="U115" s="162">
        <f t="shared" si="972"/>
        <v>6844.8828749999993</v>
      </c>
      <c r="V115" s="162">
        <f t="shared" si="972"/>
        <v>19000.584999999999</v>
      </c>
      <c r="W115" s="162">
        <f t="shared" si="972"/>
        <v>58683.77399999999</v>
      </c>
      <c r="X115" s="162">
        <f t="shared" si="972"/>
        <v>67034.063879999987</v>
      </c>
      <c r="Y115" s="162">
        <f t="shared" si="972"/>
        <v>57257.79567</v>
      </c>
      <c r="Z115" s="162">
        <f t="shared" si="972"/>
        <v>56583.742129999991</v>
      </c>
      <c r="AA115" s="162">
        <f t="shared" ref="AA115" si="973">+AA86*AA73</f>
        <v>41947.684949999995</v>
      </c>
      <c r="AB115" s="21">
        <f t="shared" si="972"/>
        <v>43339.83295815203</v>
      </c>
      <c r="AC115" s="21">
        <f t="shared" si="972"/>
        <v>51847.611284650768</v>
      </c>
      <c r="AD115" s="21">
        <f t="shared" si="972"/>
        <v>57806.382802665561</v>
      </c>
      <c r="AE115" s="21">
        <f t="shared" si="972"/>
        <v>64321.156514197275</v>
      </c>
      <c r="AL115" s="162">
        <f t="shared" ref="AL115:BQ115" si="974">+AL86*AL73</f>
        <v>769.31855000000007</v>
      </c>
      <c r="AM115" s="162">
        <f t="shared" si="974"/>
        <v>650.49465250000003</v>
      </c>
      <c r="AN115" s="162">
        <f t="shared" si="974"/>
        <v>688.18191749999994</v>
      </c>
      <c r="AO115" s="162">
        <f t="shared" si="974"/>
        <v>1332.4472700000001</v>
      </c>
      <c r="AP115" s="162">
        <f t="shared" si="974"/>
        <v>2082.4549900000002</v>
      </c>
      <c r="AQ115" s="162">
        <f t="shared" si="974"/>
        <v>1960.3607099999999</v>
      </c>
      <c r="AR115" s="162">
        <f t="shared" si="974"/>
        <v>2178.0747449999999</v>
      </c>
      <c r="AS115" s="162">
        <f t="shared" si="974"/>
        <v>2067.5046699999998</v>
      </c>
      <c r="AT115" s="162">
        <f t="shared" si="974"/>
        <v>4633.0418749999999</v>
      </c>
      <c r="AU115" s="162">
        <f t="shared" si="974"/>
        <v>4378.8864350000003</v>
      </c>
      <c r="AV115" s="162">
        <f t="shared" si="974"/>
        <v>7216.6440499999999</v>
      </c>
      <c r="AW115" s="162">
        <f t="shared" si="974"/>
        <v>7257.1345000000001</v>
      </c>
      <c r="AX115" s="162">
        <f t="shared" si="974"/>
        <v>7462.7013999999999</v>
      </c>
      <c r="AY115" s="162">
        <f t="shared" si="974"/>
        <v>6428.6376</v>
      </c>
      <c r="AZ115" s="162">
        <f t="shared" si="974"/>
        <v>5553.4209500000006</v>
      </c>
      <c r="BA115" s="162">
        <f t="shared" si="974"/>
        <v>4668.2374200000004</v>
      </c>
      <c r="BB115" s="162">
        <f t="shared" si="974"/>
        <v>4852.0017699999999</v>
      </c>
      <c r="BC115" s="162">
        <f t="shared" si="974"/>
        <v>5177.9498925000007</v>
      </c>
      <c r="BD115" s="162">
        <f t="shared" si="974"/>
        <v>5765.2171500000004</v>
      </c>
      <c r="BE115" s="162">
        <f t="shared" si="974"/>
        <v>6129.0082700000003</v>
      </c>
      <c r="BF115" s="162">
        <f t="shared" si="974"/>
        <v>6995.8153650000004</v>
      </c>
      <c r="BG115" s="162">
        <f t="shared" si="974"/>
        <v>8456.2747500000005</v>
      </c>
      <c r="BH115" s="162">
        <f t="shared" si="974"/>
        <v>9292.5582750000012</v>
      </c>
      <c r="BI115" s="162">
        <f t="shared" si="974"/>
        <v>7541.5020450000011</v>
      </c>
      <c r="BJ115" s="162">
        <f t="shared" si="974"/>
        <v>6490.6191350000008</v>
      </c>
      <c r="BK115" s="162">
        <f t="shared" si="974"/>
        <v>6235.5293000000001</v>
      </c>
      <c r="BL115" s="162">
        <f t="shared" si="974"/>
        <v>5787.0196999999998</v>
      </c>
      <c r="BM115" s="162">
        <f t="shared" si="974"/>
        <v>5600.1406999999999</v>
      </c>
      <c r="BN115" s="162">
        <f t="shared" si="974"/>
        <v>6844.4433750000007</v>
      </c>
      <c r="BO115" s="162">
        <f t="shared" si="974"/>
        <v>5872.0496450000001</v>
      </c>
      <c r="BP115" s="162">
        <f t="shared" si="974"/>
        <v>8284.969000000001</v>
      </c>
      <c r="BQ115" s="162">
        <f t="shared" si="974"/>
        <v>11758.42668</v>
      </c>
      <c r="BR115" s="162">
        <f t="shared" ref="BR115:CJ115" si="975">+BR86*BR73</f>
        <v>18999.365000000002</v>
      </c>
      <c r="BS115" s="162">
        <f t="shared" si="975"/>
        <v>27128.601500000001</v>
      </c>
      <c r="BT115" s="162">
        <f t="shared" si="975"/>
        <v>37205.428645</v>
      </c>
      <c r="BU115" s="162">
        <f t="shared" si="975"/>
        <v>42234.654000000002</v>
      </c>
      <c r="BV115" s="162">
        <f t="shared" si="975"/>
        <v>58680.006000000001</v>
      </c>
      <c r="BW115" s="162">
        <f t="shared" si="975"/>
        <v>57222.349800000004</v>
      </c>
      <c r="BX115" s="162">
        <f t="shared" si="975"/>
        <v>67029.759720000002</v>
      </c>
      <c r="BY115" s="162">
        <f t="shared" si="975"/>
        <v>54077.79916000001</v>
      </c>
      <c r="BZ115" s="162">
        <f t="shared" si="975"/>
        <v>42525.562310000001</v>
      </c>
      <c r="CA115" s="162">
        <f t="shared" si="975"/>
        <v>49522.935000000005</v>
      </c>
      <c r="CB115" s="162">
        <f t="shared" si="975"/>
        <v>48899.693534999999</v>
      </c>
      <c r="CC115" s="162">
        <f t="shared" si="975"/>
        <v>57254.119230000004</v>
      </c>
      <c r="CD115" s="162">
        <f t="shared" si="975"/>
        <v>55742.268120000001</v>
      </c>
      <c r="CE115" s="162">
        <f t="shared" si="975"/>
        <v>51048.179105000003</v>
      </c>
      <c r="CF115" s="162">
        <f t="shared" si="975"/>
        <v>56580.108970000001</v>
      </c>
      <c r="CG115" s="162">
        <f t="shared" si="975"/>
        <v>49990.1325</v>
      </c>
      <c r="CH115" s="162">
        <f t="shared" si="975"/>
        <v>42981.858534999999</v>
      </c>
      <c r="CI115" s="162">
        <f t="shared" si="975"/>
        <v>41944.991549999999</v>
      </c>
      <c r="CJ115" s="162">
        <f t="shared" si="975"/>
        <v>40011.416830000002</v>
      </c>
      <c r="CK115" s="162">
        <f t="shared" ref="CK115:CL115" si="976">+CK86*CK73</f>
        <v>35034.206130000006</v>
      </c>
      <c r="CL115" s="162">
        <f t="shared" si="976"/>
        <v>37066.403514999998</v>
      </c>
      <c r="CM115" s="21">
        <f t="shared" ref="CM115:DB115" si="977">+CM86*CM73</f>
        <v>39308.495896430119</v>
      </c>
      <c r="CN115" s="21">
        <f t="shared" si="977"/>
        <v>41824.326314439888</v>
      </c>
      <c r="CO115" s="21">
        <f t="shared" si="977"/>
        <v>42774.253465456757</v>
      </c>
      <c r="CP115" s="21">
        <f t="shared" si="977"/>
        <v>43339.83295815203</v>
      </c>
      <c r="CQ115" s="21">
        <f t="shared" si="977"/>
        <v>45513.522785285473</v>
      </c>
      <c r="CR115" s="21">
        <f t="shared" si="977"/>
        <v>47692.586269901534</v>
      </c>
      <c r="CS115" s="21">
        <f t="shared" si="977"/>
        <v>49652.084142633335</v>
      </c>
      <c r="CT115" s="21">
        <f t="shared" si="977"/>
        <v>51847.611284650768</v>
      </c>
      <c r="CU115" s="21">
        <f t="shared" si="977"/>
        <v>53529.620099124208</v>
      </c>
      <c r="CV115" s="21">
        <f t="shared" si="977"/>
        <v>55108.071228401524</v>
      </c>
      <c r="CW115" s="21">
        <f t="shared" si="977"/>
        <v>56531.338040509007</v>
      </c>
      <c r="CX115" s="21">
        <f t="shared" si="977"/>
        <v>57806.382802665561</v>
      </c>
      <c r="CY115" s="21">
        <f t="shared" si="977"/>
        <v>59779.503822650702</v>
      </c>
      <c r="CZ115" s="21">
        <f t="shared" si="977"/>
        <v>61498.810608099491</v>
      </c>
      <c r="DA115" s="21">
        <f t="shared" si="977"/>
        <v>62997.090464982699</v>
      </c>
      <c r="DB115" s="21">
        <f t="shared" si="977"/>
        <v>64321.156514197275</v>
      </c>
      <c r="DE115" s="22"/>
      <c r="DF115" s="162">
        <v>37064.023535</v>
      </c>
    </row>
    <row r="116" spans="1:110" s="162" customFormat="1" x14ac:dyDescent="0.2">
      <c r="A116" s="49" t="s">
        <v>341</v>
      </c>
      <c r="B116" s="162">
        <f t="shared" ref="B116:AE116" si="978">+B87*B73</f>
        <v>93.570290999999997</v>
      </c>
      <c r="C116" s="162">
        <f t="shared" si="978"/>
        <v>49.042665</v>
      </c>
      <c r="D116" s="162">
        <f t="shared" si="978"/>
        <v>100.03146750000001</v>
      </c>
      <c r="E116" s="162">
        <f t="shared" si="978"/>
        <v>201.84227999999996</v>
      </c>
      <c r="F116" s="162">
        <f t="shared" si="978"/>
        <v>233.61374999999998</v>
      </c>
      <c r="G116" s="162">
        <f t="shared" si="978"/>
        <v>517.68806999999993</v>
      </c>
      <c r="H116" s="162">
        <f t="shared" si="978"/>
        <v>457.88294999999994</v>
      </c>
      <c r="I116" s="162">
        <f t="shared" si="978"/>
        <v>429.84929999999997</v>
      </c>
      <c r="J116" s="162">
        <f t="shared" si="978"/>
        <v>233.61374999999998</v>
      </c>
      <c r="K116" s="162">
        <f t="shared" si="978"/>
        <v>254.79472999999996</v>
      </c>
      <c r="L116" s="162">
        <f t="shared" si="978"/>
        <v>697.7263999999999</v>
      </c>
      <c r="M116" s="162">
        <f t="shared" si="978"/>
        <v>520.49143499999991</v>
      </c>
      <c r="N116" s="162">
        <f t="shared" si="978"/>
        <v>569.70606499999997</v>
      </c>
      <c r="O116" s="162">
        <f t="shared" si="978"/>
        <v>486.22808499999991</v>
      </c>
      <c r="P116" s="162">
        <f t="shared" si="978"/>
        <v>1470.2091999999998</v>
      </c>
      <c r="Q116" s="162">
        <f t="shared" si="978"/>
        <v>3046.3232999999996</v>
      </c>
      <c r="R116" s="162">
        <f t="shared" si="978"/>
        <v>3182.2865024999996</v>
      </c>
      <c r="S116" s="162">
        <f t="shared" si="978"/>
        <v>4010.3693749999998</v>
      </c>
      <c r="T116" s="162">
        <f t="shared" si="978"/>
        <v>5145.7321999999995</v>
      </c>
      <c r="U116" s="162">
        <f t="shared" si="978"/>
        <v>3121.0796999999998</v>
      </c>
      <c r="V116" s="162">
        <f t="shared" si="978"/>
        <v>3675.5229999999997</v>
      </c>
      <c r="W116" s="162">
        <f t="shared" si="978"/>
        <v>16820.189999999999</v>
      </c>
      <c r="X116" s="162">
        <f t="shared" si="978"/>
        <v>35559.750569999997</v>
      </c>
      <c r="Y116" s="162">
        <f t="shared" si="978"/>
        <v>37228.998684999999</v>
      </c>
      <c r="Z116" s="162">
        <f t="shared" si="978"/>
        <v>32145.251999999997</v>
      </c>
      <c r="AA116" s="162">
        <f t="shared" ref="AA116" si="979">+AA87*AA73</f>
        <v>24731.908999999996</v>
      </c>
      <c r="AB116" s="21">
        <f t="shared" si="978"/>
        <v>26227.905899852532</v>
      </c>
      <c r="AC116" s="21">
        <f t="shared" si="978"/>
        <v>30368.101489522323</v>
      </c>
      <c r="AD116" s="21">
        <f t="shared" si="978"/>
        <v>35716.702122458693</v>
      </c>
      <c r="AE116" s="21">
        <f t="shared" si="978"/>
        <v>39886.827649967352</v>
      </c>
      <c r="AL116" s="162">
        <f t="shared" ref="AL116:BQ116" si="980">+AL87*AL73</f>
        <v>569.66948500000001</v>
      </c>
      <c r="AM116" s="162">
        <f t="shared" si="980"/>
        <v>529.64623250000011</v>
      </c>
      <c r="AN116" s="162">
        <f t="shared" si="980"/>
        <v>486.196865</v>
      </c>
      <c r="AO116" s="162">
        <f t="shared" si="980"/>
        <v>560.63700000000006</v>
      </c>
      <c r="AP116" s="162">
        <f t="shared" si="980"/>
        <v>1071.4396000000002</v>
      </c>
      <c r="AQ116" s="162">
        <f t="shared" si="980"/>
        <v>1470.1148000000001</v>
      </c>
      <c r="AR116" s="162">
        <f t="shared" si="980"/>
        <v>1749.1874400000002</v>
      </c>
      <c r="AS116" s="162">
        <f t="shared" si="980"/>
        <v>1716.4836150000001</v>
      </c>
      <c r="AT116" s="162">
        <f t="shared" si="980"/>
        <v>1858.0444574999999</v>
      </c>
      <c r="AU116" s="162">
        <f t="shared" si="980"/>
        <v>3046.1277</v>
      </c>
      <c r="AV116" s="162">
        <f t="shared" si="980"/>
        <v>3690.8602500000002</v>
      </c>
      <c r="AW116" s="162">
        <f t="shared" si="980"/>
        <v>5261.1110475000005</v>
      </c>
      <c r="AX116" s="162">
        <f t="shared" si="980"/>
        <v>4974.2517825000004</v>
      </c>
      <c r="AY116" s="162">
        <f t="shared" si="980"/>
        <v>5021.2829975000004</v>
      </c>
      <c r="AZ116" s="162">
        <f t="shared" si="980"/>
        <v>4272.3654050000005</v>
      </c>
      <c r="BA116" s="162">
        <f t="shared" si="980"/>
        <v>3182.0821725000001</v>
      </c>
      <c r="BB116" s="162">
        <f t="shared" si="980"/>
        <v>4273.4555325000001</v>
      </c>
      <c r="BC116" s="162">
        <f t="shared" si="980"/>
        <v>4010.1118750000001</v>
      </c>
      <c r="BD116" s="162">
        <f t="shared" si="980"/>
        <v>4930.3352175</v>
      </c>
      <c r="BE116" s="162">
        <f t="shared" si="980"/>
        <v>4952.2935000000007</v>
      </c>
      <c r="BF116" s="162">
        <f t="shared" si="980"/>
        <v>5774.5610999999999</v>
      </c>
      <c r="BG116" s="162">
        <f t="shared" si="980"/>
        <v>6148.3191000000006</v>
      </c>
      <c r="BH116" s="162">
        <f t="shared" si="980"/>
        <v>7040.9777899999999</v>
      </c>
      <c r="BI116" s="162">
        <f t="shared" si="980"/>
        <v>5768.3317999999999</v>
      </c>
      <c r="BJ116" s="162">
        <f t="shared" si="980"/>
        <v>5145.4018000000005</v>
      </c>
      <c r="BK116" s="162">
        <f t="shared" si="980"/>
        <v>5121.7304600000007</v>
      </c>
      <c r="BL116" s="162">
        <f t="shared" si="980"/>
        <v>3693.9749000000002</v>
      </c>
      <c r="BM116" s="162">
        <f t="shared" si="980"/>
        <v>3799.873</v>
      </c>
      <c r="BN116" s="162">
        <f t="shared" si="980"/>
        <v>3120.8793000000001</v>
      </c>
      <c r="BO116" s="162">
        <f t="shared" si="980"/>
        <v>3675.2870000000003</v>
      </c>
      <c r="BP116" s="162">
        <f t="shared" si="980"/>
        <v>5460.6043800000007</v>
      </c>
      <c r="BQ116" s="162">
        <f t="shared" si="980"/>
        <v>7917.4403000000002</v>
      </c>
      <c r="BR116" s="162">
        <f t="shared" ref="BR116:CJ116" si="981">+BR87*BR73</f>
        <v>11449.4534</v>
      </c>
      <c r="BS116" s="162">
        <f t="shared" si="981"/>
        <v>16819.11</v>
      </c>
      <c r="BT116" s="162">
        <f t="shared" si="981"/>
        <v>25579.374590000003</v>
      </c>
      <c r="BU116" s="162">
        <f t="shared" si="981"/>
        <v>32795.707175000003</v>
      </c>
      <c r="BV116" s="162">
        <f t="shared" si="981"/>
        <v>36005.353999999999</v>
      </c>
      <c r="BW116" s="162">
        <f t="shared" si="981"/>
        <v>40063.431485000001</v>
      </c>
      <c r="BX116" s="162">
        <f t="shared" si="981"/>
        <v>47561.016965000003</v>
      </c>
      <c r="BY116" s="162">
        <f t="shared" si="981"/>
        <v>35557.467330000007</v>
      </c>
      <c r="BZ116" s="162">
        <f t="shared" si="981"/>
        <v>36647.283365000003</v>
      </c>
      <c r="CA116" s="162">
        <f t="shared" si="981"/>
        <v>37226.608265000003</v>
      </c>
      <c r="CB116" s="162">
        <f t="shared" si="981"/>
        <v>43543.118465</v>
      </c>
      <c r="CC116" s="162">
        <f t="shared" si="981"/>
        <v>44664.392465000004</v>
      </c>
      <c r="CD116" s="162">
        <f t="shared" si="981"/>
        <v>45723.062000000005</v>
      </c>
      <c r="CE116" s="162">
        <f t="shared" si="981"/>
        <v>39908.633380000007</v>
      </c>
      <c r="CF116" s="162">
        <f t="shared" si="981"/>
        <v>41236.408674999999</v>
      </c>
      <c r="CG116" s="162">
        <f t="shared" si="981"/>
        <v>39151.461965000002</v>
      </c>
      <c r="CH116" s="162">
        <f t="shared" si="981"/>
        <v>32143.188000000002</v>
      </c>
      <c r="CI116" s="162">
        <f t="shared" si="981"/>
        <v>28661.320765000004</v>
      </c>
      <c r="CJ116" s="162">
        <f t="shared" si="981"/>
        <v>32461.193765000004</v>
      </c>
      <c r="CK116" s="162">
        <f t="shared" ref="CK116:CL116" si="982">+CK87*CK73</f>
        <v>30244.497360000001</v>
      </c>
      <c r="CL116" s="162">
        <f t="shared" si="982"/>
        <v>24731.908999999996</v>
      </c>
      <c r="CM116" s="21">
        <f t="shared" ref="CM116:DB116" si="983">+CM87*CM73</f>
        <v>26227.905899852532</v>
      </c>
      <c r="CN116" s="21">
        <f t="shared" si="983"/>
        <v>27906.549713581855</v>
      </c>
      <c r="CO116" s="21">
        <f t="shared" si="983"/>
        <v>28540.371979237359</v>
      </c>
      <c r="CP116" s="21">
        <f t="shared" si="983"/>
        <v>28917.744996825782</v>
      </c>
      <c r="CQ116" s="21">
        <f t="shared" si="983"/>
        <v>30368.101489522323</v>
      </c>
      <c r="CR116" s="21">
        <f t="shared" si="983"/>
        <v>31822.043461123048</v>
      </c>
      <c r="CS116" s="21">
        <f t="shared" si="983"/>
        <v>33129.484121085778</v>
      </c>
      <c r="CT116" s="21">
        <f t="shared" si="983"/>
        <v>34594.411179936564</v>
      </c>
      <c r="CU116" s="21">
        <f t="shared" si="983"/>
        <v>35716.702122458693</v>
      </c>
      <c r="CV116" s="21">
        <f t="shared" si="983"/>
        <v>36769.896012025994</v>
      </c>
      <c r="CW116" s="21">
        <f t="shared" si="983"/>
        <v>37719.545882036109</v>
      </c>
      <c r="CX116" s="21">
        <f t="shared" si="983"/>
        <v>38570.297183435534</v>
      </c>
      <c r="CY116" s="21">
        <f t="shared" si="983"/>
        <v>39886.827649967352</v>
      </c>
      <c r="CZ116" s="21">
        <f t="shared" si="983"/>
        <v>41034.005010824461</v>
      </c>
      <c r="DA116" s="21">
        <f t="shared" si="983"/>
        <v>42033.706022064274</v>
      </c>
      <c r="DB116" s="21">
        <f t="shared" si="983"/>
        <v>42917.165919270446</v>
      </c>
      <c r="DE116" s="22"/>
      <c r="DF116" s="162">
        <v>24730.321</v>
      </c>
    </row>
    <row r="117" spans="1:110" s="162" customFormat="1" x14ac:dyDescent="0.2">
      <c r="A117" s="49" t="s">
        <v>80</v>
      </c>
      <c r="B117" s="162">
        <f>+B176</f>
        <v>8.9124999999999996</v>
      </c>
      <c r="C117" s="162">
        <f t="shared" ref="C117:W117" si="984">+C176</f>
        <v>-5.3202999999999996</v>
      </c>
      <c r="D117" s="162">
        <f t="shared" si="984"/>
        <v>-1.8173999999999997</v>
      </c>
      <c r="E117" s="162">
        <f t="shared" si="984"/>
        <v>-17.401199999999999</v>
      </c>
      <c r="F117" s="162">
        <f t="shared" si="984"/>
        <v>-14.1073</v>
      </c>
      <c r="G117" s="162">
        <f t="shared" si="984"/>
        <v>-14.5524</v>
      </c>
      <c r="H117" s="162">
        <f t="shared" si="984"/>
        <v>-20.100999999999999</v>
      </c>
      <c r="I117" s="162">
        <f t="shared" si="984"/>
        <v>33.838800000000006</v>
      </c>
      <c r="J117" s="162">
        <f t="shared" si="984"/>
        <v>-3.2540000000000013</v>
      </c>
      <c r="K117" s="162">
        <f t="shared" si="984"/>
        <v>19.684299999999997</v>
      </c>
      <c r="L117" s="162">
        <f t="shared" si="984"/>
        <v>4.6356999999999999</v>
      </c>
      <c r="M117" s="162">
        <f t="shared" si="984"/>
        <v>7.4385999999999974</v>
      </c>
      <c r="N117" s="162">
        <f t="shared" si="984"/>
        <v>35.2072</v>
      </c>
      <c r="O117" s="162">
        <f t="shared" si="984"/>
        <v>-51.459499999999998</v>
      </c>
      <c r="P117" s="162">
        <f t="shared" si="984"/>
        <v>-133.25659999999999</v>
      </c>
      <c r="Q117" s="162">
        <f t="shared" si="984"/>
        <v>-182.4545</v>
      </c>
      <c r="R117" s="162">
        <f t="shared" si="984"/>
        <v>-251.5249</v>
      </c>
      <c r="S117" s="162">
        <f t="shared" si="984"/>
        <v>-394.34460000000001</v>
      </c>
      <c r="T117" s="162">
        <f t="shared" si="984"/>
        <v>-515.81460000000004</v>
      </c>
      <c r="U117" s="162">
        <f t="shared" si="984"/>
        <v>-664.22469999999998</v>
      </c>
      <c r="V117" s="162">
        <f t="shared" si="984"/>
        <v>-859.61980000000005</v>
      </c>
      <c r="W117" s="162">
        <f t="shared" si="984"/>
        <v>-965.20899999999995</v>
      </c>
      <c r="X117" s="162">
        <f t="shared" ref="X117:Y117" si="985">+X176</f>
        <v>-1191.5528999999999</v>
      </c>
      <c r="Y117" s="162">
        <f t="shared" si="985"/>
        <v>-1392.4709</v>
      </c>
      <c r="Z117" s="162">
        <f t="shared" ref="Z117:AA117" si="986">+Z176</f>
        <v>-1606.3933</v>
      </c>
      <c r="AA117" s="162">
        <f t="shared" si="986"/>
        <v>-1668.6351</v>
      </c>
      <c r="AB117" s="21">
        <f t="shared" ref="AA117:AD117" si="987">+AB176</f>
        <v>-2267.1304085771858</v>
      </c>
      <c r="AC117" s="21">
        <f t="shared" si="987"/>
        <v>-3068.9862716686421</v>
      </c>
      <c r="AD117" s="21">
        <f t="shared" si="987"/>
        <v>-4239.6265933853892</v>
      </c>
      <c r="AE117" s="21">
        <f t="shared" ref="AE117" si="988">+AE176</f>
        <v>-5535.497274928528</v>
      </c>
      <c r="AL117" s="162">
        <f t="shared" ref="AL117:AM117" si="989">+AL176</f>
        <v>35.207999999999998</v>
      </c>
      <c r="AM117" s="162">
        <f t="shared" si="989"/>
        <v>31.531884881785768</v>
      </c>
      <c r="AN117" s="162">
        <f t="shared" ref="AN117:AO117" si="990">+AN176</f>
        <v>13.759999999999998</v>
      </c>
      <c r="AO117" s="162">
        <f t="shared" si="990"/>
        <v>-3.492615286624158</v>
      </c>
      <c r="AP117" s="162">
        <f t="shared" ref="AP117:CD117" si="991">+AP176</f>
        <v>-51.459000000000003</v>
      </c>
      <c r="AQ117" s="162">
        <f t="shared" si="991"/>
        <v>-81.22210740879072</v>
      </c>
      <c r="AR117" s="162">
        <f t="shared" si="991"/>
        <v>-65.403999999999996</v>
      </c>
      <c r="AS117" s="162">
        <f t="shared" si="991"/>
        <v>-87.248684456705945</v>
      </c>
      <c r="AT117" s="162">
        <f t="shared" si="991"/>
        <v>-133.25700000000001</v>
      </c>
      <c r="AU117" s="162">
        <f t="shared" si="991"/>
        <v>-164.29815693803073</v>
      </c>
      <c r="AV117" s="162">
        <f t="shared" si="991"/>
        <v>-113.89</v>
      </c>
      <c r="AW117" s="162">
        <f t="shared" si="991"/>
        <v>-149.24615070659735</v>
      </c>
      <c r="AX117" s="162">
        <f t="shared" si="991"/>
        <v>-182.45500000000001</v>
      </c>
      <c r="AY117" s="162">
        <f t="shared" si="991"/>
        <v>-224.32016525146963</v>
      </c>
      <c r="AZ117" s="162">
        <f t="shared" si="991"/>
        <v>-189.70099999999999</v>
      </c>
      <c r="BA117" s="162">
        <f t="shared" si="991"/>
        <v>-230.9271770112222</v>
      </c>
      <c r="BB117" s="162">
        <f t="shared" si="991"/>
        <v>-251.52500000000001</v>
      </c>
      <c r="BC117" s="162">
        <f t="shared" si="991"/>
        <v>-303.55380438046836</v>
      </c>
      <c r="BD117" s="162">
        <f t="shared" si="991"/>
        <v>-238.626</v>
      </c>
      <c r="BE117" s="162">
        <f t="shared" si="991"/>
        <v>-301.29299407284435</v>
      </c>
      <c r="BF117" s="162">
        <f t="shared" si="991"/>
        <v>-394.34399999999999</v>
      </c>
      <c r="BG117" s="162">
        <f t="shared" si="991"/>
        <v>-460.19996869538807</v>
      </c>
      <c r="BH117" s="162">
        <f t="shared" si="991"/>
        <v>-407.27800000000002</v>
      </c>
      <c r="BI117" s="162">
        <f t="shared" si="991"/>
        <v>-478.7564787280528</v>
      </c>
      <c r="BJ117" s="162">
        <f t="shared" si="991"/>
        <v>-515.81399999999996</v>
      </c>
      <c r="BK117" s="162">
        <f t="shared" si="991"/>
        <v>-597.86569498202937</v>
      </c>
      <c r="BL117" s="162">
        <f t="shared" si="991"/>
        <v>-446.52199999999999</v>
      </c>
      <c r="BM117" s="162">
        <f t="shared" si="991"/>
        <v>-493.49721192140527</v>
      </c>
      <c r="BN117" s="162">
        <f t="shared" si="991"/>
        <v>-664.22500000000002</v>
      </c>
      <c r="BO117" s="162">
        <f t="shared" si="991"/>
        <v>-763.45378887863569</v>
      </c>
      <c r="BP117" s="162">
        <f t="shared" si="991"/>
        <v>-685.30899999999997</v>
      </c>
      <c r="BQ117" s="162">
        <f t="shared" si="991"/>
        <v>-756.07421169559632</v>
      </c>
      <c r="BR117" s="162">
        <f t="shared" si="991"/>
        <v>-859.61900000000003</v>
      </c>
      <c r="BS117" s="162">
        <f t="shared" si="991"/>
        <v>-939.62658281313895</v>
      </c>
      <c r="BT117" s="162">
        <f t="shared" si="991"/>
        <v>-879.75400000000002</v>
      </c>
      <c r="BU117" s="162">
        <f t="shared" si="991"/>
        <v>-1007.9872033608194</v>
      </c>
      <c r="BV117" s="162">
        <f t="shared" si="991"/>
        <v>-965.20899999999995</v>
      </c>
      <c r="BW117" s="162">
        <f t="shared" si="991"/>
        <v>-1111.7819712089233</v>
      </c>
      <c r="BX117" s="162">
        <f t="shared" si="991"/>
        <v>-961.65099999999995</v>
      </c>
      <c r="BY117" s="162">
        <f t="shared" si="991"/>
        <v>-1107.8392358462256</v>
      </c>
      <c r="BZ117" s="162">
        <f t="shared" si="991"/>
        <v>-1191.5530000000001</v>
      </c>
      <c r="CA117" s="162">
        <f t="shared" si="991"/>
        <v>-1367.5281643689134</v>
      </c>
      <c r="CB117" s="162">
        <f t="shared" si="991"/>
        <v>-1178.549</v>
      </c>
      <c r="CC117" s="162">
        <f t="shared" si="991"/>
        <v>-1355.9610610333698</v>
      </c>
      <c r="CD117" s="162">
        <f t="shared" si="991"/>
        <v>-1392.471</v>
      </c>
      <c r="CE117" s="162">
        <f t="shared" ref="CE117:CF117" si="992">+CE176</f>
        <v>-1556.4666319194475</v>
      </c>
      <c r="CF117" s="162">
        <f t="shared" si="992"/>
        <v>-1316.624</v>
      </c>
      <c r="CG117" s="162">
        <f t="shared" ref="CG117:CH117" si="993">+CG176</f>
        <v>-1530.1647525741134</v>
      </c>
      <c r="CH117" s="162">
        <f t="shared" si="993"/>
        <v>-1606.3933</v>
      </c>
      <c r="CI117" s="162">
        <f t="shared" ref="CI117:CJ117" si="994">+CI176</f>
        <v>-1791.0579886262351</v>
      </c>
      <c r="CJ117" s="162">
        <f t="shared" si="994"/>
        <v>-1269.261</v>
      </c>
      <c r="CK117" s="162">
        <f t="shared" ref="CK117:CL117" si="995">+CK176</f>
        <v>-1303.1197184321563</v>
      </c>
      <c r="CL117" s="162">
        <f t="shared" si="995"/>
        <v>-1668.635</v>
      </c>
      <c r="CM117" s="21">
        <f t="shared" ref="CM117:DB117" si="996">+CM176</f>
        <v>-1838.3173778419873</v>
      </c>
      <c r="CN117" s="21">
        <f t="shared" si="996"/>
        <v>-1958.1448347441171</v>
      </c>
      <c r="CO117" s="21">
        <f t="shared" si="996"/>
        <v>-2101.933465983901</v>
      </c>
      <c r="CP117" s="21">
        <f t="shared" si="996"/>
        <v>-2267.1304085771858</v>
      </c>
      <c r="CQ117" s="21">
        <f t="shared" si="996"/>
        <v>-2469.8444279740511</v>
      </c>
      <c r="CR117" s="21">
        <f t="shared" si="996"/>
        <v>-2648.9642959705202</v>
      </c>
      <c r="CS117" s="21">
        <f t="shared" si="996"/>
        <v>-2849.1111090446452</v>
      </c>
      <c r="CT117" s="21">
        <f t="shared" si="996"/>
        <v>-3068.9862716686421</v>
      </c>
      <c r="CU117" s="21">
        <f t="shared" si="996"/>
        <v>-3355.0884278089688</v>
      </c>
      <c r="CV117" s="21">
        <f t="shared" si="996"/>
        <v>-3641.7606217736411</v>
      </c>
      <c r="CW117" s="21">
        <f t="shared" si="996"/>
        <v>-3937.2857768899917</v>
      </c>
      <c r="CX117" s="21">
        <f t="shared" si="996"/>
        <v>-4239.6265933853892</v>
      </c>
      <c r="CY117" s="21">
        <f t="shared" si="996"/>
        <v>-4571.8331753170551</v>
      </c>
      <c r="CZ117" s="21">
        <f t="shared" si="996"/>
        <v>-4885.9080417784508</v>
      </c>
      <c r="DA117" s="21">
        <f t="shared" si="996"/>
        <v>-5207.2770735640806</v>
      </c>
      <c r="DB117" s="21">
        <f t="shared" si="996"/>
        <v>-5535.497274928528</v>
      </c>
      <c r="DE117" s="22"/>
      <c r="DF117" s="162">
        <v>-1461.0022130773798</v>
      </c>
    </row>
    <row r="118" spans="1:110" s="162" customFormat="1" x14ac:dyDescent="0.2">
      <c r="A118" s="49" t="s">
        <v>342</v>
      </c>
      <c r="B118" s="162">
        <f>+B115+B117</f>
        <v>256.46118999999999</v>
      </c>
      <c r="C118" s="162">
        <f t="shared" ref="C118:W118" si="997">+C115+C117</f>
        <v>146.94549799999999</v>
      </c>
      <c r="D118" s="162">
        <f t="shared" si="997"/>
        <v>216.15</v>
      </c>
      <c r="E118" s="162">
        <f t="shared" si="997"/>
        <v>396.87384999999995</v>
      </c>
      <c r="F118" s="162">
        <f t="shared" si="997"/>
        <v>581.60776249999992</v>
      </c>
      <c r="G118" s="162">
        <f t="shared" si="997"/>
        <v>708.0927999999999</v>
      </c>
      <c r="H118" s="162">
        <f t="shared" si="997"/>
        <v>976.65099999999995</v>
      </c>
      <c r="I118" s="162">
        <f t="shared" si="997"/>
        <v>1169.8245949999998</v>
      </c>
      <c r="J118" s="162">
        <f t="shared" si="997"/>
        <v>694.16091499999993</v>
      </c>
      <c r="K118" s="162">
        <f t="shared" si="997"/>
        <v>1101.9389324999997</v>
      </c>
      <c r="L118" s="162">
        <f t="shared" si="997"/>
        <v>1066.4880649999998</v>
      </c>
      <c r="M118" s="162">
        <f t="shared" si="997"/>
        <v>883.80164749999994</v>
      </c>
      <c r="N118" s="162">
        <f t="shared" si="997"/>
        <v>826.69058499999983</v>
      </c>
      <c r="O118" s="162">
        <f t="shared" si="997"/>
        <v>2031.1292100000001</v>
      </c>
      <c r="P118" s="162">
        <f t="shared" si="997"/>
        <v>4500.0827749999999</v>
      </c>
      <c r="Q118" s="162">
        <f t="shared" si="997"/>
        <v>7280.726099999999</v>
      </c>
      <c r="R118" s="162">
        <f t="shared" si="997"/>
        <v>6177.5254999999988</v>
      </c>
      <c r="S118" s="162">
        <f t="shared" si="997"/>
        <v>6601.9199849999986</v>
      </c>
      <c r="T118" s="162">
        <f t="shared" si="997"/>
        <v>8777.3403749999998</v>
      </c>
      <c r="U118" s="162">
        <f t="shared" si="997"/>
        <v>6180.6581749999996</v>
      </c>
      <c r="V118" s="162">
        <f t="shared" si="997"/>
        <v>18140.965199999999</v>
      </c>
      <c r="W118" s="162">
        <f t="shared" si="997"/>
        <v>57718.564999999988</v>
      </c>
      <c r="X118" s="162">
        <f t="shared" ref="X118:Y118" si="998">+X115+X117</f>
        <v>65842.510979999992</v>
      </c>
      <c r="Y118" s="162">
        <f t="shared" si="998"/>
        <v>55865.324769999999</v>
      </c>
      <c r="Z118" s="162">
        <f t="shared" ref="Z118:AA118" si="999">+Z115+Z117</f>
        <v>54977.348829999988</v>
      </c>
      <c r="AA118" s="162">
        <f t="shared" si="999"/>
        <v>40279.049849999996</v>
      </c>
      <c r="AB118" s="21">
        <f t="shared" ref="AA118:AD118" si="1000">+AB115+AB117</f>
        <v>41072.702549574846</v>
      </c>
      <c r="AC118" s="21">
        <f t="shared" si="1000"/>
        <v>48778.625012982127</v>
      </c>
      <c r="AD118" s="21">
        <f t="shared" si="1000"/>
        <v>53566.756209280175</v>
      </c>
      <c r="AE118" s="21">
        <f t="shared" ref="AE118" si="1001">+AE115+AE117</f>
        <v>58785.659239268745</v>
      </c>
      <c r="AL118" s="162">
        <f t="shared" ref="AL118" si="1002">+AL115+AL117</f>
        <v>804.52655000000004</v>
      </c>
      <c r="AM118" s="162">
        <f t="shared" ref="AM118:AO118" si="1003">+AM115+AM117</f>
        <v>682.02653738178583</v>
      </c>
      <c r="AN118" s="162">
        <f t="shared" si="1003"/>
        <v>701.94191749999993</v>
      </c>
      <c r="AO118" s="162">
        <f t="shared" si="1003"/>
        <v>1328.9546547133759</v>
      </c>
      <c r="AP118" s="162">
        <f t="shared" ref="AP118:CD118" si="1004">+AP115+AP117</f>
        <v>2030.9959900000001</v>
      </c>
      <c r="AQ118" s="162">
        <f t="shared" si="1004"/>
        <v>1879.1386025912093</v>
      </c>
      <c r="AR118" s="162">
        <f t="shared" si="1004"/>
        <v>2112.6707449999999</v>
      </c>
      <c r="AS118" s="162">
        <f t="shared" si="1004"/>
        <v>1980.2559855432939</v>
      </c>
      <c r="AT118" s="162">
        <f t="shared" si="1004"/>
        <v>4499.7848750000003</v>
      </c>
      <c r="AU118" s="162">
        <f t="shared" si="1004"/>
        <v>4214.5882780619695</v>
      </c>
      <c r="AV118" s="162">
        <f t="shared" si="1004"/>
        <v>7102.7540499999996</v>
      </c>
      <c r="AW118" s="162">
        <f t="shared" si="1004"/>
        <v>7107.8883492934028</v>
      </c>
      <c r="AX118" s="162">
        <f t="shared" si="1004"/>
        <v>7280.2464</v>
      </c>
      <c r="AY118" s="162">
        <f t="shared" si="1004"/>
        <v>6204.3174347485301</v>
      </c>
      <c r="AZ118" s="162">
        <f t="shared" si="1004"/>
        <v>5363.7199500000006</v>
      </c>
      <c r="BA118" s="162">
        <f t="shared" si="1004"/>
        <v>4437.3102429887786</v>
      </c>
      <c r="BB118" s="162">
        <f t="shared" si="1004"/>
        <v>4600.4767700000002</v>
      </c>
      <c r="BC118" s="162">
        <f t="shared" si="1004"/>
        <v>4874.3960881195326</v>
      </c>
      <c r="BD118" s="162">
        <f t="shared" si="1004"/>
        <v>5526.5911500000002</v>
      </c>
      <c r="BE118" s="162">
        <f t="shared" si="1004"/>
        <v>5827.7152759271557</v>
      </c>
      <c r="BF118" s="162">
        <f t="shared" si="1004"/>
        <v>6601.4713650000003</v>
      </c>
      <c r="BG118" s="162">
        <f t="shared" si="1004"/>
        <v>7996.0747813046128</v>
      </c>
      <c r="BH118" s="162">
        <f t="shared" si="1004"/>
        <v>8885.280275000001</v>
      </c>
      <c r="BI118" s="162">
        <f t="shared" si="1004"/>
        <v>7062.7455662719485</v>
      </c>
      <c r="BJ118" s="162">
        <f t="shared" si="1004"/>
        <v>5974.8051350000005</v>
      </c>
      <c r="BK118" s="162">
        <f t="shared" si="1004"/>
        <v>5637.6636050179704</v>
      </c>
      <c r="BL118" s="162">
        <f t="shared" si="1004"/>
        <v>5340.4976999999999</v>
      </c>
      <c r="BM118" s="162">
        <f t="shared" si="1004"/>
        <v>5106.6434880785946</v>
      </c>
      <c r="BN118" s="162">
        <f t="shared" si="1004"/>
        <v>6180.2183750000004</v>
      </c>
      <c r="BO118" s="162">
        <f t="shared" si="1004"/>
        <v>5108.5958561213647</v>
      </c>
      <c r="BP118" s="162">
        <f t="shared" si="1004"/>
        <v>7599.6600000000008</v>
      </c>
      <c r="BQ118" s="162">
        <f t="shared" si="1004"/>
        <v>11002.352468304403</v>
      </c>
      <c r="BR118" s="162">
        <f t="shared" si="1004"/>
        <v>18139.746000000003</v>
      </c>
      <c r="BS118" s="162">
        <f t="shared" si="1004"/>
        <v>26188.974917186861</v>
      </c>
      <c r="BT118" s="162">
        <f t="shared" si="1004"/>
        <v>36325.674644999999</v>
      </c>
      <c r="BU118" s="162">
        <f t="shared" si="1004"/>
        <v>41226.666796639183</v>
      </c>
      <c r="BV118" s="162">
        <f t="shared" si="1004"/>
        <v>57714.796999999999</v>
      </c>
      <c r="BW118" s="162">
        <f t="shared" si="1004"/>
        <v>56110.567828791078</v>
      </c>
      <c r="BX118" s="162">
        <f t="shared" si="1004"/>
        <v>66068.108720000004</v>
      </c>
      <c r="BY118" s="162">
        <f t="shared" si="1004"/>
        <v>52969.959924153787</v>
      </c>
      <c r="BZ118" s="162">
        <f t="shared" si="1004"/>
        <v>41334.009310000001</v>
      </c>
      <c r="CA118" s="162">
        <f t="shared" si="1004"/>
        <v>48155.406835631089</v>
      </c>
      <c r="CB118" s="162">
        <f t="shared" si="1004"/>
        <v>47721.144534999999</v>
      </c>
      <c r="CC118" s="162">
        <f t="shared" si="1004"/>
        <v>55898.158168966635</v>
      </c>
      <c r="CD118" s="162">
        <f t="shared" si="1004"/>
        <v>54349.797120000003</v>
      </c>
      <c r="CE118" s="162">
        <f t="shared" ref="CE118:CF118" si="1005">+CE115+CE117</f>
        <v>49491.712473080552</v>
      </c>
      <c r="CF118" s="162">
        <f t="shared" si="1005"/>
        <v>55263.484969999998</v>
      </c>
      <c r="CG118" s="162">
        <f t="shared" ref="CG118:CH118" si="1006">+CG115+CG117</f>
        <v>48459.967747425886</v>
      </c>
      <c r="CH118" s="162">
        <f t="shared" si="1006"/>
        <v>41375.465234999996</v>
      </c>
      <c r="CI118" s="162">
        <f t="shared" ref="CI118:CJ118" si="1007">+CI115+CI117</f>
        <v>40153.933561373764</v>
      </c>
      <c r="CJ118" s="162">
        <f t="shared" si="1007"/>
        <v>38742.155830000003</v>
      </c>
      <c r="CK118" s="162">
        <f t="shared" ref="CK118:CL118" si="1008">+CK115+CK117</f>
        <v>33731.086411567849</v>
      </c>
      <c r="CL118" s="162">
        <f t="shared" si="1008"/>
        <v>35397.768514999996</v>
      </c>
      <c r="CM118" s="21">
        <f t="shared" ref="CM118:DB118" si="1009">+CM115+CM117</f>
        <v>37470.178518588131</v>
      </c>
      <c r="CN118" s="21">
        <f t="shared" si="1009"/>
        <v>39866.18147969577</v>
      </c>
      <c r="CO118" s="21">
        <f t="shared" si="1009"/>
        <v>40672.319999472857</v>
      </c>
      <c r="CP118" s="21">
        <f t="shared" si="1009"/>
        <v>41072.702549574846</v>
      </c>
      <c r="CQ118" s="21">
        <f t="shared" si="1009"/>
        <v>43043.678357311423</v>
      </c>
      <c r="CR118" s="21">
        <f t="shared" si="1009"/>
        <v>45043.621973931011</v>
      </c>
      <c r="CS118" s="21">
        <f t="shared" si="1009"/>
        <v>46802.973033588692</v>
      </c>
      <c r="CT118" s="21">
        <f t="shared" si="1009"/>
        <v>48778.625012982127</v>
      </c>
      <c r="CU118" s="21">
        <f t="shared" si="1009"/>
        <v>50174.531671315242</v>
      </c>
      <c r="CV118" s="21">
        <f t="shared" si="1009"/>
        <v>51466.310606627885</v>
      </c>
      <c r="CW118" s="21">
        <f t="shared" si="1009"/>
        <v>52594.052263619014</v>
      </c>
      <c r="CX118" s="21">
        <f t="shared" si="1009"/>
        <v>53566.756209280175</v>
      </c>
      <c r="CY118" s="21">
        <f t="shared" si="1009"/>
        <v>55207.670647333645</v>
      </c>
      <c r="CZ118" s="21">
        <f t="shared" si="1009"/>
        <v>56612.902566321041</v>
      </c>
      <c r="DA118" s="21">
        <f t="shared" si="1009"/>
        <v>57789.813391418618</v>
      </c>
      <c r="DB118" s="21">
        <f t="shared" si="1009"/>
        <v>58785.659239268745</v>
      </c>
      <c r="DE118" s="22"/>
      <c r="DF118" s="162">
        <v>35603.021321922621</v>
      </c>
    </row>
    <row r="119" spans="1:110" s="162" customFormat="1" x14ac:dyDescent="0.2">
      <c r="A119" s="49" t="s">
        <v>345</v>
      </c>
      <c r="B119" s="162">
        <f>+B116+B117</f>
        <v>102.48279099999999</v>
      </c>
      <c r="C119" s="162">
        <f t="shared" ref="C119:W119" si="1010">+C116+C117</f>
        <v>43.722364999999996</v>
      </c>
      <c r="D119" s="162">
        <f t="shared" si="1010"/>
        <v>98.214067499999999</v>
      </c>
      <c r="E119" s="162">
        <f t="shared" si="1010"/>
        <v>184.44107999999997</v>
      </c>
      <c r="F119" s="162">
        <f t="shared" si="1010"/>
        <v>219.50644999999997</v>
      </c>
      <c r="G119" s="162">
        <f t="shared" si="1010"/>
        <v>503.13566999999995</v>
      </c>
      <c r="H119" s="162">
        <f t="shared" si="1010"/>
        <v>437.78194999999994</v>
      </c>
      <c r="I119" s="162">
        <f t="shared" si="1010"/>
        <v>463.68809999999996</v>
      </c>
      <c r="J119" s="162">
        <f t="shared" si="1010"/>
        <v>230.35974999999999</v>
      </c>
      <c r="K119" s="162">
        <f t="shared" si="1010"/>
        <v>274.47902999999997</v>
      </c>
      <c r="L119" s="162">
        <f t="shared" si="1010"/>
        <v>702.36209999999994</v>
      </c>
      <c r="M119" s="162">
        <f t="shared" si="1010"/>
        <v>527.93003499999986</v>
      </c>
      <c r="N119" s="162">
        <f t="shared" si="1010"/>
        <v>604.91326499999991</v>
      </c>
      <c r="O119" s="162">
        <f t="shared" si="1010"/>
        <v>434.76858499999992</v>
      </c>
      <c r="P119" s="162">
        <f t="shared" si="1010"/>
        <v>1336.9525999999998</v>
      </c>
      <c r="Q119" s="162">
        <f t="shared" si="1010"/>
        <v>2863.8687999999997</v>
      </c>
      <c r="R119" s="162">
        <f t="shared" si="1010"/>
        <v>2930.7616024999998</v>
      </c>
      <c r="S119" s="162">
        <f t="shared" si="1010"/>
        <v>3616.0247749999999</v>
      </c>
      <c r="T119" s="162">
        <f t="shared" si="1010"/>
        <v>4629.9175999999998</v>
      </c>
      <c r="U119" s="162">
        <f t="shared" si="1010"/>
        <v>2456.8549999999996</v>
      </c>
      <c r="V119" s="162">
        <f t="shared" si="1010"/>
        <v>2815.9031999999997</v>
      </c>
      <c r="W119" s="162">
        <f t="shared" si="1010"/>
        <v>15854.980999999998</v>
      </c>
      <c r="X119" s="162">
        <f t="shared" ref="X119:Y119" si="1011">+X116+X117</f>
        <v>34368.197669999994</v>
      </c>
      <c r="Y119" s="162">
        <f t="shared" si="1011"/>
        <v>35836.527784999998</v>
      </c>
      <c r="Z119" s="162">
        <f t="shared" ref="Z119:AA119" si="1012">+Z116+Z117</f>
        <v>30538.858699999997</v>
      </c>
      <c r="AA119" s="162">
        <f t="shared" si="1012"/>
        <v>23063.273899999997</v>
      </c>
      <c r="AB119" s="21">
        <f t="shared" ref="AA119:AD119" si="1013">+AB116+AB117</f>
        <v>23960.775491275348</v>
      </c>
      <c r="AC119" s="21">
        <f t="shared" si="1013"/>
        <v>27299.115217853679</v>
      </c>
      <c r="AD119" s="21">
        <f t="shared" si="1013"/>
        <v>31477.075529073303</v>
      </c>
      <c r="AE119" s="21">
        <f t="shared" ref="AE119" si="1014">+AE116+AE117</f>
        <v>34351.330375038822</v>
      </c>
      <c r="AL119" s="162">
        <f t="shared" ref="AL119:AM119" si="1015">+AL116+AL117</f>
        <v>604.87748499999998</v>
      </c>
      <c r="AM119" s="162">
        <f t="shared" si="1015"/>
        <v>561.17811738178591</v>
      </c>
      <c r="AN119" s="162">
        <f t="shared" ref="AN119:AO119" si="1016">+AN116+AN117</f>
        <v>499.95686499999999</v>
      </c>
      <c r="AO119" s="162">
        <f t="shared" si="1016"/>
        <v>557.14438471337587</v>
      </c>
      <c r="AP119" s="162">
        <f t="shared" ref="AP119:CD119" si="1017">+AP116+AP117</f>
        <v>1019.9806000000001</v>
      </c>
      <c r="AQ119" s="162">
        <f t="shared" si="1017"/>
        <v>1388.8926925912094</v>
      </c>
      <c r="AR119" s="162">
        <f t="shared" si="1017"/>
        <v>1683.7834400000002</v>
      </c>
      <c r="AS119" s="162">
        <f t="shared" si="1017"/>
        <v>1629.2349305432942</v>
      </c>
      <c r="AT119" s="162">
        <f t="shared" si="1017"/>
        <v>1724.7874574999998</v>
      </c>
      <c r="AU119" s="162">
        <f t="shared" si="1017"/>
        <v>2881.8295430619692</v>
      </c>
      <c r="AV119" s="162">
        <f t="shared" si="1017"/>
        <v>3576.9702500000003</v>
      </c>
      <c r="AW119" s="162">
        <f t="shared" si="1017"/>
        <v>5111.8648967934032</v>
      </c>
      <c r="AX119" s="162">
        <f t="shared" si="1017"/>
        <v>4791.7967825000005</v>
      </c>
      <c r="AY119" s="162">
        <f t="shared" si="1017"/>
        <v>4796.9628322485305</v>
      </c>
      <c r="AZ119" s="162">
        <f t="shared" si="1017"/>
        <v>4082.6644050000004</v>
      </c>
      <c r="BA119" s="162">
        <f t="shared" si="1017"/>
        <v>2951.1549954887778</v>
      </c>
      <c r="BB119" s="162">
        <f t="shared" si="1017"/>
        <v>4021.9305325</v>
      </c>
      <c r="BC119" s="162">
        <f t="shared" si="1017"/>
        <v>3706.5580706195315</v>
      </c>
      <c r="BD119" s="162">
        <f t="shared" si="1017"/>
        <v>4691.7092174999998</v>
      </c>
      <c r="BE119" s="162">
        <f t="shared" si="1017"/>
        <v>4651.0005059271562</v>
      </c>
      <c r="BF119" s="162">
        <f t="shared" si="1017"/>
        <v>5380.2170999999998</v>
      </c>
      <c r="BG119" s="162">
        <f t="shared" si="1017"/>
        <v>5688.1191313046129</v>
      </c>
      <c r="BH119" s="162">
        <f t="shared" si="1017"/>
        <v>6633.6997899999997</v>
      </c>
      <c r="BI119" s="162">
        <f t="shared" si="1017"/>
        <v>5289.5753212719474</v>
      </c>
      <c r="BJ119" s="162">
        <f t="shared" si="1017"/>
        <v>4629.5878000000002</v>
      </c>
      <c r="BK119" s="162">
        <f t="shared" si="1017"/>
        <v>4523.864765017971</v>
      </c>
      <c r="BL119" s="162">
        <f t="shared" si="1017"/>
        <v>3247.4529000000002</v>
      </c>
      <c r="BM119" s="162">
        <f t="shared" si="1017"/>
        <v>3306.3757880785947</v>
      </c>
      <c r="BN119" s="162">
        <f t="shared" si="1017"/>
        <v>2456.6543000000001</v>
      </c>
      <c r="BO119" s="162">
        <f t="shared" si="1017"/>
        <v>2911.8332111213645</v>
      </c>
      <c r="BP119" s="162">
        <f t="shared" si="1017"/>
        <v>4775.2953800000005</v>
      </c>
      <c r="BQ119" s="162">
        <f t="shared" si="1017"/>
        <v>7161.366088304404</v>
      </c>
      <c r="BR119" s="162">
        <f t="shared" si="1017"/>
        <v>10589.8344</v>
      </c>
      <c r="BS119" s="162">
        <f t="shared" si="1017"/>
        <v>15879.483417186862</v>
      </c>
      <c r="BT119" s="162">
        <f t="shared" si="1017"/>
        <v>24699.620590000002</v>
      </c>
      <c r="BU119" s="162">
        <f t="shared" si="1017"/>
        <v>31787.719971639184</v>
      </c>
      <c r="BV119" s="162">
        <f t="shared" si="1017"/>
        <v>35040.144999999997</v>
      </c>
      <c r="BW119" s="162">
        <f t="shared" si="1017"/>
        <v>38951.649513791075</v>
      </c>
      <c r="BX119" s="162">
        <f t="shared" si="1017"/>
        <v>46599.365965000005</v>
      </c>
      <c r="BY119" s="162">
        <f t="shared" si="1017"/>
        <v>34449.628094153784</v>
      </c>
      <c r="BZ119" s="162">
        <f t="shared" si="1017"/>
        <v>35455.730365000003</v>
      </c>
      <c r="CA119" s="162">
        <f t="shared" si="1017"/>
        <v>35859.080100631087</v>
      </c>
      <c r="CB119" s="162">
        <f t="shared" si="1017"/>
        <v>42364.569465</v>
      </c>
      <c r="CC119" s="162">
        <f t="shared" si="1017"/>
        <v>43308.431403966635</v>
      </c>
      <c r="CD119" s="162">
        <f t="shared" si="1017"/>
        <v>44330.591000000008</v>
      </c>
      <c r="CE119" s="162">
        <f t="shared" ref="CE119:CF119" si="1018">+CE116+CE117</f>
        <v>38352.166748080563</v>
      </c>
      <c r="CF119" s="162">
        <f t="shared" si="1018"/>
        <v>39919.784674999995</v>
      </c>
      <c r="CG119" s="162">
        <f t="shared" ref="CG119:CH119" si="1019">+CG116+CG117</f>
        <v>37621.297212425889</v>
      </c>
      <c r="CH119" s="162">
        <f t="shared" si="1019"/>
        <v>30536.794700000002</v>
      </c>
      <c r="CI119" s="162">
        <f t="shared" ref="CI119:CJ119" si="1020">+CI116+CI117</f>
        <v>26870.262776373769</v>
      </c>
      <c r="CJ119" s="162">
        <f t="shared" si="1020"/>
        <v>31191.932765000005</v>
      </c>
      <c r="CK119" s="162">
        <f t="shared" ref="CK119:CL119" si="1021">+CK116+CK117</f>
        <v>28941.377641567844</v>
      </c>
      <c r="CL119" s="162">
        <f t="shared" si="1021"/>
        <v>23063.273999999998</v>
      </c>
      <c r="CM119" s="21">
        <f t="shared" ref="CM119:DB119" si="1022">+CM116+CM117</f>
        <v>24389.588522010545</v>
      </c>
      <c r="CN119" s="21">
        <f t="shared" si="1022"/>
        <v>25948.404878837737</v>
      </c>
      <c r="CO119" s="21">
        <f t="shared" si="1022"/>
        <v>26438.438513253459</v>
      </c>
      <c r="CP119" s="21">
        <f t="shared" si="1022"/>
        <v>26650.614588248598</v>
      </c>
      <c r="CQ119" s="21">
        <f t="shared" si="1022"/>
        <v>27898.257061548273</v>
      </c>
      <c r="CR119" s="21">
        <f t="shared" si="1022"/>
        <v>29173.079165152529</v>
      </c>
      <c r="CS119" s="21">
        <f t="shared" si="1022"/>
        <v>30280.373012041131</v>
      </c>
      <c r="CT119" s="21">
        <f t="shared" si="1022"/>
        <v>31525.424908267923</v>
      </c>
      <c r="CU119" s="21">
        <f t="shared" si="1022"/>
        <v>32361.613694649724</v>
      </c>
      <c r="CV119" s="21">
        <f t="shared" si="1022"/>
        <v>33128.135390252355</v>
      </c>
      <c r="CW119" s="21">
        <f t="shared" si="1022"/>
        <v>33782.260105146117</v>
      </c>
      <c r="CX119" s="21">
        <f t="shared" si="1022"/>
        <v>34330.670590050147</v>
      </c>
      <c r="CY119" s="21">
        <f t="shared" si="1022"/>
        <v>35314.994474650295</v>
      </c>
      <c r="CZ119" s="21">
        <f t="shared" si="1022"/>
        <v>36148.096969046012</v>
      </c>
      <c r="DA119" s="21">
        <f t="shared" si="1022"/>
        <v>36826.428948500194</v>
      </c>
      <c r="DB119" s="21">
        <f t="shared" si="1022"/>
        <v>37381.668644341917</v>
      </c>
      <c r="DE119" s="22"/>
      <c r="DF119" s="162">
        <v>23269.31878692262</v>
      </c>
    </row>
    <row r="120" spans="1:110" s="162" customFormat="1" x14ac:dyDescent="0.2">
      <c r="A120" s="49" t="s">
        <v>13</v>
      </c>
      <c r="B120" s="162">
        <f t="shared" ref="B120:AE120" si="1023">+B36</f>
        <v>21.45059999999998</v>
      </c>
      <c r="C120" s="162">
        <f t="shared" si="1023"/>
        <v>22.654200000000003</v>
      </c>
      <c r="D120" s="162">
        <f t="shared" si="1023"/>
        <v>18.002800000000008</v>
      </c>
      <c r="E120" s="162">
        <f t="shared" si="1023"/>
        <v>23.113000000000028</v>
      </c>
      <c r="F120" s="162">
        <f t="shared" si="1023"/>
        <v>36.128500000000017</v>
      </c>
      <c r="G120" s="162">
        <f t="shared" si="1023"/>
        <v>47.067099999999982</v>
      </c>
      <c r="H120" s="162">
        <f t="shared" si="1023"/>
        <v>69.5548</v>
      </c>
      <c r="I120" s="162">
        <f t="shared" si="1023"/>
        <v>75.201999999999998</v>
      </c>
      <c r="J120" s="162">
        <f t="shared" si="1023"/>
        <v>81.861299999999972</v>
      </c>
      <c r="K120" s="162">
        <f t="shared" si="1023"/>
        <v>68.362700000000018</v>
      </c>
      <c r="L120" s="162">
        <f t="shared" si="1023"/>
        <v>154.2937</v>
      </c>
      <c r="M120" s="162">
        <f t="shared" si="1023"/>
        <v>191.91019999999997</v>
      </c>
      <c r="N120" s="162">
        <f t="shared" si="1023"/>
        <v>72.796999999999912</v>
      </c>
      <c r="O120" s="162">
        <f t="shared" si="1023"/>
        <v>112.91480000000001</v>
      </c>
      <c r="P120" s="162">
        <f t="shared" si="1023"/>
        <v>168.65100000000007</v>
      </c>
      <c r="Q120" s="162">
        <f t="shared" si="1023"/>
        <v>247.72090000000014</v>
      </c>
      <c r="R120" s="162">
        <f t="shared" si="1023"/>
        <v>273.58990000000006</v>
      </c>
      <c r="S120" s="162">
        <f t="shared" si="1023"/>
        <v>345.22699999999975</v>
      </c>
      <c r="T120" s="162">
        <f t="shared" si="1023"/>
        <v>416.07109999999989</v>
      </c>
      <c r="U120" s="162">
        <f t="shared" si="1023"/>
        <v>337.94280000000003</v>
      </c>
      <c r="V120" s="162">
        <f t="shared" si="1023"/>
        <v>523.52070000000003</v>
      </c>
      <c r="W120" s="162">
        <f t="shared" si="1023"/>
        <v>766.73879999999986</v>
      </c>
      <c r="X120" s="162">
        <f t="shared" si="1023"/>
        <v>959.05259999999953</v>
      </c>
      <c r="Y120" s="162">
        <f t="shared" si="1023"/>
        <v>1047.2565</v>
      </c>
      <c r="Z120" s="162">
        <f t="shared" si="1023"/>
        <v>973.38929999999937</v>
      </c>
      <c r="AA120" s="162">
        <f t="shared" ref="AA120" si="1024">+AA36</f>
        <v>839.19459999999981</v>
      </c>
      <c r="AB120" s="21">
        <f t="shared" si="1023"/>
        <v>1029.6919355297878</v>
      </c>
      <c r="AC120" s="21">
        <f t="shared" si="1023"/>
        <v>1269.946334175932</v>
      </c>
      <c r="AD120" s="21">
        <f t="shared" si="1023"/>
        <v>1392.966068756783</v>
      </c>
      <c r="AE120" s="21">
        <f t="shared" si="1023"/>
        <v>1440.5433309393088</v>
      </c>
      <c r="AL120" s="162">
        <f t="shared" ref="AL120:BQ120" si="1025">+SUM(AI36:AL36)</f>
        <v>65.858000000000018</v>
      </c>
      <c r="AM120" s="162">
        <f t="shared" si="1025"/>
        <v>66.214999999999975</v>
      </c>
      <c r="AN120" s="162">
        <f t="shared" si="1025"/>
        <v>81.183999999999941</v>
      </c>
      <c r="AO120" s="162">
        <f t="shared" si="1025"/>
        <v>107.04399999999993</v>
      </c>
      <c r="AP120" s="162">
        <f t="shared" si="1025"/>
        <v>134.11799999999994</v>
      </c>
      <c r="AQ120" s="162">
        <f t="shared" si="1025"/>
        <v>158.29699999999997</v>
      </c>
      <c r="AR120" s="162">
        <f t="shared" si="1025"/>
        <v>166.23099999999999</v>
      </c>
      <c r="AS120" s="162">
        <f t="shared" si="1025"/>
        <v>172.566</v>
      </c>
      <c r="AT120" s="162">
        <f t="shared" si="1025"/>
        <v>169.95300000000003</v>
      </c>
      <c r="AU120" s="162">
        <f t="shared" si="1025"/>
        <v>184.56900000000005</v>
      </c>
      <c r="AV120" s="162">
        <f t="shared" si="1025"/>
        <v>205.48200000000003</v>
      </c>
      <c r="AW120" s="162">
        <f t="shared" si="1025"/>
        <v>221.86100000000008</v>
      </c>
      <c r="AX120" s="162">
        <f t="shared" si="1025"/>
        <v>243.27900000000002</v>
      </c>
      <c r="AY120" s="162">
        <f t="shared" si="1025"/>
        <v>257.77700000000004</v>
      </c>
      <c r="AZ120" s="162">
        <f t="shared" si="1025"/>
        <v>267.50700000000001</v>
      </c>
      <c r="BA120" s="162">
        <f t="shared" si="1025"/>
        <v>273.75299999999993</v>
      </c>
      <c r="BB120" s="162">
        <f t="shared" si="1025"/>
        <v>284.625</v>
      </c>
      <c r="BC120" s="162">
        <f t="shared" si="1025"/>
        <v>291.27800000000002</v>
      </c>
      <c r="BD120" s="162">
        <f t="shared" si="1025"/>
        <v>304.27300000000002</v>
      </c>
      <c r="BE120" s="162">
        <f t="shared" si="1025"/>
        <v>323.21500000000003</v>
      </c>
      <c r="BF120" s="162">
        <f t="shared" si="1025"/>
        <v>342.79399999999998</v>
      </c>
      <c r="BG120" s="162">
        <f t="shared" si="1025"/>
        <v>375.86899999999991</v>
      </c>
      <c r="BH120" s="162">
        <f t="shared" si="1025"/>
        <v>398.57899999999989</v>
      </c>
      <c r="BI120" s="162">
        <f t="shared" si="1025"/>
        <v>399.90299999999996</v>
      </c>
      <c r="BJ120" s="162">
        <f t="shared" si="1025"/>
        <v>403.27599999999995</v>
      </c>
      <c r="BK120" s="162">
        <f t="shared" si="1025"/>
        <v>365.49099999999999</v>
      </c>
      <c r="BL120" s="162">
        <f t="shared" si="1025"/>
        <v>329.11400000000003</v>
      </c>
      <c r="BM120" s="162">
        <f t="shared" si="1025"/>
        <v>331.738</v>
      </c>
      <c r="BN120" s="162">
        <f t="shared" si="1025"/>
        <v>341.87100000000004</v>
      </c>
      <c r="BO120" s="162">
        <f t="shared" si="1025"/>
        <v>365.84700000000004</v>
      </c>
      <c r="BP120" s="162">
        <f t="shared" si="1025"/>
        <v>413.55500000000001</v>
      </c>
      <c r="BQ120" s="162">
        <f t="shared" si="1025"/>
        <v>462.97399999999999</v>
      </c>
      <c r="BR120" s="162">
        <f t="shared" ref="BR120:CW120" si="1026">+SUM(BO36:BR36)</f>
        <v>518.44999999999982</v>
      </c>
      <c r="BS120" s="162">
        <f t="shared" si="1026"/>
        <v>575.72699999999986</v>
      </c>
      <c r="BT120" s="162">
        <f t="shared" si="1026"/>
        <v>636.57299999999987</v>
      </c>
      <c r="BU120" s="162">
        <f t="shared" si="1026"/>
        <v>702.06299999999999</v>
      </c>
      <c r="BV120" s="162">
        <f t="shared" si="1026"/>
        <v>759.23100000000011</v>
      </c>
      <c r="BW120" s="162">
        <f t="shared" si="1026"/>
        <v>847.39700000000016</v>
      </c>
      <c r="BX120" s="162">
        <f t="shared" si="1026"/>
        <v>895.04100000000017</v>
      </c>
      <c r="BY120" s="162">
        <f t="shared" si="1026"/>
        <v>932.79700000000014</v>
      </c>
      <c r="BZ120" s="162">
        <f t="shared" si="1026"/>
        <v>961.27700000000016</v>
      </c>
      <c r="CA120" s="162">
        <f t="shared" si="1026"/>
        <v>974.58600000000013</v>
      </c>
      <c r="CB120" s="162">
        <f t="shared" si="1026"/>
        <v>1011.5910000000002</v>
      </c>
      <c r="CC120" s="162">
        <f t="shared" si="1026"/>
        <v>1034.8810000000003</v>
      </c>
      <c r="CD120" s="162">
        <f t="shared" si="1026"/>
        <v>1046.4349999999999</v>
      </c>
      <c r="CE120" s="162">
        <f t="shared" si="1026"/>
        <v>1047.24</v>
      </c>
      <c r="CF120" s="162">
        <f t="shared" si="1026"/>
        <v>1050.1009999999999</v>
      </c>
      <c r="CG120" s="162">
        <f t="shared" si="1026"/>
        <v>1026.5669999999998</v>
      </c>
      <c r="CH120" s="162">
        <f t="shared" si="1026"/>
        <v>972.94599999999991</v>
      </c>
      <c r="CI120" s="162">
        <f t="shared" si="1026"/>
        <v>907.38599999999997</v>
      </c>
      <c r="CJ120" s="162">
        <f t="shared" si="1026"/>
        <v>834.30600000000004</v>
      </c>
      <c r="CK120" s="162">
        <f t="shared" si="1026"/>
        <v>809.9380000000001</v>
      </c>
      <c r="CL120" s="162">
        <f t="shared" si="1026"/>
        <v>846.84800000000007</v>
      </c>
      <c r="CM120" s="21">
        <f t="shared" si="1026"/>
        <v>890.74207922784296</v>
      </c>
      <c r="CN120" s="21">
        <f t="shared" si="1026"/>
        <v>945.94527368342847</v>
      </c>
      <c r="CO120" s="21">
        <f t="shared" si="1026"/>
        <v>991.93057539707888</v>
      </c>
      <c r="CP120" s="21">
        <f t="shared" si="1026"/>
        <v>1029.6919355297878</v>
      </c>
      <c r="CQ120" s="21">
        <f t="shared" si="1026"/>
        <v>1089.9254793450173</v>
      </c>
      <c r="CR120" s="21">
        <f t="shared" si="1026"/>
        <v>1150.5252566026866</v>
      </c>
      <c r="CS120" s="21">
        <f t="shared" si="1026"/>
        <v>1209.1192734791202</v>
      </c>
      <c r="CT120" s="21">
        <f t="shared" si="1026"/>
        <v>1269.9463341759315</v>
      </c>
      <c r="CU120" s="21">
        <f t="shared" si="1026"/>
        <v>1316.1419160865757</v>
      </c>
      <c r="CV120" s="21">
        <f t="shared" si="1026"/>
        <v>1352.5475899738071</v>
      </c>
      <c r="CW120" s="21">
        <f t="shared" si="1026"/>
        <v>1378.2496857072722</v>
      </c>
      <c r="CX120" s="21">
        <f t="shared" ref="CX120:DB120" si="1027">+SUM(CU36:CX36)</f>
        <v>1392.9660687567825</v>
      </c>
      <c r="CY120" s="21">
        <f t="shared" si="1027"/>
        <v>1410.4325174373053</v>
      </c>
      <c r="CZ120" s="21">
        <f t="shared" si="1027"/>
        <v>1423.8408028903204</v>
      </c>
      <c r="DA120" s="21">
        <f t="shared" si="1027"/>
        <v>1433.6418629883069</v>
      </c>
      <c r="DB120" s="21">
        <f t="shared" si="1027"/>
        <v>1440.5433309393084</v>
      </c>
      <c r="DE120" s="22"/>
      <c r="DF120" s="162">
        <v>820.9205568935057</v>
      </c>
    </row>
    <row r="121" spans="1:110" s="162" customFormat="1" x14ac:dyDescent="0.2">
      <c r="A121" s="49" t="s">
        <v>343</v>
      </c>
      <c r="B121" s="162">
        <f>+B118/B120</f>
        <v>11.955898203313671</v>
      </c>
      <c r="C121" s="162">
        <f t="shared" ref="C121:W121" si="1028">+C118/C120</f>
        <v>6.4864571690900572</v>
      </c>
      <c r="D121" s="162">
        <f t="shared" si="1028"/>
        <v>12.00646566089719</v>
      </c>
      <c r="E121" s="162">
        <f t="shared" si="1028"/>
        <v>17.171022801021046</v>
      </c>
      <c r="F121" s="162">
        <f t="shared" si="1028"/>
        <v>16.098309160358156</v>
      </c>
      <c r="G121" s="162">
        <f t="shared" si="1028"/>
        <v>15.044326079150833</v>
      </c>
      <c r="H121" s="162">
        <f t="shared" si="1028"/>
        <v>14.041460833759855</v>
      </c>
      <c r="I121" s="162">
        <f t="shared" si="1028"/>
        <v>15.55576440786149</v>
      </c>
      <c r="J121" s="162">
        <f t="shared" si="1028"/>
        <v>8.4797201485928042</v>
      </c>
      <c r="K121" s="162">
        <f t="shared" si="1028"/>
        <v>16.119008355433582</v>
      </c>
      <c r="L121" s="162">
        <f t="shared" si="1028"/>
        <v>6.9120648801603677</v>
      </c>
      <c r="M121" s="162">
        <f t="shared" si="1028"/>
        <v>4.6052875120759609</v>
      </c>
      <c r="N121" s="162">
        <f t="shared" si="1028"/>
        <v>11.356107875324543</v>
      </c>
      <c r="O121" s="162">
        <f t="shared" si="1028"/>
        <v>17.98815753116509</v>
      </c>
      <c r="P121" s="162">
        <f t="shared" si="1028"/>
        <v>26.682811101031113</v>
      </c>
      <c r="Q121" s="162">
        <f t="shared" si="1028"/>
        <v>29.390843081871552</v>
      </c>
      <c r="R121" s="162">
        <f t="shared" si="1028"/>
        <v>22.579508600280924</v>
      </c>
      <c r="S121" s="162">
        <f t="shared" si="1028"/>
        <v>19.123417302238828</v>
      </c>
      <c r="T121" s="162">
        <f t="shared" si="1028"/>
        <v>21.095770350307923</v>
      </c>
      <c r="U121" s="162">
        <f t="shared" si="1028"/>
        <v>18.289066004661141</v>
      </c>
      <c r="V121" s="162">
        <f t="shared" si="1028"/>
        <v>34.651858465195353</v>
      </c>
      <c r="W121" s="162">
        <f t="shared" si="1028"/>
        <v>75.278002104497645</v>
      </c>
      <c r="X121" s="162">
        <f t="shared" ref="X121:Y121" si="1029">+X118/X120</f>
        <v>68.653701559226292</v>
      </c>
      <c r="Y121" s="162">
        <f t="shared" si="1029"/>
        <v>53.344452643645567</v>
      </c>
      <c r="Z121" s="162">
        <f t="shared" ref="Z121:AA121" si="1030">+Z118/Z120</f>
        <v>56.480329946096617</v>
      </c>
      <c r="AA121" s="162">
        <f t="shared" si="1030"/>
        <v>47.997270061080002</v>
      </c>
      <c r="AB121" s="21">
        <f t="shared" ref="AA121:AD121" si="1031">+AB118/AB120</f>
        <v>39.888340514624396</v>
      </c>
      <c r="AC121" s="21">
        <f t="shared" si="1031"/>
        <v>38.409989225753051</v>
      </c>
      <c r="AD121" s="21">
        <f t="shared" si="1031"/>
        <v>38.455176626870966</v>
      </c>
      <c r="AE121" s="21">
        <f t="shared" ref="AE121" si="1032">+AE118/AE120</f>
        <v>40.807977085241475</v>
      </c>
      <c r="AL121" s="162">
        <f t="shared" ref="AL121" si="1033">+AL118/AL120</f>
        <v>12.216079291809649</v>
      </c>
      <c r="AM121" s="162">
        <f t="shared" ref="AM121:AO121" si="1034">+AM118/AM120</f>
        <v>10.300181792370099</v>
      </c>
      <c r="AN121" s="162">
        <f t="shared" si="1034"/>
        <v>8.6463086014485668</v>
      </c>
      <c r="AO121" s="162">
        <f t="shared" si="1034"/>
        <v>12.415031713252278</v>
      </c>
      <c r="AP121" s="162">
        <f t="shared" ref="AP121:CD121" si="1035">+AP118/AP120</f>
        <v>15.1433513025843</v>
      </c>
      <c r="AQ121" s="162">
        <f t="shared" si="1035"/>
        <v>11.87096788057392</v>
      </c>
      <c r="AR121" s="162">
        <f t="shared" si="1035"/>
        <v>12.709246440194669</v>
      </c>
      <c r="AS121" s="162">
        <f t="shared" si="1035"/>
        <v>11.475354273398548</v>
      </c>
      <c r="AT121" s="162">
        <f t="shared" si="1035"/>
        <v>26.476642807129025</v>
      </c>
      <c r="AU121" s="162">
        <f t="shared" si="1035"/>
        <v>22.834757072216725</v>
      </c>
      <c r="AV121" s="162">
        <f t="shared" si="1035"/>
        <v>34.566307754450506</v>
      </c>
      <c r="AW121" s="162">
        <f t="shared" si="1035"/>
        <v>32.037574649412925</v>
      </c>
      <c r="AX121" s="162">
        <f t="shared" si="1035"/>
        <v>29.925502817752452</v>
      </c>
      <c r="AY121" s="162">
        <f t="shared" si="1035"/>
        <v>24.068545427825327</v>
      </c>
      <c r="AZ121" s="162">
        <f t="shared" si="1035"/>
        <v>20.050764839798585</v>
      </c>
      <c r="BA121" s="162">
        <f t="shared" si="1035"/>
        <v>16.209174851010875</v>
      </c>
      <c r="BB121" s="162">
        <f t="shared" si="1035"/>
        <v>16.163291242863419</v>
      </c>
      <c r="BC121" s="162">
        <f t="shared" si="1035"/>
        <v>16.734515095954833</v>
      </c>
      <c r="BD121" s="162">
        <f t="shared" si="1035"/>
        <v>18.163265061310074</v>
      </c>
      <c r="BE121" s="162">
        <f t="shared" si="1035"/>
        <v>18.030460454889642</v>
      </c>
      <c r="BF121" s="162">
        <f t="shared" si="1035"/>
        <v>19.257838133106183</v>
      </c>
      <c r="BG121" s="162">
        <f t="shared" si="1035"/>
        <v>21.273568134920982</v>
      </c>
      <c r="BH121" s="162">
        <f t="shared" si="1035"/>
        <v>22.292394418672341</v>
      </c>
      <c r="BI121" s="162">
        <f t="shared" si="1035"/>
        <v>17.661146743765237</v>
      </c>
      <c r="BJ121" s="162">
        <f t="shared" si="1035"/>
        <v>14.815672479889706</v>
      </c>
      <c r="BK121" s="162">
        <f t="shared" si="1035"/>
        <v>15.424904046934044</v>
      </c>
      <c r="BL121" s="162">
        <f t="shared" si="1035"/>
        <v>16.226893113024666</v>
      </c>
      <c r="BM121" s="162">
        <f t="shared" si="1035"/>
        <v>15.393604254196367</v>
      </c>
      <c r="BN121" s="162">
        <f t="shared" si="1035"/>
        <v>18.077632718189022</v>
      </c>
      <c r="BO121" s="162">
        <f t="shared" si="1035"/>
        <v>13.963749480305603</v>
      </c>
      <c r="BP121" s="162">
        <f t="shared" si="1035"/>
        <v>18.376419097822541</v>
      </c>
      <c r="BQ121" s="162">
        <f t="shared" si="1035"/>
        <v>23.764514785505025</v>
      </c>
      <c r="BR121" s="162">
        <f t="shared" si="1035"/>
        <v>34.988419326839633</v>
      </c>
      <c r="BS121" s="162">
        <f t="shared" si="1035"/>
        <v>45.488530010207732</v>
      </c>
      <c r="BT121" s="162">
        <f t="shared" si="1035"/>
        <v>57.06442881649081</v>
      </c>
      <c r="BU121" s="162">
        <f t="shared" si="1035"/>
        <v>58.72217564041857</v>
      </c>
      <c r="BV121" s="162">
        <f t="shared" si="1035"/>
        <v>76.017440014962489</v>
      </c>
      <c r="BW121" s="162">
        <f t="shared" si="1035"/>
        <v>66.215207073887527</v>
      </c>
      <c r="BX121" s="162">
        <f t="shared" si="1035"/>
        <v>73.815734385352172</v>
      </c>
      <c r="BY121" s="162">
        <f t="shared" si="1035"/>
        <v>56.786160251537879</v>
      </c>
      <c r="BZ121" s="162">
        <f t="shared" si="1035"/>
        <v>42.999061987335594</v>
      </c>
      <c r="CA121" s="162">
        <f t="shared" si="1035"/>
        <v>49.411141587947171</v>
      </c>
      <c r="CB121" s="162">
        <f t="shared" si="1035"/>
        <v>47.17434668260195</v>
      </c>
      <c r="CC121" s="162">
        <f t="shared" si="1035"/>
        <v>54.014092604817961</v>
      </c>
      <c r="CD121" s="162">
        <f t="shared" si="1035"/>
        <v>51.938053601035904</v>
      </c>
      <c r="CE121" s="162">
        <f t="shared" ref="CE121:CF121" si="1036">+CE118/CE120</f>
        <v>47.259188412475218</v>
      </c>
      <c r="CF121" s="162">
        <f t="shared" si="1036"/>
        <v>52.62682824794949</v>
      </c>
      <c r="CG121" s="162">
        <f t="shared" ref="CG121:CH121" si="1037">+CG118/CG120</f>
        <v>47.205849932275143</v>
      </c>
      <c r="CH121" s="162">
        <f t="shared" si="1037"/>
        <v>42.525962627936188</v>
      </c>
      <c r="CI121" s="162">
        <f t="shared" ref="CI121:CJ121" si="1038">+CI118/CI120</f>
        <v>44.252317714152262</v>
      </c>
      <c r="CJ121" s="162">
        <f t="shared" si="1038"/>
        <v>46.436386445740531</v>
      </c>
      <c r="CK121" s="162">
        <f t="shared" ref="CK121:CL121" si="1039">+CK118/CK120</f>
        <v>41.646504314611541</v>
      </c>
      <c r="CL121" s="162">
        <f t="shared" si="1039"/>
        <v>41.799435689757779</v>
      </c>
      <c r="CM121" s="21">
        <f t="shared" ref="CM121:DB121" si="1040">+CM118/CM120</f>
        <v>42.066249470407733</v>
      </c>
      <c r="CN121" s="21">
        <f t="shared" si="1040"/>
        <v>42.144278943812822</v>
      </c>
      <c r="CO121" s="21">
        <f t="shared" si="1040"/>
        <v>41.003192167144718</v>
      </c>
      <c r="CP121" s="21">
        <f t="shared" si="1040"/>
        <v>39.888340514624396</v>
      </c>
      <c r="CQ121" s="21">
        <f t="shared" si="1040"/>
        <v>39.492313165463571</v>
      </c>
      <c r="CR121" s="21">
        <f t="shared" si="1040"/>
        <v>39.150485150528098</v>
      </c>
      <c r="CS121" s="21">
        <f t="shared" si="1040"/>
        <v>38.708317748436677</v>
      </c>
      <c r="CT121" s="21">
        <f t="shared" si="1040"/>
        <v>38.409989225753066</v>
      </c>
      <c r="CU121" s="21">
        <f t="shared" si="1040"/>
        <v>38.122432739247827</v>
      </c>
      <c r="CV121" s="21">
        <f t="shared" si="1040"/>
        <v>38.051386130986018</v>
      </c>
      <c r="CW121" s="21">
        <f t="shared" si="1040"/>
        <v>38.160032111039072</v>
      </c>
      <c r="CX121" s="21">
        <f t="shared" si="1040"/>
        <v>38.45517662687098</v>
      </c>
      <c r="CY121" s="21">
        <f t="shared" si="1040"/>
        <v>39.142369425545851</v>
      </c>
      <c r="CZ121" s="21">
        <f t="shared" si="1040"/>
        <v>39.760696878049771</v>
      </c>
      <c r="DA121" s="21">
        <f t="shared" si="1040"/>
        <v>40.309797644273985</v>
      </c>
      <c r="DB121" s="21">
        <f t="shared" si="1040"/>
        <v>40.80797708524149</v>
      </c>
      <c r="DE121" s="22"/>
      <c r="DF121" s="162">
        <v>43.369630621323616</v>
      </c>
    </row>
    <row r="122" spans="1:110" s="162" customFormat="1" x14ac:dyDescent="0.2">
      <c r="A122" s="49" t="s">
        <v>344</v>
      </c>
      <c r="B122" s="162">
        <f>+B119/B120</f>
        <v>4.7776188544842606</v>
      </c>
      <c r="C122" s="162">
        <f t="shared" ref="C122:W122" si="1041">+C119/C120</f>
        <v>1.9299893617960462</v>
      </c>
      <c r="D122" s="162">
        <f t="shared" si="1041"/>
        <v>5.4554884517963851</v>
      </c>
      <c r="E122" s="162">
        <f t="shared" si="1041"/>
        <v>7.9799714446415324</v>
      </c>
      <c r="F122" s="162">
        <f t="shared" si="1041"/>
        <v>6.0757144636505771</v>
      </c>
      <c r="G122" s="162">
        <f t="shared" si="1041"/>
        <v>10.689752927203932</v>
      </c>
      <c r="H122" s="162">
        <f t="shared" si="1041"/>
        <v>6.2940580664454497</v>
      </c>
      <c r="I122" s="162">
        <f t="shared" si="1041"/>
        <v>6.1659011728411475</v>
      </c>
      <c r="J122" s="162">
        <f t="shared" si="1041"/>
        <v>2.8140250643466458</v>
      </c>
      <c r="K122" s="162">
        <f t="shared" si="1041"/>
        <v>4.0150408044152721</v>
      </c>
      <c r="L122" s="162">
        <f t="shared" si="1041"/>
        <v>4.5521113305339096</v>
      </c>
      <c r="M122" s="162">
        <f t="shared" si="1041"/>
        <v>2.7509222282088182</v>
      </c>
      <c r="N122" s="162">
        <f t="shared" si="1041"/>
        <v>8.309590573787391</v>
      </c>
      <c r="O122" s="162">
        <f t="shared" si="1041"/>
        <v>3.8504127448306145</v>
      </c>
      <c r="P122" s="162">
        <f t="shared" si="1041"/>
        <v>7.9273327759693055</v>
      </c>
      <c r="Q122" s="162">
        <f t="shared" si="1041"/>
        <v>11.560868703448106</v>
      </c>
      <c r="R122" s="162">
        <f t="shared" si="1041"/>
        <v>10.712243407011732</v>
      </c>
      <c r="S122" s="162">
        <f t="shared" si="1041"/>
        <v>10.474339420149647</v>
      </c>
      <c r="T122" s="162">
        <f t="shared" si="1041"/>
        <v>11.127707740335728</v>
      </c>
      <c r="U122" s="162">
        <f t="shared" si="1041"/>
        <v>7.2700320882705576</v>
      </c>
      <c r="V122" s="162">
        <f t="shared" si="1041"/>
        <v>5.3787810109514282</v>
      </c>
      <c r="W122" s="162">
        <f t="shared" si="1041"/>
        <v>20.678464426216596</v>
      </c>
      <c r="X122" s="162">
        <f t="shared" ref="X122:Y122" si="1042">+X119/X120</f>
        <v>35.835571135514371</v>
      </c>
      <c r="Y122" s="162">
        <f t="shared" si="1042"/>
        <v>34.219436962195985</v>
      </c>
      <c r="Z122" s="162">
        <f t="shared" ref="Z122:AA122" si="1043">+Z119/Z120</f>
        <v>31.373735770467189</v>
      </c>
      <c r="AA122" s="162">
        <f t="shared" si="1043"/>
        <v>27.482629058861917</v>
      </c>
      <c r="AB122" s="21">
        <f t="shared" ref="AA122:AD122" si="1044">+AB119/AB120</f>
        <v>23.269848645505093</v>
      </c>
      <c r="AC122" s="21">
        <f t="shared" si="1044"/>
        <v>21.49627467177034</v>
      </c>
      <c r="AD122" s="21">
        <f t="shared" si="1044"/>
        <v>22.597158850514194</v>
      </c>
      <c r="AE122" s="21">
        <f t="shared" ref="AE122" si="1045">+AE119/AE120</f>
        <v>23.846093093666248</v>
      </c>
      <c r="AL122" s="162">
        <f t="shared" ref="AL122:AM122" si="1046">+AL119/AL120</f>
        <v>9.1845711227185731</v>
      </c>
      <c r="AM122" s="162">
        <f t="shared" si="1046"/>
        <v>8.4750904988565452</v>
      </c>
      <c r="AN122" s="162">
        <f t="shared" ref="AN122:AO122" si="1047">+AN119/AN120</f>
        <v>6.1583177103862878</v>
      </c>
      <c r="AO122" s="162">
        <f t="shared" si="1047"/>
        <v>5.2048165680783249</v>
      </c>
      <c r="AP122" s="162">
        <f t="shared" ref="AP122:CD122" si="1048">+AP119/AP120</f>
        <v>7.6050984953548406</v>
      </c>
      <c r="AQ122" s="162">
        <f t="shared" si="1048"/>
        <v>8.7739672425327679</v>
      </c>
      <c r="AR122" s="162">
        <f t="shared" si="1048"/>
        <v>10.129178312107852</v>
      </c>
      <c r="AS122" s="162">
        <f t="shared" si="1048"/>
        <v>9.4412278811776034</v>
      </c>
      <c r="AT122" s="162">
        <f t="shared" si="1048"/>
        <v>10.148614366913202</v>
      </c>
      <c r="AU122" s="162">
        <f t="shared" si="1048"/>
        <v>15.613833000460362</v>
      </c>
      <c r="AV122" s="162">
        <f t="shared" si="1048"/>
        <v>17.407706027778588</v>
      </c>
      <c r="AW122" s="162">
        <f t="shared" si="1048"/>
        <v>23.0408449290024</v>
      </c>
      <c r="AX122" s="162">
        <f t="shared" si="1048"/>
        <v>19.696713577826284</v>
      </c>
      <c r="AY122" s="162">
        <f t="shared" si="1048"/>
        <v>18.608963686630421</v>
      </c>
      <c r="AZ122" s="162">
        <f t="shared" si="1048"/>
        <v>15.26189746436542</v>
      </c>
      <c r="BA122" s="162">
        <f t="shared" si="1048"/>
        <v>10.780356728469746</v>
      </c>
      <c r="BB122" s="162">
        <f t="shared" si="1048"/>
        <v>14.130629890206412</v>
      </c>
      <c r="BC122" s="162">
        <f t="shared" si="1048"/>
        <v>12.725156278948397</v>
      </c>
      <c r="BD122" s="162">
        <f t="shared" si="1048"/>
        <v>15.419406971699754</v>
      </c>
      <c r="BE122" s="162">
        <f t="shared" si="1048"/>
        <v>14.389804018771269</v>
      </c>
      <c r="BF122" s="162">
        <f t="shared" si="1048"/>
        <v>15.695190405899753</v>
      </c>
      <c r="BG122" s="162">
        <f t="shared" si="1048"/>
        <v>15.133248901358224</v>
      </c>
      <c r="BH122" s="162">
        <f t="shared" si="1048"/>
        <v>16.643375064918125</v>
      </c>
      <c r="BI122" s="162">
        <f t="shared" si="1048"/>
        <v>13.227145886057238</v>
      </c>
      <c r="BJ122" s="162">
        <f t="shared" si="1048"/>
        <v>11.479948719983339</v>
      </c>
      <c r="BK122" s="162">
        <f t="shared" si="1048"/>
        <v>12.37749976064519</v>
      </c>
      <c r="BL122" s="162">
        <f t="shared" si="1048"/>
        <v>9.8672584575557405</v>
      </c>
      <c r="BM122" s="162">
        <f t="shared" si="1048"/>
        <v>9.9668286059438316</v>
      </c>
      <c r="BN122" s="162">
        <f t="shared" si="1048"/>
        <v>7.1859101824957365</v>
      </c>
      <c r="BO122" s="162">
        <f t="shared" si="1048"/>
        <v>7.9591556336975957</v>
      </c>
      <c r="BP122" s="162">
        <f t="shared" si="1048"/>
        <v>11.546941470904718</v>
      </c>
      <c r="BQ122" s="162">
        <f t="shared" si="1048"/>
        <v>15.468181989278889</v>
      </c>
      <c r="BR122" s="162">
        <f t="shared" si="1048"/>
        <v>20.425951200694385</v>
      </c>
      <c r="BS122" s="162">
        <f t="shared" si="1048"/>
        <v>27.58162013799399</v>
      </c>
      <c r="BT122" s="162">
        <f t="shared" si="1048"/>
        <v>38.800923994577225</v>
      </c>
      <c r="BU122" s="162">
        <f t="shared" si="1048"/>
        <v>45.277589007879897</v>
      </c>
      <c r="BV122" s="162">
        <f t="shared" si="1048"/>
        <v>46.152152638656737</v>
      </c>
      <c r="BW122" s="162">
        <f t="shared" si="1048"/>
        <v>45.966234850714677</v>
      </c>
      <c r="BX122" s="162">
        <f t="shared" si="1048"/>
        <v>52.063945634892697</v>
      </c>
      <c r="BY122" s="162">
        <f t="shared" si="1048"/>
        <v>36.931538259829075</v>
      </c>
      <c r="BZ122" s="162">
        <f t="shared" si="1048"/>
        <v>36.883989073908971</v>
      </c>
      <c r="CA122" s="162">
        <f t="shared" si="1048"/>
        <v>36.794167062353743</v>
      </c>
      <c r="CB122" s="162">
        <f t="shared" si="1048"/>
        <v>41.879148257546767</v>
      </c>
      <c r="CC122" s="162">
        <f t="shared" si="1048"/>
        <v>41.848706666724603</v>
      </c>
      <c r="CD122" s="162">
        <f t="shared" si="1048"/>
        <v>42.363444456655223</v>
      </c>
      <c r="CE122" s="162">
        <f t="shared" ref="CE122:CF122" si="1049">+CE119/CE120</f>
        <v>36.62213699637195</v>
      </c>
      <c r="CF122" s="162">
        <f t="shared" si="1049"/>
        <v>38.015185848789784</v>
      </c>
      <c r="CG122" s="162">
        <f t="shared" ref="CG122:CH122" si="1050">+CG119/CG120</f>
        <v>36.647678341916212</v>
      </c>
      <c r="CH122" s="162">
        <f t="shared" si="1050"/>
        <v>31.38590908436851</v>
      </c>
      <c r="CI122" s="162">
        <f t="shared" ref="CI122:CJ122" si="1051">+CI119/CI120</f>
        <v>29.612824945914717</v>
      </c>
      <c r="CJ122" s="162">
        <f t="shared" si="1051"/>
        <v>37.386681583256028</v>
      </c>
      <c r="CK122" s="162">
        <f t="shared" ref="CK122:CL122" si="1052">+CK119/CK120</f>
        <v>35.732830959367064</v>
      </c>
      <c r="CL122" s="162">
        <f t="shared" si="1052"/>
        <v>27.234254553355498</v>
      </c>
      <c r="CM122" s="21">
        <f t="shared" ref="CM122:DB122" si="1053">+CM119/CM120</f>
        <v>27.381201686523141</v>
      </c>
      <c r="CN122" s="21">
        <f t="shared" si="1053"/>
        <v>27.431190366644479</v>
      </c>
      <c r="CO122" s="21">
        <f t="shared" si="1053"/>
        <v>26.653517059568316</v>
      </c>
      <c r="CP122" s="21">
        <f t="shared" si="1053"/>
        <v>25.882124224403647</v>
      </c>
      <c r="CQ122" s="21">
        <f t="shared" si="1053"/>
        <v>25.596481218434793</v>
      </c>
      <c r="CR122" s="21">
        <f t="shared" si="1053"/>
        <v>25.356313560030724</v>
      </c>
      <c r="CS122" s="21">
        <f t="shared" si="1053"/>
        <v>25.043330030553872</v>
      </c>
      <c r="CT122" s="21">
        <f t="shared" si="1053"/>
        <v>24.824218205035237</v>
      </c>
      <c r="CU122" s="21">
        <f t="shared" si="1053"/>
        <v>24.588240294689452</v>
      </c>
      <c r="CV122" s="21">
        <f t="shared" si="1053"/>
        <v>24.493138456513684</v>
      </c>
      <c r="CW122" s="21">
        <f t="shared" si="1053"/>
        <v>24.510986982601906</v>
      </c>
      <c r="CX122" s="21">
        <f t="shared" si="1053"/>
        <v>24.645733560969042</v>
      </c>
      <c r="CY122" s="21">
        <f t="shared" si="1053"/>
        <v>25.038414839453722</v>
      </c>
      <c r="CZ122" s="21">
        <f t="shared" si="1053"/>
        <v>25.387737797419003</v>
      </c>
      <c r="DA122" s="21">
        <f t="shared" si="1053"/>
        <v>25.687328125127831</v>
      </c>
      <c r="DB122" s="21">
        <f t="shared" si="1053"/>
        <v>25.949700950659462</v>
      </c>
      <c r="DE122" s="22"/>
      <c r="DF122" s="162">
        <v>28.345396630067874</v>
      </c>
    </row>
    <row r="123" spans="1:110" s="10" customFormat="1" x14ac:dyDescent="0.2">
      <c r="A123" s="149" t="s">
        <v>490</v>
      </c>
      <c r="AB123" s="20"/>
      <c r="AC123" s="20"/>
      <c r="AD123" s="20"/>
      <c r="AE123" s="20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E123" s="126"/>
    </row>
    <row r="124" spans="1:110" x14ac:dyDescent="0.2">
      <c r="A124" s="152" t="s">
        <v>491</v>
      </c>
      <c r="AA124" s="2"/>
      <c r="CL124" s="2"/>
    </row>
    <row r="125" spans="1:110" s="23" customFormat="1" outlineLevel="1" x14ac:dyDescent="0.2">
      <c r="A125" s="23" t="s">
        <v>41</v>
      </c>
      <c r="B125" s="23">
        <f>'Annual Raw'!C41</f>
        <v>31.138200000000001</v>
      </c>
      <c r="C125" s="23">
        <f>'Annual Raw'!D41</f>
        <v>31.138200000000001</v>
      </c>
      <c r="D125" s="23">
        <f>'Annual Raw'!E41</f>
        <v>31.138200000000001</v>
      </c>
      <c r="E125" s="23">
        <f>'Annual Raw'!F41</f>
        <v>31.138200000000001</v>
      </c>
      <c r="F125" s="23">
        <f>'Annual Raw'!G41</f>
        <v>31.138200000000001</v>
      </c>
      <c r="G125" s="23">
        <f>'Annual Raw'!H41</f>
        <v>31.138200000000001</v>
      </c>
      <c r="H125" s="23">
        <f>'Annual Raw'!I41</f>
        <v>31.138200000000001</v>
      </c>
      <c r="I125" s="23">
        <f>'Annual Raw'!J41</f>
        <v>31.138200000000001</v>
      </c>
      <c r="J125" s="23">
        <f>'Annual Raw'!K41</f>
        <v>31.138200000000001</v>
      </c>
      <c r="K125" s="23">
        <f>'Annual Raw'!L41</f>
        <v>31.138200000000001</v>
      </c>
      <c r="L125" s="23">
        <f>'Annual Raw'!M41</f>
        <v>31.138200000000001</v>
      </c>
      <c r="M125" s="23">
        <f>'Annual Raw'!N41</f>
        <v>31.138200000000001</v>
      </c>
      <c r="N125" s="23">
        <f>'Annual Raw'!O41</f>
        <v>31.138200000000001</v>
      </c>
      <c r="O125" s="23">
        <f>'Annual Raw'!P41</f>
        <v>31.138200000000001</v>
      </c>
      <c r="P125" s="23">
        <f>'Annual Raw'!Q41</f>
        <v>31.138200000000001</v>
      </c>
      <c r="Q125" s="23">
        <f>'Annual Raw'!R41</f>
        <v>31.138200000000001</v>
      </c>
      <c r="R125" s="23">
        <f>'Annual Raw'!S41</f>
        <v>31.138200000000001</v>
      </c>
      <c r="S125" s="23">
        <f>'Annual Raw'!T41</f>
        <v>62.276400000000002</v>
      </c>
      <c r="T125" s="23">
        <f>'Annual Raw'!U41</f>
        <v>62.276400000000002</v>
      </c>
      <c r="U125" s="23">
        <f>'Annual Raw'!V41</f>
        <v>62.276400000000002</v>
      </c>
      <c r="V125" s="23">
        <f>'Annual Raw'!W41</f>
        <v>62.276400000000002</v>
      </c>
      <c r="W125" s="23">
        <f>'Annual Raw'!X41</f>
        <v>62.276400000000002</v>
      </c>
      <c r="X125" s="23">
        <f>'Annual Raw'!Y41</f>
        <v>62.276400000000002</v>
      </c>
      <c r="Y125" s="23">
        <f>'Annual Raw'!Z41</f>
        <v>62.276400000000002</v>
      </c>
      <c r="Z125" s="23">
        <f>'Annual Raw'!AA41</f>
        <v>62.284100000000002</v>
      </c>
      <c r="AA125" s="23">
        <f>'Annual Raw'!AB41</f>
        <v>62.296700000000001</v>
      </c>
      <c r="AB125" s="24">
        <f>+CP125</f>
        <v>62.296999999999997</v>
      </c>
      <c r="AC125" s="24">
        <f>+CT125</f>
        <v>62.296999999999997</v>
      </c>
      <c r="AD125" s="24">
        <f>+CX125</f>
        <v>62.296999999999997</v>
      </c>
      <c r="AE125" s="24">
        <f>+DB125</f>
        <v>62.296999999999997</v>
      </c>
      <c r="AJ125" s="23">
        <f>+'QTR Raw'!D56</f>
        <v>31.138000000000002</v>
      </c>
      <c r="AK125" s="23">
        <f t="shared" ref="AK125:CE125" si="1054">+AJ125</f>
        <v>31.138000000000002</v>
      </c>
      <c r="AL125" s="23">
        <f>+'QTR Raw'!F56</f>
        <v>31.138000000000002</v>
      </c>
      <c r="AM125" s="23">
        <f t="shared" si="1054"/>
        <v>31.138000000000002</v>
      </c>
      <c r="AN125" s="23">
        <f>+'QTR Raw'!H56</f>
        <v>31.138000000000002</v>
      </c>
      <c r="AO125" s="23">
        <f t="shared" si="1054"/>
        <v>31.138000000000002</v>
      </c>
      <c r="AP125" s="23">
        <f>+'QTR Raw'!J56</f>
        <v>31.138000000000002</v>
      </c>
      <c r="AQ125" s="23">
        <f t="shared" si="1054"/>
        <v>31.138000000000002</v>
      </c>
      <c r="AR125" s="23">
        <f>+'QTR Raw'!L56</f>
        <v>31.138000000000002</v>
      </c>
      <c r="AS125" s="23">
        <f t="shared" si="1054"/>
        <v>31.138000000000002</v>
      </c>
      <c r="AT125" s="23">
        <f>+'QTR Raw'!N56</f>
        <v>31.138000000000002</v>
      </c>
      <c r="AU125" s="23">
        <f t="shared" si="1054"/>
        <v>31.138000000000002</v>
      </c>
      <c r="AV125" s="23">
        <f>+'QTR Raw'!P56</f>
        <v>31.138000000000002</v>
      </c>
      <c r="AW125" s="23">
        <f t="shared" si="1054"/>
        <v>31.138000000000002</v>
      </c>
      <c r="AX125" s="23">
        <f>+'QTR Raw'!R56</f>
        <v>31.138000000000002</v>
      </c>
      <c r="AY125" s="23">
        <f t="shared" si="1054"/>
        <v>31.138000000000002</v>
      </c>
      <c r="AZ125" s="23">
        <f>+'QTR Raw'!T56</f>
        <v>31.138000000000002</v>
      </c>
      <c r="BA125" s="23">
        <f t="shared" si="1054"/>
        <v>31.138000000000002</v>
      </c>
      <c r="BB125" s="23">
        <f>+'QTR Raw'!V56</f>
        <v>31.138000000000002</v>
      </c>
      <c r="BC125" s="23">
        <f t="shared" si="1054"/>
        <v>31.138000000000002</v>
      </c>
      <c r="BD125" s="23">
        <f>+'QTR Raw'!X56</f>
        <v>62.276000000000003</v>
      </c>
      <c r="BE125" s="23">
        <f t="shared" si="1054"/>
        <v>62.276000000000003</v>
      </c>
      <c r="BF125" s="23">
        <f>+'QTR Raw'!Z56</f>
        <v>62.276000000000003</v>
      </c>
      <c r="BG125" s="23">
        <f t="shared" si="1054"/>
        <v>62.276000000000003</v>
      </c>
      <c r="BH125" s="23">
        <f>+'QTR Raw'!AB56</f>
        <v>62.276000000000003</v>
      </c>
      <c r="BI125" s="23">
        <f t="shared" si="1054"/>
        <v>62.276000000000003</v>
      </c>
      <c r="BJ125" s="23">
        <f>+'QTR Raw'!AD56</f>
        <v>62.276000000000003</v>
      </c>
      <c r="BK125" s="23">
        <f t="shared" si="1054"/>
        <v>62.276000000000003</v>
      </c>
      <c r="BL125" s="23">
        <f>+'QTR Raw'!AF56</f>
        <v>62.276000000000003</v>
      </c>
      <c r="BM125" s="23">
        <f t="shared" si="1054"/>
        <v>62.276000000000003</v>
      </c>
      <c r="BN125" s="23">
        <f>+'QTR Raw'!AH56</f>
        <v>62.276000000000003</v>
      </c>
      <c r="BO125" s="23">
        <f t="shared" si="1054"/>
        <v>62.276000000000003</v>
      </c>
      <c r="BP125" s="23">
        <f>+'QTR Raw'!AJ56</f>
        <v>62.276000000000003</v>
      </c>
      <c r="BQ125" s="23">
        <f t="shared" si="1054"/>
        <v>62.276000000000003</v>
      </c>
      <c r="BR125" s="23">
        <f>+'QTR Raw'!AL56</f>
        <v>62.276000000000003</v>
      </c>
      <c r="BS125" s="23">
        <f t="shared" si="1054"/>
        <v>62.276000000000003</v>
      </c>
      <c r="BT125" s="23">
        <f>+'QTR Raw'!AN56</f>
        <v>62.276000000000003</v>
      </c>
      <c r="BU125" s="23">
        <f t="shared" si="1054"/>
        <v>62.276000000000003</v>
      </c>
      <c r="BV125" s="23">
        <f>+'QTR Raw'!AP56</f>
        <v>62.276000000000003</v>
      </c>
      <c r="BW125" s="23">
        <f t="shared" si="1054"/>
        <v>62.276000000000003</v>
      </c>
      <c r="BX125" s="23">
        <f>+'QTR Raw'!AR56</f>
        <v>62.276000000000003</v>
      </c>
      <c r="BY125" s="23">
        <f t="shared" si="1054"/>
        <v>62.276000000000003</v>
      </c>
      <c r="BZ125" s="23">
        <f>+'QTR Raw'!AT56</f>
        <v>62.276000000000003</v>
      </c>
      <c r="CA125" s="23">
        <f t="shared" si="1054"/>
        <v>62.276000000000003</v>
      </c>
      <c r="CB125" s="23">
        <f>+'QTR Raw'!AV56</f>
        <v>62.276000000000003</v>
      </c>
      <c r="CC125" s="23">
        <f t="shared" si="1054"/>
        <v>62.276000000000003</v>
      </c>
      <c r="CD125" s="23">
        <f>+'QTR Raw'!AX56</f>
        <v>62.276000000000003</v>
      </c>
      <c r="CE125" s="23">
        <f t="shared" si="1054"/>
        <v>62.276000000000003</v>
      </c>
      <c r="CF125" s="23">
        <f>+'QTR Raw'!AZ56</f>
        <v>62.28</v>
      </c>
      <c r="CG125" s="23">
        <f t="shared" ref="CG125:CG126" si="1055">+CF125</f>
        <v>62.28</v>
      </c>
      <c r="CH125" s="23">
        <f>Z125</f>
        <v>62.284100000000002</v>
      </c>
      <c r="CI125" s="23">
        <f>CH125</f>
        <v>62.284100000000002</v>
      </c>
      <c r="CJ125" s="23">
        <f>+'QTR Raw'!BD56</f>
        <v>62.292999999999999</v>
      </c>
      <c r="CK125" s="23">
        <f t="shared" ref="CK125:DB125" si="1056">CJ125</f>
        <v>62.292999999999999</v>
      </c>
      <c r="CL125" s="23">
        <f>+'QTR Raw'!BF56</f>
        <v>62.296999999999997</v>
      </c>
      <c r="CM125" s="24">
        <f t="shared" si="1056"/>
        <v>62.296999999999997</v>
      </c>
      <c r="CN125" s="24">
        <f t="shared" si="1056"/>
        <v>62.296999999999997</v>
      </c>
      <c r="CO125" s="24">
        <f t="shared" si="1056"/>
        <v>62.296999999999997</v>
      </c>
      <c r="CP125" s="24">
        <f t="shared" si="1056"/>
        <v>62.296999999999997</v>
      </c>
      <c r="CQ125" s="24">
        <f t="shared" si="1056"/>
        <v>62.296999999999997</v>
      </c>
      <c r="CR125" s="24">
        <f t="shared" si="1056"/>
        <v>62.296999999999997</v>
      </c>
      <c r="CS125" s="24">
        <f t="shared" si="1056"/>
        <v>62.296999999999997</v>
      </c>
      <c r="CT125" s="24">
        <f t="shared" si="1056"/>
        <v>62.296999999999997</v>
      </c>
      <c r="CU125" s="24">
        <f t="shared" si="1056"/>
        <v>62.296999999999997</v>
      </c>
      <c r="CV125" s="24">
        <f t="shared" si="1056"/>
        <v>62.296999999999997</v>
      </c>
      <c r="CW125" s="24">
        <f t="shared" si="1056"/>
        <v>62.296999999999997</v>
      </c>
      <c r="CX125" s="24">
        <f t="shared" si="1056"/>
        <v>62.296999999999997</v>
      </c>
      <c r="CY125" s="24">
        <f t="shared" si="1056"/>
        <v>62.296999999999997</v>
      </c>
      <c r="CZ125" s="24">
        <f t="shared" si="1056"/>
        <v>62.296999999999997</v>
      </c>
      <c r="DA125" s="24">
        <f t="shared" si="1056"/>
        <v>62.296999999999997</v>
      </c>
      <c r="DB125" s="24">
        <f t="shared" si="1056"/>
        <v>62.296999999999997</v>
      </c>
      <c r="DE125" s="123"/>
      <c r="DF125" s="23">
        <v>62.292999999999999</v>
      </c>
    </row>
    <row r="126" spans="1:110" s="23" customFormat="1" outlineLevel="1" x14ac:dyDescent="0.2">
      <c r="A126" s="23" t="s">
        <v>42</v>
      </c>
      <c r="B126" s="23">
        <f>'Annual Raw'!C42</f>
        <v>0</v>
      </c>
      <c r="C126" s="23">
        <f>'Annual Raw'!D42</f>
        <v>0</v>
      </c>
      <c r="D126" s="23">
        <f>'Annual Raw'!E42</f>
        <v>0</v>
      </c>
      <c r="E126" s="23">
        <f>'Annual Raw'!F42</f>
        <v>0</v>
      </c>
      <c r="F126" s="23">
        <f>'Annual Raw'!G42</f>
        <v>0</v>
      </c>
      <c r="G126" s="23">
        <f>'Annual Raw'!H42</f>
        <v>0</v>
      </c>
      <c r="H126" s="23">
        <f>'Annual Raw'!I42</f>
        <v>0</v>
      </c>
      <c r="I126" s="23">
        <f>'Annual Raw'!J42</f>
        <v>0</v>
      </c>
      <c r="J126" s="23">
        <f>'Annual Raw'!K42</f>
        <v>0</v>
      </c>
      <c r="K126" s="23">
        <f>'Annual Raw'!L42</f>
        <v>0</v>
      </c>
      <c r="L126" s="23">
        <f>'Annual Raw'!M42</f>
        <v>0</v>
      </c>
      <c r="M126" s="23">
        <f>'Annual Raw'!N42</f>
        <v>0</v>
      </c>
      <c r="N126" s="23">
        <f>'Annual Raw'!O42</f>
        <v>0</v>
      </c>
      <c r="O126" s="23">
        <f>'Annual Raw'!P42</f>
        <v>0</v>
      </c>
      <c r="P126" s="23">
        <f>'Annual Raw'!Q42</f>
        <v>0</v>
      </c>
      <c r="Q126" s="23">
        <f>'Annual Raw'!R42</f>
        <v>0</v>
      </c>
      <c r="R126" s="23">
        <f>'Annual Raw'!S42</f>
        <v>0</v>
      </c>
      <c r="S126" s="23">
        <f>'Annual Raw'!T42</f>
        <v>0</v>
      </c>
      <c r="T126" s="23">
        <f>'Annual Raw'!U42</f>
        <v>0</v>
      </c>
      <c r="U126" s="23">
        <f>'Annual Raw'!V42</f>
        <v>0</v>
      </c>
      <c r="V126" s="23">
        <f>'Annual Raw'!W42</f>
        <v>0</v>
      </c>
      <c r="W126" s="23">
        <f>'Annual Raw'!X42</f>
        <v>0</v>
      </c>
      <c r="X126" s="23">
        <f>'Annual Raw'!Y42</f>
        <v>0</v>
      </c>
      <c r="Y126" s="23">
        <f>'Annual Raw'!Z42</f>
        <v>15.023099999999999</v>
      </c>
      <c r="Z126" s="23">
        <f>'Annual Raw'!AA42</f>
        <v>19.3703</v>
      </c>
      <c r="AA126" s="23">
        <f>'Annual Raw'!AB42</f>
        <v>23.833600000000001</v>
      </c>
      <c r="AB126" s="24">
        <f t="shared" ref="AB126:AB127" si="1057">+CP126</f>
        <v>0</v>
      </c>
      <c r="AC126" s="24">
        <f t="shared" ref="AC126:AC127" si="1058">+CT126</f>
        <v>0</v>
      </c>
      <c r="AD126" s="24">
        <f t="shared" ref="AD126:AD127" si="1059">+CX126</f>
        <v>0</v>
      </c>
      <c r="AE126" s="24">
        <f t="shared" ref="AE126:AE127" si="1060">+DB126</f>
        <v>0</v>
      </c>
      <c r="AJ126" s="23">
        <f>+'QTR Raw'!D57</f>
        <v>0</v>
      </c>
      <c r="AK126" s="23">
        <f t="shared" ref="AK126:CE126" si="1061">+AJ126</f>
        <v>0</v>
      </c>
      <c r="AL126" s="23">
        <f>+'QTR Raw'!F57</f>
        <v>0</v>
      </c>
      <c r="AM126" s="23">
        <f t="shared" si="1061"/>
        <v>0</v>
      </c>
      <c r="AN126" s="23">
        <f>+'QTR Raw'!H57</f>
        <v>0</v>
      </c>
      <c r="AO126" s="23">
        <f t="shared" si="1061"/>
        <v>0</v>
      </c>
      <c r="AP126" s="23">
        <f>+'QTR Raw'!J57</f>
        <v>0</v>
      </c>
      <c r="AQ126" s="23">
        <f t="shared" si="1061"/>
        <v>0</v>
      </c>
      <c r="AR126" s="23">
        <f>+'QTR Raw'!L57</f>
        <v>0</v>
      </c>
      <c r="AS126" s="23">
        <f t="shared" si="1061"/>
        <v>0</v>
      </c>
      <c r="AT126" s="23">
        <f>+'QTR Raw'!N57</f>
        <v>0</v>
      </c>
      <c r="AU126" s="23">
        <f t="shared" si="1061"/>
        <v>0</v>
      </c>
      <c r="AV126" s="23">
        <f>+'QTR Raw'!P57</f>
        <v>0</v>
      </c>
      <c r="AW126" s="23">
        <f t="shared" si="1061"/>
        <v>0</v>
      </c>
      <c r="AX126" s="23">
        <f>+'QTR Raw'!R57</f>
        <v>0</v>
      </c>
      <c r="AY126" s="23">
        <f t="shared" si="1061"/>
        <v>0</v>
      </c>
      <c r="AZ126" s="23">
        <f>+'QTR Raw'!T57</f>
        <v>0</v>
      </c>
      <c r="BA126" s="23">
        <f t="shared" si="1061"/>
        <v>0</v>
      </c>
      <c r="BB126" s="23">
        <f>+'QTR Raw'!V57</f>
        <v>0</v>
      </c>
      <c r="BC126" s="23">
        <f t="shared" si="1061"/>
        <v>0</v>
      </c>
      <c r="BD126" s="23">
        <f>+'QTR Raw'!X57</f>
        <v>0</v>
      </c>
      <c r="BE126" s="23">
        <f t="shared" si="1061"/>
        <v>0</v>
      </c>
      <c r="BF126" s="23">
        <f>+'QTR Raw'!Z57</f>
        <v>0</v>
      </c>
      <c r="BG126" s="23">
        <f t="shared" si="1061"/>
        <v>0</v>
      </c>
      <c r="BH126" s="23">
        <f>+'QTR Raw'!AB57</f>
        <v>0</v>
      </c>
      <c r="BI126" s="23">
        <f t="shared" si="1061"/>
        <v>0</v>
      </c>
      <c r="BJ126" s="23">
        <f>+'QTR Raw'!AD57</f>
        <v>0</v>
      </c>
      <c r="BK126" s="23">
        <f t="shared" si="1061"/>
        <v>0</v>
      </c>
      <c r="BL126" s="23">
        <f>+'QTR Raw'!AF57</f>
        <v>0</v>
      </c>
      <c r="BM126" s="23">
        <f t="shared" si="1061"/>
        <v>0</v>
      </c>
      <c r="BN126" s="23">
        <f>+'QTR Raw'!AH57</f>
        <v>0</v>
      </c>
      <c r="BO126" s="23">
        <f t="shared" si="1061"/>
        <v>0</v>
      </c>
      <c r="BP126" s="23">
        <f>+'QTR Raw'!AJ57</f>
        <v>0</v>
      </c>
      <c r="BQ126" s="23">
        <f t="shared" si="1061"/>
        <v>0</v>
      </c>
      <c r="BR126" s="23">
        <f>+'QTR Raw'!AL57</f>
        <v>0</v>
      </c>
      <c r="BS126" s="23">
        <f t="shared" si="1061"/>
        <v>0</v>
      </c>
      <c r="BT126" s="23">
        <f>+'QTR Raw'!AN57</f>
        <v>0</v>
      </c>
      <c r="BU126" s="23">
        <f t="shared" si="1061"/>
        <v>0</v>
      </c>
      <c r="BV126" s="23">
        <f>+'QTR Raw'!AP57</f>
        <v>0</v>
      </c>
      <c r="BW126" s="23">
        <f t="shared" si="1061"/>
        <v>0</v>
      </c>
      <c r="BX126" s="23">
        <f>+'QTR Raw'!AR57</f>
        <v>0</v>
      </c>
      <c r="BY126" s="23">
        <f t="shared" si="1061"/>
        <v>0</v>
      </c>
      <c r="BZ126" s="23">
        <f>+'QTR Raw'!AT57</f>
        <v>0</v>
      </c>
      <c r="CA126" s="23">
        <f t="shared" si="1061"/>
        <v>0</v>
      </c>
      <c r="CB126" s="23">
        <f>+'QTR Raw'!AV57</f>
        <v>0</v>
      </c>
      <c r="CC126" s="23">
        <f t="shared" si="1061"/>
        <v>0</v>
      </c>
      <c r="CD126" s="23">
        <f>+'QTR Raw'!AX57</f>
        <v>0</v>
      </c>
      <c r="CE126" s="23">
        <f t="shared" si="1061"/>
        <v>0</v>
      </c>
      <c r="CF126" s="23">
        <f>+'QTR Raw'!AZ57</f>
        <v>0</v>
      </c>
      <c r="CG126" s="23">
        <f t="shared" si="1055"/>
        <v>0</v>
      </c>
      <c r="CH126" s="23">
        <f t="shared" ref="CH126:CH127" si="1062">Z126</f>
        <v>19.3703</v>
      </c>
      <c r="CI126" s="23">
        <f>CH126</f>
        <v>19.3703</v>
      </c>
      <c r="CJ126" s="23">
        <f>+'QTR Raw'!BD57</f>
        <v>0</v>
      </c>
      <c r="CK126" s="23">
        <f t="shared" ref="CK126:DB126" si="1063">CJ126</f>
        <v>0</v>
      </c>
      <c r="CL126" s="23">
        <f>+'QTR Raw'!BF57</f>
        <v>0</v>
      </c>
      <c r="CM126" s="24">
        <f t="shared" si="1063"/>
        <v>0</v>
      </c>
      <c r="CN126" s="24">
        <f t="shared" si="1063"/>
        <v>0</v>
      </c>
      <c r="CO126" s="24">
        <f t="shared" si="1063"/>
        <v>0</v>
      </c>
      <c r="CP126" s="24">
        <f t="shared" si="1063"/>
        <v>0</v>
      </c>
      <c r="CQ126" s="24">
        <f t="shared" si="1063"/>
        <v>0</v>
      </c>
      <c r="CR126" s="24">
        <f t="shared" si="1063"/>
        <v>0</v>
      </c>
      <c r="CS126" s="24">
        <f t="shared" si="1063"/>
        <v>0</v>
      </c>
      <c r="CT126" s="24">
        <f t="shared" si="1063"/>
        <v>0</v>
      </c>
      <c r="CU126" s="24">
        <f t="shared" si="1063"/>
        <v>0</v>
      </c>
      <c r="CV126" s="24">
        <f t="shared" si="1063"/>
        <v>0</v>
      </c>
      <c r="CW126" s="24">
        <f t="shared" si="1063"/>
        <v>0</v>
      </c>
      <c r="CX126" s="24">
        <f t="shared" si="1063"/>
        <v>0</v>
      </c>
      <c r="CY126" s="24">
        <f t="shared" si="1063"/>
        <v>0</v>
      </c>
      <c r="CZ126" s="24">
        <f t="shared" si="1063"/>
        <v>0</v>
      </c>
      <c r="DA126" s="24">
        <f t="shared" si="1063"/>
        <v>0</v>
      </c>
      <c r="DB126" s="24">
        <f t="shared" si="1063"/>
        <v>0</v>
      </c>
      <c r="DE126" s="123"/>
      <c r="DF126" s="23">
        <v>0</v>
      </c>
    </row>
    <row r="127" spans="1:110" s="23" customFormat="1" outlineLevel="1" x14ac:dyDescent="0.2">
      <c r="A127" s="23" t="s">
        <v>43</v>
      </c>
      <c r="B127" s="23">
        <f>'Annual Raw'!C43</f>
        <v>7.0793999999999997</v>
      </c>
      <c r="C127" s="23">
        <f>'Annual Raw'!D43</f>
        <v>10.71</v>
      </c>
      <c r="D127" s="23">
        <f>'Annual Raw'!E43</f>
        <v>13.614599999999999</v>
      </c>
      <c r="E127" s="23">
        <f>'Annual Raw'!F43</f>
        <v>17.1096</v>
      </c>
      <c r="F127" s="23">
        <f>'Annual Raw'!G43</f>
        <v>23.5566</v>
      </c>
      <c r="G127" s="23">
        <f>'Annual Raw'!H43</f>
        <v>34.802300000000002</v>
      </c>
      <c r="H127" s="23">
        <f>'Annual Raw'!I43</f>
        <v>61.417999999999999</v>
      </c>
      <c r="I127" s="23">
        <f>'Annual Raw'!J43</f>
        <v>88.009299999999996</v>
      </c>
      <c r="J127" s="23">
        <f>'Annual Raw'!K43</f>
        <v>120.6922</v>
      </c>
      <c r="K127" s="23">
        <f>'Annual Raw'!L43</f>
        <v>143.98869999999999</v>
      </c>
      <c r="L127" s="23">
        <f>'Annual Raw'!M43</f>
        <v>151.22890000000001</v>
      </c>
      <c r="M127" s="23">
        <f>'Annual Raw'!N43</f>
        <v>160.84139999999999</v>
      </c>
      <c r="N127" s="23">
        <f>'Annual Raw'!O43</f>
        <v>164.035</v>
      </c>
      <c r="O127" s="23">
        <f>'Annual Raw'!P43</f>
        <v>204.5727</v>
      </c>
      <c r="P127" s="23">
        <f>'Annual Raw'!Q43</f>
        <v>252.2893</v>
      </c>
      <c r="Q127" s="23">
        <f>'Annual Raw'!R43</f>
        <v>354.5548</v>
      </c>
      <c r="R127" s="23">
        <f>'Annual Raw'!S43</f>
        <v>526.53099999999995</v>
      </c>
      <c r="S127" s="23">
        <f>'Annual Raw'!T43</f>
        <v>676.07489999999996</v>
      </c>
      <c r="T127" s="23">
        <f>'Annual Raw'!U43</f>
        <v>880.47630000000004</v>
      </c>
      <c r="U127" s="23">
        <f>'Annual Raw'!V43</f>
        <v>1027.7589</v>
      </c>
      <c r="V127" s="23">
        <f>'Annual Raw'!W43</f>
        <v>1289.8951</v>
      </c>
      <c r="W127" s="23">
        <f>'Annual Raw'!X43</f>
        <v>1538.6265000000001</v>
      </c>
      <c r="X127" s="23">
        <f>'Annual Raw'!Y43</f>
        <v>2023.4907000000001</v>
      </c>
      <c r="Y127" s="23">
        <f>'Annual Raw'!Z43</f>
        <v>2428.3568</v>
      </c>
      <c r="Z127" s="23">
        <f>'Annual Raw'!AA43</f>
        <v>2778.3145</v>
      </c>
      <c r="AA127" s="23">
        <f>'Annual Raw'!AB43</f>
        <v>2955.2114000000001</v>
      </c>
      <c r="AB127" s="24">
        <f t="shared" si="1057"/>
        <v>3825.7554658091931</v>
      </c>
      <c r="AC127" s="24">
        <f t="shared" si="1058"/>
        <v>4838.6785000144564</v>
      </c>
      <c r="AD127" s="24">
        <f t="shared" si="1059"/>
        <v>5968.0153241053549</v>
      </c>
      <c r="AE127" s="24">
        <f t="shared" si="1060"/>
        <v>7224.6282982741459</v>
      </c>
      <c r="AJ127" s="23">
        <f>+'QTR Raw'!D58</f>
        <v>165.286</v>
      </c>
      <c r="AK127" s="23">
        <f>+AJ127+AK56</f>
        <v>174.03399999999999</v>
      </c>
      <c r="AL127" s="23">
        <f>+'QTR Raw'!F58</f>
        <v>164.035</v>
      </c>
      <c r="AM127" s="23">
        <f>+AL127+AM56</f>
        <v>172.96199999999996</v>
      </c>
      <c r="AN127" s="23">
        <f>+'QTR Raw'!H58</f>
        <v>193.40600000000001</v>
      </c>
      <c r="AO127" s="23">
        <f>+AN127+AO56</f>
        <v>214.96299999999999</v>
      </c>
      <c r="AP127" s="23">
        <f>+'QTR Raw'!J58</f>
        <v>204.57300000000001</v>
      </c>
      <c r="AQ127" s="23">
        <f>+AP127+AQ56</f>
        <v>225.36500000000001</v>
      </c>
      <c r="AR127" s="23">
        <f>+'QTR Raw'!L58</f>
        <v>245.91</v>
      </c>
      <c r="AS127" s="23">
        <f>+AR127+AS56</f>
        <v>273.66800000000001</v>
      </c>
      <c r="AT127" s="23">
        <f>+'QTR Raw'!N58</f>
        <v>252.28899999999999</v>
      </c>
      <c r="AU127" s="23">
        <f>+AT127+AU56</f>
        <v>288.00099999999998</v>
      </c>
      <c r="AV127" s="23">
        <f>+'QTR Raw'!P58</f>
        <v>326.03399999999999</v>
      </c>
      <c r="AW127" s="23">
        <f>+AV127+AW56</f>
        <v>365.93500000000006</v>
      </c>
      <c r="AX127" s="23">
        <f>+'QTR Raw'!R58</f>
        <v>354.55500000000001</v>
      </c>
      <c r="AY127" s="23">
        <f>+AX127+AY56</f>
        <v>396.23900000000003</v>
      </c>
      <c r="AZ127" s="23">
        <f>+'QTR Raw'!T58</f>
        <v>439.56</v>
      </c>
      <c r="BA127" s="23">
        <f>+AZ127+BA56</f>
        <v>483.709</v>
      </c>
      <c r="BB127" s="23">
        <f>+'QTR Raw'!V58</f>
        <v>526.53099999999995</v>
      </c>
      <c r="BC127" s="23">
        <f>+BB127+BC56</f>
        <v>576.27499999999998</v>
      </c>
      <c r="BD127" s="23">
        <f>+'QTR Raw'!X58</f>
        <v>542.21900000000005</v>
      </c>
      <c r="BE127" s="23">
        <f>+BD127+BE56</f>
        <v>604.98500000000001</v>
      </c>
      <c r="BF127" s="23">
        <f>+'QTR Raw'!Z58</f>
        <v>676.07500000000005</v>
      </c>
      <c r="BG127" s="23">
        <f>+BF127+BG56</f>
        <v>746.57300000000009</v>
      </c>
      <c r="BH127" s="23">
        <f>+'QTR Raw'!AB58</f>
        <v>744.47799999999995</v>
      </c>
      <c r="BI127" s="23">
        <f>+BH127+BI56</f>
        <v>810.47199999999998</v>
      </c>
      <c r="BJ127" s="23">
        <f>+'QTR Raw'!AD58</f>
        <v>880.476</v>
      </c>
      <c r="BK127" s="23">
        <f>+BJ127+BK56</f>
        <v>929.26900000000001</v>
      </c>
      <c r="BL127" s="23">
        <f>+'QTR Raw'!AF58</f>
        <v>871.82500000000005</v>
      </c>
      <c r="BM127" s="23">
        <f>+BL127+BM56</f>
        <v>947.24600000000009</v>
      </c>
      <c r="BN127" s="23">
        <f>+'QTR Raw'!AH58</f>
        <v>1027.759</v>
      </c>
      <c r="BO127" s="23">
        <f>+BN127+BO56</f>
        <v>1096.633</v>
      </c>
      <c r="BP127" s="23">
        <f>+'QTR Raw'!AJ58</f>
        <v>1071.808</v>
      </c>
      <c r="BQ127" s="23">
        <f>+BP127+BQ56</f>
        <v>1177.01</v>
      </c>
      <c r="BR127" s="23">
        <f>+'QTR Raw'!AL58</f>
        <v>1289.895</v>
      </c>
      <c r="BS127" s="23">
        <f>+BR127+BS56</f>
        <v>1403.27</v>
      </c>
      <c r="BT127" s="23">
        <f>+'QTR Raw'!AN58</f>
        <v>1228.32</v>
      </c>
      <c r="BU127" s="23">
        <f>+BT127+BU56</f>
        <v>1379.27</v>
      </c>
      <c r="BV127" s="23">
        <f>+'QTR Raw'!AP58</f>
        <v>1538.626</v>
      </c>
      <c r="BW127" s="23">
        <f>+BV127+BW56</f>
        <v>1723.347</v>
      </c>
      <c r="BX127" s="23">
        <f>+'QTR Raw'!AR58</f>
        <v>1629.75</v>
      </c>
      <c r="BY127" s="23">
        <f>+BX127+BY56</f>
        <v>1824.4270000000001</v>
      </c>
      <c r="BZ127" s="23">
        <f>+'QTR Raw'!AT58</f>
        <v>2023.491</v>
      </c>
      <c r="CA127" s="23">
        <f>+BZ127+CA56</f>
        <v>2212.3440000000001</v>
      </c>
      <c r="CB127" s="23">
        <f>+'QTR Raw'!AV58</f>
        <v>2034.086</v>
      </c>
      <c r="CC127" s="23">
        <f>+CB127+CC56</f>
        <v>2240.5190000000002</v>
      </c>
      <c r="CD127" s="23">
        <f>+'QTR Raw'!AX58</f>
        <v>2443.38</v>
      </c>
      <c r="CE127" s="23">
        <f>+CD127+CE56</f>
        <v>2627.46</v>
      </c>
      <c r="CF127" s="23">
        <f>+'QTR Raw'!AZ58</f>
        <v>2424.29</v>
      </c>
      <c r="CG127" s="23">
        <f>+CF127+CG56</f>
        <v>2623.2979999999998</v>
      </c>
      <c r="CH127" s="23">
        <f t="shared" si="1062"/>
        <v>2778.3145</v>
      </c>
      <c r="CI127" s="23">
        <f>CH127+CI56</f>
        <v>2922.6824999999999</v>
      </c>
      <c r="CJ127" s="23">
        <f>+'QTR Raw'!BD58</f>
        <v>2640.3490000000002</v>
      </c>
      <c r="CK127" s="23">
        <f t="shared" ref="CK127:DB127" si="1064">CJ127+CK56</f>
        <v>2749.239</v>
      </c>
      <c r="CL127" s="23">
        <f>+'QTR Raw'!BF58</f>
        <v>2979.0450000000001</v>
      </c>
      <c r="CM127" s="24">
        <f t="shared" si="1064"/>
        <v>3167.2250021784175</v>
      </c>
      <c r="CN127" s="24">
        <f t="shared" si="1064"/>
        <v>3371.2045700854728</v>
      </c>
      <c r="CO127" s="24">
        <f t="shared" si="1064"/>
        <v>3594.3549983095249</v>
      </c>
      <c r="CP127" s="24">
        <f t="shared" si="1064"/>
        <v>3825.7554658091931</v>
      </c>
      <c r="CQ127" s="24">
        <f t="shared" si="1064"/>
        <v>4056.4018505376771</v>
      </c>
      <c r="CR127" s="24">
        <f t="shared" si="1064"/>
        <v>4302.9527836797715</v>
      </c>
      <c r="CS127" s="24">
        <f t="shared" si="1064"/>
        <v>4564.3850243458528</v>
      </c>
      <c r="CT127" s="24">
        <f t="shared" si="1064"/>
        <v>4838.6785000144564</v>
      </c>
      <c r="CU127" s="24">
        <f t="shared" si="1064"/>
        <v>5102.1855205504926</v>
      </c>
      <c r="CV127" s="24">
        <f t="shared" si="1064"/>
        <v>5379.5739304363924</v>
      </c>
      <c r="CW127" s="24">
        <f t="shared" si="1064"/>
        <v>5668.811882919912</v>
      </c>
      <c r="CX127" s="24">
        <f t="shared" si="1064"/>
        <v>5968.0153241053549</v>
      </c>
      <c r="CY127" s="24">
        <f t="shared" si="1064"/>
        <v>6270.0703062715775</v>
      </c>
      <c r="CZ127" s="24">
        <f t="shared" si="1064"/>
        <v>6581.0480253406004</v>
      </c>
      <c r="DA127" s="24">
        <f t="shared" si="1064"/>
        <v>6899.5571851395489</v>
      </c>
      <c r="DB127" s="24">
        <f t="shared" si="1064"/>
        <v>7224.6282982741459</v>
      </c>
      <c r="DE127" s="123"/>
      <c r="DF127" s="23">
        <v>2930.6536831059934</v>
      </c>
    </row>
    <row r="128" spans="1:110" s="22" customFormat="1" x14ac:dyDescent="0.2">
      <c r="A128" s="22" t="s">
        <v>44</v>
      </c>
      <c r="B128" s="22">
        <f>B125+B126+B127</f>
        <v>38.217600000000004</v>
      </c>
      <c r="C128" s="22">
        <f t="shared" ref="C128:V128" si="1065">C125+C126+C127</f>
        <v>41.848200000000006</v>
      </c>
      <c r="D128" s="22">
        <f t="shared" si="1065"/>
        <v>44.752800000000001</v>
      </c>
      <c r="E128" s="22">
        <f t="shared" si="1065"/>
        <v>48.247799999999998</v>
      </c>
      <c r="F128" s="22">
        <f t="shared" si="1065"/>
        <v>54.694800000000001</v>
      </c>
      <c r="G128" s="22">
        <f t="shared" si="1065"/>
        <v>65.9405</v>
      </c>
      <c r="H128" s="22">
        <f t="shared" si="1065"/>
        <v>92.556200000000004</v>
      </c>
      <c r="I128" s="22">
        <f t="shared" si="1065"/>
        <v>119.14749999999999</v>
      </c>
      <c r="J128" s="22">
        <f t="shared" si="1065"/>
        <v>151.8304</v>
      </c>
      <c r="K128" s="22">
        <f t="shared" si="1065"/>
        <v>175.12690000000001</v>
      </c>
      <c r="L128" s="22">
        <f t="shared" si="1065"/>
        <v>182.36710000000002</v>
      </c>
      <c r="M128" s="22">
        <f>M125+M126+M127</f>
        <v>191.9796</v>
      </c>
      <c r="N128" s="22">
        <f t="shared" si="1065"/>
        <v>195.17320000000001</v>
      </c>
      <c r="O128" s="22">
        <f t="shared" si="1065"/>
        <v>235.71090000000001</v>
      </c>
      <c r="P128" s="22">
        <f t="shared" si="1065"/>
        <v>283.42750000000001</v>
      </c>
      <c r="Q128" s="22">
        <f t="shared" si="1065"/>
        <v>385.69299999999998</v>
      </c>
      <c r="R128" s="22">
        <f t="shared" si="1065"/>
        <v>557.66919999999993</v>
      </c>
      <c r="S128" s="22">
        <f t="shared" si="1065"/>
        <v>738.35129999999992</v>
      </c>
      <c r="T128" s="22">
        <f t="shared" si="1065"/>
        <v>942.7527</v>
      </c>
      <c r="U128" s="22">
        <f t="shared" si="1065"/>
        <v>1090.0353</v>
      </c>
      <c r="V128" s="22">
        <f t="shared" si="1065"/>
        <v>1352.1714999999999</v>
      </c>
      <c r="W128" s="22">
        <f t="shared" ref="W128" si="1066">W125+W126+W127</f>
        <v>1600.9029</v>
      </c>
      <c r="X128" s="22">
        <f t="shared" ref="X128:Y128" si="1067">X125+X126+X127</f>
        <v>2085.7671</v>
      </c>
      <c r="Y128" s="22">
        <f t="shared" si="1067"/>
        <v>2505.6563000000001</v>
      </c>
      <c r="Z128" s="22">
        <f t="shared" ref="Z128:AA128" si="1068">Z125+Z126+Z127</f>
        <v>2859.9688999999998</v>
      </c>
      <c r="AA128" s="22">
        <f t="shared" si="1068"/>
        <v>3041.3416999999999</v>
      </c>
      <c r="AB128" s="21">
        <f t="shared" ref="AA128:AD128" si="1069">AB125+AB126+AB127</f>
        <v>3888.0524658091931</v>
      </c>
      <c r="AC128" s="21">
        <f t="shared" si="1069"/>
        <v>4900.975500014456</v>
      </c>
      <c r="AD128" s="21">
        <f t="shared" si="1069"/>
        <v>6030.3123241053545</v>
      </c>
      <c r="AE128" s="21">
        <f t="shared" ref="AE128" si="1070">AE125+AE126+AE127</f>
        <v>7286.9252982741455</v>
      </c>
      <c r="AJ128" s="22">
        <f t="shared" ref="AJ128" si="1071">AJ125+AJ126+AJ127</f>
        <v>196.42400000000001</v>
      </c>
      <c r="AK128" s="22">
        <f t="shared" ref="AK128" si="1072">AK125+AK126+AK127</f>
        <v>205.172</v>
      </c>
      <c r="AL128" s="22">
        <f t="shared" ref="AL128:AM128" si="1073">AL125+AL126+AL127</f>
        <v>195.173</v>
      </c>
      <c r="AM128" s="22">
        <f t="shared" si="1073"/>
        <v>204.09999999999997</v>
      </c>
      <c r="AN128" s="22">
        <f t="shared" ref="AN128:AO128" si="1074">AN125+AN126+AN127</f>
        <v>224.54400000000001</v>
      </c>
      <c r="AO128" s="22">
        <f t="shared" si="1074"/>
        <v>246.101</v>
      </c>
      <c r="AP128" s="22">
        <f t="shared" ref="AP128:CE128" si="1075">AP125+AP126+AP127</f>
        <v>235.71100000000001</v>
      </c>
      <c r="AQ128" s="22">
        <f t="shared" si="1075"/>
        <v>256.50299999999999</v>
      </c>
      <c r="AR128" s="22">
        <f t="shared" si="1075"/>
        <v>277.048</v>
      </c>
      <c r="AS128" s="22">
        <f t="shared" si="1075"/>
        <v>304.80599999999998</v>
      </c>
      <c r="AT128" s="22">
        <f t="shared" si="1075"/>
        <v>283.42699999999996</v>
      </c>
      <c r="AU128" s="22">
        <f t="shared" si="1075"/>
        <v>319.13899999999995</v>
      </c>
      <c r="AV128" s="22">
        <f t="shared" si="1075"/>
        <v>357.17199999999997</v>
      </c>
      <c r="AW128" s="22">
        <f t="shared" si="1075"/>
        <v>397.07300000000004</v>
      </c>
      <c r="AX128" s="22">
        <f t="shared" si="1075"/>
        <v>385.69299999999998</v>
      </c>
      <c r="AY128" s="22">
        <f t="shared" si="1075"/>
        <v>427.37700000000001</v>
      </c>
      <c r="AZ128" s="22">
        <f t="shared" si="1075"/>
        <v>470.69799999999998</v>
      </c>
      <c r="BA128" s="22">
        <f t="shared" si="1075"/>
        <v>514.84699999999998</v>
      </c>
      <c r="BB128" s="22">
        <f t="shared" si="1075"/>
        <v>557.66899999999998</v>
      </c>
      <c r="BC128" s="22">
        <f t="shared" si="1075"/>
        <v>607.41300000000001</v>
      </c>
      <c r="BD128" s="22">
        <f t="shared" si="1075"/>
        <v>604.495</v>
      </c>
      <c r="BE128" s="22">
        <f t="shared" si="1075"/>
        <v>667.26099999999997</v>
      </c>
      <c r="BF128" s="22">
        <f t="shared" si="1075"/>
        <v>738.351</v>
      </c>
      <c r="BG128" s="22">
        <f t="shared" si="1075"/>
        <v>808.84900000000005</v>
      </c>
      <c r="BH128" s="22">
        <f t="shared" si="1075"/>
        <v>806.75399999999991</v>
      </c>
      <c r="BI128" s="22">
        <f t="shared" si="1075"/>
        <v>872.74799999999993</v>
      </c>
      <c r="BJ128" s="22">
        <f t="shared" si="1075"/>
        <v>942.75199999999995</v>
      </c>
      <c r="BK128" s="22">
        <f t="shared" si="1075"/>
        <v>991.54499999999996</v>
      </c>
      <c r="BL128" s="22">
        <f t="shared" si="1075"/>
        <v>934.101</v>
      </c>
      <c r="BM128" s="22">
        <f t="shared" si="1075"/>
        <v>1009.522</v>
      </c>
      <c r="BN128" s="22">
        <f t="shared" si="1075"/>
        <v>1090.0350000000001</v>
      </c>
      <c r="BO128" s="22">
        <f t="shared" si="1075"/>
        <v>1158.9090000000001</v>
      </c>
      <c r="BP128" s="22">
        <f t="shared" si="1075"/>
        <v>1134.0840000000001</v>
      </c>
      <c r="BQ128" s="22">
        <f t="shared" si="1075"/>
        <v>1239.2860000000001</v>
      </c>
      <c r="BR128" s="22">
        <f t="shared" si="1075"/>
        <v>1352.171</v>
      </c>
      <c r="BS128" s="22">
        <f t="shared" si="1075"/>
        <v>1465.546</v>
      </c>
      <c r="BT128" s="22">
        <f t="shared" si="1075"/>
        <v>1290.596</v>
      </c>
      <c r="BU128" s="22">
        <f t="shared" si="1075"/>
        <v>1441.546</v>
      </c>
      <c r="BV128" s="22">
        <f t="shared" si="1075"/>
        <v>1600.902</v>
      </c>
      <c r="BW128" s="22">
        <f t="shared" si="1075"/>
        <v>1785.623</v>
      </c>
      <c r="BX128" s="22">
        <f t="shared" si="1075"/>
        <v>1692.0260000000001</v>
      </c>
      <c r="BY128" s="22">
        <f t="shared" si="1075"/>
        <v>1886.7030000000002</v>
      </c>
      <c r="BZ128" s="22">
        <f t="shared" si="1075"/>
        <v>2085.7669999999998</v>
      </c>
      <c r="CA128" s="22">
        <f t="shared" si="1075"/>
        <v>2274.62</v>
      </c>
      <c r="CB128" s="22">
        <f t="shared" si="1075"/>
        <v>2096.3620000000001</v>
      </c>
      <c r="CC128" s="22">
        <f t="shared" si="1075"/>
        <v>2302.7950000000001</v>
      </c>
      <c r="CD128" s="22">
        <f t="shared" si="1075"/>
        <v>2505.6559999999999</v>
      </c>
      <c r="CE128" s="22">
        <f t="shared" si="1075"/>
        <v>2689.7359999999999</v>
      </c>
      <c r="CF128" s="22">
        <f t="shared" ref="CF128:CG128" si="1076">CF125+CF126+CF127</f>
        <v>2486.5700000000002</v>
      </c>
      <c r="CG128" s="22">
        <f t="shared" si="1076"/>
        <v>2685.578</v>
      </c>
      <c r="CH128" s="22">
        <f t="shared" ref="CH128:CI128" si="1077">CH125+CH126+CH127</f>
        <v>2859.9688999999998</v>
      </c>
      <c r="CI128" s="22">
        <f t="shared" si="1077"/>
        <v>3004.3368999999998</v>
      </c>
      <c r="CJ128" s="22">
        <f t="shared" ref="CJ128:DB128" si="1078">CJ125+CJ126+CJ127</f>
        <v>2702.6420000000003</v>
      </c>
      <c r="CK128" s="22">
        <f t="shared" si="1078"/>
        <v>2811.5320000000002</v>
      </c>
      <c r="CL128" s="22">
        <f t="shared" ref="CL128" si="1079">CL125+CL126+CL127</f>
        <v>3041.3420000000001</v>
      </c>
      <c r="CM128" s="21">
        <f t="shared" si="1078"/>
        <v>3229.5220021784176</v>
      </c>
      <c r="CN128" s="21">
        <f t="shared" si="1078"/>
        <v>3433.5015700854728</v>
      </c>
      <c r="CO128" s="21">
        <f t="shared" si="1078"/>
        <v>3656.651998309525</v>
      </c>
      <c r="CP128" s="21">
        <f t="shared" si="1078"/>
        <v>3888.0524658091931</v>
      </c>
      <c r="CQ128" s="21">
        <f t="shared" si="1078"/>
        <v>4118.6988505376767</v>
      </c>
      <c r="CR128" s="21">
        <f t="shared" si="1078"/>
        <v>4365.2497836797711</v>
      </c>
      <c r="CS128" s="21">
        <f t="shared" si="1078"/>
        <v>4626.6820243458524</v>
      </c>
      <c r="CT128" s="21">
        <f t="shared" si="1078"/>
        <v>4900.975500014456</v>
      </c>
      <c r="CU128" s="21">
        <f t="shared" si="1078"/>
        <v>5164.4825205504922</v>
      </c>
      <c r="CV128" s="21">
        <f t="shared" si="1078"/>
        <v>5441.870930436392</v>
      </c>
      <c r="CW128" s="21">
        <f t="shared" si="1078"/>
        <v>5731.1088829199116</v>
      </c>
      <c r="CX128" s="21">
        <f t="shared" si="1078"/>
        <v>6030.3123241053545</v>
      </c>
      <c r="CY128" s="21">
        <f t="shared" si="1078"/>
        <v>6332.367306271577</v>
      </c>
      <c r="CZ128" s="21">
        <f t="shared" si="1078"/>
        <v>6643.3450253405999</v>
      </c>
      <c r="DA128" s="21">
        <f t="shared" si="1078"/>
        <v>6961.8541851395485</v>
      </c>
      <c r="DB128" s="21">
        <f t="shared" si="1078"/>
        <v>7286.9252982741455</v>
      </c>
      <c r="DE128" s="126"/>
      <c r="DF128" s="22">
        <v>2992.9466831059935</v>
      </c>
    </row>
    <row r="129" spans="1:110" s="22" customFormat="1" x14ac:dyDescent="0.2">
      <c r="AB129" s="21"/>
      <c r="AC129" s="21"/>
      <c r="AD129" s="21"/>
      <c r="AE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E129" s="126"/>
    </row>
    <row r="130" spans="1:110" s="23" customFormat="1" x14ac:dyDescent="0.2">
      <c r="A130" s="23" t="s">
        <v>23</v>
      </c>
      <c r="B130" s="23">
        <f>'Annual Raw'!C45</f>
        <v>0</v>
      </c>
      <c r="C130" s="23">
        <f>'Annual Raw'!D45</f>
        <v>0</v>
      </c>
      <c r="D130" s="23">
        <f>'Annual Raw'!E45</f>
        <v>0</v>
      </c>
      <c r="E130" s="23">
        <f>'Annual Raw'!F45</f>
        <v>0</v>
      </c>
      <c r="F130" s="23">
        <f>'Annual Raw'!G45</f>
        <v>0</v>
      </c>
      <c r="G130" s="23">
        <f>'Annual Raw'!H45</f>
        <v>0</v>
      </c>
      <c r="H130" s="23">
        <f>'Annual Raw'!I45</f>
        <v>0</v>
      </c>
      <c r="I130" s="23">
        <f>'Annual Raw'!J45</f>
        <v>0</v>
      </c>
      <c r="J130" s="23">
        <f>'Annual Raw'!K45</f>
        <v>0</v>
      </c>
      <c r="K130" s="23">
        <f>'Annual Raw'!L45</f>
        <v>0</v>
      </c>
      <c r="L130" s="23">
        <f>'Annual Raw'!M45</f>
        <v>0</v>
      </c>
      <c r="M130" s="23">
        <f>'Annual Raw'!N45</f>
        <v>0</v>
      </c>
      <c r="N130" s="23">
        <f>'Annual Raw'!O45</f>
        <v>0</v>
      </c>
      <c r="O130" s="23">
        <f>'Annual Raw'!P45</f>
        <v>0</v>
      </c>
      <c r="P130" s="23">
        <f>'Annual Raw'!Q45</f>
        <v>0</v>
      </c>
      <c r="Q130" s="23">
        <f>'Annual Raw'!R45</f>
        <v>0</v>
      </c>
      <c r="R130" s="23">
        <f>'Annual Raw'!S45</f>
        <v>0</v>
      </c>
      <c r="S130" s="23">
        <f>'Annual Raw'!T45</f>
        <v>0</v>
      </c>
      <c r="T130" s="23">
        <f>'Annual Raw'!U45</f>
        <v>0</v>
      </c>
      <c r="U130" s="23">
        <f>'Annual Raw'!V45</f>
        <v>0</v>
      </c>
      <c r="V130" s="23">
        <f>'Annual Raw'!W45</f>
        <v>0</v>
      </c>
      <c r="W130" s="23">
        <f>'Annual Raw'!X45</f>
        <v>0</v>
      </c>
      <c r="X130" s="23">
        <f>'Annual Raw'!Y45</f>
        <v>0</v>
      </c>
      <c r="Y130" s="23">
        <f>'Annual Raw'!Z45</f>
        <v>0</v>
      </c>
      <c r="Z130" s="23">
        <f>'Annual Raw'!AA45</f>
        <v>0</v>
      </c>
      <c r="AA130" s="23">
        <f>'Annual Raw'!AB45</f>
        <v>0</v>
      </c>
      <c r="AB130" s="24">
        <f>+CP130</f>
        <v>0</v>
      </c>
      <c r="AC130" s="24">
        <f>+CT130</f>
        <v>0</v>
      </c>
      <c r="AD130" s="24">
        <f>+CX130</f>
        <v>0</v>
      </c>
      <c r="AE130" s="24">
        <f>+DB130</f>
        <v>0</v>
      </c>
      <c r="AJ130" s="23">
        <f>+'QTR Raw'!D60</f>
        <v>0</v>
      </c>
      <c r="AK130" s="23">
        <f t="shared" ref="AK130:CE130" si="1080">+AJ130</f>
        <v>0</v>
      </c>
      <c r="AL130" s="23">
        <f>+'QTR Raw'!F60</f>
        <v>0</v>
      </c>
      <c r="AM130" s="23">
        <f t="shared" si="1080"/>
        <v>0</v>
      </c>
      <c r="AN130" s="23">
        <f>+'QTR Raw'!H60</f>
        <v>0</v>
      </c>
      <c r="AO130" s="23">
        <f t="shared" si="1080"/>
        <v>0</v>
      </c>
      <c r="AP130" s="23">
        <f>+'QTR Raw'!J60</f>
        <v>0</v>
      </c>
      <c r="AQ130" s="23">
        <f t="shared" si="1080"/>
        <v>0</v>
      </c>
      <c r="AR130" s="23">
        <f>+'QTR Raw'!L60</f>
        <v>0</v>
      </c>
      <c r="AS130" s="23">
        <f t="shared" si="1080"/>
        <v>0</v>
      </c>
      <c r="AT130" s="23">
        <f>+'QTR Raw'!N60</f>
        <v>0</v>
      </c>
      <c r="AU130" s="23">
        <f t="shared" si="1080"/>
        <v>0</v>
      </c>
      <c r="AV130" s="23">
        <f>+'QTR Raw'!P60</f>
        <v>0</v>
      </c>
      <c r="AW130" s="23">
        <f t="shared" si="1080"/>
        <v>0</v>
      </c>
      <c r="AX130" s="23">
        <f>+'QTR Raw'!R60</f>
        <v>0</v>
      </c>
      <c r="AY130" s="23">
        <f t="shared" si="1080"/>
        <v>0</v>
      </c>
      <c r="AZ130" s="23">
        <f>+'QTR Raw'!T60</f>
        <v>0</v>
      </c>
      <c r="BA130" s="23">
        <f t="shared" si="1080"/>
        <v>0</v>
      </c>
      <c r="BB130" s="23">
        <f>+'QTR Raw'!V60</f>
        <v>0</v>
      </c>
      <c r="BC130" s="23">
        <f t="shared" si="1080"/>
        <v>0</v>
      </c>
      <c r="BD130" s="23">
        <f>+'QTR Raw'!X60</f>
        <v>0</v>
      </c>
      <c r="BE130" s="23">
        <f t="shared" si="1080"/>
        <v>0</v>
      </c>
      <c r="BF130" s="23">
        <f>+'QTR Raw'!Z60</f>
        <v>0</v>
      </c>
      <c r="BG130" s="23">
        <f t="shared" si="1080"/>
        <v>0</v>
      </c>
      <c r="BH130" s="22">
        <f>+'QTR Raw'!AB60</f>
        <v>0</v>
      </c>
      <c r="BI130" s="23">
        <f t="shared" si="1080"/>
        <v>0</v>
      </c>
      <c r="BJ130" s="23">
        <f>+'QTR Raw'!AD60</f>
        <v>0</v>
      </c>
      <c r="BK130" s="23">
        <f t="shared" si="1080"/>
        <v>0</v>
      </c>
      <c r="BL130" s="23">
        <f>+'QTR Raw'!AF60</f>
        <v>0</v>
      </c>
      <c r="BM130" s="23">
        <f t="shared" si="1080"/>
        <v>0</v>
      </c>
      <c r="BN130" s="23">
        <f>+'QTR Raw'!AH60</f>
        <v>0</v>
      </c>
      <c r="BO130" s="23">
        <f t="shared" si="1080"/>
        <v>0</v>
      </c>
      <c r="BP130" s="23">
        <f>+'QTR Raw'!AJ60</f>
        <v>0</v>
      </c>
      <c r="BQ130" s="23">
        <f t="shared" si="1080"/>
        <v>0</v>
      </c>
      <c r="BR130" s="23">
        <f>+'QTR Raw'!AL60</f>
        <v>0</v>
      </c>
      <c r="BS130" s="23">
        <f t="shared" si="1080"/>
        <v>0</v>
      </c>
      <c r="BT130" s="23">
        <f>+'QTR Raw'!AN60</f>
        <v>0</v>
      </c>
      <c r="BU130" s="23">
        <f t="shared" si="1080"/>
        <v>0</v>
      </c>
      <c r="BV130" s="23">
        <f>+'QTR Raw'!AP60</f>
        <v>0</v>
      </c>
      <c r="BW130" s="23">
        <f t="shared" si="1080"/>
        <v>0</v>
      </c>
      <c r="BX130" s="23">
        <f>+'QTR Raw'!AR60</f>
        <v>0</v>
      </c>
      <c r="BY130" s="23">
        <f t="shared" si="1080"/>
        <v>0</v>
      </c>
      <c r="BZ130" s="23">
        <f>+'QTR Raw'!AT60</f>
        <v>0</v>
      </c>
      <c r="CA130" s="23">
        <f t="shared" si="1080"/>
        <v>0</v>
      </c>
      <c r="CB130" s="23">
        <f>+'QTR Raw'!AV60</f>
        <v>0</v>
      </c>
      <c r="CC130" s="23">
        <f t="shared" si="1080"/>
        <v>0</v>
      </c>
      <c r="CD130" s="23">
        <f>+'QTR Raw'!AX60</f>
        <v>0</v>
      </c>
      <c r="CE130" s="23">
        <f t="shared" si="1080"/>
        <v>0</v>
      </c>
      <c r="CF130" s="23">
        <f>+'QTR Raw'!AZ60</f>
        <v>0</v>
      </c>
      <c r="CG130" s="23">
        <f t="shared" ref="CG130:CI130" si="1081">+CF130</f>
        <v>0</v>
      </c>
      <c r="CH130" s="23">
        <f t="shared" ref="CH130:CH135" si="1082">Z130</f>
        <v>0</v>
      </c>
      <c r="CI130" s="23">
        <f t="shared" si="1081"/>
        <v>0</v>
      </c>
      <c r="CJ130" s="23">
        <f>+'QTR Raw'!BD60</f>
        <v>0</v>
      </c>
      <c r="CK130" s="23">
        <f t="shared" ref="CK130" si="1083">+CJ130</f>
        <v>0</v>
      </c>
      <c r="CL130" s="23">
        <f>+'QTR Raw'!BF60</f>
        <v>0</v>
      </c>
      <c r="CM130" s="24">
        <f t="shared" ref="CM130" si="1084">+CL130</f>
        <v>0</v>
      </c>
      <c r="CN130" s="24">
        <f t="shared" ref="CN130" si="1085">+CM130</f>
        <v>0</v>
      </c>
      <c r="CO130" s="24">
        <f t="shared" ref="CO130" si="1086">+CN130</f>
        <v>0</v>
      </c>
      <c r="CP130" s="24">
        <f t="shared" ref="CP130" si="1087">+CO130</f>
        <v>0</v>
      </c>
      <c r="CQ130" s="24">
        <f t="shared" ref="CQ130" si="1088">+CP130</f>
        <v>0</v>
      </c>
      <c r="CR130" s="24">
        <f t="shared" ref="CR130" si="1089">+CQ130</f>
        <v>0</v>
      </c>
      <c r="CS130" s="24">
        <f t="shared" ref="CS130" si="1090">+CR130</f>
        <v>0</v>
      </c>
      <c r="CT130" s="24">
        <f t="shared" ref="CT130" si="1091">+CS130</f>
        <v>0</v>
      </c>
      <c r="CU130" s="24">
        <f t="shared" ref="CU130" si="1092">+CT130</f>
        <v>0</v>
      </c>
      <c r="CV130" s="24">
        <f t="shared" ref="CV130" si="1093">+CU130</f>
        <v>0</v>
      </c>
      <c r="CW130" s="24">
        <f t="shared" ref="CW130" si="1094">+CV130</f>
        <v>0</v>
      </c>
      <c r="CX130" s="24">
        <f t="shared" ref="CX130" si="1095">+CW130</f>
        <v>0</v>
      </c>
      <c r="CY130" s="24">
        <f t="shared" ref="CY130" si="1096">+CX130</f>
        <v>0</v>
      </c>
      <c r="CZ130" s="24">
        <f t="shared" ref="CZ130" si="1097">+CY130</f>
        <v>0</v>
      </c>
      <c r="DA130" s="24">
        <f t="shared" ref="DA130" si="1098">+CZ130</f>
        <v>0</v>
      </c>
      <c r="DB130" s="24">
        <f t="shared" ref="DB130" si="1099">+DA130</f>
        <v>0</v>
      </c>
      <c r="DE130" s="123"/>
      <c r="DF130" s="23">
        <v>0</v>
      </c>
    </row>
    <row r="131" spans="1:110" s="23" customFormat="1" x14ac:dyDescent="0.2">
      <c r="AB131" s="24"/>
      <c r="AC131" s="24"/>
      <c r="AD131" s="24"/>
      <c r="AE131" s="24"/>
      <c r="BH131" s="22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E131" s="123"/>
    </row>
    <row r="132" spans="1:110" s="23" customFormat="1" outlineLevel="1" x14ac:dyDescent="0.2">
      <c r="A132" s="23" t="s">
        <v>45</v>
      </c>
      <c r="B132" s="23">
        <f>'Annual Raw'!C47</f>
        <v>16.7241</v>
      </c>
      <c r="C132" s="23">
        <f>'Annual Raw'!D47</f>
        <v>0</v>
      </c>
      <c r="D132" s="23">
        <f>'Annual Raw'!E47</f>
        <v>0</v>
      </c>
      <c r="E132" s="23">
        <f>'Annual Raw'!F47</f>
        <v>0</v>
      </c>
      <c r="F132" s="23">
        <f>'Annual Raw'!G47</f>
        <v>0</v>
      </c>
      <c r="G132" s="23">
        <f>'Annual Raw'!H47</f>
        <v>0</v>
      </c>
      <c r="H132" s="23">
        <f>'Annual Raw'!I47</f>
        <v>0</v>
      </c>
      <c r="I132" s="23">
        <f>'Annual Raw'!J47</f>
        <v>55.326300000000003</v>
      </c>
      <c r="J132" s="23">
        <f>'Annual Raw'!K47</f>
        <v>13.0793</v>
      </c>
      <c r="K132" s="23">
        <f>'Annual Raw'!L47</f>
        <v>5.0555000000000003</v>
      </c>
      <c r="L132" s="23">
        <f>'Annual Raw'!M47</f>
        <v>0</v>
      </c>
      <c r="M132" s="23">
        <f>'Annual Raw'!N47</f>
        <v>0</v>
      </c>
      <c r="N132" s="23">
        <f>'Annual Raw'!O47</f>
        <v>0</v>
      </c>
      <c r="O132" s="23">
        <f>'Annual Raw'!P47</f>
        <v>0</v>
      </c>
      <c r="P132" s="23">
        <f>'Annual Raw'!Q47</f>
        <v>0</v>
      </c>
      <c r="Q132" s="23">
        <f>'Annual Raw'!R47</f>
        <v>0</v>
      </c>
      <c r="R132" s="23">
        <f>'Annual Raw'!S47</f>
        <v>0</v>
      </c>
      <c r="S132" s="23">
        <f>'Annual Raw'!T47</f>
        <v>0</v>
      </c>
      <c r="T132" s="23">
        <f>'Annual Raw'!U47</f>
        <v>0</v>
      </c>
      <c r="U132" s="23">
        <f>'Annual Raw'!V47</f>
        <v>0</v>
      </c>
      <c r="V132" s="23">
        <f>'Annual Raw'!W47</f>
        <v>0</v>
      </c>
      <c r="W132" s="23">
        <f>'Annual Raw'!X47</f>
        <v>0</v>
      </c>
      <c r="X132" s="23">
        <f>'Annual Raw'!Y47</f>
        <v>0</v>
      </c>
      <c r="Y132" s="23">
        <f>'Annual Raw'!Z47</f>
        <v>0</v>
      </c>
      <c r="Z132" s="23">
        <f>'Annual Raw'!AA47</f>
        <v>0</v>
      </c>
      <c r="AA132" s="23">
        <f>'Annual Raw'!AB47</f>
        <v>0</v>
      </c>
      <c r="AB132" s="24">
        <f t="shared" ref="AB132:AB135" si="1100">+CP132</f>
        <v>0</v>
      </c>
      <c r="AC132" s="24">
        <f t="shared" ref="AC132:AC135" si="1101">+CT132</f>
        <v>0</v>
      </c>
      <c r="AD132" s="24">
        <f t="shared" ref="AD132:AD135" si="1102">+CX132</f>
        <v>0</v>
      </c>
      <c r="AE132" s="24">
        <f t="shared" ref="AE132:AE135" si="1103">+DB132</f>
        <v>0</v>
      </c>
      <c r="AJ132" s="23">
        <f>+'QTR Raw'!D62</f>
        <v>0</v>
      </c>
      <c r="AK132" s="23">
        <f t="shared" ref="AK132:CC135" si="1104">+AJ132</f>
        <v>0</v>
      </c>
      <c r="AL132" s="23">
        <f>+'QTR Raw'!F62</f>
        <v>0</v>
      </c>
      <c r="AM132" s="23">
        <f t="shared" si="1104"/>
        <v>0</v>
      </c>
      <c r="AN132" s="23">
        <f>+'QTR Raw'!H62</f>
        <v>0</v>
      </c>
      <c r="AO132" s="23">
        <f t="shared" si="1104"/>
        <v>0</v>
      </c>
      <c r="AP132" s="23">
        <f>+'QTR Raw'!J62</f>
        <v>0</v>
      </c>
      <c r="AQ132" s="23">
        <f t="shared" si="1104"/>
        <v>0</v>
      </c>
      <c r="AR132" s="23">
        <f>+'QTR Raw'!L62</f>
        <v>0</v>
      </c>
      <c r="AS132" s="23">
        <f t="shared" si="1104"/>
        <v>0</v>
      </c>
      <c r="AT132" s="23">
        <f>+'QTR Raw'!N62</f>
        <v>0</v>
      </c>
      <c r="AU132" s="23">
        <f t="shared" si="1104"/>
        <v>0</v>
      </c>
      <c r="AV132" s="23">
        <f>+'QTR Raw'!P62</f>
        <v>0</v>
      </c>
      <c r="AW132" s="23">
        <f t="shared" si="1104"/>
        <v>0</v>
      </c>
      <c r="AX132" s="23">
        <f>+'QTR Raw'!R62</f>
        <v>0</v>
      </c>
      <c r="AY132" s="23">
        <f t="shared" si="1104"/>
        <v>0</v>
      </c>
      <c r="AZ132" s="23">
        <f>+'QTR Raw'!T62</f>
        <v>0</v>
      </c>
      <c r="BA132" s="23">
        <f t="shared" si="1104"/>
        <v>0</v>
      </c>
      <c r="BB132" s="23">
        <f>+'QTR Raw'!V62</f>
        <v>0</v>
      </c>
      <c r="BC132" s="23">
        <f t="shared" si="1104"/>
        <v>0</v>
      </c>
      <c r="BD132" s="23">
        <f>+'QTR Raw'!X62</f>
        <v>0</v>
      </c>
      <c r="BE132" s="23">
        <f t="shared" si="1104"/>
        <v>0</v>
      </c>
      <c r="BF132" s="23">
        <f>+'QTR Raw'!Z62</f>
        <v>0</v>
      </c>
      <c r="BG132" s="23">
        <f t="shared" si="1104"/>
        <v>0</v>
      </c>
      <c r="BH132" s="22">
        <f>+'QTR Raw'!AB62</f>
        <v>0</v>
      </c>
      <c r="BI132" s="23">
        <f t="shared" si="1104"/>
        <v>0</v>
      </c>
      <c r="BJ132" s="23">
        <f>+'QTR Raw'!AD62</f>
        <v>0</v>
      </c>
      <c r="BK132" s="23">
        <f t="shared" si="1104"/>
        <v>0</v>
      </c>
      <c r="BL132" s="23">
        <f>+'QTR Raw'!AF62</f>
        <v>0</v>
      </c>
      <c r="BM132" s="23">
        <f t="shared" si="1104"/>
        <v>0</v>
      </c>
      <c r="BN132" s="23">
        <f>+'QTR Raw'!AH62</f>
        <v>0</v>
      </c>
      <c r="BO132" s="23">
        <f t="shared" si="1104"/>
        <v>0</v>
      </c>
      <c r="BP132" s="23">
        <f>+'QTR Raw'!AJ62</f>
        <v>0</v>
      </c>
      <c r="BQ132" s="23">
        <f t="shared" si="1104"/>
        <v>0</v>
      </c>
      <c r="BR132" s="23">
        <f>+'QTR Raw'!AL62</f>
        <v>0</v>
      </c>
      <c r="BS132" s="23">
        <f t="shared" si="1104"/>
        <v>0</v>
      </c>
      <c r="BT132" s="23">
        <f>+'QTR Raw'!AN62</f>
        <v>0</v>
      </c>
      <c r="BU132" s="23">
        <f t="shared" si="1104"/>
        <v>0</v>
      </c>
      <c r="BV132" s="23">
        <f>+'QTR Raw'!AP62</f>
        <v>0</v>
      </c>
      <c r="BW132" s="23">
        <f t="shared" si="1104"/>
        <v>0</v>
      </c>
      <c r="BX132" s="23">
        <f>+'QTR Raw'!AR62</f>
        <v>0</v>
      </c>
      <c r="BY132" s="23">
        <f t="shared" si="1104"/>
        <v>0</v>
      </c>
      <c r="BZ132" s="23">
        <f>+'QTR Raw'!AT62</f>
        <v>0</v>
      </c>
      <c r="CA132" s="23">
        <f t="shared" si="1104"/>
        <v>0</v>
      </c>
      <c r="CB132" s="23">
        <f>+'QTR Raw'!AV62</f>
        <v>0</v>
      </c>
      <c r="CC132" s="23">
        <f t="shared" si="1104"/>
        <v>0</v>
      </c>
      <c r="CD132" s="23">
        <f>+'QTR Raw'!AX62</f>
        <v>0</v>
      </c>
      <c r="CE132" s="23">
        <f t="shared" ref="CE132:CE135" si="1105">+CD132</f>
        <v>0</v>
      </c>
      <c r="CF132" s="23">
        <f>+'QTR Raw'!AZ62</f>
        <v>0</v>
      </c>
      <c r="CG132" s="23">
        <f t="shared" ref="CG132:CI135" si="1106">+CF132</f>
        <v>0</v>
      </c>
      <c r="CH132" s="23">
        <f t="shared" si="1082"/>
        <v>0</v>
      </c>
      <c r="CI132" s="23">
        <f t="shared" si="1106"/>
        <v>0</v>
      </c>
      <c r="CJ132" s="23">
        <f>+'QTR Raw'!BD62</f>
        <v>0</v>
      </c>
      <c r="CK132" s="23">
        <f t="shared" ref="CK132:CK135" si="1107">+CJ132</f>
        <v>0</v>
      </c>
      <c r="CL132" s="23">
        <f>+'QTR Raw'!BF62</f>
        <v>0</v>
      </c>
      <c r="CM132" s="24">
        <f t="shared" ref="CM132:CM135" si="1108">+CL132</f>
        <v>0</v>
      </c>
      <c r="CN132" s="24">
        <f t="shared" ref="CN132:CN135" si="1109">+CM132</f>
        <v>0</v>
      </c>
      <c r="CO132" s="24">
        <f t="shared" ref="CO132:CO135" si="1110">+CN132</f>
        <v>0</v>
      </c>
      <c r="CP132" s="24">
        <f t="shared" ref="CP132:CP135" si="1111">+CO132</f>
        <v>0</v>
      </c>
      <c r="CQ132" s="24">
        <f t="shared" ref="CQ132:CQ135" si="1112">+CP132</f>
        <v>0</v>
      </c>
      <c r="CR132" s="24">
        <f t="shared" ref="CR132:CR135" si="1113">+CQ132</f>
        <v>0</v>
      </c>
      <c r="CS132" s="24">
        <f t="shared" ref="CS132:CS135" si="1114">+CR132</f>
        <v>0</v>
      </c>
      <c r="CT132" s="24">
        <f t="shared" ref="CT132:CT135" si="1115">+CS132</f>
        <v>0</v>
      </c>
      <c r="CU132" s="24">
        <f t="shared" ref="CU132:CU135" si="1116">+CT132</f>
        <v>0</v>
      </c>
      <c r="CV132" s="24">
        <f t="shared" ref="CV132:CV135" si="1117">+CU132</f>
        <v>0</v>
      </c>
      <c r="CW132" s="24">
        <f t="shared" ref="CW132:CW135" si="1118">+CV132</f>
        <v>0</v>
      </c>
      <c r="CX132" s="24">
        <f t="shared" ref="CX132:CX135" si="1119">+CW132</f>
        <v>0</v>
      </c>
      <c r="CY132" s="24">
        <f t="shared" ref="CY132:CY135" si="1120">+CX132</f>
        <v>0</v>
      </c>
      <c r="CZ132" s="24">
        <f t="shared" ref="CZ132:CZ135" si="1121">+CY132</f>
        <v>0</v>
      </c>
      <c r="DA132" s="24">
        <f t="shared" ref="DA132:DA135" si="1122">+CZ132</f>
        <v>0</v>
      </c>
      <c r="DB132" s="24">
        <f t="shared" ref="DB132:DB135" si="1123">+DA132</f>
        <v>0</v>
      </c>
      <c r="DE132" s="123"/>
      <c r="DF132" s="23">
        <v>0</v>
      </c>
    </row>
    <row r="133" spans="1:110" s="23" customFormat="1" outlineLevel="1" x14ac:dyDescent="0.2">
      <c r="A133" s="23" t="s">
        <v>46</v>
      </c>
      <c r="B133" s="23">
        <f>'Annual Raw'!C48</f>
        <v>2.2528999999999999</v>
      </c>
      <c r="C133" s="23">
        <f>'Annual Raw'!D48</f>
        <v>2.0596000000000001</v>
      </c>
      <c r="D133" s="23">
        <f>'Annual Raw'!E48</f>
        <v>2.2898000000000001</v>
      </c>
      <c r="E133" s="23">
        <f>'Annual Raw'!F48</f>
        <v>0</v>
      </c>
      <c r="F133" s="23">
        <f>'Annual Raw'!G48</f>
        <v>0</v>
      </c>
      <c r="G133" s="23">
        <f>'Annual Raw'!H48</f>
        <v>0</v>
      </c>
      <c r="H133" s="23">
        <f>'Annual Raw'!I48</f>
        <v>0</v>
      </c>
      <c r="I133" s="23">
        <f>'Annual Raw'!J48</f>
        <v>0</v>
      </c>
      <c r="J133" s="23">
        <f>'Annual Raw'!K48</f>
        <v>0</v>
      </c>
      <c r="K133" s="23">
        <f>'Annual Raw'!L48</f>
        <v>28.913799999999998</v>
      </c>
      <c r="L133" s="23">
        <f>'Annual Raw'!M48</f>
        <v>0</v>
      </c>
      <c r="M133" s="23">
        <f>'Annual Raw'!N48</f>
        <v>0</v>
      </c>
      <c r="N133" s="23">
        <f>'Annual Raw'!O48</f>
        <v>0</v>
      </c>
      <c r="O133" s="23">
        <f>'Annual Raw'!P48</f>
        <v>0</v>
      </c>
      <c r="P133" s="23">
        <f>'Annual Raw'!Q48</f>
        <v>0</v>
      </c>
      <c r="Q133" s="23">
        <f>'Annual Raw'!R48</f>
        <v>0</v>
      </c>
      <c r="R133" s="23">
        <f>'Annual Raw'!S48</f>
        <v>0</v>
      </c>
      <c r="S133" s="23">
        <f>'Annual Raw'!T48</f>
        <v>0</v>
      </c>
      <c r="T133" s="23">
        <f>'Annual Raw'!U48</f>
        <v>0</v>
      </c>
      <c r="U133" s="23">
        <f>'Annual Raw'!V48</f>
        <v>0</v>
      </c>
      <c r="V133" s="23">
        <f>'Annual Raw'!W48</f>
        <v>0</v>
      </c>
      <c r="W133" s="23">
        <f>'Annual Raw'!X48</f>
        <v>0</v>
      </c>
      <c r="X133" s="23">
        <f>'Annual Raw'!Y48</f>
        <v>0</v>
      </c>
      <c r="Y133" s="23">
        <f>'Annual Raw'!Z48</f>
        <v>0</v>
      </c>
      <c r="Z133" s="23">
        <f>'Annual Raw'!AA48</f>
        <v>0</v>
      </c>
      <c r="AA133" s="23">
        <f>'Annual Raw'!AB48</f>
        <v>0</v>
      </c>
      <c r="AB133" s="24">
        <f t="shared" si="1100"/>
        <v>0</v>
      </c>
      <c r="AC133" s="24">
        <f t="shared" si="1101"/>
        <v>0</v>
      </c>
      <c r="AD133" s="24">
        <f t="shared" si="1102"/>
        <v>0</v>
      </c>
      <c r="AE133" s="24">
        <f t="shared" si="1103"/>
        <v>0</v>
      </c>
      <c r="AJ133" s="23">
        <f>+'QTR Raw'!D63</f>
        <v>0</v>
      </c>
      <c r="AK133" s="23">
        <f t="shared" si="1104"/>
        <v>0</v>
      </c>
      <c r="AL133" s="23">
        <f>+'QTR Raw'!F63</f>
        <v>0</v>
      </c>
      <c r="AM133" s="23">
        <f t="shared" si="1104"/>
        <v>0</v>
      </c>
      <c r="AN133" s="23">
        <f>+'QTR Raw'!H63</f>
        <v>0</v>
      </c>
      <c r="AO133" s="23">
        <f t="shared" si="1104"/>
        <v>0</v>
      </c>
      <c r="AP133" s="23">
        <f>+'QTR Raw'!J63</f>
        <v>0</v>
      </c>
      <c r="AQ133" s="23">
        <f t="shared" si="1104"/>
        <v>0</v>
      </c>
      <c r="AR133" s="23">
        <f>+'QTR Raw'!L63</f>
        <v>0</v>
      </c>
      <c r="AS133" s="23">
        <f t="shared" si="1104"/>
        <v>0</v>
      </c>
      <c r="AT133" s="23">
        <f>+'QTR Raw'!N63</f>
        <v>0</v>
      </c>
      <c r="AU133" s="23">
        <f t="shared" si="1104"/>
        <v>0</v>
      </c>
      <c r="AV133" s="23">
        <f>+'QTR Raw'!P63</f>
        <v>0</v>
      </c>
      <c r="AW133" s="23">
        <f t="shared" si="1104"/>
        <v>0</v>
      </c>
      <c r="AX133" s="23">
        <f>+'QTR Raw'!R63</f>
        <v>0</v>
      </c>
      <c r="AY133" s="23">
        <f t="shared" si="1104"/>
        <v>0</v>
      </c>
      <c r="AZ133" s="23">
        <f>+'QTR Raw'!T63</f>
        <v>0</v>
      </c>
      <c r="BA133" s="23">
        <f t="shared" si="1104"/>
        <v>0</v>
      </c>
      <c r="BB133" s="23">
        <f>+'QTR Raw'!V63</f>
        <v>0</v>
      </c>
      <c r="BC133" s="23">
        <f t="shared" si="1104"/>
        <v>0</v>
      </c>
      <c r="BD133" s="23">
        <f>+'QTR Raw'!X63</f>
        <v>0</v>
      </c>
      <c r="BE133" s="23">
        <f t="shared" si="1104"/>
        <v>0</v>
      </c>
      <c r="BF133" s="23">
        <f>+'QTR Raw'!Z63</f>
        <v>0</v>
      </c>
      <c r="BG133" s="23">
        <f t="shared" si="1104"/>
        <v>0</v>
      </c>
      <c r="BH133" s="23">
        <f>+'QTR Raw'!AB63</f>
        <v>0</v>
      </c>
      <c r="BI133" s="23">
        <f t="shared" si="1104"/>
        <v>0</v>
      </c>
      <c r="BJ133" s="23">
        <f>+'QTR Raw'!AD63</f>
        <v>0</v>
      </c>
      <c r="BK133" s="23">
        <f t="shared" si="1104"/>
        <v>0</v>
      </c>
      <c r="BL133" s="23">
        <f>+'QTR Raw'!AF63</f>
        <v>43.942999999999998</v>
      </c>
      <c r="BM133" s="23">
        <f t="shared" si="1104"/>
        <v>43.942999999999998</v>
      </c>
      <c r="BN133" s="23">
        <f>+'QTR Raw'!AH63</f>
        <v>0</v>
      </c>
      <c r="BO133" s="23">
        <f t="shared" si="1104"/>
        <v>0</v>
      </c>
      <c r="BP133" s="23">
        <f>+'QTR Raw'!AJ63</f>
        <v>43.555</v>
      </c>
      <c r="BQ133" s="23">
        <f t="shared" si="1104"/>
        <v>43.555</v>
      </c>
      <c r="BR133" s="23">
        <f>+'QTR Raw'!AL63</f>
        <v>0</v>
      </c>
      <c r="BS133" s="23">
        <f t="shared" si="1104"/>
        <v>0</v>
      </c>
      <c r="BT133" s="23">
        <f>+'QTR Raw'!AN63</f>
        <v>0</v>
      </c>
      <c r="BU133" s="23">
        <f t="shared" si="1104"/>
        <v>0</v>
      </c>
      <c r="BV133" s="23">
        <f>+'QTR Raw'!AP63</f>
        <v>0</v>
      </c>
      <c r="BW133" s="23">
        <f t="shared" si="1104"/>
        <v>0</v>
      </c>
      <c r="BX133" s="23">
        <f>+'QTR Raw'!AR63</f>
        <v>0</v>
      </c>
      <c r="BY133" s="23">
        <f t="shared" si="1104"/>
        <v>0</v>
      </c>
      <c r="BZ133" s="23">
        <f>+'QTR Raw'!AT63</f>
        <v>0</v>
      </c>
      <c r="CA133" s="23">
        <f t="shared" si="1104"/>
        <v>0</v>
      </c>
      <c r="CB133" s="23">
        <f>+'QTR Raw'!AV63</f>
        <v>0</v>
      </c>
      <c r="CC133" s="23">
        <f t="shared" si="1104"/>
        <v>0</v>
      </c>
      <c r="CD133" s="23">
        <f>+'QTR Raw'!AX63</f>
        <v>0</v>
      </c>
      <c r="CE133" s="23">
        <f t="shared" si="1105"/>
        <v>0</v>
      </c>
      <c r="CF133" s="23">
        <f>+'QTR Raw'!AZ63</f>
        <v>0</v>
      </c>
      <c r="CG133" s="23">
        <f t="shared" si="1106"/>
        <v>0</v>
      </c>
      <c r="CH133" s="23">
        <f t="shared" si="1082"/>
        <v>0</v>
      </c>
      <c r="CI133" s="23">
        <f t="shared" si="1106"/>
        <v>0</v>
      </c>
      <c r="CJ133" s="23">
        <f>+'QTR Raw'!BD63</f>
        <v>0</v>
      </c>
      <c r="CK133" s="23">
        <f t="shared" si="1107"/>
        <v>0</v>
      </c>
      <c r="CL133" s="23">
        <f>+'QTR Raw'!BF63</f>
        <v>0</v>
      </c>
      <c r="CM133" s="24">
        <f t="shared" si="1108"/>
        <v>0</v>
      </c>
      <c r="CN133" s="24">
        <f t="shared" si="1109"/>
        <v>0</v>
      </c>
      <c r="CO133" s="24">
        <f t="shared" si="1110"/>
        <v>0</v>
      </c>
      <c r="CP133" s="24">
        <f t="shared" si="1111"/>
        <v>0</v>
      </c>
      <c r="CQ133" s="24">
        <f t="shared" si="1112"/>
        <v>0</v>
      </c>
      <c r="CR133" s="24">
        <f t="shared" si="1113"/>
        <v>0</v>
      </c>
      <c r="CS133" s="24">
        <f t="shared" si="1114"/>
        <v>0</v>
      </c>
      <c r="CT133" s="24">
        <f t="shared" si="1115"/>
        <v>0</v>
      </c>
      <c r="CU133" s="24">
        <f t="shared" si="1116"/>
        <v>0</v>
      </c>
      <c r="CV133" s="24">
        <f t="shared" si="1117"/>
        <v>0</v>
      </c>
      <c r="CW133" s="24">
        <f t="shared" si="1118"/>
        <v>0</v>
      </c>
      <c r="CX133" s="24">
        <f t="shared" si="1119"/>
        <v>0</v>
      </c>
      <c r="CY133" s="24">
        <f t="shared" si="1120"/>
        <v>0</v>
      </c>
      <c r="CZ133" s="24">
        <f t="shared" si="1121"/>
        <v>0</v>
      </c>
      <c r="DA133" s="24">
        <f t="shared" si="1122"/>
        <v>0</v>
      </c>
      <c r="DB133" s="24">
        <f t="shared" si="1123"/>
        <v>0</v>
      </c>
      <c r="DE133" s="123"/>
      <c r="DF133" s="23">
        <v>0</v>
      </c>
    </row>
    <row r="134" spans="1:110" s="23" customFormat="1" outlineLevel="1" x14ac:dyDescent="0.2">
      <c r="A134" s="23" t="s">
        <v>47</v>
      </c>
      <c r="B134" s="23">
        <f>'Annual Raw'!C87+'Annual Raw'!C88+'Annual Raw'!C89+'Annual Raw'!C90</f>
        <v>0</v>
      </c>
      <c r="C134" s="23">
        <f>'Annual Raw'!D87+'Annual Raw'!D88+'Annual Raw'!D89+'Annual Raw'!D90</f>
        <v>0</v>
      </c>
      <c r="D134" s="23">
        <f>'Annual Raw'!E87+'Annual Raw'!E88+'Annual Raw'!E89+'Annual Raw'!E90</f>
        <v>0</v>
      </c>
      <c r="E134" s="23">
        <f>'Annual Raw'!F87+'Annual Raw'!F88+'Annual Raw'!F89+'Annual Raw'!F90</f>
        <v>0</v>
      </c>
      <c r="F134" s="23">
        <f>'Annual Raw'!G87+'Annual Raw'!G88+'Annual Raw'!G89+'Annual Raw'!G90</f>
        <v>0</v>
      </c>
      <c r="G134" s="23">
        <f>'Annual Raw'!H87+'Annual Raw'!H88+'Annual Raw'!H89+'Annual Raw'!H90</f>
        <v>0</v>
      </c>
      <c r="H134" s="23">
        <f>'Annual Raw'!I87+'Annual Raw'!I88+'Annual Raw'!I89+'Annual Raw'!I90</f>
        <v>0</v>
      </c>
      <c r="I134" s="23">
        <f>'Annual Raw'!J87+'Annual Raw'!J88+'Annual Raw'!J89+'Annual Raw'!J90</f>
        <v>0</v>
      </c>
      <c r="J134" s="23">
        <f>'Annual Raw'!K87+'Annual Raw'!K88+'Annual Raw'!K89+'Annual Raw'!K90</f>
        <v>0</v>
      </c>
      <c r="K134" s="23">
        <f>'Annual Raw'!L87+'Annual Raw'!L88+'Annual Raw'!L89+'Annual Raw'!L90</f>
        <v>0</v>
      </c>
      <c r="L134" s="23">
        <f>'Annual Raw'!M87+'Annual Raw'!M88+'Annual Raw'!M89+'Annual Raw'!M90</f>
        <v>0</v>
      </c>
      <c r="M134" s="23">
        <f>'Annual Raw'!N87+'Annual Raw'!N88+'Annual Raw'!N89+'Annual Raw'!N90</f>
        <v>0</v>
      </c>
      <c r="N134" s="23">
        <f>'Annual Raw'!O87+'Annual Raw'!O88+'Annual Raw'!O89+'Annual Raw'!O90</f>
        <v>0</v>
      </c>
      <c r="O134" s="23">
        <f>'Annual Raw'!P87+'Annual Raw'!P88+'Annual Raw'!P89+'Annual Raw'!P90</f>
        <v>0</v>
      </c>
      <c r="P134" s="23">
        <f>'Annual Raw'!Q87+'Annual Raw'!Q88+'Annual Raw'!Q89+'Annual Raw'!Q90</f>
        <v>0</v>
      </c>
      <c r="Q134" s="23">
        <f>'Annual Raw'!R87+'Annual Raw'!R88+'Annual Raw'!R89+'Annual Raw'!R90</f>
        <v>0</v>
      </c>
      <c r="R134" s="23">
        <f>'Annual Raw'!S87+'Annual Raw'!S88+'Annual Raw'!S89+'Annual Raw'!S90</f>
        <v>0</v>
      </c>
      <c r="S134" s="23">
        <f>'Annual Raw'!T87+'Annual Raw'!T88+'Annual Raw'!T89+'Annual Raw'!T90</f>
        <v>0</v>
      </c>
      <c r="T134" s="23">
        <f>'Annual Raw'!U87+'Annual Raw'!U88+'Annual Raw'!U89+'Annual Raw'!U90</f>
        <v>0</v>
      </c>
      <c r="U134" s="23">
        <f>'Annual Raw'!V87+'Annual Raw'!V88+'Annual Raw'!V89+'Annual Raw'!V90</f>
        <v>0</v>
      </c>
      <c r="V134" s="23">
        <f>'Annual Raw'!W87+'Annual Raw'!W88+'Annual Raw'!W89+'Annual Raw'!W90</f>
        <v>0</v>
      </c>
      <c r="W134" s="23">
        <f>'Annual Raw'!X87+'Annual Raw'!X88+'Annual Raw'!X89+'Annual Raw'!X90</f>
        <v>0</v>
      </c>
      <c r="X134" s="23">
        <f>'Annual Raw'!Y87+'Annual Raw'!Y88+'Annual Raw'!Y89+'Annual Raw'!Y90</f>
        <v>0</v>
      </c>
      <c r="Y134" s="23">
        <f>'Annual Raw'!Z87+'Annual Raw'!Z88+'Annual Raw'!Z89+'Annual Raw'!Z90</f>
        <v>0</v>
      </c>
      <c r="Z134" s="23">
        <f>'Annual Raw'!AA87+'Annual Raw'!AA88+'Annual Raw'!AA89+'Annual Raw'!AA90</f>
        <v>0</v>
      </c>
      <c r="AA134" s="23">
        <f>'Annual Raw'!AB87+'Annual Raw'!AB88+'Annual Raw'!AB89+'Annual Raw'!AB90</f>
        <v>0</v>
      </c>
      <c r="AB134" s="24">
        <f t="shared" si="1100"/>
        <v>0</v>
      </c>
      <c r="AC134" s="24">
        <f t="shared" si="1101"/>
        <v>0</v>
      </c>
      <c r="AD134" s="24">
        <f t="shared" si="1102"/>
        <v>0</v>
      </c>
      <c r="AE134" s="24">
        <f t="shared" si="1103"/>
        <v>0</v>
      </c>
      <c r="AJ134" s="23">
        <f>+'QTR Raw'!D90</f>
        <v>0</v>
      </c>
      <c r="AK134" s="23">
        <f t="shared" si="1104"/>
        <v>0</v>
      </c>
      <c r="AL134" s="23">
        <f>+'QTR Raw'!F90</f>
        <v>0</v>
      </c>
      <c r="AM134" s="23">
        <f t="shared" si="1104"/>
        <v>0</v>
      </c>
      <c r="AN134" s="23">
        <f>+'QTR Raw'!H90</f>
        <v>0</v>
      </c>
      <c r="AO134" s="23">
        <f t="shared" si="1104"/>
        <v>0</v>
      </c>
      <c r="AP134" s="23">
        <f>+'QTR Raw'!J90</f>
        <v>0</v>
      </c>
      <c r="AQ134" s="23">
        <f t="shared" si="1104"/>
        <v>0</v>
      </c>
      <c r="AR134" s="23">
        <f>+'QTR Raw'!L90</f>
        <v>0</v>
      </c>
      <c r="AS134" s="23">
        <f t="shared" si="1104"/>
        <v>0</v>
      </c>
      <c r="AT134" s="23">
        <f>+'QTR Raw'!N90</f>
        <v>0</v>
      </c>
      <c r="AU134" s="23">
        <f t="shared" si="1104"/>
        <v>0</v>
      </c>
      <c r="AV134" s="23">
        <f>+'QTR Raw'!P90</f>
        <v>0</v>
      </c>
      <c r="AW134" s="23">
        <f t="shared" si="1104"/>
        <v>0</v>
      </c>
      <c r="AX134" s="23">
        <f>+'QTR Raw'!R90</f>
        <v>0</v>
      </c>
      <c r="AY134" s="23">
        <f t="shared" si="1104"/>
        <v>0</v>
      </c>
      <c r="AZ134" s="23">
        <f>+'QTR Raw'!T90</f>
        <v>0</v>
      </c>
      <c r="BA134" s="23">
        <f t="shared" si="1104"/>
        <v>0</v>
      </c>
      <c r="BB134" s="23">
        <f>+'QTR Raw'!V90</f>
        <v>0</v>
      </c>
      <c r="BC134" s="23">
        <f t="shared" si="1104"/>
        <v>0</v>
      </c>
      <c r="BD134" s="23">
        <f>+'QTR Raw'!X90</f>
        <v>0</v>
      </c>
      <c r="BE134" s="23">
        <f t="shared" si="1104"/>
        <v>0</v>
      </c>
      <c r="BF134" s="23">
        <f>+'QTR Raw'!Z90</f>
        <v>0</v>
      </c>
      <c r="BG134" s="23">
        <f t="shared" si="1104"/>
        <v>0</v>
      </c>
      <c r="BH134" s="22">
        <f>+'QTR Raw'!AB90</f>
        <v>0</v>
      </c>
      <c r="BI134" s="23">
        <f t="shared" si="1104"/>
        <v>0</v>
      </c>
      <c r="BJ134" s="23">
        <f>+'QTR Raw'!AD90</f>
        <v>0</v>
      </c>
      <c r="BK134" s="23">
        <f t="shared" si="1104"/>
        <v>0</v>
      </c>
      <c r="BL134" s="23">
        <f>+'QTR Raw'!AF90</f>
        <v>0</v>
      </c>
      <c r="BM134" s="23">
        <f t="shared" si="1104"/>
        <v>0</v>
      </c>
      <c r="BN134" s="23">
        <f>+'QTR Raw'!AH90</f>
        <v>0</v>
      </c>
      <c r="BO134" s="23">
        <f t="shared" si="1104"/>
        <v>0</v>
      </c>
      <c r="BP134" s="23">
        <f>+'QTR Raw'!AJ90</f>
        <v>0</v>
      </c>
      <c r="BQ134" s="23">
        <f t="shared" si="1104"/>
        <v>0</v>
      </c>
      <c r="BR134" s="23">
        <f>+'QTR Raw'!AL90</f>
        <v>0</v>
      </c>
      <c r="BS134" s="23">
        <f t="shared" si="1104"/>
        <v>0</v>
      </c>
      <c r="BT134" s="23">
        <f>+'QTR Raw'!AN90</f>
        <v>0</v>
      </c>
      <c r="BU134" s="23">
        <f t="shared" si="1104"/>
        <v>0</v>
      </c>
      <c r="BV134" s="23">
        <f>+'QTR Raw'!AP90</f>
        <v>0</v>
      </c>
      <c r="BW134" s="23">
        <f t="shared" si="1104"/>
        <v>0</v>
      </c>
      <c r="BX134" s="23">
        <f>+'QTR Raw'!AR90</f>
        <v>0</v>
      </c>
      <c r="BY134" s="23">
        <f t="shared" si="1104"/>
        <v>0</v>
      </c>
      <c r="BZ134" s="23">
        <f>+'QTR Raw'!AT90</f>
        <v>0</v>
      </c>
      <c r="CA134" s="23">
        <f t="shared" si="1104"/>
        <v>0</v>
      </c>
      <c r="CB134" s="23">
        <f>+'QTR Raw'!AV90</f>
        <v>0</v>
      </c>
      <c r="CC134" s="23">
        <f t="shared" si="1104"/>
        <v>0</v>
      </c>
      <c r="CD134" s="23">
        <f>+'QTR Raw'!AX90</f>
        <v>0</v>
      </c>
      <c r="CE134" s="23">
        <f t="shared" si="1105"/>
        <v>0</v>
      </c>
      <c r="CF134" s="23">
        <f>+'QTR Raw'!AZ90</f>
        <v>0</v>
      </c>
      <c r="CG134" s="23">
        <f t="shared" si="1106"/>
        <v>0</v>
      </c>
      <c r="CH134" s="23">
        <f>+Z134</f>
        <v>0</v>
      </c>
      <c r="CI134" s="23">
        <f t="shared" si="1106"/>
        <v>0</v>
      </c>
      <c r="CJ134" s="23">
        <f>+'QTR Raw'!BD90</f>
        <v>0</v>
      </c>
      <c r="CK134" s="23">
        <f t="shared" si="1107"/>
        <v>0</v>
      </c>
      <c r="CL134" s="23">
        <f>+'QTR Raw'!BF90</f>
        <v>0</v>
      </c>
      <c r="CM134" s="24">
        <f t="shared" si="1108"/>
        <v>0</v>
      </c>
      <c r="CN134" s="24">
        <f t="shared" si="1109"/>
        <v>0</v>
      </c>
      <c r="CO134" s="24">
        <f t="shared" si="1110"/>
        <v>0</v>
      </c>
      <c r="CP134" s="24">
        <f t="shared" si="1111"/>
        <v>0</v>
      </c>
      <c r="CQ134" s="24">
        <f t="shared" si="1112"/>
        <v>0</v>
      </c>
      <c r="CR134" s="24">
        <f t="shared" si="1113"/>
        <v>0</v>
      </c>
      <c r="CS134" s="24">
        <f t="shared" si="1114"/>
        <v>0</v>
      </c>
      <c r="CT134" s="24">
        <f t="shared" si="1115"/>
        <v>0</v>
      </c>
      <c r="CU134" s="24">
        <f t="shared" si="1116"/>
        <v>0</v>
      </c>
      <c r="CV134" s="24">
        <f t="shared" si="1117"/>
        <v>0</v>
      </c>
      <c r="CW134" s="24">
        <f t="shared" si="1118"/>
        <v>0</v>
      </c>
      <c r="CX134" s="24">
        <f t="shared" si="1119"/>
        <v>0</v>
      </c>
      <c r="CY134" s="24">
        <f t="shared" si="1120"/>
        <v>0</v>
      </c>
      <c r="CZ134" s="24">
        <f t="shared" si="1121"/>
        <v>0</v>
      </c>
      <c r="DA134" s="24">
        <f t="shared" si="1122"/>
        <v>0</v>
      </c>
      <c r="DB134" s="24">
        <f t="shared" si="1123"/>
        <v>0</v>
      </c>
      <c r="DE134" s="123"/>
      <c r="DF134" s="23">
        <v>0</v>
      </c>
    </row>
    <row r="135" spans="1:110" s="23" customFormat="1" outlineLevel="1" x14ac:dyDescent="0.2">
      <c r="A135" s="23" t="s">
        <v>48</v>
      </c>
      <c r="B135" s="23">
        <f>'Annual Raw'!C56</f>
        <v>0</v>
      </c>
      <c r="C135" s="23">
        <f>'Annual Raw'!D56</f>
        <v>0</v>
      </c>
      <c r="D135" s="23">
        <f>'Annual Raw'!E56</f>
        <v>0</v>
      </c>
      <c r="E135" s="23">
        <f>'Annual Raw'!F56</f>
        <v>0</v>
      </c>
      <c r="F135" s="23">
        <f>'Annual Raw'!G56</f>
        <v>0</v>
      </c>
      <c r="G135" s="23">
        <f>'Annual Raw'!H56</f>
        <v>0</v>
      </c>
      <c r="H135" s="23">
        <f>'Annual Raw'!I56</f>
        <v>0</v>
      </c>
      <c r="I135" s="23">
        <f>'Annual Raw'!J56</f>
        <v>0</v>
      </c>
      <c r="J135" s="23">
        <f>'Annual Raw'!K56</f>
        <v>0</v>
      </c>
      <c r="K135" s="23">
        <f>'Annual Raw'!L56</f>
        <v>0</v>
      </c>
      <c r="L135" s="23">
        <f>'Annual Raw'!M56</f>
        <v>25.4316</v>
      </c>
      <c r="M135" s="23">
        <f>'Annual Raw'!N56</f>
        <v>34.155999999999999</v>
      </c>
      <c r="N135" s="23">
        <f>'Annual Raw'!O56</f>
        <v>58.506500000000003</v>
      </c>
      <c r="O135" s="23">
        <f>'Annual Raw'!P56</f>
        <v>0</v>
      </c>
      <c r="P135" s="23">
        <f>'Annual Raw'!Q56</f>
        <v>0</v>
      </c>
      <c r="Q135" s="23">
        <f>'Annual Raw'!R56</f>
        <v>0</v>
      </c>
      <c r="R135" s="23">
        <f>'Annual Raw'!S56</f>
        <v>0</v>
      </c>
      <c r="S135" s="23">
        <f>'Annual Raw'!T56</f>
        <v>0</v>
      </c>
      <c r="T135" s="23">
        <f>'Annual Raw'!U56</f>
        <v>0</v>
      </c>
      <c r="U135" s="23">
        <f>'Annual Raw'!V56</f>
        <v>0</v>
      </c>
      <c r="V135" s="23">
        <f>'Annual Raw'!W56</f>
        <v>0</v>
      </c>
      <c r="W135" s="23">
        <f>'Annual Raw'!X56</f>
        <v>0</v>
      </c>
      <c r="X135" s="23">
        <f>'Annual Raw'!Y56</f>
        <v>0</v>
      </c>
      <c r="Y135" s="23">
        <f>'Annual Raw'!Z56</f>
        <v>0</v>
      </c>
      <c r="Z135" s="23">
        <f>'Annual Raw'!AA56</f>
        <v>0</v>
      </c>
      <c r="AA135" s="23">
        <f>'Annual Raw'!AB56</f>
        <v>0</v>
      </c>
      <c r="AB135" s="24">
        <f t="shared" si="1100"/>
        <v>0</v>
      </c>
      <c r="AC135" s="24">
        <f t="shared" si="1101"/>
        <v>0</v>
      </c>
      <c r="AD135" s="24">
        <f t="shared" si="1102"/>
        <v>0</v>
      </c>
      <c r="AE135" s="24">
        <f t="shared" si="1103"/>
        <v>0</v>
      </c>
      <c r="AJ135" s="23">
        <f>+'QTR Raw'!D88</f>
        <v>44.698999999999998</v>
      </c>
      <c r="AK135" s="23">
        <f t="shared" si="1104"/>
        <v>44.698999999999998</v>
      </c>
      <c r="AL135" s="23">
        <f>+'QTR Raw'!F88</f>
        <v>58.506999999999998</v>
      </c>
      <c r="AM135" s="23">
        <f t="shared" si="1104"/>
        <v>58.506999999999998</v>
      </c>
      <c r="AN135" s="23">
        <f>+'QTR Raw'!H88</f>
        <v>44.192999999999998</v>
      </c>
      <c r="AO135" s="23">
        <f t="shared" si="1104"/>
        <v>44.192999999999998</v>
      </c>
      <c r="AP135" s="23">
        <f>+'QTR Raw'!J88</f>
        <v>0</v>
      </c>
      <c r="AQ135" s="23">
        <f t="shared" si="1104"/>
        <v>0</v>
      </c>
      <c r="AR135" s="23">
        <f>+'QTR Raw'!L88</f>
        <v>0</v>
      </c>
      <c r="AS135" s="23">
        <f t="shared" si="1104"/>
        <v>0</v>
      </c>
      <c r="AT135" s="23">
        <f>+'QTR Raw'!N88</f>
        <v>0</v>
      </c>
      <c r="AU135" s="23">
        <f t="shared" si="1104"/>
        <v>0</v>
      </c>
      <c r="AV135" s="23">
        <f>+'QTR Raw'!P88</f>
        <v>0</v>
      </c>
      <c r="AW135" s="23">
        <f t="shared" si="1104"/>
        <v>0</v>
      </c>
      <c r="AX135" s="23">
        <f>+'QTR Raw'!R88</f>
        <v>0</v>
      </c>
      <c r="AY135" s="23">
        <f t="shared" si="1104"/>
        <v>0</v>
      </c>
      <c r="AZ135" s="23">
        <f>+'QTR Raw'!T88</f>
        <v>0</v>
      </c>
      <c r="BA135" s="23">
        <f t="shared" si="1104"/>
        <v>0</v>
      </c>
      <c r="BB135" s="23">
        <f>+'QTR Raw'!V88</f>
        <v>0</v>
      </c>
      <c r="BC135" s="23">
        <f t="shared" si="1104"/>
        <v>0</v>
      </c>
      <c r="BD135" s="23">
        <f>+'QTR Raw'!X88</f>
        <v>0</v>
      </c>
      <c r="BE135" s="23">
        <f t="shared" si="1104"/>
        <v>0</v>
      </c>
      <c r="BF135" s="23">
        <f>+'QTR Raw'!Z88</f>
        <v>0</v>
      </c>
      <c r="BG135" s="23">
        <f t="shared" si="1104"/>
        <v>0</v>
      </c>
      <c r="BH135" s="23">
        <f>+'QTR Raw'!AB88</f>
        <v>0</v>
      </c>
      <c r="BI135" s="23">
        <f t="shared" si="1104"/>
        <v>0</v>
      </c>
      <c r="BJ135" s="23">
        <f>+'QTR Raw'!AD88</f>
        <v>0</v>
      </c>
      <c r="BK135" s="23">
        <f t="shared" si="1104"/>
        <v>0</v>
      </c>
      <c r="BL135" s="23">
        <f>+'QTR Raw'!AF88</f>
        <v>14.218</v>
      </c>
      <c r="BM135" s="23">
        <f t="shared" si="1104"/>
        <v>14.218</v>
      </c>
      <c r="BN135" s="23">
        <f>+'QTR Raw'!AH88</f>
        <v>0</v>
      </c>
      <c r="BO135" s="23">
        <f t="shared" si="1104"/>
        <v>0</v>
      </c>
      <c r="BP135" s="23">
        <f>+'QTR Raw'!AJ88</f>
        <v>10.53</v>
      </c>
      <c r="BQ135" s="23">
        <f t="shared" si="1104"/>
        <v>10.53</v>
      </c>
      <c r="BR135" s="23">
        <f>+'QTR Raw'!AL88</f>
        <v>0</v>
      </c>
      <c r="BS135" s="23">
        <f t="shared" si="1104"/>
        <v>0</v>
      </c>
      <c r="BT135" s="23">
        <f>+'QTR Raw'!AN88</f>
        <v>0</v>
      </c>
      <c r="BU135" s="23">
        <f t="shared" si="1104"/>
        <v>0</v>
      </c>
      <c r="BV135" s="23">
        <f>+'QTR Raw'!AP88</f>
        <v>0</v>
      </c>
      <c r="BW135" s="23">
        <f t="shared" si="1104"/>
        <v>0</v>
      </c>
      <c r="BX135" s="23">
        <f>+'QTR Raw'!AR88</f>
        <v>0</v>
      </c>
      <c r="BY135" s="23">
        <f t="shared" si="1104"/>
        <v>0</v>
      </c>
      <c r="BZ135" s="23">
        <f>+'QTR Raw'!AT88</f>
        <v>0</v>
      </c>
      <c r="CA135" s="23">
        <f t="shared" si="1104"/>
        <v>0</v>
      </c>
      <c r="CB135" s="23">
        <f>+'QTR Raw'!AV88</f>
        <v>0</v>
      </c>
      <c r="CC135" s="23">
        <f t="shared" si="1104"/>
        <v>0</v>
      </c>
      <c r="CD135" s="23">
        <f>+'QTR Raw'!AX88</f>
        <v>0</v>
      </c>
      <c r="CE135" s="23">
        <f t="shared" si="1105"/>
        <v>0</v>
      </c>
      <c r="CF135" s="23">
        <f>+'QTR Raw'!AZ88</f>
        <v>0</v>
      </c>
      <c r="CG135" s="23">
        <f t="shared" si="1106"/>
        <v>0</v>
      </c>
      <c r="CH135" s="23">
        <f t="shared" si="1082"/>
        <v>0</v>
      </c>
      <c r="CI135" s="23">
        <f t="shared" si="1106"/>
        <v>0</v>
      </c>
      <c r="CJ135" s="23">
        <f>+'QTR Raw'!BD88</f>
        <v>0</v>
      </c>
      <c r="CK135" s="23">
        <f t="shared" si="1107"/>
        <v>0</v>
      </c>
      <c r="CL135" s="23">
        <f>+'QTR Raw'!BF88</f>
        <v>0</v>
      </c>
      <c r="CM135" s="24">
        <f t="shared" si="1108"/>
        <v>0</v>
      </c>
      <c r="CN135" s="24">
        <f t="shared" si="1109"/>
        <v>0</v>
      </c>
      <c r="CO135" s="24">
        <f t="shared" si="1110"/>
        <v>0</v>
      </c>
      <c r="CP135" s="24">
        <f t="shared" si="1111"/>
        <v>0</v>
      </c>
      <c r="CQ135" s="24">
        <f t="shared" si="1112"/>
        <v>0</v>
      </c>
      <c r="CR135" s="24">
        <f t="shared" si="1113"/>
        <v>0</v>
      </c>
      <c r="CS135" s="24">
        <f t="shared" si="1114"/>
        <v>0</v>
      </c>
      <c r="CT135" s="24">
        <f t="shared" si="1115"/>
        <v>0</v>
      </c>
      <c r="CU135" s="24">
        <f t="shared" si="1116"/>
        <v>0</v>
      </c>
      <c r="CV135" s="24">
        <f t="shared" si="1117"/>
        <v>0</v>
      </c>
      <c r="CW135" s="24">
        <f t="shared" si="1118"/>
        <v>0</v>
      </c>
      <c r="CX135" s="24">
        <f t="shared" si="1119"/>
        <v>0</v>
      </c>
      <c r="CY135" s="24">
        <f t="shared" si="1120"/>
        <v>0</v>
      </c>
      <c r="CZ135" s="24">
        <f t="shared" si="1121"/>
        <v>0</v>
      </c>
      <c r="DA135" s="24">
        <f t="shared" si="1122"/>
        <v>0</v>
      </c>
      <c r="DB135" s="24">
        <f t="shared" si="1123"/>
        <v>0</v>
      </c>
      <c r="DE135" s="123"/>
      <c r="DF135" s="23">
        <v>0</v>
      </c>
    </row>
    <row r="136" spans="1:110" s="22" customFormat="1" x14ac:dyDescent="0.2">
      <c r="A136" s="22" t="s">
        <v>49</v>
      </c>
      <c r="B136" s="22">
        <f>SUM(B132:B135)</f>
        <v>18.977</v>
      </c>
      <c r="C136" s="22">
        <f t="shared" ref="C136:V136" si="1124">SUM(C132:C135)</f>
        <v>2.0596000000000001</v>
      </c>
      <c r="D136" s="22">
        <f t="shared" si="1124"/>
        <v>2.2898000000000001</v>
      </c>
      <c r="E136" s="22">
        <f t="shared" si="1124"/>
        <v>0</v>
      </c>
      <c r="F136" s="22">
        <f t="shared" si="1124"/>
        <v>0</v>
      </c>
      <c r="G136" s="22">
        <f t="shared" si="1124"/>
        <v>0</v>
      </c>
      <c r="H136" s="22">
        <f t="shared" si="1124"/>
        <v>0</v>
      </c>
      <c r="I136" s="22">
        <f t="shared" si="1124"/>
        <v>55.326300000000003</v>
      </c>
      <c r="J136" s="22">
        <f t="shared" si="1124"/>
        <v>13.0793</v>
      </c>
      <c r="K136" s="22">
        <f t="shared" si="1124"/>
        <v>33.969299999999997</v>
      </c>
      <c r="L136" s="22">
        <f t="shared" si="1124"/>
        <v>25.4316</v>
      </c>
      <c r="M136" s="22">
        <f t="shared" si="1124"/>
        <v>34.155999999999999</v>
      </c>
      <c r="N136" s="22">
        <f t="shared" si="1124"/>
        <v>58.506500000000003</v>
      </c>
      <c r="O136" s="22">
        <f t="shared" si="1124"/>
        <v>0</v>
      </c>
      <c r="P136" s="22">
        <f t="shared" si="1124"/>
        <v>0</v>
      </c>
      <c r="Q136" s="22">
        <f t="shared" si="1124"/>
        <v>0</v>
      </c>
      <c r="R136" s="22">
        <f t="shared" si="1124"/>
        <v>0</v>
      </c>
      <c r="S136" s="22">
        <f t="shared" si="1124"/>
        <v>0</v>
      </c>
      <c r="T136" s="22">
        <f t="shared" si="1124"/>
        <v>0</v>
      </c>
      <c r="U136" s="22">
        <f t="shared" si="1124"/>
        <v>0</v>
      </c>
      <c r="V136" s="22">
        <f t="shared" si="1124"/>
        <v>0</v>
      </c>
      <c r="W136" s="22">
        <f t="shared" ref="W136" si="1125">SUM(W132:W135)</f>
        <v>0</v>
      </c>
      <c r="X136" s="22">
        <f t="shared" ref="X136:Y136" si="1126">SUM(X132:X135)</f>
        <v>0</v>
      </c>
      <c r="Y136" s="22">
        <f t="shared" si="1126"/>
        <v>0</v>
      </c>
      <c r="Z136" s="22">
        <f t="shared" ref="Z136:AA136" si="1127">SUM(Z132:Z135)</f>
        <v>0</v>
      </c>
      <c r="AA136" s="22">
        <f t="shared" si="1127"/>
        <v>0</v>
      </c>
      <c r="AB136" s="21">
        <f t="shared" ref="AA136:AD136" si="1128">SUM(AB132:AB135)</f>
        <v>0</v>
      </c>
      <c r="AC136" s="21">
        <f t="shared" si="1128"/>
        <v>0</v>
      </c>
      <c r="AD136" s="21">
        <f t="shared" si="1128"/>
        <v>0</v>
      </c>
      <c r="AE136" s="21">
        <f t="shared" ref="AE136" si="1129">SUM(AE132:AE135)</f>
        <v>0</v>
      </c>
      <c r="AJ136" s="22">
        <f t="shared" ref="AJ136" si="1130">SUM(AJ132:AJ135)</f>
        <v>44.698999999999998</v>
      </c>
      <c r="AK136" s="22">
        <f t="shared" ref="AK136" si="1131">SUM(AK132:AK135)</f>
        <v>44.698999999999998</v>
      </c>
      <c r="AL136" s="22">
        <f t="shared" ref="AL136:AM136" si="1132">SUM(AL132:AL135)</f>
        <v>58.506999999999998</v>
      </c>
      <c r="AM136" s="22">
        <f t="shared" si="1132"/>
        <v>58.506999999999998</v>
      </c>
      <c r="AN136" s="22">
        <f t="shared" ref="AN136:AO136" si="1133">SUM(AN132:AN135)</f>
        <v>44.192999999999998</v>
      </c>
      <c r="AO136" s="22">
        <f t="shared" si="1133"/>
        <v>44.192999999999998</v>
      </c>
      <c r="AP136" s="22">
        <f t="shared" ref="AP136:CE136" si="1134">SUM(AP132:AP135)</f>
        <v>0</v>
      </c>
      <c r="AQ136" s="22">
        <f t="shared" si="1134"/>
        <v>0</v>
      </c>
      <c r="AR136" s="22">
        <f t="shared" si="1134"/>
        <v>0</v>
      </c>
      <c r="AS136" s="22">
        <f t="shared" si="1134"/>
        <v>0</v>
      </c>
      <c r="AT136" s="22">
        <f t="shared" si="1134"/>
        <v>0</v>
      </c>
      <c r="AU136" s="22">
        <f t="shared" si="1134"/>
        <v>0</v>
      </c>
      <c r="AV136" s="22">
        <f t="shared" si="1134"/>
        <v>0</v>
      </c>
      <c r="AW136" s="22">
        <f t="shared" si="1134"/>
        <v>0</v>
      </c>
      <c r="AX136" s="22">
        <f t="shared" si="1134"/>
        <v>0</v>
      </c>
      <c r="AY136" s="22">
        <f t="shared" si="1134"/>
        <v>0</v>
      </c>
      <c r="AZ136" s="22">
        <f t="shared" si="1134"/>
        <v>0</v>
      </c>
      <c r="BA136" s="22">
        <f t="shared" si="1134"/>
        <v>0</v>
      </c>
      <c r="BB136" s="22">
        <f t="shared" si="1134"/>
        <v>0</v>
      </c>
      <c r="BC136" s="22">
        <f t="shared" si="1134"/>
        <v>0</v>
      </c>
      <c r="BD136" s="22">
        <f t="shared" si="1134"/>
        <v>0</v>
      </c>
      <c r="BE136" s="22">
        <f t="shared" si="1134"/>
        <v>0</v>
      </c>
      <c r="BF136" s="22">
        <f t="shared" si="1134"/>
        <v>0</v>
      </c>
      <c r="BG136" s="22">
        <f t="shared" si="1134"/>
        <v>0</v>
      </c>
      <c r="BH136" s="22">
        <f t="shared" ref="BH136" si="1135">SUM(BH132:BH135)</f>
        <v>0</v>
      </c>
      <c r="BI136" s="22">
        <f t="shared" si="1134"/>
        <v>0</v>
      </c>
      <c r="BJ136" s="22">
        <f t="shared" si="1134"/>
        <v>0</v>
      </c>
      <c r="BK136" s="22">
        <f t="shared" si="1134"/>
        <v>0</v>
      </c>
      <c r="BL136" s="22">
        <f t="shared" si="1134"/>
        <v>58.161000000000001</v>
      </c>
      <c r="BM136" s="22">
        <f t="shared" si="1134"/>
        <v>58.161000000000001</v>
      </c>
      <c r="BN136" s="22">
        <f t="shared" si="1134"/>
        <v>0</v>
      </c>
      <c r="BO136" s="22">
        <f t="shared" si="1134"/>
        <v>0</v>
      </c>
      <c r="BP136" s="22">
        <f t="shared" si="1134"/>
        <v>54.085000000000001</v>
      </c>
      <c r="BQ136" s="22">
        <f t="shared" si="1134"/>
        <v>54.085000000000001</v>
      </c>
      <c r="BR136" s="22">
        <f t="shared" si="1134"/>
        <v>0</v>
      </c>
      <c r="BS136" s="22">
        <f t="shared" si="1134"/>
        <v>0</v>
      </c>
      <c r="BT136" s="22">
        <f t="shared" si="1134"/>
        <v>0</v>
      </c>
      <c r="BU136" s="22">
        <f t="shared" si="1134"/>
        <v>0</v>
      </c>
      <c r="BV136" s="22">
        <f t="shared" si="1134"/>
        <v>0</v>
      </c>
      <c r="BW136" s="22">
        <f t="shared" si="1134"/>
        <v>0</v>
      </c>
      <c r="BX136" s="22">
        <f t="shared" si="1134"/>
        <v>0</v>
      </c>
      <c r="BY136" s="22">
        <f t="shared" si="1134"/>
        <v>0</v>
      </c>
      <c r="BZ136" s="22">
        <f t="shared" si="1134"/>
        <v>0</v>
      </c>
      <c r="CA136" s="22">
        <f t="shared" si="1134"/>
        <v>0</v>
      </c>
      <c r="CB136" s="22">
        <f t="shared" si="1134"/>
        <v>0</v>
      </c>
      <c r="CC136" s="22">
        <f t="shared" si="1134"/>
        <v>0</v>
      </c>
      <c r="CD136" s="22">
        <f t="shared" si="1134"/>
        <v>0</v>
      </c>
      <c r="CE136" s="22">
        <f t="shared" si="1134"/>
        <v>0</v>
      </c>
      <c r="CF136" s="22">
        <f t="shared" ref="CF136:CG136" si="1136">SUM(CF132:CF135)</f>
        <v>0</v>
      </c>
      <c r="CG136" s="22">
        <f t="shared" si="1136"/>
        <v>0</v>
      </c>
      <c r="CH136" s="22">
        <f t="shared" ref="CH136:CI136" si="1137">SUM(CH132:CH135)</f>
        <v>0</v>
      </c>
      <c r="CI136" s="22">
        <f t="shared" si="1137"/>
        <v>0</v>
      </c>
      <c r="CJ136" s="22">
        <f t="shared" ref="CJ136:DB136" si="1138">SUM(CJ132:CJ135)</f>
        <v>0</v>
      </c>
      <c r="CK136" s="22">
        <f t="shared" si="1138"/>
        <v>0</v>
      </c>
      <c r="CL136" s="22">
        <f t="shared" ref="CL136" si="1139">SUM(CL132:CL135)</f>
        <v>0</v>
      </c>
      <c r="CM136" s="21">
        <f t="shared" si="1138"/>
        <v>0</v>
      </c>
      <c r="CN136" s="21">
        <f t="shared" si="1138"/>
        <v>0</v>
      </c>
      <c r="CO136" s="21">
        <f t="shared" si="1138"/>
        <v>0</v>
      </c>
      <c r="CP136" s="21">
        <f t="shared" si="1138"/>
        <v>0</v>
      </c>
      <c r="CQ136" s="21">
        <f t="shared" si="1138"/>
        <v>0</v>
      </c>
      <c r="CR136" s="21">
        <f t="shared" si="1138"/>
        <v>0</v>
      </c>
      <c r="CS136" s="21">
        <f t="shared" si="1138"/>
        <v>0</v>
      </c>
      <c r="CT136" s="21">
        <f t="shared" si="1138"/>
        <v>0</v>
      </c>
      <c r="CU136" s="21">
        <f t="shared" si="1138"/>
        <v>0</v>
      </c>
      <c r="CV136" s="21">
        <f t="shared" si="1138"/>
        <v>0</v>
      </c>
      <c r="CW136" s="21">
        <f t="shared" si="1138"/>
        <v>0</v>
      </c>
      <c r="CX136" s="21">
        <f t="shared" si="1138"/>
        <v>0</v>
      </c>
      <c r="CY136" s="21">
        <f t="shared" si="1138"/>
        <v>0</v>
      </c>
      <c r="CZ136" s="21">
        <f t="shared" si="1138"/>
        <v>0</v>
      </c>
      <c r="DA136" s="21">
        <f t="shared" si="1138"/>
        <v>0</v>
      </c>
      <c r="DB136" s="21">
        <f t="shared" si="1138"/>
        <v>0</v>
      </c>
      <c r="DE136" s="126"/>
      <c r="DF136" s="22">
        <v>0</v>
      </c>
    </row>
    <row r="137" spans="1:110" s="26" customFormat="1" x14ac:dyDescent="0.2">
      <c r="A137" s="26" t="s">
        <v>437</v>
      </c>
      <c r="B137" s="26">
        <f>B136+B128+B130</f>
        <v>57.194600000000008</v>
      </c>
      <c r="C137" s="26">
        <f t="shared" ref="C137:V137" si="1140">C136+C128+C130</f>
        <v>43.907800000000009</v>
      </c>
      <c r="D137" s="26">
        <f>D136+D128+D130</f>
        <v>47.0426</v>
      </c>
      <c r="E137" s="26">
        <f t="shared" si="1140"/>
        <v>48.247799999999998</v>
      </c>
      <c r="F137" s="26">
        <f t="shared" si="1140"/>
        <v>54.694800000000001</v>
      </c>
      <c r="G137" s="26">
        <f t="shared" si="1140"/>
        <v>65.9405</v>
      </c>
      <c r="H137" s="26">
        <f t="shared" si="1140"/>
        <v>92.556200000000004</v>
      </c>
      <c r="I137" s="26">
        <f t="shared" si="1140"/>
        <v>174.47379999999998</v>
      </c>
      <c r="J137" s="26">
        <f t="shared" si="1140"/>
        <v>164.90969999999999</v>
      </c>
      <c r="K137" s="26">
        <f t="shared" si="1140"/>
        <v>209.09620000000001</v>
      </c>
      <c r="L137" s="26">
        <f t="shared" si="1140"/>
        <v>207.79870000000003</v>
      </c>
      <c r="M137" s="26">
        <f t="shared" si="1140"/>
        <v>226.13560000000001</v>
      </c>
      <c r="N137" s="26">
        <f t="shared" si="1140"/>
        <v>253.67970000000003</v>
      </c>
      <c r="O137" s="26">
        <f t="shared" si="1140"/>
        <v>235.71090000000001</v>
      </c>
      <c r="P137" s="26">
        <f t="shared" si="1140"/>
        <v>283.42750000000001</v>
      </c>
      <c r="Q137" s="26">
        <f t="shared" si="1140"/>
        <v>385.69299999999998</v>
      </c>
      <c r="R137" s="26">
        <f t="shared" si="1140"/>
        <v>557.66919999999993</v>
      </c>
      <c r="S137" s="26">
        <f t="shared" si="1140"/>
        <v>738.35129999999992</v>
      </c>
      <c r="T137" s="26">
        <f t="shared" si="1140"/>
        <v>942.7527</v>
      </c>
      <c r="U137" s="26">
        <f t="shared" si="1140"/>
        <v>1090.0353</v>
      </c>
      <c r="V137" s="26">
        <f t="shared" si="1140"/>
        <v>1352.1714999999999</v>
      </c>
      <c r="W137" s="26">
        <f t="shared" ref="W137" si="1141">W136+W128+W130</f>
        <v>1600.9029</v>
      </c>
      <c r="X137" s="26">
        <f t="shared" ref="X137:Y137" si="1142">X136+X128+X130</f>
        <v>2085.7671</v>
      </c>
      <c r="Y137" s="26">
        <f t="shared" si="1142"/>
        <v>2505.6563000000001</v>
      </c>
      <c r="Z137" s="26">
        <f t="shared" ref="Z137:AA137" si="1143">Z136+Z128+Z130</f>
        <v>2859.9688999999998</v>
      </c>
      <c r="AA137" s="26">
        <f t="shared" si="1143"/>
        <v>3041.3416999999999</v>
      </c>
      <c r="AB137" s="27">
        <f t="shared" ref="AA137:AD137" si="1144">AB136+AB128+AB130</f>
        <v>3888.0524658091931</v>
      </c>
      <c r="AC137" s="27">
        <f t="shared" si="1144"/>
        <v>4900.975500014456</v>
      </c>
      <c r="AD137" s="27">
        <f t="shared" si="1144"/>
        <v>6030.3123241053545</v>
      </c>
      <c r="AE137" s="27">
        <f t="shared" ref="AE137" si="1145">AE136+AE128+AE130</f>
        <v>7286.9252982741455</v>
      </c>
      <c r="AJ137" s="26">
        <f t="shared" ref="AJ137" si="1146">AJ136+AJ128+AJ130</f>
        <v>241.12299999999999</v>
      </c>
      <c r="AK137" s="26">
        <f t="shared" ref="AK137" si="1147">AK136+AK128+AK130</f>
        <v>249.87099999999998</v>
      </c>
      <c r="AL137" s="26">
        <f t="shared" ref="AL137" si="1148">AL136+AL128+AL130</f>
        <v>253.68</v>
      </c>
      <c r="AM137" s="26">
        <f t="shared" ref="AM137:AO137" si="1149">AM136+AM128+AM130</f>
        <v>262.60699999999997</v>
      </c>
      <c r="AN137" s="26">
        <f t="shared" si="1149"/>
        <v>268.73700000000002</v>
      </c>
      <c r="AO137" s="26">
        <f t="shared" si="1149"/>
        <v>290.29399999999998</v>
      </c>
      <c r="AP137" s="26">
        <f t="shared" ref="AP137:CE137" si="1150">AP136+AP128+AP130</f>
        <v>235.71100000000001</v>
      </c>
      <c r="AQ137" s="26">
        <f t="shared" si="1150"/>
        <v>256.50299999999999</v>
      </c>
      <c r="AR137" s="26">
        <f t="shared" si="1150"/>
        <v>277.048</v>
      </c>
      <c r="AS137" s="26">
        <f t="shared" si="1150"/>
        <v>304.80599999999998</v>
      </c>
      <c r="AT137" s="26">
        <f t="shared" si="1150"/>
        <v>283.42699999999996</v>
      </c>
      <c r="AU137" s="26">
        <f t="shared" si="1150"/>
        <v>319.13899999999995</v>
      </c>
      <c r="AV137" s="26">
        <f t="shared" si="1150"/>
        <v>357.17199999999997</v>
      </c>
      <c r="AW137" s="26">
        <f t="shared" si="1150"/>
        <v>397.07300000000004</v>
      </c>
      <c r="AX137" s="26">
        <f t="shared" si="1150"/>
        <v>385.69299999999998</v>
      </c>
      <c r="AY137" s="26">
        <f t="shared" si="1150"/>
        <v>427.37700000000001</v>
      </c>
      <c r="AZ137" s="26">
        <f t="shared" si="1150"/>
        <v>470.69799999999998</v>
      </c>
      <c r="BA137" s="26">
        <f t="shared" si="1150"/>
        <v>514.84699999999998</v>
      </c>
      <c r="BB137" s="26">
        <f t="shared" si="1150"/>
        <v>557.66899999999998</v>
      </c>
      <c r="BC137" s="26">
        <f t="shared" si="1150"/>
        <v>607.41300000000001</v>
      </c>
      <c r="BD137" s="26">
        <f t="shared" si="1150"/>
        <v>604.495</v>
      </c>
      <c r="BE137" s="26">
        <f t="shared" si="1150"/>
        <v>667.26099999999997</v>
      </c>
      <c r="BF137" s="26">
        <f t="shared" si="1150"/>
        <v>738.351</v>
      </c>
      <c r="BG137" s="26">
        <f t="shared" si="1150"/>
        <v>808.84900000000005</v>
      </c>
      <c r="BH137" s="26">
        <f t="shared" ref="BH137" si="1151">BH136+BH128+BH130</f>
        <v>806.75399999999991</v>
      </c>
      <c r="BI137" s="26">
        <f t="shared" si="1150"/>
        <v>872.74799999999993</v>
      </c>
      <c r="BJ137" s="26">
        <f t="shared" si="1150"/>
        <v>942.75199999999995</v>
      </c>
      <c r="BK137" s="26">
        <f t="shared" si="1150"/>
        <v>991.54499999999996</v>
      </c>
      <c r="BL137" s="26">
        <f t="shared" si="1150"/>
        <v>992.26199999999994</v>
      </c>
      <c r="BM137" s="26">
        <f t="shared" si="1150"/>
        <v>1067.683</v>
      </c>
      <c r="BN137" s="26">
        <f t="shared" si="1150"/>
        <v>1090.0350000000001</v>
      </c>
      <c r="BO137" s="26">
        <f t="shared" si="1150"/>
        <v>1158.9090000000001</v>
      </c>
      <c r="BP137" s="26">
        <f t="shared" si="1150"/>
        <v>1188.1690000000001</v>
      </c>
      <c r="BQ137" s="26">
        <f t="shared" si="1150"/>
        <v>1293.3710000000001</v>
      </c>
      <c r="BR137" s="26">
        <f t="shared" si="1150"/>
        <v>1352.171</v>
      </c>
      <c r="BS137" s="26">
        <f t="shared" si="1150"/>
        <v>1465.546</v>
      </c>
      <c r="BT137" s="26">
        <f t="shared" si="1150"/>
        <v>1290.596</v>
      </c>
      <c r="BU137" s="26">
        <f t="shared" si="1150"/>
        <v>1441.546</v>
      </c>
      <c r="BV137" s="26">
        <f t="shared" si="1150"/>
        <v>1600.902</v>
      </c>
      <c r="BW137" s="26">
        <f t="shared" si="1150"/>
        <v>1785.623</v>
      </c>
      <c r="BX137" s="26">
        <f t="shared" si="1150"/>
        <v>1692.0260000000001</v>
      </c>
      <c r="BY137" s="26">
        <f t="shared" si="1150"/>
        <v>1886.7030000000002</v>
      </c>
      <c r="BZ137" s="26">
        <f t="shared" si="1150"/>
        <v>2085.7669999999998</v>
      </c>
      <c r="CA137" s="26">
        <f t="shared" si="1150"/>
        <v>2274.62</v>
      </c>
      <c r="CB137" s="26">
        <f t="shared" si="1150"/>
        <v>2096.3620000000001</v>
      </c>
      <c r="CC137" s="26">
        <f t="shared" si="1150"/>
        <v>2302.7950000000001</v>
      </c>
      <c r="CD137" s="26">
        <f t="shared" si="1150"/>
        <v>2505.6559999999999</v>
      </c>
      <c r="CE137" s="26">
        <f t="shared" si="1150"/>
        <v>2689.7359999999999</v>
      </c>
      <c r="CF137" s="26">
        <f t="shared" ref="CF137:CG137" si="1152">CF136+CF128+CF130</f>
        <v>2486.5700000000002</v>
      </c>
      <c r="CG137" s="26">
        <f t="shared" si="1152"/>
        <v>2685.578</v>
      </c>
      <c r="CH137" s="26">
        <f t="shared" ref="CH137:CI137" si="1153">CH136+CH128+CH130</f>
        <v>2859.9688999999998</v>
      </c>
      <c r="CI137" s="26">
        <f t="shared" si="1153"/>
        <v>3004.3368999999998</v>
      </c>
      <c r="CJ137" s="26">
        <f t="shared" ref="CJ137:DB137" si="1154">CJ136+CJ128+CJ130</f>
        <v>2702.6420000000003</v>
      </c>
      <c r="CK137" s="26">
        <f t="shared" si="1154"/>
        <v>2811.5320000000002</v>
      </c>
      <c r="CL137" s="26">
        <f t="shared" ref="CL137" si="1155">CL136+CL128+CL130</f>
        <v>3041.3420000000001</v>
      </c>
      <c r="CM137" s="27">
        <f t="shared" si="1154"/>
        <v>3229.5220021784176</v>
      </c>
      <c r="CN137" s="27">
        <f t="shared" si="1154"/>
        <v>3433.5015700854728</v>
      </c>
      <c r="CO137" s="27">
        <f t="shared" si="1154"/>
        <v>3656.651998309525</v>
      </c>
      <c r="CP137" s="27">
        <f t="shared" si="1154"/>
        <v>3888.0524658091931</v>
      </c>
      <c r="CQ137" s="27">
        <f t="shared" si="1154"/>
        <v>4118.6988505376767</v>
      </c>
      <c r="CR137" s="27">
        <f t="shared" si="1154"/>
        <v>4365.2497836797711</v>
      </c>
      <c r="CS137" s="27">
        <f t="shared" si="1154"/>
        <v>4626.6820243458524</v>
      </c>
      <c r="CT137" s="27">
        <f t="shared" si="1154"/>
        <v>4900.975500014456</v>
      </c>
      <c r="CU137" s="27">
        <f t="shared" si="1154"/>
        <v>5164.4825205504922</v>
      </c>
      <c r="CV137" s="27">
        <f t="shared" si="1154"/>
        <v>5441.870930436392</v>
      </c>
      <c r="CW137" s="27">
        <f t="shared" si="1154"/>
        <v>5731.1088829199116</v>
      </c>
      <c r="CX137" s="27">
        <f t="shared" si="1154"/>
        <v>6030.3123241053545</v>
      </c>
      <c r="CY137" s="27">
        <f t="shared" si="1154"/>
        <v>6332.367306271577</v>
      </c>
      <c r="CZ137" s="27">
        <f t="shared" si="1154"/>
        <v>6643.3450253405999</v>
      </c>
      <c r="DA137" s="27">
        <f t="shared" si="1154"/>
        <v>6961.8541851395485</v>
      </c>
      <c r="DB137" s="27">
        <f t="shared" si="1154"/>
        <v>7286.9252982741455</v>
      </c>
      <c r="DE137" s="121"/>
      <c r="DF137" s="26">
        <v>2992.9466831059935</v>
      </c>
    </row>
    <row r="138" spans="1:110" s="23" customFormat="1" x14ac:dyDescent="0.2">
      <c r="AB138" s="24"/>
      <c r="AC138" s="24"/>
      <c r="AD138" s="24"/>
      <c r="AE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E138" s="123"/>
    </row>
    <row r="139" spans="1:110" s="23" customFormat="1" outlineLevel="1" x14ac:dyDescent="0.2">
      <c r="A139" s="23" t="s">
        <v>50</v>
      </c>
      <c r="B139" s="23">
        <f>'Annual Raw'!C62</f>
        <v>28.3125</v>
      </c>
      <c r="C139" s="23">
        <f>'Annual Raw'!D62</f>
        <v>31.391500000000001</v>
      </c>
      <c r="D139" s="23">
        <f>'Annual Raw'!E62</f>
        <v>37.333399999999997</v>
      </c>
      <c r="E139" s="23">
        <f>'Annual Raw'!F62-E143</f>
        <v>44.127499999999998</v>
      </c>
      <c r="F139" s="23">
        <f>'Annual Raw'!G62-F143</f>
        <v>60.4392</v>
      </c>
      <c r="G139" s="23">
        <f>'Annual Raw'!H62-G143</f>
        <v>77.6875</v>
      </c>
      <c r="H139" s="23">
        <f>'Annual Raw'!I62-H143</f>
        <v>104.11839999999999</v>
      </c>
      <c r="I139" s="23">
        <f>'Annual Raw'!J62-I143</f>
        <v>153.0326</v>
      </c>
      <c r="J139" s="23">
        <f>'Annual Raw'!K62-J143</f>
        <v>167.46369999999999</v>
      </c>
      <c r="K139" s="23">
        <f>'Annual Raw'!L62-K143</f>
        <v>150.05699999999999</v>
      </c>
      <c r="L139" s="23">
        <f>'Annual Raw'!M62-L143</f>
        <v>167.5446</v>
      </c>
      <c r="M139" s="23">
        <f>'Annual Raw'!N62-M143</f>
        <v>196.28229999999999</v>
      </c>
      <c r="N139" s="23">
        <f>'Annual Raw'!O62-N143</f>
        <v>218.9778</v>
      </c>
      <c r="O139" s="23">
        <f>'Annual Raw'!P62-O143</f>
        <v>182.10069999999999</v>
      </c>
      <c r="P139" s="23">
        <f>'Annual Raw'!Q62-P143</f>
        <v>229.26679999999999</v>
      </c>
      <c r="Q139" s="23">
        <f>'Annual Raw'!R62-Q143</f>
        <v>260.34530000000001</v>
      </c>
      <c r="R139" s="23">
        <f>'Annual Raw'!S62-R143</f>
        <v>130.184</v>
      </c>
      <c r="S139" s="23">
        <f>'Annual Raw'!T62-S143</f>
        <v>146.1046</v>
      </c>
      <c r="T139" s="23">
        <f>'Annual Raw'!U62-T143</f>
        <v>178.0624</v>
      </c>
      <c r="U139" s="23">
        <f>'Annual Raw'!V62-U143</f>
        <v>248.45230000000001</v>
      </c>
      <c r="V139" s="23">
        <f>'Annual Raw'!W62-V143</f>
        <v>295.81889999999999</v>
      </c>
      <c r="W139" s="23">
        <f>'Annual Raw'!X62-W143</f>
        <v>460.35239999999999</v>
      </c>
      <c r="X139" s="23">
        <f>'Annual Raw'!Y62-X143</f>
        <v>581.89949999999999</v>
      </c>
      <c r="Y139" s="23">
        <f>'Annual Raw'!Z62-Y143</f>
        <v>683.66120000000001</v>
      </c>
      <c r="Z139" s="23">
        <f>'Annual Raw'!AA62-Z143</f>
        <v>704.61109999999996</v>
      </c>
      <c r="AA139" s="23">
        <f>'Annual Raw'!AB62-AA143</f>
        <v>708.43489999999997</v>
      </c>
      <c r="AB139" s="24">
        <f t="shared" ref="AB139:AB145" si="1156">+CP139</f>
        <v>812.47320000000002</v>
      </c>
      <c r="AC139" s="24">
        <f t="shared" ref="AC139:AC145" si="1157">+CT139</f>
        <v>1012.4732</v>
      </c>
      <c r="AD139" s="24">
        <f t="shared" ref="AD139:AD145" si="1158">+CX139</f>
        <v>1012.4732</v>
      </c>
      <c r="AE139" s="24">
        <f t="shared" ref="AE139:AE145" si="1159">+DB139</f>
        <v>1012.4732</v>
      </c>
      <c r="AJ139" s="23">
        <f>+'QTR Raw'!D68</f>
        <v>115.78400000000001</v>
      </c>
      <c r="AL139" s="23">
        <f>+'QTR Raw'!F68</f>
        <v>115.93300000000001</v>
      </c>
      <c r="AN139" s="23">
        <f>+'QTR Raw'!H68</f>
        <v>111.042</v>
      </c>
      <c r="AP139" s="23">
        <f>+'QTR Raw'!J68</f>
        <v>99.855000000000004</v>
      </c>
      <c r="AR139" s="23">
        <f>+'QTR Raw'!L68</f>
        <v>83.593000000000004</v>
      </c>
      <c r="AT139" s="23">
        <f>+'QTR Raw'!N68</f>
        <v>98.846999999999994</v>
      </c>
      <c r="AV139" s="23">
        <f>+'QTR Raw'!P68</f>
        <v>104.288</v>
      </c>
      <c r="AX139" s="23">
        <f>+'QTR Raw'!R68</f>
        <v>106.965</v>
      </c>
      <c r="AZ139" s="23">
        <f>+'QTR Raw'!T68</f>
        <v>108.76300000000001</v>
      </c>
      <c r="BB139" s="23">
        <f>+'QTR Raw'!V68</f>
        <v>107.80500000000001</v>
      </c>
      <c r="BD139" s="23">
        <f>+'QTR Raw'!X68</f>
        <v>99.724000000000004</v>
      </c>
      <c r="BF139" s="23">
        <f>+'QTR Raw'!Z68</f>
        <v>94.275999999999996</v>
      </c>
      <c r="BH139" s="23">
        <f>+'QTR Raw'!AB68</f>
        <v>94.606999999999999</v>
      </c>
      <c r="BJ139" s="23">
        <f>+'QTR Raw'!AD68</f>
        <v>101.187</v>
      </c>
      <c r="BL139" s="23">
        <f>+'QTR Raw'!AF68</f>
        <v>151.18899999999999</v>
      </c>
      <c r="BN139" s="23">
        <f>+'QTR Raw'!AH68</f>
        <v>95.227999999999994</v>
      </c>
      <c r="BP139" s="23">
        <f>+'QTR Raw'!AJ68</f>
        <v>93.956000000000003</v>
      </c>
      <c r="BR139" s="23">
        <f>+'QTR Raw'!AL68</f>
        <v>104.55800000000001</v>
      </c>
      <c r="BT139" s="23">
        <f>+'QTR Raw'!AN68</f>
        <v>120.056</v>
      </c>
      <c r="BV139" s="23">
        <f>+'QTR Raw'!AP68</f>
        <v>147.12200000000001</v>
      </c>
      <c r="BX139" s="23">
        <f>+'QTR Raw'!AR68</f>
        <v>184.34299999999999</v>
      </c>
      <c r="BZ139" s="23">
        <f>+'QTR Raw'!AT68</f>
        <v>175.93600000000001</v>
      </c>
      <c r="CB139" s="23">
        <f>+'QTR Raw'!AV68</f>
        <v>175.661</v>
      </c>
      <c r="CD139" s="23">
        <f>+'QTR Raw'!AX68</f>
        <v>205.696</v>
      </c>
      <c r="CF139" s="23">
        <f>+'QTR Raw'!AZ68</f>
        <v>186.023</v>
      </c>
      <c r="CH139" s="23">
        <f t="shared" ref="CH139:CH145" si="1160">Z139</f>
        <v>704.61109999999996</v>
      </c>
      <c r="CI139" s="23">
        <f>CH139</f>
        <v>704.61109999999996</v>
      </c>
      <c r="CJ139" s="23">
        <f>+CJ140+CJ142</f>
        <v>577.17820000000006</v>
      </c>
      <c r="CK139" s="23">
        <f>+CJ139+50</f>
        <v>627.17820000000006</v>
      </c>
      <c r="CL139" s="23">
        <f>+CL140+CL142</f>
        <v>612.47320000000002</v>
      </c>
      <c r="CM139" s="24">
        <f t="shared" ref="CM139:CT139" si="1161">+CL139+50</f>
        <v>662.47320000000002</v>
      </c>
      <c r="CN139" s="24">
        <f t="shared" si="1161"/>
        <v>712.47320000000002</v>
      </c>
      <c r="CO139" s="24">
        <f t="shared" si="1161"/>
        <v>762.47320000000002</v>
      </c>
      <c r="CP139" s="24">
        <f t="shared" si="1161"/>
        <v>812.47320000000002</v>
      </c>
      <c r="CQ139" s="24">
        <f t="shared" si="1161"/>
        <v>862.47320000000002</v>
      </c>
      <c r="CR139" s="24">
        <f t="shared" si="1161"/>
        <v>912.47320000000002</v>
      </c>
      <c r="CS139" s="24">
        <f t="shared" si="1161"/>
        <v>962.47320000000002</v>
      </c>
      <c r="CT139" s="24">
        <f t="shared" si="1161"/>
        <v>1012.4732</v>
      </c>
      <c r="CU139" s="24">
        <f t="shared" ref="CU139:DB139" si="1162">+CT139</f>
        <v>1012.4732</v>
      </c>
      <c r="CV139" s="24">
        <f t="shared" si="1162"/>
        <v>1012.4732</v>
      </c>
      <c r="CW139" s="24">
        <f t="shared" si="1162"/>
        <v>1012.4732</v>
      </c>
      <c r="CX139" s="24">
        <f t="shared" si="1162"/>
        <v>1012.4732</v>
      </c>
      <c r="CY139" s="24">
        <f t="shared" si="1162"/>
        <v>1012.4732</v>
      </c>
      <c r="CZ139" s="24">
        <f t="shared" si="1162"/>
        <v>1012.4732</v>
      </c>
      <c r="DA139" s="24">
        <f t="shared" si="1162"/>
        <v>1012.4732</v>
      </c>
      <c r="DB139" s="24">
        <f t="shared" si="1162"/>
        <v>1012.4732</v>
      </c>
      <c r="DE139" s="123"/>
      <c r="DF139" s="23">
        <v>677.17820000000006</v>
      </c>
    </row>
    <row r="140" spans="1:110" s="23" customFormat="1" outlineLevel="1" x14ac:dyDescent="0.2">
      <c r="A140" s="23" t="s">
        <v>51</v>
      </c>
      <c r="B140" s="23">
        <f>'Annual Raw'!C63</f>
        <v>9.8829999999999991</v>
      </c>
      <c r="C140" s="23">
        <f>'Annual Raw'!D63</f>
        <v>12.456300000000001</v>
      </c>
      <c r="D140" s="23">
        <f>'Annual Raw'!E63</f>
        <v>15.8362</v>
      </c>
      <c r="E140" s="23">
        <f>'Annual Raw'!F63</f>
        <v>19.871200000000002</v>
      </c>
      <c r="F140" s="23">
        <f>'Annual Raw'!G63</f>
        <v>24.849499999999999</v>
      </c>
      <c r="G140" s="23">
        <f>'Annual Raw'!H63</f>
        <v>31.575800000000001</v>
      </c>
      <c r="H140" s="23">
        <f>'Annual Raw'!I63</f>
        <v>40.126899999999999</v>
      </c>
      <c r="I140" s="23">
        <f>'Annual Raw'!J63</f>
        <v>53.394799999999996</v>
      </c>
      <c r="J140" s="23">
        <f>'Annual Raw'!K63</f>
        <v>70.156700000000001</v>
      </c>
      <c r="K140" s="23">
        <f>'Annual Raw'!L63</f>
        <v>60.044699999999999</v>
      </c>
      <c r="L140" s="23">
        <f>'Annual Raw'!M63</f>
        <v>76.783100000000005</v>
      </c>
      <c r="M140" s="23">
        <f>'Annual Raw'!N63</f>
        <v>96.407899999999998</v>
      </c>
      <c r="N140" s="23">
        <f>'Annual Raw'!O63</f>
        <v>119.8378</v>
      </c>
      <c r="O140" s="23">
        <f>'Annual Raw'!P63</f>
        <v>79.441400000000002</v>
      </c>
      <c r="P140" s="23">
        <f>'Annual Raw'!Q63</f>
        <v>129.9693</v>
      </c>
      <c r="Q140" s="23">
        <f>'Annual Raw'!R63</f>
        <v>153.38</v>
      </c>
      <c r="R140" s="23">
        <f>'Annual Raw'!S63</f>
        <v>22.379200000000001</v>
      </c>
      <c r="S140" s="23">
        <f>'Annual Raw'!T63</f>
        <v>51.828800000000001</v>
      </c>
      <c r="T140" s="23">
        <f>'Annual Raw'!U63</f>
        <v>76.875200000000007</v>
      </c>
      <c r="U140" s="23">
        <f>'Annual Raw'!V63</f>
        <v>101.3922</v>
      </c>
      <c r="V140" s="23">
        <f>'Annual Raw'!W63</f>
        <v>126.1666</v>
      </c>
      <c r="W140" s="23">
        <f>'Annual Raw'!X63</f>
        <v>188.84690000000001</v>
      </c>
      <c r="X140" s="23">
        <f>'Annual Raw'!Y63</f>
        <v>248.30510000000001</v>
      </c>
      <c r="Y140" s="23">
        <f>'Annual Raw'!Z63</f>
        <v>287.68450000000001</v>
      </c>
      <c r="Z140" s="23">
        <f>'Annual Raw'!AA63</f>
        <v>386.57220000000001</v>
      </c>
      <c r="AA140" s="23">
        <f>'Annual Raw'!AB63</f>
        <v>449.18200000000002</v>
      </c>
      <c r="AB140" s="24">
        <f t="shared" si="1156"/>
        <v>576.58090270922855</v>
      </c>
      <c r="AC140" s="24">
        <f t="shared" si="1157"/>
        <v>718.96754665108801</v>
      </c>
      <c r="AD140" s="24">
        <f t="shared" si="1158"/>
        <v>849.55158563675411</v>
      </c>
      <c r="AE140" s="24">
        <f t="shared" si="1159"/>
        <v>922.03728463051982</v>
      </c>
      <c r="AJ140" s="23">
        <f>+'QTR Raw'!D69</f>
        <v>0</v>
      </c>
      <c r="AL140" s="23">
        <f>+'QTR Raw'!F69</f>
        <v>0</v>
      </c>
      <c r="AN140" s="23">
        <f>+'QTR Raw'!H69</f>
        <v>0</v>
      </c>
      <c r="AP140" s="23">
        <f>+'QTR Raw'!J69</f>
        <v>0</v>
      </c>
      <c r="AR140" s="23">
        <f>+'QTR Raw'!L69</f>
        <v>0</v>
      </c>
      <c r="AT140" s="23">
        <f>+'QTR Raw'!N69</f>
        <v>0</v>
      </c>
      <c r="AV140" s="23">
        <f>+'QTR Raw'!P69</f>
        <v>0</v>
      </c>
      <c r="AX140" s="23">
        <f>+'QTR Raw'!R69</f>
        <v>0</v>
      </c>
      <c r="AZ140" s="23">
        <f>+'QTR Raw'!T69</f>
        <v>0</v>
      </c>
      <c r="BB140" s="23">
        <f>+'QTR Raw'!V69</f>
        <v>0</v>
      </c>
      <c r="BD140" s="23">
        <f>+'QTR Raw'!X69</f>
        <v>0</v>
      </c>
      <c r="BF140" s="23">
        <f>+'QTR Raw'!Z69</f>
        <v>0</v>
      </c>
      <c r="BH140" s="23">
        <f>+'QTR Raw'!AB69</f>
        <v>0</v>
      </c>
      <c r="BJ140" s="23">
        <f>+'QTR Raw'!AD69</f>
        <v>0</v>
      </c>
      <c r="BL140" s="23">
        <f>+'QTR Raw'!AF69</f>
        <v>0</v>
      </c>
      <c r="BN140" s="23">
        <f>+'QTR Raw'!AH69</f>
        <v>0</v>
      </c>
      <c r="BP140" s="23">
        <f>+'QTR Raw'!AJ69</f>
        <v>0</v>
      </c>
      <c r="BR140" s="23">
        <f>+'QTR Raw'!AL69</f>
        <v>0</v>
      </c>
      <c r="BT140" s="23">
        <f>+'QTR Raw'!AN69</f>
        <v>0</v>
      </c>
      <c r="BV140" s="23">
        <f>+'QTR Raw'!AP69</f>
        <v>0</v>
      </c>
      <c r="BX140" s="23">
        <f>+'QTR Raw'!AR69</f>
        <v>0</v>
      </c>
      <c r="BZ140" s="23">
        <f>+'QTR Raw'!AT69</f>
        <v>0</v>
      </c>
      <c r="CB140" s="23">
        <f>+'QTR Raw'!AV69</f>
        <v>0</v>
      </c>
      <c r="CD140" s="23">
        <f>+'QTR Raw'!AX69</f>
        <v>0</v>
      </c>
      <c r="CF140" s="23">
        <f>+'QTR Raw'!AZ69</f>
        <v>0</v>
      </c>
      <c r="CH140" s="23">
        <f t="shared" si="1160"/>
        <v>386.57220000000001</v>
      </c>
      <c r="CI140" s="23">
        <f t="shared" ref="CI140:DB140" si="1163">CH140+CI40</f>
        <v>410.8442</v>
      </c>
      <c r="CJ140" s="23">
        <f t="shared" si="1163"/>
        <v>434.2912</v>
      </c>
      <c r="CK140" s="23">
        <f t="shared" si="1163"/>
        <v>457.09820000000002</v>
      </c>
      <c r="CL140" s="23">
        <f t="shared" si="1163"/>
        <v>480.37220000000002</v>
      </c>
      <c r="CM140" s="24">
        <f t="shared" si="1163"/>
        <v>498.44909718955785</v>
      </c>
      <c r="CN140" s="24">
        <f t="shared" si="1163"/>
        <v>520.89439921689927</v>
      </c>
      <c r="CO140" s="24">
        <f t="shared" si="1163"/>
        <v>547.11032707100253</v>
      </c>
      <c r="CP140" s="24">
        <f t="shared" si="1163"/>
        <v>576.58090270922855</v>
      </c>
      <c r="CQ140" s="24">
        <f t="shared" si="1163"/>
        <v>608.86075529122184</v>
      </c>
      <c r="CR140" s="24">
        <f t="shared" si="1163"/>
        <v>643.56545918440213</v>
      </c>
      <c r="CS140" s="24">
        <f t="shared" si="1163"/>
        <v>680.3631941311462</v>
      </c>
      <c r="CT140" s="24">
        <f t="shared" si="1163"/>
        <v>718.96754665108801</v>
      </c>
      <c r="CU140" s="24">
        <f t="shared" si="1163"/>
        <v>759.13129651022825</v>
      </c>
      <c r="CV140" s="24">
        <f t="shared" si="1163"/>
        <v>793.79897914087826</v>
      </c>
      <c r="CW140" s="24">
        <f t="shared" si="1163"/>
        <v>823.72268455171547</v>
      </c>
      <c r="CX140" s="24">
        <f t="shared" si="1163"/>
        <v>849.55158563675411</v>
      </c>
      <c r="CY140" s="24">
        <f t="shared" si="1163"/>
        <v>871.84602150628723</v>
      </c>
      <c r="CZ140" s="24">
        <f t="shared" si="1163"/>
        <v>891.08965363388995</v>
      </c>
      <c r="DA140" s="24">
        <f t="shared" si="1163"/>
        <v>907.69995853819876</v>
      </c>
      <c r="DB140" s="24">
        <f t="shared" si="1163"/>
        <v>922.03728463051982</v>
      </c>
      <c r="DE140" s="123"/>
      <c r="DF140" s="23">
        <v>477.50780000000003</v>
      </c>
    </row>
    <row r="141" spans="1:110" s="23" customFormat="1" outlineLevel="1" x14ac:dyDescent="0.2">
      <c r="A141" s="23" t="s">
        <v>52</v>
      </c>
      <c r="B141" s="23">
        <f>'Annual Raw'!C64</f>
        <v>0</v>
      </c>
      <c r="C141" s="23">
        <f>'Annual Raw'!D64</f>
        <v>0</v>
      </c>
      <c r="D141" s="23">
        <f>'Annual Raw'!E64</f>
        <v>0</v>
      </c>
      <c r="E141" s="23">
        <f>'Annual Raw'!F64</f>
        <v>0</v>
      </c>
      <c r="F141" s="23">
        <f>'Annual Raw'!G64</f>
        <v>0.81859999999999999</v>
      </c>
      <c r="G141" s="23">
        <f>'Annual Raw'!H64</f>
        <v>0.81859999999999999</v>
      </c>
      <c r="H141" s="23">
        <f>'Annual Raw'!I64</f>
        <v>0.81859999999999999</v>
      </c>
      <c r="I141" s="23">
        <f>'Annual Raw'!J64</f>
        <v>0.81859999999999999</v>
      </c>
      <c r="J141" s="23">
        <f>'Annual Raw'!K64</f>
        <v>0</v>
      </c>
      <c r="K141" s="23">
        <f>'Annual Raw'!L64</f>
        <v>0</v>
      </c>
      <c r="L141" s="23">
        <f>'Annual Raw'!M64</f>
        <v>0</v>
      </c>
      <c r="M141" s="23">
        <f>'Annual Raw'!N64</f>
        <v>0</v>
      </c>
      <c r="N141" s="23">
        <f>'Annual Raw'!O64</f>
        <v>0</v>
      </c>
      <c r="O141" s="23">
        <f>'Annual Raw'!P64</f>
        <v>5.8284000000000002</v>
      </c>
      <c r="P141" s="23">
        <f>'Annual Raw'!Q64</f>
        <v>0.80959999999999999</v>
      </c>
      <c r="Q141" s="23">
        <f>'Annual Raw'!R64</f>
        <v>0</v>
      </c>
      <c r="R141" s="23">
        <f>'Annual Raw'!S64</f>
        <v>0</v>
      </c>
      <c r="S141" s="23">
        <f>'Annual Raw'!T64</f>
        <v>0</v>
      </c>
      <c r="T141" s="23">
        <f>'Annual Raw'!U64</f>
        <v>0</v>
      </c>
      <c r="U141" s="23">
        <f>'Annual Raw'!V64</f>
        <v>0</v>
      </c>
      <c r="V141" s="23">
        <f>'Annual Raw'!W64</f>
        <v>0</v>
      </c>
      <c r="W141" s="23">
        <f>'Annual Raw'!X64</f>
        <v>0</v>
      </c>
      <c r="X141" s="23">
        <f>'Annual Raw'!Y64</f>
        <v>0</v>
      </c>
      <c r="Y141" s="23">
        <f>'Annual Raw'!Z64</f>
        <v>0</v>
      </c>
      <c r="Z141" s="23">
        <f>'Annual Raw'!AA64</f>
        <v>0</v>
      </c>
      <c r="AA141" s="23">
        <f>'Annual Raw'!AB64</f>
        <v>0</v>
      </c>
      <c r="AB141" s="24">
        <f t="shared" si="1156"/>
        <v>0</v>
      </c>
      <c r="AC141" s="24">
        <f t="shared" si="1157"/>
        <v>0</v>
      </c>
      <c r="AD141" s="24">
        <f t="shared" si="1158"/>
        <v>0</v>
      </c>
      <c r="AE141" s="24">
        <f t="shared" si="1159"/>
        <v>0</v>
      </c>
      <c r="AJ141" s="23">
        <f>+'QTR Raw'!D70</f>
        <v>0</v>
      </c>
      <c r="AL141" s="23">
        <f>+'QTR Raw'!F70</f>
        <v>0</v>
      </c>
      <c r="AN141" s="23">
        <f>+'QTR Raw'!H70</f>
        <v>0</v>
      </c>
      <c r="AP141" s="23">
        <f>+'QTR Raw'!J70</f>
        <v>0</v>
      </c>
      <c r="AR141" s="23">
        <f>+'QTR Raw'!L70</f>
        <v>0</v>
      </c>
      <c r="AT141" s="23">
        <f>+'QTR Raw'!N70</f>
        <v>0</v>
      </c>
      <c r="AV141" s="23">
        <f>+'QTR Raw'!P70</f>
        <v>0</v>
      </c>
      <c r="AX141" s="23">
        <f>+'QTR Raw'!R70</f>
        <v>0</v>
      </c>
      <c r="AZ141" s="23">
        <f>+'QTR Raw'!T70</f>
        <v>0</v>
      </c>
      <c r="BB141" s="23">
        <f>+'QTR Raw'!V70</f>
        <v>0</v>
      </c>
      <c r="BD141" s="23">
        <f>+'QTR Raw'!X70</f>
        <v>0</v>
      </c>
      <c r="BF141" s="23">
        <f>+'QTR Raw'!Z70</f>
        <v>0</v>
      </c>
      <c r="BH141" s="23">
        <f>+'QTR Raw'!AB70</f>
        <v>0</v>
      </c>
      <c r="BJ141" s="23">
        <f>+'QTR Raw'!AD70</f>
        <v>0</v>
      </c>
      <c r="BL141" s="23">
        <f>+'QTR Raw'!AF70</f>
        <v>0</v>
      </c>
      <c r="BN141" s="23">
        <f>+'QTR Raw'!AH70</f>
        <v>0</v>
      </c>
      <c r="BP141" s="23">
        <f>+'QTR Raw'!AJ70</f>
        <v>0</v>
      </c>
      <c r="BR141" s="23">
        <f>+'QTR Raw'!AL70</f>
        <v>0</v>
      </c>
      <c r="BT141" s="23">
        <f>+'QTR Raw'!AN70</f>
        <v>0</v>
      </c>
      <c r="BV141" s="23">
        <f>+'QTR Raw'!AP70</f>
        <v>0</v>
      </c>
      <c r="BX141" s="23">
        <f>+'QTR Raw'!AR70</f>
        <v>0</v>
      </c>
      <c r="BZ141" s="23">
        <f>+'QTR Raw'!AT70</f>
        <v>0</v>
      </c>
      <c r="CB141" s="23">
        <f>+'QTR Raw'!AV70</f>
        <v>0</v>
      </c>
      <c r="CD141" s="23">
        <f>+'QTR Raw'!AX70</f>
        <v>0</v>
      </c>
      <c r="CF141" s="23">
        <f>+'QTR Raw'!AZ70</f>
        <v>0</v>
      </c>
      <c r="CH141" s="23">
        <f t="shared" si="1160"/>
        <v>0</v>
      </c>
      <c r="CI141" s="23">
        <f>CH141</f>
        <v>0</v>
      </c>
      <c r="CJ141" s="23">
        <f>+'QTR Raw'!BD70</f>
        <v>0</v>
      </c>
      <c r="CK141" s="23">
        <f t="shared" ref="CK141:DB141" si="1164">CJ141</f>
        <v>0</v>
      </c>
      <c r="CL141" s="23">
        <f>+'QTR Raw'!BF70</f>
        <v>0</v>
      </c>
      <c r="CM141" s="24">
        <f t="shared" si="1164"/>
        <v>0</v>
      </c>
      <c r="CN141" s="24">
        <f t="shared" si="1164"/>
        <v>0</v>
      </c>
      <c r="CO141" s="24">
        <f t="shared" si="1164"/>
        <v>0</v>
      </c>
      <c r="CP141" s="24">
        <f t="shared" si="1164"/>
        <v>0</v>
      </c>
      <c r="CQ141" s="24">
        <f t="shared" si="1164"/>
        <v>0</v>
      </c>
      <c r="CR141" s="24">
        <f t="shared" si="1164"/>
        <v>0</v>
      </c>
      <c r="CS141" s="24">
        <f t="shared" si="1164"/>
        <v>0</v>
      </c>
      <c r="CT141" s="24">
        <f t="shared" si="1164"/>
        <v>0</v>
      </c>
      <c r="CU141" s="24">
        <f t="shared" si="1164"/>
        <v>0</v>
      </c>
      <c r="CV141" s="24">
        <f t="shared" si="1164"/>
        <v>0</v>
      </c>
      <c r="CW141" s="24">
        <f t="shared" si="1164"/>
        <v>0</v>
      </c>
      <c r="CX141" s="24">
        <f t="shared" si="1164"/>
        <v>0</v>
      </c>
      <c r="CY141" s="24">
        <f t="shared" si="1164"/>
        <v>0</v>
      </c>
      <c r="CZ141" s="24">
        <f t="shared" si="1164"/>
        <v>0</v>
      </c>
      <c r="DA141" s="24">
        <f t="shared" si="1164"/>
        <v>0</v>
      </c>
      <c r="DB141" s="24">
        <f t="shared" si="1164"/>
        <v>0</v>
      </c>
      <c r="DE141" s="123"/>
      <c r="DF141" s="23">
        <v>0</v>
      </c>
    </row>
    <row r="142" spans="1:110" s="22" customFormat="1" outlineLevel="1" x14ac:dyDescent="0.2">
      <c r="A142" s="22" t="s">
        <v>53</v>
      </c>
      <c r="B142" s="22">
        <f>+B139-B140-B141</f>
        <v>18.429500000000001</v>
      </c>
      <c r="C142" s="22">
        <f t="shared" ref="C142:W142" si="1165">+C139-C140-C141</f>
        <v>18.935200000000002</v>
      </c>
      <c r="D142" s="22">
        <f t="shared" si="1165"/>
        <v>21.497199999999999</v>
      </c>
      <c r="E142" s="22">
        <f t="shared" si="1165"/>
        <v>24.256299999999996</v>
      </c>
      <c r="F142" s="22">
        <f t="shared" si="1165"/>
        <v>34.771100000000004</v>
      </c>
      <c r="G142" s="22">
        <f t="shared" si="1165"/>
        <v>45.293099999999995</v>
      </c>
      <c r="H142" s="22">
        <f t="shared" si="1165"/>
        <v>63.172899999999998</v>
      </c>
      <c r="I142" s="22">
        <f t="shared" si="1165"/>
        <v>98.819199999999995</v>
      </c>
      <c r="J142" s="22">
        <f t="shared" si="1165"/>
        <v>97.306999999999988</v>
      </c>
      <c r="K142" s="22">
        <f t="shared" si="1165"/>
        <v>90.012299999999982</v>
      </c>
      <c r="L142" s="22">
        <f t="shared" si="1165"/>
        <v>90.761499999999998</v>
      </c>
      <c r="M142" s="22">
        <f t="shared" si="1165"/>
        <v>99.874399999999994</v>
      </c>
      <c r="N142" s="22">
        <f t="shared" si="1165"/>
        <v>99.14</v>
      </c>
      <c r="O142" s="22">
        <f t="shared" si="1165"/>
        <v>96.830899999999986</v>
      </c>
      <c r="P142" s="22">
        <f t="shared" si="1165"/>
        <v>98.487899999999982</v>
      </c>
      <c r="Q142" s="22">
        <f t="shared" si="1165"/>
        <v>106.96530000000001</v>
      </c>
      <c r="R142" s="22">
        <f t="shared" si="1165"/>
        <v>107.8048</v>
      </c>
      <c r="S142" s="22">
        <f t="shared" si="1165"/>
        <v>94.275800000000004</v>
      </c>
      <c r="T142" s="22">
        <f t="shared" si="1165"/>
        <v>101.18719999999999</v>
      </c>
      <c r="U142" s="22">
        <f t="shared" si="1165"/>
        <v>147.06010000000001</v>
      </c>
      <c r="V142" s="22">
        <f t="shared" si="1165"/>
        <v>169.65229999999997</v>
      </c>
      <c r="W142" s="22">
        <f t="shared" si="1165"/>
        <v>271.50549999999998</v>
      </c>
      <c r="X142" s="22">
        <f t="shared" ref="X142:Y142" si="1166">+X139-X140-X141</f>
        <v>333.59439999999995</v>
      </c>
      <c r="Y142" s="22">
        <f t="shared" si="1166"/>
        <v>395.97669999999999</v>
      </c>
      <c r="Z142" s="22">
        <f t="shared" ref="Z142:AE142" si="1167">+Z139-Z140-Z141</f>
        <v>318.03889999999996</v>
      </c>
      <c r="AA142" s="22">
        <f t="shared" ref="AA142" si="1168">+AA139-AA140-AA141</f>
        <v>259.25289999999995</v>
      </c>
      <c r="AB142" s="21">
        <f t="shared" si="1167"/>
        <v>235.89229729077147</v>
      </c>
      <c r="AC142" s="21">
        <f t="shared" si="1167"/>
        <v>293.50565334891201</v>
      </c>
      <c r="AD142" s="21">
        <f t="shared" si="1167"/>
        <v>162.92161436324591</v>
      </c>
      <c r="AE142" s="21">
        <f t="shared" si="1167"/>
        <v>90.435915369480199</v>
      </c>
      <c r="AJ142" s="22">
        <f t="shared" ref="AJ142:AL142" si="1169">+AJ139-AJ140-AJ141</f>
        <v>115.78400000000001</v>
      </c>
      <c r="AK142" s="22">
        <f t="shared" ref="AK142:CE142" si="1170">+AJ142</f>
        <v>115.78400000000001</v>
      </c>
      <c r="AL142" s="22">
        <f t="shared" si="1169"/>
        <v>115.93300000000001</v>
      </c>
      <c r="AM142" s="22">
        <f t="shared" si="1170"/>
        <v>115.93300000000001</v>
      </c>
      <c r="AN142" s="22">
        <f t="shared" ref="AN142" si="1171">+AN139-AN140-AN141</f>
        <v>111.042</v>
      </c>
      <c r="AO142" s="22">
        <f t="shared" si="1170"/>
        <v>111.042</v>
      </c>
      <c r="AP142" s="22">
        <f t="shared" ref="AP142:CD142" si="1172">+AP139-AP140-AP141</f>
        <v>99.855000000000004</v>
      </c>
      <c r="AQ142" s="22">
        <f t="shared" si="1170"/>
        <v>99.855000000000004</v>
      </c>
      <c r="AR142" s="22">
        <f t="shared" si="1172"/>
        <v>83.593000000000004</v>
      </c>
      <c r="AS142" s="22">
        <f t="shared" si="1170"/>
        <v>83.593000000000004</v>
      </c>
      <c r="AT142" s="22">
        <f t="shared" si="1172"/>
        <v>98.846999999999994</v>
      </c>
      <c r="AU142" s="22">
        <f t="shared" si="1170"/>
        <v>98.846999999999994</v>
      </c>
      <c r="AV142" s="22">
        <f t="shared" si="1172"/>
        <v>104.288</v>
      </c>
      <c r="AW142" s="22">
        <f t="shared" si="1170"/>
        <v>104.288</v>
      </c>
      <c r="AX142" s="22">
        <f t="shared" si="1172"/>
        <v>106.965</v>
      </c>
      <c r="AY142" s="22">
        <f t="shared" si="1170"/>
        <v>106.965</v>
      </c>
      <c r="AZ142" s="22">
        <f t="shared" si="1172"/>
        <v>108.76300000000001</v>
      </c>
      <c r="BA142" s="22">
        <f t="shared" si="1170"/>
        <v>108.76300000000001</v>
      </c>
      <c r="BB142" s="22">
        <f t="shared" si="1172"/>
        <v>107.80500000000001</v>
      </c>
      <c r="BC142" s="22">
        <f t="shared" si="1170"/>
        <v>107.80500000000001</v>
      </c>
      <c r="BD142" s="22">
        <f t="shared" si="1172"/>
        <v>99.724000000000004</v>
      </c>
      <c r="BE142" s="22">
        <f t="shared" si="1170"/>
        <v>99.724000000000004</v>
      </c>
      <c r="BF142" s="22">
        <f t="shared" si="1172"/>
        <v>94.275999999999996</v>
      </c>
      <c r="BG142" s="22">
        <f t="shared" si="1170"/>
        <v>94.275999999999996</v>
      </c>
      <c r="BH142" s="22">
        <f t="shared" si="1172"/>
        <v>94.606999999999999</v>
      </c>
      <c r="BI142" s="22">
        <f t="shared" si="1170"/>
        <v>94.606999999999999</v>
      </c>
      <c r="BJ142" s="22">
        <f t="shared" si="1172"/>
        <v>101.187</v>
      </c>
      <c r="BK142" s="22">
        <f t="shared" si="1170"/>
        <v>101.187</v>
      </c>
      <c r="BL142" s="22">
        <f t="shared" si="1172"/>
        <v>151.18899999999999</v>
      </c>
      <c r="BM142" s="22">
        <f t="shared" si="1170"/>
        <v>151.18899999999999</v>
      </c>
      <c r="BN142" s="22">
        <f t="shared" si="1172"/>
        <v>95.227999999999994</v>
      </c>
      <c r="BO142" s="22">
        <f t="shared" si="1170"/>
        <v>95.227999999999994</v>
      </c>
      <c r="BP142" s="22">
        <f t="shared" si="1172"/>
        <v>93.956000000000003</v>
      </c>
      <c r="BQ142" s="22">
        <f t="shared" si="1170"/>
        <v>93.956000000000003</v>
      </c>
      <c r="BR142" s="22">
        <f t="shared" si="1172"/>
        <v>104.55800000000001</v>
      </c>
      <c r="BS142" s="22">
        <f t="shared" si="1170"/>
        <v>104.55800000000001</v>
      </c>
      <c r="BT142" s="22">
        <f t="shared" si="1172"/>
        <v>120.056</v>
      </c>
      <c r="BU142" s="22">
        <f t="shared" si="1170"/>
        <v>120.056</v>
      </c>
      <c r="BV142" s="22">
        <f t="shared" si="1172"/>
        <v>147.12200000000001</v>
      </c>
      <c r="BW142" s="22">
        <f t="shared" si="1170"/>
        <v>147.12200000000001</v>
      </c>
      <c r="BX142" s="22">
        <f t="shared" si="1172"/>
        <v>184.34299999999999</v>
      </c>
      <c r="BY142" s="22">
        <f t="shared" si="1170"/>
        <v>184.34299999999999</v>
      </c>
      <c r="BZ142" s="22">
        <f t="shared" si="1172"/>
        <v>175.93600000000001</v>
      </c>
      <c r="CA142" s="22">
        <f t="shared" si="1170"/>
        <v>175.93600000000001</v>
      </c>
      <c r="CB142" s="22">
        <f t="shared" si="1172"/>
        <v>175.661</v>
      </c>
      <c r="CC142" s="22">
        <f t="shared" si="1170"/>
        <v>175.661</v>
      </c>
      <c r="CD142" s="22">
        <f t="shared" si="1172"/>
        <v>205.696</v>
      </c>
      <c r="CE142" s="22">
        <f t="shared" si="1170"/>
        <v>205.696</v>
      </c>
      <c r="CF142" s="22">
        <f t="shared" ref="CF142:CI142" si="1173">+CF139-CF140-CF141</f>
        <v>186.023</v>
      </c>
      <c r="CG142" s="22">
        <f t="shared" ref="CG142:CI145" si="1174">+CF142</f>
        <v>186.023</v>
      </c>
      <c r="CH142" s="22">
        <f t="shared" si="1173"/>
        <v>318.03889999999996</v>
      </c>
      <c r="CI142" s="22">
        <f t="shared" si="1173"/>
        <v>293.76689999999996</v>
      </c>
      <c r="CJ142" s="23">
        <f>+'QTR Raw'!BD68</f>
        <v>142.887</v>
      </c>
      <c r="CK142" s="23">
        <f t="shared" ref="CK142:DB142" si="1175">+CK139-CK140-CK141</f>
        <v>170.08000000000004</v>
      </c>
      <c r="CL142" s="23">
        <f>+'QTR Raw'!BF68</f>
        <v>132.101</v>
      </c>
      <c r="CM142" s="21">
        <f t="shared" si="1175"/>
        <v>164.02410281044217</v>
      </c>
      <c r="CN142" s="21">
        <f t="shared" si="1175"/>
        <v>191.57880078310075</v>
      </c>
      <c r="CO142" s="21">
        <f t="shared" si="1175"/>
        <v>215.36287292899749</v>
      </c>
      <c r="CP142" s="21">
        <f t="shared" si="1175"/>
        <v>235.89229729077147</v>
      </c>
      <c r="CQ142" s="21">
        <f t="shared" si="1175"/>
        <v>253.61244470877818</v>
      </c>
      <c r="CR142" s="21">
        <f t="shared" si="1175"/>
        <v>268.90774081559789</v>
      </c>
      <c r="CS142" s="21">
        <f t="shared" si="1175"/>
        <v>282.11000586885382</v>
      </c>
      <c r="CT142" s="21">
        <f t="shared" si="1175"/>
        <v>293.50565334891201</v>
      </c>
      <c r="CU142" s="21">
        <f t="shared" si="1175"/>
        <v>253.34190348977177</v>
      </c>
      <c r="CV142" s="21">
        <f t="shared" si="1175"/>
        <v>218.67422085912176</v>
      </c>
      <c r="CW142" s="21">
        <f t="shared" si="1175"/>
        <v>188.75051544828455</v>
      </c>
      <c r="CX142" s="21">
        <f t="shared" si="1175"/>
        <v>162.92161436324591</v>
      </c>
      <c r="CY142" s="21">
        <f t="shared" si="1175"/>
        <v>140.62717849371279</v>
      </c>
      <c r="CZ142" s="21">
        <f t="shared" si="1175"/>
        <v>121.38354636611007</v>
      </c>
      <c r="DA142" s="21">
        <f t="shared" si="1175"/>
        <v>104.77324146180126</v>
      </c>
      <c r="DB142" s="21">
        <f t="shared" si="1175"/>
        <v>90.435915369480199</v>
      </c>
      <c r="DE142" s="126"/>
      <c r="DF142" s="22">
        <v>199.67040000000003</v>
      </c>
    </row>
    <row r="143" spans="1:110" s="23" customFormat="1" outlineLevel="1" x14ac:dyDescent="0.2">
      <c r="A143" s="23" t="s">
        <v>54</v>
      </c>
      <c r="B143" s="23">
        <f>'Annual Raw'!C86</f>
        <v>0</v>
      </c>
      <c r="C143" s="23">
        <f>'Annual Raw'!D86</f>
        <v>0</v>
      </c>
      <c r="D143" s="23">
        <f>'Annual Raw'!E86</f>
        <v>0</v>
      </c>
      <c r="E143" s="23">
        <f>'Annual Raw'!F86</f>
        <v>0</v>
      </c>
      <c r="F143" s="23">
        <f>'Annual Raw'!G86</f>
        <v>0</v>
      </c>
      <c r="G143" s="23">
        <f>'Annual Raw'!H86</f>
        <v>0</v>
      </c>
      <c r="H143" s="23">
        <f>'Annual Raw'!I86</f>
        <v>0</v>
      </c>
      <c r="I143" s="23">
        <f>'Annual Raw'!J86</f>
        <v>0</v>
      </c>
      <c r="J143" s="23">
        <f>'Annual Raw'!K86</f>
        <v>0</v>
      </c>
      <c r="K143" s="23">
        <f>'Annual Raw'!L86</f>
        <v>0</v>
      </c>
      <c r="L143" s="23">
        <f>'Annual Raw'!M86</f>
        <v>0</v>
      </c>
      <c r="M143" s="23">
        <f>'Annual Raw'!N86</f>
        <v>0</v>
      </c>
      <c r="N143" s="23">
        <f>'Annual Raw'!O86</f>
        <v>0</v>
      </c>
      <c r="O143" s="23">
        <f>'Annual Raw'!P86</f>
        <v>0</v>
      </c>
      <c r="P143" s="23">
        <f>'Annual Raw'!Q86</f>
        <v>0</v>
      </c>
      <c r="Q143" s="23">
        <f>'Annual Raw'!R86</f>
        <v>0</v>
      </c>
      <c r="R143" s="23">
        <f>'Annual Raw'!S86</f>
        <v>0</v>
      </c>
      <c r="S143" s="23">
        <f>'Annual Raw'!T86</f>
        <v>0</v>
      </c>
      <c r="T143" s="23">
        <f>'Annual Raw'!U86</f>
        <v>0</v>
      </c>
      <c r="U143" s="23">
        <f>'Annual Raw'!V86</f>
        <v>0</v>
      </c>
      <c r="V143" s="23">
        <f>'Annual Raw'!W86</f>
        <v>0</v>
      </c>
      <c r="W143" s="23">
        <f>'Annual Raw'!X86</f>
        <v>0</v>
      </c>
      <c r="X143" s="23">
        <f>'Annual Raw'!Y86</f>
        <v>0</v>
      </c>
      <c r="Y143" s="23">
        <f>'Annual Raw'!Z86</f>
        <v>0</v>
      </c>
      <c r="Z143" s="23">
        <f>'Annual Raw'!AA86</f>
        <v>0</v>
      </c>
      <c r="AA143" s="23">
        <f>'Annual Raw'!AB86</f>
        <v>0</v>
      </c>
      <c r="AB143" s="24">
        <f t="shared" si="1156"/>
        <v>0</v>
      </c>
      <c r="AC143" s="24">
        <f t="shared" si="1157"/>
        <v>0</v>
      </c>
      <c r="AD143" s="24">
        <f t="shared" si="1158"/>
        <v>0</v>
      </c>
      <c r="AE143" s="24">
        <f t="shared" si="1159"/>
        <v>0</v>
      </c>
      <c r="AJ143" s="23">
        <f>+'QTR Raw'!D72</f>
        <v>0</v>
      </c>
      <c r="AK143" s="23">
        <f>+AJ143</f>
        <v>0</v>
      </c>
      <c r="AL143" s="23">
        <f>+'QTR Raw'!F72</f>
        <v>0</v>
      </c>
      <c r="AM143" s="23">
        <f t="shared" ref="AK143:CE145" si="1176">+AL143</f>
        <v>0</v>
      </c>
      <c r="AN143" s="23">
        <f>+'QTR Raw'!H72</f>
        <v>0</v>
      </c>
      <c r="AO143" s="23">
        <f t="shared" si="1176"/>
        <v>0</v>
      </c>
      <c r="AP143" s="23">
        <f>+'QTR Raw'!J72</f>
        <v>0</v>
      </c>
      <c r="AQ143" s="23">
        <f t="shared" si="1176"/>
        <v>0</v>
      </c>
      <c r="AR143" s="23">
        <f>+'QTR Raw'!L72</f>
        <v>0</v>
      </c>
      <c r="AS143" s="23">
        <f t="shared" si="1176"/>
        <v>0</v>
      </c>
      <c r="AT143" s="23">
        <f>+'QTR Raw'!N72</f>
        <v>0</v>
      </c>
      <c r="AU143" s="23">
        <f t="shared" si="1176"/>
        <v>0</v>
      </c>
      <c r="AV143" s="23">
        <f>+'QTR Raw'!P72</f>
        <v>0</v>
      </c>
      <c r="AW143" s="23">
        <f t="shared" si="1176"/>
        <v>0</v>
      </c>
      <c r="AX143" s="23">
        <f>+'QTR Raw'!R72</f>
        <v>0</v>
      </c>
      <c r="AY143" s="23">
        <f t="shared" si="1176"/>
        <v>0</v>
      </c>
      <c r="AZ143" s="23">
        <f>+'QTR Raw'!T72</f>
        <v>0</v>
      </c>
      <c r="BA143" s="23">
        <f t="shared" si="1176"/>
        <v>0</v>
      </c>
      <c r="BB143" s="23">
        <f>+'QTR Raw'!V72</f>
        <v>0</v>
      </c>
      <c r="BC143" s="23">
        <f t="shared" si="1176"/>
        <v>0</v>
      </c>
      <c r="BD143" s="23">
        <f>+'QTR Raw'!X72</f>
        <v>0</v>
      </c>
      <c r="BE143" s="23">
        <f t="shared" si="1176"/>
        <v>0</v>
      </c>
      <c r="BF143" s="23">
        <f>+'QTR Raw'!Z72</f>
        <v>0</v>
      </c>
      <c r="BG143" s="23">
        <f t="shared" si="1176"/>
        <v>0</v>
      </c>
      <c r="BH143" s="23">
        <f>+'QTR Raw'!AB72</f>
        <v>0</v>
      </c>
      <c r="BI143" s="23">
        <f t="shared" si="1176"/>
        <v>0</v>
      </c>
      <c r="BJ143" s="23">
        <f>+'QTR Raw'!AD72</f>
        <v>0</v>
      </c>
      <c r="BK143" s="23">
        <f t="shared" si="1176"/>
        <v>0</v>
      </c>
      <c r="BL143" s="23">
        <f>+'QTR Raw'!AF72</f>
        <v>0</v>
      </c>
      <c r="BM143" s="23">
        <f t="shared" si="1176"/>
        <v>0</v>
      </c>
      <c r="BN143" s="23">
        <f>+'QTR Raw'!AH72</f>
        <v>0</v>
      </c>
      <c r="BO143" s="23">
        <f t="shared" si="1176"/>
        <v>0</v>
      </c>
      <c r="BP143" s="23">
        <f>+'QTR Raw'!AJ72</f>
        <v>0</v>
      </c>
      <c r="BQ143" s="23">
        <f t="shared" si="1176"/>
        <v>0</v>
      </c>
      <c r="BR143" s="23">
        <f>+'QTR Raw'!AL72</f>
        <v>0</v>
      </c>
      <c r="BS143" s="23">
        <f t="shared" si="1176"/>
        <v>0</v>
      </c>
      <c r="BT143" s="23">
        <f>+'QTR Raw'!AN72</f>
        <v>0</v>
      </c>
      <c r="BU143" s="23">
        <f t="shared" si="1176"/>
        <v>0</v>
      </c>
      <c r="BV143" s="23">
        <f>+'QTR Raw'!AP72</f>
        <v>0</v>
      </c>
      <c r="BW143" s="23">
        <f t="shared" si="1176"/>
        <v>0</v>
      </c>
      <c r="BX143" s="23">
        <f>+'QTR Raw'!AR72</f>
        <v>0</v>
      </c>
      <c r="BY143" s="23">
        <f t="shared" si="1176"/>
        <v>0</v>
      </c>
      <c r="BZ143" s="23">
        <f>+'QTR Raw'!AT72</f>
        <v>0</v>
      </c>
      <c r="CA143" s="23">
        <f t="shared" si="1176"/>
        <v>0</v>
      </c>
      <c r="CB143" s="23">
        <f>+'QTR Raw'!AV72</f>
        <v>0</v>
      </c>
      <c r="CC143" s="23">
        <f t="shared" si="1176"/>
        <v>0</v>
      </c>
      <c r="CD143" s="23">
        <f>+'QTR Raw'!AX72</f>
        <v>0</v>
      </c>
      <c r="CE143" s="23">
        <f t="shared" si="1176"/>
        <v>0</v>
      </c>
      <c r="CF143" s="23">
        <f>+'QTR Raw'!AZ72</f>
        <v>0</v>
      </c>
      <c r="CG143" s="23">
        <f t="shared" si="1174"/>
        <v>0</v>
      </c>
      <c r="CH143" s="23">
        <f t="shared" si="1160"/>
        <v>0</v>
      </c>
      <c r="CI143" s="23">
        <f t="shared" si="1174"/>
        <v>0</v>
      </c>
      <c r="CJ143" s="23">
        <f>+'QTR Raw'!BD72</f>
        <v>0</v>
      </c>
      <c r="CK143" s="23">
        <f t="shared" ref="CK143:CK145" si="1177">+CJ143</f>
        <v>0</v>
      </c>
      <c r="CL143" s="23">
        <f>+'QTR Raw'!BF72</f>
        <v>0</v>
      </c>
      <c r="CM143" s="24">
        <f t="shared" ref="CM143:CM145" si="1178">+CL143</f>
        <v>0</v>
      </c>
      <c r="CN143" s="24">
        <f t="shared" ref="CN143:CN145" si="1179">+CM143</f>
        <v>0</v>
      </c>
      <c r="CO143" s="24">
        <f t="shared" ref="CO143:CO145" si="1180">+CN143</f>
        <v>0</v>
      </c>
      <c r="CP143" s="24">
        <f t="shared" ref="CP143:CP145" si="1181">+CO143</f>
        <v>0</v>
      </c>
      <c r="CQ143" s="24">
        <f t="shared" ref="CQ143:CQ145" si="1182">+CP143</f>
        <v>0</v>
      </c>
      <c r="CR143" s="24">
        <f t="shared" ref="CR143:CR145" si="1183">+CQ143</f>
        <v>0</v>
      </c>
      <c r="CS143" s="24">
        <f t="shared" ref="CS143:CS145" si="1184">+CR143</f>
        <v>0</v>
      </c>
      <c r="CT143" s="24">
        <f t="shared" ref="CT143:CT145" si="1185">+CS143</f>
        <v>0</v>
      </c>
      <c r="CU143" s="24">
        <f t="shared" ref="CU143:CU145" si="1186">+CT143</f>
        <v>0</v>
      </c>
      <c r="CV143" s="24">
        <f t="shared" ref="CV143:CV145" si="1187">+CU143</f>
        <v>0</v>
      </c>
      <c r="CW143" s="24">
        <f t="shared" ref="CW143:CW145" si="1188">+CV143</f>
        <v>0</v>
      </c>
      <c r="CX143" s="24">
        <f t="shared" ref="CX143:CX145" si="1189">+CW143</f>
        <v>0</v>
      </c>
      <c r="CY143" s="24">
        <f t="shared" ref="CY143:CY145" si="1190">+CX143</f>
        <v>0</v>
      </c>
      <c r="CZ143" s="24">
        <f t="shared" ref="CZ143:CZ145" si="1191">+CY143</f>
        <v>0</v>
      </c>
      <c r="DA143" s="24">
        <f t="shared" ref="DA143:DA145" si="1192">+CZ143</f>
        <v>0</v>
      </c>
      <c r="DB143" s="24">
        <f t="shared" ref="DB143:DB145" si="1193">+DA143</f>
        <v>0</v>
      </c>
      <c r="DE143" s="123"/>
      <c r="DF143" s="23">
        <v>0</v>
      </c>
    </row>
    <row r="144" spans="1:110" s="23" customFormat="1" outlineLevel="1" x14ac:dyDescent="0.2">
      <c r="A144" s="23" t="s">
        <v>55</v>
      </c>
      <c r="B144" s="23">
        <f>'Annual Raw'!C68</f>
        <v>0</v>
      </c>
      <c r="C144" s="23">
        <f>'Annual Raw'!D68</f>
        <v>0</v>
      </c>
      <c r="D144" s="23">
        <f>'Annual Raw'!E68</f>
        <v>0</v>
      </c>
      <c r="E144" s="23">
        <f>'Annual Raw'!F68</f>
        <v>0</v>
      </c>
      <c r="F144" s="23">
        <f>'Annual Raw'!G68</f>
        <v>0</v>
      </c>
      <c r="G144" s="23">
        <f>'Annual Raw'!H68</f>
        <v>0</v>
      </c>
      <c r="H144" s="23">
        <f>'Annual Raw'!I68</f>
        <v>0</v>
      </c>
      <c r="I144" s="23">
        <f>'Annual Raw'!J68</f>
        <v>0</v>
      </c>
      <c r="J144" s="23">
        <f>'Annual Raw'!K68</f>
        <v>0</v>
      </c>
      <c r="K144" s="23">
        <f>'Annual Raw'!L68</f>
        <v>0</v>
      </c>
      <c r="L144" s="23">
        <f>'Annual Raw'!M68</f>
        <v>7.6391999999999998</v>
      </c>
      <c r="M144" s="23">
        <f>'Annual Raw'!N68</f>
        <v>9.4015000000000004</v>
      </c>
      <c r="N144" s="23">
        <f>'Annual Raw'!O68</f>
        <v>16.7925</v>
      </c>
      <c r="O144" s="23">
        <f>'Annual Raw'!P68</f>
        <v>3.0240999999999998</v>
      </c>
      <c r="P144" s="23">
        <f>'Annual Raw'!Q68</f>
        <v>0.35920000000000002</v>
      </c>
      <c r="Q144" s="23">
        <f>'Annual Raw'!R68</f>
        <v>0</v>
      </c>
      <c r="R144" s="23">
        <f>'Annual Raw'!S68</f>
        <v>0</v>
      </c>
      <c r="S144" s="23">
        <f>'Annual Raw'!T68</f>
        <v>0</v>
      </c>
      <c r="T144" s="23">
        <f>'Annual Raw'!U68</f>
        <v>0</v>
      </c>
      <c r="U144" s="23">
        <f>'Annual Raw'!V68</f>
        <v>0</v>
      </c>
      <c r="V144" s="23">
        <f>'Annual Raw'!W68</f>
        <v>0</v>
      </c>
      <c r="W144" s="23">
        <f>'Annual Raw'!X68</f>
        <v>0</v>
      </c>
      <c r="X144" s="23">
        <f>'Annual Raw'!Y68</f>
        <v>0</v>
      </c>
      <c r="Y144" s="23">
        <f>'Annual Raw'!Z68</f>
        <v>0</v>
      </c>
      <c r="Z144" s="23">
        <f>'Annual Raw'!AA68</f>
        <v>0</v>
      </c>
      <c r="AA144" s="23">
        <f>'Annual Raw'!AB68</f>
        <v>0</v>
      </c>
      <c r="AB144" s="24">
        <f t="shared" si="1156"/>
        <v>0</v>
      </c>
      <c r="AC144" s="24">
        <f t="shared" si="1157"/>
        <v>0</v>
      </c>
      <c r="AD144" s="24">
        <f t="shared" si="1158"/>
        <v>0</v>
      </c>
      <c r="AE144" s="24">
        <f t="shared" si="1159"/>
        <v>0</v>
      </c>
      <c r="AK144" s="23">
        <f t="shared" si="1176"/>
        <v>0</v>
      </c>
      <c r="AM144" s="23">
        <f t="shared" si="1176"/>
        <v>0</v>
      </c>
      <c r="AO144" s="23">
        <f t="shared" si="1176"/>
        <v>0</v>
      </c>
      <c r="AQ144" s="23">
        <f t="shared" si="1176"/>
        <v>0</v>
      </c>
      <c r="AS144" s="23">
        <f t="shared" si="1176"/>
        <v>0</v>
      </c>
      <c r="AU144" s="23">
        <f t="shared" si="1176"/>
        <v>0</v>
      </c>
      <c r="AW144" s="23">
        <f t="shared" si="1176"/>
        <v>0</v>
      </c>
      <c r="AY144" s="23">
        <f t="shared" si="1176"/>
        <v>0</v>
      </c>
      <c r="BA144" s="23">
        <f t="shared" si="1176"/>
        <v>0</v>
      </c>
      <c r="BC144" s="23">
        <f t="shared" si="1176"/>
        <v>0</v>
      </c>
      <c r="BE144" s="23">
        <f t="shared" si="1176"/>
        <v>0</v>
      </c>
      <c r="BG144" s="23">
        <f t="shared" si="1176"/>
        <v>0</v>
      </c>
      <c r="BI144" s="23">
        <f t="shared" si="1176"/>
        <v>0</v>
      </c>
      <c r="BK144" s="23">
        <f t="shared" si="1176"/>
        <v>0</v>
      </c>
      <c r="BM144" s="23">
        <f t="shared" si="1176"/>
        <v>0</v>
      </c>
      <c r="BO144" s="23">
        <f t="shared" si="1176"/>
        <v>0</v>
      </c>
      <c r="BQ144" s="23">
        <f t="shared" si="1176"/>
        <v>0</v>
      </c>
      <c r="BS144" s="23">
        <f t="shared" si="1176"/>
        <v>0</v>
      </c>
      <c r="BU144" s="23">
        <f t="shared" si="1176"/>
        <v>0</v>
      </c>
      <c r="BW144" s="23">
        <f t="shared" si="1176"/>
        <v>0</v>
      </c>
      <c r="BY144" s="23">
        <f t="shared" si="1176"/>
        <v>0</v>
      </c>
      <c r="CA144" s="23">
        <f t="shared" si="1176"/>
        <v>0</v>
      </c>
      <c r="CC144" s="23">
        <f t="shared" si="1176"/>
        <v>0</v>
      </c>
      <c r="CE144" s="23">
        <f t="shared" si="1176"/>
        <v>0</v>
      </c>
      <c r="CG144" s="23">
        <f t="shared" si="1174"/>
        <v>0</v>
      </c>
      <c r="CH144" s="23">
        <f t="shared" si="1160"/>
        <v>0</v>
      </c>
      <c r="CI144" s="23">
        <f t="shared" si="1174"/>
        <v>0</v>
      </c>
      <c r="CK144" s="23">
        <f t="shared" si="1177"/>
        <v>0</v>
      </c>
      <c r="CM144" s="24">
        <f t="shared" si="1178"/>
        <v>0</v>
      </c>
      <c r="CN144" s="24">
        <f t="shared" si="1179"/>
        <v>0</v>
      </c>
      <c r="CO144" s="24">
        <f t="shared" si="1180"/>
        <v>0</v>
      </c>
      <c r="CP144" s="24">
        <f t="shared" si="1181"/>
        <v>0</v>
      </c>
      <c r="CQ144" s="24">
        <f t="shared" si="1182"/>
        <v>0</v>
      </c>
      <c r="CR144" s="24">
        <f t="shared" si="1183"/>
        <v>0</v>
      </c>
      <c r="CS144" s="24">
        <f t="shared" si="1184"/>
        <v>0</v>
      </c>
      <c r="CT144" s="24">
        <f t="shared" si="1185"/>
        <v>0</v>
      </c>
      <c r="CU144" s="24">
        <f t="shared" si="1186"/>
        <v>0</v>
      </c>
      <c r="CV144" s="24">
        <f t="shared" si="1187"/>
        <v>0</v>
      </c>
      <c r="CW144" s="24">
        <f t="shared" si="1188"/>
        <v>0</v>
      </c>
      <c r="CX144" s="24">
        <f t="shared" si="1189"/>
        <v>0</v>
      </c>
      <c r="CY144" s="24">
        <f t="shared" si="1190"/>
        <v>0</v>
      </c>
      <c r="CZ144" s="24">
        <f t="shared" si="1191"/>
        <v>0</v>
      </c>
      <c r="DA144" s="24">
        <f t="shared" si="1192"/>
        <v>0</v>
      </c>
      <c r="DB144" s="24">
        <f t="shared" si="1193"/>
        <v>0</v>
      </c>
      <c r="DE144" s="123"/>
      <c r="DF144" s="23">
        <v>0</v>
      </c>
    </row>
    <row r="145" spans="1:110" s="23" customFormat="1" outlineLevel="1" x14ac:dyDescent="0.2">
      <c r="A145" s="23" t="s">
        <v>56</v>
      </c>
      <c r="B145" s="23">
        <f>'Annual Raw'!C67+'Annual Raw'!C66+'Annual Raw'!C69+'Annual Raw'!C70</f>
        <v>0.1376</v>
      </c>
      <c r="C145" s="23">
        <f>'Annual Raw'!D67+'Annual Raw'!D66+'Annual Raw'!D69+'Annual Raw'!D70</f>
        <v>0.45939999999999998</v>
      </c>
      <c r="D145" s="23">
        <f>'Annual Raw'!E67+'Annual Raw'!E66+'Annual Raw'!E69+'Annual Raw'!E70</f>
        <v>0.18679999999999999</v>
      </c>
      <c r="E145" s="23">
        <f>'Annual Raw'!F67+'Annual Raw'!F66+'Annual Raw'!F69+'Annual Raw'!F70</f>
        <v>0.27450000000000002</v>
      </c>
      <c r="F145" s="23">
        <f>'Annual Raw'!G67+'Annual Raw'!G66+'Annual Raw'!G69+'Annual Raw'!G70</f>
        <v>1.0880000000000001</v>
      </c>
      <c r="G145" s="23">
        <f>'Annual Raw'!H67+'Annual Raw'!H66+'Annual Raw'!H69+'Annual Raw'!H70</f>
        <v>3.1459000000000001</v>
      </c>
      <c r="H145" s="23">
        <f>'Annual Raw'!I67+'Annual Raw'!I66+'Annual Raw'!I69+'Annual Raw'!I70</f>
        <v>9.4732000000000003</v>
      </c>
      <c r="I145" s="23">
        <f>'Annual Raw'!J67+'Annual Raw'!J66+'Annual Raw'!J69+'Annual Raw'!J70</f>
        <v>1.6781999999999999</v>
      </c>
      <c r="J145" s="23">
        <f>'Annual Raw'!K67+'Annual Raw'!K66+'Annual Raw'!K69+'Annual Raw'!K70</f>
        <v>1.0598000000000001</v>
      </c>
      <c r="K145" s="23">
        <f>'Annual Raw'!L67+'Annual Raw'!L66+'Annual Raw'!L69+'Annual Raw'!L70</f>
        <v>0.41070000000000001</v>
      </c>
      <c r="L145" s="23">
        <f>'Annual Raw'!M67+'Annual Raw'!M66+'Annual Raw'!M69+'Annual Raw'!M70</f>
        <v>4.1961000000000004</v>
      </c>
      <c r="M145" s="23">
        <f>'Annual Raw'!N67+'Annual Raw'!N66+'Annual Raw'!N69+'Annual Raw'!N70</f>
        <v>1.0597000000000001</v>
      </c>
      <c r="N145" s="23">
        <f>'Annual Raw'!O67+'Annual Raw'!O66+'Annual Raw'!O69+'Annual Raw'!O70</f>
        <v>4.4706999999999999</v>
      </c>
      <c r="O145" s="23">
        <f>'Annual Raw'!P67+'Annual Raw'!P66+'Annual Raw'!P69+'Annual Raw'!P70</f>
        <v>9.5975000000000001</v>
      </c>
      <c r="P145" s="23">
        <f>'Annual Raw'!Q67+'Annual Raw'!Q66+'Annual Raw'!Q69+'Annual Raw'!Q70</f>
        <v>2.2271000000000001</v>
      </c>
      <c r="Q145" s="23">
        <f>'Annual Raw'!R67+'Annual Raw'!R66+'Annual Raw'!R69+'Annual Raw'!R70</f>
        <v>1.8783000000000001</v>
      </c>
      <c r="R145" s="23">
        <f>'Annual Raw'!S67+'Annual Raw'!S66+'Annual Raw'!S69+'Annual Raw'!S70</f>
        <v>1.0336000000000001</v>
      </c>
      <c r="S145" s="23">
        <f>'Annual Raw'!T67+'Annual Raw'!T66+'Annual Raw'!T69+'Annual Raw'!T70</f>
        <v>2.1263999999999998</v>
      </c>
      <c r="T145" s="23">
        <f>'Annual Raw'!U67+'Annual Raw'!U66+'Annual Raw'!U69+'Annual Raw'!U70</f>
        <v>0.44750000000000001</v>
      </c>
      <c r="U145" s="23">
        <f>'Annual Raw'!V67+'Annual Raw'!V66+'Annual Raw'!V69+'Annual Raw'!V70</f>
        <v>0.91310000000000002</v>
      </c>
      <c r="V145" s="23">
        <f>'Annual Raw'!W67+'Annual Raw'!W66+'Annual Raw'!W69+'Annual Raw'!W70</f>
        <v>7.2672999999999996</v>
      </c>
      <c r="W145" s="23">
        <f>'Annual Raw'!X67+'Annual Raw'!X66+'Annual Raw'!X69+'Annual Raw'!X70</f>
        <v>22.089200000000002</v>
      </c>
      <c r="X145" s="23">
        <f>'Annual Raw'!Y67+'Annual Raw'!Y66+'Annual Raw'!Y69+'Annual Raw'!Y70</f>
        <v>6.9793000000000003</v>
      </c>
      <c r="Y145" s="23">
        <f>'Annual Raw'!Z67+'Annual Raw'!Z66+'Annual Raw'!Z69+'Annual Raw'!Z70</f>
        <v>2.1543000000000001</v>
      </c>
      <c r="Z145" s="23">
        <f>'Annual Raw'!AA67+'Annual Raw'!AA66+'Annual Raw'!AA69+'Annual Raw'!AA70</f>
        <v>1.6173</v>
      </c>
      <c r="AA145" s="23">
        <f>'Annual Raw'!AB67+'Annual Raw'!AB66+'Annual Raw'!AB69+'Annual Raw'!AB70</f>
        <v>0</v>
      </c>
      <c r="AB145" s="24">
        <f t="shared" si="1156"/>
        <v>0</v>
      </c>
      <c r="AC145" s="24">
        <f t="shared" si="1157"/>
        <v>0</v>
      </c>
      <c r="AD145" s="24">
        <f t="shared" si="1158"/>
        <v>0</v>
      </c>
      <c r="AE145" s="24">
        <f t="shared" si="1159"/>
        <v>0</v>
      </c>
      <c r="AJ145" s="23">
        <f>+'QTR Raw'!D74+'QTR Raw'!D75</f>
        <v>1.4770000000000001</v>
      </c>
      <c r="AK145" s="23">
        <f t="shared" si="1176"/>
        <v>1.4770000000000001</v>
      </c>
      <c r="AL145" s="23">
        <f>+'QTR Raw'!F74+'QTR Raw'!F75</f>
        <v>4.4710000000000001</v>
      </c>
      <c r="AM145" s="23">
        <f t="shared" si="1176"/>
        <v>4.4710000000000001</v>
      </c>
      <c r="AN145" s="23">
        <f>+'QTR Raw'!H74+'QTR Raw'!H75</f>
        <v>5.5410000000000004</v>
      </c>
      <c r="AO145" s="23">
        <f t="shared" si="1176"/>
        <v>5.5410000000000004</v>
      </c>
      <c r="AP145" s="23">
        <f>+'QTR Raw'!J74+'QTR Raw'!J75</f>
        <v>9.5980000000000008</v>
      </c>
      <c r="AQ145" s="23">
        <f t="shared" si="1176"/>
        <v>9.5980000000000008</v>
      </c>
      <c r="AR145" s="23">
        <f>+'QTR Raw'!L74+'QTR Raw'!L75</f>
        <v>15.255000000000001</v>
      </c>
      <c r="AS145" s="23">
        <f t="shared" si="1176"/>
        <v>15.255000000000001</v>
      </c>
      <c r="AT145" s="23">
        <f>+'QTR Raw'!N74+'QTR Raw'!N75</f>
        <v>2.2269999999999999</v>
      </c>
      <c r="AU145" s="23">
        <f t="shared" si="1176"/>
        <v>2.2269999999999999</v>
      </c>
      <c r="AV145" s="23">
        <f>+'QTR Raw'!P74+'QTR Raw'!P75</f>
        <v>1.7569999999999999</v>
      </c>
      <c r="AW145" s="23">
        <f t="shared" si="1176"/>
        <v>1.7569999999999999</v>
      </c>
      <c r="AX145" s="23">
        <f>+'QTR Raw'!R74+'QTR Raw'!R75</f>
        <v>1.8779999999999999</v>
      </c>
      <c r="AY145" s="23">
        <f t="shared" si="1176"/>
        <v>1.8779999999999999</v>
      </c>
      <c r="AZ145" s="23">
        <f>+'QTR Raw'!T74+'QTR Raw'!T75</f>
        <v>2.7690000000000001</v>
      </c>
      <c r="BA145" s="23">
        <f t="shared" si="1176"/>
        <v>2.7690000000000001</v>
      </c>
      <c r="BB145" s="23">
        <f>+'QTR Raw'!V74+'QTR Raw'!V75</f>
        <v>1.034</v>
      </c>
      <c r="BC145" s="23">
        <f t="shared" si="1176"/>
        <v>1.034</v>
      </c>
      <c r="BD145" s="23">
        <f>+'QTR Raw'!X74+'QTR Raw'!X75</f>
        <v>0.89400000000000002</v>
      </c>
      <c r="BE145" s="23">
        <f t="shared" si="1176"/>
        <v>0.89400000000000002</v>
      </c>
      <c r="BF145" s="23">
        <f>+'QTR Raw'!Z74+'QTR Raw'!Z75</f>
        <v>2.1259999999999999</v>
      </c>
      <c r="BG145" s="23">
        <f t="shared" si="1176"/>
        <v>2.1259999999999999</v>
      </c>
      <c r="BH145" s="23">
        <f>+'QTR Raw'!AB74+'QTR Raw'!AB75</f>
        <v>1.8480000000000001</v>
      </c>
      <c r="BI145" s="23">
        <f t="shared" si="1176"/>
        <v>1.8480000000000001</v>
      </c>
      <c r="BJ145" s="23">
        <f>+'QTR Raw'!AD74+'QTR Raw'!AD75</f>
        <v>0.44800000000000001</v>
      </c>
      <c r="BK145" s="23">
        <f t="shared" si="1176"/>
        <v>0.44800000000000001</v>
      </c>
      <c r="BL145" s="23">
        <f>+'QTR Raw'!AF74+'QTR Raw'!AF75</f>
        <v>0.49099999999999999</v>
      </c>
      <c r="BM145" s="23">
        <f t="shared" si="1176"/>
        <v>0.49099999999999999</v>
      </c>
      <c r="BN145" s="23">
        <f>+'QTR Raw'!AH74+'QTR Raw'!AH75</f>
        <v>0.91300000000000003</v>
      </c>
      <c r="BO145" s="23">
        <f t="shared" si="1176"/>
        <v>0.91300000000000003</v>
      </c>
      <c r="BP145" s="23">
        <f>+'QTR Raw'!AJ74+'QTR Raw'!AJ75</f>
        <v>1.7110000000000001</v>
      </c>
      <c r="BQ145" s="23">
        <f t="shared" si="1176"/>
        <v>1.7110000000000001</v>
      </c>
      <c r="BR145" s="23">
        <f>+'QTR Raw'!AL74+'QTR Raw'!AL75</f>
        <v>7.2670000000000003</v>
      </c>
      <c r="BS145" s="23">
        <f t="shared" si="1176"/>
        <v>7.2670000000000003</v>
      </c>
      <c r="BT145" s="23">
        <f>+'QTR Raw'!AN74+'QTR Raw'!AN75</f>
        <v>4.1459999999999999</v>
      </c>
      <c r="BU145" s="23">
        <f t="shared" si="1176"/>
        <v>4.1459999999999999</v>
      </c>
      <c r="BV145" s="23">
        <f>+'QTR Raw'!AP74+'QTR Raw'!AP75</f>
        <v>22.088999999999999</v>
      </c>
      <c r="BW145" s="23">
        <f t="shared" si="1176"/>
        <v>22.088999999999999</v>
      </c>
      <c r="BX145" s="23">
        <f>+'QTR Raw'!AR74+'QTR Raw'!AR75</f>
        <v>6.1689999999999996</v>
      </c>
      <c r="BY145" s="23">
        <f t="shared" si="1176"/>
        <v>6.1689999999999996</v>
      </c>
      <c r="BZ145" s="23">
        <f>+'QTR Raw'!AT74+'QTR Raw'!AT75</f>
        <v>6.9790000000000001</v>
      </c>
      <c r="CA145" s="23">
        <f t="shared" si="1176"/>
        <v>6.9790000000000001</v>
      </c>
      <c r="CB145" s="23">
        <f>+'QTR Raw'!AV74+'QTR Raw'!AV75</f>
        <v>10.113</v>
      </c>
      <c r="CC145" s="23">
        <f t="shared" si="1176"/>
        <v>10.113</v>
      </c>
      <c r="CD145" s="23">
        <f>+'QTR Raw'!AX74+'QTR Raw'!AX75</f>
        <v>2.1539999999999999</v>
      </c>
      <c r="CE145" s="23">
        <f t="shared" si="1176"/>
        <v>2.1539999999999999</v>
      </c>
      <c r="CF145" s="23">
        <f>+'QTR Raw'!AZ74+'QTR Raw'!AZ75</f>
        <v>0.33600000000000002</v>
      </c>
      <c r="CG145" s="23">
        <f t="shared" si="1174"/>
        <v>0.33600000000000002</v>
      </c>
      <c r="CH145" s="23">
        <f t="shared" si="1160"/>
        <v>1.6173</v>
      </c>
      <c r="CI145" s="23">
        <f t="shared" si="1174"/>
        <v>1.6173</v>
      </c>
      <c r="CJ145" s="23">
        <f>+'QTR Raw'!BD74+'QTR Raw'!BD75</f>
        <v>5.8000000000000003E-2</v>
      </c>
      <c r="CK145" s="23">
        <f t="shared" si="1177"/>
        <v>5.8000000000000003E-2</v>
      </c>
      <c r="CL145" s="23">
        <f>+'QTR Raw'!BF74+'QTR Raw'!BF75</f>
        <v>0</v>
      </c>
      <c r="CM145" s="24">
        <f t="shared" si="1178"/>
        <v>0</v>
      </c>
      <c r="CN145" s="24">
        <f t="shared" si="1179"/>
        <v>0</v>
      </c>
      <c r="CO145" s="24">
        <f t="shared" si="1180"/>
        <v>0</v>
      </c>
      <c r="CP145" s="24">
        <f t="shared" si="1181"/>
        <v>0</v>
      </c>
      <c r="CQ145" s="24">
        <f t="shared" si="1182"/>
        <v>0</v>
      </c>
      <c r="CR145" s="24">
        <f t="shared" si="1183"/>
        <v>0</v>
      </c>
      <c r="CS145" s="24">
        <f t="shared" si="1184"/>
        <v>0</v>
      </c>
      <c r="CT145" s="24">
        <f t="shared" si="1185"/>
        <v>0</v>
      </c>
      <c r="CU145" s="24">
        <f t="shared" si="1186"/>
        <v>0</v>
      </c>
      <c r="CV145" s="24">
        <f t="shared" si="1187"/>
        <v>0</v>
      </c>
      <c r="CW145" s="24">
        <f t="shared" si="1188"/>
        <v>0</v>
      </c>
      <c r="CX145" s="24">
        <f t="shared" si="1189"/>
        <v>0</v>
      </c>
      <c r="CY145" s="24">
        <f t="shared" si="1190"/>
        <v>0</v>
      </c>
      <c r="CZ145" s="24">
        <f t="shared" si="1191"/>
        <v>0</v>
      </c>
      <c r="DA145" s="24">
        <f t="shared" si="1192"/>
        <v>0</v>
      </c>
      <c r="DB145" s="24">
        <f t="shared" si="1193"/>
        <v>0</v>
      </c>
      <c r="DE145" s="123"/>
      <c r="DF145" s="23">
        <v>5.8000000000000003E-2</v>
      </c>
    </row>
    <row r="146" spans="1:110" s="22" customFormat="1" x14ac:dyDescent="0.2">
      <c r="A146" s="22" t="s">
        <v>57</v>
      </c>
      <c r="B146" s="22">
        <f>B142+B145+B144</f>
        <v>18.5671</v>
      </c>
      <c r="C146" s="22">
        <f t="shared" ref="C146:D146" si="1194">C142+C145+C144</f>
        <v>19.394600000000001</v>
      </c>
      <c r="D146" s="22">
        <f t="shared" si="1194"/>
        <v>21.684000000000001</v>
      </c>
      <c r="E146" s="22">
        <f t="shared" ref="E146:Y146" si="1195">E142+E145+E144+E143</f>
        <v>24.530799999999996</v>
      </c>
      <c r="F146" s="22">
        <f t="shared" si="1195"/>
        <v>35.859100000000005</v>
      </c>
      <c r="G146" s="22">
        <f t="shared" si="1195"/>
        <v>48.438999999999993</v>
      </c>
      <c r="H146" s="22">
        <f t="shared" si="1195"/>
        <v>72.646100000000004</v>
      </c>
      <c r="I146" s="22">
        <f t="shared" si="1195"/>
        <v>100.4974</v>
      </c>
      <c r="J146" s="22">
        <f t="shared" si="1195"/>
        <v>98.366799999999984</v>
      </c>
      <c r="K146" s="22">
        <f t="shared" si="1195"/>
        <v>90.422999999999988</v>
      </c>
      <c r="L146" s="22">
        <f t="shared" si="1195"/>
        <v>102.5968</v>
      </c>
      <c r="M146" s="22">
        <f t="shared" si="1195"/>
        <v>110.3356</v>
      </c>
      <c r="N146" s="22">
        <f t="shared" si="1195"/>
        <v>120.4032</v>
      </c>
      <c r="O146" s="22">
        <f t="shared" si="1195"/>
        <v>109.45249999999999</v>
      </c>
      <c r="P146" s="22">
        <f t="shared" si="1195"/>
        <v>101.07419999999998</v>
      </c>
      <c r="Q146" s="22">
        <f t="shared" si="1195"/>
        <v>108.84360000000001</v>
      </c>
      <c r="R146" s="22">
        <f t="shared" si="1195"/>
        <v>108.83840000000001</v>
      </c>
      <c r="S146" s="22">
        <f t="shared" si="1195"/>
        <v>96.402200000000008</v>
      </c>
      <c r="T146" s="22">
        <f t="shared" si="1195"/>
        <v>101.6347</v>
      </c>
      <c r="U146" s="22">
        <f t="shared" si="1195"/>
        <v>147.97320000000002</v>
      </c>
      <c r="V146" s="22">
        <f t="shared" si="1195"/>
        <v>176.91959999999997</v>
      </c>
      <c r="W146" s="22">
        <f t="shared" si="1195"/>
        <v>293.59469999999999</v>
      </c>
      <c r="X146" s="22">
        <f t="shared" si="1195"/>
        <v>340.57369999999997</v>
      </c>
      <c r="Y146" s="22">
        <f t="shared" si="1195"/>
        <v>398.13099999999997</v>
      </c>
      <c r="Z146" s="22">
        <f>Z142+Z145+Z144+Z143</f>
        <v>319.65619999999996</v>
      </c>
      <c r="AA146" s="22">
        <f>AA142+AA145+AA144+AA143</f>
        <v>259.25289999999995</v>
      </c>
      <c r="AB146" s="161">
        <f t="shared" ref="AB146:AE146" si="1196">AB142+AB145+AB144+AB143</f>
        <v>235.89229729077147</v>
      </c>
      <c r="AC146" s="161">
        <f t="shared" si="1196"/>
        <v>293.50565334891201</v>
      </c>
      <c r="AD146" s="161">
        <f t="shared" si="1196"/>
        <v>162.92161436324591</v>
      </c>
      <c r="AE146" s="161">
        <f t="shared" si="1196"/>
        <v>90.435915369480199</v>
      </c>
      <c r="AJ146" s="22">
        <f t="shared" ref="AJ146" si="1197">AJ142+AJ145+AJ143+AJ144</f>
        <v>117.26100000000001</v>
      </c>
      <c r="AK146" s="22">
        <f t="shared" ref="AK146" si="1198">AK142+AK145+AK143+AK144</f>
        <v>117.26100000000001</v>
      </c>
      <c r="AL146" s="22">
        <f t="shared" ref="AL146:AM146" si="1199">AL142+AL145+AL143+AL144</f>
        <v>120.40400000000001</v>
      </c>
      <c r="AM146" s="22">
        <f t="shared" si="1199"/>
        <v>120.40400000000001</v>
      </c>
      <c r="AN146" s="22">
        <f t="shared" ref="AN146:AO146" si="1200">AN142+AN145+AN143+AN144</f>
        <v>116.583</v>
      </c>
      <c r="AO146" s="22">
        <f t="shared" si="1200"/>
        <v>116.583</v>
      </c>
      <c r="AP146" s="22">
        <f t="shared" ref="AP146:CE146" si="1201">AP142+AP145+AP143+AP144</f>
        <v>109.453</v>
      </c>
      <c r="AQ146" s="22">
        <f t="shared" si="1201"/>
        <v>109.453</v>
      </c>
      <c r="AR146" s="22">
        <f t="shared" si="1201"/>
        <v>98.847999999999999</v>
      </c>
      <c r="AS146" s="22">
        <f t="shared" si="1201"/>
        <v>98.847999999999999</v>
      </c>
      <c r="AT146" s="22">
        <f t="shared" si="1201"/>
        <v>101.074</v>
      </c>
      <c r="AU146" s="22">
        <f t="shared" si="1201"/>
        <v>101.074</v>
      </c>
      <c r="AV146" s="22">
        <f t="shared" si="1201"/>
        <v>106.045</v>
      </c>
      <c r="AW146" s="22">
        <f t="shared" si="1201"/>
        <v>106.045</v>
      </c>
      <c r="AX146" s="22">
        <f t="shared" si="1201"/>
        <v>108.843</v>
      </c>
      <c r="AY146" s="22">
        <f t="shared" si="1201"/>
        <v>108.843</v>
      </c>
      <c r="AZ146" s="22">
        <f t="shared" si="1201"/>
        <v>111.53200000000001</v>
      </c>
      <c r="BA146" s="22">
        <f t="shared" si="1201"/>
        <v>111.53200000000001</v>
      </c>
      <c r="BB146" s="22">
        <f t="shared" si="1201"/>
        <v>108.83900000000001</v>
      </c>
      <c r="BC146" s="22">
        <f t="shared" si="1201"/>
        <v>108.83900000000001</v>
      </c>
      <c r="BD146" s="22">
        <f t="shared" si="1201"/>
        <v>100.61800000000001</v>
      </c>
      <c r="BE146" s="22">
        <f t="shared" si="1201"/>
        <v>100.61800000000001</v>
      </c>
      <c r="BF146" s="22">
        <f t="shared" si="1201"/>
        <v>96.402000000000001</v>
      </c>
      <c r="BG146" s="22">
        <f t="shared" si="1201"/>
        <v>96.402000000000001</v>
      </c>
      <c r="BH146" s="22">
        <f t="shared" si="1201"/>
        <v>96.454999999999998</v>
      </c>
      <c r="BI146" s="22">
        <f t="shared" si="1201"/>
        <v>96.454999999999998</v>
      </c>
      <c r="BJ146" s="22">
        <f t="shared" si="1201"/>
        <v>101.63499999999999</v>
      </c>
      <c r="BK146" s="22">
        <f t="shared" si="1201"/>
        <v>101.63499999999999</v>
      </c>
      <c r="BL146" s="22">
        <f t="shared" si="1201"/>
        <v>151.68</v>
      </c>
      <c r="BM146" s="22">
        <f t="shared" si="1201"/>
        <v>151.68</v>
      </c>
      <c r="BN146" s="22">
        <f t="shared" si="1201"/>
        <v>96.140999999999991</v>
      </c>
      <c r="BO146" s="22">
        <f t="shared" si="1201"/>
        <v>96.140999999999991</v>
      </c>
      <c r="BP146" s="22">
        <f t="shared" si="1201"/>
        <v>95.667000000000002</v>
      </c>
      <c r="BQ146" s="22">
        <f t="shared" si="1201"/>
        <v>95.667000000000002</v>
      </c>
      <c r="BR146" s="22">
        <f t="shared" si="1201"/>
        <v>111.825</v>
      </c>
      <c r="BS146" s="22">
        <f t="shared" si="1201"/>
        <v>111.825</v>
      </c>
      <c r="BT146" s="22">
        <f t="shared" si="1201"/>
        <v>124.202</v>
      </c>
      <c r="BU146" s="22">
        <f t="shared" si="1201"/>
        <v>124.202</v>
      </c>
      <c r="BV146" s="22">
        <f t="shared" si="1201"/>
        <v>169.21100000000001</v>
      </c>
      <c r="BW146" s="22">
        <f t="shared" si="1201"/>
        <v>169.21100000000001</v>
      </c>
      <c r="BX146" s="22">
        <f t="shared" si="1201"/>
        <v>190.512</v>
      </c>
      <c r="BY146" s="22">
        <f t="shared" si="1201"/>
        <v>190.512</v>
      </c>
      <c r="BZ146" s="22">
        <f t="shared" si="1201"/>
        <v>182.91500000000002</v>
      </c>
      <c r="CA146" s="22">
        <f t="shared" si="1201"/>
        <v>182.91500000000002</v>
      </c>
      <c r="CB146" s="22">
        <f t="shared" si="1201"/>
        <v>185.774</v>
      </c>
      <c r="CC146" s="22">
        <f t="shared" si="1201"/>
        <v>185.774</v>
      </c>
      <c r="CD146" s="22">
        <f t="shared" si="1201"/>
        <v>207.85</v>
      </c>
      <c r="CE146" s="22">
        <f t="shared" si="1201"/>
        <v>207.85</v>
      </c>
      <c r="CF146" s="22">
        <f t="shared" ref="CF146:CG146" si="1202">CF142+CF145+CF143+CF144</f>
        <v>186.35900000000001</v>
      </c>
      <c r="CG146" s="22">
        <f t="shared" si="1202"/>
        <v>186.35900000000001</v>
      </c>
      <c r="CH146" s="22">
        <f t="shared" ref="CH146:CJ146" si="1203">CH142+CH145+CH143+CH144</f>
        <v>319.65619999999996</v>
      </c>
      <c r="CI146" s="22">
        <f t="shared" si="1203"/>
        <v>295.38419999999996</v>
      </c>
      <c r="CJ146" s="22">
        <f t="shared" si="1203"/>
        <v>142.94499999999999</v>
      </c>
      <c r="CK146" s="22">
        <f t="shared" ref="CK146:DB146" si="1204">CK142+CK145+CK143+CK144</f>
        <v>170.13800000000003</v>
      </c>
      <c r="CL146" s="22">
        <f t="shared" si="1204"/>
        <v>132.101</v>
      </c>
      <c r="CM146" s="21">
        <f t="shared" si="1204"/>
        <v>164.02410281044217</v>
      </c>
      <c r="CN146" s="21">
        <f t="shared" si="1204"/>
        <v>191.57880078310075</v>
      </c>
      <c r="CO146" s="21">
        <f t="shared" si="1204"/>
        <v>215.36287292899749</v>
      </c>
      <c r="CP146" s="21">
        <f t="shared" si="1204"/>
        <v>235.89229729077147</v>
      </c>
      <c r="CQ146" s="21">
        <f t="shared" si="1204"/>
        <v>253.61244470877818</v>
      </c>
      <c r="CR146" s="21">
        <f t="shared" si="1204"/>
        <v>268.90774081559789</v>
      </c>
      <c r="CS146" s="21">
        <f t="shared" si="1204"/>
        <v>282.11000586885382</v>
      </c>
      <c r="CT146" s="21">
        <f t="shared" si="1204"/>
        <v>293.50565334891201</v>
      </c>
      <c r="CU146" s="21">
        <f t="shared" si="1204"/>
        <v>253.34190348977177</v>
      </c>
      <c r="CV146" s="21">
        <f t="shared" si="1204"/>
        <v>218.67422085912176</v>
      </c>
      <c r="CW146" s="21">
        <f t="shared" si="1204"/>
        <v>188.75051544828455</v>
      </c>
      <c r="CX146" s="21">
        <f t="shared" si="1204"/>
        <v>162.92161436324591</v>
      </c>
      <c r="CY146" s="21">
        <f t="shared" si="1204"/>
        <v>140.62717849371279</v>
      </c>
      <c r="CZ146" s="21">
        <f t="shared" si="1204"/>
        <v>121.38354636611007</v>
      </c>
      <c r="DA146" s="21">
        <f t="shared" si="1204"/>
        <v>104.77324146180126</v>
      </c>
      <c r="DB146" s="21">
        <f t="shared" si="1204"/>
        <v>90.435915369480199</v>
      </c>
      <c r="DE146" s="126"/>
      <c r="DF146" s="22">
        <v>199.72840000000002</v>
      </c>
    </row>
    <row r="147" spans="1:110" s="23" customFormat="1" x14ac:dyDescent="0.2">
      <c r="AB147" s="24"/>
      <c r="AC147" s="24"/>
      <c r="AD147" s="24"/>
      <c r="AE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</row>
    <row r="148" spans="1:110" s="23" customFormat="1" x14ac:dyDescent="0.2">
      <c r="A148" s="23" t="s">
        <v>58</v>
      </c>
      <c r="B148" s="23">
        <f>'Annual Raw'!C71</f>
        <v>0</v>
      </c>
      <c r="C148" s="23">
        <f>'Annual Raw'!D71</f>
        <v>0</v>
      </c>
      <c r="D148" s="23">
        <f>'Annual Raw'!E71</f>
        <v>0</v>
      </c>
      <c r="E148" s="23">
        <f>'Annual Raw'!F71</f>
        <v>0</v>
      </c>
      <c r="F148" s="23">
        <f>'Annual Raw'!G71</f>
        <v>0</v>
      </c>
      <c r="G148" s="23">
        <f>'Annual Raw'!H71</f>
        <v>0</v>
      </c>
      <c r="H148" s="23">
        <f>'Annual Raw'!I71</f>
        <v>0</v>
      </c>
      <c r="I148" s="23">
        <f>'Annual Raw'!J71</f>
        <v>0</v>
      </c>
      <c r="J148" s="23">
        <f>'Annual Raw'!K71</f>
        <v>0</v>
      </c>
      <c r="K148" s="23">
        <f>'Annual Raw'!L71</f>
        <v>0</v>
      </c>
      <c r="L148" s="23">
        <f>'Annual Raw'!M71</f>
        <v>0</v>
      </c>
      <c r="M148" s="23">
        <f>'Annual Raw'!N71</f>
        <v>0</v>
      </c>
      <c r="N148" s="23">
        <f>'Annual Raw'!O71</f>
        <v>0</v>
      </c>
      <c r="O148" s="23">
        <f>'Annual Raw'!P71</f>
        <v>0</v>
      </c>
      <c r="P148" s="23">
        <f>'Annual Raw'!Q71</f>
        <v>0</v>
      </c>
      <c r="Q148" s="23">
        <f>'Annual Raw'!R71</f>
        <v>0</v>
      </c>
      <c r="R148" s="23">
        <f>'Annual Raw'!S71</f>
        <v>0</v>
      </c>
      <c r="S148" s="23">
        <f>'Annual Raw'!T71</f>
        <v>0</v>
      </c>
      <c r="T148" s="23">
        <f>'Annual Raw'!U71</f>
        <v>0</v>
      </c>
      <c r="U148" s="23">
        <f>'Annual Raw'!V71</f>
        <v>0</v>
      </c>
      <c r="V148" s="23">
        <f>'Annual Raw'!W71</f>
        <v>0</v>
      </c>
      <c r="W148" s="23">
        <f>'Annual Raw'!X71</f>
        <v>0</v>
      </c>
      <c r="X148" s="23">
        <f>'Annual Raw'!Y71</f>
        <v>0</v>
      </c>
      <c r="Y148" s="23">
        <f>'Annual Raw'!Z71</f>
        <v>0</v>
      </c>
      <c r="Z148" s="23">
        <f>'Annual Raw'!AA71</f>
        <v>0</v>
      </c>
      <c r="AA148" s="23">
        <f>'Annual Raw'!AB71</f>
        <v>0</v>
      </c>
      <c r="AB148" s="24">
        <f>+CP148</f>
        <v>0</v>
      </c>
      <c r="AC148" s="24">
        <f>+CT148</f>
        <v>0</v>
      </c>
      <c r="AD148" s="24">
        <f>+CX148</f>
        <v>0</v>
      </c>
      <c r="AE148" s="24">
        <f>+DB148</f>
        <v>0</v>
      </c>
      <c r="AJ148" s="23">
        <f>+'QTR Raw'!D77</f>
        <v>0</v>
      </c>
      <c r="AK148" s="23">
        <f t="shared" ref="AK148:CE148" si="1205">+AJ148</f>
        <v>0</v>
      </c>
      <c r="AL148" s="23">
        <f>+'QTR Raw'!F77</f>
        <v>0</v>
      </c>
      <c r="AM148" s="23">
        <f t="shared" si="1205"/>
        <v>0</v>
      </c>
      <c r="AN148" s="23">
        <f>+'QTR Raw'!H77</f>
        <v>0</v>
      </c>
      <c r="AO148" s="23">
        <f t="shared" si="1205"/>
        <v>0</v>
      </c>
      <c r="AP148" s="23">
        <f>+'QTR Raw'!J77</f>
        <v>0</v>
      </c>
      <c r="AQ148" s="23">
        <f t="shared" si="1205"/>
        <v>0</v>
      </c>
      <c r="AR148" s="23">
        <f>+'QTR Raw'!L77</f>
        <v>0</v>
      </c>
      <c r="AS148" s="23">
        <f t="shared" si="1205"/>
        <v>0</v>
      </c>
      <c r="AT148" s="23">
        <f>+'QTR Raw'!N77</f>
        <v>0</v>
      </c>
      <c r="AU148" s="23">
        <f t="shared" si="1205"/>
        <v>0</v>
      </c>
      <c r="AV148" s="23">
        <f>+'QTR Raw'!P77</f>
        <v>0</v>
      </c>
      <c r="AW148" s="23">
        <f t="shared" si="1205"/>
        <v>0</v>
      </c>
      <c r="AX148" s="23">
        <f>+'QTR Raw'!R77</f>
        <v>0</v>
      </c>
      <c r="AY148" s="23">
        <f t="shared" si="1205"/>
        <v>0</v>
      </c>
      <c r="AZ148" s="23">
        <f>+'QTR Raw'!T77</f>
        <v>0</v>
      </c>
      <c r="BA148" s="23">
        <f t="shared" si="1205"/>
        <v>0</v>
      </c>
      <c r="BB148" s="23">
        <f>+'QTR Raw'!V77</f>
        <v>0</v>
      </c>
      <c r="BC148" s="23">
        <f t="shared" si="1205"/>
        <v>0</v>
      </c>
      <c r="BD148" s="23">
        <f>+'QTR Raw'!X77</f>
        <v>0</v>
      </c>
      <c r="BE148" s="23">
        <f t="shared" si="1205"/>
        <v>0</v>
      </c>
      <c r="BF148" s="23">
        <f>+'QTR Raw'!Z77</f>
        <v>0</v>
      </c>
      <c r="BG148" s="23">
        <f t="shared" si="1205"/>
        <v>0</v>
      </c>
      <c r="BH148" s="23">
        <f>+'QTR Raw'!AB77</f>
        <v>0</v>
      </c>
      <c r="BI148" s="23">
        <f t="shared" si="1205"/>
        <v>0</v>
      </c>
      <c r="BJ148" s="23">
        <f>+'QTR Raw'!AD77</f>
        <v>0</v>
      </c>
      <c r="BK148" s="23">
        <f t="shared" si="1205"/>
        <v>0</v>
      </c>
      <c r="BL148" s="23">
        <f>+'QTR Raw'!AF77</f>
        <v>0</v>
      </c>
      <c r="BM148" s="23">
        <f t="shared" si="1205"/>
        <v>0</v>
      </c>
      <c r="BN148" s="23">
        <f>+'QTR Raw'!AH77</f>
        <v>0</v>
      </c>
      <c r="BO148" s="23">
        <f t="shared" si="1205"/>
        <v>0</v>
      </c>
      <c r="BP148" s="23">
        <f>+'QTR Raw'!AJ77</f>
        <v>0</v>
      </c>
      <c r="BQ148" s="23">
        <f t="shared" si="1205"/>
        <v>0</v>
      </c>
      <c r="BR148" s="23">
        <f>+'QTR Raw'!AL77</f>
        <v>0</v>
      </c>
      <c r="BS148" s="23">
        <f t="shared" si="1205"/>
        <v>0</v>
      </c>
      <c r="BT148" s="23">
        <f>+'QTR Raw'!AN77</f>
        <v>0</v>
      </c>
      <c r="BU148" s="23">
        <f t="shared" si="1205"/>
        <v>0</v>
      </c>
      <c r="BV148" s="23">
        <f>+'QTR Raw'!AP77</f>
        <v>0</v>
      </c>
      <c r="BW148" s="23">
        <f t="shared" si="1205"/>
        <v>0</v>
      </c>
      <c r="BX148" s="23">
        <f>+'QTR Raw'!AR77</f>
        <v>0</v>
      </c>
      <c r="BY148" s="23">
        <f t="shared" si="1205"/>
        <v>0</v>
      </c>
      <c r="BZ148" s="23">
        <f>+'QTR Raw'!AT77</f>
        <v>0</v>
      </c>
      <c r="CA148" s="23">
        <f t="shared" si="1205"/>
        <v>0</v>
      </c>
      <c r="CB148" s="23">
        <f>+'QTR Raw'!AV77</f>
        <v>0</v>
      </c>
      <c r="CC148" s="23">
        <f t="shared" si="1205"/>
        <v>0</v>
      </c>
      <c r="CD148" s="23">
        <f>+'QTR Raw'!AX77</f>
        <v>0</v>
      </c>
      <c r="CE148" s="23">
        <f t="shared" si="1205"/>
        <v>0</v>
      </c>
      <c r="CF148" s="23">
        <f>+'QTR Raw'!AZ77</f>
        <v>0</v>
      </c>
      <c r="CG148" s="23">
        <f t="shared" ref="CG148:CI151" si="1206">+CF148</f>
        <v>0</v>
      </c>
      <c r="CH148" s="23">
        <f t="shared" ref="CH148:CH163" si="1207">Z148</f>
        <v>0</v>
      </c>
      <c r="CI148" s="23">
        <f t="shared" si="1206"/>
        <v>0</v>
      </c>
      <c r="CJ148" s="23">
        <f>+'QTR Raw'!BD77</f>
        <v>0</v>
      </c>
      <c r="CK148" s="23">
        <f t="shared" ref="CK148" si="1208">+CJ148</f>
        <v>0</v>
      </c>
      <c r="CL148" s="23">
        <f>+'QTR Raw'!BF77</f>
        <v>0</v>
      </c>
      <c r="CM148" s="24">
        <f t="shared" ref="CM148" si="1209">+CL148</f>
        <v>0</v>
      </c>
      <c r="CN148" s="24">
        <f t="shared" ref="CN148" si="1210">+CM148</f>
        <v>0</v>
      </c>
      <c r="CO148" s="24">
        <f t="shared" ref="CO148" si="1211">+CN148</f>
        <v>0</v>
      </c>
      <c r="CP148" s="24">
        <f t="shared" ref="CP148" si="1212">+CO148</f>
        <v>0</v>
      </c>
      <c r="CQ148" s="24">
        <f t="shared" ref="CQ148" si="1213">+CP148</f>
        <v>0</v>
      </c>
      <c r="CR148" s="24">
        <f t="shared" ref="CR148" si="1214">+CQ148</f>
        <v>0</v>
      </c>
      <c r="CS148" s="24">
        <f t="shared" ref="CS148" si="1215">+CR148</f>
        <v>0</v>
      </c>
      <c r="CT148" s="24">
        <f t="shared" ref="CT148" si="1216">+CS148</f>
        <v>0</v>
      </c>
      <c r="CU148" s="24">
        <f t="shared" ref="CU148" si="1217">+CT148</f>
        <v>0</v>
      </c>
      <c r="CV148" s="24">
        <f t="shared" ref="CV148" si="1218">+CU148</f>
        <v>0</v>
      </c>
      <c r="CW148" s="24">
        <f t="shared" ref="CW148" si="1219">+CV148</f>
        <v>0</v>
      </c>
      <c r="CX148" s="24">
        <f t="shared" ref="CX148" si="1220">+CW148</f>
        <v>0</v>
      </c>
      <c r="CY148" s="24">
        <f t="shared" ref="CY148" si="1221">+CX148</f>
        <v>0</v>
      </c>
      <c r="CZ148" s="24">
        <f t="shared" ref="CZ148" si="1222">+CY148</f>
        <v>0</v>
      </c>
      <c r="DA148" s="24">
        <f t="shared" ref="DA148" si="1223">+CZ148</f>
        <v>0</v>
      </c>
      <c r="DB148" s="24">
        <f t="shared" ref="DB148" si="1224">+DA148</f>
        <v>0</v>
      </c>
      <c r="DE148" s="123"/>
      <c r="DF148" s="23">
        <v>0</v>
      </c>
    </row>
    <row r="149" spans="1:110" s="23" customFormat="1" x14ac:dyDescent="0.2">
      <c r="AB149" s="24"/>
      <c r="AC149" s="24"/>
      <c r="AD149" s="24"/>
      <c r="AE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59</v>
      </c>
      <c r="B150" s="23">
        <f>'Annual Raw'!C72</f>
        <v>0</v>
      </c>
      <c r="C150" s="23">
        <f>'Annual Raw'!D72</f>
        <v>0</v>
      </c>
      <c r="D150" s="23">
        <f>'Annual Raw'!E72</f>
        <v>0</v>
      </c>
      <c r="E150" s="23">
        <f>'Annual Raw'!F72+'Annual Raw'!F61</f>
        <v>0</v>
      </c>
      <c r="F150" s="23">
        <f>'Annual Raw'!G72+'Annual Raw'!G61</f>
        <v>0</v>
      </c>
      <c r="G150" s="23">
        <f>'Annual Raw'!H72+'Annual Raw'!H61</f>
        <v>0</v>
      </c>
      <c r="H150" s="23">
        <f>'Annual Raw'!I72+'Annual Raw'!I61</f>
        <v>0</v>
      </c>
      <c r="I150" s="23">
        <f>'Annual Raw'!J72+'Annual Raw'!J61</f>
        <v>0</v>
      </c>
      <c r="J150" s="23">
        <f>'Annual Raw'!K72+'Annual Raw'!K61</f>
        <v>0</v>
      </c>
      <c r="K150" s="23">
        <f>'Annual Raw'!L72+'Annual Raw'!L61</f>
        <v>0</v>
      </c>
      <c r="L150" s="23">
        <f>'Annual Raw'!M72+'Annual Raw'!M61</f>
        <v>49.800699999999999</v>
      </c>
      <c r="M150" s="23">
        <f>'Annual Raw'!N72+'Annual Raw'!N61</f>
        <v>50.2517</v>
      </c>
      <c r="N150" s="23">
        <f>'Annual Raw'!O72+'Annual Raw'!O61</f>
        <v>54.352600000000002</v>
      </c>
      <c r="O150" s="23">
        <f>'Annual Raw'!P72+'Annual Raw'!P61</f>
        <v>110.9508</v>
      </c>
      <c r="P150" s="23">
        <f>'Annual Raw'!Q72+'Annual Raw'!Q61</f>
        <v>120.17610000000001</v>
      </c>
      <c r="Q150" s="23">
        <f>'Annual Raw'!R72+'Annual Raw'!R61</f>
        <v>165.05109999999999</v>
      </c>
      <c r="R150" s="23">
        <f>'Annual Raw'!S72+'Annual Raw'!S61</f>
        <v>35.750799999999998</v>
      </c>
      <c r="S150" s="23">
        <f>'Annual Raw'!T72+'Annual Raw'!T61</f>
        <v>37.072400000000002</v>
      </c>
      <c r="T150" s="23">
        <f>'Annual Raw'!U72+'Annual Raw'!U61</f>
        <v>25.232099999999999</v>
      </c>
      <c r="U150" s="23">
        <f>'Annual Raw'!V72+'Annual Raw'!V61</f>
        <v>28.697800000000001</v>
      </c>
      <c r="V150" s="23">
        <f>'Annual Raw'!W72+'Annual Raw'!W61</f>
        <v>34.354100000000003</v>
      </c>
      <c r="W150" s="23">
        <f>'Annual Raw'!X72+'Annual Raw'!X61</f>
        <v>54.158099999999997</v>
      </c>
      <c r="X150" s="23">
        <f>'Annual Raw'!Y72+'Annual Raw'!Y61</f>
        <v>52.965600000000002</v>
      </c>
      <c r="Y150" s="23">
        <f>'Annual Raw'!Z72+'Annual Raw'!Z61</f>
        <v>67.627099999999999</v>
      </c>
      <c r="Z150" s="23">
        <f>'Annual Raw'!AA72+'Annual Raw'!AA61</f>
        <v>71.849800000000002</v>
      </c>
      <c r="AA150" s="23">
        <f>'Annual Raw'!AB72+'Annual Raw'!AB61</f>
        <v>97.7684</v>
      </c>
      <c r="AB150" s="24">
        <f t="shared" ref="AB150:AB155" si="1225">+CP150</f>
        <v>0</v>
      </c>
      <c r="AC150" s="24">
        <f t="shared" ref="AC150:AC155" si="1226">+CT150</f>
        <v>0</v>
      </c>
      <c r="AD150" s="24">
        <f t="shared" ref="AD150:AD155" si="1227">+CX150</f>
        <v>0</v>
      </c>
      <c r="AE150" s="24">
        <f t="shared" ref="AE150:AE155" si="1228">+DB150</f>
        <v>0</v>
      </c>
      <c r="AJ150" s="23">
        <f>+'QTR Raw'!D78</f>
        <v>52.786999999999999</v>
      </c>
      <c r="AK150" s="23">
        <f t="shared" ref="AK150:CE155" si="1229">+AJ150</f>
        <v>52.786999999999999</v>
      </c>
      <c r="AL150" s="23">
        <f>+'QTR Raw'!F78</f>
        <v>54.44</v>
      </c>
      <c r="AM150" s="23">
        <f t="shared" si="1229"/>
        <v>54.44</v>
      </c>
      <c r="AN150" s="23">
        <f>+'QTR Raw'!H78</f>
        <v>44.658999999999999</v>
      </c>
      <c r="AO150" s="23">
        <f t="shared" si="1229"/>
        <v>44.658999999999999</v>
      </c>
      <c r="AP150" s="23">
        <f>+'QTR Raw'!J78</f>
        <v>40.677999999999997</v>
      </c>
      <c r="AQ150" s="23">
        <f t="shared" si="1229"/>
        <v>40.677999999999997</v>
      </c>
      <c r="AR150" s="23">
        <f>+'QTR Raw'!L78</f>
        <v>41.463999999999999</v>
      </c>
      <c r="AS150" s="23">
        <f t="shared" si="1229"/>
        <v>41.463999999999999</v>
      </c>
      <c r="AT150" s="23">
        <f>+'QTR Raw'!N78</f>
        <v>35.76</v>
      </c>
      <c r="AU150" s="23">
        <f t="shared" si="1229"/>
        <v>35.76</v>
      </c>
      <c r="AV150" s="23">
        <f>+'QTR Raw'!P78</f>
        <v>35.972000000000001</v>
      </c>
      <c r="AW150" s="23">
        <f t="shared" si="1229"/>
        <v>35.972000000000001</v>
      </c>
      <c r="AX150" s="23">
        <f>+'QTR Raw'!R78</f>
        <v>35.780999999999999</v>
      </c>
      <c r="AY150" s="23">
        <f t="shared" si="1229"/>
        <v>35.780999999999999</v>
      </c>
      <c r="AZ150" s="23">
        <f>+'QTR Raw'!T78</f>
        <v>34.591999999999999</v>
      </c>
      <c r="BA150" s="23">
        <f t="shared" si="1229"/>
        <v>34.591999999999999</v>
      </c>
      <c r="BB150" s="23">
        <f>+'QTR Raw'!V78</f>
        <v>0</v>
      </c>
      <c r="BC150" s="23">
        <f t="shared" si="1229"/>
        <v>0</v>
      </c>
      <c r="BD150" s="23">
        <f>+'QTR Raw'!X78</f>
        <v>0</v>
      </c>
      <c r="BE150" s="23">
        <f t="shared" si="1229"/>
        <v>0</v>
      </c>
      <c r="BF150" s="23">
        <f>+'QTR Raw'!Z78</f>
        <v>0</v>
      </c>
      <c r="BG150" s="23">
        <f t="shared" si="1229"/>
        <v>0</v>
      </c>
      <c r="BH150" s="23">
        <f>+'QTR Raw'!AB78</f>
        <v>0</v>
      </c>
      <c r="BI150" s="23">
        <f t="shared" si="1229"/>
        <v>0</v>
      </c>
      <c r="BJ150" s="23">
        <f>+'QTR Raw'!AD78</f>
        <v>15.141999999999999</v>
      </c>
      <c r="BK150" s="23">
        <f t="shared" si="1229"/>
        <v>15.141999999999999</v>
      </c>
      <c r="BL150" s="23">
        <f>+'QTR Raw'!AF78</f>
        <v>0</v>
      </c>
      <c r="BM150" s="23">
        <f t="shared" si="1229"/>
        <v>0</v>
      </c>
      <c r="BN150" s="23">
        <f>+'QTR Raw'!AH78</f>
        <v>16.827000000000002</v>
      </c>
      <c r="BO150" s="23">
        <f t="shared" si="1229"/>
        <v>16.827000000000002</v>
      </c>
      <c r="BP150" s="23">
        <f>+'QTR Raw'!AJ78</f>
        <v>17.998999999999999</v>
      </c>
      <c r="BQ150" s="23">
        <f t="shared" si="1229"/>
        <v>17.998999999999999</v>
      </c>
      <c r="BR150" s="23">
        <f>+'QTR Raw'!AL78</f>
        <v>0</v>
      </c>
      <c r="BS150" s="23">
        <f t="shared" si="1229"/>
        <v>0</v>
      </c>
      <c r="BT150" s="23">
        <f>+'QTR Raw'!AN78</f>
        <v>0</v>
      </c>
      <c r="BU150" s="23">
        <f t="shared" si="1229"/>
        <v>0</v>
      </c>
      <c r="BV150" s="23">
        <f>+'QTR Raw'!AP78</f>
        <v>0</v>
      </c>
      <c r="BW150" s="23">
        <f t="shared" si="1229"/>
        <v>0</v>
      </c>
      <c r="BX150" s="23">
        <f>+'QTR Raw'!AR78</f>
        <v>0</v>
      </c>
      <c r="BY150" s="23">
        <f t="shared" si="1229"/>
        <v>0</v>
      </c>
      <c r="BZ150" s="23">
        <f>+'QTR Raw'!AT78</f>
        <v>0</v>
      </c>
      <c r="CA150" s="23">
        <f t="shared" si="1229"/>
        <v>0</v>
      </c>
      <c r="CB150" s="23">
        <f>+'QTR Raw'!AV78</f>
        <v>0</v>
      </c>
      <c r="CC150" s="23">
        <f t="shared" si="1229"/>
        <v>0</v>
      </c>
      <c r="CD150" s="23">
        <f>+'QTR Raw'!AX78</f>
        <v>0</v>
      </c>
      <c r="CE150" s="23">
        <f t="shared" si="1229"/>
        <v>0</v>
      </c>
      <c r="CF150" s="23">
        <f>+'QTR Raw'!AZ78</f>
        <v>0</v>
      </c>
      <c r="CG150" s="23">
        <f t="shared" si="1206"/>
        <v>0</v>
      </c>
      <c r="CH150" s="23">
        <f t="shared" si="1207"/>
        <v>71.849800000000002</v>
      </c>
      <c r="CJ150" s="23">
        <f>+'QTR Raw'!BD78</f>
        <v>0</v>
      </c>
      <c r="CL150" s="23">
        <f>+'QTR Raw'!BF78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60</v>
      </c>
      <c r="B151" s="23">
        <f>'Annual Raw'!C73+'Annual Raw'!C81</f>
        <v>0</v>
      </c>
      <c r="C151" s="23">
        <f>'Annual Raw'!D73+'Annual Raw'!D81</f>
        <v>0</v>
      </c>
      <c r="D151" s="23">
        <f>'Annual Raw'!E73+'Annual Raw'!E81</f>
        <v>0</v>
      </c>
      <c r="E151" s="23">
        <f>'Annual Raw'!F73+'Annual Raw'!F81</f>
        <v>0</v>
      </c>
      <c r="F151" s="23">
        <f>'Annual Raw'!G73+'Annual Raw'!G81</f>
        <v>0</v>
      </c>
      <c r="G151" s="23">
        <f>'Annual Raw'!H73+'Annual Raw'!H81</f>
        <v>0</v>
      </c>
      <c r="H151" s="23">
        <f>'Annual Raw'!I73+'Annual Raw'!I81</f>
        <v>0</v>
      </c>
      <c r="I151" s="23">
        <f>'Annual Raw'!J73+'Annual Raw'!J81</f>
        <v>0</v>
      </c>
      <c r="J151" s="23">
        <f>'Annual Raw'!K73+'Annual Raw'!K81</f>
        <v>0</v>
      </c>
      <c r="K151" s="23">
        <f>'Annual Raw'!L73+'Annual Raw'!L81</f>
        <v>0</v>
      </c>
      <c r="L151" s="23">
        <f>'Annual Raw'!M73+'Annual Raw'!M81</f>
        <v>0</v>
      </c>
      <c r="M151" s="23">
        <f>'Annual Raw'!N73+'Annual Raw'!N81</f>
        <v>0.18540000000000001</v>
      </c>
      <c r="N151" s="23">
        <f>'Annual Raw'!O73+'Annual Raw'!O81</f>
        <v>8.6999999999999994E-2</v>
      </c>
      <c r="O151" s="23">
        <f>'Annual Raw'!P73+'Annual Raw'!P81</f>
        <v>0.30430000000000001</v>
      </c>
      <c r="P151" s="23">
        <f>'Annual Raw'!Q73+'Annual Raw'!Q81</f>
        <v>0.31940000000000002</v>
      </c>
      <c r="Q151" s="23">
        <f>'Annual Raw'!R73+'Annual Raw'!R81</f>
        <v>0.58589999999999998</v>
      </c>
      <c r="R151" s="23">
        <f>'Annual Raw'!S73+'Annual Raw'!S81</f>
        <v>1.0597000000000001</v>
      </c>
      <c r="S151" s="23">
        <f>'Annual Raw'!T73+'Annual Raw'!T81</f>
        <v>2.2323</v>
      </c>
      <c r="T151" s="23">
        <f>'Annual Raw'!U73+'Annual Raw'!U81</f>
        <v>2.5468000000000002</v>
      </c>
      <c r="U151" s="23">
        <f>'Annual Raw'!V73+'Annual Raw'!V81</f>
        <v>2.3395000000000001</v>
      </c>
      <c r="V151" s="23">
        <f>'Annual Raw'!W73+'Annual Raw'!W81</f>
        <v>104.0913</v>
      </c>
      <c r="W151" s="23">
        <f>'Annual Raw'!X73+'Annual Raw'!X81</f>
        <v>116.7508</v>
      </c>
      <c r="X151" s="23">
        <f>'Annual Raw'!Y73+'Annual Raw'!Y81</f>
        <v>43.5854</v>
      </c>
      <c r="Y151" s="23">
        <f>'Annual Raw'!Z73+'Annual Raw'!Z81</f>
        <v>160.6337</v>
      </c>
      <c r="Z151" s="23">
        <f>'Annual Raw'!AA73+'Annual Raw'!AA81</f>
        <v>359.0872</v>
      </c>
      <c r="AA151" s="23">
        <f>'Annual Raw'!AB73+'Annual Raw'!AB81</f>
        <v>558.64359999999999</v>
      </c>
      <c r="AB151" s="24">
        <f t="shared" si="1225"/>
        <v>0</v>
      </c>
      <c r="AC151" s="24">
        <f t="shared" si="1226"/>
        <v>0</v>
      </c>
      <c r="AD151" s="24">
        <f t="shared" si="1227"/>
        <v>0</v>
      </c>
      <c r="AE151" s="24">
        <f t="shared" si="1228"/>
        <v>0</v>
      </c>
      <c r="AJ151" s="23">
        <f>+'QTR Raw'!D79+'QTR Raw'!D76</f>
        <v>0</v>
      </c>
      <c r="AK151" s="23">
        <f t="shared" si="1229"/>
        <v>0</v>
      </c>
      <c r="AL151" s="23">
        <f>+'QTR Raw'!F79+'QTR Raw'!F76</f>
        <v>0</v>
      </c>
      <c r="AM151" s="23">
        <f t="shared" si="1229"/>
        <v>0</v>
      </c>
      <c r="AN151" s="23">
        <f>+'QTR Raw'!H79+'QTR Raw'!H76</f>
        <v>0</v>
      </c>
      <c r="AO151" s="23">
        <f t="shared" si="1229"/>
        <v>0</v>
      </c>
      <c r="AP151" s="23">
        <f>+'QTR Raw'!J79+'QTR Raw'!J76</f>
        <v>0</v>
      </c>
      <c r="AQ151" s="23">
        <f t="shared" si="1229"/>
        <v>0</v>
      </c>
      <c r="AR151" s="23">
        <f>+'QTR Raw'!L79+'QTR Raw'!L76</f>
        <v>0</v>
      </c>
      <c r="AS151" s="23">
        <f t="shared" si="1229"/>
        <v>0</v>
      </c>
      <c r="AT151" s="23">
        <f>+'QTR Raw'!N79+'QTR Raw'!N76</f>
        <v>0</v>
      </c>
      <c r="AU151" s="23">
        <f t="shared" si="1229"/>
        <v>0</v>
      </c>
      <c r="AV151" s="23">
        <f>+'QTR Raw'!P79+'QTR Raw'!P76</f>
        <v>0</v>
      </c>
      <c r="AW151" s="23">
        <f t="shared" si="1229"/>
        <v>0</v>
      </c>
      <c r="AX151" s="23">
        <f>+'QTR Raw'!R79+'QTR Raw'!R76</f>
        <v>0</v>
      </c>
      <c r="AY151" s="23">
        <f t="shared" si="1229"/>
        <v>0</v>
      </c>
      <c r="AZ151" s="23">
        <f>+'QTR Raw'!T79+'QTR Raw'!T76</f>
        <v>0</v>
      </c>
      <c r="BA151" s="23">
        <f t="shared" si="1229"/>
        <v>0</v>
      </c>
      <c r="BB151" s="23">
        <f>+'QTR Raw'!V79+'QTR Raw'!V76</f>
        <v>36.808999999999997</v>
      </c>
      <c r="BC151" s="23">
        <f t="shared" si="1229"/>
        <v>36.808999999999997</v>
      </c>
      <c r="BD151" s="23">
        <f>+'QTR Raw'!X79+'QTR Raw'!X76</f>
        <v>37.11</v>
      </c>
      <c r="BE151" s="23">
        <f t="shared" si="1229"/>
        <v>37.11</v>
      </c>
      <c r="BF151" s="23">
        <f>+'QTR Raw'!Z79+'QTR Raw'!Z76</f>
        <v>39.305</v>
      </c>
      <c r="BG151" s="23">
        <f t="shared" si="1229"/>
        <v>39.305</v>
      </c>
      <c r="BH151" s="23">
        <f>+'QTR Raw'!AB79+'QTR Raw'!AB76</f>
        <v>27.719000000000001</v>
      </c>
      <c r="BI151" s="23">
        <f t="shared" si="1229"/>
        <v>27.719000000000001</v>
      </c>
      <c r="BJ151" s="23">
        <f>+'QTR Raw'!AD79+'QTR Raw'!AD76</f>
        <v>12.637</v>
      </c>
      <c r="BK151" s="23">
        <f t="shared" si="1229"/>
        <v>12.637</v>
      </c>
      <c r="BL151" s="23">
        <f>+'QTR Raw'!AF79+'QTR Raw'!AF76</f>
        <v>27.779</v>
      </c>
      <c r="BM151" s="23">
        <f t="shared" si="1229"/>
        <v>27.779</v>
      </c>
      <c r="BN151" s="23">
        <f>+'QTR Raw'!AH79+'QTR Raw'!AH76</f>
        <v>66.043000000000006</v>
      </c>
      <c r="BO151" s="23">
        <f t="shared" si="1229"/>
        <v>66.043000000000006</v>
      </c>
      <c r="BP151" s="23">
        <f>+'QTR Raw'!AJ79+'QTR Raw'!AJ76</f>
        <v>60.923000000000002</v>
      </c>
      <c r="BQ151" s="23">
        <f t="shared" si="1229"/>
        <v>60.923000000000002</v>
      </c>
      <c r="BR151" s="23">
        <f>+'QTR Raw'!AL79+'QTR Raw'!AL76</f>
        <v>203.53899999999999</v>
      </c>
      <c r="BS151" s="23">
        <f t="shared" si="1229"/>
        <v>203.53899999999999</v>
      </c>
      <c r="BT151" s="23">
        <f>+'QTR Raw'!AN79+'QTR Raw'!AN76</f>
        <v>142.30699999999999</v>
      </c>
      <c r="BU151" s="23">
        <f t="shared" si="1229"/>
        <v>142.30699999999999</v>
      </c>
      <c r="BV151" s="23">
        <f>+'QTR Raw'!AP79+'QTR Raw'!AP76</f>
        <v>295.29300000000001</v>
      </c>
      <c r="BW151" s="23">
        <f t="shared" si="1229"/>
        <v>295.29300000000001</v>
      </c>
      <c r="BX151" s="23">
        <f>+'QTR Raw'!AR79+'QTR Raw'!AR76</f>
        <v>304.65800000000002</v>
      </c>
      <c r="BY151" s="23">
        <f t="shared" si="1229"/>
        <v>304.65800000000002</v>
      </c>
      <c r="BZ151" s="23">
        <f>+'QTR Raw'!AT79+'QTR Raw'!AT76</f>
        <v>254.21</v>
      </c>
      <c r="CA151" s="23">
        <f t="shared" si="1229"/>
        <v>254.21</v>
      </c>
      <c r="CB151" s="23">
        <f>+'QTR Raw'!AV79+'QTR Raw'!AV76</f>
        <v>354.41500000000002</v>
      </c>
      <c r="CC151" s="23">
        <f t="shared" si="1229"/>
        <v>354.41500000000002</v>
      </c>
      <c r="CD151" s="23">
        <f>+'QTR Raw'!AX79+'QTR Raw'!AX76</f>
        <v>418.54199999999997</v>
      </c>
      <c r="CE151" s="23">
        <f t="shared" si="1229"/>
        <v>418.54199999999997</v>
      </c>
      <c r="CF151" s="23">
        <f>+'QTR Raw'!AZ79+'QTR Raw'!AZ76</f>
        <v>445.01900000000001</v>
      </c>
      <c r="CG151" s="23">
        <f t="shared" si="1206"/>
        <v>445.01900000000001</v>
      </c>
      <c r="CH151" s="23">
        <f t="shared" si="1207"/>
        <v>359.0872</v>
      </c>
      <c r="CJ151" s="23">
        <f>+'QTR Raw'!BD79+'QTR Raw'!BD76</f>
        <v>727.75</v>
      </c>
      <c r="CL151" s="23">
        <f>+'QTR Raw'!BF79+'QTR Raw'!BF76</f>
        <v>783.56500000000005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783.56500000000005</v>
      </c>
    </row>
    <row r="152" spans="1:110" s="23" customFormat="1" outlineLevel="1" x14ac:dyDescent="0.2">
      <c r="A152" s="23" t="s">
        <v>61</v>
      </c>
      <c r="B152" s="23">
        <f>'Annual Raw'!C76</f>
        <v>5.1361999999999997</v>
      </c>
      <c r="C152" s="23">
        <f>'Annual Raw'!D76</f>
        <v>3.5148000000000001</v>
      </c>
      <c r="D152" s="23">
        <f>'Annual Raw'!E76</f>
        <v>1.7990999999999999</v>
      </c>
      <c r="E152" s="23">
        <f>'Annual Raw'!F76</f>
        <v>0.73819999999999997</v>
      </c>
      <c r="F152" s="23">
        <f>'Annual Raw'!G76</f>
        <v>0.31069999999999998</v>
      </c>
      <c r="G152" s="23">
        <f>'Annual Raw'!H76</f>
        <v>0.13780000000000001</v>
      </c>
      <c r="H152" s="23">
        <f>'Annual Raw'!I76</f>
        <v>0.37419999999999998</v>
      </c>
      <c r="I152" s="23">
        <f>'Annual Raw'!J76</f>
        <v>0.16600000000000001</v>
      </c>
      <c r="J152" s="23">
        <f>'Annual Raw'!K76</f>
        <v>0</v>
      </c>
      <c r="K152" s="23">
        <f>'Annual Raw'!L76</f>
        <v>6.2399999999999997E-2</v>
      </c>
      <c r="L152" s="23">
        <f>'Annual Raw'!M76</f>
        <v>0.57110000000000005</v>
      </c>
      <c r="M152" s="23">
        <f>'Annual Raw'!N76</f>
        <v>2.1299999999999999E-2</v>
      </c>
      <c r="N152" s="23">
        <f>'Annual Raw'!O76</f>
        <v>0.31219999999999998</v>
      </c>
      <c r="O152" s="23">
        <f>'Annual Raw'!P76</f>
        <v>0</v>
      </c>
      <c r="P152" s="23">
        <f>'Annual Raw'!Q76</f>
        <v>0.28899999999999998</v>
      </c>
      <c r="Q152" s="23">
        <f>'Annual Raw'!R76</f>
        <v>0</v>
      </c>
      <c r="R152" s="23">
        <f>'Annual Raw'!S76</f>
        <v>0</v>
      </c>
      <c r="S152" s="23">
        <f>'Annual Raw'!T76</f>
        <v>0</v>
      </c>
      <c r="T152" s="23">
        <f>'Annual Raw'!U76</f>
        <v>1.6623000000000001</v>
      </c>
      <c r="U152" s="23">
        <f>'Annual Raw'!V76</f>
        <v>1.712</v>
      </c>
      <c r="V152" s="23">
        <f>'Annual Raw'!W76</f>
        <v>6.2899999999999998E-2</v>
      </c>
      <c r="W152" s="23">
        <f>'Annual Raw'!X76</f>
        <v>0.5675</v>
      </c>
      <c r="X152" s="23">
        <f>'Annual Raw'!Y76</f>
        <v>0.38619999999999999</v>
      </c>
      <c r="Y152" s="23">
        <f>'Annual Raw'!Z76</f>
        <v>1.1071</v>
      </c>
      <c r="Z152" s="23">
        <f>'Annual Raw'!AA76</f>
        <v>0</v>
      </c>
      <c r="AA152" s="23">
        <f>'Annual Raw'!AB76</f>
        <v>0</v>
      </c>
      <c r="AB152" s="24">
        <f t="shared" si="1225"/>
        <v>0</v>
      </c>
      <c r="AC152" s="24">
        <f t="shared" si="1226"/>
        <v>0</v>
      </c>
      <c r="AD152" s="24">
        <f t="shared" si="1227"/>
        <v>0</v>
      </c>
      <c r="AE152" s="24">
        <f t="shared" si="1228"/>
        <v>0</v>
      </c>
      <c r="AJ152" s="23">
        <f>+'QTR Raw'!D81</f>
        <v>1.4999999999999999E-2</v>
      </c>
      <c r="AK152" s="23">
        <f>+AK187*AK18/90</f>
        <v>1.5126766002638946E-2</v>
      </c>
      <c r="AL152" s="23">
        <f>+'QTR Raw'!F81</f>
        <v>0.312</v>
      </c>
      <c r="AM152" s="23">
        <f>+AM187*AM18/90</f>
        <v>0.33059606441822903</v>
      </c>
      <c r="AN152" s="23">
        <f>+'QTR Raw'!H81</f>
        <v>0.313</v>
      </c>
      <c r="AO152" s="23">
        <f>+AO187*AO18/90</f>
        <v>0.32772815181344428</v>
      </c>
      <c r="AP152" s="23">
        <f>+'QTR Raw'!J81</f>
        <v>0</v>
      </c>
      <c r="AQ152" s="23">
        <f>+AQ187*AQ18/90</f>
        <v>0</v>
      </c>
      <c r="AR152" s="23">
        <f>+'QTR Raw'!L81</f>
        <v>5.2999999999999999E-2</v>
      </c>
      <c r="AS152" s="23">
        <f>+AS187*AS18/90</f>
        <v>5.6560740809100313E-2</v>
      </c>
      <c r="AT152" s="23">
        <f>+'QTR Raw'!N81</f>
        <v>0.28899999999999998</v>
      </c>
      <c r="AU152" s="23">
        <f>+AU187*AU18/90</f>
        <v>0.30430122018713568</v>
      </c>
      <c r="AV152" s="23">
        <f>+'QTR Raw'!P81</f>
        <v>5.5E-2</v>
      </c>
      <c r="AW152" s="23">
        <f>+AW187*AW18/90</f>
        <v>5.6903507574205973E-2</v>
      </c>
      <c r="AX152" s="23">
        <f>+'QTR Raw'!R81</f>
        <v>0</v>
      </c>
      <c r="AY152" s="23">
        <f>+AY187*AY18/90</f>
        <v>0</v>
      </c>
      <c r="AZ152" s="23">
        <f>+'QTR Raw'!T81</f>
        <v>0</v>
      </c>
      <c r="BA152" s="23">
        <f>+BA187*BA18/90</f>
        <v>0</v>
      </c>
      <c r="BB152" s="23">
        <f>+'QTR Raw'!V81</f>
        <v>0</v>
      </c>
      <c r="BC152" s="23">
        <f>+BC187*BC18/90</f>
        <v>0</v>
      </c>
      <c r="BD152" s="23">
        <f>+'QTR Raw'!X81</f>
        <v>0</v>
      </c>
      <c r="BE152" s="23">
        <f>+BE187*BE18/90</f>
        <v>0</v>
      </c>
      <c r="BF152" s="23">
        <f>+'QTR Raw'!Z81</f>
        <v>0</v>
      </c>
      <c r="BG152" s="23">
        <f>+BG187*BG18/90</f>
        <v>0</v>
      </c>
      <c r="BH152" s="23">
        <f>+'QTR Raw'!AB81</f>
        <v>0</v>
      </c>
      <c r="BI152" s="23">
        <f>+BI187*BI18/90</f>
        <v>0</v>
      </c>
      <c r="BJ152" s="23">
        <f>+'QTR Raw'!AD81</f>
        <v>1.6619999999999999</v>
      </c>
      <c r="BK152" s="23">
        <f>+BK187*BK18/90</f>
        <v>1.4793951429756309</v>
      </c>
      <c r="BL152" s="23">
        <f>+'QTR Raw'!AF81</f>
        <v>1.3420000000000001</v>
      </c>
      <c r="BM152" s="23">
        <f>+BM187*BM18/90</f>
        <v>1.4728201914329477</v>
      </c>
      <c r="BN152" s="23">
        <f>+'QTR Raw'!AH81</f>
        <v>1.712</v>
      </c>
      <c r="BO152" s="23">
        <f>+BO187*BO18/90</f>
        <v>1.5622212105676887</v>
      </c>
      <c r="BP152" s="23">
        <f>+'QTR Raw'!AJ81</f>
        <v>0</v>
      </c>
      <c r="BQ152" s="23">
        <f>+BQ187*BQ18/90</f>
        <v>0</v>
      </c>
      <c r="BR152" s="23">
        <f>+'QTR Raw'!AL81</f>
        <v>6.3E-2</v>
      </c>
      <c r="BS152" s="23">
        <f>+BS187*BS18/90</f>
        <v>6.7851426322733985E-2</v>
      </c>
      <c r="BT152" s="23">
        <f>+'QTR Raw'!AN81</f>
        <v>0</v>
      </c>
      <c r="BU152" s="23">
        <f>+BU187*BU18/90</f>
        <v>0</v>
      </c>
      <c r="BV152" s="23">
        <f>+'QTR Raw'!AP81</f>
        <v>0.56799999999999995</v>
      </c>
      <c r="BW152" s="23">
        <f>+BW187*BW18/90</f>
        <v>0.60478416520105194</v>
      </c>
      <c r="BX152" s="23">
        <f>+'QTR Raw'!AR81</f>
        <v>3.7999999999999999E-2</v>
      </c>
      <c r="BY152" s="23">
        <f>+BY187*BY18/90</f>
        <v>4.0717262579421917E-2</v>
      </c>
      <c r="BZ152" s="23">
        <f>+'QTR Raw'!AT81</f>
        <v>0.38600000000000001</v>
      </c>
      <c r="CA152" s="23">
        <f>+CA187*CA18/90</f>
        <v>0.39169012793584113</v>
      </c>
      <c r="CB152" s="23">
        <f>+'QTR Raw'!AV81</f>
        <v>0.21099999999999999</v>
      </c>
      <c r="CC152" s="23">
        <f>+CC187*CC18/90</f>
        <v>0.21878598227511006</v>
      </c>
      <c r="CD152" s="23">
        <f>+'QTR Raw'!AX81</f>
        <v>1.107</v>
      </c>
      <c r="CE152" s="23">
        <f>+CE187*CE18/90</f>
        <v>1.1320642523867395</v>
      </c>
      <c r="CF152" s="23">
        <f>+'QTR Raw'!AZ81</f>
        <v>0</v>
      </c>
      <c r="CG152" s="23">
        <f>+CG187*CG18/90</f>
        <v>0</v>
      </c>
      <c r="CH152" s="23">
        <f t="shared" si="1207"/>
        <v>0</v>
      </c>
      <c r="CI152" s="23">
        <f>+CI187*CI18/90</f>
        <v>0</v>
      </c>
      <c r="CJ152" s="23">
        <f>+'QTR Raw'!BD81</f>
        <v>0</v>
      </c>
      <c r="CK152" s="23">
        <f t="shared" ref="CK152:DB152" si="1230">+CK187*CK18/90</f>
        <v>0</v>
      </c>
      <c r="CL152" s="23">
        <f>+'QTR Raw'!BF81</f>
        <v>0</v>
      </c>
      <c r="CM152" s="24">
        <f t="shared" si="1230"/>
        <v>0</v>
      </c>
      <c r="CN152" s="24">
        <f t="shared" si="1230"/>
        <v>0</v>
      </c>
      <c r="CO152" s="24">
        <f t="shared" si="1230"/>
        <v>0</v>
      </c>
      <c r="CP152" s="24">
        <f t="shared" si="1230"/>
        <v>0</v>
      </c>
      <c r="CQ152" s="24">
        <f t="shared" si="1230"/>
        <v>0</v>
      </c>
      <c r="CR152" s="24">
        <f t="shared" si="1230"/>
        <v>0</v>
      </c>
      <c r="CS152" s="24">
        <f t="shared" si="1230"/>
        <v>0</v>
      </c>
      <c r="CT152" s="24">
        <f t="shared" si="1230"/>
        <v>0</v>
      </c>
      <c r="CU152" s="24">
        <f t="shared" si="1230"/>
        <v>0</v>
      </c>
      <c r="CV152" s="24">
        <f t="shared" si="1230"/>
        <v>0</v>
      </c>
      <c r="CW152" s="24">
        <f t="shared" si="1230"/>
        <v>0</v>
      </c>
      <c r="CX152" s="24">
        <f t="shared" si="1230"/>
        <v>0</v>
      </c>
      <c r="CY152" s="24">
        <f t="shared" si="1230"/>
        <v>0</v>
      </c>
      <c r="CZ152" s="24">
        <f t="shared" si="1230"/>
        <v>0</v>
      </c>
      <c r="DA152" s="24">
        <f t="shared" si="1230"/>
        <v>0</v>
      </c>
      <c r="DB152" s="24">
        <f t="shared" si="1230"/>
        <v>0</v>
      </c>
      <c r="DE152" s="123"/>
      <c r="DF152" s="23">
        <v>0</v>
      </c>
    </row>
    <row r="153" spans="1:110" s="23" customFormat="1" outlineLevel="1" x14ac:dyDescent="0.2">
      <c r="A153" s="23" t="s">
        <v>62</v>
      </c>
      <c r="B153" s="23">
        <f>'Annual Raw'!C77</f>
        <v>45.648499999999999</v>
      </c>
      <c r="C153" s="23">
        <f>'Annual Raw'!D77</f>
        <v>40.6355</v>
      </c>
      <c r="D153" s="23">
        <f>'Annual Raw'!E77</f>
        <v>32.595599999999997</v>
      </c>
      <c r="E153" s="23">
        <f>'Annual Raw'!F77</f>
        <v>31.526900000000001</v>
      </c>
      <c r="F153" s="23">
        <f>'Annual Raw'!G77</f>
        <v>41.136099999999999</v>
      </c>
      <c r="G153" s="23">
        <f>'Annual Raw'!H77</f>
        <v>46.639400000000002</v>
      </c>
      <c r="H153" s="23">
        <f>'Annual Raw'!I77</f>
        <v>60.180799999999998</v>
      </c>
      <c r="I153" s="23">
        <f>'Annual Raw'!J77</f>
        <v>104.5954</v>
      </c>
      <c r="J153" s="23">
        <f>'Annual Raw'!K77</f>
        <v>91.871200000000002</v>
      </c>
      <c r="K153" s="23">
        <f>'Annual Raw'!L77</f>
        <v>130.54320000000001</v>
      </c>
      <c r="L153" s="23">
        <f>'Annual Raw'!M77</f>
        <v>107.2192</v>
      </c>
      <c r="M153" s="23">
        <f>'Annual Raw'!N77</f>
        <v>125.6554</v>
      </c>
      <c r="N153" s="23">
        <f>'Annual Raw'!O77</f>
        <v>140.9751</v>
      </c>
      <c r="O153" s="23">
        <f>'Annual Raw'!P77</f>
        <v>155.61109999999999</v>
      </c>
      <c r="P153" s="23">
        <f>'Annual Raw'!Q77</f>
        <v>154.08170000000001</v>
      </c>
      <c r="Q153" s="23">
        <f>'Annual Raw'!R77</f>
        <v>215.21090000000001</v>
      </c>
      <c r="R153" s="23">
        <f>'Annual Raw'!S77</f>
        <v>244.8108</v>
      </c>
      <c r="S153" s="23">
        <f>'Annual Raw'!T77</f>
        <v>306.66640000000001</v>
      </c>
      <c r="T153" s="23">
        <f>'Annual Raw'!U77</f>
        <v>356.5412</v>
      </c>
      <c r="U153" s="23">
        <f>'Annual Raw'!V77</f>
        <v>392.38069999999999</v>
      </c>
      <c r="V153" s="23">
        <f>'Annual Raw'!W77</f>
        <v>489.37299999999999</v>
      </c>
      <c r="W153" s="23">
        <f>'Annual Raw'!X77</f>
        <v>672.78800000000001</v>
      </c>
      <c r="X153" s="23">
        <f>'Annual Raw'!Y77</f>
        <v>976.37549999999999</v>
      </c>
      <c r="Y153" s="23">
        <f>'Annual Raw'!Z77</f>
        <v>971.58839999999998</v>
      </c>
      <c r="Z153" s="23">
        <f>'Annual Raw'!AA77</f>
        <v>971.5258</v>
      </c>
      <c r="AA153" s="23">
        <f>'Annual Raw'!AB77</f>
        <v>1079.3657000000001</v>
      </c>
      <c r="AB153" s="24">
        <f t="shared" si="1225"/>
        <v>1213.533122312745</v>
      </c>
      <c r="AC153" s="24">
        <f t="shared" si="1226"/>
        <v>1356.0890063467027</v>
      </c>
      <c r="AD153" s="24">
        <f t="shared" si="1227"/>
        <v>1439.0290524834645</v>
      </c>
      <c r="AE153" s="24">
        <f t="shared" si="1228"/>
        <v>1469.8972698572759</v>
      </c>
      <c r="AJ153" s="23">
        <f>+'QTR Raw'!D82</f>
        <v>121.93</v>
      </c>
      <c r="AK153" s="23">
        <f>+AK188*AK18/90</f>
        <v>122.96043858011777</v>
      </c>
      <c r="AL153" s="23">
        <f>+'QTR Raw'!F82</f>
        <v>140.97499999999999</v>
      </c>
      <c r="AM153" s="23">
        <f>+AM188*AM18/90</f>
        <v>149.37750058128151</v>
      </c>
      <c r="AN153" s="23">
        <f>+'QTR Raw'!H82</f>
        <v>151.51499999999999</v>
      </c>
      <c r="AO153" s="23">
        <f>+AO188*AO18/90</f>
        <v>158.64450773806391</v>
      </c>
      <c r="AP153" s="23">
        <f>+'QTR Raw'!J82</f>
        <v>155.61099999999999</v>
      </c>
      <c r="AQ153" s="23">
        <f>+AQ188*AQ18/90</f>
        <v>140.33527155952888</v>
      </c>
      <c r="AR153" s="23">
        <f>+'QTR Raw'!L82</f>
        <v>139.02000000000001</v>
      </c>
      <c r="AS153" s="23">
        <f>+AS188*AS18/90</f>
        <v>148.359890326059</v>
      </c>
      <c r="AT153" s="23">
        <f>+'QTR Raw'!N82</f>
        <v>154.08199999999999</v>
      </c>
      <c r="AU153" s="23">
        <f>+AU188*AU18/90</f>
        <v>162.23993290267904</v>
      </c>
      <c r="AV153" s="23">
        <f>+'QTR Raw'!P82</f>
        <v>196.244</v>
      </c>
      <c r="AW153" s="23">
        <f>+AW188*AW18/90</f>
        <v>203.0358534616814</v>
      </c>
      <c r="AX153" s="23">
        <f>+'QTR Raw'!R82</f>
        <v>215.21100000000001</v>
      </c>
      <c r="AY153" s="23">
        <f>+AY188*AY18/90</f>
        <v>214.92986218158069</v>
      </c>
      <c r="AZ153" s="23">
        <f>+'QTR Raw'!T82</f>
        <v>216.09399999999999</v>
      </c>
      <c r="BA153" s="23">
        <f>+BA188*BA18/90</f>
        <v>220.3751356921681</v>
      </c>
      <c r="BB153" s="23">
        <f>+'QTR Raw'!V82</f>
        <v>244.81100000000001</v>
      </c>
      <c r="BC153" s="23">
        <f>+BC188*BC18/90</f>
        <v>241.99078135273413</v>
      </c>
      <c r="BD153" s="23">
        <f>+'QTR Raw'!X82</f>
        <v>288.92500000000001</v>
      </c>
      <c r="BE153" s="23">
        <f>+BE188*BE18/90</f>
        <v>289.04153129877193</v>
      </c>
      <c r="BF153" s="23">
        <f>+'QTR Raw'!Z82</f>
        <v>306.666</v>
      </c>
      <c r="BG153" s="23">
        <f>+BG188*BG18/90</f>
        <v>312.10611576126342</v>
      </c>
      <c r="BH153" s="23">
        <f>+'QTR Raw'!AB82</f>
        <v>343.15899999999999</v>
      </c>
      <c r="BI153" s="23">
        <f>+BI188*BI18/90</f>
        <v>336.74197849964253</v>
      </c>
      <c r="BJ153" s="23">
        <f>+'QTR Raw'!AD82</f>
        <v>356.541</v>
      </c>
      <c r="BK153" s="23">
        <f>+BK188*BK18/90</f>
        <v>317.36764360509892</v>
      </c>
      <c r="BL153" s="23">
        <f>+'QTR Raw'!AF82</f>
        <v>336.15899999999999</v>
      </c>
      <c r="BM153" s="23">
        <f>+BM188*BM18/90</f>
        <v>368.92828817578857</v>
      </c>
      <c r="BN153" s="23">
        <f>+'QTR Raw'!AH82</f>
        <v>392.38099999999997</v>
      </c>
      <c r="BO153" s="23">
        <f>+BO188*BO18/90</f>
        <v>358.05252384565432</v>
      </c>
      <c r="BP153" s="23">
        <f>+'QTR Raw'!AJ82</f>
        <v>358.536</v>
      </c>
      <c r="BQ153" s="23">
        <f>+BQ188*BQ18/90</f>
        <v>397.64016837642009</v>
      </c>
      <c r="BR153" s="23">
        <f>+'QTR Raw'!AL82</f>
        <v>489.37299999999999</v>
      </c>
      <c r="BS153" s="23">
        <f>+BS188*BS18/90</f>
        <v>527.05803260056018</v>
      </c>
      <c r="BT153" s="23">
        <f>+'QTR Raw'!AN82</f>
        <v>414.07400000000001</v>
      </c>
      <c r="BU153" s="23">
        <f>+BU188*BU18/90</f>
        <v>440.74084106824608</v>
      </c>
      <c r="BV153" s="23">
        <f>+'QTR Raw'!AP82</f>
        <v>672.78800000000001</v>
      </c>
      <c r="BW153" s="23">
        <f>+BW188*BW18/90</f>
        <v>716.3583255938122</v>
      </c>
      <c r="BX153" s="23">
        <f>+'QTR Raw'!AR82</f>
        <v>766.73900000000003</v>
      </c>
      <c r="BY153" s="23">
        <f>+BY188*BY18/90</f>
        <v>821.56613665482587</v>
      </c>
      <c r="BZ153" s="23">
        <f>+'QTR Raw'!AT82</f>
        <v>976.37599999999998</v>
      </c>
      <c r="CA153" s="23">
        <f>+CA188*CA18/90</f>
        <v>990.76901645980547</v>
      </c>
      <c r="CB153" s="23">
        <f>+'QTR Raw'!AV82</f>
        <v>882.87800000000004</v>
      </c>
      <c r="CC153" s="23">
        <f>+CC188*CC18/90</f>
        <v>915.45654246011679</v>
      </c>
      <c r="CD153" s="23">
        <f>+'QTR Raw'!AX82</f>
        <v>971.58799999999997</v>
      </c>
      <c r="CE153" s="23">
        <f>+CE188*CE18/90</f>
        <v>993.58630790237362</v>
      </c>
      <c r="CF153" s="23">
        <f>+'QTR Raw'!AZ82</f>
        <v>984.80700000000002</v>
      </c>
      <c r="CG153" s="23">
        <f>+CG188*CG18/90</f>
        <v>968.3967464678575</v>
      </c>
      <c r="CH153" s="23">
        <f t="shared" si="1207"/>
        <v>971.5258</v>
      </c>
      <c r="CI153" s="23">
        <f>+CI188*CI18/90</f>
        <v>954.15603925948108</v>
      </c>
      <c r="CJ153" s="23">
        <f>+'QTR Raw'!BD82</f>
        <v>1005.258</v>
      </c>
      <c r="CK153" s="23">
        <f t="shared" ref="CK153:DB153" si="1231">+CK188*CK18/90</f>
        <v>1043.9878861956518</v>
      </c>
      <c r="CL153" s="23">
        <f>+'QTR Raw'!BF82</f>
        <v>1079.366</v>
      </c>
      <c r="CM153" s="24">
        <f t="shared" si="1231"/>
        <v>1066.8939676054499</v>
      </c>
      <c r="CN153" s="24">
        <f t="shared" si="1231"/>
        <v>1119.4719647436964</v>
      </c>
      <c r="CO153" s="24">
        <f t="shared" si="1231"/>
        <v>1171.1026895585599</v>
      </c>
      <c r="CP153" s="24">
        <f t="shared" si="1231"/>
        <v>1213.533122312745</v>
      </c>
      <c r="CQ153" s="24">
        <f t="shared" si="1231"/>
        <v>1223.0200923961818</v>
      </c>
      <c r="CR153" s="24">
        <f t="shared" si="1231"/>
        <v>1271.4533010617404</v>
      </c>
      <c r="CS153" s="24">
        <f t="shared" si="1231"/>
        <v>1316.121709861915</v>
      </c>
      <c r="CT153" s="24">
        <f t="shared" si="1231"/>
        <v>1356.0890063467027</v>
      </c>
      <c r="CU153" s="24">
        <f t="shared" si="1231"/>
        <v>1372.4099387095969</v>
      </c>
      <c r="CV153" s="24">
        <f t="shared" si="1231"/>
        <v>1395.9911321584441</v>
      </c>
      <c r="CW153" s="24">
        <f t="shared" si="1231"/>
        <v>1417.949025794177</v>
      </c>
      <c r="CX153" s="24">
        <f t="shared" si="1231"/>
        <v>1439.0290524834645</v>
      </c>
      <c r="CY153" s="24">
        <f t="shared" si="1231"/>
        <v>1431.729885989788</v>
      </c>
      <c r="CZ153" s="24">
        <f t="shared" si="1231"/>
        <v>1446.7296851452306</v>
      </c>
      <c r="DA153" s="24">
        <f t="shared" si="1231"/>
        <v>1459.503594478869</v>
      </c>
      <c r="DB153" s="24">
        <f t="shared" si="1231"/>
        <v>1469.8972698572759</v>
      </c>
      <c r="DE153" s="123"/>
      <c r="DF153" s="23">
        <v>1039.0831564316695</v>
      </c>
    </row>
    <row r="154" spans="1:110" s="23" customFormat="1" outlineLevel="1" x14ac:dyDescent="0.2">
      <c r="A154" s="23" t="s">
        <v>63</v>
      </c>
      <c r="B154" s="23">
        <f>'Annual Raw'!C79</f>
        <v>0</v>
      </c>
      <c r="C154" s="23">
        <f>'Annual Raw'!D79</f>
        <v>0</v>
      </c>
      <c r="D154" s="23">
        <f>'Annual Raw'!E79</f>
        <v>0</v>
      </c>
      <c r="E154" s="23">
        <f>'Annual Raw'!F79</f>
        <v>0</v>
      </c>
      <c r="F154" s="23">
        <f>'Annual Raw'!G79</f>
        <v>0</v>
      </c>
      <c r="G154" s="23">
        <f>'Annual Raw'!H79</f>
        <v>0</v>
      </c>
      <c r="H154" s="23">
        <f>'Annual Raw'!I79</f>
        <v>2.0270000000000001</v>
      </c>
      <c r="I154" s="23">
        <f>'Annual Raw'!J79</f>
        <v>3.7869000000000002</v>
      </c>
      <c r="J154" s="23">
        <f>'Annual Raw'!K79</f>
        <v>3.8317000000000001</v>
      </c>
      <c r="K154" s="23">
        <f>'Annual Raw'!L79</f>
        <v>10.742000000000001</v>
      </c>
      <c r="L154" s="23">
        <f>'Annual Raw'!M79</f>
        <v>3.464</v>
      </c>
      <c r="M154" s="23">
        <f>'Annual Raw'!N79</f>
        <v>5.6702000000000004</v>
      </c>
      <c r="N154" s="23">
        <f>'Annual Raw'!O79</f>
        <v>5.1726999999999999</v>
      </c>
      <c r="O154" s="23">
        <f>'Annual Raw'!P79</f>
        <v>6.2641999999999998</v>
      </c>
      <c r="P154" s="23">
        <f>'Annual Raw'!Q79</f>
        <v>8.6922999999999995</v>
      </c>
      <c r="Q154" s="23">
        <f>'Annual Raw'!R79</f>
        <v>11.1143</v>
      </c>
      <c r="R154" s="23">
        <f>'Annual Raw'!S79</f>
        <v>16.449300000000001</v>
      </c>
      <c r="S154" s="23">
        <f>'Annual Raw'!T79</f>
        <v>25.165500000000002</v>
      </c>
      <c r="T154" s="23">
        <f>'Annual Raw'!U79</f>
        <v>37.096899999999998</v>
      </c>
      <c r="U154" s="23">
        <f>'Annual Raw'!V79</f>
        <v>36.2926</v>
      </c>
      <c r="V154" s="23">
        <f>'Annual Raw'!W79</f>
        <v>31.449100000000001</v>
      </c>
      <c r="W154" s="23">
        <f>'Annual Raw'!X79</f>
        <v>42.221699999999998</v>
      </c>
      <c r="X154" s="23">
        <f>'Annual Raw'!Y79</f>
        <v>70.370400000000004</v>
      </c>
      <c r="Y154" s="23">
        <f>'Annual Raw'!Z79</f>
        <v>49.3386</v>
      </c>
      <c r="Z154" s="23">
        <f>'Annual Raw'!AA79</f>
        <v>83.1006</v>
      </c>
      <c r="AA154" s="23">
        <f>'Annual Raw'!AB79</f>
        <v>53.772599999999997</v>
      </c>
      <c r="AB154" s="24">
        <f t="shared" si="1225"/>
        <v>1128.4763192428634</v>
      </c>
      <c r="AC154" s="24">
        <f t="shared" si="1226"/>
        <v>1261.0404300554846</v>
      </c>
      <c r="AD154" s="24">
        <f t="shared" si="1227"/>
        <v>1338.167190142487</v>
      </c>
      <c r="AE154" s="24">
        <f t="shared" si="1228"/>
        <v>1366.8718473810143</v>
      </c>
      <c r="AJ154" s="23">
        <f>+'QTR Raw'!D84</f>
        <v>20.933</v>
      </c>
      <c r="AK154" s="23">
        <f t="shared" si="1229"/>
        <v>20.933</v>
      </c>
      <c r="AL154" s="23">
        <f>+'QTR Raw'!F84</f>
        <v>15.741</v>
      </c>
      <c r="AM154" s="23">
        <f t="shared" si="1229"/>
        <v>15.741</v>
      </c>
      <c r="AN154" s="23">
        <f>+'QTR Raw'!H84</f>
        <v>17.137</v>
      </c>
      <c r="AO154" s="23">
        <f t="shared" si="1229"/>
        <v>17.137</v>
      </c>
      <c r="AP154" s="23">
        <f>+'QTR Raw'!J84</f>
        <v>19.2</v>
      </c>
      <c r="AQ154" s="23">
        <f t="shared" si="1229"/>
        <v>19.2</v>
      </c>
      <c r="AR154" s="23">
        <f>+'QTR Raw'!L84</f>
        <v>23.465</v>
      </c>
      <c r="AS154" s="23">
        <f t="shared" si="1229"/>
        <v>23.465</v>
      </c>
      <c r="AT154" s="23">
        <f>+'QTR Raw'!N84</f>
        <v>25.949000000000002</v>
      </c>
      <c r="AU154" s="23">
        <f t="shared" si="1229"/>
        <v>25.949000000000002</v>
      </c>
      <c r="AV154" s="23">
        <f>+'QTR Raw'!P84</f>
        <v>36.521999999999998</v>
      </c>
      <c r="AW154" s="23">
        <f t="shared" si="1229"/>
        <v>36.521999999999998</v>
      </c>
      <c r="AX154" s="23">
        <f>+'QTR Raw'!R84</f>
        <v>33.328000000000003</v>
      </c>
      <c r="AY154" s="23">
        <f t="shared" si="1229"/>
        <v>33.328000000000003</v>
      </c>
      <c r="AZ154" s="23">
        <f>+'QTR Raw'!T84</f>
        <v>54.8</v>
      </c>
      <c r="BA154" s="23">
        <f t="shared" si="1229"/>
        <v>54.8</v>
      </c>
      <c r="BB154" s="23">
        <f>+'QTR Raw'!V84</f>
        <v>69.406999999999996</v>
      </c>
      <c r="BC154" s="23">
        <f t="shared" si="1229"/>
        <v>69.406999999999996</v>
      </c>
      <c r="BD154" s="23">
        <f>+'QTR Raw'!X84</f>
        <v>113.371</v>
      </c>
      <c r="BE154" s="23">
        <f t="shared" si="1229"/>
        <v>113.371</v>
      </c>
      <c r="BF154" s="23">
        <f>+'QTR Raw'!Z84</f>
        <v>103.218</v>
      </c>
      <c r="BG154" s="23">
        <f t="shared" si="1229"/>
        <v>103.218</v>
      </c>
      <c r="BH154" s="23">
        <f>+'QTR Raw'!AB84</f>
        <v>139.6</v>
      </c>
      <c r="BI154" s="23">
        <f t="shared" si="1229"/>
        <v>139.6</v>
      </c>
      <c r="BJ154" s="23">
        <f>+'QTR Raw'!AD84</f>
        <v>133.22900000000001</v>
      </c>
      <c r="BK154" s="23">
        <f t="shared" si="1229"/>
        <v>133.22900000000001</v>
      </c>
      <c r="BL154" s="23">
        <f>+'QTR Raw'!AF84</f>
        <v>156.845</v>
      </c>
      <c r="BM154" s="23">
        <f t="shared" si="1229"/>
        <v>156.845</v>
      </c>
      <c r="BN154" s="23">
        <f>+'QTR Raw'!AH84</f>
        <v>141.99</v>
      </c>
      <c r="BO154" s="23">
        <f t="shared" si="1229"/>
        <v>141.99</v>
      </c>
      <c r="BP154" s="23">
        <f>+'QTR Raw'!AJ84</f>
        <v>144.136</v>
      </c>
      <c r="BQ154" s="23">
        <f t="shared" si="1229"/>
        <v>144.136</v>
      </c>
      <c r="BR154" s="23">
        <f>+'QTR Raw'!AL84</f>
        <v>41.41</v>
      </c>
      <c r="BS154" s="23">
        <f t="shared" si="1229"/>
        <v>41.41</v>
      </c>
      <c r="BT154" s="23">
        <f>+'QTR Raw'!AN84</f>
        <v>141.49700000000001</v>
      </c>
      <c r="BU154" s="23">
        <f t="shared" si="1229"/>
        <v>141.49700000000001</v>
      </c>
      <c r="BV154" s="23">
        <f>+'QTR Raw'!AP84</f>
        <v>56.134999999999998</v>
      </c>
      <c r="BW154" s="23">
        <f t="shared" si="1229"/>
        <v>56.134999999999998</v>
      </c>
      <c r="BX154" s="23">
        <f>+'QTR Raw'!AR84</f>
        <v>69.179000000000002</v>
      </c>
      <c r="BY154" s="23">
        <f t="shared" si="1229"/>
        <v>69.179000000000002</v>
      </c>
      <c r="BZ154" s="23">
        <f>+'QTR Raw'!AT84</f>
        <v>143.36099999999999</v>
      </c>
      <c r="CA154" s="23">
        <f t="shared" si="1229"/>
        <v>143.36099999999999</v>
      </c>
      <c r="CB154" s="23">
        <f>+'QTR Raw'!AV84</f>
        <v>189.84800000000001</v>
      </c>
      <c r="CC154" s="23">
        <f t="shared" si="1229"/>
        <v>189.84800000000001</v>
      </c>
      <c r="CD154" s="23">
        <f>+'QTR Raw'!AX84</f>
        <v>168.53</v>
      </c>
      <c r="CE154" s="23">
        <f t="shared" si="1229"/>
        <v>168.53</v>
      </c>
      <c r="CF154" s="23">
        <f>+'QTR Raw'!AZ84</f>
        <v>221.29300000000001</v>
      </c>
      <c r="CG154" s="23">
        <f t="shared" ref="CG154:CG155" si="1232">+CF154</f>
        <v>221.29300000000001</v>
      </c>
      <c r="CH154" s="23">
        <f t="shared" si="1207"/>
        <v>83.1006</v>
      </c>
      <c r="CI154" s="23">
        <f>CI18/90*CI189</f>
        <v>638.88562244103503</v>
      </c>
      <c r="CJ154" s="23">
        <f>+'QTR Raw'!BD84</f>
        <v>257.25799999999998</v>
      </c>
      <c r="CK154" s="23">
        <f t="shared" ref="CK154:DB154" si="1233">CK18/90*CK189</f>
        <v>1027.6861230168329</v>
      </c>
      <c r="CL154" s="23">
        <f>+'QTR Raw'!BF84</f>
        <v>216.01400000000001</v>
      </c>
      <c r="CM154" s="24">
        <f t="shared" si="1233"/>
        <v>992.11513509520319</v>
      </c>
      <c r="CN154" s="24">
        <f t="shared" si="1233"/>
        <v>1041.0079288663808</v>
      </c>
      <c r="CO154" s="24">
        <f t="shared" si="1233"/>
        <v>1089.0198448393694</v>
      </c>
      <c r="CP154" s="24">
        <f t="shared" si="1233"/>
        <v>1128.4763192428634</v>
      </c>
      <c r="CQ154" s="24">
        <f t="shared" si="1233"/>
        <v>1137.2983455095389</v>
      </c>
      <c r="CR154" s="24">
        <f t="shared" si="1233"/>
        <v>1182.3368599423945</v>
      </c>
      <c r="CS154" s="24">
        <f t="shared" si="1233"/>
        <v>1223.8744501592903</v>
      </c>
      <c r="CT154" s="24">
        <f t="shared" si="1233"/>
        <v>1261.0404300554846</v>
      </c>
      <c r="CU154" s="24">
        <f t="shared" si="1233"/>
        <v>1276.2174246845148</v>
      </c>
      <c r="CV154" s="24">
        <f t="shared" si="1233"/>
        <v>1298.1458071054199</v>
      </c>
      <c r="CW154" s="24">
        <f t="shared" si="1233"/>
        <v>1318.5646671536354</v>
      </c>
      <c r="CX154" s="24">
        <f t="shared" si="1233"/>
        <v>1338.167190142487</v>
      </c>
      <c r="CY154" s="24">
        <f t="shared" si="1233"/>
        <v>1331.3796238314605</v>
      </c>
      <c r="CZ154" s="24">
        <f t="shared" si="1233"/>
        <v>1345.3280837697084</v>
      </c>
      <c r="DA154" s="24">
        <f t="shared" si="1233"/>
        <v>1357.2066669926319</v>
      </c>
      <c r="DB154" s="24">
        <f t="shared" si="1233"/>
        <v>1366.8718473810143</v>
      </c>
      <c r="DE154" s="123"/>
      <c r="DF154" s="23">
        <v>1022.8579801023016</v>
      </c>
    </row>
    <row r="155" spans="1:110" s="23" customFormat="1" outlineLevel="1" x14ac:dyDescent="0.2">
      <c r="A155" s="23" t="s">
        <v>64</v>
      </c>
      <c r="B155" s="23">
        <f>'Annual Raw'!C80</f>
        <v>12.280799999999999</v>
      </c>
      <c r="C155" s="23">
        <f>'Annual Raw'!D80</f>
        <v>14.5342</v>
      </c>
      <c r="D155" s="23">
        <f>'Annual Raw'!E80</f>
        <v>17.517600000000002</v>
      </c>
      <c r="E155" s="23">
        <f>'Annual Raw'!F80</f>
        <v>22.770600000000002</v>
      </c>
      <c r="F155" s="23">
        <f>'Annual Raw'!G80</f>
        <v>28.1829</v>
      </c>
      <c r="G155" s="23">
        <f>'Annual Raw'!H80</f>
        <v>35.769799999999996</v>
      </c>
      <c r="H155" s="23">
        <f>'Annual Raw'!I80</f>
        <v>20.3977</v>
      </c>
      <c r="I155" s="23">
        <f>'Annual Raw'!J80</f>
        <v>28.369299999999999</v>
      </c>
      <c r="J155" s="23">
        <f>'Annual Raw'!K80</f>
        <v>36.429200000000002</v>
      </c>
      <c r="K155" s="23">
        <f>'Annual Raw'!L80</f>
        <v>50.351700000000001</v>
      </c>
      <c r="L155" s="23">
        <f>'Annual Raw'!M80</f>
        <v>17.227599999999999</v>
      </c>
      <c r="M155" s="23">
        <f>'Annual Raw'!N80</f>
        <v>15.780900000000001</v>
      </c>
      <c r="N155" s="23">
        <f>'Annual Raw'!O80</f>
        <v>20.6525</v>
      </c>
      <c r="O155" s="23">
        <f>'Annual Raw'!P80</f>
        <v>40.566200000000002</v>
      </c>
      <c r="P155" s="23">
        <f>'Annual Raw'!Q80</f>
        <v>71.955600000000004</v>
      </c>
      <c r="Q155" s="23">
        <f>'Annual Raw'!R80</f>
        <v>114.78870000000001</v>
      </c>
      <c r="R155" s="23">
        <f>'Annual Raw'!S80</f>
        <v>53.733899999999998</v>
      </c>
      <c r="S155" s="23">
        <f>'Annual Raw'!T80</f>
        <v>78.889300000000006</v>
      </c>
      <c r="T155" s="23">
        <f>'Annual Raw'!U80</f>
        <v>96.890199999999993</v>
      </c>
      <c r="U155" s="23">
        <f>'Annual Raw'!V80</f>
        <v>106.5926</v>
      </c>
      <c r="V155" s="23">
        <f>'Annual Raw'!W80</f>
        <v>10.8645</v>
      </c>
      <c r="W155" s="23">
        <f>'Annual Raw'!X80</f>
        <v>14.9152</v>
      </c>
      <c r="X155" s="23">
        <f>'Annual Raw'!Y80</f>
        <v>74.804599999999994</v>
      </c>
      <c r="Y155" s="23">
        <f>'Annual Raw'!Z80</f>
        <v>122.2158</v>
      </c>
      <c r="Z155" s="23">
        <f>'Annual Raw'!AA80</f>
        <v>136.4785</v>
      </c>
      <c r="AA155" s="23">
        <f>'Annual Raw'!AB80</f>
        <v>166.375</v>
      </c>
      <c r="AB155" s="24">
        <f t="shared" si="1225"/>
        <v>0</v>
      </c>
      <c r="AC155" s="24">
        <f t="shared" si="1226"/>
        <v>0</v>
      </c>
      <c r="AD155" s="24">
        <f t="shared" si="1227"/>
        <v>0</v>
      </c>
      <c r="AE155" s="24">
        <f t="shared" si="1228"/>
        <v>0</v>
      </c>
      <c r="AJ155" s="23">
        <f>+'QTR Raw'!D85</f>
        <v>9.9179999999999993</v>
      </c>
      <c r="AK155" s="23">
        <f t="shared" si="1229"/>
        <v>9.9179999999999993</v>
      </c>
      <c r="AL155" s="23">
        <f>+'QTR Raw'!F85</f>
        <v>10.084</v>
      </c>
      <c r="AM155" s="23">
        <f t="shared" si="1229"/>
        <v>10.084</v>
      </c>
      <c r="AN155" s="23">
        <f>+'QTR Raw'!H85</f>
        <v>11.401</v>
      </c>
      <c r="AO155" s="23">
        <f t="shared" si="1229"/>
        <v>11.401</v>
      </c>
      <c r="AP155" s="23">
        <f>+'QTR Raw'!J85</f>
        <v>12.019</v>
      </c>
      <c r="AQ155" s="23">
        <f t="shared" si="1229"/>
        <v>12.019</v>
      </c>
      <c r="AR155" s="23">
        <f>+'QTR Raw'!L85</f>
        <v>17.29</v>
      </c>
      <c r="AS155" s="23">
        <f t="shared" si="1229"/>
        <v>17.29</v>
      </c>
      <c r="AT155" s="23">
        <f>+'QTR Raw'!N85</f>
        <v>14.686</v>
      </c>
      <c r="AU155" s="23">
        <f t="shared" si="1229"/>
        <v>14.686</v>
      </c>
      <c r="AV155" s="23">
        <f>+'QTR Raw'!P85</f>
        <v>20.013999999999999</v>
      </c>
      <c r="AW155" s="23">
        <f t="shared" si="1229"/>
        <v>20.013999999999999</v>
      </c>
      <c r="AX155" s="23">
        <f>+'QTR Raw'!R85</f>
        <v>22.766999999999999</v>
      </c>
      <c r="AY155" s="23">
        <f t="shared" si="1229"/>
        <v>22.766999999999999</v>
      </c>
      <c r="AZ155" s="23">
        <f>+'QTR Raw'!T85</f>
        <v>28.510999999999999</v>
      </c>
      <c r="BA155" s="23">
        <f t="shared" si="1229"/>
        <v>28.510999999999999</v>
      </c>
      <c r="BB155" s="23">
        <f>+'QTR Raw'!V85</f>
        <v>0.77600000000000002</v>
      </c>
      <c r="BC155" s="23">
        <f t="shared" si="1229"/>
        <v>0.77600000000000002</v>
      </c>
      <c r="BD155" s="23">
        <f>+'QTR Raw'!X85</f>
        <v>0.83899999999999997</v>
      </c>
      <c r="BE155" s="23">
        <f t="shared" si="1229"/>
        <v>0.83899999999999997</v>
      </c>
      <c r="BF155" s="23">
        <f>+'QTR Raw'!Z85</f>
        <v>0.83699999999999997</v>
      </c>
      <c r="BG155" s="23">
        <f t="shared" si="1229"/>
        <v>0.83699999999999997</v>
      </c>
      <c r="BH155" s="23">
        <f>+'QTR Raw'!AB85</f>
        <v>0.95799999999999996</v>
      </c>
      <c r="BI155" s="23">
        <f t="shared" si="1229"/>
        <v>0.95799999999999996</v>
      </c>
      <c r="BJ155" s="23">
        <f>+'QTR Raw'!AD85</f>
        <v>0.75800000000000001</v>
      </c>
      <c r="BK155" s="23">
        <f t="shared" si="1229"/>
        <v>0.75800000000000001</v>
      </c>
      <c r="BL155" s="23">
        <f>+'QTR Raw'!AF85</f>
        <v>0.64200000000000002</v>
      </c>
      <c r="BM155" s="23">
        <f t="shared" si="1229"/>
        <v>0.64200000000000002</v>
      </c>
      <c r="BN155" s="23">
        <f>+'QTR Raw'!AH85</f>
        <v>0.89400000000000002</v>
      </c>
      <c r="BO155" s="23">
        <f t="shared" si="1229"/>
        <v>0.89400000000000002</v>
      </c>
      <c r="BP155" s="23">
        <f>+'QTR Raw'!AJ85</f>
        <v>0.79</v>
      </c>
      <c r="BQ155" s="23">
        <f t="shared" si="1229"/>
        <v>0.79</v>
      </c>
      <c r="BR155" s="23">
        <f>+'QTR Raw'!AL85</f>
        <v>0.90500000000000003</v>
      </c>
      <c r="BS155" s="23">
        <f t="shared" si="1229"/>
        <v>0.90500000000000003</v>
      </c>
      <c r="BT155" s="23">
        <f>+'QTR Raw'!AN85</f>
        <v>0.99099999999999999</v>
      </c>
      <c r="BU155" s="23">
        <f t="shared" si="1229"/>
        <v>0.99099999999999999</v>
      </c>
      <c r="BV155" s="23">
        <f>+'QTR Raw'!AP85</f>
        <v>1.0009999999999999</v>
      </c>
      <c r="BW155" s="23">
        <f t="shared" si="1229"/>
        <v>1.0009999999999999</v>
      </c>
      <c r="BX155" s="23">
        <f>+'QTR Raw'!AR85</f>
        <v>1.0469999999999999</v>
      </c>
      <c r="BY155" s="23">
        <f t="shared" si="1229"/>
        <v>1.0469999999999999</v>
      </c>
      <c r="BZ155" s="23">
        <f>+'QTR Raw'!AT85</f>
        <v>1.8140000000000001</v>
      </c>
      <c r="CA155" s="23">
        <f t="shared" si="1229"/>
        <v>1.8140000000000001</v>
      </c>
      <c r="CB155" s="23">
        <f>+'QTR Raw'!AV85</f>
        <v>1.9219999999999999</v>
      </c>
      <c r="CC155" s="23">
        <f t="shared" si="1229"/>
        <v>1.9219999999999999</v>
      </c>
      <c r="CD155" s="23">
        <f>+'QTR Raw'!AX85</f>
        <v>3.024</v>
      </c>
      <c r="CE155" s="23">
        <f t="shared" si="1229"/>
        <v>3.024</v>
      </c>
      <c r="CF155" s="23">
        <f>+'QTR Raw'!AZ85</f>
        <v>3.2949999999999999</v>
      </c>
      <c r="CG155" s="23">
        <f t="shared" si="1232"/>
        <v>3.2949999999999999</v>
      </c>
      <c r="CH155" s="23">
        <f t="shared" si="1207"/>
        <v>136.4785</v>
      </c>
      <c r="CJ155" s="23">
        <f>+'QTR Raw'!BD85</f>
        <v>4.5529999999999999</v>
      </c>
      <c r="CL155" s="23">
        <f>+'QTR Raw'!BF85</f>
        <v>4.1340000000000003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4.1340000000000003</v>
      </c>
    </row>
    <row r="156" spans="1:110" s="22" customFormat="1" x14ac:dyDescent="0.2">
      <c r="A156" s="22" t="s">
        <v>65</v>
      </c>
      <c r="B156" s="22">
        <f>SUM(B150:B155)</f>
        <v>63.0655</v>
      </c>
      <c r="C156" s="22">
        <f t="shared" ref="C156:V156" si="1234">SUM(C150:C155)</f>
        <v>58.6845</v>
      </c>
      <c r="D156" s="22">
        <f t="shared" si="1234"/>
        <v>51.912300000000002</v>
      </c>
      <c r="E156" s="22">
        <f t="shared" si="1234"/>
        <v>55.035700000000006</v>
      </c>
      <c r="F156" s="22">
        <f t="shared" si="1234"/>
        <v>69.6297</v>
      </c>
      <c r="G156" s="22">
        <f t="shared" si="1234"/>
        <v>82.546999999999997</v>
      </c>
      <c r="H156" s="22">
        <f t="shared" si="1234"/>
        <v>82.979700000000008</v>
      </c>
      <c r="I156" s="22">
        <f t="shared" si="1234"/>
        <v>136.91759999999999</v>
      </c>
      <c r="J156" s="22">
        <f t="shared" si="1234"/>
        <v>132.13210000000001</v>
      </c>
      <c r="K156" s="22">
        <f t="shared" si="1234"/>
        <v>191.69929999999999</v>
      </c>
      <c r="L156" s="22">
        <f>SUM(L150:L155)</f>
        <v>178.2826</v>
      </c>
      <c r="M156" s="22">
        <f>SUM(M150:M155)</f>
        <v>197.56489999999999</v>
      </c>
      <c r="N156" s="22">
        <f t="shared" si="1234"/>
        <v>221.5521</v>
      </c>
      <c r="O156" s="22">
        <f t="shared" si="1234"/>
        <v>313.69659999999999</v>
      </c>
      <c r="P156" s="22">
        <f t="shared" si="1234"/>
        <v>355.51410000000004</v>
      </c>
      <c r="Q156" s="22">
        <f t="shared" si="1234"/>
        <v>506.7509</v>
      </c>
      <c r="R156" s="22">
        <f t="shared" si="1234"/>
        <v>351.80450000000002</v>
      </c>
      <c r="S156" s="22">
        <f t="shared" si="1234"/>
        <v>450.02590000000004</v>
      </c>
      <c r="T156" s="22">
        <f t="shared" si="1234"/>
        <v>519.96949999999993</v>
      </c>
      <c r="U156" s="22">
        <f t="shared" si="1234"/>
        <v>568.01520000000005</v>
      </c>
      <c r="V156" s="22">
        <f t="shared" si="1234"/>
        <v>670.19490000000008</v>
      </c>
      <c r="W156" s="22">
        <f t="shared" ref="W156" si="1235">SUM(W150:W155)</f>
        <v>901.40130000000011</v>
      </c>
      <c r="X156" s="22">
        <f t="shared" ref="X156:Y156" si="1236">SUM(X150:X155)</f>
        <v>1218.4876999999999</v>
      </c>
      <c r="Y156" s="22">
        <f t="shared" si="1236"/>
        <v>1372.5107</v>
      </c>
      <c r="Z156" s="22">
        <f t="shared" ref="Z156:AA156" si="1237">SUM(Z150:Z155)</f>
        <v>1622.0418999999999</v>
      </c>
      <c r="AA156" s="22">
        <f t="shared" si="1237"/>
        <v>1955.9253000000001</v>
      </c>
      <c r="AB156" s="21">
        <f t="shared" ref="AA156:AD156" si="1238">SUM(AB150:AB155)</f>
        <v>2342.0094415556086</v>
      </c>
      <c r="AC156" s="21">
        <f t="shared" si="1238"/>
        <v>2617.1294364021874</v>
      </c>
      <c r="AD156" s="21">
        <f t="shared" si="1238"/>
        <v>2777.1962426259515</v>
      </c>
      <c r="AE156" s="21">
        <f t="shared" ref="AE156" si="1239">SUM(AE150:AE155)</f>
        <v>2836.7691172382902</v>
      </c>
      <c r="AJ156" s="22">
        <f t="shared" ref="AJ156" si="1240">SUM(AJ150:AJ155)</f>
        <v>205.583</v>
      </c>
      <c r="AK156" s="22">
        <f t="shared" ref="AK156" si="1241">SUM(AK150:AK155)</f>
        <v>206.6135653461204</v>
      </c>
      <c r="AL156" s="22">
        <f t="shared" ref="AL156:AM156" si="1242">SUM(AL150:AL155)</f>
        <v>221.55199999999996</v>
      </c>
      <c r="AM156" s="22">
        <f t="shared" si="1242"/>
        <v>229.97309664569974</v>
      </c>
      <c r="AN156" s="22">
        <f t="shared" ref="AN156:AO156" si="1243">SUM(AN150:AN155)</f>
        <v>225.02500000000001</v>
      </c>
      <c r="AO156" s="22">
        <f t="shared" si="1243"/>
        <v>232.16923588987737</v>
      </c>
      <c r="AP156" s="22">
        <f t="shared" ref="AP156:CE156" si="1244">SUM(AP150:AP155)</f>
        <v>227.50799999999998</v>
      </c>
      <c r="AQ156" s="22">
        <f t="shared" si="1244"/>
        <v>212.23227155952887</v>
      </c>
      <c r="AR156" s="22">
        <f t="shared" si="1244"/>
        <v>221.292</v>
      </c>
      <c r="AS156" s="22">
        <f t="shared" si="1244"/>
        <v>230.63545106686809</v>
      </c>
      <c r="AT156" s="22">
        <f t="shared" si="1244"/>
        <v>230.76600000000002</v>
      </c>
      <c r="AU156" s="22">
        <f t="shared" si="1244"/>
        <v>238.9392341228662</v>
      </c>
      <c r="AV156" s="22">
        <f t="shared" si="1244"/>
        <v>288.80700000000002</v>
      </c>
      <c r="AW156" s="22">
        <f t="shared" si="1244"/>
        <v>295.6007569692556</v>
      </c>
      <c r="AX156" s="22">
        <f t="shared" si="1244"/>
        <v>307.08700000000005</v>
      </c>
      <c r="AY156" s="22">
        <f t="shared" si="1244"/>
        <v>306.80586218158072</v>
      </c>
      <c r="AZ156" s="22">
        <f t="shared" si="1244"/>
        <v>333.99700000000001</v>
      </c>
      <c r="BA156" s="22">
        <f t="shared" si="1244"/>
        <v>338.27813569216812</v>
      </c>
      <c r="BB156" s="22">
        <f t="shared" si="1244"/>
        <v>351.803</v>
      </c>
      <c r="BC156" s="22">
        <f t="shared" si="1244"/>
        <v>348.98278135273415</v>
      </c>
      <c r="BD156" s="22">
        <f t="shared" si="1244"/>
        <v>440.245</v>
      </c>
      <c r="BE156" s="22">
        <f t="shared" si="1244"/>
        <v>440.36153129877192</v>
      </c>
      <c r="BF156" s="22">
        <f t="shared" si="1244"/>
        <v>450.02600000000001</v>
      </c>
      <c r="BG156" s="22">
        <f t="shared" si="1244"/>
        <v>455.46611576126344</v>
      </c>
      <c r="BH156" s="22">
        <f t="shared" si="1244"/>
        <v>511.43599999999998</v>
      </c>
      <c r="BI156" s="22">
        <f t="shared" si="1244"/>
        <v>505.01897849964251</v>
      </c>
      <c r="BJ156" s="22">
        <f t="shared" si="1244"/>
        <v>519.96900000000005</v>
      </c>
      <c r="BK156" s="22">
        <f t="shared" si="1244"/>
        <v>480.61303874807453</v>
      </c>
      <c r="BL156" s="22">
        <f t="shared" si="1244"/>
        <v>522.76700000000005</v>
      </c>
      <c r="BM156" s="22">
        <f t="shared" si="1244"/>
        <v>555.66710836722154</v>
      </c>
      <c r="BN156" s="22">
        <f t="shared" si="1244"/>
        <v>619.84699999999998</v>
      </c>
      <c r="BO156" s="22">
        <f t="shared" si="1244"/>
        <v>585.368745056222</v>
      </c>
      <c r="BP156" s="22">
        <f t="shared" si="1244"/>
        <v>582.3839999999999</v>
      </c>
      <c r="BQ156" s="22">
        <f t="shared" si="1244"/>
        <v>621.48816837642005</v>
      </c>
      <c r="BR156" s="22">
        <f t="shared" si="1244"/>
        <v>735.28999999999985</v>
      </c>
      <c r="BS156" s="22">
        <f t="shared" si="1244"/>
        <v>772.97988402688281</v>
      </c>
      <c r="BT156" s="22">
        <f t="shared" si="1244"/>
        <v>698.86899999999991</v>
      </c>
      <c r="BU156" s="22">
        <f t="shared" si="1244"/>
        <v>725.5358410682461</v>
      </c>
      <c r="BV156" s="22">
        <f t="shared" si="1244"/>
        <v>1025.7850000000001</v>
      </c>
      <c r="BW156" s="22">
        <f t="shared" si="1244"/>
        <v>1069.3921097590132</v>
      </c>
      <c r="BX156" s="22">
        <f t="shared" si="1244"/>
        <v>1141.6610000000001</v>
      </c>
      <c r="BY156" s="22">
        <f t="shared" si="1244"/>
        <v>1196.4908539174055</v>
      </c>
      <c r="BZ156" s="22">
        <f t="shared" si="1244"/>
        <v>1376.1470000000002</v>
      </c>
      <c r="CA156" s="22">
        <f t="shared" si="1244"/>
        <v>1390.5457065877415</v>
      </c>
      <c r="CB156" s="22">
        <f t="shared" si="1244"/>
        <v>1429.2740000000001</v>
      </c>
      <c r="CC156" s="22">
        <f t="shared" si="1244"/>
        <v>1461.8603284423918</v>
      </c>
      <c r="CD156" s="22">
        <f t="shared" si="1244"/>
        <v>1562.7909999999999</v>
      </c>
      <c r="CE156" s="22">
        <f t="shared" si="1244"/>
        <v>1584.8143721547601</v>
      </c>
      <c r="CF156" s="22">
        <f t="shared" ref="CF156:CG156" si="1245">SUM(CF150:CF155)</f>
        <v>1654.4140000000002</v>
      </c>
      <c r="CG156" s="22">
        <f t="shared" si="1245"/>
        <v>1638.0037464678576</v>
      </c>
      <c r="CH156" s="22">
        <f t="shared" ref="CH156:CI156" si="1246">SUM(CH150:CH155)</f>
        <v>1622.0418999999999</v>
      </c>
      <c r="CI156" s="22">
        <f t="shared" si="1246"/>
        <v>1593.0416617005162</v>
      </c>
      <c r="CJ156" s="22">
        <f t="shared" ref="CJ156:DB156" si="1247">SUM(CJ150:CJ155)</f>
        <v>1994.8190000000002</v>
      </c>
      <c r="CK156" s="22">
        <f t="shared" si="1247"/>
        <v>2071.6740092124846</v>
      </c>
      <c r="CL156" s="22">
        <f t="shared" ref="CL156" si="1248">SUM(CL150:CL155)</f>
        <v>2083.0790000000002</v>
      </c>
      <c r="CM156" s="21">
        <f t="shared" si="1247"/>
        <v>2059.0091027006529</v>
      </c>
      <c r="CN156" s="21">
        <f t="shared" si="1247"/>
        <v>2160.4798936100769</v>
      </c>
      <c r="CO156" s="21">
        <f t="shared" si="1247"/>
        <v>2260.1225343979295</v>
      </c>
      <c r="CP156" s="21">
        <f t="shared" si="1247"/>
        <v>2342.0094415556086</v>
      </c>
      <c r="CQ156" s="21">
        <f t="shared" si="1247"/>
        <v>2360.3184379057207</v>
      </c>
      <c r="CR156" s="21">
        <f t="shared" si="1247"/>
        <v>2453.7901610041349</v>
      </c>
      <c r="CS156" s="21">
        <f t="shared" si="1247"/>
        <v>2539.9961600212055</v>
      </c>
      <c r="CT156" s="21">
        <f t="shared" si="1247"/>
        <v>2617.1294364021874</v>
      </c>
      <c r="CU156" s="21">
        <f t="shared" si="1247"/>
        <v>2648.6273633941119</v>
      </c>
      <c r="CV156" s="21">
        <f t="shared" si="1247"/>
        <v>2694.136939263864</v>
      </c>
      <c r="CW156" s="21">
        <f t="shared" si="1247"/>
        <v>2736.5136929478122</v>
      </c>
      <c r="CX156" s="21">
        <f t="shared" si="1247"/>
        <v>2777.1962426259515</v>
      </c>
      <c r="CY156" s="21">
        <f t="shared" si="1247"/>
        <v>2763.1095098212486</v>
      </c>
      <c r="CZ156" s="21">
        <f t="shared" si="1247"/>
        <v>2792.0577689149391</v>
      </c>
      <c r="DA156" s="21">
        <f t="shared" si="1247"/>
        <v>2816.7102614715009</v>
      </c>
      <c r="DB156" s="21">
        <f t="shared" si="1247"/>
        <v>2836.7691172382902</v>
      </c>
      <c r="DE156" s="126"/>
      <c r="DF156" s="22">
        <v>2061.9411365339711</v>
      </c>
    </row>
    <row r="157" spans="1:110" s="23" customFormat="1" outlineLevel="1" x14ac:dyDescent="0.2">
      <c r="A157" s="23" t="s">
        <v>66</v>
      </c>
      <c r="B157" s="23">
        <f>'Annual Raw'!C50+'Annual Raw'!C58</f>
        <v>0</v>
      </c>
      <c r="C157" s="23">
        <f>'Annual Raw'!D50+'Annual Raw'!D58</f>
        <v>0</v>
      </c>
      <c r="D157" s="23">
        <f>'Annual Raw'!E50+'Annual Raw'!E58</f>
        <v>0</v>
      </c>
      <c r="E157" s="23">
        <f>'Annual Raw'!F50+'Annual Raw'!F58</f>
        <v>0</v>
      </c>
      <c r="F157" s="23">
        <f>'Annual Raw'!G50+'Annual Raw'!G58</f>
        <v>0</v>
      </c>
      <c r="G157" s="23">
        <f>'Annual Raw'!H50+'Annual Raw'!H58</f>
        <v>0</v>
      </c>
      <c r="H157" s="23">
        <f>'Annual Raw'!I50+'Annual Raw'!I58</f>
        <v>0</v>
      </c>
      <c r="I157" s="23">
        <f>'Annual Raw'!J50+'Annual Raw'!J58</f>
        <v>0</v>
      </c>
      <c r="J157" s="23">
        <f>'Annual Raw'!K50+'Annual Raw'!K58</f>
        <v>0</v>
      </c>
      <c r="K157" s="23">
        <f>'Annual Raw'!L50+'Annual Raw'!L58</f>
        <v>0</v>
      </c>
      <c r="L157" s="23">
        <f>'Annual Raw'!M50+'Annual Raw'!M58</f>
        <v>0</v>
      </c>
      <c r="M157" s="23">
        <f>'Annual Raw'!N50+'Annual Raw'!N58</f>
        <v>0</v>
      </c>
      <c r="N157" s="23">
        <f>'Annual Raw'!O50+'Annual Raw'!O58</f>
        <v>0</v>
      </c>
      <c r="O157" s="23">
        <f>'Annual Raw'!P50+'Annual Raw'!P58</f>
        <v>0</v>
      </c>
      <c r="P157" s="23">
        <f>'Annual Raw'!Q50+'Annual Raw'!Q58</f>
        <v>0</v>
      </c>
      <c r="Q157" s="23">
        <f>'Annual Raw'!R50+'Annual Raw'!R58</f>
        <v>0</v>
      </c>
      <c r="R157" s="23">
        <f>'Annual Raw'!S50+'Annual Raw'!S58</f>
        <v>0</v>
      </c>
      <c r="S157" s="23">
        <f>'Annual Raw'!T50+'Annual Raw'!T58</f>
        <v>0</v>
      </c>
      <c r="T157" s="23">
        <f>'Annual Raw'!U50+'Annual Raw'!U58</f>
        <v>0</v>
      </c>
      <c r="U157" s="23">
        <f>'Annual Raw'!V50+'Annual Raw'!V58</f>
        <v>45.0139</v>
      </c>
      <c r="V157" s="23">
        <f>'Annual Raw'!W50+'Annual Raw'!W58</f>
        <v>60.456899999999997</v>
      </c>
      <c r="W157" s="23">
        <f>'Annual Raw'!X50+'Annual Raw'!X58</f>
        <v>118.286</v>
      </c>
      <c r="X157" s="23">
        <f>'Annual Raw'!Y50+'Annual Raw'!Y58</f>
        <v>153.7268</v>
      </c>
      <c r="Y157" s="23">
        <f>'Annual Raw'!Z50+'Annual Raw'!Z58</f>
        <v>181.18899999999999</v>
      </c>
      <c r="Z157" s="23">
        <f>'Annual Raw'!AA50+'Annual Raw'!AA58</f>
        <v>139.3126</v>
      </c>
      <c r="AA157" s="23">
        <f>'Annual Raw'!AB50+'Annual Raw'!AB58</f>
        <v>103.7197</v>
      </c>
      <c r="AB157" s="24">
        <f t="shared" ref="AB157:AB163" si="1249">+CP157</f>
        <v>0</v>
      </c>
      <c r="AC157" s="24">
        <f t="shared" ref="AC157:AC163" si="1250">+CT157</f>
        <v>0</v>
      </c>
      <c r="AD157" s="24">
        <f t="shared" ref="AD157:AD163" si="1251">+CX157</f>
        <v>0</v>
      </c>
      <c r="AE157" s="24">
        <f t="shared" ref="AE157:AE163" si="1252">+DB157</f>
        <v>0</v>
      </c>
      <c r="AJ157" s="23">
        <f>+'QTR Raw'!D64</f>
        <v>0</v>
      </c>
      <c r="AK157" s="23">
        <f t="shared" ref="AK157:CE163" si="1253">+AJ157</f>
        <v>0</v>
      </c>
      <c r="AL157" s="23">
        <f>+'QTR Raw'!F64</f>
        <v>0</v>
      </c>
      <c r="AM157" s="23">
        <f t="shared" si="1253"/>
        <v>0</v>
      </c>
      <c r="AN157" s="23">
        <f>+'QTR Raw'!H64</f>
        <v>0</v>
      </c>
      <c r="AO157" s="23">
        <f t="shared" si="1253"/>
        <v>0</v>
      </c>
      <c r="AP157" s="23">
        <f>+'QTR Raw'!J64</f>
        <v>0</v>
      </c>
      <c r="AQ157" s="23">
        <f t="shared" si="1253"/>
        <v>0</v>
      </c>
      <c r="AR157" s="23">
        <f>+'QTR Raw'!L64</f>
        <v>0</v>
      </c>
      <c r="AS157" s="23">
        <f t="shared" si="1253"/>
        <v>0</v>
      </c>
      <c r="AT157" s="23">
        <f>+'QTR Raw'!N64</f>
        <v>0</v>
      </c>
      <c r="AU157" s="23">
        <f t="shared" si="1253"/>
        <v>0</v>
      </c>
      <c r="AV157" s="23">
        <f>+'QTR Raw'!P64</f>
        <v>0</v>
      </c>
      <c r="AW157" s="23">
        <f t="shared" si="1253"/>
        <v>0</v>
      </c>
      <c r="AX157" s="23">
        <f>+'QTR Raw'!R64</f>
        <v>0</v>
      </c>
      <c r="AY157" s="23">
        <f t="shared" si="1253"/>
        <v>0</v>
      </c>
      <c r="AZ157" s="23">
        <f>+'QTR Raw'!T64</f>
        <v>0</v>
      </c>
      <c r="BA157" s="23">
        <f t="shared" si="1253"/>
        <v>0</v>
      </c>
      <c r="BB157" s="23">
        <f>+'QTR Raw'!V64</f>
        <v>10.09</v>
      </c>
      <c r="BC157" s="23">
        <f t="shared" si="1253"/>
        <v>10.09</v>
      </c>
      <c r="BD157" s="23">
        <f>+'QTR Raw'!X64</f>
        <v>11.906000000000001</v>
      </c>
      <c r="BE157" s="23">
        <f t="shared" si="1253"/>
        <v>11.906000000000001</v>
      </c>
      <c r="BF157" s="23">
        <f>+'QTR Raw'!Z64</f>
        <v>9.1189999999999998</v>
      </c>
      <c r="BG157" s="23">
        <f t="shared" si="1253"/>
        <v>9.1189999999999998</v>
      </c>
      <c r="BH157" s="23">
        <f>+'QTR Raw'!AB64</f>
        <v>1.3480000000000001</v>
      </c>
      <c r="BI157" s="23">
        <f t="shared" si="1253"/>
        <v>1.3480000000000001</v>
      </c>
      <c r="BJ157" s="23">
        <f>+'QTR Raw'!AD64</f>
        <v>0</v>
      </c>
      <c r="BK157" s="23">
        <f t="shared" si="1253"/>
        <v>0</v>
      </c>
      <c r="BL157" s="23">
        <f>+'QTR Raw'!AF64</f>
        <v>1.952</v>
      </c>
      <c r="BM157" s="23">
        <f t="shared" si="1253"/>
        <v>1.952</v>
      </c>
      <c r="BN157" s="23">
        <f>+'QTR Raw'!AH64</f>
        <v>45.014000000000003</v>
      </c>
      <c r="BO157" s="23">
        <f t="shared" si="1253"/>
        <v>45.014000000000003</v>
      </c>
      <c r="BP157" s="23">
        <f>+'QTR Raw'!AJ64</f>
        <v>0</v>
      </c>
      <c r="BQ157" s="23">
        <f t="shared" si="1253"/>
        <v>0</v>
      </c>
      <c r="BR157" s="23">
        <f>+'QTR Raw'!AL64</f>
        <v>60.457000000000001</v>
      </c>
      <c r="BS157" s="23">
        <f t="shared" si="1253"/>
        <v>60.457000000000001</v>
      </c>
      <c r="BT157" s="23">
        <f>+'QTR Raw'!AN64</f>
        <v>85.918000000000006</v>
      </c>
      <c r="BU157" s="23">
        <f t="shared" si="1253"/>
        <v>85.918000000000006</v>
      </c>
      <c r="BV157" s="23">
        <f>+'QTR Raw'!AP64</f>
        <v>118.286</v>
      </c>
      <c r="BW157" s="23">
        <f t="shared" si="1253"/>
        <v>118.286</v>
      </c>
      <c r="BX157" s="23">
        <f>+'QTR Raw'!AR64</f>
        <v>165.166</v>
      </c>
      <c r="BY157" s="23">
        <f t="shared" si="1253"/>
        <v>165.166</v>
      </c>
      <c r="BZ157" s="23">
        <f>+'QTR Raw'!AT64</f>
        <v>153.727</v>
      </c>
      <c r="CA157" s="23">
        <f t="shared" si="1253"/>
        <v>153.727</v>
      </c>
      <c r="CB157" s="23">
        <f>+'QTR Raw'!AV64</f>
        <v>199.30500000000001</v>
      </c>
      <c r="CC157" s="23">
        <f t="shared" si="1253"/>
        <v>199.30500000000001</v>
      </c>
      <c r="CD157" s="23">
        <f>+'QTR Raw'!AX64</f>
        <v>181.18899999999999</v>
      </c>
      <c r="CE157" s="23">
        <f t="shared" si="1253"/>
        <v>181.18899999999999</v>
      </c>
      <c r="CF157" s="23">
        <f>+'QTR Raw'!AZ64</f>
        <v>160.023</v>
      </c>
      <c r="CG157" s="23">
        <f t="shared" ref="CG157:CG160" si="1254">+CF157</f>
        <v>160.023</v>
      </c>
      <c r="CH157" s="23">
        <f t="shared" si="1207"/>
        <v>139.3126</v>
      </c>
      <c r="CJ157" s="23">
        <f>+'QTR Raw'!BD64</f>
        <v>114.999</v>
      </c>
      <c r="CL157" s="23">
        <f>+'QTR Raw'!BF64</f>
        <v>103.72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103.72</v>
      </c>
    </row>
    <row r="158" spans="1:110" s="23" customFormat="1" outlineLevel="1" x14ac:dyDescent="0.2">
      <c r="A158" s="23" t="s">
        <v>67</v>
      </c>
      <c r="B158" s="23">
        <f>'Annual Raw'!C51</f>
        <v>0</v>
      </c>
      <c r="C158" s="23">
        <f>'Annual Raw'!D51</f>
        <v>0</v>
      </c>
      <c r="D158" s="23">
        <f>'Annual Raw'!E51</f>
        <v>0</v>
      </c>
      <c r="E158" s="23">
        <f>'Annual Raw'!F51</f>
        <v>0</v>
      </c>
      <c r="F158" s="23">
        <f>'Annual Raw'!G51</f>
        <v>0</v>
      </c>
      <c r="G158" s="23">
        <f>'Annual Raw'!H51</f>
        <v>0</v>
      </c>
      <c r="H158" s="23">
        <f>'Annual Raw'!I51</f>
        <v>0</v>
      </c>
      <c r="I158" s="23">
        <f>'Annual Raw'!J51</f>
        <v>0</v>
      </c>
      <c r="J158" s="23">
        <f>'Annual Raw'!K51</f>
        <v>0</v>
      </c>
      <c r="K158" s="23">
        <f>'Annual Raw'!L51</f>
        <v>0</v>
      </c>
      <c r="L158" s="23">
        <f>'Annual Raw'!M51</f>
        <v>0</v>
      </c>
      <c r="M158" s="23">
        <f>'Annual Raw'!N51</f>
        <v>0</v>
      </c>
      <c r="N158" s="23">
        <f>'Annual Raw'!O51</f>
        <v>0</v>
      </c>
      <c r="O158" s="23">
        <f>'Annual Raw'!P51</f>
        <v>0</v>
      </c>
      <c r="P158" s="23">
        <f>'Annual Raw'!Q51</f>
        <v>0</v>
      </c>
      <c r="Q158" s="23">
        <f>'Annual Raw'!R51</f>
        <v>0</v>
      </c>
      <c r="R158" s="23">
        <f>'Annual Raw'!S51</f>
        <v>0</v>
      </c>
      <c r="S158" s="23">
        <f>'Annual Raw'!T51</f>
        <v>0</v>
      </c>
      <c r="T158" s="23">
        <f>'Annual Raw'!U51</f>
        <v>0</v>
      </c>
      <c r="U158" s="23">
        <f>'Annual Raw'!V51</f>
        <v>0</v>
      </c>
      <c r="V158" s="23">
        <f>'Annual Raw'!W51</f>
        <v>0</v>
      </c>
      <c r="W158" s="23">
        <f>'Annual Raw'!X51</f>
        <v>0</v>
      </c>
      <c r="X158" s="23">
        <f>'Annual Raw'!Y51</f>
        <v>0</v>
      </c>
      <c r="Y158" s="23">
        <f>'Annual Raw'!Z51</f>
        <v>0</v>
      </c>
      <c r="Z158" s="23">
        <f>'Annual Raw'!AA51</f>
        <v>0</v>
      </c>
      <c r="AA158" s="23">
        <f>'Annual Raw'!AB51</f>
        <v>0</v>
      </c>
      <c r="AB158" s="24">
        <f t="shared" si="1249"/>
        <v>0</v>
      </c>
      <c r="AC158" s="24">
        <f t="shared" si="1250"/>
        <v>0</v>
      </c>
      <c r="AD158" s="24">
        <f t="shared" si="1251"/>
        <v>0</v>
      </c>
      <c r="AE158" s="24">
        <f t="shared" si="1252"/>
        <v>0</v>
      </c>
      <c r="AJ158" s="23">
        <f>+'QTR Raw'!D65</f>
        <v>0</v>
      </c>
      <c r="AK158" s="23">
        <f t="shared" si="1253"/>
        <v>0</v>
      </c>
      <c r="AL158" s="23">
        <f>+'QTR Raw'!F65</f>
        <v>0</v>
      </c>
      <c r="AM158" s="23">
        <f t="shared" si="1253"/>
        <v>0</v>
      </c>
      <c r="AN158" s="23">
        <f>+'QTR Raw'!H65</f>
        <v>0</v>
      </c>
      <c r="AO158" s="23">
        <f t="shared" si="1253"/>
        <v>0</v>
      </c>
      <c r="AP158" s="23">
        <f>+'QTR Raw'!J65</f>
        <v>0</v>
      </c>
      <c r="AQ158" s="23">
        <f t="shared" si="1253"/>
        <v>0</v>
      </c>
      <c r="AR158" s="23">
        <f>+'QTR Raw'!L65</f>
        <v>0</v>
      </c>
      <c r="AS158" s="23">
        <f t="shared" si="1253"/>
        <v>0</v>
      </c>
      <c r="AT158" s="23">
        <f>+'QTR Raw'!N65</f>
        <v>0</v>
      </c>
      <c r="AU158" s="23">
        <f t="shared" si="1253"/>
        <v>0</v>
      </c>
      <c r="AV158" s="23">
        <f>+'QTR Raw'!P65</f>
        <v>0</v>
      </c>
      <c r="AW158" s="23">
        <f t="shared" si="1253"/>
        <v>0</v>
      </c>
      <c r="AX158" s="23">
        <f>+'QTR Raw'!R65</f>
        <v>0</v>
      </c>
      <c r="AY158" s="23">
        <f t="shared" si="1253"/>
        <v>0</v>
      </c>
      <c r="AZ158" s="23">
        <f>+'QTR Raw'!T65</f>
        <v>0</v>
      </c>
      <c r="BA158" s="23">
        <f t="shared" si="1253"/>
        <v>0</v>
      </c>
      <c r="BB158" s="23">
        <f>+'QTR Raw'!V65</f>
        <v>0</v>
      </c>
      <c r="BC158" s="23">
        <f t="shared" si="1253"/>
        <v>0</v>
      </c>
      <c r="BD158" s="23">
        <f>+'QTR Raw'!X65</f>
        <v>0</v>
      </c>
      <c r="BE158" s="23">
        <f t="shared" si="1253"/>
        <v>0</v>
      </c>
      <c r="BF158" s="23">
        <f>+'QTR Raw'!Z65</f>
        <v>0</v>
      </c>
      <c r="BG158" s="23">
        <f t="shared" si="1253"/>
        <v>0</v>
      </c>
      <c r="BH158" s="23">
        <f>+'QTR Raw'!AB65</f>
        <v>0</v>
      </c>
      <c r="BI158" s="23">
        <f t="shared" si="1253"/>
        <v>0</v>
      </c>
      <c r="BJ158" s="23">
        <f>+'QTR Raw'!AD65</f>
        <v>0</v>
      </c>
      <c r="BK158" s="23">
        <f t="shared" si="1253"/>
        <v>0</v>
      </c>
      <c r="BL158" s="23">
        <f>+'QTR Raw'!AF65</f>
        <v>0</v>
      </c>
      <c r="BM158" s="23">
        <f t="shared" si="1253"/>
        <v>0</v>
      </c>
      <c r="BN158" s="23">
        <f>+'QTR Raw'!AH65</f>
        <v>0</v>
      </c>
      <c r="BO158" s="23">
        <f t="shared" si="1253"/>
        <v>0</v>
      </c>
      <c r="BP158" s="23">
        <f>+'QTR Raw'!AJ65</f>
        <v>0</v>
      </c>
      <c r="BQ158" s="23">
        <f t="shared" si="1253"/>
        <v>0</v>
      </c>
      <c r="BR158" s="23">
        <f>+'QTR Raw'!AL65</f>
        <v>0</v>
      </c>
      <c r="BS158" s="23">
        <f t="shared" si="1253"/>
        <v>0</v>
      </c>
      <c r="BT158" s="23">
        <f>+'QTR Raw'!AN65</f>
        <v>0</v>
      </c>
      <c r="BU158" s="23">
        <f t="shared" si="1253"/>
        <v>0</v>
      </c>
      <c r="BV158" s="23">
        <f>+'QTR Raw'!AP65</f>
        <v>0</v>
      </c>
      <c r="BW158" s="23">
        <f t="shared" si="1253"/>
        <v>0</v>
      </c>
      <c r="BX158" s="23">
        <f>+'QTR Raw'!AR65</f>
        <v>0</v>
      </c>
      <c r="BY158" s="23">
        <f t="shared" si="1253"/>
        <v>0</v>
      </c>
      <c r="BZ158" s="23">
        <f>+'QTR Raw'!AT65</f>
        <v>0</v>
      </c>
      <c r="CA158" s="23">
        <f t="shared" si="1253"/>
        <v>0</v>
      </c>
      <c r="CB158" s="23">
        <f>+'QTR Raw'!AV65</f>
        <v>0</v>
      </c>
      <c r="CC158" s="23">
        <f t="shared" si="1253"/>
        <v>0</v>
      </c>
      <c r="CD158" s="23">
        <f>+'QTR Raw'!AX65</f>
        <v>0</v>
      </c>
      <c r="CE158" s="23">
        <f t="shared" si="1253"/>
        <v>0</v>
      </c>
      <c r="CF158" s="23">
        <f>+'QTR Raw'!AZ65</f>
        <v>0</v>
      </c>
      <c r="CG158" s="23">
        <f t="shared" si="1254"/>
        <v>0</v>
      </c>
      <c r="CH158" s="23">
        <f t="shared" si="1207"/>
        <v>0</v>
      </c>
      <c r="CJ158" s="23">
        <f>+'QTR Raw'!BD65</f>
        <v>0</v>
      </c>
      <c r="CL158" s="23">
        <f>+'QTR Raw'!BF65</f>
        <v>0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</v>
      </c>
    </row>
    <row r="159" spans="1:110" s="23" customFormat="1" outlineLevel="1" x14ac:dyDescent="0.2">
      <c r="A159" s="23" t="s">
        <v>68</v>
      </c>
      <c r="B159" s="23">
        <f>'Annual Raw'!C52</f>
        <v>0</v>
      </c>
      <c r="C159" s="23">
        <f>'Annual Raw'!D52</f>
        <v>0</v>
      </c>
      <c r="D159" s="23">
        <f>'Annual Raw'!E52</f>
        <v>0</v>
      </c>
      <c r="E159" s="23">
        <f>'Annual Raw'!F52</f>
        <v>0</v>
      </c>
      <c r="F159" s="23">
        <f>'Annual Raw'!G52</f>
        <v>0</v>
      </c>
      <c r="G159" s="23">
        <f>'Annual Raw'!H52</f>
        <v>0</v>
      </c>
      <c r="H159" s="23">
        <f>'Annual Raw'!I52</f>
        <v>0</v>
      </c>
      <c r="I159" s="23">
        <f>'Annual Raw'!J52</f>
        <v>0</v>
      </c>
      <c r="J159" s="23">
        <f>'Annual Raw'!K52</f>
        <v>0</v>
      </c>
      <c r="K159" s="23">
        <f>'Annual Raw'!L52</f>
        <v>0</v>
      </c>
      <c r="L159" s="23">
        <f>'Annual Raw'!M52</f>
        <v>6.8635000000000002</v>
      </c>
      <c r="M159" s="23">
        <f>'Annual Raw'!N52</f>
        <v>6.8874000000000004</v>
      </c>
      <c r="N159" s="23">
        <f>'Annual Raw'!O52</f>
        <v>5.0576999999999996</v>
      </c>
      <c r="O159" s="23">
        <f>'Annual Raw'!P52</f>
        <v>75.690399999999997</v>
      </c>
      <c r="P159" s="23">
        <f>'Annual Raw'!Q52</f>
        <v>95.500299999999996</v>
      </c>
      <c r="Q159" s="23">
        <f>'Annual Raw'!R52</f>
        <v>148.09899999999999</v>
      </c>
      <c r="R159" s="23">
        <f>'Annual Raw'!S52</f>
        <v>25.971399999999999</v>
      </c>
      <c r="S159" s="23">
        <f>'Annual Raw'!T52</f>
        <v>18.851700000000001</v>
      </c>
      <c r="T159" s="23">
        <f>'Annual Raw'!U52</f>
        <v>12.421200000000001</v>
      </c>
      <c r="U159" s="23">
        <f>'Annual Raw'!V52</f>
        <v>36.559800000000003</v>
      </c>
      <c r="V159" s="23">
        <f>'Annual Raw'!W52</f>
        <v>39.6</v>
      </c>
      <c r="W159" s="23">
        <f>'Annual Raw'!X52</f>
        <v>39.761699999999998</v>
      </c>
      <c r="X159" s="23">
        <f>'Annual Raw'!Y52</f>
        <v>45.453200000000002</v>
      </c>
      <c r="Y159" s="23">
        <f>'Annual Raw'!Z52</f>
        <v>54.1999</v>
      </c>
      <c r="Z159" s="23">
        <f>'Annual Raw'!AA52</f>
        <v>56.753100000000003</v>
      </c>
      <c r="AA159" s="23">
        <f>'Annual Raw'!AB52</f>
        <v>60.486699999999999</v>
      </c>
      <c r="AB159" s="24">
        <f t="shared" si="1249"/>
        <v>0</v>
      </c>
      <c r="AC159" s="24">
        <f t="shared" si="1250"/>
        <v>0</v>
      </c>
      <c r="AD159" s="24">
        <f t="shared" si="1251"/>
        <v>0</v>
      </c>
      <c r="AE159" s="24">
        <f t="shared" si="1252"/>
        <v>0</v>
      </c>
      <c r="AJ159" s="23">
        <f>+'QTR Raw'!D66</f>
        <v>7.3780000000000001</v>
      </c>
      <c r="AK159" s="23">
        <f t="shared" si="1253"/>
        <v>7.3780000000000001</v>
      </c>
      <c r="AL159" s="23">
        <f>+'QTR Raw'!F66</f>
        <v>5.0579999999999998</v>
      </c>
      <c r="AM159" s="23">
        <f t="shared" si="1253"/>
        <v>5.0579999999999998</v>
      </c>
      <c r="AN159" s="23">
        <f>+'QTR Raw'!H66</f>
        <v>5.1120000000000001</v>
      </c>
      <c r="AO159" s="23">
        <f t="shared" si="1253"/>
        <v>5.1120000000000001</v>
      </c>
      <c r="AP159" s="23">
        <f>+'QTR Raw'!J66</f>
        <v>5.1130000000000004</v>
      </c>
      <c r="AQ159" s="23">
        <f t="shared" si="1253"/>
        <v>5.1130000000000004</v>
      </c>
      <c r="AR159" s="23">
        <f>+'QTR Raw'!L66</f>
        <v>6.0279999999999996</v>
      </c>
      <c r="AS159" s="23">
        <f t="shared" si="1253"/>
        <v>6.0279999999999996</v>
      </c>
      <c r="AT159" s="23">
        <f>+'QTR Raw'!N66</f>
        <v>10.765000000000001</v>
      </c>
      <c r="AU159" s="23">
        <f t="shared" si="1253"/>
        <v>10.765000000000001</v>
      </c>
      <c r="AV159" s="23">
        <f>+'QTR Raw'!P66</f>
        <v>11.802</v>
      </c>
      <c r="AW159" s="23">
        <f t="shared" si="1253"/>
        <v>11.802</v>
      </c>
      <c r="AX159" s="23">
        <f>+'QTR Raw'!R66</f>
        <v>18.242999999999999</v>
      </c>
      <c r="AY159" s="23">
        <f t="shared" si="1253"/>
        <v>18.242999999999999</v>
      </c>
      <c r="AZ159" s="23">
        <f>+'QTR Raw'!T66</f>
        <v>19.161999999999999</v>
      </c>
      <c r="BA159" s="23">
        <f t="shared" si="1253"/>
        <v>19.161999999999999</v>
      </c>
      <c r="BB159" s="23">
        <f>+'QTR Raw'!V66</f>
        <v>15.881</v>
      </c>
      <c r="BC159" s="23">
        <f t="shared" si="1253"/>
        <v>15.881</v>
      </c>
      <c r="BD159" s="23">
        <f>+'QTR Raw'!X66</f>
        <v>16.146999999999998</v>
      </c>
      <c r="BE159" s="23">
        <f t="shared" si="1253"/>
        <v>16.146999999999998</v>
      </c>
      <c r="BF159" s="23">
        <f>+'QTR Raw'!Z66</f>
        <v>9.7330000000000005</v>
      </c>
      <c r="BG159" s="23">
        <f t="shared" si="1253"/>
        <v>9.7330000000000005</v>
      </c>
      <c r="BH159" s="23">
        <f>+'QTR Raw'!AB66</f>
        <v>10.906000000000001</v>
      </c>
      <c r="BI159" s="23">
        <f t="shared" si="1253"/>
        <v>10.906000000000001</v>
      </c>
      <c r="BJ159" s="23">
        <f>+'QTR Raw'!AD66</f>
        <v>12.420999999999999</v>
      </c>
      <c r="BK159" s="23">
        <f t="shared" si="1253"/>
        <v>12.420999999999999</v>
      </c>
      <c r="BL159" s="23">
        <f>+'QTR Raw'!AF66</f>
        <v>37.320999999999998</v>
      </c>
      <c r="BM159" s="23">
        <f t="shared" si="1253"/>
        <v>37.320999999999998</v>
      </c>
      <c r="BN159" s="23">
        <f>+'QTR Raw'!AH66</f>
        <v>36.56</v>
      </c>
      <c r="BO159" s="23">
        <f t="shared" si="1253"/>
        <v>36.56</v>
      </c>
      <c r="BP159" s="23">
        <f>+'QTR Raw'!AJ66</f>
        <v>38.54</v>
      </c>
      <c r="BQ159" s="23">
        <f t="shared" si="1253"/>
        <v>38.54</v>
      </c>
      <c r="BR159" s="23">
        <f>+'QTR Raw'!AL66</f>
        <v>39.6</v>
      </c>
      <c r="BS159" s="23">
        <f t="shared" si="1253"/>
        <v>39.6</v>
      </c>
      <c r="BT159" s="23">
        <f>+'QTR Raw'!AN66</f>
        <v>41.392000000000003</v>
      </c>
      <c r="BU159" s="23">
        <f t="shared" si="1253"/>
        <v>41.392000000000003</v>
      </c>
      <c r="BV159" s="23">
        <f>+'QTR Raw'!AP66</f>
        <v>39.762</v>
      </c>
      <c r="BW159" s="23">
        <f t="shared" si="1253"/>
        <v>39.762</v>
      </c>
      <c r="BX159" s="23">
        <f>+'QTR Raw'!AR66</f>
        <v>40.488</v>
      </c>
      <c r="BY159" s="23">
        <f t="shared" si="1253"/>
        <v>40.488</v>
      </c>
      <c r="BZ159" s="23">
        <f>+'QTR Raw'!AT66</f>
        <v>45.453000000000003</v>
      </c>
      <c r="CA159" s="23">
        <f t="shared" si="1253"/>
        <v>45.453000000000003</v>
      </c>
      <c r="CB159" s="23">
        <f>+'QTR Raw'!AV66</f>
        <v>56.2</v>
      </c>
      <c r="CC159" s="23">
        <f t="shared" si="1253"/>
        <v>56.2</v>
      </c>
      <c r="CD159" s="23">
        <f>+'QTR Raw'!AX66</f>
        <v>54.2</v>
      </c>
      <c r="CE159" s="23">
        <f t="shared" si="1253"/>
        <v>54.2</v>
      </c>
      <c r="CF159" s="23">
        <f>+'QTR Raw'!AZ66</f>
        <v>56.052999999999997</v>
      </c>
      <c r="CG159" s="23">
        <f t="shared" si="1254"/>
        <v>56.052999999999997</v>
      </c>
      <c r="CH159" s="23">
        <f t="shared" si="1207"/>
        <v>56.753100000000003</v>
      </c>
      <c r="CJ159" s="23">
        <f>+'QTR Raw'!BD66</f>
        <v>58.872999999999998</v>
      </c>
      <c r="CL159" s="23">
        <f>+'QTR Raw'!BF66</f>
        <v>60.487000000000002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60.487000000000002</v>
      </c>
    </row>
    <row r="160" spans="1:110" s="23" customFormat="1" outlineLevel="1" x14ac:dyDescent="0.2">
      <c r="A160" s="23" t="s">
        <v>69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>
        <v>0</v>
      </c>
      <c r="AB160" s="24">
        <f t="shared" si="1249"/>
        <v>900.39821018754014</v>
      </c>
      <c r="AC160" s="24">
        <f t="shared" si="1250"/>
        <v>1006.169581793167</v>
      </c>
      <c r="AD160" s="24">
        <f t="shared" si="1251"/>
        <v>1067.70813209832</v>
      </c>
      <c r="AE160" s="24">
        <f t="shared" si="1252"/>
        <v>1090.61124628946</v>
      </c>
      <c r="AJ160" s="23">
        <f>+'QTR Raw'!D87</f>
        <v>95.930999999999997</v>
      </c>
      <c r="AK160" s="23">
        <f t="shared" si="1253"/>
        <v>95.930999999999997</v>
      </c>
      <c r="AL160" s="23">
        <f>+'QTR Raw'!F87</f>
        <v>0</v>
      </c>
      <c r="AM160" s="23">
        <f t="shared" si="1253"/>
        <v>0</v>
      </c>
      <c r="AN160" s="23">
        <f>+'QTR Raw'!H87</f>
        <v>0</v>
      </c>
      <c r="AO160" s="23">
        <f t="shared" si="1253"/>
        <v>0</v>
      </c>
      <c r="AP160" s="23">
        <f>+'QTR Raw'!J87</f>
        <v>0</v>
      </c>
      <c r="AQ160" s="23">
        <f t="shared" si="1253"/>
        <v>0</v>
      </c>
      <c r="AR160" s="23">
        <f>+'QTR Raw'!L87</f>
        <v>0</v>
      </c>
      <c r="AS160" s="23">
        <f t="shared" si="1253"/>
        <v>0</v>
      </c>
      <c r="AT160" s="23">
        <f>+'QTR Raw'!N87</f>
        <v>0</v>
      </c>
      <c r="AU160" s="23">
        <f t="shared" si="1253"/>
        <v>0</v>
      </c>
      <c r="AV160" s="23">
        <f>+'QTR Raw'!P87</f>
        <v>0</v>
      </c>
      <c r="AW160" s="23">
        <f t="shared" si="1253"/>
        <v>0</v>
      </c>
      <c r="AX160" s="23">
        <f>+'QTR Raw'!R87</f>
        <v>0</v>
      </c>
      <c r="AY160" s="23">
        <f t="shared" si="1253"/>
        <v>0</v>
      </c>
      <c r="AZ160" s="23">
        <f>+'QTR Raw'!T87</f>
        <v>0</v>
      </c>
      <c r="BA160" s="23">
        <f t="shared" si="1253"/>
        <v>0</v>
      </c>
      <c r="BB160" s="23">
        <f>+'QTR Raw'!V87</f>
        <v>0</v>
      </c>
      <c r="BC160" s="23">
        <f t="shared" si="1253"/>
        <v>0</v>
      </c>
      <c r="BD160" s="23">
        <f>+'QTR Raw'!X87</f>
        <v>0</v>
      </c>
      <c r="BE160" s="23">
        <f t="shared" si="1253"/>
        <v>0</v>
      </c>
      <c r="BF160" s="23">
        <f>+'QTR Raw'!Z87</f>
        <v>0</v>
      </c>
      <c r="BG160" s="23">
        <f t="shared" si="1253"/>
        <v>0</v>
      </c>
      <c r="BH160" s="23">
        <f>+'QTR Raw'!AB87</f>
        <v>0</v>
      </c>
      <c r="BI160" s="23">
        <f t="shared" si="1253"/>
        <v>0</v>
      </c>
      <c r="BJ160" s="23">
        <f>+'QTR Raw'!AD87</f>
        <v>0</v>
      </c>
      <c r="BK160" s="23">
        <f t="shared" si="1253"/>
        <v>0</v>
      </c>
      <c r="BL160" s="23">
        <f>+'QTR Raw'!AF87</f>
        <v>0</v>
      </c>
      <c r="BM160" s="23">
        <f t="shared" si="1253"/>
        <v>0</v>
      </c>
      <c r="BN160" s="23">
        <f>+'QTR Raw'!AH87</f>
        <v>0</v>
      </c>
      <c r="BO160" s="23">
        <f t="shared" si="1253"/>
        <v>0</v>
      </c>
      <c r="BP160" s="23">
        <f>+'QTR Raw'!AJ87</f>
        <v>0</v>
      </c>
      <c r="BQ160" s="23">
        <f t="shared" si="1253"/>
        <v>0</v>
      </c>
      <c r="BR160" s="23">
        <f>+'QTR Raw'!AL87</f>
        <v>0</v>
      </c>
      <c r="BS160" s="23">
        <f t="shared" si="1253"/>
        <v>0</v>
      </c>
      <c r="BT160" s="23">
        <f>+'QTR Raw'!AN87</f>
        <v>0</v>
      </c>
      <c r="BU160" s="23">
        <f t="shared" si="1253"/>
        <v>0</v>
      </c>
      <c r="BV160" s="23">
        <f>+'QTR Raw'!AP87</f>
        <v>0</v>
      </c>
      <c r="BW160" s="23">
        <f t="shared" si="1253"/>
        <v>0</v>
      </c>
      <c r="BX160" s="23">
        <f>+'QTR Raw'!AR87</f>
        <v>0</v>
      </c>
      <c r="BY160" s="23">
        <f t="shared" si="1253"/>
        <v>0</v>
      </c>
      <c r="BZ160" s="23">
        <f>+'QTR Raw'!AT87</f>
        <v>0</v>
      </c>
      <c r="CA160" s="23">
        <f t="shared" si="1253"/>
        <v>0</v>
      </c>
      <c r="CB160" s="23">
        <f>+'QTR Raw'!AV87</f>
        <v>0</v>
      </c>
      <c r="CC160" s="23">
        <f t="shared" si="1253"/>
        <v>0</v>
      </c>
      <c r="CD160" s="23">
        <f>+'QTR Raw'!AX87</f>
        <v>0</v>
      </c>
      <c r="CE160" s="23">
        <f t="shared" si="1253"/>
        <v>0</v>
      </c>
      <c r="CF160" s="23">
        <f>+'QTR Raw'!AZ87</f>
        <v>0</v>
      </c>
      <c r="CG160" s="23">
        <f t="shared" si="1254"/>
        <v>0</v>
      </c>
      <c r="CH160" s="23">
        <f t="shared" si="1207"/>
        <v>0</v>
      </c>
      <c r="CI160" s="23">
        <f>CI18/90*CI192</f>
        <v>591.96321294322809</v>
      </c>
      <c r="CJ160" s="23">
        <f>+'QTR Raw'!BD87</f>
        <v>0</v>
      </c>
      <c r="CK160" s="23">
        <f t="shared" ref="CK160:DB160" si="1255">CK18/90*CK192</f>
        <v>668.22689650823122</v>
      </c>
      <c r="CL160" s="23">
        <f>+'QTR Raw'!BF87</f>
        <v>0</v>
      </c>
      <c r="CM160" s="24">
        <f t="shared" si="1255"/>
        <v>791.59719766121259</v>
      </c>
      <c r="CN160" s="24">
        <f t="shared" si="1255"/>
        <v>830.60819262136681</v>
      </c>
      <c r="CO160" s="24">
        <f t="shared" si="1255"/>
        <v>868.91634536909851</v>
      </c>
      <c r="CP160" s="24">
        <f t="shared" si="1255"/>
        <v>900.39821018754014</v>
      </c>
      <c r="CQ160" s="24">
        <f t="shared" si="1255"/>
        <v>907.43720296505057</v>
      </c>
      <c r="CR160" s="24">
        <f t="shared" si="1255"/>
        <v>943.3729129957735</v>
      </c>
      <c r="CS160" s="24">
        <f t="shared" si="1255"/>
        <v>976.51527606449042</v>
      </c>
      <c r="CT160" s="24">
        <f t="shared" si="1255"/>
        <v>1006.169581793167</v>
      </c>
      <c r="CU160" s="24">
        <f t="shared" si="1255"/>
        <v>1018.2791303649733</v>
      </c>
      <c r="CV160" s="24">
        <f t="shared" si="1255"/>
        <v>1035.7755332113688</v>
      </c>
      <c r="CW160" s="24">
        <f t="shared" si="1255"/>
        <v>1052.0675056063399</v>
      </c>
      <c r="CX160" s="24">
        <f t="shared" si="1255"/>
        <v>1067.70813209832</v>
      </c>
      <c r="CY160" s="24">
        <f t="shared" si="1255"/>
        <v>1062.2924114015154</v>
      </c>
      <c r="CZ160" s="24">
        <f t="shared" si="1255"/>
        <v>1073.4217263451355</v>
      </c>
      <c r="DA160" s="24">
        <f t="shared" si="1255"/>
        <v>1082.8995105849147</v>
      </c>
      <c r="DB160" s="24">
        <f t="shared" si="1255"/>
        <v>1090.61124628946</v>
      </c>
      <c r="DE160" s="123"/>
      <c r="DF160" s="23">
        <v>665.08751875132964</v>
      </c>
    </row>
    <row r="161" spans="1:110" s="23" customFormat="1" outlineLevel="1" x14ac:dyDescent="0.2">
      <c r="A161" s="23" t="s">
        <v>70</v>
      </c>
      <c r="B161" s="23">
        <f>'Annual Raw'!C54</f>
        <v>18.534199999999998</v>
      </c>
      <c r="C161" s="23">
        <f>'Annual Raw'!D54</f>
        <v>18.8398</v>
      </c>
      <c r="D161" s="23">
        <f>'Annual Raw'!E54</f>
        <v>8.3466000000000005</v>
      </c>
      <c r="E161" s="23">
        <f>'Annual Raw'!F54</f>
        <v>17.262799999999999</v>
      </c>
      <c r="F161" s="23">
        <f>'Annual Raw'!G54</f>
        <v>19.7395</v>
      </c>
      <c r="G161" s="23">
        <f>'Annual Raw'!H54</f>
        <v>31.522500000000001</v>
      </c>
      <c r="H161" s="23">
        <f>'Annual Raw'!I54</f>
        <v>34.316800000000001</v>
      </c>
      <c r="I161" s="23">
        <f>'Annual Raw'!J54</f>
        <v>34.3977</v>
      </c>
      <c r="J161" s="23">
        <f>'Annual Raw'!K54</f>
        <v>34.81</v>
      </c>
      <c r="K161" s="23">
        <f>'Annual Raw'!L54</f>
        <v>39.432499999999997</v>
      </c>
      <c r="L161" s="23">
        <f>'Annual Raw'!M54</f>
        <v>41.029400000000003</v>
      </c>
      <c r="M161" s="23">
        <f>'Annual Raw'!N54</f>
        <v>46.581499999999998</v>
      </c>
      <c r="N161" s="23">
        <f>'Annual Raw'!O54</f>
        <v>53.188699999999997</v>
      </c>
      <c r="O161" s="23">
        <f>'Annual Raw'!P54</f>
        <v>64.224199999999996</v>
      </c>
      <c r="P161" s="23">
        <f>'Annual Raw'!Q54</f>
        <v>66.151300000000006</v>
      </c>
      <c r="Q161" s="23">
        <f>'Annual Raw'!R54</f>
        <v>76.529200000000003</v>
      </c>
      <c r="R161" s="23">
        <f>'Annual Raw'!S54</f>
        <v>46.4771</v>
      </c>
      <c r="S161" s="23">
        <f>'Annual Raw'!T54</f>
        <v>44.9893</v>
      </c>
      <c r="T161" s="23">
        <f>'Annual Raw'!U54</f>
        <v>55.4953</v>
      </c>
      <c r="U161" s="23">
        <f>'Annual Raw'!V54</f>
        <v>47.131999999999998</v>
      </c>
      <c r="V161" s="23">
        <f>'Annual Raw'!W54</f>
        <v>56.130699999999997</v>
      </c>
      <c r="W161" s="23">
        <f>'Annual Raw'!X54</f>
        <v>84.296700000000001</v>
      </c>
      <c r="X161" s="23">
        <f>'Annual Raw'!Y54</f>
        <v>103.1703</v>
      </c>
      <c r="Y161" s="23">
        <f>'Annual Raw'!Z54</f>
        <v>85.638999999999996</v>
      </c>
      <c r="Z161" s="23">
        <f>'Annual Raw'!AA54</f>
        <v>123.00920000000001</v>
      </c>
      <c r="AA161" s="23">
        <f>'Annual Raw'!AB54</f>
        <v>120.3477</v>
      </c>
      <c r="AB161" s="24">
        <f t="shared" si="1249"/>
        <v>135.30747142683228</v>
      </c>
      <c r="AC161" s="24">
        <f t="shared" si="1250"/>
        <v>151.20227961211768</v>
      </c>
      <c r="AD161" s="24">
        <f t="shared" si="1251"/>
        <v>160.44999417091145</v>
      </c>
      <c r="AE161" s="24">
        <f t="shared" si="1252"/>
        <v>163.8917629726927</v>
      </c>
      <c r="AJ161" s="23">
        <f>+'QTR Raw'!D89</f>
        <v>0</v>
      </c>
      <c r="AK161" s="23">
        <f>+AK191*AK18/90</f>
        <v>0</v>
      </c>
      <c r="AL161" s="23">
        <f>+'QTR Raw'!F89</f>
        <v>53.189</v>
      </c>
      <c r="AM161" s="23">
        <f>+AM191*AM18/90</f>
        <v>56.359211763914047</v>
      </c>
      <c r="AN161" s="23">
        <f>+'QTR Raw'!H89</f>
        <v>60.351999999999997</v>
      </c>
      <c r="AO161" s="23">
        <f>+AO191*AO18/90</f>
        <v>63.191851176501544</v>
      </c>
      <c r="AP161" s="23">
        <f>+'QTR Raw'!J89</f>
        <v>64.224000000000004</v>
      </c>
      <c r="AQ161" s="23">
        <f>+AQ191*AQ18/90</f>
        <v>57.919378968319634</v>
      </c>
      <c r="AR161" s="23">
        <f>+'QTR Raw'!L89</f>
        <v>51.055999999999997</v>
      </c>
      <c r="AS161" s="23">
        <f>+AS191*AS18/90</f>
        <v>54.486135523574063</v>
      </c>
      <c r="AT161" s="23">
        <f>+'QTR Raw'!N89</f>
        <v>66.150999999999996</v>
      </c>
      <c r="AU161" s="23">
        <f>+AU191*AU18/90</f>
        <v>69.653391060896922</v>
      </c>
      <c r="AV161" s="23">
        <f>+'QTR Raw'!P89</f>
        <v>64.98</v>
      </c>
      <c r="AW161" s="23">
        <f>+AW191*AW18/90</f>
        <v>67.228907675852824</v>
      </c>
      <c r="AX161" s="23">
        <f>+'QTR Raw'!R89</f>
        <v>76.528999999999996</v>
      </c>
      <c r="AY161" s="23">
        <f>+AY191*AY18/90</f>
        <v>76.429027433050294</v>
      </c>
      <c r="AZ161" s="23">
        <f>+'QTR Raw'!T89</f>
        <v>68.561999999999998</v>
      </c>
      <c r="BA161" s="23">
        <f>+BA191*BA18/90</f>
        <v>69.920312703390323</v>
      </c>
      <c r="BB161" s="23">
        <f>+'QTR Raw'!V89</f>
        <v>46.476999999999997</v>
      </c>
      <c r="BC161" s="23">
        <f>+BC191*BC18/90</f>
        <v>45.941585733202444</v>
      </c>
      <c r="BD161" s="23">
        <f>+'QTR Raw'!X89</f>
        <v>43.451999999999998</v>
      </c>
      <c r="BE161" s="23">
        <f>+BE191*BE18/90</f>
        <v>43.469525371616292</v>
      </c>
      <c r="BF161" s="23">
        <f>+'QTR Raw'!Z89</f>
        <v>44.988999999999997</v>
      </c>
      <c r="BG161" s="23">
        <f>+BG191*BG18/90</f>
        <v>45.787084456651471</v>
      </c>
      <c r="BH161" s="23">
        <f>+'QTR Raw'!AB89</f>
        <v>49.869</v>
      </c>
      <c r="BI161" s="23">
        <f>+BI191*BI18/90</f>
        <v>48.936457227695243</v>
      </c>
      <c r="BJ161" s="23">
        <f>+'QTR Raw'!AD89</f>
        <v>55.494999999999997</v>
      </c>
      <c r="BK161" s="23">
        <f>+BK191*BK18/90</f>
        <v>49.397733730103866</v>
      </c>
      <c r="BL161" s="23">
        <f>+'QTR Raw'!AF89</f>
        <v>45.694000000000003</v>
      </c>
      <c r="BM161" s="23">
        <f>+BM191*BM18/90</f>
        <v>50.148320288626763</v>
      </c>
      <c r="BN161" s="23">
        <f>+'QTR Raw'!AH89</f>
        <v>47.131999999999998</v>
      </c>
      <c r="BO161" s="23">
        <f>+BO191*BO18/90</f>
        <v>43.008533934857653</v>
      </c>
      <c r="BP161" s="23">
        <f>+'QTR Raw'!AJ89</f>
        <v>42.793999999999997</v>
      </c>
      <c r="BQ161" s="23">
        <f>+BQ191*BQ18/90</f>
        <v>47.461380072016524</v>
      </c>
      <c r="BR161" s="23">
        <f>+'QTR Raw'!AL89</f>
        <v>56.131</v>
      </c>
      <c r="BS161" s="23">
        <f>+BS191*BS18/90</f>
        <v>60.453466840021925</v>
      </c>
      <c r="BT161" s="23">
        <f>+'QTR Raw'!AN89</f>
        <v>61.335000000000001</v>
      </c>
      <c r="BU161" s="23">
        <f>+BU191*BU18/90</f>
        <v>65.285044429065508</v>
      </c>
      <c r="BV161" s="23">
        <f>+'QTR Raw'!AP89</f>
        <v>84.296000000000006</v>
      </c>
      <c r="BW161" s="23">
        <f>+BW191*BW18/90</f>
        <v>89.755080967936408</v>
      </c>
      <c r="BX161" s="23">
        <f>+'QTR Raw'!AR89</f>
        <v>88.677999999999997</v>
      </c>
      <c r="BY161" s="23">
        <f>+BY191*BY18/90</f>
        <v>95.019089763630944</v>
      </c>
      <c r="BZ161" s="23">
        <f>+'QTR Raw'!AT89</f>
        <v>103.17100000000001</v>
      </c>
      <c r="CA161" s="23">
        <f>+CA191*CA18/90</f>
        <v>104.69187095665458</v>
      </c>
      <c r="CB161" s="23">
        <f>+'QTR Raw'!AV89</f>
        <v>96.622</v>
      </c>
      <c r="CC161" s="23">
        <f>+CC191*CC18/90</f>
        <v>100.18738947576155</v>
      </c>
      <c r="CD161" s="23">
        <f>+'QTR Raw'!AX89</f>
        <v>85.638999999999996</v>
      </c>
      <c r="CE161" s="23">
        <f>+CE191*CE18/90</f>
        <v>87.578004074207755</v>
      </c>
      <c r="CF161" s="23">
        <f>+'QTR Raw'!AZ89</f>
        <v>112.672</v>
      </c>
      <c r="CG161" s="23">
        <f>+CG191*CG18/90</f>
        <v>110.79449904197109</v>
      </c>
      <c r="CH161" s="23">
        <f t="shared" si="1207"/>
        <v>123.00920000000001</v>
      </c>
      <c r="CI161" s="23">
        <f>+CI191*CI18/90</f>
        <v>120.80993738352328</v>
      </c>
      <c r="CJ161" s="23">
        <f>+'QTR Raw'!BD89</f>
        <v>109.71</v>
      </c>
      <c r="CK161" s="23">
        <f t="shared" ref="CK161:DB161" si="1256">+CK191*CK18/90</f>
        <v>113.93683113640969</v>
      </c>
      <c r="CL161" s="23">
        <f>+'QTR Raw'!BF89</f>
        <v>120.348</v>
      </c>
      <c r="CM161" s="24">
        <f t="shared" si="1256"/>
        <v>118.95738351345206</v>
      </c>
      <c r="CN161" s="24">
        <f t="shared" si="1256"/>
        <v>124.81976643045491</v>
      </c>
      <c r="CO161" s="24">
        <f t="shared" si="1256"/>
        <v>130.57652963220406</v>
      </c>
      <c r="CP161" s="24">
        <f t="shared" si="1256"/>
        <v>135.30747142683228</v>
      </c>
      <c r="CQ161" s="24">
        <f t="shared" si="1256"/>
        <v>136.36525708582232</v>
      </c>
      <c r="CR161" s="24">
        <f t="shared" si="1256"/>
        <v>141.76550111470837</v>
      </c>
      <c r="CS161" s="24">
        <f t="shared" si="1256"/>
        <v>146.74597452436129</v>
      </c>
      <c r="CT161" s="24">
        <f t="shared" si="1256"/>
        <v>151.20227961211768</v>
      </c>
      <c r="CU161" s="24">
        <f t="shared" si="1256"/>
        <v>153.02204377738653</v>
      </c>
      <c r="CV161" s="24">
        <f t="shared" si="1256"/>
        <v>155.65131824886504</v>
      </c>
      <c r="CW161" s="24">
        <f t="shared" si="1256"/>
        <v>158.09959675983646</v>
      </c>
      <c r="CX161" s="24">
        <f t="shared" si="1256"/>
        <v>160.44999417091145</v>
      </c>
      <c r="CY161" s="24">
        <f t="shared" si="1256"/>
        <v>159.63614595892315</v>
      </c>
      <c r="CZ161" s="24">
        <f t="shared" si="1256"/>
        <v>161.3086053737641</v>
      </c>
      <c r="DA161" s="24">
        <f t="shared" si="1256"/>
        <v>162.7328807729194</v>
      </c>
      <c r="DB161" s="24">
        <f t="shared" si="1256"/>
        <v>163.8917629726927</v>
      </c>
      <c r="DE161" s="123"/>
      <c r="DF161" s="23">
        <v>113.40154775402779</v>
      </c>
    </row>
    <row r="162" spans="1:110" s="23" customFormat="1" outlineLevel="1" x14ac:dyDescent="0.2">
      <c r="A162" s="23" t="s">
        <v>71</v>
      </c>
      <c r="B162" s="23">
        <f>'Annual Raw'!C55-Template!B134</f>
        <v>4.1201999999999996</v>
      </c>
      <c r="C162" s="23">
        <f>'Annual Raw'!D55-Template!C134</f>
        <v>3.6358999999999999</v>
      </c>
      <c r="D162" s="23">
        <f>'Annual Raw'!E55-Template!D134</f>
        <v>1.728</v>
      </c>
      <c r="E162" s="23">
        <f>'Annual Raw'!F55-Template!E134</f>
        <v>2.9559000000000002</v>
      </c>
      <c r="F162" s="23">
        <f>'Annual Raw'!G55-Template!F134</f>
        <v>6.3772000000000002</v>
      </c>
      <c r="G162" s="23">
        <f>'Annual Raw'!H55-Template!G134</f>
        <v>5.9389000000000003</v>
      </c>
      <c r="H162" s="23">
        <f>'Annual Raw'!I55-Template!H134</f>
        <v>14.414400000000001</v>
      </c>
      <c r="I162" s="23">
        <f>'Annual Raw'!J55-Template!I134</f>
        <v>10.367599999999999</v>
      </c>
      <c r="J162" s="23">
        <f>'Annual Raw'!K55-Template!J134</f>
        <v>10.054399999999999</v>
      </c>
      <c r="K162" s="23">
        <f>'Annual Raw'!L55-Template!K134</f>
        <v>9.3734999999999999</v>
      </c>
      <c r="L162" s="23">
        <f>'Annual Raw'!M55-Template!L134</f>
        <v>18.9648</v>
      </c>
      <c r="M162" s="23">
        <f>'Annual Raw'!N55-Template!M134</f>
        <v>25.2807</v>
      </c>
      <c r="N162" s="23">
        <f>'Annual Raw'!O55-Template!N134</f>
        <v>29.845600000000001</v>
      </c>
      <c r="O162" s="23">
        <f>'Annual Raw'!P55-Template!O134</f>
        <v>35.207799999999999</v>
      </c>
      <c r="P162" s="23">
        <f>'Annual Raw'!Q55-Template!P134</f>
        <v>47.784999999999997</v>
      </c>
      <c r="Q162" s="23">
        <f>'Annual Raw'!R55-Template!Q134</f>
        <v>48.5184</v>
      </c>
      <c r="R162" s="23">
        <f>'Annual Raw'!S55-Template!R134</f>
        <v>68.8934</v>
      </c>
      <c r="S162" s="23">
        <f>'Annual Raw'!T55-Template!S134</f>
        <v>115.67140000000001</v>
      </c>
      <c r="T162" s="23">
        <f>'Annual Raw'!U55-Template!T134</f>
        <v>106.80710000000001</v>
      </c>
      <c r="U162" s="23">
        <f>'Annual Raw'!V55-Template!U134</f>
        <v>136.4494</v>
      </c>
      <c r="V162" s="23">
        <f>'Annual Raw'!W55-Template!V134</f>
        <v>149.40450000000001</v>
      </c>
      <c r="W162" s="23">
        <f>'Annual Raw'!X55-Template!W134</f>
        <v>277.96080000000001</v>
      </c>
      <c r="X162" s="23">
        <f>'Annual Raw'!Y55-Template!X134</f>
        <v>304.29669999999999</v>
      </c>
      <c r="Y162" s="23">
        <f>'Annual Raw'!Z55-Template!Y134</f>
        <v>267.13010000000003</v>
      </c>
      <c r="Z162" s="23">
        <f>'Annual Raw'!AA55-Template!Z134</f>
        <v>270.71890000000002</v>
      </c>
      <c r="AA162" s="23">
        <f>'Annual Raw'!AB55-Template!AA134</f>
        <v>376.91989999999998</v>
      </c>
      <c r="AB162" s="24">
        <f t="shared" si="1249"/>
        <v>0</v>
      </c>
      <c r="AC162" s="24">
        <f t="shared" si="1250"/>
        <v>0</v>
      </c>
      <c r="AD162" s="24">
        <f t="shared" si="1251"/>
        <v>0</v>
      </c>
      <c r="AE162" s="24">
        <f t="shared" si="1252"/>
        <v>0</v>
      </c>
      <c r="AJ162" s="23">
        <f>+'QTR Raw'!D91</f>
        <v>0</v>
      </c>
      <c r="AK162" s="23">
        <f t="shared" si="1253"/>
        <v>0</v>
      </c>
      <c r="AL162" s="23">
        <f>+'QTR Raw'!F91</f>
        <v>29.846</v>
      </c>
      <c r="AM162" s="23">
        <f t="shared" si="1253"/>
        <v>29.846</v>
      </c>
      <c r="AN162" s="23">
        <f>+'QTR Raw'!H91</f>
        <v>36.149000000000001</v>
      </c>
      <c r="AO162" s="23">
        <f t="shared" si="1253"/>
        <v>36.149000000000001</v>
      </c>
      <c r="AP162" s="23">
        <f>+'QTR Raw'!J91</f>
        <v>35.207999999999998</v>
      </c>
      <c r="AQ162" s="23">
        <f t="shared" si="1253"/>
        <v>35.207999999999998</v>
      </c>
      <c r="AR162" s="23">
        <f>+'QTR Raw'!L91</f>
        <v>34.768000000000001</v>
      </c>
      <c r="AS162" s="23">
        <f t="shared" si="1253"/>
        <v>34.768000000000001</v>
      </c>
      <c r="AT162" s="23">
        <f>+'QTR Raw'!N91</f>
        <v>47.784999999999997</v>
      </c>
      <c r="AU162" s="23">
        <f t="shared" si="1253"/>
        <v>47.784999999999997</v>
      </c>
      <c r="AV162" s="23">
        <f>+'QTR Raw'!P91</f>
        <v>50.564</v>
      </c>
      <c r="AW162" s="23">
        <f t="shared" si="1253"/>
        <v>50.564</v>
      </c>
      <c r="AX162" s="23">
        <f>+'QTR Raw'!R91</f>
        <v>48.518999999999998</v>
      </c>
      <c r="AY162" s="23">
        <f t="shared" si="1253"/>
        <v>48.518999999999998</v>
      </c>
      <c r="AZ162" s="23">
        <f>+'QTR Raw'!T91</f>
        <v>56.415999999999997</v>
      </c>
      <c r="BA162" s="23">
        <f t="shared" si="1253"/>
        <v>56.415999999999997</v>
      </c>
      <c r="BB162" s="23">
        <f>+'QTR Raw'!V91</f>
        <v>78.713999999999999</v>
      </c>
      <c r="BC162" s="23">
        <f t="shared" si="1253"/>
        <v>78.713999999999999</v>
      </c>
      <c r="BD162" s="23">
        <f>+'QTR Raw'!X91</f>
        <v>100.98699999999999</v>
      </c>
      <c r="BE162" s="23">
        <f t="shared" si="1253"/>
        <v>100.98699999999999</v>
      </c>
      <c r="BF162" s="23">
        <f>+'QTR Raw'!Z91</f>
        <v>135.81</v>
      </c>
      <c r="BG162" s="23">
        <f t="shared" si="1253"/>
        <v>135.81</v>
      </c>
      <c r="BH162" s="23">
        <f>+'QTR Raw'!AB91</f>
        <v>143.05199999999999</v>
      </c>
      <c r="BI162" s="23">
        <f t="shared" si="1253"/>
        <v>143.05199999999999</v>
      </c>
      <c r="BJ162" s="23">
        <f>+'QTR Raw'!AD91</f>
        <v>124.366</v>
      </c>
      <c r="BK162" s="23">
        <f t="shared" si="1253"/>
        <v>124.366</v>
      </c>
      <c r="BL162" s="23">
        <f>+'QTR Raw'!AF91</f>
        <v>102.014</v>
      </c>
      <c r="BM162" s="23">
        <f t="shared" si="1253"/>
        <v>102.014</v>
      </c>
      <c r="BN162" s="23">
        <f>+'QTR Raw'!AH91</f>
        <v>160.17599999999999</v>
      </c>
      <c r="BO162" s="23">
        <f t="shared" si="1253"/>
        <v>160.17599999999999</v>
      </c>
      <c r="BP162" s="23">
        <f>+'QTR Raw'!AJ91</f>
        <v>146.99</v>
      </c>
      <c r="BQ162" s="23">
        <f t="shared" si="1253"/>
        <v>146.99</v>
      </c>
      <c r="BR162" s="23">
        <f>+'QTR Raw'!AL91</f>
        <v>195.74700000000001</v>
      </c>
      <c r="BS162" s="23">
        <f t="shared" si="1253"/>
        <v>195.74700000000001</v>
      </c>
      <c r="BT162" s="23">
        <f>+'QTR Raw'!AN91</f>
        <v>223.08500000000001</v>
      </c>
      <c r="BU162" s="23">
        <f t="shared" si="1253"/>
        <v>223.08500000000001</v>
      </c>
      <c r="BV162" s="23">
        <f>+'QTR Raw'!AP91</f>
        <v>313.32799999999997</v>
      </c>
      <c r="BW162" s="23">
        <f t="shared" si="1253"/>
        <v>313.32799999999997</v>
      </c>
      <c r="BX162" s="23">
        <f>+'QTR Raw'!AR91</f>
        <v>292.49200000000002</v>
      </c>
      <c r="BY162" s="23">
        <f t="shared" si="1253"/>
        <v>292.49200000000002</v>
      </c>
      <c r="BZ162" s="23">
        <f>+'QTR Raw'!AT91</f>
        <v>349.78699999999998</v>
      </c>
      <c r="CA162" s="23">
        <f t="shared" si="1253"/>
        <v>349.78699999999998</v>
      </c>
      <c r="CB162" s="23">
        <f>+'QTR Raw'!AV91</f>
        <v>332.17599999999999</v>
      </c>
      <c r="CC162" s="23">
        <f t="shared" si="1253"/>
        <v>332.17599999999999</v>
      </c>
      <c r="CD162" s="23">
        <f>+'QTR Raw'!AX91</f>
        <v>321.83499999999998</v>
      </c>
      <c r="CE162" s="23">
        <f t="shared" si="1253"/>
        <v>321.83499999999998</v>
      </c>
      <c r="CF162" s="23">
        <f>+'QTR Raw'!AZ91</f>
        <v>322.05700000000002</v>
      </c>
      <c r="CG162" s="23">
        <f t="shared" ref="CG162:CG163" si="1257">+CF162</f>
        <v>322.05700000000002</v>
      </c>
      <c r="CH162" s="23">
        <f t="shared" si="1207"/>
        <v>270.71890000000002</v>
      </c>
      <c r="CJ162" s="23">
        <f>+'QTR Raw'!BD91</f>
        <v>414.137</v>
      </c>
      <c r="CL162" s="23">
        <f>+'QTR Raw'!BF91</f>
        <v>504.39400000000001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504.39400000000001</v>
      </c>
    </row>
    <row r="163" spans="1:110" s="23" customFormat="1" outlineLevel="1" x14ac:dyDescent="0.2">
      <c r="A163" s="23" t="s">
        <v>72</v>
      </c>
      <c r="B163" s="23">
        <f>'Annual Raw'!C57</f>
        <v>11.848100000000001</v>
      </c>
      <c r="C163" s="23">
        <f>'Annual Raw'!D57</f>
        <v>16.485099999999999</v>
      </c>
      <c r="D163" s="23">
        <f>'Annual Raw'!E57</f>
        <v>17.636099999999999</v>
      </c>
      <c r="E163" s="23">
        <f>'Annual Raw'!F57</f>
        <v>26.659700000000001</v>
      </c>
      <c r="F163" s="23">
        <f>'Annual Raw'!G57</f>
        <v>36.482799999999997</v>
      </c>
      <c r="G163" s="23">
        <f>'Annual Raw'!H57</f>
        <v>38.660899999999998</v>
      </c>
      <c r="H163" s="23">
        <f>'Annual Raw'!I57</f>
        <v>30.624600000000001</v>
      </c>
      <c r="I163" s="23">
        <f>'Annual Raw'!J57</f>
        <v>34.444400000000002</v>
      </c>
      <c r="J163" s="23">
        <f>'Annual Raw'!K57</f>
        <v>32.158099999999997</v>
      </c>
      <c r="K163" s="23">
        <f>'Annual Raw'!L57</f>
        <v>33.290100000000002</v>
      </c>
      <c r="L163" s="23">
        <f>'Annual Raw'!M57</f>
        <v>25.518899999999999</v>
      </c>
      <c r="M163" s="23">
        <f>'Annual Raw'!N57</f>
        <v>26.012699999999999</v>
      </c>
      <c r="N163" s="23">
        <f>'Annual Raw'!O57</f>
        <v>19.012899999999998</v>
      </c>
      <c r="O163" s="23">
        <f>'Annual Raw'!P57</f>
        <v>56.935299999999998</v>
      </c>
      <c r="P163" s="23">
        <f>'Annual Raw'!Q57</f>
        <v>97.417199999999994</v>
      </c>
      <c r="Q163" s="23">
        <f>'Annual Raw'!R57</f>
        <v>140.47579999999999</v>
      </c>
      <c r="R163" s="23">
        <f>'Annual Raw'!S57</f>
        <v>16.386700000000001</v>
      </c>
      <c r="S163" s="23">
        <f>'Annual Raw'!T57</f>
        <v>27.029</v>
      </c>
      <c r="T163" s="23">
        <f>'Annual Raw'!U57</f>
        <v>25.912500000000001</v>
      </c>
      <c r="U163" s="23">
        <f>'Annual Raw'!V57</f>
        <v>33.790999999999997</v>
      </c>
      <c r="V163" s="23">
        <f>'Annual Raw'!W57</f>
        <v>58.929000000000002</v>
      </c>
      <c r="W163" s="23">
        <f>'Annual Raw'!X57</f>
        <v>47.965200000000003</v>
      </c>
      <c r="X163" s="23">
        <f>'Annual Raw'!Y57</f>
        <v>71.088499999999996</v>
      </c>
      <c r="Y163" s="23">
        <f>'Annual Raw'!Z57</f>
        <v>93.167299999999997</v>
      </c>
      <c r="Z163" s="23">
        <f>'Annual Raw'!AA57</f>
        <v>135.95490000000001</v>
      </c>
      <c r="AA163" s="23">
        <f>'Annual Raw'!AB57</f>
        <v>259.72430000000003</v>
      </c>
      <c r="AB163" s="24">
        <f t="shared" si="1249"/>
        <v>0</v>
      </c>
      <c r="AC163" s="24">
        <f t="shared" si="1250"/>
        <v>0</v>
      </c>
      <c r="AD163" s="24">
        <f t="shared" si="1251"/>
        <v>0</v>
      </c>
      <c r="AE163" s="24">
        <f t="shared" si="1252"/>
        <v>0</v>
      </c>
      <c r="AJ163" s="23">
        <f>+'QTR Raw'!D92</f>
        <v>0.88600000000000001</v>
      </c>
      <c r="AK163" s="23">
        <f t="shared" si="1253"/>
        <v>0.88600000000000001</v>
      </c>
      <c r="AL163" s="23">
        <f>+'QTR Raw'!F92</f>
        <v>19.013000000000002</v>
      </c>
      <c r="AM163" s="23">
        <f t="shared" si="1253"/>
        <v>19.013000000000002</v>
      </c>
      <c r="AN163" s="23">
        <f>+'QTR Raw'!H92</f>
        <v>1.2310000000000001</v>
      </c>
      <c r="AO163" s="23">
        <f t="shared" si="1253"/>
        <v>1.2310000000000001</v>
      </c>
      <c r="AP163" s="23">
        <f>+'QTR Raw'!J92</f>
        <v>41.323999999999998</v>
      </c>
      <c r="AQ163" s="23">
        <f t="shared" si="1253"/>
        <v>41.323999999999998</v>
      </c>
      <c r="AR163" s="23">
        <f>+'QTR Raw'!L92</f>
        <v>14.914</v>
      </c>
      <c r="AS163" s="23">
        <f t="shared" si="1253"/>
        <v>14.914</v>
      </c>
      <c r="AT163" s="23">
        <f>+'QTR Raw'!N92</f>
        <v>57.405000000000001</v>
      </c>
      <c r="AU163" s="23">
        <f t="shared" si="1253"/>
        <v>57.405000000000001</v>
      </c>
      <c r="AV163" s="23">
        <f>+'QTR Raw'!P92</f>
        <v>27.06</v>
      </c>
      <c r="AW163" s="23">
        <f t="shared" si="1253"/>
        <v>27.06</v>
      </c>
      <c r="AX163" s="23">
        <f>+'QTR Raw'!R92</f>
        <v>70.667000000000002</v>
      </c>
      <c r="AY163" s="23">
        <f t="shared" si="1253"/>
        <v>70.667000000000002</v>
      </c>
      <c r="AZ163" s="23">
        <f>+'QTR Raw'!T92</f>
        <v>23.542000000000002</v>
      </c>
      <c r="BA163" s="23">
        <f t="shared" si="1253"/>
        <v>23.542000000000002</v>
      </c>
      <c r="BB163" s="23">
        <f>+'QTR Raw'!V92</f>
        <v>6.5659999999999998</v>
      </c>
      <c r="BC163" s="23">
        <f t="shared" si="1253"/>
        <v>6.5659999999999998</v>
      </c>
      <c r="BD163" s="23">
        <f>+'QTR Raw'!X92</f>
        <v>7.6909999999999998</v>
      </c>
      <c r="BE163" s="23">
        <f t="shared" si="1253"/>
        <v>7.6909999999999998</v>
      </c>
      <c r="BF163" s="23">
        <f>+'QTR Raw'!Z92</f>
        <v>6.89</v>
      </c>
      <c r="BG163" s="23">
        <f t="shared" si="1253"/>
        <v>6.89</v>
      </c>
      <c r="BH163" s="23">
        <f>+'QTR Raw'!AB92</f>
        <v>9.4410000000000007</v>
      </c>
      <c r="BI163" s="23">
        <f t="shared" si="1253"/>
        <v>9.4410000000000007</v>
      </c>
      <c r="BJ163" s="23">
        <f>+'QTR Raw'!AD92</f>
        <v>8.3539999999999992</v>
      </c>
      <c r="BK163" s="23">
        <f t="shared" si="1253"/>
        <v>8.3539999999999992</v>
      </c>
      <c r="BL163" s="23">
        <f>+'QTR Raw'!AF92</f>
        <v>9.9280000000000008</v>
      </c>
      <c r="BM163" s="23">
        <f t="shared" si="1253"/>
        <v>9.9280000000000008</v>
      </c>
      <c r="BN163" s="23">
        <f>+'QTR Raw'!AH92</f>
        <v>10.064</v>
      </c>
      <c r="BO163" s="23">
        <f t="shared" si="1253"/>
        <v>10.064</v>
      </c>
      <c r="BP163" s="23">
        <f>+'QTR Raw'!AJ92</f>
        <v>11.641999999999999</v>
      </c>
      <c r="BQ163" s="23">
        <f t="shared" si="1253"/>
        <v>11.641999999999999</v>
      </c>
      <c r="BR163" s="23">
        <f>+'QTR Raw'!AL92</f>
        <v>12.587</v>
      </c>
      <c r="BS163" s="23">
        <f t="shared" si="1253"/>
        <v>12.587</v>
      </c>
      <c r="BT163" s="23">
        <f>+'QTR Raw'!AN92</f>
        <v>13.537000000000001</v>
      </c>
      <c r="BU163" s="23">
        <f t="shared" si="1253"/>
        <v>13.537000000000001</v>
      </c>
      <c r="BV163" s="23">
        <f>+'QTR Raw'!AP92</f>
        <v>12.598000000000001</v>
      </c>
      <c r="BW163" s="23">
        <f t="shared" si="1253"/>
        <v>12.598000000000001</v>
      </c>
      <c r="BX163" s="23">
        <f>+'QTR Raw'!AR92</f>
        <v>26.872</v>
      </c>
      <c r="BY163" s="23">
        <f t="shared" si="1253"/>
        <v>26.872</v>
      </c>
      <c r="BZ163" s="23">
        <f>+'QTR Raw'!AT92</f>
        <v>25.597000000000001</v>
      </c>
      <c r="CA163" s="23">
        <f t="shared" si="1253"/>
        <v>25.597000000000001</v>
      </c>
      <c r="CB163" s="23">
        <f>+'QTR Raw'!AV92</f>
        <v>32.04</v>
      </c>
      <c r="CC163" s="23">
        <f t="shared" si="1253"/>
        <v>32.04</v>
      </c>
      <c r="CD163" s="23">
        <f>+'QTR Raw'!AX92</f>
        <v>38.463000000000001</v>
      </c>
      <c r="CE163" s="23">
        <f t="shared" si="1253"/>
        <v>38.463000000000001</v>
      </c>
      <c r="CF163" s="23">
        <f>+'QTR Raw'!AZ92</f>
        <v>47.762</v>
      </c>
      <c r="CG163" s="23">
        <f t="shared" si="1257"/>
        <v>47.762</v>
      </c>
      <c r="CH163" s="23">
        <f t="shared" si="1207"/>
        <v>135.95490000000001</v>
      </c>
      <c r="CJ163" s="23">
        <f>+'QTR Raw'!BD92</f>
        <v>55.427999999999997</v>
      </c>
      <c r="CL163" s="23">
        <f>+'QTR Raw'!BF92</f>
        <v>132.25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132.25</v>
      </c>
    </row>
    <row r="164" spans="1:110" s="22" customFormat="1" x14ac:dyDescent="0.2">
      <c r="A164" s="22" t="s">
        <v>73</v>
      </c>
      <c r="B164" s="22">
        <f>SUM(B157:B163)</f>
        <v>34.502499999999998</v>
      </c>
      <c r="C164" s="22">
        <f t="shared" ref="C164:V164" si="1258">SUM(C157:C163)</f>
        <v>38.960799999999999</v>
      </c>
      <c r="D164" s="22">
        <f t="shared" si="1258"/>
        <v>27.710699999999999</v>
      </c>
      <c r="E164" s="22">
        <f t="shared" si="1258"/>
        <v>46.878399999999999</v>
      </c>
      <c r="F164" s="22">
        <f t="shared" si="1258"/>
        <v>62.599499999999999</v>
      </c>
      <c r="G164" s="22">
        <f t="shared" si="1258"/>
        <v>76.122299999999996</v>
      </c>
      <c r="H164" s="22">
        <f t="shared" si="1258"/>
        <v>79.355800000000002</v>
      </c>
      <c r="I164" s="22">
        <f t="shared" si="1258"/>
        <v>79.209699999999998</v>
      </c>
      <c r="J164" s="22">
        <f t="shared" si="1258"/>
        <v>77.022500000000008</v>
      </c>
      <c r="K164" s="22">
        <f t="shared" si="1258"/>
        <v>82.096100000000007</v>
      </c>
      <c r="L164" s="22">
        <f t="shared" si="1258"/>
        <v>92.37660000000001</v>
      </c>
      <c r="M164" s="22">
        <f t="shared" si="1258"/>
        <v>104.7623</v>
      </c>
      <c r="N164" s="22">
        <f t="shared" si="1258"/>
        <v>107.1049</v>
      </c>
      <c r="O164" s="22">
        <f t="shared" si="1258"/>
        <v>232.05770000000001</v>
      </c>
      <c r="P164" s="22">
        <f t="shared" si="1258"/>
        <v>306.85379999999998</v>
      </c>
      <c r="Q164" s="22">
        <f t="shared" si="1258"/>
        <v>413.62239999999997</v>
      </c>
      <c r="R164" s="22">
        <f t="shared" si="1258"/>
        <v>157.7286</v>
      </c>
      <c r="S164" s="22">
        <f t="shared" si="1258"/>
        <v>206.54140000000001</v>
      </c>
      <c r="T164" s="22">
        <f t="shared" si="1258"/>
        <v>200.6361</v>
      </c>
      <c r="U164" s="22">
        <f t="shared" si="1258"/>
        <v>298.9461</v>
      </c>
      <c r="V164" s="22">
        <f t="shared" si="1258"/>
        <v>364.52110000000005</v>
      </c>
      <c r="W164" s="22">
        <f t="shared" ref="W164" si="1259">SUM(W157:W163)</f>
        <v>568.2704</v>
      </c>
      <c r="X164" s="22">
        <f t="shared" ref="X164:Y164" si="1260">SUM(X157:X163)</f>
        <v>677.73549999999989</v>
      </c>
      <c r="Y164" s="22">
        <f t="shared" si="1260"/>
        <v>681.32529999999997</v>
      </c>
      <c r="Z164" s="22">
        <f t="shared" ref="Z164:AA164" si="1261">SUM(Z157:Z163)</f>
        <v>725.7487000000001</v>
      </c>
      <c r="AA164" s="22">
        <f t="shared" si="1261"/>
        <v>921.19830000000002</v>
      </c>
      <c r="AB164" s="21">
        <f t="shared" ref="AA164:AD164" si="1262">SUM(AB157:AB163)</f>
        <v>1035.7056816143725</v>
      </c>
      <c r="AC164" s="21">
        <f t="shared" si="1262"/>
        <v>1157.3718614052848</v>
      </c>
      <c r="AD164" s="21">
        <f t="shared" si="1262"/>
        <v>1228.1581262692314</v>
      </c>
      <c r="AE164" s="21">
        <f t="shared" ref="AE164" si="1263">SUM(AE157:AE163)</f>
        <v>1254.5030092621528</v>
      </c>
      <c r="AJ164" s="22">
        <f t="shared" ref="AJ164" si="1264">SUM(AJ157:AJ163)</f>
        <v>104.19499999999999</v>
      </c>
      <c r="AK164" s="22">
        <f t="shared" ref="AK164" si="1265">SUM(AK157:AK163)</f>
        <v>104.19499999999999</v>
      </c>
      <c r="AL164" s="22">
        <f t="shared" ref="AL164:AM164" si="1266">SUM(AL157:AL163)</f>
        <v>107.10600000000001</v>
      </c>
      <c r="AM164" s="22">
        <f t="shared" si="1266"/>
        <v>110.27621176391405</v>
      </c>
      <c r="AN164" s="22">
        <f t="shared" ref="AN164:AO164" si="1267">SUM(AN157:AN163)</f>
        <v>102.84399999999999</v>
      </c>
      <c r="AO164" s="22">
        <f t="shared" si="1267"/>
        <v>105.68385117650153</v>
      </c>
      <c r="AP164" s="22">
        <f t="shared" ref="AP164:CE164" si="1268">SUM(AP157:AP163)</f>
        <v>145.869</v>
      </c>
      <c r="AQ164" s="22">
        <f t="shared" si="1268"/>
        <v>139.56437896831963</v>
      </c>
      <c r="AR164" s="22">
        <f t="shared" si="1268"/>
        <v>106.76600000000001</v>
      </c>
      <c r="AS164" s="22">
        <f t="shared" si="1268"/>
        <v>110.19613552357406</v>
      </c>
      <c r="AT164" s="22">
        <f t="shared" si="1268"/>
        <v>182.10599999999999</v>
      </c>
      <c r="AU164" s="22">
        <f t="shared" si="1268"/>
        <v>185.60839106089693</v>
      </c>
      <c r="AV164" s="22">
        <f t="shared" si="1268"/>
        <v>154.40600000000001</v>
      </c>
      <c r="AW164" s="22">
        <f t="shared" si="1268"/>
        <v>156.65490767585283</v>
      </c>
      <c r="AX164" s="22">
        <f t="shared" si="1268"/>
        <v>213.958</v>
      </c>
      <c r="AY164" s="22">
        <f t="shared" si="1268"/>
        <v>213.8580274330503</v>
      </c>
      <c r="AZ164" s="22">
        <f t="shared" si="1268"/>
        <v>167.68199999999999</v>
      </c>
      <c r="BA164" s="22">
        <f t="shared" si="1268"/>
        <v>169.04031270339033</v>
      </c>
      <c r="BB164" s="22">
        <f t="shared" si="1268"/>
        <v>157.72799999999998</v>
      </c>
      <c r="BC164" s="22">
        <f t="shared" si="1268"/>
        <v>157.19258573320243</v>
      </c>
      <c r="BD164" s="22">
        <f t="shared" si="1268"/>
        <v>180.18299999999999</v>
      </c>
      <c r="BE164" s="22">
        <f t="shared" si="1268"/>
        <v>180.20052537161629</v>
      </c>
      <c r="BF164" s="22">
        <f t="shared" si="1268"/>
        <v>206.541</v>
      </c>
      <c r="BG164" s="22">
        <f t="shared" si="1268"/>
        <v>207.33908445665145</v>
      </c>
      <c r="BH164" s="22">
        <f t="shared" ref="BH164" si="1269">SUM(BH157:BH163)</f>
        <v>214.61600000000001</v>
      </c>
      <c r="BI164" s="22">
        <f t="shared" si="1268"/>
        <v>213.68345722769524</v>
      </c>
      <c r="BJ164" s="22">
        <f t="shared" si="1268"/>
        <v>200.63599999999997</v>
      </c>
      <c r="BK164" s="22">
        <f t="shared" si="1268"/>
        <v>194.53873373010384</v>
      </c>
      <c r="BL164" s="22">
        <f t="shared" si="1268"/>
        <v>196.90899999999999</v>
      </c>
      <c r="BM164" s="22">
        <f t="shared" si="1268"/>
        <v>201.36332028862677</v>
      </c>
      <c r="BN164" s="22">
        <f t="shared" si="1268"/>
        <v>298.94600000000003</v>
      </c>
      <c r="BO164" s="22">
        <f t="shared" si="1268"/>
        <v>294.82253393485769</v>
      </c>
      <c r="BP164" s="22">
        <f t="shared" si="1268"/>
        <v>239.96600000000001</v>
      </c>
      <c r="BQ164" s="22">
        <f t="shared" si="1268"/>
        <v>244.63338007201654</v>
      </c>
      <c r="BR164" s="22">
        <f t="shared" si="1268"/>
        <v>364.52199999999999</v>
      </c>
      <c r="BS164" s="22">
        <f t="shared" si="1268"/>
        <v>368.84446684002194</v>
      </c>
      <c r="BT164" s="22">
        <f t="shared" si="1268"/>
        <v>425.267</v>
      </c>
      <c r="BU164" s="22">
        <f t="shared" si="1268"/>
        <v>429.21704442906554</v>
      </c>
      <c r="BV164" s="22">
        <f t="shared" si="1268"/>
        <v>568.27</v>
      </c>
      <c r="BW164" s="22">
        <f t="shared" si="1268"/>
        <v>573.7290809679364</v>
      </c>
      <c r="BX164" s="22">
        <f t="shared" si="1268"/>
        <v>613.69600000000003</v>
      </c>
      <c r="BY164" s="22">
        <f t="shared" si="1268"/>
        <v>620.03708976363089</v>
      </c>
      <c r="BZ164" s="22">
        <f t="shared" si="1268"/>
        <v>677.7349999999999</v>
      </c>
      <c r="CA164" s="22">
        <f t="shared" si="1268"/>
        <v>679.25587095665446</v>
      </c>
      <c r="CB164" s="22">
        <f t="shared" si="1268"/>
        <v>716.34299999999996</v>
      </c>
      <c r="CC164" s="22">
        <f t="shared" si="1268"/>
        <v>719.90838947576151</v>
      </c>
      <c r="CD164" s="22">
        <f t="shared" si="1268"/>
        <v>681.32600000000002</v>
      </c>
      <c r="CE164" s="22">
        <f t="shared" si="1268"/>
        <v>683.2650040742077</v>
      </c>
      <c r="CF164" s="22">
        <f t="shared" ref="CF164:CG164" si="1270">SUM(CF157:CF163)</f>
        <v>698.56700000000001</v>
      </c>
      <c r="CG164" s="22">
        <f t="shared" si="1270"/>
        <v>696.68949904197098</v>
      </c>
      <c r="CH164" s="22">
        <f t="shared" ref="CH164:CI164" si="1271">SUM(CH157:CH163)</f>
        <v>725.7487000000001</v>
      </c>
      <c r="CI164" s="22">
        <f t="shared" si="1271"/>
        <v>712.77315032675142</v>
      </c>
      <c r="CJ164" s="22">
        <f t="shared" ref="CJ164:DB164" si="1272">SUM(CJ157:CJ163)</f>
        <v>753.14700000000005</v>
      </c>
      <c r="CK164" s="22">
        <f t="shared" si="1272"/>
        <v>782.16372764464086</v>
      </c>
      <c r="CL164" s="22">
        <f t="shared" ref="CL164" si="1273">SUM(CL157:CL163)</f>
        <v>921.19900000000007</v>
      </c>
      <c r="CM164" s="21">
        <f t="shared" si="1272"/>
        <v>910.55458117466469</v>
      </c>
      <c r="CN164" s="21">
        <f t="shared" si="1272"/>
        <v>955.42795905182174</v>
      </c>
      <c r="CO164" s="21">
        <f t="shared" si="1272"/>
        <v>999.49287500130254</v>
      </c>
      <c r="CP164" s="21">
        <f t="shared" si="1272"/>
        <v>1035.7056816143725</v>
      </c>
      <c r="CQ164" s="21">
        <f t="shared" si="1272"/>
        <v>1043.8024600508729</v>
      </c>
      <c r="CR164" s="21">
        <f t="shared" si="1272"/>
        <v>1085.1384141104818</v>
      </c>
      <c r="CS164" s="21">
        <f t="shared" si="1272"/>
        <v>1123.2612505888517</v>
      </c>
      <c r="CT164" s="21">
        <f t="shared" si="1272"/>
        <v>1157.3718614052848</v>
      </c>
      <c r="CU164" s="21">
        <f t="shared" si="1272"/>
        <v>1171.3011741423597</v>
      </c>
      <c r="CV164" s="21">
        <f t="shared" si="1272"/>
        <v>1191.4268514602338</v>
      </c>
      <c r="CW164" s="21">
        <f t="shared" si="1272"/>
        <v>1210.1671023661763</v>
      </c>
      <c r="CX164" s="21">
        <f t="shared" si="1272"/>
        <v>1228.1581262692314</v>
      </c>
      <c r="CY164" s="21">
        <f t="shared" si="1272"/>
        <v>1221.9285573604386</v>
      </c>
      <c r="CZ164" s="21">
        <f t="shared" si="1272"/>
        <v>1234.7303317188996</v>
      </c>
      <c r="DA164" s="21">
        <f t="shared" si="1272"/>
        <v>1245.632391357834</v>
      </c>
      <c r="DB164" s="21">
        <f t="shared" si="1272"/>
        <v>1254.5030092621528</v>
      </c>
      <c r="DE164" s="126"/>
      <c r="DF164" s="22">
        <v>778.48906650535741</v>
      </c>
    </row>
    <row r="165" spans="1:110" s="22" customFormat="1" x14ac:dyDescent="0.2">
      <c r="A165" s="22" t="s">
        <v>74</v>
      </c>
      <c r="B165" s="22">
        <f>B156-B164</f>
        <v>28.563000000000002</v>
      </c>
      <c r="C165" s="22">
        <f t="shared" ref="C165:V165" si="1274">C156-C164</f>
        <v>19.723700000000001</v>
      </c>
      <c r="D165" s="22">
        <f t="shared" si="1274"/>
        <v>24.201600000000003</v>
      </c>
      <c r="E165" s="22">
        <f t="shared" si="1274"/>
        <v>8.1573000000000064</v>
      </c>
      <c r="F165" s="22">
        <f t="shared" si="1274"/>
        <v>7.0302000000000007</v>
      </c>
      <c r="G165" s="22">
        <f t="shared" si="1274"/>
        <v>6.4247000000000014</v>
      </c>
      <c r="H165" s="22">
        <f t="shared" si="1274"/>
        <v>3.6239000000000061</v>
      </c>
      <c r="I165" s="22">
        <f t="shared" si="1274"/>
        <v>57.707899999999995</v>
      </c>
      <c r="J165" s="22">
        <f t="shared" si="1274"/>
        <v>55.1096</v>
      </c>
      <c r="K165" s="22">
        <f t="shared" si="1274"/>
        <v>109.60319999999999</v>
      </c>
      <c r="L165" s="22">
        <f t="shared" si="1274"/>
        <v>85.905999999999992</v>
      </c>
      <c r="M165" s="22">
        <f t="shared" si="1274"/>
        <v>92.802599999999998</v>
      </c>
      <c r="N165" s="22">
        <f t="shared" si="1274"/>
        <v>114.4472</v>
      </c>
      <c r="O165" s="22">
        <f t="shared" si="1274"/>
        <v>81.638899999999978</v>
      </c>
      <c r="P165" s="22">
        <f t="shared" si="1274"/>
        <v>48.660300000000063</v>
      </c>
      <c r="Q165" s="22">
        <f t="shared" si="1274"/>
        <v>93.128500000000031</v>
      </c>
      <c r="R165" s="22">
        <f t="shared" si="1274"/>
        <v>194.07590000000002</v>
      </c>
      <c r="S165" s="22">
        <f t="shared" si="1274"/>
        <v>243.48450000000003</v>
      </c>
      <c r="T165" s="22">
        <f t="shared" si="1274"/>
        <v>319.33339999999993</v>
      </c>
      <c r="U165" s="22">
        <f t="shared" si="1274"/>
        <v>269.06910000000005</v>
      </c>
      <c r="V165" s="22">
        <f t="shared" si="1274"/>
        <v>305.67380000000003</v>
      </c>
      <c r="W165" s="22">
        <f t="shared" ref="W165" si="1275">W156-W164</f>
        <v>333.13090000000011</v>
      </c>
      <c r="X165" s="22">
        <f t="shared" ref="X165:Y165" si="1276">X156-X164</f>
        <v>540.75220000000002</v>
      </c>
      <c r="Y165" s="22">
        <f t="shared" si="1276"/>
        <v>691.18540000000007</v>
      </c>
      <c r="Z165" s="22">
        <f t="shared" ref="Z165:AA165" si="1277">Z156-Z164</f>
        <v>896.29319999999984</v>
      </c>
      <c r="AA165" s="22">
        <f t="shared" si="1277"/>
        <v>1034.7270000000001</v>
      </c>
      <c r="AB165" s="21">
        <f t="shared" ref="AA165:AD165" si="1278">AB156-AB164</f>
        <v>1306.3037599412362</v>
      </c>
      <c r="AC165" s="21">
        <f t="shared" si="1278"/>
        <v>1459.7575749969026</v>
      </c>
      <c r="AD165" s="21">
        <f t="shared" si="1278"/>
        <v>1549.0381163567201</v>
      </c>
      <c r="AE165" s="21">
        <f t="shared" ref="AE165" si="1279">AE156-AE164</f>
        <v>1582.2661079761374</v>
      </c>
      <c r="AJ165" s="22">
        <f t="shared" ref="AJ165" si="1280">AJ156-AJ164</f>
        <v>101.38800000000001</v>
      </c>
      <c r="AK165" s="22">
        <f t="shared" ref="AK165" si="1281">AK156-AK164</f>
        <v>102.4185653461204</v>
      </c>
      <c r="AL165" s="22">
        <f t="shared" ref="AL165:AM165" si="1282">AL156-AL164</f>
        <v>114.44599999999996</v>
      </c>
      <c r="AM165" s="22">
        <f t="shared" si="1282"/>
        <v>119.69688488178569</v>
      </c>
      <c r="AN165" s="22">
        <f t="shared" ref="AN165:AO165" si="1283">AN156-AN164</f>
        <v>122.18100000000001</v>
      </c>
      <c r="AO165" s="22">
        <f t="shared" si="1283"/>
        <v>126.48538471337584</v>
      </c>
      <c r="AP165" s="22">
        <f t="shared" ref="AP165:CE165" si="1284">AP156-AP164</f>
        <v>81.638999999999982</v>
      </c>
      <c r="AQ165" s="22">
        <f t="shared" si="1284"/>
        <v>72.667892591209238</v>
      </c>
      <c r="AR165" s="22">
        <f t="shared" si="1284"/>
        <v>114.526</v>
      </c>
      <c r="AS165" s="22">
        <f t="shared" si="1284"/>
        <v>120.43931554329403</v>
      </c>
      <c r="AT165" s="22">
        <f t="shared" si="1284"/>
        <v>48.660000000000025</v>
      </c>
      <c r="AU165" s="22">
        <f t="shared" si="1284"/>
        <v>53.330843061969261</v>
      </c>
      <c r="AV165" s="22">
        <f t="shared" si="1284"/>
        <v>134.40100000000001</v>
      </c>
      <c r="AW165" s="22">
        <f t="shared" si="1284"/>
        <v>138.94584929340277</v>
      </c>
      <c r="AX165" s="22">
        <f t="shared" si="1284"/>
        <v>93.129000000000048</v>
      </c>
      <c r="AY165" s="22">
        <f t="shared" si="1284"/>
        <v>92.947834748530425</v>
      </c>
      <c r="AZ165" s="22">
        <f t="shared" si="1284"/>
        <v>166.31500000000003</v>
      </c>
      <c r="BA165" s="22">
        <f t="shared" si="1284"/>
        <v>169.23782298877779</v>
      </c>
      <c r="BB165" s="22">
        <f t="shared" si="1284"/>
        <v>194.07500000000002</v>
      </c>
      <c r="BC165" s="22">
        <f t="shared" si="1284"/>
        <v>191.79019561953172</v>
      </c>
      <c r="BD165" s="22">
        <f t="shared" si="1284"/>
        <v>260.06200000000001</v>
      </c>
      <c r="BE165" s="22">
        <f t="shared" si="1284"/>
        <v>260.16100592715566</v>
      </c>
      <c r="BF165" s="22">
        <f t="shared" si="1284"/>
        <v>243.48500000000001</v>
      </c>
      <c r="BG165" s="22">
        <f t="shared" si="1284"/>
        <v>248.12703130461199</v>
      </c>
      <c r="BH165" s="22">
        <f t="shared" ref="BH165" si="1285">BH156-BH164</f>
        <v>296.81999999999994</v>
      </c>
      <c r="BI165" s="22">
        <f t="shared" si="1284"/>
        <v>291.3355212719473</v>
      </c>
      <c r="BJ165" s="22">
        <f t="shared" si="1284"/>
        <v>319.33300000000008</v>
      </c>
      <c r="BK165" s="22">
        <f t="shared" si="1284"/>
        <v>286.07430501797069</v>
      </c>
      <c r="BL165" s="22">
        <f t="shared" si="1284"/>
        <v>325.85800000000006</v>
      </c>
      <c r="BM165" s="22">
        <f t="shared" si="1284"/>
        <v>354.30378807859478</v>
      </c>
      <c r="BN165" s="22">
        <f t="shared" si="1284"/>
        <v>320.90099999999995</v>
      </c>
      <c r="BO165" s="22">
        <f t="shared" si="1284"/>
        <v>290.54621112136431</v>
      </c>
      <c r="BP165" s="22">
        <f t="shared" si="1284"/>
        <v>342.41799999999989</v>
      </c>
      <c r="BQ165" s="22">
        <f t="shared" si="1284"/>
        <v>376.85478830440354</v>
      </c>
      <c r="BR165" s="22">
        <f t="shared" si="1284"/>
        <v>370.76799999999986</v>
      </c>
      <c r="BS165" s="22">
        <f t="shared" si="1284"/>
        <v>404.13541718686088</v>
      </c>
      <c r="BT165" s="22">
        <f t="shared" si="1284"/>
        <v>273.60199999999992</v>
      </c>
      <c r="BU165" s="22">
        <f t="shared" si="1284"/>
        <v>296.31879663918056</v>
      </c>
      <c r="BV165" s="22">
        <f t="shared" si="1284"/>
        <v>457.5150000000001</v>
      </c>
      <c r="BW165" s="22">
        <f t="shared" si="1284"/>
        <v>495.66302879107684</v>
      </c>
      <c r="BX165" s="22">
        <f t="shared" si="1284"/>
        <v>527.96500000000003</v>
      </c>
      <c r="BY165" s="22">
        <f t="shared" si="1284"/>
        <v>576.45376415377461</v>
      </c>
      <c r="BZ165" s="22">
        <f t="shared" si="1284"/>
        <v>698.41200000000026</v>
      </c>
      <c r="CA165" s="22">
        <f t="shared" si="1284"/>
        <v>711.28983563108704</v>
      </c>
      <c r="CB165" s="22">
        <f t="shared" si="1284"/>
        <v>712.93100000000015</v>
      </c>
      <c r="CC165" s="22">
        <f t="shared" si="1284"/>
        <v>741.95193896663034</v>
      </c>
      <c r="CD165" s="22">
        <f t="shared" si="1284"/>
        <v>881.46499999999992</v>
      </c>
      <c r="CE165" s="22">
        <f t="shared" si="1284"/>
        <v>901.54936808055243</v>
      </c>
      <c r="CF165" s="22">
        <f t="shared" ref="CF165:CG165" si="1286">CF156-CF164</f>
        <v>955.84700000000021</v>
      </c>
      <c r="CG165" s="22">
        <f t="shared" si="1286"/>
        <v>941.31424742588661</v>
      </c>
      <c r="CH165" s="22">
        <f t="shared" ref="CH165:CI165" si="1287">CH156-CH164</f>
        <v>896.29319999999984</v>
      </c>
      <c r="CI165" s="22">
        <f t="shared" si="1287"/>
        <v>880.2685113737648</v>
      </c>
      <c r="CJ165" s="22">
        <f t="shared" ref="CJ165:DB165" si="1288">CJ156-CJ164</f>
        <v>1241.672</v>
      </c>
      <c r="CK165" s="22">
        <f t="shared" si="1288"/>
        <v>1289.5102815678438</v>
      </c>
      <c r="CL165" s="22">
        <f t="shared" ref="CL165" si="1289">CL156-CL164</f>
        <v>1161.8800000000001</v>
      </c>
      <c r="CM165" s="21">
        <f t="shared" si="1288"/>
        <v>1148.4545215259882</v>
      </c>
      <c r="CN165" s="21">
        <f t="shared" si="1288"/>
        <v>1205.0519345582552</v>
      </c>
      <c r="CO165" s="21">
        <f t="shared" si="1288"/>
        <v>1260.6296593966269</v>
      </c>
      <c r="CP165" s="21">
        <f t="shared" si="1288"/>
        <v>1306.3037599412362</v>
      </c>
      <c r="CQ165" s="21">
        <f t="shared" si="1288"/>
        <v>1316.5159778548477</v>
      </c>
      <c r="CR165" s="21">
        <f t="shared" si="1288"/>
        <v>1368.6517468936531</v>
      </c>
      <c r="CS165" s="21">
        <f t="shared" si="1288"/>
        <v>1416.7349094323538</v>
      </c>
      <c r="CT165" s="21">
        <f t="shared" si="1288"/>
        <v>1459.7575749969026</v>
      </c>
      <c r="CU165" s="21">
        <f t="shared" si="1288"/>
        <v>1477.3261892517521</v>
      </c>
      <c r="CV165" s="21">
        <f t="shared" si="1288"/>
        <v>1502.7100878036301</v>
      </c>
      <c r="CW165" s="21">
        <f t="shared" si="1288"/>
        <v>1526.3465905816358</v>
      </c>
      <c r="CX165" s="21">
        <f t="shared" si="1288"/>
        <v>1549.0381163567201</v>
      </c>
      <c r="CY165" s="21">
        <f t="shared" si="1288"/>
        <v>1541.18095246081</v>
      </c>
      <c r="CZ165" s="21">
        <f t="shared" si="1288"/>
        <v>1557.3274371960395</v>
      </c>
      <c r="DA165" s="21">
        <f t="shared" si="1288"/>
        <v>1571.0778701136669</v>
      </c>
      <c r="DB165" s="21">
        <f t="shared" si="1288"/>
        <v>1582.2661079761374</v>
      </c>
      <c r="DE165" s="126"/>
      <c r="DF165" s="22">
        <v>1283.4520700286137</v>
      </c>
    </row>
    <row r="166" spans="1:110" s="23" customFormat="1" x14ac:dyDescent="0.2">
      <c r="AB166" s="24"/>
      <c r="AC166" s="24"/>
      <c r="AD166" s="24"/>
      <c r="AE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</row>
    <row r="167" spans="1:110" s="23" customFormat="1" outlineLevel="1" x14ac:dyDescent="0.2">
      <c r="A167" s="23" t="s">
        <v>75</v>
      </c>
      <c r="B167" s="23">
        <f>'Annual Raw'!C75</f>
        <v>0</v>
      </c>
      <c r="C167" s="23">
        <f>'Annual Raw'!D75</f>
        <v>0</v>
      </c>
      <c r="D167" s="23">
        <f>'Annual Raw'!E75</f>
        <v>0</v>
      </c>
      <c r="E167" s="23">
        <f>'Annual Raw'!F75</f>
        <v>0</v>
      </c>
      <c r="F167" s="23">
        <f>'Annual Raw'!G75</f>
        <v>0</v>
      </c>
      <c r="G167" s="23">
        <f>'Annual Raw'!H75</f>
        <v>0</v>
      </c>
      <c r="H167" s="23">
        <f>'Annual Raw'!I75</f>
        <v>0</v>
      </c>
      <c r="I167" s="23">
        <f>'Annual Raw'!J75</f>
        <v>0</v>
      </c>
      <c r="J167" s="23">
        <f>'Annual Raw'!K75</f>
        <v>0</v>
      </c>
      <c r="K167" s="23">
        <f>'Annual Raw'!L75</f>
        <v>0</v>
      </c>
      <c r="L167" s="23">
        <f>'Annual Raw'!M75</f>
        <v>0</v>
      </c>
      <c r="M167" s="23">
        <f>'Annual Raw'!N75</f>
        <v>0</v>
      </c>
      <c r="N167" s="23">
        <f>'Annual Raw'!O75</f>
        <v>0</v>
      </c>
      <c r="O167" s="23">
        <f>'Annual Raw'!P75</f>
        <v>0</v>
      </c>
      <c r="P167" s="23">
        <f>'Annual Raw'!Q75</f>
        <v>0</v>
      </c>
      <c r="Q167" s="23">
        <f>'Annual Raw'!R75</f>
        <v>0</v>
      </c>
      <c r="R167" s="23">
        <f>'Annual Raw'!S75</f>
        <v>0</v>
      </c>
      <c r="S167" s="23">
        <f>'Annual Raw'!T75</f>
        <v>0</v>
      </c>
      <c r="T167" s="23">
        <f>'Annual Raw'!U75</f>
        <v>0</v>
      </c>
      <c r="U167" s="23">
        <f>'Annual Raw'!V75</f>
        <v>0</v>
      </c>
      <c r="V167" s="23">
        <f>'Annual Raw'!W75</f>
        <v>0</v>
      </c>
      <c r="W167" s="23">
        <f>'Annual Raw'!X75</f>
        <v>0</v>
      </c>
      <c r="X167" s="23">
        <f>'Annual Raw'!Y75</f>
        <v>0</v>
      </c>
      <c r="Y167" s="23">
        <f>'Annual Raw'!Z75</f>
        <v>0</v>
      </c>
      <c r="Z167" s="23">
        <f>'Annual Raw'!AA75</f>
        <v>0</v>
      </c>
      <c r="AA167" s="23">
        <f>'Annual Raw'!AB75</f>
        <v>0</v>
      </c>
      <c r="AB167" s="24">
        <f t="shared" ref="AB167:AB168" si="1290">+CP167</f>
        <v>0</v>
      </c>
      <c r="AC167" s="24">
        <f t="shared" ref="AC167:AC168" si="1291">+CT167</f>
        <v>0</v>
      </c>
      <c r="AD167" s="24">
        <f t="shared" ref="AD167:AD168" si="1292">+CX167</f>
        <v>0</v>
      </c>
      <c r="AE167" s="24">
        <f t="shared" ref="AE167:AE168" si="1293">+DB167</f>
        <v>0</v>
      </c>
      <c r="AJ167" s="23">
        <f>+'QTR Raw'!D80</f>
        <v>0</v>
      </c>
      <c r="AL167" s="23">
        <f>+'QTR Raw'!F80</f>
        <v>0</v>
      </c>
      <c r="AN167" s="23">
        <f>+'QTR Raw'!H80</f>
        <v>0</v>
      </c>
      <c r="AP167" s="23">
        <f>+'QTR Raw'!J80</f>
        <v>0</v>
      </c>
      <c r="AR167" s="23">
        <f>+'QTR Raw'!L80</f>
        <v>0</v>
      </c>
      <c r="AT167" s="23">
        <f>+'QTR Raw'!N80</f>
        <v>0</v>
      </c>
      <c r="AV167" s="23">
        <f>+'QTR Raw'!P80</f>
        <v>0</v>
      </c>
      <c r="AX167" s="23">
        <f>+'QTR Raw'!R80</f>
        <v>0</v>
      </c>
      <c r="AZ167" s="23">
        <f>+'QTR Raw'!T80</f>
        <v>0</v>
      </c>
      <c r="BB167" s="23">
        <f>+'QTR Raw'!V80</f>
        <v>0</v>
      </c>
      <c r="BD167" s="23">
        <f>+'QTR Raw'!X80</f>
        <v>0</v>
      </c>
      <c r="BF167" s="23">
        <f>+'QTR Raw'!Z80</f>
        <v>0</v>
      </c>
      <c r="BH167" s="23">
        <f>+'QTR Raw'!AB80</f>
        <v>0</v>
      </c>
      <c r="BJ167" s="23">
        <f>+'QTR Raw'!AD80</f>
        <v>0</v>
      </c>
      <c r="BL167" s="23">
        <f>+'QTR Raw'!AF80</f>
        <v>0</v>
      </c>
      <c r="BN167" s="23">
        <f>+'QTR Raw'!AH80</f>
        <v>0</v>
      </c>
      <c r="BP167" s="23">
        <f>+'QTR Raw'!AJ80</f>
        <v>0</v>
      </c>
      <c r="BR167" s="23">
        <f>+'QTR Raw'!AL80</f>
        <v>0</v>
      </c>
      <c r="BT167" s="23">
        <f>+'QTR Raw'!AN80</f>
        <v>0</v>
      </c>
      <c r="BV167" s="23">
        <f>+'QTR Raw'!AP80</f>
        <v>0</v>
      </c>
      <c r="BX167" s="23">
        <f>+'QTR Raw'!AR80</f>
        <v>0</v>
      </c>
      <c r="BZ167" s="23">
        <f>+'QTR Raw'!AT80</f>
        <v>0</v>
      </c>
      <c r="CB167" s="23">
        <f>+'QTR Raw'!AV80</f>
        <v>0</v>
      </c>
      <c r="CD167" s="23">
        <f>+'QTR Raw'!AX80</f>
        <v>0</v>
      </c>
      <c r="CF167" s="23">
        <f>+'QTR Raw'!AZ80</f>
        <v>0</v>
      </c>
      <c r="CH167" s="23">
        <f t="shared" ref="CH167:CH168" si="1294">Z167</f>
        <v>0</v>
      </c>
      <c r="CJ167" s="23">
        <f>+'QTR Raw'!BD80</f>
        <v>0</v>
      </c>
      <c r="CL167" s="23">
        <f>+'QTR Raw'!BF80</f>
        <v>0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0</v>
      </c>
    </row>
    <row r="168" spans="1:110" s="23" customFormat="1" outlineLevel="1" x14ac:dyDescent="0.2">
      <c r="A168" s="23" t="s">
        <v>76</v>
      </c>
      <c r="B168" s="23">
        <f>'Annual Raw'!C78</f>
        <v>10.064500000000001</v>
      </c>
      <c r="C168" s="23">
        <f>'Annual Raw'!D78</f>
        <v>7.3799000000000001</v>
      </c>
      <c r="D168" s="23">
        <f>'Annual Raw'!E78</f>
        <v>4.1071999999999997</v>
      </c>
      <c r="E168" s="23">
        <f>'Annual Raw'!F78</f>
        <v>17.401199999999999</v>
      </c>
      <c r="F168" s="23">
        <f>'Annual Raw'!G78</f>
        <v>14.1073</v>
      </c>
      <c r="G168" s="23">
        <f>'Annual Raw'!H78</f>
        <v>14.5524</v>
      </c>
      <c r="H168" s="23">
        <f>'Annual Raw'!I78</f>
        <v>20.100999999999999</v>
      </c>
      <c r="I168" s="23">
        <f>'Annual Raw'!J78</f>
        <v>21.487500000000001</v>
      </c>
      <c r="J168" s="23">
        <f>'Annual Raw'!K78</f>
        <v>16.333300000000001</v>
      </c>
      <c r="K168" s="23">
        <f>'Annual Raw'!L78</f>
        <v>14.285</v>
      </c>
      <c r="L168" s="23">
        <f>'Annual Raw'!M78</f>
        <v>20.7959</v>
      </c>
      <c r="M168" s="23">
        <f>'Annual Raw'!N78</f>
        <v>26.717400000000001</v>
      </c>
      <c r="N168" s="23">
        <f>'Annual Raw'!O78</f>
        <v>23.299299999999999</v>
      </c>
      <c r="O168" s="23">
        <f>'Annual Raw'!P78</f>
        <v>51.459499999999998</v>
      </c>
      <c r="P168" s="23">
        <f>'Annual Raw'!Q78</f>
        <v>133.25659999999999</v>
      </c>
      <c r="Q168" s="23">
        <f>'Annual Raw'!R78</f>
        <v>182.4545</v>
      </c>
      <c r="R168" s="23">
        <f>'Annual Raw'!S78</f>
        <v>251.5249</v>
      </c>
      <c r="S168" s="23">
        <f>'Annual Raw'!T78</f>
        <v>394.34460000000001</v>
      </c>
      <c r="T168" s="23">
        <f>'Annual Raw'!U78</f>
        <v>515.81460000000004</v>
      </c>
      <c r="U168" s="23">
        <f>'Annual Raw'!V78</f>
        <v>664.22469999999998</v>
      </c>
      <c r="V168" s="23">
        <f>'Annual Raw'!W78</f>
        <v>859.61980000000005</v>
      </c>
      <c r="W168" s="23">
        <f>'Annual Raw'!X78</f>
        <v>965.20899999999995</v>
      </c>
      <c r="X168" s="23">
        <f>'Annual Raw'!Y78</f>
        <v>1191.5528999999999</v>
      </c>
      <c r="Y168" s="23">
        <f>'Annual Raw'!Z78</f>
        <v>1392.4709</v>
      </c>
      <c r="Z168" s="23">
        <f>'Annual Raw'!AA78</f>
        <v>1606.3933</v>
      </c>
      <c r="AA168" s="23">
        <f>'Annual Raw'!AB78</f>
        <v>1668.6351</v>
      </c>
      <c r="AB168" s="24">
        <f t="shared" si="1290"/>
        <v>2267.1304085771858</v>
      </c>
      <c r="AC168" s="24">
        <f t="shared" si="1291"/>
        <v>3068.9862716686421</v>
      </c>
      <c r="AD168" s="24">
        <f t="shared" si="1292"/>
        <v>4239.6265933853892</v>
      </c>
      <c r="AE168" s="24">
        <f t="shared" si="1293"/>
        <v>5535.497274928528</v>
      </c>
      <c r="AJ168" s="23">
        <f>+'QTR Raw'!D83</f>
        <v>20.504000000000001</v>
      </c>
      <c r="AK168" s="23">
        <f t="shared" ref="AK168:AM168" si="1295">+AK218</f>
        <v>28.221434653879609</v>
      </c>
      <c r="AL168" s="23">
        <f>+'QTR Raw'!F83</f>
        <v>23.298999999999999</v>
      </c>
      <c r="AM168" s="23">
        <f t="shared" si="1295"/>
        <v>26.97511511821423</v>
      </c>
      <c r="AN168" s="23">
        <f>+'QTR Raw'!H83</f>
        <v>30.433</v>
      </c>
      <c r="AO168" s="23">
        <f t="shared" ref="AO168" si="1296">+AO218</f>
        <v>47.685615286624156</v>
      </c>
      <c r="AP168" s="23">
        <f>+'QTR Raw'!J83</f>
        <v>51.459000000000003</v>
      </c>
      <c r="AQ168" s="23">
        <f t="shared" ref="AQ168" si="1297">+AQ218</f>
        <v>81.22210740879072</v>
      </c>
      <c r="AR168" s="23">
        <f>+'QTR Raw'!L83</f>
        <v>65.403999999999996</v>
      </c>
      <c r="AS168" s="23">
        <f t="shared" ref="AS168" si="1298">+AS218</f>
        <v>87.248684456705945</v>
      </c>
      <c r="AT168" s="23">
        <f>+'QTR Raw'!N83</f>
        <v>133.25700000000001</v>
      </c>
      <c r="AU168" s="23">
        <f t="shared" ref="AU168" si="1299">+AU218</f>
        <v>164.29815693803073</v>
      </c>
      <c r="AV168" s="23">
        <f>+'QTR Raw'!P83</f>
        <v>113.89</v>
      </c>
      <c r="AW168" s="23">
        <f t="shared" ref="AW168" si="1300">+AW218</f>
        <v>149.24615070659735</v>
      </c>
      <c r="AX168" s="23">
        <f>+'QTR Raw'!R83</f>
        <v>182.45500000000001</v>
      </c>
      <c r="AY168" s="23">
        <f t="shared" ref="AY168" si="1301">+AY218</f>
        <v>224.32016525146963</v>
      </c>
      <c r="AZ168" s="23">
        <f>+'QTR Raw'!T83</f>
        <v>189.70099999999999</v>
      </c>
      <c r="BA168" s="23">
        <f t="shared" ref="BA168" si="1302">+BA218</f>
        <v>230.9271770112222</v>
      </c>
      <c r="BB168" s="23">
        <f>+'QTR Raw'!V83</f>
        <v>251.52500000000001</v>
      </c>
      <c r="BC168" s="23">
        <f t="shared" ref="BC168" si="1303">+BC218</f>
        <v>303.55380438046836</v>
      </c>
      <c r="BD168" s="23">
        <f>+'QTR Raw'!X83</f>
        <v>238.626</v>
      </c>
      <c r="BE168" s="23">
        <f t="shared" ref="BE168" si="1304">+BE218</f>
        <v>301.29299407284435</v>
      </c>
      <c r="BF168" s="23">
        <f>+'QTR Raw'!Z83</f>
        <v>394.34399999999999</v>
      </c>
      <c r="BG168" s="23">
        <f t="shared" ref="BG168" si="1305">+BG218</f>
        <v>460.19996869538807</v>
      </c>
      <c r="BH168" s="23">
        <f>+'QTR Raw'!AB83</f>
        <v>407.27800000000002</v>
      </c>
      <c r="BI168" s="23">
        <f t="shared" ref="BI168" si="1306">+BI218</f>
        <v>478.7564787280528</v>
      </c>
      <c r="BJ168" s="23">
        <f>+'QTR Raw'!AD83</f>
        <v>515.81399999999996</v>
      </c>
      <c r="BK168" s="23">
        <f t="shared" ref="BK168" si="1307">+BK218</f>
        <v>597.86569498202937</v>
      </c>
      <c r="BL168" s="23">
        <f>+'QTR Raw'!AF83</f>
        <v>504.68299999999999</v>
      </c>
      <c r="BM168" s="23">
        <f t="shared" ref="BM168" si="1308">+BM218</f>
        <v>551.65821192140527</v>
      </c>
      <c r="BN168" s="23">
        <f>+'QTR Raw'!AH83</f>
        <v>664.22500000000002</v>
      </c>
      <c r="BO168" s="23">
        <f t="shared" ref="BO168" si="1309">+BO218</f>
        <v>763.45378887863569</v>
      </c>
      <c r="BP168" s="23">
        <f>+'QTR Raw'!AJ83</f>
        <v>739.39400000000001</v>
      </c>
      <c r="BQ168" s="23">
        <f t="shared" ref="BQ168" si="1310">+BQ218</f>
        <v>810.15921169559635</v>
      </c>
      <c r="BR168" s="23">
        <f>+'QTR Raw'!AL83</f>
        <v>859.61900000000003</v>
      </c>
      <c r="BS168" s="23">
        <f t="shared" ref="BS168" si="1311">+BS218</f>
        <v>939.62658281313895</v>
      </c>
      <c r="BT168" s="23">
        <f>+'QTR Raw'!AN83</f>
        <v>879.75400000000002</v>
      </c>
      <c r="BU168" s="23">
        <f t="shared" ref="BU168" si="1312">+BU218</f>
        <v>1007.9872033608194</v>
      </c>
      <c r="BV168" s="23">
        <f>+'QTR Raw'!AP83</f>
        <v>965.20899999999995</v>
      </c>
      <c r="BW168" s="23">
        <f t="shared" ref="BW168" si="1313">+BW218</f>
        <v>1111.7819712089233</v>
      </c>
      <c r="BX168" s="23">
        <f>+'QTR Raw'!AR83</f>
        <v>961.65099999999995</v>
      </c>
      <c r="BY168" s="23">
        <f t="shared" ref="BY168" si="1314">+BY218</f>
        <v>1107.8392358462256</v>
      </c>
      <c r="BZ168" s="23">
        <f>+'QTR Raw'!AT83</f>
        <v>1191.5530000000001</v>
      </c>
      <c r="CA168" s="23">
        <f t="shared" ref="CA168" si="1315">+CA218</f>
        <v>1367.5281643689134</v>
      </c>
      <c r="CB168" s="23">
        <f>+'QTR Raw'!AV83</f>
        <v>1178.549</v>
      </c>
      <c r="CC168" s="23">
        <f t="shared" ref="CC168" si="1316">+CC218</f>
        <v>1355.9610610333698</v>
      </c>
      <c r="CD168" s="23">
        <f>+'QTR Raw'!AX83</f>
        <v>1392.471</v>
      </c>
      <c r="CE168" s="23">
        <f t="shared" ref="CE168" si="1317">+CE218</f>
        <v>1556.4666319194475</v>
      </c>
      <c r="CF168" s="23">
        <f>+'QTR Raw'!AZ83</f>
        <v>1316.624</v>
      </c>
      <c r="CG168" s="23">
        <f t="shared" ref="CG168:CI168" si="1318">+CG218</f>
        <v>1530.1647525741134</v>
      </c>
      <c r="CH168" s="23">
        <f t="shared" si="1294"/>
        <v>1606.3933</v>
      </c>
      <c r="CI168" s="23">
        <f t="shared" si="1318"/>
        <v>1791.0579886262351</v>
      </c>
      <c r="CJ168" s="23">
        <f>+'QTR Raw'!BD83</f>
        <v>1269.261</v>
      </c>
      <c r="CK168" s="23">
        <f t="shared" ref="CK168:DB168" si="1319">+CK218</f>
        <v>1303.1197184321563</v>
      </c>
      <c r="CL168" s="23">
        <f>+'QTR Raw'!BF83</f>
        <v>1668.635</v>
      </c>
      <c r="CM168" s="24">
        <f t="shared" si="1319"/>
        <v>1838.3173778419873</v>
      </c>
      <c r="CN168" s="24">
        <f t="shared" si="1319"/>
        <v>1958.1448347441171</v>
      </c>
      <c r="CO168" s="24">
        <f t="shared" si="1319"/>
        <v>2101.933465983901</v>
      </c>
      <c r="CP168" s="24">
        <f t="shared" si="1319"/>
        <v>2267.1304085771858</v>
      </c>
      <c r="CQ168" s="24">
        <f t="shared" si="1319"/>
        <v>2469.8444279740511</v>
      </c>
      <c r="CR168" s="24">
        <f t="shared" si="1319"/>
        <v>2648.9642959705202</v>
      </c>
      <c r="CS168" s="24">
        <f t="shared" si="1319"/>
        <v>2849.1111090446452</v>
      </c>
      <c r="CT168" s="24">
        <f t="shared" si="1319"/>
        <v>3068.9862716686421</v>
      </c>
      <c r="CU168" s="24">
        <f t="shared" si="1319"/>
        <v>3355.0884278089688</v>
      </c>
      <c r="CV168" s="24">
        <f t="shared" si="1319"/>
        <v>3641.7606217736411</v>
      </c>
      <c r="CW168" s="24">
        <f t="shared" si="1319"/>
        <v>3937.2857768899917</v>
      </c>
      <c r="CX168" s="24">
        <f t="shared" si="1319"/>
        <v>4239.6265933853892</v>
      </c>
      <c r="CY168" s="24">
        <f t="shared" si="1319"/>
        <v>4571.8331753170551</v>
      </c>
      <c r="CZ168" s="24">
        <f t="shared" si="1319"/>
        <v>4885.9080417784508</v>
      </c>
      <c r="DA168" s="24">
        <f t="shared" si="1319"/>
        <v>5207.2770735640806</v>
      </c>
      <c r="DB168" s="24">
        <f t="shared" si="1319"/>
        <v>5535.497274928528</v>
      </c>
      <c r="DE168" s="123"/>
      <c r="DF168" s="23">
        <v>1461.0022130773798</v>
      </c>
    </row>
    <row r="169" spans="1:110" s="22" customFormat="1" x14ac:dyDescent="0.2">
      <c r="A169" s="22" t="s">
        <v>77</v>
      </c>
      <c r="B169" s="22">
        <f>B167+B168</f>
        <v>10.064500000000001</v>
      </c>
      <c r="C169" s="22">
        <f t="shared" ref="C169:V169" si="1320">C167+C168</f>
        <v>7.3799000000000001</v>
      </c>
      <c r="D169" s="22">
        <f t="shared" si="1320"/>
        <v>4.1071999999999997</v>
      </c>
      <c r="E169" s="22">
        <f t="shared" si="1320"/>
        <v>17.401199999999999</v>
      </c>
      <c r="F169" s="22">
        <f t="shared" si="1320"/>
        <v>14.1073</v>
      </c>
      <c r="G169" s="22">
        <f t="shared" si="1320"/>
        <v>14.5524</v>
      </c>
      <c r="H169" s="22">
        <f t="shared" si="1320"/>
        <v>20.100999999999999</v>
      </c>
      <c r="I169" s="22">
        <f t="shared" si="1320"/>
        <v>21.487500000000001</v>
      </c>
      <c r="J169" s="22">
        <f t="shared" si="1320"/>
        <v>16.333300000000001</v>
      </c>
      <c r="K169" s="22">
        <f t="shared" si="1320"/>
        <v>14.285</v>
      </c>
      <c r="L169" s="22">
        <f t="shared" si="1320"/>
        <v>20.7959</v>
      </c>
      <c r="M169" s="22">
        <f t="shared" si="1320"/>
        <v>26.717400000000001</v>
      </c>
      <c r="N169" s="22">
        <f t="shared" si="1320"/>
        <v>23.299299999999999</v>
      </c>
      <c r="O169" s="22">
        <f t="shared" si="1320"/>
        <v>51.459499999999998</v>
      </c>
      <c r="P169" s="22">
        <f t="shared" si="1320"/>
        <v>133.25659999999999</v>
      </c>
      <c r="Q169" s="22">
        <f t="shared" si="1320"/>
        <v>182.4545</v>
      </c>
      <c r="R169" s="22">
        <f t="shared" si="1320"/>
        <v>251.5249</v>
      </c>
      <c r="S169" s="22">
        <f t="shared" si="1320"/>
        <v>394.34460000000001</v>
      </c>
      <c r="T169" s="22">
        <f t="shared" si="1320"/>
        <v>515.81460000000004</v>
      </c>
      <c r="U169" s="22">
        <f t="shared" si="1320"/>
        <v>664.22469999999998</v>
      </c>
      <c r="V169" s="22">
        <f t="shared" si="1320"/>
        <v>859.61980000000005</v>
      </c>
      <c r="W169" s="22">
        <f t="shared" ref="W169" si="1321">W167+W168</f>
        <v>965.20899999999995</v>
      </c>
      <c r="X169" s="22">
        <f t="shared" ref="X169:Y169" si="1322">X167+X168</f>
        <v>1191.5528999999999</v>
      </c>
      <c r="Y169" s="22">
        <f t="shared" si="1322"/>
        <v>1392.4709</v>
      </c>
      <c r="Z169" s="22">
        <f t="shared" ref="Z169:AA169" si="1323">Z167+Z168</f>
        <v>1606.3933</v>
      </c>
      <c r="AA169" s="22">
        <f t="shared" si="1323"/>
        <v>1668.6351</v>
      </c>
      <c r="AB169" s="21">
        <f t="shared" ref="AA169:AD169" si="1324">AB167+AB168</f>
        <v>2267.1304085771858</v>
      </c>
      <c r="AC169" s="21">
        <f t="shared" si="1324"/>
        <v>3068.9862716686421</v>
      </c>
      <c r="AD169" s="21">
        <f t="shared" si="1324"/>
        <v>4239.6265933853892</v>
      </c>
      <c r="AE169" s="21">
        <f t="shared" ref="AE169" si="1325">AE167+AE168</f>
        <v>5535.497274928528</v>
      </c>
      <c r="AJ169" s="22">
        <f t="shared" ref="AJ169" si="1326">AJ167+AJ168</f>
        <v>20.504000000000001</v>
      </c>
      <c r="AK169" s="22">
        <f t="shared" ref="AK169" si="1327">AK167+AK168</f>
        <v>28.221434653879609</v>
      </c>
      <c r="AL169" s="22">
        <f t="shared" ref="AL169:AM169" si="1328">AL167+AL168</f>
        <v>23.298999999999999</v>
      </c>
      <c r="AM169" s="22">
        <f t="shared" si="1328"/>
        <v>26.97511511821423</v>
      </c>
      <c r="AN169" s="22">
        <f t="shared" ref="AN169:AO169" si="1329">AN167+AN168</f>
        <v>30.433</v>
      </c>
      <c r="AO169" s="22">
        <f t="shared" si="1329"/>
        <v>47.685615286624156</v>
      </c>
      <c r="AP169" s="22">
        <f t="shared" ref="AP169:CE169" si="1330">AP167+AP168</f>
        <v>51.459000000000003</v>
      </c>
      <c r="AQ169" s="22">
        <f t="shared" si="1330"/>
        <v>81.22210740879072</v>
      </c>
      <c r="AR169" s="22">
        <f t="shared" si="1330"/>
        <v>65.403999999999996</v>
      </c>
      <c r="AS169" s="22">
        <f t="shared" si="1330"/>
        <v>87.248684456705945</v>
      </c>
      <c r="AT169" s="22">
        <f t="shared" si="1330"/>
        <v>133.25700000000001</v>
      </c>
      <c r="AU169" s="22">
        <f t="shared" si="1330"/>
        <v>164.29815693803073</v>
      </c>
      <c r="AV169" s="22">
        <f t="shared" si="1330"/>
        <v>113.89</v>
      </c>
      <c r="AW169" s="22">
        <f t="shared" si="1330"/>
        <v>149.24615070659735</v>
      </c>
      <c r="AX169" s="22">
        <f t="shared" si="1330"/>
        <v>182.45500000000001</v>
      </c>
      <c r="AY169" s="22">
        <f t="shared" si="1330"/>
        <v>224.32016525146963</v>
      </c>
      <c r="AZ169" s="22">
        <f t="shared" si="1330"/>
        <v>189.70099999999999</v>
      </c>
      <c r="BA169" s="22">
        <f t="shared" si="1330"/>
        <v>230.9271770112222</v>
      </c>
      <c r="BB169" s="22">
        <f t="shared" si="1330"/>
        <v>251.52500000000001</v>
      </c>
      <c r="BC169" s="22">
        <f t="shared" si="1330"/>
        <v>303.55380438046836</v>
      </c>
      <c r="BD169" s="22">
        <f t="shared" si="1330"/>
        <v>238.626</v>
      </c>
      <c r="BE169" s="22">
        <f t="shared" si="1330"/>
        <v>301.29299407284435</v>
      </c>
      <c r="BF169" s="22">
        <f t="shared" si="1330"/>
        <v>394.34399999999999</v>
      </c>
      <c r="BG169" s="22">
        <f t="shared" si="1330"/>
        <v>460.19996869538807</v>
      </c>
      <c r="BH169" s="22">
        <f t="shared" si="1330"/>
        <v>407.27800000000002</v>
      </c>
      <c r="BI169" s="22">
        <f t="shared" si="1330"/>
        <v>478.7564787280528</v>
      </c>
      <c r="BJ169" s="22">
        <f t="shared" si="1330"/>
        <v>515.81399999999996</v>
      </c>
      <c r="BK169" s="22">
        <f t="shared" si="1330"/>
        <v>597.86569498202937</v>
      </c>
      <c r="BL169" s="22">
        <f t="shared" si="1330"/>
        <v>504.68299999999999</v>
      </c>
      <c r="BM169" s="22">
        <f t="shared" si="1330"/>
        <v>551.65821192140527</v>
      </c>
      <c r="BN169" s="22">
        <f t="shared" si="1330"/>
        <v>664.22500000000002</v>
      </c>
      <c r="BO169" s="22">
        <f t="shared" si="1330"/>
        <v>763.45378887863569</v>
      </c>
      <c r="BP169" s="22">
        <f t="shared" si="1330"/>
        <v>739.39400000000001</v>
      </c>
      <c r="BQ169" s="22">
        <f t="shared" si="1330"/>
        <v>810.15921169559635</v>
      </c>
      <c r="BR169" s="22">
        <f t="shared" si="1330"/>
        <v>859.61900000000003</v>
      </c>
      <c r="BS169" s="22">
        <f t="shared" si="1330"/>
        <v>939.62658281313895</v>
      </c>
      <c r="BT169" s="22">
        <f t="shared" si="1330"/>
        <v>879.75400000000002</v>
      </c>
      <c r="BU169" s="22">
        <f t="shared" si="1330"/>
        <v>1007.9872033608194</v>
      </c>
      <c r="BV169" s="22">
        <f t="shared" si="1330"/>
        <v>965.20899999999995</v>
      </c>
      <c r="BW169" s="22">
        <f t="shared" si="1330"/>
        <v>1111.7819712089233</v>
      </c>
      <c r="BX169" s="22">
        <f t="shared" si="1330"/>
        <v>961.65099999999995</v>
      </c>
      <c r="BY169" s="22">
        <f t="shared" si="1330"/>
        <v>1107.8392358462256</v>
      </c>
      <c r="BZ169" s="22">
        <f t="shared" si="1330"/>
        <v>1191.5530000000001</v>
      </c>
      <c r="CA169" s="22">
        <f t="shared" si="1330"/>
        <v>1367.5281643689134</v>
      </c>
      <c r="CB169" s="22">
        <f t="shared" si="1330"/>
        <v>1178.549</v>
      </c>
      <c r="CC169" s="22">
        <f t="shared" si="1330"/>
        <v>1355.9610610333698</v>
      </c>
      <c r="CD169" s="22">
        <f t="shared" si="1330"/>
        <v>1392.471</v>
      </c>
      <c r="CE169" s="22">
        <f t="shared" si="1330"/>
        <v>1556.4666319194475</v>
      </c>
      <c r="CF169" s="22">
        <f t="shared" ref="CF169:CG169" si="1331">CF167+CF168</f>
        <v>1316.624</v>
      </c>
      <c r="CG169" s="22">
        <f t="shared" si="1331"/>
        <v>1530.1647525741134</v>
      </c>
      <c r="CH169" s="22">
        <f t="shared" ref="CH169:CI169" si="1332">CH167+CH168</f>
        <v>1606.3933</v>
      </c>
      <c r="CI169" s="22">
        <f t="shared" si="1332"/>
        <v>1791.0579886262351</v>
      </c>
      <c r="CJ169" s="22">
        <f t="shared" ref="CJ169:DB169" si="1333">CJ167+CJ168</f>
        <v>1269.261</v>
      </c>
      <c r="CK169" s="22">
        <f t="shared" si="1333"/>
        <v>1303.1197184321563</v>
      </c>
      <c r="CL169" s="22">
        <f t="shared" ref="CL169" si="1334">CL167+CL168</f>
        <v>1668.635</v>
      </c>
      <c r="CM169" s="21">
        <f t="shared" si="1333"/>
        <v>1838.3173778419873</v>
      </c>
      <c r="CN169" s="21">
        <f t="shared" si="1333"/>
        <v>1958.1448347441171</v>
      </c>
      <c r="CO169" s="21">
        <f t="shared" si="1333"/>
        <v>2101.933465983901</v>
      </c>
      <c r="CP169" s="21">
        <f t="shared" si="1333"/>
        <v>2267.1304085771858</v>
      </c>
      <c r="CQ169" s="21">
        <f t="shared" si="1333"/>
        <v>2469.8444279740511</v>
      </c>
      <c r="CR169" s="21">
        <f t="shared" si="1333"/>
        <v>2648.9642959705202</v>
      </c>
      <c r="CS169" s="21">
        <f t="shared" si="1333"/>
        <v>2849.1111090446452</v>
      </c>
      <c r="CT169" s="21">
        <f t="shared" si="1333"/>
        <v>3068.9862716686421</v>
      </c>
      <c r="CU169" s="21">
        <f t="shared" si="1333"/>
        <v>3355.0884278089688</v>
      </c>
      <c r="CV169" s="21">
        <f t="shared" si="1333"/>
        <v>3641.7606217736411</v>
      </c>
      <c r="CW169" s="21">
        <f t="shared" si="1333"/>
        <v>3937.2857768899917</v>
      </c>
      <c r="CX169" s="21">
        <f t="shared" si="1333"/>
        <v>4239.6265933853892</v>
      </c>
      <c r="CY169" s="21">
        <f t="shared" si="1333"/>
        <v>4571.8331753170551</v>
      </c>
      <c r="CZ169" s="21">
        <f t="shared" si="1333"/>
        <v>4885.9080417784508</v>
      </c>
      <c r="DA169" s="21">
        <f t="shared" si="1333"/>
        <v>5207.2770735640806</v>
      </c>
      <c r="DB169" s="21">
        <f t="shared" si="1333"/>
        <v>5535.497274928528</v>
      </c>
      <c r="DE169" s="126"/>
      <c r="DF169" s="22">
        <v>1461.0022130773798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x14ac:dyDescent="0.2">
      <c r="A171" s="23" t="s">
        <v>78</v>
      </c>
      <c r="B171" s="23">
        <f>-'Annual Raw'!C49</f>
        <v>0</v>
      </c>
      <c r="C171" s="23">
        <f>-'Annual Raw'!D49</f>
        <v>-2.5903999999999998</v>
      </c>
      <c r="D171" s="23">
        <f>-'Annual Raw'!E49</f>
        <v>-2.9502000000000002</v>
      </c>
      <c r="E171" s="23">
        <f>-'Annual Raw'!F49</f>
        <v>-1.8414999999999999</v>
      </c>
      <c r="F171" s="23">
        <f>-'Annual Raw'!G49</f>
        <v>-2.3018000000000001</v>
      </c>
      <c r="G171" s="23">
        <f>-'Annual Raw'!H49</f>
        <v>-3.4756</v>
      </c>
      <c r="H171" s="23">
        <f>-'Annual Raw'!I49</f>
        <v>-3.8148</v>
      </c>
      <c r="I171" s="23">
        <f>-'Annual Raw'!J49</f>
        <v>-5.2190000000000003</v>
      </c>
      <c r="J171" s="23">
        <f>-'Annual Raw'!K49</f>
        <v>-4.9000000000000004</v>
      </c>
      <c r="K171" s="23">
        <f>-'Annual Raw'!L49</f>
        <v>-5.2149999999999999</v>
      </c>
      <c r="L171" s="23">
        <f>-'Annual Raw'!M49</f>
        <v>-1.5</v>
      </c>
      <c r="M171" s="23">
        <f>-'Annual Raw'!N49</f>
        <v>-3.72</v>
      </c>
      <c r="N171" s="23">
        <f>-'Annual Raw'!O49</f>
        <v>-4.47</v>
      </c>
      <c r="O171" s="23">
        <f>-'Annual Raw'!P49</f>
        <v>-6.84</v>
      </c>
      <c r="P171" s="23">
        <f>-'Annual Raw'!Q49</f>
        <v>0.43640000000000001</v>
      </c>
      <c r="Q171" s="23">
        <f>-'Annual Raw'!R49</f>
        <v>1.2664</v>
      </c>
      <c r="R171" s="23">
        <f>-'Annual Raw'!S49</f>
        <v>3.23</v>
      </c>
      <c r="S171" s="23">
        <f>-'Annual Raw'!T49</f>
        <v>4.12</v>
      </c>
      <c r="T171" s="23">
        <f>-'Annual Raw'!U49</f>
        <v>5.97</v>
      </c>
      <c r="U171" s="23">
        <f>-'Annual Raw'!V49</f>
        <v>8.7683</v>
      </c>
      <c r="V171" s="23">
        <f>-'Annual Raw'!W49</f>
        <v>9.9582999999999995</v>
      </c>
      <c r="W171" s="23">
        <f>-'Annual Raw'!X49</f>
        <v>8.9682999999999993</v>
      </c>
      <c r="X171" s="23">
        <f>-'Annual Raw'!Y49</f>
        <v>12.888299999999999</v>
      </c>
      <c r="Y171" s="23">
        <f>-'Annual Raw'!Z49</f>
        <v>23.869</v>
      </c>
      <c r="Z171" s="23">
        <f>-'Annual Raw'!AA49</f>
        <v>37.626199999999997</v>
      </c>
      <c r="AA171" s="23">
        <f>-'Annual Raw'!AB49</f>
        <v>78.726699999999994</v>
      </c>
      <c r="AB171" s="24">
        <f t="shared" ref="AB171:AB172" si="1335">+CP171</f>
        <v>78.727000000000004</v>
      </c>
      <c r="AC171" s="24">
        <f t="shared" ref="AC171:AC172" si="1336">+CT171</f>
        <v>78.727000000000004</v>
      </c>
      <c r="AD171" s="24">
        <f t="shared" ref="AD171:AD172" si="1337">+CX171</f>
        <v>78.727000000000004</v>
      </c>
      <c r="AE171" s="24">
        <f t="shared" ref="AE171:AE172" si="1338">+DB171</f>
        <v>78.727000000000004</v>
      </c>
      <c r="AJ171" s="23">
        <f>+'QTR Raw'!D96</f>
        <v>1.97</v>
      </c>
      <c r="AK171" s="23">
        <f t="shared" ref="AK171:CE171" si="1339">+AJ171</f>
        <v>1.97</v>
      </c>
      <c r="AL171" s="23">
        <f>+'QTR Raw'!F96</f>
        <v>-4.47</v>
      </c>
      <c r="AM171" s="23">
        <f t="shared" si="1339"/>
        <v>-4.47</v>
      </c>
      <c r="AN171" s="23">
        <f>+'QTR Raw'!H96</f>
        <v>-0.46</v>
      </c>
      <c r="AO171" s="23">
        <f t="shared" si="1339"/>
        <v>-0.46</v>
      </c>
      <c r="AP171" s="23">
        <f>+'QTR Raw'!J96</f>
        <v>-6.84</v>
      </c>
      <c r="AQ171" s="23">
        <f t="shared" si="1339"/>
        <v>-6.84</v>
      </c>
      <c r="AR171" s="23">
        <f>+'QTR Raw'!L96</f>
        <v>-1.73</v>
      </c>
      <c r="AS171" s="23">
        <f t="shared" si="1339"/>
        <v>-1.73</v>
      </c>
      <c r="AT171" s="23">
        <f>+'QTR Raw'!N96</f>
        <v>0.436</v>
      </c>
      <c r="AU171" s="23">
        <f t="shared" si="1339"/>
        <v>0.436</v>
      </c>
      <c r="AV171" s="23">
        <f>+'QTR Raw'!P96</f>
        <v>2.8359999999999999</v>
      </c>
      <c r="AW171" s="23">
        <f t="shared" si="1339"/>
        <v>2.8359999999999999</v>
      </c>
      <c r="AX171" s="23">
        <f>+'QTR Raw'!R96</f>
        <v>1.266</v>
      </c>
      <c r="AY171" s="23">
        <f t="shared" si="1339"/>
        <v>1.266</v>
      </c>
      <c r="AZ171" s="23">
        <f>+'QTR Raw'!T96</f>
        <v>3.15</v>
      </c>
      <c r="BA171" s="23">
        <f t="shared" si="1339"/>
        <v>3.15</v>
      </c>
      <c r="BB171" s="23">
        <f>+'QTR Raw'!V96</f>
        <v>3.23</v>
      </c>
      <c r="BC171" s="23">
        <f t="shared" si="1339"/>
        <v>3.23</v>
      </c>
      <c r="BD171" s="23">
        <f>+'QTR Raw'!X96</f>
        <v>5.19</v>
      </c>
      <c r="BE171" s="23">
        <f t="shared" si="1339"/>
        <v>5.19</v>
      </c>
      <c r="BF171" s="23">
        <f>+'QTR Raw'!Z96</f>
        <v>4.12</v>
      </c>
      <c r="BG171" s="23">
        <f t="shared" si="1339"/>
        <v>4.12</v>
      </c>
      <c r="BH171" s="23">
        <f>+'QTR Raw'!AB96</f>
        <v>6.2</v>
      </c>
      <c r="BI171" s="23">
        <f t="shared" si="1339"/>
        <v>6.2</v>
      </c>
      <c r="BJ171" s="23">
        <f>+'QTR Raw'!AD96</f>
        <v>5.97</v>
      </c>
      <c r="BK171" s="23">
        <f t="shared" si="1339"/>
        <v>5.97</v>
      </c>
      <c r="BL171" s="23">
        <f>+'QTR Raw'!AF96</f>
        <v>10.039999999999999</v>
      </c>
      <c r="BM171" s="23">
        <f t="shared" si="1339"/>
        <v>10.039999999999999</v>
      </c>
      <c r="BN171" s="23">
        <f>+'QTR Raw'!AH96</f>
        <v>8.7680000000000007</v>
      </c>
      <c r="BO171" s="23">
        <f t="shared" si="1339"/>
        <v>8.7680000000000007</v>
      </c>
      <c r="BP171" s="23">
        <f>+'QTR Raw'!AJ96</f>
        <v>10.686</v>
      </c>
      <c r="BQ171" s="23">
        <f t="shared" si="1339"/>
        <v>10.686</v>
      </c>
      <c r="BR171" s="23">
        <f>+'QTR Raw'!AL96</f>
        <v>9.9580000000000002</v>
      </c>
      <c r="BS171" s="23">
        <f t="shared" si="1339"/>
        <v>9.9580000000000002</v>
      </c>
      <c r="BT171" s="23">
        <f>+'QTR Raw'!AN96</f>
        <v>13.038</v>
      </c>
      <c r="BU171" s="23">
        <f t="shared" si="1339"/>
        <v>13.038</v>
      </c>
      <c r="BV171" s="23">
        <f>+'QTR Raw'!AP96</f>
        <v>8.968</v>
      </c>
      <c r="BW171" s="23">
        <f t="shared" si="1339"/>
        <v>8.968</v>
      </c>
      <c r="BX171" s="23">
        <f>+'QTR Raw'!AR96</f>
        <v>11.898</v>
      </c>
      <c r="BY171" s="23">
        <f t="shared" si="1339"/>
        <v>11.898</v>
      </c>
      <c r="BZ171" s="23">
        <f>+'QTR Raw'!AT96</f>
        <v>12.888</v>
      </c>
      <c r="CA171" s="23">
        <f t="shared" si="1339"/>
        <v>12.888</v>
      </c>
      <c r="CB171" s="23">
        <f>+'QTR Raw'!AV96</f>
        <v>19.108000000000001</v>
      </c>
      <c r="CC171" s="23">
        <f t="shared" si="1339"/>
        <v>19.108000000000001</v>
      </c>
      <c r="CD171" s="23">
        <f>+'QTR Raw'!AX96</f>
        <v>23.869</v>
      </c>
      <c r="CE171" s="23">
        <f t="shared" si="1339"/>
        <v>23.869</v>
      </c>
      <c r="CF171" s="23">
        <f>+'QTR Raw'!AZ96</f>
        <v>27.74</v>
      </c>
      <c r="CG171" s="23">
        <f t="shared" ref="CG171:CI172" si="1340">+CF171</f>
        <v>27.74</v>
      </c>
      <c r="CH171" s="23">
        <f t="shared" ref="CH171:CH172" si="1341">Z171</f>
        <v>37.626199999999997</v>
      </c>
      <c r="CI171" s="23">
        <f t="shared" si="1340"/>
        <v>37.626199999999997</v>
      </c>
      <c r="CJ171" s="23">
        <f>+'QTR Raw'!BD96</f>
        <v>48.762999999999998</v>
      </c>
      <c r="CK171" s="23">
        <f t="shared" ref="CK171:CK172" si="1342">+CJ171</f>
        <v>48.762999999999998</v>
      </c>
      <c r="CL171" s="23">
        <f>+'QTR Raw'!BF96</f>
        <v>78.727000000000004</v>
      </c>
      <c r="CM171" s="24">
        <f t="shared" ref="CM171:CM172" si="1343">+CL171</f>
        <v>78.727000000000004</v>
      </c>
      <c r="CN171" s="24">
        <f t="shared" ref="CN171:CN172" si="1344">+CM171</f>
        <v>78.727000000000004</v>
      </c>
      <c r="CO171" s="24">
        <f t="shared" ref="CO171:CO172" si="1345">+CN171</f>
        <v>78.727000000000004</v>
      </c>
      <c r="CP171" s="24">
        <f t="shared" ref="CP171:CP172" si="1346">+CO171</f>
        <v>78.727000000000004</v>
      </c>
      <c r="CQ171" s="24">
        <f t="shared" ref="CQ171:CQ172" si="1347">+CP171</f>
        <v>78.727000000000004</v>
      </c>
      <c r="CR171" s="24">
        <f t="shared" ref="CR171:CR172" si="1348">+CQ171</f>
        <v>78.727000000000004</v>
      </c>
      <c r="CS171" s="24">
        <f t="shared" ref="CS171:CS172" si="1349">+CR171</f>
        <v>78.727000000000004</v>
      </c>
      <c r="CT171" s="24">
        <f t="shared" ref="CT171:CT172" si="1350">+CS171</f>
        <v>78.727000000000004</v>
      </c>
      <c r="CU171" s="24">
        <f t="shared" ref="CU171:CU172" si="1351">+CT171</f>
        <v>78.727000000000004</v>
      </c>
      <c r="CV171" s="24">
        <f t="shared" ref="CV171:CV172" si="1352">+CU171</f>
        <v>78.727000000000004</v>
      </c>
      <c r="CW171" s="24">
        <f t="shared" ref="CW171:CW172" si="1353">+CV171</f>
        <v>78.727000000000004</v>
      </c>
      <c r="CX171" s="24">
        <f t="shared" ref="CX171:CX172" si="1354">+CW171</f>
        <v>78.727000000000004</v>
      </c>
      <c r="CY171" s="24">
        <f t="shared" ref="CY171:CY172" si="1355">+CX171</f>
        <v>78.727000000000004</v>
      </c>
      <c r="CZ171" s="24">
        <f t="shared" ref="CZ171:CZ172" si="1356">+CY171</f>
        <v>78.727000000000004</v>
      </c>
      <c r="DA171" s="24">
        <f t="shared" ref="DA171:DA172" si="1357">+CZ171</f>
        <v>78.727000000000004</v>
      </c>
      <c r="DB171" s="24">
        <f t="shared" ref="DB171:DB172" si="1358">+DA171</f>
        <v>78.727000000000004</v>
      </c>
      <c r="DE171" s="123"/>
      <c r="DF171" s="23">
        <v>48.762999999999998</v>
      </c>
    </row>
    <row r="172" spans="1:110" s="23" customFormat="1" x14ac:dyDescent="0.2">
      <c r="A172" s="23" t="s">
        <v>79</v>
      </c>
      <c r="B172" s="23">
        <f>'Annual Raw'!C83</f>
        <v>0</v>
      </c>
      <c r="C172" s="23">
        <f>'Annual Raw'!D83</f>
        <v>0</v>
      </c>
      <c r="D172" s="23">
        <f>'Annual Raw'!E83</f>
        <v>0</v>
      </c>
      <c r="E172" s="23">
        <f>'Annual Raw'!F83</f>
        <v>0</v>
      </c>
      <c r="F172" s="23">
        <f>'Annual Raw'!G83</f>
        <v>0</v>
      </c>
      <c r="G172" s="23">
        <f>'Annual Raw'!H83</f>
        <v>0</v>
      </c>
      <c r="H172" s="23">
        <f>'Annual Raw'!I83</f>
        <v>0</v>
      </c>
      <c r="I172" s="23">
        <f>'Annual Raw'!J83</f>
        <v>0</v>
      </c>
      <c r="J172" s="23">
        <f>'Annual Raw'!K83</f>
        <v>0</v>
      </c>
      <c r="K172" s="23">
        <f>'Annual Raw'!L83</f>
        <v>0</v>
      </c>
      <c r="L172" s="23">
        <f>'Annual Raw'!M83</f>
        <v>0</v>
      </c>
      <c r="M172" s="23">
        <f>'Annual Raw'!N83</f>
        <v>0</v>
      </c>
      <c r="N172" s="23">
        <f>'Annual Raw'!O83</f>
        <v>0</v>
      </c>
      <c r="O172" s="23">
        <f>'Annual Raw'!P83</f>
        <v>0</v>
      </c>
      <c r="P172" s="23">
        <f>'Annual Raw'!Q83</f>
        <v>0</v>
      </c>
      <c r="Q172" s="23">
        <f>'Annual Raw'!R83</f>
        <v>0</v>
      </c>
      <c r="R172" s="23">
        <f>'Annual Raw'!S83</f>
        <v>0</v>
      </c>
      <c r="S172" s="23">
        <f>'Annual Raw'!T83</f>
        <v>0</v>
      </c>
      <c r="T172" s="23">
        <f>'Annual Raw'!U83</f>
        <v>0</v>
      </c>
      <c r="U172" s="23">
        <f>'Annual Raw'!V83</f>
        <v>0</v>
      </c>
      <c r="V172" s="23">
        <f>'Annual Raw'!W83</f>
        <v>0</v>
      </c>
      <c r="W172" s="23">
        <f>'Annual Raw'!X83</f>
        <v>0</v>
      </c>
      <c r="X172" s="23">
        <f>'Annual Raw'!Y83</f>
        <v>0</v>
      </c>
      <c r="Y172" s="23">
        <f>'Annual Raw'!Z83</f>
        <v>0</v>
      </c>
      <c r="Z172" s="23">
        <f>'Annual Raw'!AA83</f>
        <v>0</v>
      </c>
      <c r="AA172" s="23">
        <f>'Annual Raw'!AB83</f>
        <v>0</v>
      </c>
      <c r="AB172" s="24">
        <f t="shared" si="1335"/>
        <v>0</v>
      </c>
      <c r="AC172" s="24">
        <f t="shared" si="1336"/>
        <v>0</v>
      </c>
      <c r="AD172" s="24">
        <f t="shared" si="1337"/>
        <v>0</v>
      </c>
      <c r="AE172" s="24">
        <f t="shared" si="1338"/>
        <v>0</v>
      </c>
      <c r="AJ172" s="23">
        <f>+'QTR Raw'!D95</f>
        <v>0</v>
      </c>
      <c r="AK172" s="23">
        <f t="shared" ref="AK172:CE172" si="1359">+AJ172</f>
        <v>0</v>
      </c>
      <c r="AL172" s="23">
        <f>+'QTR Raw'!F95</f>
        <v>0</v>
      </c>
      <c r="AM172" s="23">
        <f t="shared" si="1359"/>
        <v>0</v>
      </c>
      <c r="AN172" s="23">
        <f>+'QTR Raw'!H95</f>
        <v>0</v>
      </c>
      <c r="AO172" s="23">
        <f t="shared" si="1359"/>
        <v>0</v>
      </c>
      <c r="AP172" s="23">
        <f>+'QTR Raw'!J95</f>
        <v>0</v>
      </c>
      <c r="AQ172" s="23">
        <f t="shared" si="1359"/>
        <v>0</v>
      </c>
      <c r="AR172" s="23">
        <f>+'QTR Raw'!L95</f>
        <v>0</v>
      </c>
      <c r="AS172" s="23">
        <f t="shared" si="1359"/>
        <v>0</v>
      </c>
      <c r="AT172" s="23">
        <f>+'QTR Raw'!N95</f>
        <v>0</v>
      </c>
      <c r="AU172" s="23">
        <f t="shared" si="1359"/>
        <v>0</v>
      </c>
      <c r="AV172" s="23">
        <f>+'QTR Raw'!P95</f>
        <v>0</v>
      </c>
      <c r="AW172" s="23">
        <f t="shared" si="1359"/>
        <v>0</v>
      </c>
      <c r="AX172" s="23">
        <f>+'QTR Raw'!R95</f>
        <v>0</v>
      </c>
      <c r="AY172" s="23">
        <f t="shared" si="1359"/>
        <v>0</v>
      </c>
      <c r="AZ172" s="23">
        <f>+'QTR Raw'!T95</f>
        <v>0</v>
      </c>
      <c r="BA172" s="23">
        <f t="shared" si="1359"/>
        <v>0</v>
      </c>
      <c r="BB172" s="23">
        <f>+'QTR Raw'!V95</f>
        <v>0</v>
      </c>
      <c r="BC172" s="23">
        <f t="shared" si="1359"/>
        <v>0</v>
      </c>
      <c r="BD172" s="23">
        <f>+'QTR Raw'!X95</f>
        <v>0</v>
      </c>
      <c r="BE172" s="23">
        <f t="shared" si="1359"/>
        <v>0</v>
      </c>
      <c r="BF172" s="23">
        <f>+'QTR Raw'!Z95</f>
        <v>0</v>
      </c>
      <c r="BG172" s="23">
        <f t="shared" si="1359"/>
        <v>0</v>
      </c>
      <c r="BH172" s="23">
        <f>+'QTR Raw'!AB95</f>
        <v>0</v>
      </c>
      <c r="BI172" s="23">
        <f t="shared" si="1359"/>
        <v>0</v>
      </c>
      <c r="BJ172" s="23">
        <f>+'QTR Raw'!AD95</f>
        <v>0</v>
      </c>
      <c r="BK172" s="23">
        <f t="shared" si="1359"/>
        <v>0</v>
      </c>
      <c r="BL172" s="23">
        <f>+'QTR Raw'!AF95</f>
        <v>0</v>
      </c>
      <c r="BM172" s="23">
        <f t="shared" si="1359"/>
        <v>0</v>
      </c>
      <c r="BN172" s="23">
        <f>+'QTR Raw'!AH95</f>
        <v>0</v>
      </c>
      <c r="BO172" s="23">
        <f t="shared" si="1359"/>
        <v>0</v>
      </c>
      <c r="BP172" s="23">
        <f>+'QTR Raw'!AJ95</f>
        <v>0</v>
      </c>
      <c r="BQ172" s="23">
        <f t="shared" si="1359"/>
        <v>0</v>
      </c>
      <c r="BR172" s="23">
        <f>+'QTR Raw'!AL95</f>
        <v>0</v>
      </c>
      <c r="BS172" s="23">
        <f t="shared" si="1359"/>
        <v>0</v>
      </c>
      <c r="BT172" s="23">
        <f>+'QTR Raw'!AN95</f>
        <v>0</v>
      </c>
      <c r="BU172" s="23">
        <f t="shared" si="1359"/>
        <v>0</v>
      </c>
      <c r="BV172" s="23">
        <f>+'QTR Raw'!AP95</f>
        <v>0</v>
      </c>
      <c r="BW172" s="23">
        <f t="shared" si="1359"/>
        <v>0</v>
      </c>
      <c r="BX172" s="23">
        <f>+'QTR Raw'!AR95</f>
        <v>0</v>
      </c>
      <c r="BY172" s="23">
        <f t="shared" si="1359"/>
        <v>0</v>
      </c>
      <c r="BZ172" s="23">
        <f>+'QTR Raw'!AT95</f>
        <v>0</v>
      </c>
      <c r="CA172" s="23">
        <f t="shared" si="1359"/>
        <v>0</v>
      </c>
      <c r="CB172" s="23">
        <f>+'QTR Raw'!AV95</f>
        <v>0</v>
      </c>
      <c r="CC172" s="23">
        <f t="shared" si="1359"/>
        <v>0</v>
      </c>
      <c r="CD172" s="23">
        <f>+'QTR Raw'!AX95</f>
        <v>0</v>
      </c>
      <c r="CE172" s="23">
        <f t="shared" si="1359"/>
        <v>0</v>
      </c>
      <c r="CF172" s="23">
        <f>+'QTR Raw'!AZ95</f>
        <v>0</v>
      </c>
      <c r="CG172" s="23">
        <f t="shared" si="1340"/>
        <v>0</v>
      </c>
      <c r="CH172" s="23">
        <f t="shared" si="1341"/>
        <v>0</v>
      </c>
      <c r="CI172" s="23">
        <f t="shared" si="1340"/>
        <v>0</v>
      </c>
      <c r="CJ172" s="23">
        <f>+'QTR Raw'!BD95</f>
        <v>0</v>
      </c>
      <c r="CK172" s="23">
        <f t="shared" si="1342"/>
        <v>0</v>
      </c>
      <c r="CL172" s="23">
        <f>+'QTR Raw'!BF95</f>
        <v>0</v>
      </c>
      <c r="CM172" s="24">
        <f t="shared" si="1343"/>
        <v>0</v>
      </c>
      <c r="CN172" s="24">
        <f t="shared" si="1344"/>
        <v>0</v>
      </c>
      <c r="CO172" s="24">
        <f t="shared" si="1345"/>
        <v>0</v>
      </c>
      <c r="CP172" s="24">
        <f t="shared" si="1346"/>
        <v>0</v>
      </c>
      <c r="CQ172" s="24">
        <f t="shared" si="1347"/>
        <v>0</v>
      </c>
      <c r="CR172" s="24">
        <f t="shared" si="1348"/>
        <v>0</v>
      </c>
      <c r="CS172" s="24">
        <f t="shared" si="1349"/>
        <v>0</v>
      </c>
      <c r="CT172" s="24">
        <f t="shared" si="1350"/>
        <v>0</v>
      </c>
      <c r="CU172" s="24">
        <f t="shared" si="1351"/>
        <v>0</v>
      </c>
      <c r="CV172" s="24">
        <f t="shared" si="1352"/>
        <v>0</v>
      </c>
      <c r="CW172" s="24">
        <f t="shared" si="1353"/>
        <v>0</v>
      </c>
      <c r="CX172" s="24">
        <f t="shared" si="1354"/>
        <v>0</v>
      </c>
      <c r="CY172" s="24">
        <f t="shared" si="1355"/>
        <v>0</v>
      </c>
      <c r="CZ172" s="24">
        <f t="shared" si="1356"/>
        <v>0</v>
      </c>
      <c r="DA172" s="24">
        <f t="shared" si="1357"/>
        <v>0</v>
      </c>
      <c r="DB172" s="24">
        <f t="shared" si="1358"/>
        <v>0</v>
      </c>
      <c r="DE172" s="123"/>
      <c r="DF172" s="23">
        <v>0</v>
      </c>
    </row>
    <row r="173" spans="1:110" s="26" customFormat="1" x14ac:dyDescent="0.2">
      <c r="A173" s="26" t="s">
        <v>438</v>
      </c>
      <c r="B173" s="26">
        <f t="shared" ref="B173:W173" si="1360">B171+B169+B165+B148+B146+B172</f>
        <v>57.194600000000008</v>
      </c>
      <c r="C173" s="26">
        <f t="shared" si="1360"/>
        <v>43.907800000000002</v>
      </c>
      <c r="D173" s="26">
        <f t="shared" si="1360"/>
        <v>47.042600000000007</v>
      </c>
      <c r="E173" s="26">
        <f t="shared" si="1360"/>
        <v>48.247799999999998</v>
      </c>
      <c r="F173" s="26">
        <f t="shared" si="1360"/>
        <v>54.694800000000008</v>
      </c>
      <c r="G173" s="26">
        <f t="shared" si="1360"/>
        <v>65.940499999999986</v>
      </c>
      <c r="H173" s="26">
        <f t="shared" si="1360"/>
        <v>92.556200000000018</v>
      </c>
      <c r="I173" s="26">
        <f t="shared" si="1360"/>
        <v>174.47379999999998</v>
      </c>
      <c r="J173" s="26">
        <f t="shared" si="1360"/>
        <v>164.90969999999999</v>
      </c>
      <c r="K173" s="26">
        <f t="shared" si="1360"/>
        <v>209.09619999999995</v>
      </c>
      <c r="L173" s="26">
        <f t="shared" si="1360"/>
        <v>207.7987</v>
      </c>
      <c r="M173" s="26">
        <f t="shared" si="1360"/>
        <v>226.13560000000001</v>
      </c>
      <c r="N173" s="26">
        <f t="shared" si="1360"/>
        <v>253.6797</v>
      </c>
      <c r="O173" s="26">
        <f t="shared" si="1360"/>
        <v>235.71089999999998</v>
      </c>
      <c r="P173" s="26">
        <f t="shared" si="1360"/>
        <v>283.42750000000001</v>
      </c>
      <c r="Q173" s="26">
        <f t="shared" si="1360"/>
        <v>385.6930000000001</v>
      </c>
      <c r="R173" s="26">
        <f t="shared" si="1360"/>
        <v>557.66920000000005</v>
      </c>
      <c r="S173" s="26">
        <f t="shared" si="1360"/>
        <v>738.35130000000004</v>
      </c>
      <c r="T173" s="26">
        <f t="shared" si="1360"/>
        <v>942.75269999999989</v>
      </c>
      <c r="U173" s="26">
        <f t="shared" si="1360"/>
        <v>1090.0353</v>
      </c>
      <c r="V173" s="26">
        <f t="shared" si="1360"/>
        <v>1352.1715000000002</v>
      </c>
      <c r="W173" s="26">
        <f t="shared" si="1360"/>
        <v>1600.9029</v>
      </c>
      <c r="X173" s="26">
        <f t="shared" ref="X173:Y173" si="1361">X171+X169+X165+X148+X146+X172</f>
        <v>2085.7671</v>
      </c>
      <c r="Y173" s="26">
        <f t="shared" si="1361"/>
        <v>2505.6563000000001</v>
      </c>
      <c r="Z173" s="26">
        <f t="shared" ref="Z173:AA173" si="1362">Z171+Z169+Z165+Z148+Z146+Z172</f>
        <v>2859.9688999999994</v>
      </c>
      <c r="AA173" s="26">
        <f t="shared" si="1362"/>
        <v>3041.3416999999999</v>
      </c>
      <c r="AB173" s="27">
        <f t="shared" ref="AA173:AD173" si="1363">AB171+AB169+AB165+AB148+AB146+AB172</f>
        <v>3888.0534658091929</v>
      </c>
      <c r="AC173" s="27">
        <f t="shared" si="1363"/>
        <v>4900.9765000144571</v>
      </c>
      <c r="AD173" s="27">
        <f t="shared" si="1363"/>
        <v>6030.3133241053547</v>
      </c>
      <c r="AE173" s="27">
        <f t="shared" ref="AE173" si="1364">AE171+AE169+AE165+AE148+AE146+AE172</f>
        <v>7286.9262982741457</v>
      </c>
      <c r="AJ173" s="26">
        <f t="shared" ref="AJ173" si="1365">AJ171+AJ169+AJ165+AJ148+AJ146+AJ172</f>
        <v>241.12300000000002</v>
      </c>
      <c r="AK173" s="26">
        <f t="shared" ref="AK173:AL173" si="1366">AK171+AK169+AK165+AK148+AK146+AK172</f>
        <v>249.87100000000004</v>
      </c>
      <c r="AL173" s="26">
        <f t="shared" si="1366"/>
        <v>253.67899999999997</v>
      </c>
      <c r="AM173" s="26">
        <f t="shared" ref="AM173:AO173" si="1367">AM171+AM169+AM165+AM148+AM146+AM172</f>
        <v>262.60599999999994</v>
      </c>
      <c r="AN173" s="26">
        <f t="shared" si="1367"/>
        <v>268.73699999999997</v>
      </c>
      <c r="AO173" s="26">
        <f t="shared" si="1367"/>
        <v>290.29399999999998</v>
      </c>
      <c r="AP173" s="26">
        <f t="shared" ref="AP173:CE173" si="1368">AP171+AP169+AP165+AP148+AP146+AP172</f>
        <v>235.71099999999998</v>
      </c>
      <c r="AQ173" s="26">
        <f t="shared" si="1368"/>
        <v>256.50299999999993</v>
      </c>
      <c r="AR173" s="26">
        <f t="shared" si="1368"/>
        <v>277.048</v>
      </c>
      <c r="AS173" s="26">
        <f t="shared" si="1368"/>
        <v>304.80599999999998</v>
      </c>
      <c r="AT173" s="26">
        <f t="shared" si="1368"/>
        <v>283.42700000000002</v>
      </c>
      <c r="AU173" s="26">
        <f t="shared" si="1368"/>
        <v>319.13900000000001</v>
      </c>
      <c r="AV173" s="26">
        <f t="shared" si="1368"/>
        <v>357.17200000000003</v>
      </c>
      <c r="AW173" s="26">
        <f t="shared" si="1368"/>
        <v>397.07300000000015</v>
      </c>
      <c r="AX173" s="26">
        <f t="shared" si="1368"/>
        <v>385.69300000000004</v>
      </c>
      <c r="AY173" s="26">
        <f t="shared" si="1368"/>
        <v>427.37700000000007</v>
      </c>
      <c r="AZ173" s="26">
        <f t="shared" si="1368"/>
        <v>470.69800000000009</v>
      </c>
      <c r="BA173" s="26">
        <f t="shared" si="1368"/>
        <v>514.84699999999998</v>
      </c>
      <c r="BB173" s="26">
        <f t="shared" si="1368"/>
        <v>557.6690000000001</v>
      </c>
      <c r="BC173" s="26">
        <f t="shared" si="1368"/>
        <v>607.41300000000012</v>
      </c>
      <c r="BD173" s="26">
        <f t="shared" si="1368"/>
        <v>604.49600000000009</v>
      </c>
      <c r="BE173" s="26">
        <f t="shared" si="1368"/>
        <v>667.26200000000006</v>
      </c>
      <c r="BF173" s="26">
        <f t="shared" si="1368"/>
        <v>738.35100000000011</v>
      </c>
      <c r="BG173" s="26">
        <f t="shared" si="1368"/>
        <v>808.84900000000016</v>
      </c>
      <c r="BH173" s="26">
        <f t="shared" ref="BH173" si="1369">BH171+BH169+BH165+BH148+BH146+BH172</f>
        <v>806.75300000000004</v>
      </c>
      <c r="BI173" s="26">
        <f t="shared" si="1368"/>
        <v>872.74700000000018</v>
      </c>
      <c r="BJ173" s="26">
        <f t="shared" si="1368"/>
        <v>942.75200000000007</v>
      </c>
      <c r="BK173" s="26">
        <f t="shared" si="1368"/>
        <v>991.54500000000007</v>
      </c>
      <c r="BL173" s="26">
        <f t="shared" si="1368"/>
        <v>992.26099999999997</v>
      </c>
      <c r="BM173" s="26">
        <f t="shared" si="1368"/>
        <v>1067.682</v>
      </c>
      <c r="BN173" s="26">
        <f t="shared" si="1368"/>
        <v>1090.0350000000001</v>
      </c>
      <c r="BO173" s="26">
        <f t="shared" si="1368"/>
        <v>1158.9090000000001</v>
      </c>
      <c r="BP173" s="26">
        <f t="shared" si="1368"/>
        <v>1188.165</v>
      </c>
      <c r="BQ173" s="26">
        <f t="shared" si="1368"/>
        <v>1293.3669999999997</v>
      </c>
      <c r="BR173" s="26">
        <f t="shared" si="1368"/>
        <v>1352.1699999999998</v>
      </c>
      <c r="BS173" s="26">
        <f t="shared" si="1368"/>
        <v>1465.5449999999998</v>
      </c>
      <c r="BT173" s="26">
        <f t="shared" si="1368"/>
        <v>1290.596</v>
      </c>
      <c r="BU173" s="26">
        <f t="shared" si="1368"/>
        <v>1441.546</v>
      </c>
      <c r="BV173" s="26">
        <f t="shared" si="1368"/>
        <v>1600.903</v>
      </c>
      <c r="BW173" s="26">
        <f t="shared" si="1368"/>
        <v>1785.6240000000003</v>
      </c>
      <c r="BX173" s="26">
        <f t="shared" si="1368"/>
        <v>1692.0260000000001</v>
      </c>
      <c r="BY173" s="26">
        <f t="shared" si="1368"/>
        <v>1886.7030000000002</v>
      </c>
      <c r="BZ173" s="26">
        <f t="shared" si="1368"/>
        <v>2085.7680000000005</v>
      </c>
      <c r="CA173" s="26">
        <f t="shared" si="1368"/>
        <v>2274.6210000000001</v>
      </c>
      <c r="CB173" s="26">
        <f t="shared" si="1368"/>
        <v>2096.3620000000001</v>
      </c>
      <c r="CC173" s="26">
        <f t="shared" si="1368"/>
        <v>2302.7950000000001</v>
      </c>
      <c r="CD173" s="26">
        <f t="shared" si="1368"/>
        <v>2505.6549999999997</v>
      </c>
      <c r="CE173" s="26">
        <f t="shared" si="1368"/>
        <v>2689.7349999999997</v>
      </c>
      <c r="CF173" s="26">
        <f t="shared" ref="CF173:CG173" si="1370">CF171+CF169+CF165+CF148+CF146+CF172</f>
        <v>2486.5700000000002</v>
      </c>
      <c r="CG173" s="26">
        <f t="shared" si="1370"/>
        <v>2685.578</v>
      </c>
      <c r="CH173" s="26">
        <f t="shared" ref="CH173:CI173" si="1371">CH171+CH169+CH165+CH148+CH146+CH172</f>
        <v>2859.9688999999994</v>
      </c>
      <c r="CI173" s="26">
        <f t="shared" si="1371"/>
        <v>3004.3368999999998</v>
      </c>
      <c r="CJ173" s="26">
        <f t="shared" ref="CJ173:DB173" si="1372">CJ171+CJ169+CJ165+CJ148+CJ146+CJ172</f>
        <v>2702.6410000000001</v>
      </c>
      <c r="CK173" s="26">
        <f t="shared" si="1372"/>
        <v>2811.5309999999999</v>
      </c>
      <c r="CL173" s="26">
        <f t="shared" ref="CL173" si="1373">CL171+CL169+CL165+CL148+CL146+CL172</f>
        <v>3041.3430000000003</v>
      </c>
      <c r="CM173" s="27">
        <f t="shared" si="1372"/>
        <v>3229.5230021784173</v>
      </c>
      <c r="CN173" s="27">
        <f t="shared" si="1372"/>
        <v>3433.5025700854731</v>
      </c>
      <c r="CO173" s="27">
        <f t="shared" si="1372"/>
        <v>3656.6529983095252</v>
      </c>
      <c r="CP173" s="27">
        <f t="shared" si="1372"/>
        <v>3888.0534658091929</v>
      </c>
      <c r="CQ173" s="27">
        <f t="shared" si="1372"/>
        <v>4118.6998505376769</v>
      </c>
      <c r="CR173" s="27">
        <f t="shared" si="1372"/>
        <v>4365.2507836797713</v>
      </c>
      <c r="CS173" s="27">
        <f t="shared" si="1372"/>
        <v>4626.6830243458526</v>
      </c>
      <c r="CT173" s="27">
        <f t="shared" si="1372"/>
        <v>4900.9765000144571</v>
      </c>
      <c r="CU173" s="27">
        <f t="shared" si="1372"/>
        <v>5164.4835205504924</v>
      </c>
      <c r="CV173" s="27">
        <f t="shared" si="1372"/>
        <v>5441.8719304363931</v>
      </c>
      <c r="CW173" s="27">
        <f t="shared" si="1372"/>
        <v>5731.1098829199118</v>
      </c>
      <c r="CX173" s="27">
        <f t="shared" si="1372"/>
        <v>6030.3133241053547</v>
      </c>
      <c r="CY173" s="27">
        <f t="shared" si="1372"/>
        <v>6332.3683062715772</v>
      </c>
      <c r="CZ173" s="27">
        <f t="shared" si="1372"/>
        <v>6643.3460253406001</v>
      </c>
      <c r="DA173" s="27">
        <f t="shared" si="1372"/>
        <v>6961.8551851395487</v>
      </c>
      <c r="DB173" s="27">
        <f t="shared" si="1372"/>
        <v>7286.9262982741457</v>
      </c>
      <c r="DE173" s="121"/>
      <c r="DF173" s="26">
        <v>2992.9456831059933</v>
      </c>
    </row>
    <row r="174" spans="1:110" s="23" customFormat="1" x14ac:dyDescent="0.2">
      <c r="A174" s="28" t="s">
        <v>439</v>
      </c>
      <c r="B174" s="23">
        <f t="shared" ref="B174:W174" si="1374">B173-B137</f>
        <v>0</v>
      </c>
      <c r="C174" s="23">
        <f t="shared" si="1374"/>
        <v>0</v>
      </c>
      <c r="D174" s="23">
        <f t="shared" si="1374"/>
        <v>0</v>
      </c>
      <c r="E174" s="23">
        <f t="shared" si="1374"/>
        <v>0</v>
      </c>
      <c r="F174" s="23">
        <f t="shared" si="1374"/>
        <v>0</v>
      </c>
      <c r="G174" s="23">
        <f t="shared" si="1374"/>
        <v>0</v>
      </c>
      <c r="H174" s="23">
        <f t="shared" si="1374"/>
        <v>0</v>
      </c>
      <c r="I174" s="23">
        <f t="shared" si="1374"/>
        <v>0</v>
      </c>
      <c r="J174" s="23">
        <f t="shared" si="1374"/>
        <v>0</v>
      </c>
      <c r="K174" s="23">
        <f t="shared" si="1374"/>
        <v>0</v>
      </c>
      <c r="L174" s="23">
        <f t="shared" si="1374"/>
        <v>0</v>
      </c>
      <c r="M174" s="23">
        <f t="shared" si="1374"/>
        <v>0</v>
      </c>
      <c r="N174" s="23">
        <f t="shared" si="1374"/>
        <v>0</v>
      </c>
      <c r="O174" s="23">
        <f t="shared" si="1374"/>
        <v>0</v>
      </c>
      <c r="P174" s="23">
        <f t="shared" si="1374"/>
        <v>0</v>
      </c>
      <c r="Q174" s="23">
        <f t="shared" si="1374"/>
        <v>0</v>
      </c>
      <c r="R174" s="23">
        <f t="shared" si="1374"/>
        <v>0</v>
      </c>
      <c r="S174" s="23">
        <f t="shared" si="1374"/>
        <v>0</v>
      </c>
      <c r="T174" s="23">
        <f t="shared" si="1374"/>
        <v>0</v>
      </c>
      <c r="U174" s="23">
        <f t="shared" si="1374"/>
        <v>0</v>
      </c>
      <c r="V174" s="23">
        <f t="shared" si="1374"/>
        <v>0</v>
      </c>
      <c r="W174" s="23">
        <f t="shared" si="1374"/>
        <v>0</v>
      </c>
      <c r="X174" s="23">
        <f t="shared" ref="X174:Y174" si="1375">X173-X137</f>
        <v>0</v>
      </c>
      <c r="Y174" s="23">
        <f t="shared" si="1375"/>
        <v>0</v>
      </c>
      <c r="Z174" s="23">
        <f t="shared" ref="Z174:AA174" si="1376">Z173-Z137</f>
        <v>0</v>
      </c>
      <c r="AA174" s="23">
        <f t="shared" si="1376"/>
        <v>0</v>
      </c>
      <c r="AB174" s="24">
        <f t="shared" ref="AA174:AD174" si="1377">AB173-AB137</f>
        <v>9.9999999974897946E-4</v>
      </c>
      <c r="AC174" s="24">
        <f t="shared" si="1377"/>
        <v>1.0000000011132215E-3</v>
      </c>
      <c r="AD174" s="24">
        <f t="shared" si="1377"/>
        <v>1.0000000002037268E-3</v>
      </c>
      <c r="AE174" s="24">
        <f t="shared" ref="AE174" si="1378">AE173-AE137</f>
        <v>1.0000000002037268E-3</v>
      </c>
      <c r="AJ174" s="23">
        <f t="shared" ref="AJ174" si="1379">AJ173-AJ137</f>
        <v>0</v>
      </c>
      <c r="AK174" s="23">
        <f t="shared" ref="AK174" si="1380">AK173-AK137</f>
        <v>0</v>
      </c>
      <c r="AL174" s="23">
        <f t="shared" ref="AL174:AM174" si="1381">AL173-AL137</f>
        <v>-1.0000000000331966E-3</v>
      </c>
      <c r="AM174" s="23">
        <f t="shared" si="1381"/>
        <v>-1.0000000000331966E-3</v>
      </c>
      <c r="AN174" s="23">
        <f t="shared" ref="AN174:AO174" si="1382">AN173-AN137</f>
        <v>0</v>
      </c>
      <c r="AO174" s="23">
        <f t="shared" si="1382"/>
        <v>0</v>
      </c>
      <c r="AP174" s="23">
        <f t="shared" ref="AP174:CE174" si="1383">AP173-AP137</f>
        <v>0</v>
      </c>
      <c r="AQ174" s="23">
        <f t="shared" si="1383"/>
        <v>0</v>
      </c>
      <c r="AR174" s="23">
        <f t="shared" si="1383"/>
        <v>0</v>
      </c>
      <c r="AS174" s="23">
        <f t="shared" si="1383"/>
        <v>0</v>
      </c>
      <c r="AT174" s="23">
        <f t="shared" si="1383"/>
        <v>0</v>
      </c>
      <c r="AU174" s="23">
        <f t="shared" si="1383"/>
        <v>0</v>
      </c>
      <c r="AV174" s="23">
        <f t="shared" si="1383"/>
        <v>0</v>
      </c>
      <c r="AW174" s="23">
        <f t="shared" si="1383"/>
        <v>0</v>
      </c>
      <c r="AX174" s="23">
        <f t="shared" si="1383"/>
        <v>0</v>
      </c>
      <c r="AY174" s="23">
        <f t="shared" si="1383"/>
        <v>0</v>
      </c>
      <c r="AZ174" s="23">
        <f t="shared" si="1383"/>
        <v>0</v>
      </c>
      <c r="BA174" s="23">
        <f t="shared" si="1383"/>
        <v>0</v>
      </c>
      <c r="BB174" s="23">
        <f t="shared" si="1383"/>
        <v>0</v>
      </c>
      <c r="BC174" s="23">
        <f t="shared" si="1383"/>
        <v>0</v>
      </c>
      <c r="BD174" s="23">
        <f t="shared" si="1383"/>
        <v>1.00000000009004E-3</v>
      </c>
      <c r="BE174" s="23">
        <f t="shared" si="1383"/>
        <v>1.00000000009004E-3</v>
      </c>
      <c r="BF174" s="23">
        <f t="shared" si="1383"/>
        <v>0</v>
      </c>
      <c r="BG174" s="23">
        <f t="shared" si="1383"/>
        <v>0</v>
      </c>
      <c r="BH174" s="23">
        <f t="shared" ref="BH174" si="1384">BH173-BH137</f>
        <v>-9.999999998626663E-4</v>
      </c>
      <c r="BI174" s="23">
        <f t="shared" si="1383"/>
        <v>-9.9999999974897946E-4</v>
      </c>
      <c r="BJ174" s="23">
        <f t="shared" si="1383"/>
        <v>0</v>
      </c>
      <c r="BK174" s="23">
        <f t="shared" si="1383"/>
        <v>0</v>
      </c>
      <c r="BL174" s="23">
        <f t="shared" si="1383"/>
        <v>-9.9999999997635314E-4</v>
      </c>
      <c r="BM174" s="23">
        <f t="shared" si="1383"/>
        <v>-9.9999999997635314E-4</v>
      </c>
      <c r="BN174" s="23">
        <f t="shared" si="1383"/>
        <v>0</v>
      </c>
      <c r="BO174" s="23">
        <f t="shared" si="1383"/>
        <v>0</v>
      </c>
      <c r="BP174" s="23">
        <f t="shared" si="1383"/>
        <v>-4.0000000001327862E-3</v>
      </c>
      <c r="BQ174" s="23">
        <f t="shared" si="1383"/>
        <v>-4.0000000003601599E-3</v>
      </c>
      <c r="BR174" s="23">
        <f t="shared" si="1383"/>
        <v>-1.0000000002037268E-3</v>
      </c>
      <c r="BS174" s="23">
        <f t="shared" si="1383"/>
        <v>-1.0000000002037268E-3</v>
      </c>
      <c r="BT174" s="23">
        <f t="shared" si="1383"/>
        <v>0</v>
      </c>
      <c r="BU174" s="23">
        <f t="shared" si="1383"/>
        <v>0</v>
      </c>
      <c r="BV174" s="23">
        <f t="shared" si="1383"/>
        <v>9.9999999997635314E-4</v>
      </c>
      <c r="BW174" s="23">
        <f t="shared" si="1383"/>
        <v>1.0000000002037268E-3</v>
      </c>
      <c r="BX174" s="23">
        <f t="shared" si="1383"/>
        <v>0</v>
      </c>
      <c r="BY174" s="23">
        <f t="shared" si="1383"/>
        <v>0</v>
      </c>
      <c r="BZ174" s="23">
        <f t="shared" si="1383"/>
        <v>1.0000000006584742E-3</v>
      </c>
      <c r="CA174" s="23">
        <f t="shared" si="1383"/>
        <v>1.0000000002037268E-3</v>
      </c>
      <c r="CB174" s="23">
        <f t="shared" si="1383"/>
        <v>0</v>
      </c>
      <c r="CC174" s="23">
        <f t="shared" si="1383"/>
        <v>0</v>
      </c>
      <c r="CD174" s="23">
        <f t="shared" si="1383"/>
        <v>-1.0000000002037268E-3</v>
      </c>
      <c r="CE174" s="23">
        <f t="shared" si="1383"/>
        <v>-1.0000000002037268E-3</v>
      </c>
      <c r="CF174" s="23">
        <f t="shared" ref="CF174:CG174" si="1385">CF173-CF137</f>
        <v>0</v>
      </c>
      <c r="CG174" s="23">
        <f t="shared" si="1385"/>
        <v>0</v>
      </c>
      <c r="CH174" s="23">
        <f t="shared" ref="CH174:CI174" si="1386">CH173-CH137</f>
        <v>0</v>
      </c>
      <c r="CI174" s="23">
        <f t="shared" si="1386"/>
        <v>0</v>
      </c>
      <c r="CJ174" s="23">
        <f t="shared" ref="CJ174:DB174" si="1387">CJ173-CJ137</f>
        <v>-1.0000000002037268E-3</v>
      </c>
      <c r="CK174" s="23">
        <f t="shared" si="1387"/>
        <v>-1.0000000002037268E-3</v>
      </c>
      <c r="CL174" s="23">
        <f t="shared" ref="CL174" si="1388">CL173-CL137</f>
        <v>1.0000000002037268E-3</v>
      </c>
      <c r="CM174" s="24">
        <f t="shared" si="1387"/>
        <v>9.9999999974897946E-4</v>
      </c>
      <c r="CN174" s="24">
        <f t="shared" si="1387"/>
        <v>1.0000000002037268E-3</v>
      </c>
      <c r="CO174" s="24">
        <f t="shared" si="1387"/>
        <v>1.0000000002037268E-3</v>
      </c>
      <c r="CP174" s="24">
        <f t="shared" si="1387"/>
        <v>9.9999999974897946E-4</v>
      </c>
      <c r="CQ174" s="24">
        <f t="shared" si="1387"/>
        <v>1.0000000002037268E-3</v>
      </c>
      <c r="CR174" s="24">
        <f t="shared" si="1387"/>
        <v>1.0000000002037268E-3</v>
      </c>
      <c r="CS174" s="24">
        <f t="shared" si="1387"/>
        <v>1.0000000002037268E-3</v>
      </c>
      <c r="CT174" s="24">
        <f t="shared" si="1387"/>
        <v>1.0000000011132215E-3</v>
      </c>
      <c r="CU174" s="24">
        <f t="shared" si="1387"/>
        <v>1.0000000002037268E-3</v>
      </c>
      <c r="CV174" s="24">
        <f t="shared" si="1387"/>
        <v>1.0000000011132215E-3</v>
      </c>
      <c r="CW174" s="24">
        <f t="shared" si="1387"/>
        <v>1.0000000002037268E-3</v>
      </c>
      <c r="CX174" s="24">
        <f t="shared" si="1387"/>
        <v>1.0000000002037268E-3</v>
      </c>
      <c r="CY174" s="24">
        <f t="shared" si="1387"/>
        <v>1.0000000002037268E-3</v>
      </c>
      <c r="CZ174" s="24">
        <f t="shared" si="1387"/>
        <v>1.0000000002037268E-3</v>
      </c>
      <c r="DA174" s="24">
        <f t="shared" si="1387"/>
        <v>1.0000000002037268E-3</v>
      </c>
      <c r="DB174" s="24">
        <f t="shared" si="1387"/>
        <v>1.0000000002037268E-3</v>
      </c>
      <c r="DE174" s="123"/>
      <c r="DF174" s="23">
        <v>-1.0000000002037268E-3</v>
      </c>
    </row>
    <row r="175" spans="1:110" s="23" customFormat="1" x14ac:dyDescent="0.2">
      <c r="A175" s="28"/>
      <c r="AB175" s="24"/>
      <c r="AC175" s="24"/>
      <c r="AD175" s="24"/>
      <c r="AE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</row>
    <row r="176" spans="1:110" s="22" customFormat="1" x14ac:dyDescent="0.2">
      <c r="A176" s="22" t="s">
        <v>80</v>
      </c>
      <c r="B176" s="22">
        <f t="shared" ref="B176:W176" si="1389">B136-B169</f>
        <v>8.9124999999999996</v>
      </c>
      <c r="C176" s="22">
        <f t="shared" si="1389"/>
        <v>-5.3202999999999996</v>
      </c>
      <c r="D176" s="22">
        <f t="shared" si="1389"/>
        <v>-1.8173999999999997</v>
      </c>
      <c r="E176" s="22">
        <f t="shared" si="1389"/>
        <v>-17.401199999999999</v>
      </c>
      <c r="F176" s="22">
        <f t="shared" si="1389"/>
        <v>-14.1073</v>
      </c>
      <c r="G176" s="22">
        <f t="shared" si="1389"/>
        <v>-14.5524</v>
      </c>
      <c r="H176" s="22">
        <f t="shared" si="1389"/>
        <v>-20.100999999999999</v>
      </c>
      <c r="I176" s="22">
        <f t="shared" si="1389"/>
        <v>33.838800000000006</v>
      </c>
      <c r="J176" s="22">
        <f t="shared" si="1389"/>
        <v>-3.2540000000000013</v>
      </c>
      <c r="K176" s="22">
        <f t="shared" si="1389"/>
        <v>19.684299999999997</v>
      </c>
      <c r="L176" s="22">
        <f t="shared" si="1389"/>
        <v>4.6356999999999999</v>
      </c>
      <c r="M176" s="22">
        <f t="shared" si="1389"/>
        <v>7.4385999999999974</v>
      </c>
      <c r="N176" s="22">
        <f t="shared" si="1389"/>
        <v>35.2072</v>
      </c>
      <c r="O176" s="22">
        <f t="shared" si="1389"/>
        <v>-51.459499999999998</v>
      </c>
      <c r="P176" s="22">
        <f t="shared" si="1389"/>
        <v>-133.25659999999999</v>
      </c>
      <c r="Q176" s="22">
        <f t="shared" si="1389"/>
        <v>-182.4545</v>
      </c>
      <c r="R176" s="22">
        <f t="shared" si="1389"/>
        <v>-251.5249</v>
      </c>
      <c r="S176" s="22">
        <f t="shared" si="1389"/>
        <v>-394.34460000000001</v>
      </c>
      <c r="T176" s="22">
        <f t="shared" si="1389"/>
        <v>-515.81460000000004</v>
      </c>
      <c r="U176" s="22">
        <f t="shared" si="1389"/>
        <v>-664.22469999999998</v>
      </c>
      <c r="V176" s="22">
        <f t="shared" si="1389"/>
        <v>-859.61980000000005</v>
      </c>
      <c r="W176" s="22">
        <f t="shared" si="1389"/>
        <v>-965.20899999999995</v>
      </c>
      <c r="X176" s="22">
        <f t="shared" ref="X176:Y176" si="1390">X136-X169</f>
        <v>-1191.5528999999999</v>
      </c>
      <c r="Y176" s="22">
        <f t="shared" si="1390"/>
        <v>-1392.4709</v>
      </c>
      <c r="Z176" s="22">
        <f t="shared" ref="Z176:AA176" si="1391">Z136-Z169</f>
        <v>-1606.3933</v>
      </c>
      <c r="AA176" s="22">
        <f t="shared" si="1391"/>
        <v>-1668.6351</v>
      </c>
      <c r="AB176" s="21">
        <f t="shared" ref="AA176:AD176" si="1392">AB136-AB169</f>
        <v>-2267.1304085771858</v>
      </c>
      <c r="AC176" s="21">
        <f t="shared" si="1392"/>
        <v>-3068.9862716686421</v>
      </c>
      <c r="AD176" s="21">
        <f t="shared" si="1392"/>
        <v>-4239.6265933853892</v>
      </c>
      <c r="AE176" s="21">
        <f t="shared" ref="AE176" si="1393">AE136-AE169</f>
        <v>-5535.497274928528</v>
      </c>
      <c r="AJ176" s="22">
        <f t="shared" ref="AJ176:AM176" si="1394">AJ136-AJ169</f>
        <v>24.194999999999997</v>
      </c>
      <c r="AK176" s="22">
        <f t="shared" si="1394"/>
        <v>16.477565346120389</v>
      </c>
      <c r="AL176" s="22">
        <f t="shared" si="1394"/>
        <v>35.207999999999998</v>
      </c>
      <c r="AM176" s="22">
        <f t="shared" si="1394"/>
        <v>31.531884881785768</v>
      </c>
      <c r="AN176" s="22">
        <f t="shared" ref="AN176:AO176" si="1395">AN136-AN169</f>
        <v>13.759999999999998</v>
      </c>
      <c r="AO176" s="22">
        <f t="shared" si="1395"/>
        <v>-3.492615286624158</v>
      </c>
      <c r="AP176" s="22">
        <f t="shared" ref="AP176:CE176" si="1396">AP136-AP169</f>
        <v>-51.459000000000003</v>
      </c>
      <c r="AQ176" s="22">
        <f t="shared" si="1396"/>
        <v>-81.22210740879072</v>
      </c>
      <c r="AR176" s="22">
        <f t="shared" si="1396"/>
        <v>-65.403999999999996</v>
      </c>
      <c r="AS176" s="22">
        <f t="shared" si="1396"/>
        <v>-87.248684456705945</v>
      </c>
      <c r="AT176" s="22">
        <f t="shared" si="1396"/>
        <v>-133.25700000000001</v>
      </c>
      <c r="AU176" s="22">
        <f t="shared" si="1396"/>
        <v>-164.29815693803073</v>
      </c>
      <c r="AV176" s="22">
        <f t="shared" si="1396"/>
        <v>-113.89</v>
      </c>
      <c r="AW176" s="22">
        <f t="shared" si="1396"/>
        <v>-149.24615070659735</v>
      </c>
      <c r="AX176" s="22">
        <f t="shared" si="1396"/>
        <v>-182.45500000000001</v>
      </c>
      <c r="AY176" s="22">
        <f t="shared" si="1396"/>
        <v>-224.32016525146963</v>
      </c>
      <c r="AZ176" s="22">
        <f t="shared" si="1396"/>
        <v>-189.70099999999999</v>
      </c>
      <c r="BA176" s="22">
        <f t="shared" si="1396"/>
        <v>-230.9271770112222</v>
      </c>
      <c r="BB176" s="22">
        <f t="shared" si="1396"/>
        <v>-251.52500000000001</v>
      </c>
      <c r="BC176" s="22">
        <f t="shared" si="1396"/>
        <v>-303.55380438046836</v>
      </c>
      <c r="BD176" s="22">
        <f t="shared" si="1396"/>
        <v>-238.626</v>
      </c>
      <c r="BE176" s="22">
        <f t="shared" si="1396"/>
        <v>-301.29299407284435</v>
      </c>
      <c r="BF176" s="22">
        <f t="shared" si="1396"/>
        <v>-394.34399999999999</v>
      </c>
      <c r="BG176" s="22">
        <f t="shared" si="1396"/>
        <v>-460.19996869538807</v>
      </c>
      <c r="BH176" s="22">
        <f t="shared" si="1396"/>
        <v>-407.27800000000002</v>
      </c>
      <c r="BI176" s="22">
        <f t="shared" si="1396"/>
        <v>-478.7564787280528</v>
      </c>
      <c r="BJ176" s="22">
        <f t="shared" si="1396"/>
        <v>-515.81399999999996</v>
      </c>
      <c r="BK176" s="22">
        <f t="shared" si="1396"/>
        <v>-597.86569498202937</v>
      </c>
      <c r="BL176" s="22">
        <f t="shared" si="1396"/>
        <v>-446.52199999999999</v>
      </c>
      <c r="BM176" s="22">
        <f t="shared" si="1396"/>
        <v>-493.49721192140527</v>
      </c>
      <c r="BN176" s="22">
        <f t="shared" si="1396"/>
        <v>-664.22500000000002</v>
      </c>
      <c r="BO176" s="22">
        <f t="shared" si="1396"/>
        <v>-763.45378887863569</v>
      </c>
      <c r="BP176" s="22">
        <f t="shared" si="1396"/>
        <v>-685.30899999999997</v>
      </c>
      <c r="BQ176" s="22">
        <f t="shared" si="1396"/>
        <v>-756.07421169559632</v>
      </c>
      <c r="BR176" s="22">
        <f t="shared" si="1396"/>
        <v>-859.61900000000003</v>
      </c>
      <c r="BS176" s="22">
        <f t="shared" si="1396"/>
        <v>-939.62658281313895</v>
      </c>
      <c r="BT176" s="22">
        <f t="shared" si="1396"/>
        <v>-879.75400000000002</v>
      </c>
      <c r="BU176" s="22">
        <f t="shared" si="1396"/>
        <v>-1007.9872033608194</v>
      </c>
      <c r="BV176" s="22">
        <f t="shared" si="1396"/>
        <v>-965.20899999999995</v>
      </c>
      <c r="BW176" s="22">
        <f t="shared" si="1396"/>
        <v>-1111.7819712089233</v>
      </c>
      <c r="BX176" s="22">
        <f t="shared" si="1396"/>
        <v>-961.65099999999995</v>
      </c>
      <c r="BY176" s="22">
        <f t="shared" si="1396"/>
        <v>-1107.8392358462256</v>
      </c>
      <c r="BZ176" s="22">
        <f t="shared" si="1396"/>
        <v>-1191.5530000000001</v>
      </c>
      <c r="CA176" s="22">
        <f t="shared" si="1396"/>
        <v>-1367.5281643689134</v>
      </c>
      <c r="CB176" s="22">
        <f t="shared" si="1396"/>
        <v>-1178.549</v>
      </c>
      <c r="CC176" s="22">
        <f t="shared" si="1396"/>
        <v>-1355.9610610333698</v>
      </c>
      <c r="CD176" s="22">
        <f t="shared" si="1396"/>
        <v>-1392.471</v>
      </c>
      <c r="CE176" s="22">
        <f t="shared" si="1396"/>
        <v>-1556.4666319194475</v>
      </c>
      <c r="CF176" s="22">
        <f t="shared" ref="CF176:CG176" si="1397">CF136-CF169</f>
        <v>-1316.624</v>
      </c>
      <c r="CG176" s="22">
        <f t="shared" si="1397"/>
        <v>-1530.1647525741134</v>
      </c>
      <c r="CH176" s="22">
        <f t="shared" ref="CH176:CI176" si="1398">CH136-CH169</f>
        <v>-1606.3933</v>
      </c>
      <c r="CI176" s="22">
        <f t="shared" si="1398"/>
        <v>-1791.0579886262351</v>
      </c>
      <c r="CJ176" s="22">
        <f t="shared" ref="CJ176:DB176" si="1399">CJ136-CJ169</f>
        <v>-1269.261</v>
      </c>
      <c r="CK176" s="22">
        <f t="shared" si="1399"/>
        <v>-1303.1197184321563</v>
      </c>
      <c r="CL176" s="22">
        <f t="shared" ref="CL176" si="1400">CL136-CL169</f>
        <v>-1668.635</v>
      </c>
      <c r="CM176" s="21">
        <f t="shared" si="1399"/>
        <v>-1838.3173778419873</v>
      </c>
      <c r="CN176" s="21">
        <f t="shared" si="1399"/>
        <v>-1958.1448347441171</v>
      </c>
      <c r="CO176" s="21">
        <f t="shared" si="1399"/>
        <v>-2101.933465983901</v>
      </c>
      <c r="CP176" s="21">
        <f t="shared" si="1399"/>
        <v>-2267.1304085771858</v>
      </c>
      <c r="CQ176" s="21">
        <f t="shared" si="1399"/>
        <v>-2469.8444279740511</v>
      </c>
      <c r="CR176" s="21">
        <f t="shared" si="1399"/>
        <v>-2648.9642959705202</v>
      </c>
      <c r="CS176" s="21">
        <f t="shared" si="1399"/>
        <v>-2849.1111090446452</v>
      </c>
      <c r="CT176" s="21">
        <f t="shared" si="1399"/>
        <v>-3068.9862716686421</v>
      </c>
      <c r="CU176" s="21">
        <f t="shared" si="1399"/>
        <v>-3355.0884278089688</v>
      </c>
      <c r="CV176" s="21">
        <f t="shared" si="1399"/>
        <v>-3641.7606217736411</v>
      </c>
      <c r="CW176" s="21">
        <f t="shared" si="1399"/>
        <v>-3937.2857768899917</v>
      </c>
      <c r="CX176" s="21">
        <f t="shared" si="1399"/>
        <v>-4239.6265933853892</v>
      </c>
      <c r="CY176" s="21">
        <f t="shared" si="1399"/>
        <v>-4571.8331753170551</v>
      </c>
      <c r="CZ176" s="21">
        <f t="shared" si="1399"/>
        <v>-4885.9080417784508</v>
      </c>
      <c r="DA176" s="21">
        <f t="shared" si="1399"/>
        <v>-5207.2770735640806</v>
      </c>
      <c r="DB176" s="21">
        <f t="shared" si="1399"/>
        <v>-5535.497274928528</v>
      </c>
      <c r="DE176" s="126"/>
      <c r="DF176" s="22">
        <v>-1461.0022130773798</v>
      </c>
    </row>
    <row r="177" spans="1:110" x14ac:dyDescent="0.2">
      <c r="AA177" s="2"/>
      <c r="CE177" s="111"/>
      <c r="CG177" s="111"/>
      <c r="CL177" s="2"/>
    </row>
    <row r="178" spans="1:110" s="49" customFormat="1" x14ac:dyDescent="0.2">
      <c r="A178" s="49" t="s">
        <v>81</v>
      </c>
      <c r="B178" s="49">
        <f>'Annual Raw'!C85</f>
        <v>9.0119000000000007</v>
      </c>
      <c r="C178" s="49">
        <f>'Annual Raw'!D85</f>
        <v>13.9491</v>
      </c>
      <c r="D178" s="49">
        <f>'Annual Raw'!E85</f>
        <v>13.931900000000001</v>
      </c>
      <c r="E178" s="49">
        <f>'Annual Raw'!F85</f>
        <v>17.5656</v>
      </c>
      <c r="F178" s="49">
        <f>'Annual Raw'!G85</f>
        <v>9.7157</v>
      </c>
      <c r="G178" s="49">
        <f>'Annual Raw'!H85</f>
        <v>13.6753</v>
      </c>
      <c r="H178" s="49">
        <f>'Annual Raw'!I85</f>
        <v>6.6646999999999998</v>
      </c>
      <c r="I178" s="49">
        <f>'Annual Raw'!J85</f>
        <v>7.6261999999999999</v>
      </c>
      <c r="J178" s="49">
        <f>'Annual Raw'!K85</f>
        <v>17.942599999999999</v>
      </c>
      <c r="K178" s="49">
        <f>'Annual Raw'!L85</f>
        <v>10.8293</v>
      </c>
      <c r="L178" s="49">
        <f>'Annual Raw'!M85</f>
        <v>20.398900000000001</v>
      </c>
      <c r="M178" s="49">
        <f>'Annual Raw'!N85</f>
        <v>55.793799999999997</v>
      </c>
      <c r="N178" s="49">
        <f>'Annual Raw'!O85</f>
        <v>25.860800000000001</v>
      </c>
      <c r="O178" s="49">
        <f>'Annual Raw'!P85</f>
        <v>22.874700000000001</v>
      </c>
      <c r="P178" s="49">
        <f>'Annual Raw'!Q85</f>
        <v>22.521999999999998</v>
      </c>
      <c r="Q178" s="49">
        <f>'Annual Raw'!R85</f>
        <v>24.5425</v>
      </c>
      <c r="R178" s="49">
        <f>'Annual Raw'!S85</f>
        <v>28.158200000000001</v>
      </c>
      <c r="S178" s="49">
        <f>'Annual Raw'!T85</f>
        <v>28.158200000000001</v>
      </c>
      <c r="T178" s="49">
        <f>'Annual Raw'!U85</f>
        <v>10.530099999999999</v>
      </c>
      <c r="U178" s="49">
        <f>'Annual Raw'!V85</f>
        <v>31.072199999999999</v>
      </c>
      <c r="V178" s="49">
        <f>'Annual Raw'!W85</f>
        <v>29.9742</v>
      </c>
      <c r="W178" s="49">
        <f>'Annual Raw'!X85</f>
        <v>29.9742</v>
      </c>
      <c r="X178" s="49">
        <f>'Annual Raw'!Y85</f>
        <v>0.67290000000000005</v>
      </c>
      <c r="Y178" s="49">
        <f>'Annual Raw'!Z85</f>
        <v>0.67290000000000005</v>
      </c>
      <c r="Z178" s="49">
        <f>'Annual Raw'!AA85</f>
        <v>0.67290000000000005</v>
      </c>
      <c r="AA178" s="49">
        <f>'Annual Raw'!AB85</f>
        <v>0.67290000000000005</v>
      </c>
      <c r="AB178" s="50"/>
      <c r="AC178" s="50"/>
      <c r="AD178" s="50"/>
      <c r="AE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E178" s="138"/>
    </row>
    <row r="179" spans="1:110" s="29" customFormat="1" x14ac:dyDescent="0.2">
      <c r="A179" s="29" t="s">
        <v>82</v>
      </c>
      <c r="B179" s="29">
        <f>'Annual Raw'!C95</f>
        <v>9.0119000000000007</v>
      </c>
      <c r="C179" s="29">
        <f>'Annual Raw'!D95</f>
        <v>9.1795000000000009</v>
      </c>
      <c r="D179" s="29">
        <f>'Annual Raw'!E95</f>
        <v>8.5662000000000003</v>
      </c>
      <c r="E179" s="29">
        <f>'Annual Raw'!F95</f>
        <v>8.9648000000000003</v>
      </c>
      <c r="F179" s="29">
        <f>'Annual Raw'!G95</f>
        <v>7.6924000000000001</v>
      </c>
      <c r="G179" s="29">
        <f>'Annual Raw'!H95</f>
        <v>10.543699999999999</v>
      </c>
      <c r="H179" s="29">
        <f>'Annual Raw'!I95</f>
        <v>2.7544</v>
      </c>
      <c r="I179" s="29">
        <f>'Annual Raw'!J95</f>
        <v>2.2778999999999998</v>
      </c>
      <c r="J179" s="29">
        <f>'Annual Raw'!K95</f>
        <v>1.5287999999999999</v>
      </c>
      <c r="K179" s="29">
        <f>'Annual Raw'!L95</f>
        <v>1.3503000000000001</v>
      </c>
      <c r="L179" s="29">
        <f>'Annual Raw'!M95</f>
        <v>1.2286999999999999</v>
      </c>
      <c r="M179" s="29">
        <f>'Annual Raw'!N95</f>
        <v>27.238399999999999</v>
      </c>
      <c r="N179" s="29">
        <f>'Annual Raw'!O95</f>
        <v>0.73960000000000004</v>
      </c>
      <c r="O179" s="29">
        <f>'Annual Raw'!P95</f>
        <v>0.51849999999999996</v>
      </c>
      <c r="P179" s="29">
        <f>'Annual Raw'!Q95</f>
        <v>0.37059999999999998</v>
      </c>
      <c r="Q179" s="29">
        <f>'Annual Raw'!R95</f>
        <v>0.29909999999999998</v>
      </c>
      <c r="R179" s="29">
        <f>'Annual Raw'!S95</f>
        <v>0</v>
      </c>
      <c r="S179" s="29">
        <f>'Annual Raw'!T95</f>
        <v>0</v>
      </c>
      <c r="T179" s="29">
        <f>'Annual Raw'!U95</f>
        <v>0</v>
      </c>
      <c r="U179" s="29">
        <f>'Annual Raw'!V95</f>
        <v>0</v>
      </c>
      <c r="V179" s="29">
        <f>'Annual Raw'!W95</f>
        <v>0</v>
      </c>
      <c r="W179" s="29">
        <f>'Annual Raw'!X95</f>
        <v>0</v>
      </c>
      <c r="X179" s="29">
        <f>'Annual Raw'!Y95</f>
        <v>0</v>
      </c>
      <c r="Y179" s="29">
        <f>'Annual Raw'!Z95</f>
        <v>0</v>
      </c>
      <c r="Z179" s="29">
        <f>'Annual Raw'!AA95</f>
        <v>0</v>
      </c>
      <c r="AA179" s="29">
        <f>'Annual Raw'!AB95</f>
        <v>0</v>
      </c>
      <c r="AB179" s="30"/>
      <c r="AC179" s="30"/>
      <c r="AD179" s="30"/>
      <c r="AE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E179" s="139"/>
    </row>
    <row r="180" spans="1:110" s="29" customFormat="1" x14ac:dyDescent="0.2">
      <c r="A180" s="29" t="s">
        <v>83</v>
      </c>
      <c r="B180" s="29">
        <f>'Annual Raw'!C93</f>
        <v>0</v>
      </c>
      <c r="C180" s="29">
        <f>'Annual Raw'!D93</f>
        <v>0.30680000000000002</v>
      </c>
      <c r="D180" s="29">
        <f>'Annual Raw'!E93</f>
        <v>2.1331000000000002</v>
      </c>
      <c r="E180" s="29">
        <f>'Annual Raw'!F93</f>
        <v>2.84</v>
      </c>
      <c r="F180" s="29">
        <f>'Annual Raw'!G93</f>
        <v>2.0232999999999999</v>
      </c>
      <c r="G180" s="29">
        <f>'Annual Raw'!H93</f>
        <v>3.1316000000000002</v>
      </c>
      <c r="H180" s="29">
        <f>'Annual Raw'!I93</f>
        <v>3.9102999999999999</v>
      </c>
      <c r="I180" s="29">
        <f>'Annual Raw'!J93</f>
        <v>5.3483000000000001</v>
      </c>
      <c r="J180" s="29">
        <f>'Annual Raw'!K93</f>
        <v>7.1337999999999999</v>
      </c>
      <c r="K180" s="29">
        <f>'Annual Raw'!L93</f>
        <v>9.4789999999999992</v>
      </c>
      <c r="L180" s="29">
        <f>'Annual Raw'!M93</f>
        <v>19.170200000000001</v>
      </c>
      <c r="M180" s="29">
        <f>'Annual Raw'!N93</f>
        <v>28.555399999999999</v>
      </c>
      <c r="N180" s="29">
        <f>'Annual Raw'!O93</f>
        <v>25.121200000000002</v>
      </c>
      <c r="O180" s="29">
        <f>'Annual Raw'!P93</f>
        <v>22.356200000000001</v>
      </c>
      <c r="P180" s="29">
        <f>'Annual Raw'!Q93</f>
        <v>22.151399999999999</v>
      </c>
      <c r="Q180" s="29">
        <f>'Annual Raw'!R93</f>
        <v>24.243400000000001</v>
      </c>
      <c r="R180" s="29">
        <f>'Annual Raw'!S93</f>
        <v>28.158200000000001</v>
      </c>
      <c r="S180" s="29">
        <f>'Annual Raw'!T93</f>
        <v>28.158200000000001</v>
      </c>
      <c r="T180" s="29">
        <f>'Annual Raw'!U93</f>
        <v>10.530099999999999</v>
      </c>
      <c r="U180" s="29">
        <f>'Annual Raw'!V93</f>
        <v>31.072199999999999</v>
      </c>
      <c r="V180" s="29">
        <f>'Annual Raw'!W93</f>
        <v>29.9742</v>
      </c>
      <c r="W180" s="29">
        <f>'Annual Raw'!X93</f>
        <v>29.9742</v>
      </c>
      <c r="X180" s="29">
        <f>'Annual Raw'!Y93</f>
        <v>0.67290000000000005</v>
      </c>
      <c r="Y180" s="29">
        <f>'Annual Raw'!Z93</f>
        <v>0.67290000000000005</v>
      </c>
      <c r="Z180" s="29">
        <f>'Annual Raw'!AA93</f>
        <v>0.67290000000000005</v>
      </c>
      <c r="AA180" s="29">
        <f>'Annual Raw'!AB93</f>
        <v>0.67290000000000005</v>
      </c>
      <c r="AB180" s="30"/>
      <c r="AC180" s="30"/>
      <c r="AD180" s="30"/>
      <c r="AE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E180" s="139"/>
    </row>
    <row r="181" spans="1:110" s="29" customFormat="1" x14ac:dyDescent="0.2">
      <c r="A181" s="29" t="s">
        <v>84</v>
      </c>
      <c r="B181" s="29">
        <f t="shared" ref="B181:V181" si="1401">B178-B179-B180</f>
        <v>0</v>
      </c>
      <c r="C181" s="29">
        <f t="shared" si="1401"/>
        <v>4.4627999999999988</v>
      </c>
      <c r="D181" s="29">
        <f t="shared" si="1401"/>
        <v>3.2326000000000001</v>
      </c>
      <c r="E181" s="29">
        <f t="shared" si="1401"/>
        <v>5.7607999999999997</v>
      </c>
      <c r="F181" s="29">
        <f t="shared" si="1401"/>
        <v>0</v>
      </c>
      <c r="G181" s="29">
        <f t="shared" si="1401"/>
        <v>0</v>
      </c>
      <c r="H181" s="29">
        <f t="shared" si="1401"/>
        <v>0</v>
      </c>
      <c r="I181" s="29">
        <f t="shared" si="1401"/>
        <v>0</v>
      </c>
      <c r="J181" s="29">
        <f t="shared" si="1401"/>
        <v>9.2799999999999976</v>
      </c>
      <c r="K181" s="29">
        <f t="shared" si="1401"/>
        <v>0</v>
      </c>
      <c r="L181" s="29">
        <f t="shared" si="1401"/>
        <v>0</v>
      </c>
      <c r="M181" s="29">
        <f t="shared" si="1401"/>
        <v>0</v>
      </c>
      <c r="N181" s="29">
        <f t="shared" si="1401"/>
        <v>0</v>
      </c>
      <c r="O181" s="29">
        <f t="shared" si="1401"/>
        <v>0</v>
      </c>
      <c r="P181" s="29">
        <f t="shared" si="1401"/>
        <v>0</v>
      </c>
      <c r="Q181" s="29">
        <f t="shared" si="1401"/>
        <v>0</v>
      </c>
      <c r="R181" s="29">
        <f t="shared" si="1401"/>
        <v>0</v>
      </c>
      <c r="S181" s="29">
        <f t="shared" si="1401"/>
        <v>0</v>
      </c>
      <c r="T181" s="29">
        <f t="shared" si="1401"/>
        <v>0</v>
      </c>
      <c r="U181" s="29">
        <f t="shared" si="1401"/>
        <v>0</v>
      </c>
      <c r="V181" s="29">
        <f t="shared" si="1401"/>
        <v>0</v>
      </c>
      <c r="W181" s="29">
        <f t="shared" ref="W181" si="1402">W178-W179-W180</f>
        <v>0</v>
      </c>
      <c r="X181" s="29">
        <f t="shared" ref="X181:Y181" si="1403">X178-X179-X180</f>
        <v>0</v>
      </c>
      <c r="Y181" s="29">
        <f t="shared" si="1403"/>
        <v>0</v>
      </c>
      <c r="Z181" s="29">
        <f t="shared" ref="Z181:AA181" si="1404">Z178-Z179-Z180</f>
        <v>0</v>
      </c>
      <c r="AA181" s="29">
        <f t="shared" si="1404"/>
        <v>0</v>
      </c>
      <c r="AB181" s="30">
        <f t="shared" ref="AA181:AD181" si="1405">AB178-AB179-AB180</f>
        <v>0</v>
      </c>
      <c r="AC181" s="30">
        <f t="shared" si="1405"/>
        <v>0</v>
      </c>
      <c r="AD181" s="30">
        <f t="shared" si="1405"/>
        <v>0</v>
      </c>
      <c r="AE181" s="30">
        <f t="shared" ref="AE181" si="1406">AE178-AE179-AE180</f>
        <v>0</v>
      </c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  <c r="DF181" s="29">
        <v>0</v>
      </c>
    </row>
    <row r="182" spans="1:110" s="5" customFormat="1" x14ac:dyDescent="0.2">
      <c r="AB182" s="63"/>
      <c r="AC182" s="63"/>
      <c r="AD182" s="63"/>
      <c r="AE182" s="63"/>
      <c r="CE182" s="112"/>
      <c r="CG182" s="112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</row>
    <row r="183" spans="1:110" s="95" customFormat="1" x14ac:dyDescent="0.2">
      <c r="A183" s="95" t="s">
        <v>85</v>
      </c>
      <c r="B183" s="95">
        <f t="shared" ref="B183:W183" si="1407">B178/B128</f>
        <v>0.23580496943816462</v>
      </c>
      <c r="C183" s="95">
        <f t="shared" si="1407"/>
        <v>0.33332616456621783</v>
      </c>
      <c r="D183" s="95">
        <f t="shared" si="1407"/>
        <v>0.31130789581880913</v>
      </c>
      <c r="E183" s="95">
        <f t="shared" si="1407"/>
        <v>0.36407048611542914</v>
      </c>
      <c r="F183" s="95">
        <f t="shared" si="1407"/>
        <v>0.17763480257721026</v>
      </c>
      <c r="G183" s="95">
        <f t="shared" si="1407"/>
        <v>0.20738847900759017</v>
      </c>
      <c r="H183" s="95">
        <f t="shared" si="1407"/>
        <v>7.2007061655513072E-2</v>
      </c>
      <c r="I183" s="95">
        <f t="shared" si="1407"/>
        <v>6.4006378648314072E-2</v>
      </c>
      <c r="J183" s="95">
        <f t="shared" si="1407"/>
        <v>0.11817527978586632</v>
      </c>
      <c r="K183" s="95">
        <f t="shared" si="1407"/>
        <v>6.1836873718429317E-2</v>
      </c>
      <c r="L183" s="95">
        <f t="shared" si="1407"/>
        <v>0.11185625038726831</v>
      </c>
      <c r="M183" s="95">
        <f t="shared" si="1407"/>
        <v>0.29062358708946157</v>
      </c>
      <c r="N183" s="95">
        <f t="shared" si="1407"/>
        <v>0.13250179840264956</v>
      </c>
      <c r="O183" s="95">
        <f t="shared" si="1407"/>
        <v>9.7045575745542526E-2</v>
      </c>
      <c r="P183" s="95">
        <f t="shared" si="1407"/>
        <v>7.9463002002275712E-2</v>
      </c>
      <c r="Q183" s="95">
        <f t="shared" si="1407"/>
        <v>6.3632215259286529E-2</v>
      </c>
      <c r="R183" s="95">
        <f t="shared" si="1407"/>
        <v>5.0492657654394403E-2</v>
      </c>
      <c r="S183" s="95">
        <f t="shared" si="1407"/>
        <v>3.8136588910996708E-2</v>
      </c>
      <c r="T183" s="95">
        <f t="shared" si="1407"/>
        <v>1.1169525157551921E-2</v>
      </c>
      <c r="U183" s="95">
        <f t="shared" si="1407"/>
        <v>2.8505682338911407E-2</v>
      </c>
      <c r="V183" s="95">
        <f t="shared" si="1407"/>
        <v>2.2167454350280273E-2</v>
      </c>
      <c r="W183" s="95">
        <f t="shared" si="1407"/>
        <v>1.872330920257562E-2</v>
      </c>
      <c r="X183" s="95">
        <f t="shared" ref="X183:Y183" si="1408">X178/X128</f>
        <v>3.2261511843772014E-4</v>
      </c>
      <c r="Y183" s="95">
        <f t="shared" si="1408"/>
        <v>2.6855239483563649E-4</v>
      </c>
      <c r="Z183" s="95">
        <f t="shared" ref="Z183:AA183" si="1409">Z178/Z128</f>
        <v>2.3528227876883559E-4</v>
      </c>
      <c r="AA183" s="95">
        <f t="shared" si="1409"/>
        <v>2.2125103535719121E-4</v>
      </c>
      <c r="AB183" s="87">
        <f t="shared" ref="AA183:AD183" si="1410">AB178/AB128</f>
        <v>0</v>
      </c>
      <c r="AC183" s="87">
        <f t="shared" si="1410"/>
        <v>0</v>
      </c>
      <c r="AD183" s="87">
        <f t="shared" si="1410"/>
        <v>0</v>
      </c>
      <c r="AE183" s="87">
        <f t="shared" ref="AE183" si="1411">AE178/AE128</f>
        <v>0</v>
      </c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E183" s="140"/>
      <c r="DF183" s="95">
        <v>0</v>
      </c>
    </row>
    <row r="184" spans="1:110" x14ac:dyDescent="0.2">
      <c r="A184" s="152" t="s">
        <v>492</v>
      </c>
      <c r="AA184" s="2"/>
      <c r="CE184" s="111"/>
      <c r="CG184" s="111"/>
      <c r="CL184" s="2"/>
    </row>
    <row r="185" spans="1:110" s="6" customFormat="1" x14ac:dyDescent="0.2">
      <c r="AB185" s="19"/>
      <c r="AC185" s="19"/>
      <c r="AD185" s="19"/>
      <c r="AE185" s="19"/>
      <c r="CE185" s="113"/>
      <c r="CG185" s="113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62" customFormat="1" x14ac:dyDescent="0.2">
      <c r="A186" s="153" t="s">
        <v>493</v>
      </c>
      <c r="AB186" s="63"/>
      <c r="AC186" s="63"/>
      <c r="AD186" s="63"/>
      <c r="AE186" s="63"/>
      <c r="CE186" s="114"/>
      <c r="CG186" s="114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62" customFormat="1" outlineLevel="1" x14ac:dyDescent="0.2">
      <c r="A187" s="68" t="s">
        <v>464</v>
      </c>
      <c r="B187" s="67">
        <f t="shared" ref="B187:AE187" si="1412">B152/B16*365</f>
        <v>13.710015474578105</v>
      </c>
      <c r="C187" s="67">
        <f t="shared" si="1412"/>
        <v>9.8831952815885806</v>
      </c>
      <c r="D187" s="67">
        <f t="shared" si="1412"/>
        <v>5.9913041574174679</v>
      </c>
      <c r="E187" s="67">
        <f t="shared" si="1412"/>
        <v>1.7555520082355736</v>
      </c>
      <c r="F187" s="67">
        <f t="shared" si="1412"/>
        <v>0.6104487172586045</v>
      </c>
      <c r="G187" s="67">
        <f t="shared" si="1412"/>
        <v>0.21345590875255377</v>
      </c>
      <c r="H187" s="67">
        <f t="shared" si="1412"/>
        <v>0.44350457684851752</v>
      </c>
      <c r="I187" s="67">
        <f t="shared" si="1412"/>
        <v>0.15071625668478464</v>
      </c>
      <c r="J187" s="67">
        <f t="shared" si="1412"/>
        <v>0</v>
      </c>
      <c r="K187" s="67">
        <f t="shared" si="1412"/>
        <v>5.8674944773264459E-2</v>
      </c>
      <c r="L187" s="67">
        <f t="shared" si="1412"/>
        <v>0.50119232182254292</v>
      </c>
      <c r="M187" s="67">
        <f t="shared" si="1412"/>
        <v>1.4431767597771998E-2</v>
      </c>
      <c r="N187" s="67">
        <f t="shared" si="1412"/>
        <v>0.18330107619590547</v>
      </c>
      <c r="O187" s="67">
        <f t="shared" si="1412"/>
        <v>0</v>
      </c>
      <c r="P187" s="67">
        <f t="shared" si="1412"/>
        <v>0.12418750105221195</v>
      </c>
      <c r="Q187" s="67">
        <f t="shared" si="1412"/>
        <v>0</v>
      </c>
      <c r="R187" s="67">
        <f t="shared" si="1412"/>
        <v>0</v>
      </c>
      <c r="S187" s="67">
        <f t="shared" si="1412"/>
        <v>0</v>
      </c>
      <c r="T187" s="67">
        <f t="shared" si="1412"/>
        <v>0.37994081900564813</v>
      </c>
      <c r="U187" s="67">
        <f t="shared" si="1412"/>
        <v>0.38815788002487667</v>
      </c>
      <c r="V187" s="67">
        <f t="shared" si="1412"/>
        <v>1.2572011089720139E-2</v>
      </c>
      <c r="W187" s="67">
        <f t="shared" si="1412"/>
        <v>8.383421040447156E-2</v>
      </c>
      <c r="X187" s="67">
        <f t="shared" si="1412"/>
        <v>4.4825258826494227E-2</v>
      </c>
      <c r="Y187" s="67">
        <f t="shared" si="1412"/>
        <v>0.11375983254290499</v>
      </c>
      <c r="Z187" s="67">
        <f t="shared" si="1412"/>
        <v>0</v>
      </c>
      <c r="AA187" s="67">
        <f t="shared" ref="AA187" si="1413">AA152/AA16*365</f>
        <v>0</v>
      </c>
      <c r="AB187" s="18">
        <f t="shared" si="1412"/>
        <v>0</v>
      </c>
      <c r="AC187" s="18">
        <f t="shared" si="1412"/>
        <v>0</v>
      </c>
      <c r="AD187" s="18">
        <f t="shared" si="1412"/>
        <v>0</v>
      </c>
      <c r="AE187" s="18">
        <f t="shared" si="1412"/>
        <v>0</v>
      </c>
      <c r="AI187" s="67">
        <f>AJ152/AI16*90</f>
        <v>9.2341156111274518E-3</v>
      </c>
      <c r="AJ187" s="67">
        <f>AJ152/AJ16*90</f>
        <v>8.6892157178257642E-3</v>
      </c>
      <c r="AK187" s="67">
        <f t="shared" ref="AK187:CE187" si="1414">+AJ187</f>
        <v>8.6892157178257642E-3</v>
      </c>
      <c r="AL187" s="67">
        <f>AL152/AL16*90</f>
        <v>0.1718145773165598</v>
      </c>
      <c r="AM187" s="67">
        <f t="shared" ref="AM187:AM188" si="1415">+AL187</f>
        <v>0.1718145773165598</v>
      </c>
      <c r="AN187" s="67">
        <f>AN152/AN16*90</f>
        <v>0.14828657156393116</v>
      </c>
      <c r="AO187" s="67">
        <f t="shared" ref="AO187:AO188" si="1416">+AN187</f>
        <v>0.14828657156393116</v>
      </c>
      <c r="AP187" s="67">
        <f>AP152/AP16*90</f>
        <v>0</v>
      </c>
      <c r="AQ187" s="67">
        <f t="shared" ref="AQ187:AQ188" si="1417">+AP187</f>
        <v>0</v>
      </c>
      <c r="AR187" s="67">
        <f>AR152/AR16*90</f>
        <v>2.3168498613290071E-2</v>
      </c>
      <c r="AS187" s="67">
        <f t="shared" ref="AS187:AS188" si="1418">+AR187</f>
        <v>2.3168498613290071E-2</v>
      </c>
      <c r="AT187" s="67">
        <f>AT152/AT16*90</f>
        <v>0.11246303118352097</v>
      </c>
      <c r="AU187" s="67">
        <f t="shared" ref="AU187:AU188" si="1419">+AT187</f>
        <v>0.11246303118352097</v>
      </c>
      <c r="AV187" s="67">
        <f>AV152/AV16*90</f>
        <v>1.877432127983979E-2</v>
      </c>
      <c r="AW187" s="67">
        <f t="shared" ref="AW187:AW188" si="1420">+AV187</f>
        <v>1.877432127983979E-2</v>
      </c>
      <c r="AX187" s="67">
        <f>AX152/AX16*90</f>
        <v>0</v>
      </c>
      <c r="AY187" s="67">
        <f t="shared" ref="AY187:AY188" si="1421">+AX187</f>
        <v>0</v>
      </c>
      <c r="AZ187" s="67">
        <f>AZ152/AZ16*90</f>
        <v>0</v>
      </c>
      <c r="BA187" s="67">
        <f t="shared" ref="BA187:BA188" si="1422">+AZ187</f>
        <v>0</v>
      </c>
      <c r="BB187" s="67">
        <f>BB152/BB16*90</f>
        <v>0</v>
      </c>
      <c r="BC187" s="67">
        <f t="shared" ref="BC187:BC188" si="1423">+BB187</f>
        <v>0</v>
      </c>
      <c r="BD187" s="67">
        <f>BD152/BD16*90</f>
        <v>0</v>
      </c>
      <c r="BE187" s="67">
        <f t="shared" ref="BE187:BE188" si="1424">+BD187</f>
        <v>0</v>
      </c>
      <c r="BF187" s="67">
        <f>BF152/BF16*90</f>
        <v>0</v>
      </c>
      <c r="BG187" s="67">
        <f t="shared" ref="BG187:BG188" si="1425">+BF187</f>
        <v>0</v>
      </c>
      <c r="BH187" s="67">
        <f>BH152/BH16*90</f>
        <v>0</v>
      </c>
      <c r="BI187" s="67">
        <f t="shared" ref="BI187:BI188" si="1426">+BH187</f>
        <v>0</v>
      </c>
      <c r="BJ187" s="67">
        <f>BJ152/BJ16*90</f>
        <v>0.36923851652908884</v>
      </c>
      <c r="BK187" s="67">
        <f t="shared" ref="BK187:BK188" si="1427">+BJ187</f>
        <v>0.36923851652908884</v>
      </c>
      <c r="BL187" s="67">
        <f>BL152/BL16*90</f>
        <v>0.31304185554665692</v>
      </c>
      <c r="BM187" s="67">
        <f t="shared" ref="BM187:BM188" si="1428">+BL187</f>
        <v>0.31304185554665692</v>
      </c>
      <c r="BN187" s="67">
        <f>BN152/BN16*90</f>
        <v>0.35107146519019788</v>
      </c>
      <c r="BO187" s="67">
        <f t="shared" ref="BO187:BO188" si="1429">+BN187</f>
        <v>0.35107146519019788</v>
      </c>
      <c r="BP187" s="67">
        <f>BP152/BP16*90</f>
        <v>0</v>
      </c>
      <c r="BQ187" s="67">
        <f t="shared" ref="BQ187:BQ188" si="1430">+BP187</f>
        <v>0</v>
      </c>
      <c r="BR187" s="67">
        <f>BR152/BR16*90</f>
        <v>1.0937584394941319E-2</v>
      </c>
      <c r="BS187" s="67">
        <f t="shared" ref="BS187:BS188" si="1431">+BR187</f>
        <v>1.0937584394941319E-2</v>
      </c>
      <c r="BT187" s="67">
        <f>BT152/BT16*90</f>
        <v>0</v>
      </c>
      <c r="BU187" s="67">
        <f t="shared" ref="BU187:BU188" si="1432">+BT187</f>
        <v>0</v>
      </c>
      <c r="BV187" s="67">
        <f>BV152/BV16*90</f>
        <v>7.4984708224115085E-2</v>
      </c>
      <c r="BW187" s="67">
        <f t="shared" ref="BW187:BW188" si="1433">+BV187</f>
        <v>7.4984708224115085E-2</v>
      </c>
      <c r="BX187" s="67">
        <f>BX152/BX16*90</f>
        <v>4.4813023555664456E-3</v>
      </c>
      <c r="BY187" s="67">
        <f t="shared" ref="BY187:BY188" si="1434">+BX187</f>
        <v>4.4813023555664456E-3</v>
      </c>
      <c r="BZ187" s="67">
        <f>BZ152/BZ16*90</f>
        <v>4.1459805232003058E-2</v>
      </c>
      <c r="CA187" s="67">
        <f t="shared" ref="CA187:CA188" si="1435">+BZ187</f>
        <v>4.1459805232003058E-2</v>
      </c>
      <c r="CB187" s="67">
        <f>CB152/CB16*90</f>
        <v>2.1537986929765066E-2</v>
      </c>
      <c r="CC187" s="67">
        <f t="shared" ref="CC187:CC188" si="1436">+CB187</f>
        <v>2.1537986929765066E-2</v>
      </c>
      <c r="CD187" s="67">
        <f>CD152/CD16*90</f>
        <v>0.10997380629907179</v>
      </c>
      <c r="CE187" s="67">
        <f t="shared" si="1414"/>
        <v>0.10997380629907179</v>
      </c>
      <c r="CF187" s="67">
        <f>CF152/CF16*90</f>
        <v>0</v>
      </c>
      <c r="CG187" s="67">
        <f t="shared" ref="CG187:CI188" si="1437">+CF187</f>
        <v>0</v>
      </c>
      <c r="CH187" s="67">
        <f>CH152/CH16*90</f>
        <v>0</v>
      </c>
      <c r="CI187" s="67">
        <f t="shared" si="1437"/>
        <v>0</v>
      </c>
      <c r="CJ187" s="67">
        <f>CJ152/CJ16*90</f>
        <v>0</v>
      </c>
      <c r="CK187" s="67">
        <f t="shared" ref="CK187:CK188" si="1438">+CJ187</f>
        <v>0</v>
      </c>
      <c r="CL187" s="67">
        <f>CL152/CL16*90</f>
        <v>0</v>
      </c>
      <c r="CM187" s="30">
        <f t="shared" ref="CM187:CM188" si="1439">+CL187</f>
        <v>0</v>
      </c>
      <c r="CN187" s="30">
        <f t="shared" ref="CN187:CN188" si="1440">+CM187</f>
        <v>0</v>
      </c>
      <c r="CO187" s="30">
        <f t="shared" ref="CO187:CO188" si="1441">+CN187</f>
        <v>0</v>
      </c>
      <c r="CP187" s="30">
        <f t="shared" ref="CP187:CP188" si="1442">+CO187</f>
        <v>0</v>
      </c>
      <c r="CQ187" s="30">
        <f t="shared" ref="CQ187:CQ188" si="1443">+CP187</f>
        <v>0</v>
      </c>
      <c r="CR187" s="30">
        <f t="shared" ref="CR187:CR188" si="1444">+CQ187</f>
        <v>0</v>
      </c>
      <c r="CS187" s="30">
        <f t="shared" ref="CS187:CS188" si="1445">+CR187</f>
        <v>0</v>
      </c>
      <c r="CT187" s="30">
        <f t="shared" ref="CT187:CT188" si="1446">+CS187</f>
        <v>0</v>
      </c>
      <c r="CU187" s="30">
        <f t="shared" ref="CU187:CU188" si="1447">+CT187</f>
        <v>0</v>
      </c>
      <c r="CV187" s="30">
        <f t="shared" ref="CV187:CV188" si="1448">+CU187</f>
        <v>0</v>
      </c>
      <c r="CW187" s="30">
        <f t="shared" ref="CW187:CW188" si="1449">+CV187</f>
        <v>0</v>
      </c>
      <c r="CX187" s="30">
        <f t="shared" ref="CX187:CX188" si="1450">+CW187</f>
        <v>0</v>
      </c>
      <c r="CY187" s="30">
        <f t="shared" ref="CY187:CY188" si="1451">+CX187</f>
        <v>0</v>
      </c>
      <c r="CZ187" s="30">
        <f t="shared" ref="CZ187:CZ188" si="1452">+CY187</f>
        <v>0</v>
      </c>
      <c r="DA187" s="30">
        <f t="shared" ref="DA187:DA188" si="1453">+CZ187</f>
        <v>0</v>
      </c>
      <c r="DB187" s="30">
        <f t="shared" ref="DB187:DB188" si="1454">+DA187</f>
        <v>0</v>
      </c>
      <c r="DE187" s="139"/>
      <c r="DF187" s="62">
        <v>0</v>
      </c>
    </row>
    <row r="188" spans="1:110" s="62" customFormat="1" outlineLevel="1" x14ac:dyDescent="0.2">
      <c r="A188" s="68" t="s">
        <v>465</v>
      </c>
      <c r="B188" s="67">
        <f t="shared" ref="B188:AE188" si="1455">B153/B16*365</f>
        <v>121.8491572351697</v>
      </c>
      <c r="C188" s="67">
        <f t="shared" si="1455"/>
        <v>114.26214346904312</v>
      </c>
      <c r="D188" s="67">
        <f t="shared" si="1455"/>
        <v>108.54880428743085</v>
      </c>
      <c r="E188" s="67">
        <f t="shared" si="1455"/>
        <v>74.975768908753878</v>
      </c>
      <c r="F188" s="67">
        <f t="shared" si="1455"/>
        <v>80.822270608373614</v>
      </c>
      <c r="G188" s="67">
        <f t="shared" si="1455"/>
        <v>72.245685853946711</v>
      </c>
      <c r="H188" s="67">
        <f t="shared" si="1455"/>
        <v>71.326724314284505</v>
      </c>
      <c r="I188" s="67">
        <f t="shared" si="1455"/>
        <v>94.965223821974234</v>
      </c>
      <c r="J188" s="67">
        <f t="shared" si="1455"/>
        <v>79.962008911166151</v>
      </c>
      <c r="K188" s="67">
        <f t="shared" si="1455"/>
        <v>122.75024119431438</v>
      </c>
      <c r="L188" s="67">
        <f t="shared" si="1455"/>
        <v>94.094624044748016</v>
      </c>
      <c r="M188" s="67">
        <f t="shared" si="1455"/>
        <v>85.137536629346471</v>
      </c>
      <c r="N188" s="67">
        <f t="shared" si="1455"/>
        <v>82.770299637493267</v>
      </c>
      <c r="O188" s="67">
        <f t="shared" si="1455"/>
        <v>73.308079253398702</v>
      </c>
      <c r="P188" s="67">
        <f t="shared" si="1455"/>
        <v>66.211146300611105</v>
      </c>
      <c r="Q188" s="67">
        <f t="shared" si="1455"/>
        <v>73.057601235707281</v>
      </c>
      <c r="R188" s="67">
        <f t="shared" si="1455"/>
        <v>72.217775576950132</v>
      </c>
      <c r="S188" s="67">
        <f t="shared" si="1455"/>
        <v>80.74269591151382</v>
      </c>
      <c r="T188" s="67">
        <f t="shared" si="1455"/>
        <v>81.492242999011367</v>
      </c>
      <c r="U188" s="67">
        <f t="shared" si="1455"/>
        <v>88.963586842685231</v>
      </c>
      <c r="V188" s="67">
        <f t="shared" si="1455"/>
        <v>97.812444880915947</v>
      </c>
      <c r="W188" s="67">
        <f t="shared" si="1455"/>
        <v>99.387930836305927</v>
      </c>
      <c r="X188" s="67">
        <f t="shared" si="1455"/>
        <v>113.32543889007694</v>
      </c>
      <c r="Y188" s="67">
        <f t="shared" si="1455"/>
        <v>99.835365987380527</v>
      </c>
      <c r="Z188" s="67">
        <f t="shared" si="1455"/>
        <v>95.093141325093598</v>
      </c>
      <c r="AA188" s="67">
        <f t="shared" ref="AA188" si="1456">AA153/AA16*365</f>
        <v>104.85069344189212</v>
      </c>
      <c r="AB188" s="18">
        <f t="shared" si="1455"/>
        <v>105.25052406302896</v>
      </c>
      <c r="AC188" s="18">
        <f t="shared" si="1455"/>
        <v>104.05436541983573</v>
      </c>
      <c r="AD188" s="18">
        <f t="shared" si="1455"/>
        <v>101.41490363226673</v>
      </c>
      <c r="AE188" s="18">
        <f t="shared" si="1455"/>
        <v>100.33554895069869</v>
      </c>
      <c r="AI188" s="67">
        <f>AJ153/AI16*90</f>
        <v>75.061047764318019</v>
      </c>
      <c r="AJ188" s="67">
        <f>AJ153/AJ16*90</f>
        <v>70.631738164966364</v>
      </c>
      <c r="AK188" s="67">
        <f>+AJ188</f>
        <v>70.631738164966364</v>
      </c>
      <c r="AL188" s="67">
        <f>AL153/AL16*90</f>
        <v>77.633205247442362</v>
      </c>
      <c r="AM188" s="67">
        <f t="shared" si="1415"/>
        <v>77.633205247442362</v>
      </c>
      <c r="AN188" s="67">
        <f>AN153/AN16*90</f>
        <v>71.781597094278041</v>
      </c>
      <c r="AO188" s="67">
        <f t="shared" si="1416"/>
        <v>71.781597094278041</v>
      </c>
      <c r="AP188" s="67">
        <f>AP153/AP16*90</f>
        <v>66.211498730610472</v>
      </c>
      <c r="AQ188" s="67">
        <f t="shared" si="1417"/>
        <v>66.211498730610472</v>
      </c>
      <c r="AR188" s="67">
        <f>AR153/AR16*90</f>
        <v>60.771409004143138</v>
      </c>
      <c r="AS188" s="67">
        <f t="shared" si="1418"/>
        <v>60.771409004143138</v>
      </c>
      <c r="AT188" s="67">
        <f>AT153/AT16*90</f>
        <v>59.960307165464641</v>
      </c>
      <c r="AU188" s="67">
        <f t="shared" si="1419"/>
        <v>59.960307165464641</v>
      </c>
      <c r="AV188" s="67">
        <f>AV153/AV16*90</f>
        <v>66.988143731652357</v>
      </c>
      <c r="AW188" s="67">
        <f t="shared" si="1420"/>
        <v>66.988143731652357</v>
      </c>
      <c r="AX188" s="67">
        <f>AX153/AX16*90</f>
        <v>65.891676192031355</v>
      </c>
      <c r="AY188" s="67">
        <f t="shared" si="1421"/>
        <v>65.891676192031355</v>
      </c>
      <c r="AZ188" s="67">
        <f>AZ153/AZ16*90</f>
        <v>63.929353292704569</v>
      </c>
      <c r="BA188" s="67">
        <f t="shared" si="1422"/>
        <v>63.929353292704569</v>
      </c>
      <c r="BB188" s="67">
        <f>BB153/BB16*90</f>
        <v>67.379792475160315</v>
      </c>
      <c r="BC188" s="67">
        <f t="shared" si="1423"/>
        <v>67.379792475160315</v>
      </c>
      <c r="BD188" s="67">
        <f>BD153/BD16*90</f>
        <v>75.998673112107426</v>
      </c>
      <c r="BE188" s="67">
        <f t="shared" si="1424"/>
        <v>75.998673112107426</v>
      </c>
      <c r="BF188" s="67">
        <f>BF153/BF16*90</f>
        <v>73.526117812539965</v>
      </c>
      <c r="BG188" s="67">
        <f t="shared" si="1425"/>
        <v>73.526117812539965</v>
      </c>
      <c r="BH188" s="67">
        <f>BH153/BH16*90</f>
        <v>76.677102367522053</v>
      </c>
      <c r="BI188" s="67">
        <f t="shared" si="1426"/>
        <v>76.677102367522053</v>
      </c>
      <c r="BJ188" s="67">
        <f>BJ153/BJ16*90</f>
        <v>79.210992732730361</v>
      </c>
      <c r="BK188" s="67">
        <f t="shared" si="1427"/>
        <v>79.210992732730361</v>
      </c>
      <c r="BL188" s="67">
        <f>BL153/BL16*90</f>
        <v>78.41418563242074</v>
      </c>
      <c r="BM188" s="67">
        <f t="shared" si="1428"/>
        <v>78.41418563242074</v>
      </c>
      <c r="BN188" s="67">
        <f>BN153/BN16*90</f>
        <v>80.463652209576537</v>
      </c>
      <c r="BO188" s="67">
        <f t="shared" si="1429"/>
        <v>80.463652209576537</v>
      </c>
      <c r="BP188" s="67">
        <f>BP153/BP16*90</f>
        <v>75.011193015000742</v>
      </c>
      <c r="BQ188" s="67">
        <f t="shared" si="1430"/>
        <v>75.011193015000742</v>
      </c>
      <c r="BR188" s="67">
        <f>BR153/BR16*90</f>
        <v>84.961245842946326</v>
      </c>
      <c r="BS188" s="67">
        <f t="shared" si="1431"/>
        <v>84.961245842946326</v>
      </c>
      <c r="BT188" s="67">
        <f>BT153/BT16*90</f>
        <v>62.598218470061191</v>
      </c>
      <c r="BU188" s="67">
        <f t="shared" si="1432"/>
        <v>62.598218470061191</v>
      </c>
      <c r="BV188" s="67">
        <f>BV153/BV16*90</f>
        <v>88.818330768813283</v>
      </c>
      <c r="BW188" s="67">
        <f t="shared" si="1433"/>
        <v>88.818330768813283</v>
      </c>
      <c r="BX188" s="67">
        <f>BX153/BX16*90</f>
        <v>90.42077070538582</v>
      </c>
      <c r="BY188" s="67">
        <f t="shared" si="1434"/>
        <v>90.42077070538582</v>
      </c>
      <c r="BZ188" s="67">
        <f>BZ153/BZ16*90</f>
        <v>104.87139583731145</v>
      </c>
      <c r="CA188" s="67">
        <f t="shared" si="1435"/>
        <v>104.87139583731145</v>
      </c>
      <c r="CB188" s="67">
        <f>CB153/CB16*90</f>
        <v>90.120449405578782</v>
      </c>
      <c r="CC188" s="67">
        <f t="shared" si="1436"/>
        <v>90.120449405578782</v>
      </c>
      <c r="CD188" s="67">
        <f>CD153/CD16*90</f>
        <v>96.521436779135115</v>
      </c>
      <c r="CE188" s="114">
        <f t="shared" ref="CE188" si="1457">+CD188</f>
        <v>96.521436779135115</v>
      </c>
      <c r="CF188" s="67">
        <f>CF153/CF16*90</f>
        <v>92.800679729364688</v>
      </c>
      <c r="CG188" s="67">
        <f t="shared" si="1437"/>
        <v>92.800679729364688</v>
      </c>
      <c r="CH188" s="67">
        <f>CH153/CH16*90</f>
        <v>96.260989325535917</v>
      </c>
      <c r="CI188" s="67">
        <f t="shared" si="1437"/>
        <v>96.260989325535917</v>
      </c>
      <c r="CJ188" s="67">
        <f>CJ153/CJ16*90</f>
        <v>98.543756576066727</v>
      </c>
      <c r="CK188" s="67">
        <f t="shared" si="1438"/>
        <v>98.543756576066727</v>
      </c>
      <c r="CL188" s="67">
        <f>CL153/CL16*90</f>
        <v>97.753803518185137</v>
      </c>
      <c r="CM188" s="30">
        <f t="shared" si="1439"/>
        <v>97.753803518185137</v>
      </c>
      <c r="CN188" s="30">
        <f t="shared" si="1440"/>
        <v>97.753803518185137</v>
      </c>
      <c r="CO188" s="30">
        <f t="shared" si="1441"/>
        <v>97.753803518185137</v>
      </c>
      <c r="CP188" s="30">
        <f t="shared" si="1442"/>
        <v>97.753803518185137</v>
      </c>
      <c r="CQ188" s="30">
        <f t="shared" si="1443"/>
        <v>97.753803518185137</v>
      </c>
      <c r="CR188" s="30">
        <f t="shared" si="1444"/>
        <v>97.753803518185137</v>
      </c>
      <c r="CS188" s="30">
        <f t="shared" si="1445"/>
        <v>97.753803518185137</v>
      </c>
      <c r="CT188" s="30">
        <f t="shared" si="1446"/>
        <v>97.753803518185137</v>
      </c>
      <c r="CU188" s="30">
        <f t="shared" si="1447"/>
        <v>97.753803518185137</v>
      </c>
      <c r="CV188" s="30">
        <f t="shared" si="1448"/>
        <v>97.753803518185137</v>
      </c>
      <c r="CW188" s="30">
        <f t="shared" si="1449"/>
        <v>97.753803518185137</v>
      </c>
      <c r="CX188" s="30">
        <f t="shared" si="1450"/>
        <v>97.753803518185137</v>
      </c>
      <c r="CY188" s="30">
        <f t="shared" si="1451"/>
        <v>97.753803518185137</v>
      </c>
      <c r="CZ188" s="30">
        <f t="shared" si="1452"/>
        <v>97.753803518185137</v>
      </c>
      <c r="DA188" s="30">
        <f t="shared" si="1453"/>
        <v>97.753803518185137</v>
      </c>
      <c r="DB188" s="30">
        <f t="shared" si="1454"/>
        <v>97.753803518185137</v>
      </c>
      <c r="DE188" s="139"/>
      <c r="DF188" s="62">
        <v>98.543756576066727</v>
      </c>
    </row>
    <row r="189" spans="1:110" s="62" customFormat="1" outlineLevel="1" x14ac:dyDescent="0.2">
      <c r="A189" s="68" t="s">
        <v>466</v>
      </c>
      <c r="B189" s="67">
        <f>B190-B188-B187</f>
        <v>32.781036182430363</v>
      </c>
      <c r="C189" s="67">
        <f t="shared" ref="C189:U189" si="1458">C190-C188-C187</f>
        <v>40.868424053051314</v>
      </c>
      <c r="D189" s="67">
        <f t="shared" si="1458"/>
        <v>58.336540330151884</v>
      </c>
      <c r="E189" s="67">
        <f t="shared" si="1458"/>
        <v>54.151954157042759</v>
      </c>
      <c r="F189" s="67">
        <f t="shared" si="1458"/>
        <v>55.372433709776388</v>
      </c>
      <c r="G189" s="67">
        <f t="shared" si="1458"/>
        <v>55.408382909267758</v>
      </c>
      <c r="H189" s="67">
        <f t="shared" si="1458"/>
        <v>26.577918451242518</v>
      </c>
      <c r="I189" s="67">
        <f t="shared" si="1458"/>
        <v>29.195554778357053</v>
      </c>
      <c r="J189" s="67">
        <f t="shared" si="1458"/>
        <v>35.041911334254578</v>
      </c>
      <c r="K189" s="67">
        <f t="shared" si="1458"/>
        <v>57.446626177794649</v>
      </c>
      <c r="L189" s="67">
        <f t="shared" si="1458"/>
        <v>61.863420605167633</v>
      </c>
      <c r="M189" s="67">
        <f t="shared" si="1458"/>
        <v>48.707689925922679</v>
      </c>
      <c r="N189" s="67">
        <f t="shared" si="1458"/>
        <v>47.125638118671091</v>
      </c>
      <c r="O189" s="67">
        <f t="shared" si="1458"/>
        <v>74.473764164723221</v>
      </c>
      <c r="P189" s="67">
        <f t="shared" si="1458"/>
        <v>86.43424290361763</v>
      </c>
      <c r="Q189" s="67">
        <f t="shared" si="1458"/>
        <v>98.969025566354176</v>
      </c>
      <c r="R189" s="67">
        <f t="shared" si="1458"/>
        <v>31.562525079561567</v>
      </c>
      <c r="S189" s="67">
        <f t="shared" si="1458"/>
        <v>37.745356238983689</v>
      </c>
      <c r="T189" s="67">
        <f t="shared" si="1458"/>
        <v>36.973775207403968</v>
      </c>
      <c r="U189" s="67">
        <f t="shared" si="1458"/>
        <v>39.433054257375389</v>
      </c>
      <c r="V189" s="67">
        <f>V190-V188-V187</f>
        <v>36.128841853207057</v>
      </c>
      <c r="W189" s="67">
        <f t="shared" ref="W189" si="1459">W190-W188-W187</f>
        <v>33.688175469702294</v>
      </c>
      <c r="X189" s="67">
        <f t="shared" ref="X189:Y189" si="1460">X190-X188-X187</f>
        <v>28.056526450267082</v>
      </c>
      <c r="Y189" s="67">
        <f t="shared" si="1460"/>
        <v>41.082928552170593</v>
      </c>
      <c r="Z189" s="67">
        <f t="shared" ref="Z189:AA189" si="1461">Z190-Z188-Z187</f>
        <v>63.672647120178084</v>
      </c>
      <c r="AA189" s="67">
        <f t="shared" si="1461"/>
        <v>85.149900449076299</v>
      </c>
      <c r="AB189" s="18">
        <f t="shared" ref="AA189:AD189" si="1462">AB190-AB188-AB187</f>
        <v>97.87349171539131</v>
      </c>
      <c r="AC189" s="18">
        <f t="shared" si="1462"/>
        <v>96.76117209421048</v>
      </c>
      <c r="AD189" s="18">
        <f t="shared" si="1462"/>
        <v>94.30671076303436</v>
      </c>
      <c r="AE189" s="18">
        <f t="shared" ref="AE189" si="1463">AE190-AE188-AE187</f>
        <v>93.303008288154928</v>
      </c>
      <c r="AI189" s="67">
        <f t="shared" ref="AI189:AK189" si="1464">AI190-AI188-AI187</f>
        <v>-75.070281879929141</v>
      </c>
      <c r="AJ189" s="67">
        <f t="shared" ref="AJ189:AM189" si="1465">AJ190-AJ188-AJ187</f>
        <v>48.44990828050075</v>
      </c>
      <c r="AK189" s="67">
        <f t="shared" si="1464"/>
        <v>48.043886186956698</v>
      </c>
      <c r="AL189" s="67">
        <f t="shared" si="1465"/>
        <v>44.200952077928427</v>
      </c>
      <c r="AM189" s="67">
        <f t="shared" si="1465"/>
        <v>41.714643737765122</v>
      </c>
      <c r="AN189" s="67">
        <f t="shared" ref="AN189:AY189" si="1466">AN190-AN188-AN187</f>
        <v>34.677738590303747</v>
      </c>
      <c r="AO189" s="67">
        <f t="shared" si="1466"/>
        <v>32.482059139777391</v>
      </c>
      <c r="AP189" s="67">
        <f t="shared" si="1466"/>
        <v>30.5917198927756</v>
      </c>
      <c r="AQ189" s="67">
        <f t="shared" si="1466"/>
        <v>33.921679641424845</v>
      </c>
      <c r="AR189" s="67">
        <f t="shared" si="1466"/>
        <v>35.94133561294521</v>
      </c>
      <c r="AS189" s="67">
        <f t="shared" si="1466"/>
        <v>32.922844269257865</v>
      </c>
      <c r="AT189" s="67">
        <f t="shared" si="1466"/>
        <v>29.728765630675046</v>
      </c>
      <c r="AU189" s="67">
        <f t="shared" si="1466"/>
        <v>28.233910011867568</v>
      </c>
      <c r="AV189" s="67">
        <f t="shared" si="1466"/>
        <v>31.577725690098543</v>
      </c>
      <c r="AW189" s="67">
        <f t="shared" si="1466"/>
        <v>30.0616512336974</v>
      </c>
      <c r="AX189" s="67">
        <f t="shared" si="1466"/>
        <v>28.129898758981071</v>
      </c>
      <c r="AY189" s="67">
        <f t="shared" si="1466"/>
        <v>27.440240659723628</v>
      </c>
      <c r="AZ189" s="67">
        <f t="shared" ref="AZ189:BC189" si="1467">AZ190-AZ188-AZ187</f>
        <v>34.880480444944091</v>
      </c>
      <c r="BA189" s="67">
        <f t="shared" si="1467"/>
        <v>34.202871923802157</v>
      </c>
      <c r="BB189" s="67">
        <f t="shared" si="1467"/>
        <v>29.447609611097349</v>
      </c>
      <c r="BC189" s="67">
        <f t="shared" si="1467"/>
        <v>29.790799121368707</v>
      </c>
      <c r="BD189" s="67">
        <f t="shared" ref="BD189:CE189" si="1468">BD190-BD188-BD187</f>
        <v>39.803129584923738</v>
      </c>
      <c r="BE189" s="67">
        <f t="shared" si="1468"/>
        <v>38.70004950113541</v>
      </c>
      <c r="BF189" s="67">
        <f t="shared" si="1468"/>
        <v>34.371936405097827</v>
      </c>
      <c r="BG189" s="67">
        <f t="shared" si="1468"/>
        <v>33.772821861871293</v>
      </c>
      <c r="BH189" s="67">
        <f t="shared" si="1468"/>
        <v>37.600624652419143</v>
      </c>
      <c r="BI189" s="67">
        <f t="shared" si="1468"/>
        <v>34.995386606844178</v>
      </c>
      <c r="BJ189" s="67">
        <f t="shared" si="1468"/>
        <v>35.938771278486534</v>
      </c>
      <c r="BK189" s="67">
        <f t="shared" si="1468"/>
        <v>40.00499859599423</v>
      </c>
      <c r="BL189" s="67">
        <f t="shared" si="1468"/>
        <v>43.216104627203393</v>
      </c>
      <c r="BM189" s="67">
        <f t="shared" si="1468"/>
        <v>39.377523982259504</v>
      </c>
      <c r="BN189" s="67">
        <f t="shared" si="1468"/>
        <v>46.294268430226602</v>
      </c>
      <c r="BO189" s="67">
        <f t="shared" si="1468"/>
        <v>50.732756037634083</v>
      </c>
      <c r="BP189" s="67">
        <f t="shared" si="1468"/>
        <v>46.832411623998368</v>
      </c>
      <c r="BQ189" s="67">
        <f t="shared" si="1468"/>
        <v>42.226884679635361</v>
      </c>
      <c r="BR189" s="67">
        <f t="shared" si="1468"/>
        <v>42.683315457680976</v>
      </c>
      <c r="BS189" s="67">
        <f t="shared" si="1468"/>
        <v>39.631427363715147</v>
      </c>
      <c r="BT189" s="67">
        <f t="shared" si="1468"/>
        <v>43.054284087339632</v>
      </c>
      <c r="BU189" s="67">
        <f t="shared" si="1468"/>
        <v>40.16679530230757</v>
      </c>
      <c r="BV189" s="67">
        <f t="shared" si="1468"/>
        <v>46.526031223092723</v>
      </c>
      <c r="BW189" s="67">
        <f t="shared" si="1468"/>
        <v>43.696226282530795</v>
      </c>
      <c r="BX189" s="67">
        <f t="shared" si="1468"/>
        <v>44.209698743793986</v>
      </c>
      <c r="BY189" s="67">
        <f t="shared" si="1468"/>
        <v>41.259368774786232</v>
      </c>
      <c r="BZ189" s="67">
        <f t="shared" si="1468"/>
        <v>42.897472312392587</v>
      </c>
      <c r="CA189" s="67">
        <f t="shared" si="1468"/>
        <v>42.274295754770243</v>
      </c>
      <c r="CB189" s="67">
        <f t="shared" si="1468"/>
        <v>55.752253039022442</v>
      </c>
      <c r="CC189" s="67">
        <f t="shared" si="1468"/>
        <v>53.768186009474626</v>
      </c>
      <c r="CD189" s="67">
        <f t="shared" si="1468"/>
        <v>58.622496117305396</v>
      </c>
      <c r="CE189" s="114">
        <f t="shared" si="1468"/>
        <v>57.324575937309397</v>
      </c>
      <c r="CF189" s="67">
        <f t="shared" ref="CF189:CG189" si="1469">CF190-CF188-CF187</f>
        <v>63.098642425917674</v>
      </c>
      <c r="CG189" s="67">
        <f t="shared" si="1469"/>
        <v>64.167899136578981</v>
      </c>
      <c r="CH189" s="67">
        <f t="shared" ref="CH189" si="1470">CH190-CH188-CH187</f>
        <v>64.454617013968402</v>
      </c>
      <c r="CI189" s="67">
        <f>CH189</f>
        <v>64.454617013968402</v>
      </c>
      <c r="CJ189" s="67">
        <f t="shared" ref="CJ189:CL189" si="1471">CJ190-CJ188-CJ187</f>
        <v>97.00500597972777</v>
      </c>
      <c r="CK189" s="67">
        <f t="shared" ref="CK189:DB189" si="1472">CJ189</f>
        <v>97.00500597972777</v>
      </c>
      <c r="CL189" s="67">
        <f t="shared" si="1471"/>
        <v>90.902217960032246</v>
      </c>
      <c r="CM189" s="30">
        <f t="shared" si="1472"/>
        <v>90.902217960032246</v>
      </c>
      <c r="CN189" s="30">
        <f t="shared" si="1472"/>
        <v>90.902217960032246</v>
      </c>
      <c r="CO189" s="30">
        <f t="shared" si="1472"/>
        <v>90.902217960032246</v>
      </c>
      <c r="CP189" s="30">
        <f t="shared" si="1472"/>
        <v>90.902217960032246</v>
      </c>
      <c r="CQ189" s="30">
        <f t="shared" si="1472"/>
        <v>90.902217960032246</v>
      </c>
      <c r="CR189" s="30">
        <f t="shared" si="1472"/>
        <v>90.902217960032246</v>
      </c>
      <c r="CS189" s="30">
        <f t="shared" si="1472"/>
        <v>90.902217960032246</v>
      </c>
      <c r="CT189" s="30">
        <f t="shared" si="1472"/>
        <v>90.902217960032246</v>
      </c>
      <c r="CU189" s="30">
        <f t="shared" si="1472"/>
        <v>90.902217960032246</v>
      </c>
      <c r="CV189" s="30">
        <f t="shared" si="1472"/>
        <v>90.902217960032246</v>
      </c>
      <c r="CW189" s="30">
        <f t="shared" si="1472"/>
        <v>90.902217960032246</v>
      </c>
      <c r="CX189" s="30">
        <f t="shared" si="1472"/>
        <v>90.902217960032246</v>
      </c>
      <c r="CY189" s="30">
        <f t="shared" si="1472"/>
        <v>90.902217960032246</v>
      </c>
      <c r="CZ189" s="30">
        <f t="shared" si="1472"/>
        <v>90.902217960032246</v>
      </c>
      <c r="DA189" s="30">
        <f t="shared" si="1472"/>
        <v>90.902217960032246</v>
      </c>
      <c r="DB189" s="30">
        <f t="shared" si="1472"/>
        <v>90.902217960032246</v>
      </c>
      <c r="DE189" s="139"/>
      <c r="DF189" s="62">
        <v>97.00500597972777</v>
      </c>
    </row>
    <row r="190" spans="1:110" s="7" customFormat="1" outlineLevel="1" x14ac:dyDescent="0.2">
      <c r="A190" s="69" t="s">
        <v>467</v>
      </c>
      <c r="B190" s="70">
        <f t="shared" ref="B190:AE190" si="1473">B156/B16*365</f>
        <v>168.34020889217817</v>
      </c>
      <c r="C190" s="70">
        <f t="shared" si="1473"/>
        <v>165.01376280368302</v>
      </c>
      <c r="D190" s="70">
        <f t="shared" si="1473"/>
        <v>172.87664877500021</v>
      </c>
      <c r="E190" s="70">
        <f t="shared" si="1473"/>
        <v>130.88327507403221</v>
      </c>
      <c r="F190" s="70">
        <f t="shared" si="1473"/>
        <v>136.80515303540861</v>
      </c>
      <c r="G190" s="70">
        <f t="shared" si="1473"/>
        <v>127.86752467196702</v>
      </c>
      <c r="H190" s="70">
        <f t="shared" si="1473"/>
        <v>98.34814734237554</v>
      </c>
      <c r="I190" s="70">
        <f t="shared" si="1473"/>
        <v>124.31149485701607</v>
      </c>
      <c r="J190" s="70">
        <f t="shared" si="1473"/>
        <v>115.00392024542073</v>
      </c>
      <c r="K190" s="70">
        <f t="shared" si="1473"/>
        <v>180.2555423168823</v>
      </c>
      <c r="L190" s="70">
        <f t="shared" si="1473"/>
        <v>156.45923697173819</v>
      </c>
      <c r="M190" s="70">
        <f t="shared" si="1473"/>
        <v>133.85965832286692</v>
      </c>
      <c r="N190" s="70">
        <f t="shared" si="1473"/>
        <v>130.07923883236026</v>
      </c>
      <c r="O190" s="70">
        <f t="shared" si="1473"/>
        <v>147.78184341812192</v>
      </c>
      <c r="P190" s="70">
        <f t="shared" si="1473"/>
        <v>152.76957670528094</v>
      </c>
      <c r="Q190" s="70">
        <f t="shared" si="1473"/>
        <v>172.02662680206146</v>
      </c>
      <c r="R190" s="70">
        <f t="shared" si="1473"/>
        <v>103.7803006565117</v>
      </c>
      <c r="S190" s="70">
        <f t="shared" si="1473"/>
        <v>118.48805215049751</v>
      </c>
      <c r="T190" s="70">
        <f t="shared" si="1473"/>
        <v>118.84595902542098</v>
      </c>
      <c r="U190" s="70">
        <f t="shared" si="1473"/>
        <v>128.7847989800855</v>
      </c>
      <c r="V190" s="70">
        <f t="shared" si="1473"/>
        <v>133.95385874521273</v>
      </c>
      <c r="W190" s="70">
        <f t="shared" si="1473"/>
        <v>133.15994051641269</v>
      </c>
      <c r="X190" s="70">
        <f t="shared" si="1473"/>
        <v>141.42679059917052</v>
      </c>
      <c r="Y190" s="70">
        <f t="shared" si="1473"/>
        <v>141.03205437209402</v>
      </c>
      <c r="Z190" s="70">
        <f t="shared" si="1473"/>
        <v>158.76578844527168</v>
      </c>
      <c r="AA190" s="70">
        <f t="shared" ref="AA190" si="1474">AA156/AA16*365</f>
        <v>190.00059389096842</v>
      </c>
      <c r="AB190" s="71">
        <f t="shared" si="1473"/>
        <v>203.12401577842027</v>
      </c>
      <c r="AC190" s="71">
        <f t="shared" si="1473"/>
        <v>200.81553751404621</v>
      </c>
      <c r="AD190" s="71">
        <f t="shared" si="1473"/>
        <v>195.72161439530109</v>
      </c>
      <c r="AE190" s="71">
        <f t="shared" si="1473"/>
        <v>193.63855723885362</v>
      </c>
      <c r="AI190" s="70">
        <f t="shared" ref="AI190:CD190" si="1475">AI156/AI16*90</f>
        <v>0</v>
      </c>
      <c r="AJ190" s="70">
        <f t="shared" si="1475"/>
        <v>119.09033566118494</v>
      </c>
      <c r="AK190" s="70">
        <f t="shared" si="1475"/>
        <v>118.68431356764088</v>
      </c>
      <c r="AL190" s="70">
        <f t="shared" si="1475"/>
        <v>122.00597190268735</v>
      </c>
      <c r="AM190" s="70">
        <f t="shared" si="1475"/>
        <v>119.51966356252404</v>
      </c>
      <c r="AN190" s="70">
        <f t="shared" si="1475"/>
        <v>106.60762225614572</v>
      </c>
      <c r="AO190" s="70">
        <f t="shared" si="1475"/>
        <v>104.41194280561936</v>
      </c>
      <c r="AP190" s="70">
        <f t="shared" si="1475"/>
        <v>96.803218623386073</v>
      </c>
      <c r="AQ190" s="70">
        <f t="shared" si="1475"/>
        <v>100.13317837203532</v>
      </c>
      <c r="AR190" s="70">
        <f t="shared" si="1475"/>
        <v>96.735913115701635</v>
      </c>
      <c r="AS190" s="70">
        <f t="shared" si="1475"/>
        <v>93.717421772014291</v>
      </c>
      <c r="AT190" s="70">
        <f t="shared" si="1475"/>
        <v>89.801535827323207</v>
      </c>
      <c r="AU190" s="70">
        <f t="shared" si="1475"/>
        <v>88.306680208515729</v>
      </c>
      <c r="AV190" s="70">
        <f t="shared" si="1475"/>
        <v>98.584643743030739</v>
      </c>
      <c r="AW190" s="70">
        <f t="shared" si="1475"/>
        <v>97.068569286629597</v>
      </c>
      <c r="AX190" s="70">
        <f t="shared" si="1475"/>
        <v>94.021574951012425</v>
      </c>
      <c r="AY190" s="70">
        <f t="shared" si="1475"/>
        <v>93.331916851754983</v>
      </c>
      <c r="AZ190" s="70">
        <f t="shared" si="1475"/>
        <v>98.80983373764866</v>
      </c>
      <c r="BA190" s="70">
        <f t="shared" si="1475"/>
        <v>98.132225216506725</v>
      </c>
      <c r="BB190" s="70">
        <f t="shared" si="1475"/>
        <v>96.827402086257663</v>
      </c>
      <c r="BC190" s="70">
        <f t="shared" si="1475"/>
        <v>97.170591596529022</v>
      </c>
      <c r="BD190" s="70">
        <f t="shared" si="1475"/>
        <v>115.80180269703116</v>
      </c>
      <c r="BE190" s="70">
        <f t="shared" si="1475"/>
        <v>114.69872261324284</v>
      </c>
      <c r="BF190" s="70">
        <f t="shared" si="1475"/>
        <v>107.89805421763779</v>
      </c>
      <c r="BG190" s="70">
        <f t="shared" si="1475"/>
        <v>107.29893967441126</v>
      </c>
      <c r="BH190" s="70">
        <f t="shared" si="1475"/>
        <v>114.2777270199412</v>
      </c>
      <c r="BI190" s="70">
        <f t="shared" si="1475"/>
        <v>111.67248897436623</v>
      </c>
      <c r="BJ190" s="70">
        <f t="shared" si="1475"/>
        <v>115.51900252774598</v>
      </c>
      <c r="BK190" s="70">
        <f t="shared" si="1475"/>
        <v>119.58522984525368</v>
      </c>
      <c r="BL190" s="70">
        <f t="shared" si="1475"/>
        <v>121.94333211517079</v>
      </c>
      <c r="BM190" s="70">
        <f t="shared" si="1475"/>
        <v>118.1047514702269</v>
      </c>
      <c r="BN190" s="70">
        <f t="shared" si="1475"/>
        <v>127.10899210499333</v>
      </c>
      <c r="BO190" s="70">
        <f t="shared" si="1475"/>
        <v>131.54747971240081</v>
      </c>
      <c r="BP190" s="70">
        <f t="shared" si="1475"/>
        <v>121.84360463899911</v>
      </c>
      <c r="BQ190" s="70">
        <f t="shared" si="1475"/>
        <v>117.2380776946361</v>
      </c>
      <c r="BR190" s="70">
        <f t="shared" si="1475"/>
        <v>127.65549888502224</v>
      </c>
      <c r="BS190" s="70">
        <f t="shared" si="1475"/>
        <v>124.60361079105641</v>
      </c>
      <c r="BT190" s="70">
        <f t="shared" si="1475"/>
        <v>105.65250255740082</v>
      </c>
      <c r="BU190" s="70">
        <f t="shared" si="1475"/>
        <v>102.76501377236876</v>
      </c>
      <c r="BV190" s="70">
        <f t="shared" si="1475"/>
        <v>135.41934670013012</v>
      </c>
      <c r="BW190" s="70">
        <f t="shared" si="1475"/>
        <v>132.58954175956819</v>
      </c>
      <c r="BX190" s="70">
        <f t="shared" si="1475"/>
        <v>134.63495075153537</v>
      </c>
      <c r="BY190" s="70">
        <f t="shared" si="1475"/>
        <v>131.68462078252762</v>
      </c>
      <c r="BZ190" s="70">
        <f t="shared" si="1475"/>
        <v>147.81032795493604</v>
      </c>
      <c r="CA190" s="70">
        <f t="shared" si="1475"/>
        <v>147.1871513973137</v>
      </c>
      <c r="CB190" s="70">
        <f t="shared" si="1475"/>
        <v>145.89424043153099</v>
      </c>
      <c r="CC190" s="70">
        <f t="shared" si="1475"/>
        <v>143.91017340198317</v>
      </c>
      <c r="CD190" s="70">
        <f t="shared" si="1475"/>
        <v>155.25390670273958</v>
      </c>
      <c r="CE190" s="115">
        <f>CE156/CE18*90</f>
        <v>153.95598652274359</v>
      </c>
      <c r="CF190" s="70">
        <f>CF156/CF16*90</f>
        <v>155.89932215528236</v>
      </c>
      <c r="CG190" s="70">
        <f>CG156/CG18*90</f>
        <v>156.96857886594367</v>
      </c>
      <c r="CH190" s="70">
        <f>CH156/CH16*90</f>
        <v>160.71560633950432</v>
      </c>
      <c r="CI190" s="70">
        <f>CI187+CI188+CI189</f>
        <v>160.71560633950432</v>
      </c>
      <c r="CJ190" s="70">
        <f>CJ156/CJ16*90</f>
        <v>195.5487625557945</v>
      </c>
      <c r="CK190" s="70">
        <f t="shared" ref="CK190:DB190" si="1476">CK187+CK188+CK189</f>
        <v>195.5487625557945</v>
      </c>
      <c r="CL190" s="70">
        <f>CL156/CL16*90</f>
        <v>188.65602147821738</v>
      </c>
      <c r="CM190" s="50">
        <f t="shared" si="1476"/>
        <v>188.65602147821738</v>
      </c>
      <c r="CN190" s="50">
        <f t="shared" si="1476"/>
        <v>188.65602147821738</v>
      </c>
      <c r="CO190" s="50">
        <f t="shared" si="1476"/>
        <v>188.65602147821738</v>
      </c>
      <c r="CP190" s="50">
        <f t="shared" si="1476"/>
        <v>188.65602147821738</v>
      </c>
      <c r="CQ190" s="50">
        <f t="shared" si="1476"/>
        <v>188.65602147821738</v>
      </c>
      <c r="CR190" s="50">
        <f t="shared" si="1476"/>
        <v>188.65602147821738</v>
      </c>
      <c r="CS190" s="50">
        <f t="shared" si="1476"/>
        <v>188.65602147821738</v>
      </c>
      <c r="CT190" s="50">
        <f t="shared" si="1476"/>
        <v>188.65602147821738</v>
      </c>
      <c r="CU190" s="50">
        <f t="shared" si="1476"/>
        <v>188.65602147821738</v>
      </c>
      <c r="CV190" s="50">
        <f t="shared" si="1476"/>
        <v>188.65602147821738</v>
      </c>
      <c r="CW190" s="50">
        <f t="shared" si="1476"/>
        <v>188.65602147821738</v>
      </c>
      <c r="CX190" s="50">
        <f t="shared" si="1476"/>
        <v>188.65602147821738</v>
      </c>
      <c r="CY190" s="50">
        <f t="shared" si="1476"/>
        <v>188.65602147821738</v>
      </c>
      <c r="CZ190" s="50">
        <f t="shared" si="1476"/>
        <v>188.65602147821738</v>
      </c>
      <c r="DA190" s="50">
        <f t="shared" si="1476"/>
        <v>188.65602147821738</v>
      </c>
      <c r="DB190" s="50">
        <f t="shared" si="1476"/>
        <v>188.65602147821738</v>
      </c>
      <c r="DE190" s="138"/>
      <c r="DF190" s="7">
        <v>195.5487625557945</v>
      </c>
    </row>
    <row r="191" spans="1:110" s="62" customFormat="1" outlineLevel="1" x14ac:dyDescent="0.2">
      <c r="A191" s="68" t="s">
        <v>468</v>
      </c>
      <c r="B191" s="67">
        <f t="shared" ref="B191:AE191" si="1477">B161/B16*365</f>
        <v>49.473184223535988</v>
      </c>
      <c r="C191" s="67">
        <f t="shared" si="1477"/>
        <v>52.975253916601964</v>
      </c>
      <c r="D191" s="67">
        <f t="shared" si="1477"/>
        <v>27.79557516552757</v>
      </c>
      <c r="E191" s="67">
        <f t="shared" si="1477"/>
        <v>41.053567065522977</v>
      </c>
      <c r="F191" s="67">
        <f t="shared" si="1477"/>
        <v>38.783239312282667</v>
      </c>
      <c r="G191" s="67">
        <f t="shared" si="1477"/>
        <v>48.8292008973322</v>
      </c>
      <c r="H191" s="67">
        <f t="shared" si="1477"/>
        <v>40.672522348463936</v>
      </c>
      <c r="I191" s="67">
        <f t="shared" si="1477"/>
        <v>31.23067820823022</v>
      </c>
      <c r="J191" s="67">
        <f t="shared" si="1477"/>
        <v>30.297607195701087</v>
      </c>
      <c r="K191" s="67">
        <f t="shared" si="1477"/>
        <v>37.078521791213952</v>
      </c>
      <c r="L191" s="67">
        <f t="shared" si="1477"/>
        <v>36.007039483428194</v>
      </c>
      <c r="M191" s="67">
        <f t="shared" si="1477"/>
        <v>31.561191659888095</v>
      </c>
      <c r="N191" s="67">
        <f t="shared" si="1477"/>
        <v>31.22852643004855</v>
      </c>
      <c r="O191" s="67">
        <f t="shared" si="1477"/>
        <v>30.255892693941046</v>
      </c>
      <c r="P191" s="67">
        <f t="shared" si="1477"/>
        <v>28.42617521922211</v>
      </c>
      <c r="Q191" s="67">
        <f t="shared" si="1477"/>
        <v>25.979352237677965</v>
      </c>
      <c r="R191" s="67">
        <f t="shared" si="1477"/>
        <v>13.710476732511266</v>
      </c>
      <c r="S191" s="67">
        <f t="shared" si="1477"/>
        <v>11.845306069304849</v>
      </c>
      <c r="T191" s="67">
        <f t="shared" si="1477"/>
        <v>12.684190418675417</v>
      </c>
      <c r="U191" s="67">
        <f t="shared" si="1477"/>
        <v>10.686131542834397</v>
      </c>
      <c r="V191" s="67">
        <f t="shared" si="1477"/>
        <v>11.219010856498477</v>
      </c>
      <c r="W191" s="67">
        <f t="shared" si="1477"/>
        <v>12.452770544850429</v>
      </c>
      <c r="X191" s="67">
        <f t="shared" si="1477"/>
        <v>11.974716211048829</v>
      </c>
      <c r="Y191" s="67">
        <f t="shared" si="1477"/>
        <v>8.7998178115272676</v>
      </c>
      <c r="Z191" s="67">
        <f t="shared" si="1477"/>
        <v>12.04016531510198</v>
      </c>
      <c r="AA191" s="67">
        <f t="shared" ref="AA191" si="1478">AA161/AA16*365</f>
        <v>11.690699268224662</v>
      </c>
      <c r="AB191" s="18">
        <f t="shared" si="1477"/>
        <v>11.735305790563546</v>
      </c>
      <c r="AC191" s="18">
        <f t="shared" si="1477"/>
        <v>11.601935552487657</v>
      </c>
      <c r="AD191" s="18">
        <f t="shared" si="1477"/>
        <v>11.307638764178266</v>
      </c>
      <c r="AE191" s="18">
        <f t="shared" si="1477"/>
        <v>11.187292026169702</v>
      </c>
      <c r="AI191" s="67">
        <f>AJ161/AI16*90</f>
        <v>0</v>
      </c>
      <c r="AJ191" s="67">
        <f>AJ161/AJ16*90</f>
        <v>0</v>
      </c>
      <c r="AK191" s="67">
        <f t="shared" ref="AK191:CE191" si="1479">+AJ191</f>
        <v>0</v>
      </c>
      <c r="AL191" s="67">
        <f>AL161/AL16*90</f>
        <v>29.29053061823878</v>
      </c>
      <c r="AM191" s="67">
        <f t="shared" ref="AM191" si="1480">+AL191</f>
        <v>29.29053061823878</v>
      </c>
      <c r="AN191" s="67">
        <f>AN161/AN16*90</f>
        <v>28.592304048007577</v>
      </c>
      <c r="AO191" s="67">
        <f t="shared" ref="AO191" si="1481">+AN191</f>
        <v>28.592304048007577</v>
      </c>
      <c r="AP191" s="67">
        <f>AP161/AP16*90</f>
        <v>27.326906802698577</v>
      </c>
      <c r="AQ191" s="67">
        <f t="shared" ref="AQ191" si="1482">+AP191</f>
        <v>27.326906802698577</v>
      </c>
      <c r="AR191" s="67">
        <f>AR161/AR16*90</f>
        <v>22.318695569813922</v>
      </c>
      <c r="AS191" s="67">
        <f t="shared" ref="AS191" si="1483">+AR191</f>
        <v>22.318695569813922</v>
      </c>
      <c r="AT191" s="67">
        <f>AT161/AT16*90</f>
        <v>25.742359777927668</v>
      </c>
      <c r="AU191" s="67">
        <f t="shared" ref="AU191" si="1484">+AT191</f>
        <v>25.742359777927668</v>
      </c>
      <c r="AV191" s="67">
        <f>AV161/AV16*90</f>
        <v>22.181007213890723</v>
      </c>
      <c r="AW191" s="67">
        <f t="shared" ref="AW191" si="1485">+AV191</f>
        <v>22.181007213890723</v>
      </c>
      <c r="AX191" s="67">
        <f>AX161/AX16*90</f>
        <v>23.431070378837362</v>
      </c>
      <c r="AY191" s="67">
        <f t="shared" ref="AY191" si="1486">+AX191</f>
        <v>23.431070378837362</v>
      </c>
      <c r="AZ191" s="67">
        <f>AZ161/AZ16*90</f>
        <v>20.283415182533574</v>
      </c>
      <c r="BA191" s="67">
        <f t="shared" ref="BA191" si="1487">+AZ191</f>
        <v>20.283415182533574</v>
      </c>
      <c r="BB191" s="67">
        <f>BB161/BB16*90</f>
        <v>12.791952219745134</v>
      </c>
      <c r="BC191" s="67">
        <f t="shared" ref="BC191" si="1488">+BB191</f>
        <v>12.791952219745134</v>
      </c>
      <c r="BD191" s="67">
        <f>BD161/BD16*90</f>
        <v>11.429590184536789</v>
      </c>
      <c r="BE191" s="67">
        <f t="shared" ref="BE191" si="1489">+BD191</f>
        <v>11.429590184536789</v>
      </c>
      <c r="BF191" s="67">
        <f>BF161/BF16*90</f>
        <v>10.786544691189635</v>
      </c>
      <c r="BG191" s="67">
        <f t="shared" ref="BG191" si="1490">+BF191</f>
        <v>10.786544691189635</v>
      </c>
      <c r="BH191" s="67">
        <f>BH161/BH16*90</f>
        <v>11.142969929292127</v>
      </c>
      <c r="BI191" s="67">
        <f t="shared" ref="BI191" si="1491">+BH191</f>
        <v>11.142969929292127</v>
      </c>
      <c r="BJ191" s="67">
        <f>BJ161/BJ16*90</f>
        <v>12.329056242347644</v>
      </c>
      <c r="BK191" s="67">
        <f t="shared" ref="BK191" si="1492">+BJ191</f>
        <v>12.329056242347644</v>
      </c>
      <c r="BL191" s="67">
        <f>BL161/BL16*90</f>
        <v>10.658818589678795</v>
      </c>
      <c r="BM191" s="67">
        <f t="shared" ref="BM191" si="1493">+BL191</f>
        <v>10.658818589678795</v>
      </c>
      <c r="BN191" s="67">
        <f>BN161/BN16*90</f>
        <v>9.6651286783553783</v>
      </c>
      <c r="BO191" s="67">
        <f t="shared" ref="BO191" si="1494">+BN191</f>
        <v>9.6651286783553783</v>
      </c>
      <c r="BP191" s="67">
        <f>BP161/BP16*90</f>
        <v>8.9531567091838511</v>
      </c>
      <c r="BQ191" s="67">
        <f t="shared" ref="BQ191" si="1495">+BP191</f>
        <v>8.9531567091838511</v>
      </c>
      <c r="BR191" s="67">
        <f>BR161/BR16*90</f>
        <v>9.7450404709912899</v>
      </c>
      <c r="BS191" s="67">
        <f t="shared" ref="BS191" si="1496">+BR191</f>
        <v>9.7450404709912899</v>
      </c>
      <c r="BT191" s="67">
        <f>BT161/BT16*90</f>
        <v>9.2724047630645803</v>
      </c>
      <c r="BU191" s="67">
        <f t="shared" ref="BU191" si="1497">+BT191</f>
        <v>9.2724047630645803</v>
      </c>
      <c r="BV191" s="67">
        <f>BV161/BV16*90</f>
        <v>11.128364374049307</v>
      </c>
      <c r="BW191" s="67">
        <f t="shared" ref="BW191" si="1498">+BV191</f>
        <v>11.128364374049307</v>
      </c>
      <c r="BX191" s="67">
        <f>BX161/BX16*90</f>
        <v>10.457708691761084</v>
      </c>
      <c r="BY191" s="67">
        <f t="shared" ref="BY191" si="1499">+BX191</f>
        <v>10.457708691761084</v>
      </c>
      <c r="BZ191" s="67">
        <f>BZ161/BZ16*90</f>
        <v>11.081475558525874</v>
      </c>
      <c r="CA191" s="67">
        <f t="shared" ref="CA191" si="1500">+BZ191</f>
        <v>11.081475558525874</v>
      </c>
      <c r="CB191" s="67">
        <f>CB161/CB16*90</f>
        <v>9.8627648015533662</v>
      </c>
      <c r="CC191" s="67">
        <f t="shared" ref="CC191" si="1501">+CB191</f>
        <v>9.8627648015533662</v>
      </c>
      <c r="CD191" s="67">
        <f>CD161/CD16*90</f>
        <v>8.5077206844139202</v>
      </c>
      <c r="CE191" s="114">
        <f t="shared" si="1479"/>
        <v>8.5077206844139202</v>
      </c>
      <c r="CF191" s="67">
        <f>CF161/CF16*90</f>
        <v>10.617347547760097</v>
      </c>
      <c r="CG191" s="67">
        <f t="shared" ref="CG191:CI191" si="1502">+CF191</f>
        <v>10.617347547760097</v>
      </c>
      <c r="CH191" s="67">
        <f>CH161/CH16*90</f>
        <v>12.18803174155819</v>
      </c>
      <c r="CI191" s="67">
        <f t="shared" si="1502"/>
        <v>12.18803174155819</v>
      </c>
      <c r="CJ191" s="67">
        <f>CJ161/CJ16*90</f>
        <v>10.75468738767588</v>
      </c>
      <c r="CK191" s="67">
        <f t="shared" ref="CK191" si="1503">+CJ191</f>
        <v>10.75468738767588</v>
      </c>
      <c r="CL191" s="67">
        <f>CL161/CL16*90</f>
        <v>10.899430541453544</v>
      </c>
      <c r="CM191" s="30">
        <f t="shared" ref="CM191" si="1504">+CL191</f>
        <v>10.899430541453544</v>
      </c>
      <c r="CN191" s="30">
        <f t="shared" ref="CN191" si="1505">+CM191</f>
        <v>10.899430541453544</v>
      </c>
      <c r="CO191" s="30">
        <f t="shared" ref="CO191" si="1506">+CN191</f>
        <v>10.899430541453544</v>
      </c>
      <c r="CP191" s="30">
        <f t="shared" ref="CP191" si="1507">+CO191</f>
        <v>10.899430541453544</v>
      </c>
      <c r="CQ191" s="30">
        <f t="shared" ref="CQ191" si="1508">+CP191</f>
        <v>10.899430541453544</v>
      </c>
      <c r="CR191" s="30">
        <f t="shared" ref="CR191" si="1509">+CQ191</f>
        <v>10.899430541453544</v>
      </c>
      <c r="CS191" s="30">
        <f t="shared" ref="CS191" si="1510">+CR191</f>
        <v>10.899430541453544</v>
      </c>
      <c r="CT191" s="30">
        <f t="shared" ref="CT191" si="1511">+CS191</f>
        <v>10.899430541453544</v>
      </c>
      <c r="CU191" s="30">
        <f t="shared" ref="CU191" si="1512">+CT191</f>
        <v>10.899430541453544</v>
      </c>
      <c r="CV191" s="30">
        <f t="shared" ref="CV191" si="1513">+CU191</f>
        <v>10.899430541453544</v>
      </c>
      <c r="CW191" s="30">
        <f t="shared" ref="CW191" si="1514">+CV191</f>
        <v>10.899430541453544</v>
      </c>
      <c r="CX191" s="30">
        <f t="shared" ref="CX191" si="1515">+CW191</f>
        <v>10.899430541453544</v>
      </c>
      <c r="CY191" s="30">
        <f t="shared" ref="CY191" si="1516">+CX191</f>
        <v>10.899430541453544</v>
      </c>
      <c r="CZ191" s="30">
        <f t="shared" ref="CZ191" si="1517">+CY191</f>
        <v>10.899430541453544</v>
      </c>
      <c r="DA191" s="30">
        <f t="shared" ref="DA191" si="1518">+CZ191</f>
        <v>10.899430541453544</v>
      </c>
      <c r="DB191" s="30">
        <f t="shared" ref="DB191" si="1519">+DA191</f>
        <v>10.899430541453544</v>
      </c>
      <c r="DE191" s="139"/>
      <c r="DF191" s="62">
        <v>10.75468738767588</v>
      </c>
    </row>
    <row r="192" spans="1:110" s="62" customFormat="1" outlineLevel="1" x14ac:dyDescent="0.2">
      <c r="A192" s="68" t="s">
        <v>466</v>
      </c>
      <c r="B192" s="67">
        <f>B193-B191</f>
        <v>42.624048927749236</v>
      </c>
      <c r="C192" s="67">
        <f t="shared" ref="C192:V192" si="1520">C193-C191</f>
        <v>56.577834374884439</v>
      </c>
      <c r="D192" s="67">
        <f t="shared" si="1520"/>
        <v>64.485694422015229</v>
      </c>
      <c r="E192" s="67">
        <f t="shared" si="1520"/>
        <v>70.430406468574176</v>
      </c>
      <c r="F192" s="67">
        <f t="shared" si="1520"/>
        <v>84.209308084016044</v>
      </c>
      <c r="G192" s="67">
        <f t="shared" si="1520"/>
        <v>69.086290560102668</v>
      </c>
      <c r="H192" s="67">
        <f t="shared" si="1520"/>
        <v>53.380552209193958</v>
      </c>
      <c r="I192" s="67">
        <f t="shared" si="1520"/>
        <v>40.686125870834744</v>
      </c>
      <c r="J192" s="67">
        <f t="shared" si="1520"/>
        <v>36.740526967783168</v>
      </c>
      <c r="K192" s="67">
        <f t="shared" si="1520"/>
        <v>40.116736760074453</v>
      </c>
      <c r="L192" s="67">
        <f t="shared" si="1520"/>
        <v>45.061849741002412</v>
      </c>
      <c r="M192" s="67">
        <f t="shared" si="1520"/>
        <v>39.420271561148041</v>
      </c>
      <c r="N192" s="67">
        <f t="shared" si="1520"/>
        <v>31.655661384989362</v>
      </c>
      <c r="O192" s="67">
        <f t="shared" si="1520"/>
        <v>79.066027548004556</v>
      </c>
      <c r="P192" s="67">
        <f t="shared" si="1520"/>
        <v>103.43336322498286</v>
      </c>
      <c r="Q192" s="67">
        <f t="shared" si="1520"/>
        <v>114.43296127133206</v>
      </c>
      <c r="R192" s="67">
        <f t="shared" si="1520"/>
        <v>32.818551549192556</v>
      </c>
      <c r="S192" s="67">
        <f t="shared" si="1520"/>
        <v>42.535315522556338</v>
      </c>
      <c r="T192" s="67">
        <f t="shared" si="1520"/>
        <v>33.173864178027415</v>
      </c>
      <c r="U192" s="67">
        <f t="shared" si="1520"/>
        <v>57.093240196479151</v>
      </c>
      <c r="V192" s="67">
        <f t="shared" si="1520"/>
        <v>61.638911427078376</v>
      </c>
      <c r="W192" s="67">
        <f t="shared" ref="W192" si="1521">W193-W191</f>
        <v>71.495247570097973</v>
      </c>
      <c r="X192" s="67">
        <f t="shared" ref="X192:Y192" si="1522">X193-X191</f>
        <v>66.688331959338214</v>
      </c>
      <c r="Y192" s="67">
        <f t="shared" si="1522"/>
        <v>61.209623101890209</v>
      </c>
      <c r="Z192" s="67">
        <f t="shared" ref="Z192:AA192" si="1523">Z193-Z191</f>
        <v>58.996263872473854</v>
      </c>
      <c r="AA192" s="67">
        <f t="shared" si="1523"/>
        <v>77.795450377342334</v>
      </c>
      <c r="AB192" s="18">
        <f t="shared" ref="AA192:AD192" si="1524">AB193-AB191</f>
        <v>78.092127643821328</v>
      </c>
      <c r="AC192" s="18">
        <f t="shared" si="1524"/>
        <v>77.204620676249661</v>
      </c>
      <c r="AD192" s="18">
        <f t="shared" si="1524"/>
        <v>75.246234353133644</v>
      </c>
      <c r="AE192" s="18">
        <f t="shared" ref="AE192" si="1525">AE193-AE191</f>
        <v>74.445391751005701</v>
      </c>
      <c r="AI192" s="67">
        <f t="shared" ref="AI192:AK192" si="1526">AI193-AI191</f>
        <v>0</v>
      </c>
      <c r="AJ192" s="67">
        <f t="shared" ref="AJ192:AM192" si="1527">AJ193-AJ191</f>
        <v>60.358188781257027</v>
      </c>
      <c r="AK192" s="67">
        <f t="shared" si="1526"/>
        <v>59.852372381572394</v>
      </c>
      <c r="AL192" s="67">
        <f t="shared" si="1527"/>
        <v>29.691431298644094</v>
      </c>
      <c r="AM192" s="67">
        <f t="shared" si="1527"/>
        <v>28.021285073308196</v>
      </c>
      <c r="AN192" s="67">
        <f t="shared" ref="AN192:AY192" si="1528">AN193-AN191</f>
        <v>20.130968047586457</v>
      </c>
      <c r="AO192" s="67">
        <f t="shared" si="1528"/>
        <v>18.936198952073063</v>
      </c>
      <c r="AP192" s="67">
        <f t="shared" si="1528"/>
        <v>34.739432391416372</v>
      </c>
      <c r="AQ192" s="67">
        <f t="shared" si="1528"/>
        <v>38.520877565463564</v>
      </c>
      <c r="AR192" s="67">
        <f t="shared" si="1528"/>
        <v>24.353152032950756</v>
      </c>
      <c r="AS192" s="67">
        <f t="shared" si="1528"/>
        <v>22.458885945677576</v>
      </c>
      <c r="AT192" s="67">
        <f t="shared" si="1528"/>
        <v>45.123359103408909</v>
      </c>
      <c r="AU192" s="67">
        <f t="shared" si="1528"/>
        <v>42.854415019649231</v>
      </c>
      <c r="AV192" s="67">
        <f t="shared" si="1528"/>
        <v>30.525680995835508</v>
      </c>
      <c r="AW192" s="67">
        <f t="shared" si="1528"/>
        <v>29.260903543481369</v>
      </c>
      <c r="AX192" s="67">
        <f t="shared" si="1528"/>
        <v>42.076971750489875</v>
      </c>
      <c r="AY192" s="67">
        <f t="shared" si="1528"/>
        <v>41.625638422406922</v>
      </c>
      <c r="AZ192" s="67">
        <f t="shared" ref="AZ192:BC192" si="1529">AZ193-AZ191</f>
        <v>29.323708656292524</v>
      </c>
      <c r="BA192" s="67">
        <f t="shared" si="1529"/>
        <v>28.754049219165502</v>
      </c>
      <c r="BB192" s="67">
        <f t="shared" si="1529"/>
        <v>30.619822200203664</v>
      </c>
      <c r="BC192" s="67">
        <f t="shared" si="1529"/>
        <v>30.976672957336874</v>
      </c>
      <c r="BD192" s="67">
        <f t="shared" ref="BD192:CE192" si="1530">BD193-BD191</f>
        <v>35.965647047820568</v>
      </c>
      <c r="BE192" s="67">
        <f t="shared" si="1530"/>
        <v>35.506321799874286</v>
      </c>
      <c r="BF192" s="67">
        <f t="shared" si="1530"/>
        <v>38.73364306721794</v>
      </c>
      <c r="BG192" s="67">
        <f t="shared" si="1530"/>
        <v>38.058502493227053</v>
      </c>
      <c r="BH192" s="67">
        <f t="shared" si="1530"/>
        <v>36.811864423611667</v>
      </c>
      <c r="BI192" s="67">
        <f t="shared" si="1530"/>
        <v>36.107855360793771</v>
      </c>
      <c r="BJ192" s="67">
        <f t="shared" si="1530"/>
        <v>32.245275287333612</v>
      </c>
      <c r="BK192" s="67">
        <f t="shared" si="1530"/>
        <v>36.075704576289795</v>
      </c>
      <c r="BL192" s="67">
        <f t="shared" si="1530"/>
        <v>35.273192389335115</v>
      </c>
      <c r="BM192" s="67">
        <f t="shared" si="1530"/>
        <v>32.140124410185201</v>
      </c>
      <c r="BN192" s="67">
        <f t="shared" si="1530"/>
        <v>51.638265149184868</v>
      </c>
      <c r="BO192" s="67">
        <f t="shared" si="1530"/>
        <v>56.589111284233233</v>
      </c>
      <c r="BP192" s="67">
        <f t="shared" si="1530"/>
        <v>41.251386050922996</v>
      </c>
      <c r="BQ192" s="67">
        <f t="shared" si="1530"/>
        <v>37.194700448755704</v>
      </c>
      <c r="BR192" s="67">
        <f t="shared" si="1530"/>
        <v>53.540517287942031</v>
      </c>
      <c r="BS192" s="67">
        <f t="shared" si="1530"/>
        <v>49.712331367899182</v>
      </c>
      <c r="BT192" s="67">
        <f t="shared" si="1530"/>
        <v>55.017931201298104</v>
      </c>
      <c r="BU192" s="67">
        <f t="shared" si="1530"/>
        <v>51.521966769491257</v>
      </c>
      <c r="BV192" s="67">
        <f t="shared" si="1530"/>
        <v>63.891987989538514</v>
      </c>
      <c r="BW192" s="67">
        <f t="shared" si="1530"/>
        <v>60.005951323136181</v>
      </c>
      <c r="BX192" s="67">
        <f t="shared" si="1530"/>
        <v>61.914852634599583</v>
      </c>
      <c r="BY192" s="67">
        <f t="shared" si="1530"/>
        <v>57.78297093341061</v>
      </c>
      <c r="BZ192" s="67">
        <f t="shared" si="1530"/>
        <v>61.713242314302072</v>
      </c>
      <c r="CA192" s="67">
        <f t="shared" si="1530"/>
        <v>60.816726882691647</v>
      </c>
      <c r="CB192" s="67">
        <f t="shared" si="1530"/>
        <v>63.258496673464151</v>
      </c>
      <c r="CC192" s="67">
        <f t="shared" si="1530"/>
        <v>61.007303389836068</v>
      </c>
      <c r="CD192" s="67">
        <f t="shared" si="1530"/>
        <v>59.177928412714714</v>
      </c>
      <c r="CE192" s="114">
        <f t="shared" si="1530"/>
        <v>57.867710790054566</v>
      </c>
      <c r="CF192" s="67">
        <f t="shared" ref="CF192:CG192" si="1531">CF193-CF191</f>
        <v>55.210263787763616</v>
      </c>
      <c r="CG192" s="67">
        <f t="shared" si="1531"/>
        <v>56.145845644722833</v>
      </c>
      <c r="CH192" s="67">
        <f t="shared" ref="CH192" si="1532">CH193-CH191</f>
        <v>59.72080265452432</v>
      </c>
      <c r="CI192" s="67">
        <f>CH192</f>
        <v>59.72080265452432</v>
      </c>
      <c r="CJ192" s="67">
        <f t="shared" ref="CJ192:CL192" si="1533">CJ193-CJ191</f>
        <v>63.07505048458669</v>
      </c>
      <c r="CK192" s="67">
        <f t="shared" ref="CK192:DB192" si="1534">CJ192</f>
        <v>63.07505048458669</v>
      </c>
      <c r="CL192" s="67">
        <f t="shared" si="1533"/>
        <v>72.529828900801121</v>
      </c>
      <c r="CM192" s="30">
        <f t="shared" si="1534"/>
        <v>72.529828900801121</v>
      </c>
      <c r="CN192" s="30">
        <f t="shared" si="1534"/>
        <v>72.529828900801121</v>
      </c>
      <c r="CO192" s="30">
        <f t="shared" si="1534"/>
        <v>72.529828900801121</v>
      </c>
      <c r="CP192" s="30">
        <f t="shared" si="1534"/>
        <v>72.529828900801121</v>
      </c>
      <c r="CQ192" s="30">
        <f t="shared" si="1534"/>
        <v>72.529828900801121</v>
      </c>
      <c r="CR192" s="30">
        <f t="shared" si="1534"/>
        <v>72.529828900801121</v>
      </c>
      <c r="CS192" s="30">
        <f t="shared" si="1534"/>
        <v>72.529828900801121</v>
      </c>
      <c r="CT192" s="30">
        <f t="shared" si="1534"/>
        <v>72.529828900801121</v>
      </c>
      <c r="CU192" s="30">
        <f t="shared" si="1534"/>
        <v>72.529828900801121</v>
      </c>
      <c r="CV192" s="30">
        <f t="shared" si="1534"/>
        <v>72.529828900801121</v>
      </c>
      <c r="CW192" s="30">
        <f t="shared" si="1534"/>
        <v>72.529828900801121</v>
      </c>
      <c r="CX192" s="30">
        <f t="shared" si="1534"/>
        <v>72.529828900801121</v>
      </c>
      <c r="CY192" s="30">
        <f t="shared" si="1534"/>
        <v>72.529828900801121</v>
      </c>
      <c r="CZ192" s="30">
        <f t="shared" si="1534"/>
        <v>72.529828900801121</v>
      </c>
      <c r="DA192" s="30">
        <f t="shared" si="1534"/>
        <v>72.529828900801121</v>
      </c>
      <c r="DB192" s="30">
        <f t="shared" si="1534"/>
        <v>72.529828900801121</v>
      </c>
      <c r="DE192" s="139"/>
      <c r="DF192" s="62">
        <v>63.07505048458669</v>
      </c>
    </row>
    <row r="193" spans="1:110" s="7" customFormat="1" outlineLevel="1" x14ac:dyDescent="0.2">
      <c r="A193" s="69" t="s">
        <v>469</v>
      </c>
      <c r="B193" s="70">
        <f t="shared" ref="B193:AE193" si="1535">B164/B16*365</f>
        <v>92.097233151285224</v>
      </c>
      <c r="C193" s="70">
        <f t="shared" si="1535"/>
        <v>109.5530882914864</v>
      </c>
      <c r="D193" s="70">
        <f t="shared" si="1535"/>
        <v>92.281269587542795</v>
      </c>
      <c r="E193" s="70">
        <f t="shared" si="1535"/>
        <v>111.48397353409716</v>
      </c>
      <c r="F193" s="70">
        <f t="shared" si="1535"/>
        <v>122.99254739629872</v>
      </c>
      <c r="G193" s="70">
        <f t="shared" si="1535"/>
        <v>117.91549145743487</v>
      </c>
      <c r="H193" s="70">
        <f t="shared" si="1535"/>
        <v>94.053074557657894</v>
      </c>
      <c r="I193" s="70">
        <f t="shared" si="1535"/>
        <v>71.91680407906496</v>
      </c>
      <c r="J193" s="70">
        <f t="shared" si="1535"/>
        <v>67.038134163484258</v>
      </c>
      <c r="K193" s="70">
        <f t="shared" si="1535"/>
        <v>77.195258551288404</v>
      </c>
      <c r="L193" s="70">
        <f t="shared" si="1535"/>
        <v>81.068889224430606</v>
      </c>
      <c r="M193" s="70">
        <f t="shared" si="1535"/>
        <v>70.981463221036137</v>
      </c>
      <c r="N193" s="70">
        <f t="shared" si="1535"/>
        <v>62.884187815037912</v>
      </c>
      <c r="O193" s="70">
        <f t="shared" si="1535"/>
        <v>109.32192024194561</v>
      </c>
      <c r="P193" s="70">
        <f t="shared" si="1535"/>
        <v>131.85953844420496</v>
      </c>
      <c r="Q193" s="70">
        <f t="shared" si="1535"/>
        <v>140.41231350901003</v>
      </c>
      <c r="R193" s="70">
        <f t="shared" si="1535"/>
        <v>46.529028281703823</v>
      </c>
      <c r="S193" s="70">
        <f t="shared" si="1535"/>
        <v>54.380621591861185</v>
      </c>
      <c r="T193" s="70">
        <f t="shared" si="1535"/>
        <v>45.858054596702829</v>
      </c>
      <c r="U193" s="70">
        <f t="shared" si="1535"/>
        <v>67.779371739313547</v>
      </c>
      <c r="V193" s="70">
        <f t="shared" si="1535"/>
        <v>72.857922283576855</v>
      </c>
      <c r="W193" s="70">
        <f t="shared" si="1535"/>
        <v>83.948018114948397</v>
      </c>
      <c r="X193" s="70">
        <f t="shared" si="1535"/>
        <v>78.663048170387043</v>
      </c>
      <c r="Y193" s="70">
        <f t="shared" si="1535"/>
        <v>70.009440913417478</v>
      </c>
      <c r="Z193" s="70">
        <f t="shared" si="1535"/>
        <v>71.036429187575834</v>
      </c>
      <c r="AA193" s="70">
        <f t="shared" ref="AA193" si="1536">AA164/AA16*365</f>
        <v>89.486149645566996</v>
      </c>
      <c r="AB193" s="71">
        <f t="shared" si="1535"/>
        <v>89.827433434384872</v>
      </c>
      <c r="AC193" s="71">
        <f t="shared" si="1535"/>
        <v>88.806556228737321</v>
      </c>
      <c r="AD193" s="71">
        <f t="shared" si="1535"/>
        <v>86.553873117311909</v>
      </c>
      <c r="AE193" s="71">
        <f t="shared" si="1535"/>
        <v>85.632683777175401</v>
      </c>
      <c r="AI193" s="70">
        <f t="shared" ref="AI193:CD193" si="1537">AI164/AI16*90</f>
        <v>0</v>
      </c>
      <c r="AJ193" s="70">
        <f t="shared" si="1537"/>
        <v>60.358188781257027</v>
      </c>
      <c r="AK193" s="70">
        <f>AK164/AK16*90</f>
        <v>59.852372381572394</v>
      </c>
      <c r="AL193" s="70">
        <f t="shared" si="1537"/>
        <v>58.981961916882874</v>
      </c>
      <c r="AM193" s="70">
        <f t="shared" si="1537"/>
        <v>57.311815691546975</v>
      </c>
      <c r="AN193" s="70">
        <f t="shared" si="1537"/>
        <v>48.723272095594034</v>
      </c>
      <c r="AO193" s="70">
        <f t="shared" si="1537"/>
        <v>47.52850300008064</v>
      </c>
      <c r="AP193" s="70">
        <f t="shared" si="1537"/>
        <v>62.066339194114946</v>
      </c>
      <c r="AQ193" s="70">
        <f t="shared" si="1537"/>
        <v>65.847784368162138</v>
      </c>
      <c r="AR193" s="70">
        <f t="shared" si="1537"/>
        <v>46.671847602764679</v>
      </c>
      <c r="AS193" s="70">
        <f t="shared" si="1537"/>
        <v>44.777581515491498</v>
      </c>
      <c r="AT193" s="70">
        <f t="shared" si="1537"/>
        <v>70.865718881336576</v>
      </c>
      <c r="AU193" s="70">
        <f t="shared" si="1537"/>
        <v>68.596774797576899</v>
      </c>
      <c r="AV193" s="70">
        <f t="shared" si="1537"/>
        <v>52.706688209726231</v>
      </c>
      <c r="AW193" s="70">
        <f t="shared" si="1537"/>
        <v>51.441910757372092</v>
      </c>
      <c r="AX193" s="70">
        <f t="shared" si="1537"/>
        <v>65.508042129327237</v>
      </c>
      <c r="AY193" s="70">
        <f t="shared" si="1537"/>
        <v>65.056708801244284</v>
      </c>
      <c r="AZ193" s="70">
        <f t="shared" si="1537"/>
        <v>49.607123838826098</v>
      </c>
      <c r="BA193" s="70">
        <f t="shared" si="1537"/>
        <v>49.037464401699076</v>
      </c>
      <c r="BB193" s="70">
        <f t="shared" si="1537"/>
        <v>43.411774419948799</v>
      </c>
      <c r="BC193" s="70">
        <f t="shared" si="1537"/>
        <v>43.768625177082008</v>
      </c>
      <c r="BD193" s="70">
        <f t="shared" si="1537"/>
        <v>47.39523723235736</v>
      </c>
      <c r="BE193" s="70">
        <f t="shared" si="1537"/>
        <v>46.935911984411078</v>
      </c>
      <c r="BF193" s="70">
        <f t="shared" si="1537"/>
        <v>49.520187758407573</v>
      </c>
      <c r="BG193" s="70">
        <f t="shared" si="1537"/>
        <v>48.845047184416686</v>
      </c>
      <c r="BH193" s="70">
        <f t="shared" si="1537"/>
        <v>47.954834352903795</v>
      </c>
      <c r="BI193" s="70">
        <f t="shared" si="1537"/>
        <v>47.250825290085899</v>
      </c>
      <c r="BJ193" s="70">
        <f t="shared" si="1537"/>
        <v>44.57433152968126</v>
      </c>
      <c r="BK193" s="70">
        <f t="shared" si="1537"/>
        <v>48.404760818637442</v>
      </c>
      <c r="BL193" s="70">
        <f t="shared" si="1537"/>
        <v>45.93201097901391</v>
      </c>
      <c r="BM193" s="70">
        <f t="shared" si="1537"/>
        <v>42.798942999863996</v>
      </c>
      <c r="BN193" s="70">
        <f t="shared" si="1537"/>
        <v>61.303393827540248</v>
      </c>
      <c r="BO193" s="70">
        <f t="shared" si="1537"/>
        <v>66.254239962588613</v>
      </c>
      <c r="BP193" s="70">
        <f t="shared" si="1537"/>
        <v>50.204542760106847</v>
      </c>
      <c r="BQ193" s="70">
        <f t="shared" si="1537"/>
        <v>46.147857157939555</v>
      </c>
      <c r="BR193" s="70">
        <f t="shared" si="1537"/>
        <v>63.285557758933322</v>
      </c>
      <c r="BS193" s="70">
        <f t="shared" si="1537"/>
        <v>59.457371838890474</v>
      </c>
      <c r="BT193" s="70">
        <f t="shared" si="1537"/>
        <v>64.290335964362683</v>
      </c>
      <c r="BU193" s="70">
        <f t="shared" si="1537"/>
        <v>60.794371532555836</v>
      </c>
      <c r="BV193" s="70">
        <f t="shared" si="1537"/>
        <v>75.020352363587818</v>
      </c>
      <c r="BW193" s="70">
        <f t="shared" si="1537"/>
        <v>71.134315697185485</v>
      </c>
      <c r="BX193" s="70">
        <f t="shared" si="1537"/>
        <v>72.372561326360668</v>
      </c>
      <c r="BY193" s="70">
        <f t="shared" si="1537"/>
        <v>68.240679625171694</v>
      </c>
      <c r="BZ193" s="70">
        <f t="shared" si="1537"/>
        <v>72.794717872827945</v>
      </c>
      <c r="CA193" s="70">
        <f t="shared" si="1537"/>
        <v>71.898202441217521</v>
      </c>
      <c r="CB193" s="70">
        <f t="shared" si="1537"/>
        <v>73.121261475017519</v>
      </c>
      <c r="CC193" s="70">
        <f t="shared" si="1537"/>
        <v>70.870068191389436</v>
      </c>
      <c r="CD193" s="70">
        <f t="shared" si="1537"/>
        <v>67.685649097128632</v>
      </c>
      <c r="CE193" s="115">
        <f>CE164/CE18*90</f>
        <v>66.375431474468485</v>
      </c>
      <c r="CF193" s="70">
        <f>CF164/CF16*90</f>
        <v>65.827611335523713</v>
      </c>
      <c r="CG193" s="70">
        <f>CG164/CG18*90</f>
        <v>66.76319319248293</v>
      </c>
      <c r="CH193" s="70">
        <f>CH164/CH16*90</f>
        <v>71.908834396082511</v>
      </c>
      <c r="CI193" s="70">
        <f>CI191+CI192</f>
        <v>71.908834396082511</v>
      </c>
      <c r="CJ193" s="70">
        <f>CJ164/CJ16*90</f>
        <v>73.829737872262569</v>
      </c>
      <c r="CK193" s="70">
        <f t="shared" ref="CK193:DB193" si="1538">CK191+CK192</f>
        <v>73.829737872262569</v>
      </c>
      <c r="CL193" s="70">
        <f>CL164/CL16*90</f>
        <v>83.429259442254661</v>
      </c>
      <c r="CM193" s="50">
        <f t="shared" si="1538"/>
        <v>83.429259442254661</v>
      </c>
      <c r="CN193" s="50">
        <f t="shared" si="1538"/>
        <v>83.429259442254661</v>
      </c>
      <c r="CO193" s="50">
        <f t="shared" si="1538"/>
        <v>83.429259442254661</v>
      </c>
      <c r="CP193" s="50">
        <f t="shared" si="1538"/>
        <v>83.429259442254661</v>
      </c>
      <c r="CQ193" s="50">
        <f t="shared" si="1538"/>
        <v>83.429259442254661</v>
      </c>
      <c r="CR193" s="50">
        <f t="shared" si="1538"/>
        <v>83.429259442254661</v>
      </c>
      <c r="CS193" s="50">
        <f t="shared" si="1538"/>
        <v>83.429259442254661</v>
      </c>
      <c r="CT193" s="50">
        <f t="shared" si="1538"/>
        <v>83.429259442254661</v>
      </c>
      <c r="CU193" s="50">
        <f t="shared" si="1538"/>
        <v>83.429259442254661</v>
      </c>
      <c r="CV193" s="50">
        <f t="shared" si="1538"/>
        <v>83.429259442254661</v>
      </c>
      <c r="CW193" s="50">
        <f t="shared" si="1538"/>
        <v>83.429259442254661</v>
      </c>
      <c r="CX193" s="50">
        <f t="shared" si="1538"/>
        <v>83.429259442254661</v>
      </c>
      <c r="CY193" s="50">
        <f t="shared" si="1538"/>
        <v>83.429259442254661</v>
      </c>
      <c r="CZ193" s="50">
        <f t="shared" si="1538"/>
        <v>83.429259442254661</v>
      </c>
      <c r="DA193" s="50">
        <f t="shared" si="1538"/>
        <v>83.429259442254661</v>
      </c>
      <c r="DB193" s="50">
        <f t="shared" si="1538"/>
        <v>83.429259442254661</v>
      </c>
      <c r="DE193" s="138"/>
      <c r="DF193" s="7">
        <v>73.829737872262569</v>
      </c>
    </row>
    <row r="194" spans="1:110" s="7" customFormat="1" x14ac:dyDescent="0.2">
      <c r="A194" s="69" t="s">
        <v>470</v>
      </c>
      <c r="B194" s="70">
        <f>B190-B193</f>
        <v>76.242975740892945</v>
      </c>
      <c r="C194" s="70">
        <f t="shared" ref="C194:V194" si="1539">C190-C193</f>
        <v>55.460674512196618</v>
      </c>
      <c r="D194" s="70">
        <f t="shared" si="1539"/>
        <v>80.595379187457411</v>
      </c>
      <c r="E194" s="70">
        <f t="shared" si="1539"/>
        <v>19.399301539935053</v>
      </c>
      <c r="F194" s="70">
        <f t="shared" si="1539"/>
        <v>13.81260563910989</v>
      </c>
      <c r="G194" s="70">
        <f t="shared" si="1539"/>
        <v>9.9520332145321504</v>
      </c>
      <c r="H194" s="70">
        <f t="shared" si="1539"/>
        <v>4.2950727847176466</v>
      </c>
      <c r="I194" s="70">
        <f t="shared" si="1539"/>
        <v>52.394690777951112</v>
      </c>
      <c r="J194" s="70">
        <f t="shared" si="1539"/>
        <v>47.965786081936471</v>
      </c>
      <c r="K194" s="70">
        <f t="shared" si="1539"/>
        <v>103.06028376559389</v>
      </c>
      <c r="L194" s="70">
        <f t="shared" si="1539"/>
        <v>75.390347747307587</v>
      </c>
      <c r="M194" s="70">
        <f t="shared" si="1539"/>
        <v>62.878195101830784</v>
      </c>
      <c r="N194" s="70">
        <f t="shared" si="1539"/>
        <v>67.195051017322356</v>
      </c>
      <c r="O194" s="70">
        <f t="shared" si="1539"/>
        <v>38.459923176176318</v>
      </c>
      <c r="P194" s="70">
        <f t="shared" si="1539"/>
        <v>20.910038261075982</v>
      </c>
      <c r="Q194" s="70">
        <f t="shared" si="1539"/>
        <v>31.614313293051424</v>
      </c>
      <c r="R194" s="70">
        <f t="shared" si="1539"/>
        <v>57.251272374807876</v>
      </c>
      <c r="S194" s="70">
        <f t="shared" si="1539"/>
        <v>64.107430558636324</v>
      </c>
      <c r="T194" s="70">
        <f t="shared" si="1539"/>
        <v>72.987904428718153</v>
      </c>
      <c r="U194" s="70">
        <f t="shared" si="1539"/>
        <v>61.005427240771951</v>
      </c>
      <c r="V194" s="70">
        <f t="shared" si="1539"/>
        <v>61.095936461635873</v>
      </c>
      <c r="W194" s="70">
        <f t="shared" ref="W194" si="1540">W190-W193</f>
        <v>49.211922401464292</v>
      </c>
      <c r="X194" s="70">
        <f t="shared" ref="X194:Y194" si="1541">X190-X193</f>
        <v>62.763742428783473</v>
      </c>
      <c r="Y194" s="70">
        <f t="shared" si="1541"/>
        <v>71.022613458676545</v>
      </c>
      <c r="Z194" s="70">
        <f t="shared" ref="Z194:AA194" si="1542">Z190-Z193</f>
        <v>87.729359257695847</v>
      </c>
      <c r="AA194" s="70">
        <f t="shared" si="1542"/>
        <v>100.51444424540142</v>
      </c>
      <c r="AB194" s="71">
        <f t="shared" ref="AA194:AD194" si="1543">AB190-AB193</f>
        <v>113.2965823440354</v>
      </c>
      <c r="AC194" s="71">
        <f t="shared" si="1543"/>
        <v>112.00898128530889</v>
      </c>
      <c r="AD194" s="71">
        <f t="shared" si="1543"/>
        <v>109.16774127798918</v>
      </c>
      <c r="AE194" s="71">
        <f t="shared" ref="AE194" si="1544">AE190-AE193</f>
        <v>108.00587346167822</v>
      </c>
      <c r="AI194" s="70">
        <f t="shared" ref="AI194:AK194" si="1545">AI190-AI193</f>
        <v>0</v>
      </c>
      <c r="AJ194" s="70">
        <f t="shared" ref="AJ194:AM194" si="1546">AJ190-AJ193</f>
        <v>58.73214687992791</v>
      </c>
      <c r="AK194" s="70">
        <f t="shared" si="1545"/>
        <v>58.831941186068491</v>
      </c>
      <c r="AL194" s="70">
        <f t="shared" si="1546"/>
        <v>63.024009985804476</v>
      </c>
      <c r="AM194" s="70">
        <f t="shared" si="1546"/>
        <v>62.207847870977069</v>
      </c>
      <c r="AN194" s="70">
        <f t="shared" ref="AN194:AY194" si="1547">AN190-AN193</f>
        <v>57.884350160551683</v>
      </c>
      <c r="AO194" s="70">
        <f t="shared" si="1547"/>
        <v>56.883439805538721</v>
      </c>
      <c r="AP194" s="70">
        <f t="shared" si="1547"/>
        <v>34.736879429271127</v>
      </c>
      <c r="AQ194" s="70">
        <f t="shared" si="1547"/>
        <v>34.285394003873179</v>
      </c>
      <c r="AR194" s="70">
        <f t="shared" si="1547"/>
        <v>50.064065512936956</v>
      </c>
      <c r="AS194" s="70">
        <f t="shared" si="1547"/>
        <v>48.939840256522793</v>
      </c>
      <c r="AT194" s="70">
        <f t="shared" si="1547"/>
        <v>18.93581694598663</v>
      </c>
      <c r="AU194" s="70">
        <f t="shared" si="1547"/>
        <v>19.709905410938831</v>
      </c>
      <c r="AV194" s="70">
        <f t="shared" si="1547"/>
        <v>45.877955533304508</v>
      </c>
      <c r="AW194" s="70">
        <f t="shared" si="1547"/>
        <v>45.626658529257504</v>
      </c>
      <c r="AX194" s="70">
        <f t="shared" si="1547"/>
        <v>28.513532821685189</v>
      </c>
      <c r="AY194" s="70">
        <f t="shared" si="1547"/>
        <v>28.275208050510699</v>
      </c>
      <c r="AZ194" s="70">
        <f t="shared" ref="AZ194:BC194" si="1548">AZ190-AZ193</f>
        <v>49.202709898822562</v>
      </c>
      <c r="BA194" s="70">
        <f t="shared" si="1548"/>
        <v>49.09476081480765</v>
      </c>
      <c r="BB194" s="70">
        <f t="shared" si="1548"/>
        <v>53.415627666308865</v>
      </c>
      <c r="BC194" s="70">
        <f t="shared" si="1548"/>
        <v>53.401966419447014</v>
      </c>
      <c r="BD194" s="70">
        <f t="shared" ref="BD194:CE194" si="1549">BD190-BD193</f>
        <v>68.406565464673804</v>
      </c>
      <c r="BE194" s="70">
        <f t="shared" si="1549"/>
        <v>67.762810628831758</v>
      </c>
      <c r="BF194" s="70">
        <f t="shared" si="1549"/>
        <v>58.377866459230219</v>
      </c>
      <c r="BG194" s="70">
        <f t="shared" si="1549"/>
        <v>58.453892489994573</v>
      </c>
      <c r="BH194" s="70">
        <f t="shared" si="1549"/>
        <v>66.322892667037394</v>
      </c>
      <c r="BI194" s="70">
        <f t="shared" si="1549"/>
        <v>64.421663684280333</v>
      </c>
      <c r="BJ194" s="70">
        <f t="shared" si="1549"/>
        <v>70.944670998064723</v>
      </c>
      <c r="BK194" s="70">
        <f t="shared" si="1549"/>
        <v>71.180469026616237</v>
      </c>
      <c r="BL194" s="70">
        <f t="shared" si="1549"/>
        <v>76.01132113615688</v>
      </c>
      <c r="BM194" s="70">
        <f t="shared" si="1549"/>
        <v>75.305808470362905</v>
      </c>
      <c r="BN194" s="70">
        <f t="shared" si="1549"/>
        <v>65.805598277453086</v>
      </c>
      <c r="BO194" s="70">
        <f t="shared" si="1549"/>
        <v>65.293239749812201</v>
      </c>
      <c r="BP194" s="70">
        <f t="shared" si="1549"/>
        <v>71.639061878892264</v>
      </c>
      <c r="BQ194" s="70">
        <f t="shared" si="1549"/>
        <v>71.090220536696549</v>
      </c>
      <c r="BR194" s="70">
        <f t="shared" si="1549"/>
        <v>64.369941126088918</v>
      </c>
      <c r="BS194" s="70">
        <f t="shared" si="1549"/>
        <v>65.14623895216593</v>
      </c>
      <c r="BT194" s="70">
        <f t="shared" si="1549"/>
        <v>41.36216659303814</v>
      </c>
      <c r="BU194" s="70">
        <f t="shared" si="1549"/>
        <v>41.970642239812925</v>
      </c>
      <c r="BV194" s="70">
        <f t="shared" si="1549"/>
        <v>60.398994336542302</v>
      </c>
      <c r="BW194" s="70">
        <f t="shared" si="1549"/>
        <v>61.455226062382707</v>
      </c>
      <c r="BX194" s="70">
        <f t="shared" si="1549"/>
        <v>62.262389425174703</v>
      </c>
      <c r="BY194" s="70">
        <f t="shared" si="1549"/>
        <v>63.443941157355923</v>
      </c>
      <c r="BZ194" s="70">
        <f t="shared" si="1549"/>
        <v>75.015610082108097</v>
      </c>
      <c r="CA194" s="70">
        <f t="shared" si="1549"/>
        <v>75.288948956096178</v>
      </c>
      <c r="CB194" s="70">
        <f t="shared" si="1549"/>
        <v>72.772978956513469</v>
      </c>
      <c r="CC194" s="70">
        <f t="shared" si="1549"/>
        <v>73.040105210593737</v>
      </c>
      <c r="CD194" s="70">
        <f t="shared" si="1549"/>
        <v>87.568257605610953</v>
      </c>
      <c r="CE194" s="115">
        <f t="shared" si="1549"/>
        <v>87.580555048275102</v>
      </c>
      <c r="CF194" s="70">
        <f t="shared" ref="CF194:CG194" si="1550">CF190-CF193</f>
        <v>90.07171081975865</v>
      </c>
      <c r="CG194" s="70">
        <f t="shared" si="1550"/>
        <v>90.205385673460739</v>
      </c>
      <c r="CH194" s="70">
        <f t="shared" ref="CH194:CI194" si="1551">CH190-CH193</f>
        <v>88.806771943421808</v>
      </c>
      <c r="CI194" s="70">
        <f t="shared" si="1551"/>
        <v>88.806771943421808</v>
      </c>
      <c r="CJ194" s="70">
        <f t="shared" ref="CJ194:DB194" si="1552">CJ190-CJ193</f>
        <v>121.71902468353193</v>
      </c>
      <c r="CK194" s="70">
        <f t="shared" si="1552"/>
        <v>121.71902468353193</v>
      </c>
      <c r="CL194" s="70">
        <f t="shared" ref="CL194" si="1553">CL190-CL193</f>
        <v>105.22676203596272</v>
      </c>
      <c r="CM194" s="50">
        <f t="shared" si="1552"/>
        <v>105.22676203596272</v>
      </c>
      <c r="CN194" s="50">
        <f t="shared" si="1552"/>
        <v>105.22676203596272</v>
      </c>
      <c r="CO194" s="50">
        <f t="shared" si="1552"/>
        <v>105.22676203596272</v>
      </c>
      <c r="CP194" s="50">
        <f t="shared" si="1552"/>
        <v>105.22676203596272</v>
      </c>
      <c r="CQ194" s="50">
        <f t="shared" si="1552"/>
        <v>105.22676203596272</v>
      </c>
      <c r="CR194" s="50">
        <f t="shared" si="1552"/>
        <v>105.22676203596272</v>
      </c>
      <c r="CS194" s="50">
        <f t="shared" si="1552"/>
        <v>105.22676203596272</v>
      </c>
      <c r="CT194" s="50">
        <f t="shared" si="1552"/>
        <v>105.22676203596272</v>
      </c>
      <c r="CU194" s="50">
        <f t="shared" si="1552"/>
        <v>105.22676203596272</v>
      </c>
      <c r="CV194" s="50">
        <f t="shared" si="1552"/>
        <v>105.22676203596272</v>
      </c>
      <c r="CW194" s="50">
        <f t="shared" si="1552"/>
        <v>105.22676203596272</v>
      </c>
      <c r="CX194" s="50">
        <f t="shared" si="1552"/>
        <v>105.22676203596272</v>
      </c>
      <c r="CY194" s="50">
        <f t="shared" si="1552"/>
        <v>105.22676203596272</v>
      </c>
      <c r="CZ194" s="50">
        <f t="shared" si="1552"/>
        <v>105.22676203596272</v>
      </c>
      <c r="DA194" s="50">
        <f t="shared" si="1552"/>
        <v>105.22676203596272</v>
      </c>
      <c r="DB194" s="50">
        <f t="shared" si="1552"/>
        <v>105.22676203596272</v>
      </c>
      <c r="DE194" s="138"/>
      <c r="DF194" s="7">
        <v>121.71902468353193</v>
      </c>
    </row>
    <row r="195" spans="1:110" s="7" customFormat="1" x14ac:dyDescent="0.2">
      <c r="A195" s="69" t="s">
        <v>86</v>
      </c>
      <c r="AB195" s="77"/>
      <c r="AC195" s="77"/>
      <c r="AD195" s="77"/>
      <c r="AE195" s="77"/>
      <c r="CE195" s="115"/>
      <c r="CG195" s="115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E195" s="138"/>
    </row>
    <row r="196" spans="1:110" s="86" customFormat="1" x14ac:dyDescent="0.2">
      <c r="A196" s="86" t="s">
        <v>440</v>
      </c>
      <c r="C196" s="86">
        <f t="shared" ref="C196:Y196" si="1554">C18/B18-1</f>
        <v>-5.0709227119417499E-2</v>
      </c>
      <c r="D196" s="86">
        <f t="shared" si="1554"/>
        <v>-0.15563408275709056</v>
      </c>
      <c r="E196" s="86">
        <f t="shared" si="1554"/>
        <v>0.40031714142080443</v>
      </c>
      <c r="F196" s="86">
        <f t="shared" si="1554"/>
        <v>0.21040783682617659</v>
      </c>
      <c r="G196" s="86">
        <f t="shared" si="1554"/>
        <v>0.26837878282213867</v>
      </c>
      <c r="H196" s="86">
        <f t="shared" si="1554"/>
        <v>0.3069670562292528</v>
      </c>
      <c r="I196" s="86">
        <f t="shared" si="1554"/>
        <v>0.30539610277858031</v>
      </c>
      <c r="J196" s="86">
        <f t="shared" si="1554"/>
        <v>4.3152260731412984E-2</v>
      </c>
      <c r="K196" s="86">
        <f t="shared" si="1554"/>
        <v>-7.4372587850816019E-2</v>
      </c>
      <c r="L196" s="86">
        <f t="shared" si="1554"/>
        <v>7.1459724735781105E-2</v>
      </c>
      <c r="M196" s="86">
        <f t="shared" si="1554"/>
        <v>0.29524619678431363</v>
      </c>
      <c r="N196" s="86">
        <f t="shared" si="1554"/>
        <v>0.154005309746998</v>
      </c>
      <c r="O196" s="86">
        <f t="shared" si="1554"/>
        <v>0.24629498680331352</v>
      </c>
      <c r="P196" s="86">
        <f t="shared" si="1554"/>
        <v>9.6304565249461849E-2</v>
      </c>
      <c r="Q196" s="86">
        <f t="shared" si="1554"/>
        <v>0.26584024908844595</v>
      </c>
      <c r="R196" s="86">
        <f t="shared" si="1554"/>
        <v>0.15076755981946155</v>
      </c>
      <c r="S196" s="86">
        <f t="shared" si="1554"/>
        <v>0.12040872785310541</v>
      </c>
      <c r="T196" s="86">
        <f t="shared" si="1554"/>
        <v>0.15194170362667991</v>
      </c>
      <c r="U196" s="86">
        <f t="shared" si="1554"/>
        <v>8.0960261541571654E-3</v>
      </c>
      <c r="V196" s="86">
        <f t="shared" si="1554"/>
        <v>0.13435904131811682</v>
      </c>
      <c r="W196" s="86">
        <f t="shared" si="1554"/>
        <v>0.35300280692866015</v>
      </c>
      <c r="X196" s="86">
        <f t="shared" si="1554"/>
        <v>0.27275518787605235</v>
      </c>
      <c r="Y196" s="86">
        <f t="shared" si="1554"/>
        <v>0.12955775907095157</v>
      </c>
      <c r="Z196" s="86">
        <f>Z18/Y18-1</f>
        <v>4.9801617090199812E-2</v>
      </c>
      <c r="AA196" s="86">
        <f>AA18/Z18-1</f>
        <v>7.6092873347872736E-3</v>
      </c>
      <c r="AB196" s="87">
        <f t="shared" ref="AA196:AE196" si="1555">AB18/AA18-1</f>
        <v>0.12003104771746598</v>
      </c>
      <c r="AC196" s="87">
        <f t="shared" si="1555"/>
        <v>0.13031768500181951</v>
      </c>
      <c r="AD196" s="87">
        <f t="shared" si="1555"/>
        <v>8.8779385335548744E-2</v>
      </c>
      <c r="AE196" s="87">
        <f t="shared" si="1555"/>
        <v>3.2438931045775776E-2</v>
      </c>
      <c r="AN196" s="86">
        <f t="shared" ref="AN196:CI196" si="1556">+(AN18+AM18)/(AJ18+AI18)-1</f>
        <v>0.21554549136566137</v>
      </c>
      <c r="AO196" s="86">
        <f t="shared" si="1556"/>
        <v>0.25757203376127791</v>
      </c>
      <c r="AP196" s="86">
        <f t="shared" si="1556"/>
        <v>0.29229550018312467</v>
      </c>
      <c r="AQ196" s="86">
        <f t="shared" si="1556"/>
        <v>0.20385392189521001</v>
      </c>
      <c r="AR196" s="86">
        <f t="shared" si="1556"/>
        <v>8.8317825209352829E-2</v>
      </c>
      <c r="AS196" s="86">
        <f t="shared" si="1556"/>
        <v>9.0763450842035631E-2</v>
      </c>
      <c r="AT196" s="86">
        <f t="shared" si="1556"/>
        <v>9.1673365078511981E-2</v>
      </c>
      <c r="AU196" s="86">
        <f t="shared" si="1556"/>
        <v>0.17320832512769635</v>
      </c>
      <c r="AV196" s="86">
        <f t="shared" si="1556"/>
        <v>0.28329896385511666</v>
      </c>
      <c r="AW196" s="86">
        <f t="shared" si="1556"/>
        <v>0.2646690634761597</v>
      </c>
      <c r="AX196" s="86">
        <f t="shared" si="1556"/>
        <v>0.2627281943856965</v>
      </c>
      <c r="AY196" s="86">
        <f t="shared" si="1556"/>
        <v>0.24301944844027878</v>
      </c>
      <c r="AZ196" s="86">
        <f t="shared" si="1556"/>
        <v>0.16580536654711642</v>
      </c>
      <c r="BA196" s="86">
        <f t="shared" si="1556"/>
        <v>0.13330077305798782</v>
      </c>
      <c r="BB196" s="86">
        <f t="shared" si="1556"/>
        <v>0.12942915479178185</v>
      </c>
      <c r="BC196" s="86">
        <f t="shared" si="1556"/>
        <v>0.1114972453038543</v>
      </c>
      <c r="BD196" s="86">
        <f t="shared" si="1556"/>
        <v>0.1253433276055691</v>
      </c>
      <c r="BE196" s="86">
        <f t="shared" si="1556"/>
        <v>0.12582798886090751</v>
      </c>
      <c r="BF196" s="86">
        <f t="shared" si="1556"/>
        <v>0.12620950910329198</v>
      </c>
      <c r="BG196" s="86">
        <f t="shared" si="1556"/>
        <v>0.16484089402624003</v>
      </c>
      <c r="BH196" s="86">
        <f t="shared" si="1556"/>
        <v>0.17949785387084738</v>
      </c>
      <c r="BI196" s="86">
        <f t="shared" si="1556"/>
        <v>0.1659590384047831</v>
      </c>
      <c r="BJ196" s="86">
        <f t="shared" si="1556"/>
        <v>0.11521762151858539</v>
      </c>
      <c r="BK196" s="86">
        <f t="shared" si="1556"/>
        <v>1.0942539783552085E-2</v>
      </c>
      <c r="BL196" s="86">
        <f t="shared" si="1556"/>
        <v>-4.8946317558570818E-2</v>
      </c>
      <c r="BM196" s="86">
        <f t="shared" si="1556"/>
        <v>1.404949150163648E-2</v>
      </c>
      <c r="BN196" s="86">
        <f t="shared" si="1556"/>
        <v>7.7424296188196129E-2</v>
      </c>
      <c r="BO196" s="86">
        <f t="shared" si="1556"/>
        <v>9.6217965545207784E-2</v>
      </c>
      <c r="BP196" s="86">
        <f t="shared" si="1556"/>
        <v>0.11029266952927697</v>
      </c>
      <c r="BQ196" s="86">
        <f t="shared" si="1556"/>
        <v>0.11873863142077568</v>
      </c>
      <c r="BR196" s="86">
        <f t="shared" si="1556"/>
        <v>0.14983364702089585</v>
      </c>
      <c r="BS196" s="86">
        <f t="shared" si="1556"/>
        <v>0.27803372279070193</v>
      </c>
      <c r="BT196" s="86">
        <f t="shared" si="1556"/>
        <v>0.38634751088415054</v>
      </c>
      <c r="BU196" s="86">
        <f t="shared" si="1556"/>
        <v>0.3522699282145767</v>
      </c>
      <c r="BV196" s="86">
        <f t="shared" si="1556"/>
        <v>0.32664937349222645</v>
      </c>
      <c r="BW196" s="86">
        <f t="shared" si="1556"/>
        <v>0.31217146260954398</v>
      </c>
      <c r="BX196" s="86">
        <f t="shared" si="1556"/>
        <v>0.29606886557200096</v>
      </c>
      <c r="BY196" s="86">
        <f t="shared" si="1556"/>
        <v>0.29132210478166387</v>
      </c>
      <c r="BZ196" s="86">
        <f t="shared" si="1556"/>
        <v>0.25866687952805578</v>
      </c>
      <c r="CA196" s="86">
        <f t="shared" si="1556"/>
        <v>0.19931686496716439</v>
      </c>
      <c r="CB196" s="86">
        <f t="shared" si="1556"/>
        <v>0.16312975971418209</v>
      </c>
      <c r="CC196" s="86">
        <f t="shared" si="1556"/>
        <v>0.13600803079737411</v>
      </c>
      <c r="CD196" s="86">
        <f t="shared" si="1556"/>
        <v>9.9363819811157272E-2</v>
      </c>
      <c r="CE196" s="86">
        <f t="shared" si="1556"/>
        <v>8.542037872469499E-2</v>
      </c>
      <c r="CF196" s="86">
        <f t="shared" si="1556"/>
        <v>8.6358886123893752E-2</v>
      </c>
      <c r="CG196" s="86">
        <f t="shared" si="1556"/>
        <v>5.4749319433764487E-2</v>
      </c>
      <c r="CH196" s="86">
        <f t="shared" si="1556"/>
        <v>1.5015580910856974E-2</v>
      </c>
      <c r="CI196" s="86">
        <f t="shared" si="1556"/>
        <v>-1.7444900070836211E-2</v>
      </c>
      <c r="CJ196" s="86">
        <f>+(CJ18+CI18)/(CF18+CE18)-1</f>
        <v>-3.79173241507893E-2</v>
      </c>
      <c r="CL196" s="86">
        <f>+(CL18+CK18)/(CH18+CG18)-1</f>
        <v>5.3974355712860467E-2</v>
      </c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E196" s="141"/>
      <c r="DF196" s="86">
        <v>7.6090996193318716E-3</v>
      </c>
    </row>
    <row r="197" spans="1:110" s="86" customFormat="1" x14ac:dyDescent="0.2">
      <c r="A197" s="86" t="s">
        <v>441</v>
      </c>
      <c r="C197" s="86">
        <f t="shared" ref="C197" si="1557">C194/B194-1</f>
        <v>-0.27257988066105521</v>
      </c>
      <c r="D197" s="86">
        <f t="shared" ref="D197" si="1558">D194/C194-1</f>
        <v>0.45319868350561254</v>
      </c>
      <c r="E197" s="86">
        <f>E194/D194-1</f>
        <v>-0.75930007730574645</v>
      </c>
      <c r="F197" s="86">
        <f t="shared" ref="F197" si="1559">F194/E194-1</f>
        <v>-0.2879843838359073</v>
      </c>
      <c r="G197" s="86">
        <f t="shared" ref="G197" si="1560">G194/F194-1</f>
        <v>-0.27949631846772405</v>
      </c>
      <c r="H197" s="86">
        <f t="shared" ref="H197" si="1561">H194/G194-1</f>
        <v>-0.56842258339271834</v>
      </c>
      <c r="I197" s="86">
        <f t="shared" ref="I197" si="1562">I194/H194-1</f>
        <v>11.198789963322003</v>
      </c>
      <c r="J197" s="86">
        <f t="shared" ref="J197" si="1563">J194/I194-1</f>
        <v>-8.4529646615996934E-2</v>
      </c>
      <c r="K197" s="86">
        <f>K194/J194-1</f>
        <v>1.1486207604216783</v>
      </c>
      <c r="L197" s="86">
        <f t="shared" ref="L197" si="1564">L194/K194-1</f>
        <v>-0.26848301797053431</v>
      </c>
      <c r="M197" s="86">
        <f t="shared" ref="M197" si="1565">M194/L194-1</f>
        <v>-0.16596491486436538</v>
      </c>
      <c r="N197" s="86">
        <f t="shared" ref="N197" si="1566">N194/M194-1</f>
        <v>6.8654259374024029E-2</v>
      </c>
      <c r="O197" s="86">
        <f t="shared" ref="O197" si="1567">O194/N194-1</f>
        <v>-0.4276375626791078</v>
      </c>
      <c r="P197" s="86">
        <f t="shared" ref="P197" si="1568">P194/O194-1</f>
        <v>-0.45631617189426599</v>
      </c>
      <c r="Q197" s="86">
        <f t="shared" ref="Q197" si="1569">Q194/P194-1</f>
        <v>0.51192039432569758</v>
      </c>
      <c r="R197" s="86">
        <f t="shared" ref="R197" si="1570">R194/Q194-1</f>
        <v>0.81092886137087961</v>
      </c>
      <c r="S197" s="86">
        <f t="shared" ref="S197" si="1571">S194/R194-1</f>
        <v>0.11975555999774334</v>
      </c>
      <c r="T197" s="86">
        <f t="shared" ref="T197" si="1572">T194/S194-1</f>
        <v>0.13852487601978125</v>
      </c>
      <c r="U197" s="86">
        <f t="shared" ref="U197" si="1573">U194/T194-1</f>
        <v>-0.16417072502264529</v>
      </c>
      <c r="V197" s="86">
        <f t="shared" ref="V197" si="1574">V194/U194-1</f>
        <v>1.4836257191792601E-3</v>
      </c>
      <c r="W197" s="86">
        <f t="shared" ref="W197:AA197" si="1575">W194/V194-1</f>
        <v>-0.19451398486434424</v>
      </c>
      <c r="X197" s="86">
        <f t="shared" si="1575"/>
        <v>0.27537676575129999</v>
      </c>
      <c r="Y197" s="86">
        <f t="shared" si="1575"/>
        <v>0.13158665672723724</v>
      </c>
      <c r="Z197" s="86">
        <f t="shared" si="1575"/>
        <v>0.23523135780887405</v>
      </c>
      <c r="AA197" s="86">
        <f t="shared" si="1575"/>
        <v>0.14573325390592129</v>
      </c>
      <c r="AB197" s="87">
        <f t="shared" ref="AB197" si="1576">AB194/AA194-1</f>
        <v>0.1271671767634408</v>
      </c>
      <c r="AC197" s="87">
        <f t="shared" ref="AC197" si="1577">AC194/AB194-1</f>
        <v>-1.1364871138094812E-2</v>
      </c>
      <c r="AD197" s="87">
        <f t="shared" ref="AD197" si="1578">AD194/AC194-1</f>
        <v>-2.5366180235873337E-2</v>
      </c>
      <c r="AE197" s="87">
        <f t="shared" ref="AE197" si="1579">AE194/AD194-1</f>
        <v>-1.0642959199387736E-2</v>
      </c>
      <c r="AN197" s="86">
        <f t="shared" ref="AN197:CI197" si="1580">+AN194/AJ194-1</f>
        <v>-1.4434968997633635E-2</v>
      </c>
      <c r="AO197" s="86">
        <f t="shared" si="1580"/>
        <v>-3.3119787334013329E-2</v>
      </c>
      <c r="AP197" s="86">
        <f t="shared" si="1580"/>
        <v>-0.44883101793911151</v>
      </c>
      <c r="AQ197" s="86">
        <f t="shared" si="1580"/>
        <v>-0.44885741627031994</v>
      </c>
      <c r="AR197" s="86">
        <f t="shared" si="1580"/>
        <v>-0.13510188204452311</v>
      </c>
      <c r="AS197" s="86">
        <f t="shared" si="1580"/>
        <v>-0.13964696186046155</v>
      </c>
      <c r="AT197" s="86">
        <f t="shared" si="1580"/>
        <v>-0.45487858273100057</v>
      </c>
      <c r="AU197" s="86">
        <f t="shared" si="1580"/>
        <v>-0.42512238859754026</v>
      </c>
      <c r="AV197" s="86">
        <f t="shared" si="1580"/>
        <v>-8.3615062754955893E-2</v>
      </c>
      <c r="AW197" s="86">
        <f t="shared" si="1580"/>
        <v>-6.7699071143243028E-2</v>
      </c>
      <c r="AX197" s="86">
        <f t="shared" si="1580"/>
        <v>0.50579892607847143</v>
      </c>
      <c r="AY197" s="86">
        <f t="shared" si="1580"/>
        <v>0.43456842947699781</v>
      </c>
      <c r="AZ197" s="86">
        <f t="shared" si="1580"/>
        <v>7.2469540694865886E-2</v>
      </c>
      <c r="BA197" s="86">
        <f t="shared" si="1580"/>
        <v>7.6010437698966538E-2</v>
      </c>
      <c r="BB197" s="86">
        <f t="shared" si="1580"/>
        <v>0.8733430192727667</v>
      </c>
      <c r="BC197" s="86">
        <f t="shared" si="1580"/>
        <v>0.88864981378916785</v>
      </c>
      <c r="BD197" s="86">
        <f t="shared" si="1580"/>
        <v>0.3903007701271104</v>
      </c>
      <c r="BE197" s="86">
        <f t="shared" si="1580"/>
        <v>0.38024525436517798</v>
      </c>
      <c r="BF197" s="86">
        <f t="shared" si="1580"/>
        <v>9.2898633035275902E-2</v>
      </c>
      <c r="BG197" s="86">
        <f t="shared" si="1580"/>
        <v>9.4601873475352649E-2</v>
      </c>
      <c r="BH197" s="86">
        <f t="shared" si="1580"/>
        <v>-3.0460128841177547E-2</v>
      </c>
      <c r="BI197" s="86">
        <f t="shared" si="1580"/>
        <v>-4.9306498853071923E-2</v>
      </c>
      <c r="BJ197" s="86">
        <f t="shared" si="1580"/>
        <v>0.21526659504781454</v>
      </c>
      <c r="BK197" s="86">
        <f t="shared" si="1580"/>
        <v>0.21771991555224557</v>
      </c>
      <c r="BL197" s="86">
        <f t="shared" si="1580"/>
        <v>0.14607970309375018</v>
      </c>
      <c r="BM197" s="86">
        <f t="shared" si="1580"/>
        <v>0.16895162533249564</v>
      </c>
      <c r="BN197" s="86">
        <f t="shared" si="1580"/>
        <v>-7.2437755342495302E-2</v>
      </c>
      <c r="BO197" s="86">
        <f t="shared" si="1580"/>
        <v>-8.2708492333797956E-2</v>
      </c>
      <c r="BP197" s="86">
        <f t="shared" si="1580"/>
        <v>-5.7521158584162957E-2</v>
      </c>
      <c r="BQ197" s="86">
        <f t="shared" si="1580"/>
        <v>-5.5979585363928885E-2</v>
      </c>
      <c r="BR197" s="86">
        <f t="shared" si="1580"/>
        <v>-2.1816641576770879E-2</v>
      </c>
      <c r="BS197" s="86">
        <f t="shared" si="1580"/>
        <v>-2.2513938381606424E-3</v>
      </c>
      <c r="BT197" s="86">
        <f t="shared" si="1580"/>
        <v>-0.42263109666396836</v>
      </c>
      <c r="BU197" s="86">
        <f t="shared" si="1580"/>
        <v>-0.40961440373999392</v>
      </c>
      <c r="BV197" s="86">
        <f t="shared" si="1580"/>
        <v>-6.1689458155138932E-2</v>
      </c>
      <c r="BW197" s="86">
        <f t="shared" si="1580"/>
        <v>-5.6657344294171352E-2</v>
      </c>
      <c r="BX197" s="86">
        <f t="shared" si="1580"/>
        <v>0.50529806713883252</v>
      </c>
      <c r="BY197" s="86">
        <f t="shared" si="1580"/>
        <v>0.51162664595047924</v>
      </c>
      <c r="BZ197" s="86">
        <f t="shared" si="1580"/>
        <v>0.24200097876004745</v>
      </c>
      <c r="CA197" s="86">
        <f t="shared" si="1580"/>
        <v>0.22510246532444556</v>
      </c>
      <c r="CB197" s="86">
        <f t="shared" si="1580"/>
        <v>0.16881121377408936</v>
      </c>
      <c r="CC197" s="86">
        <f t="shared" si="1580"/>
        <v>0.15125422346378303</v>
      </c>
      <c r="CD197" s="86">
        <f t="shared" si="1580"/>
        <v>0.16733380572074785</v>
      </c>
      <c r="CE197" s="86">
        <f t="shared" si="1580"/>
        <v>0.1632591006064732</v>
      </c>
      <c r="CF197" s="86">
        <f t="shared" si="1580"/>
        <v>0.23770817288628909</v>
      </c>
      <c r="CG197" s="86">
        <f t="shared" si="1580"/>
        <v>0.23501171600691162</v>
      </c>
      <c r="CH197" s="86">
        <f t="shared" si="1580"/>
        <v>1.4143416480762561E-2</v>
      </c>
      <c r="CI197" s="86">
        <f t="shared" si="1580"/>
        <v>1.4001017628522794E-2</v>
      </c>
      <c r="CJ197" s="86">
        <f>+CJ194/CF194-1</f>
        <v>0.35135686416684497</v>
      </c>
      <c r="CL197" s="86">
        <f>+CL194/CH194-1</f>
        <v>0.18489569807809225</v>
      </c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E197" s="141"/>
      <c r="DF197" s="86">
        <v>0.28652755852395861</v>
      </c>
    </row>
    <row r="198" spans="1:110" s="103" customFormat="1" x14ac:dyDescent="0.2">
      <c r="A198" s="147" t="s">
        <v>87</v>
      </c>
      <c r="C198" s="103">
        <f>IF(C197&gt;C196,"RF",0)</f>
        <v>0</v>
      </c>
      <c r="D198" s="103" t="str">
        <f>IF(D197&gt;D196,"RF",0)</f>
        <v>RF</v>
      </c>
      <c r="E198" s="103">
        <f t="shared" ref="E198:U198" si="1581">IF(E197&gt;E196,"RF",0)</f>
        <v>0</v>
      </c>
      <c r="F198" s="103">
        <f t="shared" si="1581"/>
        <v>0</v>
      </c>
      <c r="G198" s="103">
        <f t="shared" si="1581"/>
        <v>0</v>
      </c>
      <c r="H198" s="103">
        <f t="shared" si="1581"/>
        <v>0</v>
      </c>
      <c r="I198" s="103" t="str">
        <f t="shared" si="1581"/>
        <v>RF</v>
      </c>
      <c r="J198" s="103">
        <f t="shared" si="1581"/>
        <v>0</v>
      </c>
      <c r="K198" s="103" t="str">
        <f t="shared" si="1581"/>
        <v>RF</v>
      </c>
      <c r="L198" s="103">
        <f t="shared" si="1581"/>
        <v>0</v>
      </c>
      <c r="M198" s="103">
        <f t="shared" si="1581"/>
        <v>0</v>
      </c>
      <c r="N198" s="103">
        <f t="shared" si="1581"/>
        <v>0</v>
      </c>
      <c r="O198" s="103">
        <f t="shared" si="1581"/>
        <v>0</v>
      </c>
      <c r="P198" s="103">
        <f t="shared" si="1581"/>
        <v>0</v>
      </c>
      <c r="Q198" s="103" t="str">
        <f t="shared" si="1581"/>
        <v>RF</v>
      </c>
      <c r="R198" s="103" t="str">
        <f t="shared" si="1581"/>
        <v>RF</v>
      </c>
      <c r="S198" s="103">
        <f t="shared" si="1581"/>
        <v>0</v>
      </c>
      <c r="T198" s="103">
        <f t="shared" si="1581"/>
        <v>0</v>
      </c>
      <c r="U198" s="103">
        <f t="shared" si="1581"/>
        <v>0</v>
      </c>
      <c r="V198" s="103">
        <f>IF(V197&gt;V196,"RF",0)</f>
        <v>0</v>
      </c>
      <c r="W198" s="103">
        <f t="shared" ref="W198" si="1582">IF(W197&gt;W196,"RF",0)</f>
        <v>0</v>
      </c>
      <c r="X198" s="103" t="str">
        <f t="shared" ref="X198:Y198" si="1583">IF(X197&gt;X196,"RF",0)</f>
        <v>RF</v>
      </c>
      <c r="Y198" s="103" t="str">
        <f t="shared" si="1583"/>
        <v>RF</v>
      </c>
      <c r="Z198" s="103" t="str">
        <f t="shared" ref="Z198:AA198" si="1584">IF(Z197&gt;Z196,"RF",0)</f>
        <v>RF</v>
      </c>
      <c r="AA198" s="103" t="str">
        <f t="shared" si="1584"/>
        <v>RF</v>
      </c>
      <c r="AB198" s="73" t="str">
        <f t="shared" ref="AA198:AD198" si="1585">IF(AB197&gt;AB196,"RF",0)</f>
        <v>RF</v>
      </c>
      <c r="AC198" s="73">
        <f t="shared" si="1585"/>
        <v>0</v>
      </c>
      <c r="AD198" s="73">
        <f t="shared" si="1585"/>
        <v>0</v>
      </c>
      <c r="AE198" s="73">
        <f t="shared" ref="AE198" si="1586">IF(AE197&gt;AE196,"RF",0)</f>
        <v>0</v>
      </c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E198" s="142"/>
      <c r="DF198" s="103" t="s">
        <v>530</v>
      </c>
    </row>
    <row r="199" spans="1:110" x14ac:dyDescent="0.2">
      <c r="A199" s="153" t="s">
        <v>494</v>
      </c>
      <c r="AA199" s="2"/>
      <c r="CL199" s="2"/>
    </row>
    <row r="200" spans="1:110" x14ac:dyDescent="0.2">
      <c r="A200" s="152" t="s">
        <v>495</v>
      </c>
      <c r="AA200" s="2"/>
      <c r="CL200" s="2"/>
    </row>
    <row r="201" spans="1:110" s="23" customFormat="1" x14ac:dyDescent="0.2">
      <c r="A201" s="23" t="s">
        <v>22</v>
      </c>
      <c r="C201" s="23">
        <f t="shared" ref="C201:AE201" si="1587">C56</f>
        <v>16.749400000000001</v>
      </c>
      <c r="D201" s="23">
        <f t="shared" si="1587"/>
        <v>11.686400000000008</v>
      </c>
      <c r="E201" s="23">
        <f t="shared" si="1587"/>
        <v>17.545800000000028</v>
      </c>
      <c r="F201" s="23">
        <f t="shared" si="1587"/>
        <v>26.291400000000017</v>
      </c>
      <c r="G201" s="23">
        <f t="shared" si="1587"/>
        <v>34.328399999999981</v>
      </c>
      <c r="H201" s="23">
        <f t="shared" si="1587"/>
        <v>52.116900000000008</v>
      </c>
      <c r="I201" s="23">
        <f t="shared" si="1587"/>
        <v>52.845700000000001</v>
      </c>
      <c r="J201" s="23">
        <f t="shared" si="1587"/>
        <v>58.159199999999963</v>
      </c>
      <c r="K201" s="23">
        <f t="shared" si="1587"/>
        <v>48.817100000000018</v>
      </c>
      <c r="L201" s="23">
        <f t="shared" si="1587"/>
        <v>139.14800000000002</v>
      </c>
      <c r="M201" s="23">
        <f t="shared" si="1587"/>
        <v>163.78909999999993</v>
      </c>
      <c r="N201" s="23">
        <f t="shared" si="1587"/>
        <v>21.308199999999907</v>
      </c>
      <c r="O201" s="23">
        <f t="shared" si="1587"/>
        <v>72.261899999999997</v>
      </c>
      <c r="P201" s="23">
        <f t="shared" si="1587"/>
        <v>102.02090000000004</v>
      </c>
      <c r="Q201" s="23">
        <f t="shared" si="1587"/>
        <v>154.81010000000015</v>
      </c>
      <c r="R201" s="23">
        <f t="shared" si="1587"/>
        <v>174.78460000000007</v>
      </c>
      <c r="S201" s="23">
        <f t="shared" si="1587"/>
        <v>240.03789999999975</v>
      </c>
      <c r="T201" s="23">
        <f t="shared" si="1587"/>
        <v>289.96889999999985</v>
      </c>
      <c r="U201" s="23">
        <f t="shared" si="1587"/>
        <v>256.1001</v>
      </c>
      <c r="V201" s="23">
        <f t="shared" si="1587"/>
        <v>368.12190000000004</v>
      </c>
      <c r="W201" s="23">
        <f t="shared" si="1587"/>
        <v>549.67149999999981</v>
      </c>
      <c r="X201" s="23">
        <f t="shared" si="1587"/>
        <v>755.19319999999959</v>
      </c>
      <c r="Y201" s="23">
        <f t="shared" si="1587"/>
        <v>792.23790000000008</v>
      </c>
      <c r="Z201" s="23">
        <f t="shared" si="1587"/>
        <v>784.93679999999927</v>
      </c>
      <c r="AA201" s="23">
        <f t="shared" ref="AA201" si="1588">AA56</f>
        <v>628.43029999999976</v>
      </c>
      <c r="AB201" s="24">
        <f t="shared" si="1587"/>
        <v>846.71046580919335</v>
      </c>
      <c r="AC201" s="24">
        <f t="shared" si="1587"/>
        <v>1012.9230342052643</v>
      </c>
      <c r="AD201" s="24">
        <f t="shared" si="1587"/>
        <v>1129.3368240908994</v>
      </c>
      <c r="AE201" s="24">
        <f t="shared" si="1587"/>
        <v>1256.6129741687912</v>
      </c>
      <c r="AI201" s="23">
        <f t="shared" ref="AI201:BN201" si="1589">AI56</f>
        <v>2.6130000000000102</v>
      </c>
      <c r="AJ201" s="23">
        <f t="shared" si="1589"/>
        <v>1.8120000000000225</v>
      </c>
      <c r="AK201" s="23">
        <f t="shared" si="1589"/>
        <v>8.7480000000000011</v>
      </c>
      <c r="AL201" s="23">
        <f t="shared" si="1589"/>
        <v>8.1349999999999874</v>
      </c>
      <c r="AM201" s="23">
        <f t="shared" si="1589"/>
        <v>8.9269999999999641</v>
      </c>
      <c r="AN201" s="23">
        <f t="shared" si="1589"/>
        <v>19.929999999999986</v>
      </c>
      <c r="AO201" s="23">
        <f t="shared" si="1589"/>
        <v>21.556999999999981</v>
      </c>
      <c r="AP201" s="23">
        <f t="shared" si="1589"/>
        <v>21.848999999999997</v>
      </c>
      <c r="AQ201" s="23">
        <f t="shared" si="1589"/>
        <v>20.791999999999994</v>
      </c>
      <c r="AR201" s="23">
        <f t="shared" si="1589"/>
        <v>23.637000000000011</v>
      </c>
      <c r="AS201" s="23">
        <f t="shared" si="1589"/>
        <v>27.757999999999996</v>
      </c>
      <c r="AT201" s="23">
        <f t="shared" si="1589"/>
        <v>29.834000000000024</v>
      </c>
      <c r="AU201" s="23">
        <f t="shared" si="1589"/>
        <v>35.712000000000018</v>
      </c>
      <c r="AV201" s="23">
        <f t="shared" si="1589"/>
        <v>38.099000000000004</v>
      </c>
      <c r="AW201" s="23">
        <f t="shared" si="1589"/>
        <v>39.901000000000039</v>
      </c>
      <c r="AX201" s="23">
        <f t="shared" si="1589"/>
        <v>41.08799999999998</v>
      </c>
      <c r="AY201" s="23">
        <f t="shared" si="1589"/>
        <v>41.684000000000005</v>
      </c>
      <c r="AZ201" s="23">
        <f t="shared" si="1589"/>
        <v>45.460999999999991</v>
      </c>
      <c r="BA201" s="23">
        <f t="shared" si="1589"/>
        <v>44.148999999999987</v>
      </c>
      <c r="BB201" s="23">
        <f t="shared" si="1589"/>
        <v>43.492000000000004</v>
      </c>
      <c r="BC201" s="23">
        <f t="shared" si="1589"/>
        <v>49.744000000000057</v>
      </c>
      <c r="BD201" s="23">
        <f t="shared" si="1589"/>
        <v>57.239999999999995</v>
      </c>
      <c r="BE201" s="23">
        <f t="shared" si="1589"/>
        <v>62.765999999999977</v>
      </c>
      <c r="BF201" s="23">
        <f t="shared" si="1589"/>
        <v>70.289999999999978</v>
      </c>
      <c r="BG201" s="23">
        <f t="shared" si="1589"/>
        <v>70.498000000000005</v>
      </c>
      <c r="BH201" s="23">
        <f t="shared" si="1589"/>
        <v>82.182999999999964</v>
      </c>
      <c r="BI201" s="23">
        <f t="shared" si="1589"/>
        <v>65.994000000000057</v>
      </c>
      <c r="BJ201" s="23">
        <f t="shared" si="1589"/>
        <v>71.29299999999995</v>
      </c>
      <c r="BK201" s="23">
        <f t="shared" si="1589"/>
        <v>48.793000000000006</v>
      </c>
      <c r="BL201" s="23">
        <f t="shared" si="1589"/>
        <v>49.807000000000016</v>
      </c>
      <c r="BM201" s="23">
        <f t="shared" si="1589"/>
        <v>75.421000000000006</v>
      </c>
      <c r="BN201" s="23">
        <f t="shared" si="1589"/>
        <v>82.081000000000003</v>
      </c>
      <c r="BO201" s="23">
        <f t="shared" ref="BO201:CT201" si="1590">BO56</f>
        <v>68.874000000000024</v>
      </c>
      <c r="BP201" s="23">
        <f t="shared" si="1590"/>
        <v>78.877999999999986</v>
      </c>
      <c r="BQ201" s="23">
        <f t="shared" si="1590"/>
        <v>105.20199999999998</v>
      </c>
      <c r="BR201" s="23">
        <f t="shared" si="1590"/>
        <v>115.16799999999988</v>
      </c>
      <c r="BS201" s="23">
        <f t="shared" si="1590"/>
        <v>113.375</v>
      </c>
      <c r="BT201" s="23">
        <f t="shared" si="1590"/>
        <v>125.33300000000006</v>
      </c>
      <c r="BU201" s="23">
        <f t="shared" si="1590"/>
        <v>150.95000000000007</v>
      </c>
      <c r="BV201" s="23">
        <f t="shared" si="1590"/>
        <v>160.012</v>
      </c>
      <c r="BW201" s="23">
        <f t="shared" si="1590"/>
        <v>184.72100000000006</v>
      </c>
      <c r="BX201" s="23">
        <f t="shared" si="1590"/>
        <v>174.27699999999999</v>
      </c>
      <c r="BY201" s="23">
        <f t="shared" si="1590"/>
        <v>194.67700000000008</v>
      </c>
      <c r="BZ201" s="23">
        <f t="shared" si="1590"/>
        <v>201.51500000000004</v>
      </c>
      <c r="CA201" s="23">
        <f t="shared" si="1590"/>
        <v>188.85300000000009</v>
      </c>
      <c r="CB201" s="23">
        <f t="shared" si="1590"/>
        <v>200.01800000000003</v>
      </c>
      <c r="CC201" s="23">
        <f t="shared" si="1590"/>
        <v>206.43300000000005</v>
      </c>
      <c r="CD201" s="23">
        <f t="shared" si="1590"/>
        <v>196.93399999999991</v>
      </c>
      <c r="CE201" s="23">
        <f t="shared" si="1590"/>
        <v>184.08000000000004</v>
      </c>
      <c r="CF201" s="23">
        <f t="shared" si="1590"/>
        <v>229.43099999999993</v>
      </c>
      <c r="CG201" s="23">
        <f t="shared" si="1590"/>
        <v>199.00799999999992</v>
      </c>
      <c r="CH201" s="23">
        <f t="shared" si="1590"/>
        <v>172.42000000000002</v>
      </c>
      <c r="CI201" s="23">
        <f t="shared" si="1590"/>
        <v>144.36800000000011</v>
      </c>
      <c r="CJ201" s="23">
        <f t="shared" si="1590"/>
        <v>154.81900000000002</v>
      </c>
      <c r="CK201" s="23">
        <f t="shared" si="1590"/>
        <v>108.89000000000001</v>
      </c>
      <c r="CL201" s="23">
        <f t="shared" ref="CL201" si="1591">CL56</f>
        <v>220.351</v>
      </c>
      <c r="CM201" s="24">
        <f t="shared" si="1590"/>
        <v>188.1800021784176</v>
      </c>
      <c r="CN201" s="24">
        <f t="shared" si="1590"/>
        <v>203.97956790705544</v>
      </c>
      <c r="CO201" s="24">
        <f t="shared" si="1590"/>
        <v>223.15042822405226</v>
      </c>
      <c r="CP201" s="24">
        <f t="shared" si="1590"/>
        <v>231.40046749966814</v>
      </c>
      <c r="CQ201" s="24">
        <f t="shared" si="1590"/>
        <v>230.64638472848415</v>
      </c>
      <c r="CR201" s="24">
        <f t="shared" si="1590"/>
        <v>246.55093314209427</v>
      </c>
      <c r="CS201" s="24">
        <f t="shared" si="1590"/>
        <v>261.43224066608167</v>
      </c>
      <c r="CT201" s="24">
        <f t="shared" si="1590"/>
        <v>274.29347566860372</v>
      </c>
      <c r="CU201" s="24">
        <f t="shared" ref="CU201:DB201" si="1592">CU56</f>
        <v>263.50702053603618</v>
      </c>
      <c r="CV201" s="24">
        <f t="shared" si="1592"/>
        <v>277.38840988590016</v>
      </c>
      <c r="CW201" s="24">
        <f t="shared" si="1592"/>
        <v>289.23795248352008</v>
      </c>
      <c r="CX201" s="24">
        <f t="shared" si="1592"/>
        <v>299.20344118544295</v>
      </c>
      <c r="CY201" s="24">
        <f t="shared" si="1592"/>
        <v>302.05498216622254</v>
      </c>
      <c r="CZ201" s="24">
        <f t="shared" si="1592"/>
        <v>310.97771906902278</v>
      </c>
      <c r="DA201" s="24">
        <f t="shared" si="1592"/>
        <v>318.50915979894864</v>
      </c>
      <c r="DB201" s="24">
        <f t="shared" si="1592"/>
        <v>325.071113134597</v>
      </c>
      <c r="DE201" s="123"/>
      <c r="DF201" s="23">
        <v>181.41468310599328</v>
      </c>
    </row>
    <row r="202" spans="1:110" s="23" customFormat="1" x14ac:dyDescent="0.2">
      <c r="A202" s="23" t="s">
        <v>88</v>
      </c>
      <c r="C202" s="23">
        <f t="shared" ref="C202:AE202" si="1593">C40</f>
        <v>3.0535000000000001</v>
      </c>
      <c r="D202" s="23">
        <f t="shared" si="1593"/>
        <v>3.4146000000000001</v>
      </c>
      <c r="E202" s="23">
        <f t="shared" si="1593"/>
        <v>4.0393999999999997</v>
      </c>
      <c r="F202" s="23">
        <f t="shared" si="1593"/>
        <v>5.0180999999999996</v>
      </c>
      <c r="G202" s="23">
        <f t="shared" si="1593"/>
        <v>6.7335000000000003</v>
      </c>
      <c r="H202" s="23">
        <f t="shared" si="1593"/>
        <v>8.6968999999999994</v>
      </c>
      <c r="I202" s="23">
        <f t="shared" si="1593"/>
        <v>13.4413</v>
      </c>
      <c r="J202" s="23">
        <f t="shared" si="1593"/>
        <v>15.9518</v>
      </c>
      <c r="K202" s="23">
        <f t="shared" si="1593"/>
        <v>16.582599999999999</v>
      </c>
      <c r="L202" s="23">
        <f t="shared" si="1593"/>
        <v>17.204699999999999</v>
      </c>
      <c r="M202" s="23">
        <f t="shared" si="1593"/>
        <v>20.519200000000001</v>
      </c>
      <c r="N202" s="23">
        <f t="shared" si="1593"/>
        <v>23.725300000000001</v>
      </c>
      <c r="O202" s="23">
        <f t="shared" si="1593"/>
        <v>34.986600000000003</v>
      </c>
      <c r="P202" s="23">
        <f t="shared" si="1593"/>
        <v>25.537700000000001</v>
      </c>
      <c r="Q202" s="23">
        <f t="shared" si="1593"/>
        <v>22.604199999999999</v>
      </c>
      <c r="R202" s="23">
        <f t="shared" si="1593"/>
        <v>26.921299999999999</v>
      </c>
      <c r="S202" s="23">
        <f t="shared" si="1593"/>
        <v>25.354500000000002</v>
      </c>
      <c r="T202" s="23">
        <f t="shared" si="1593"/>
        <v>25.096499999999999</v>
      </c>
      <c r="U202" s="23">
        <f t="shared" si="1593"/>
        <v>43.413400000000003</v>
      </c>
      <c r="V202" s="23">
        <f t="shared" si="1593"/>
        <v>44.380899999999997</v>
      </c>
      <c r="W202" s="23">
        <f t="shared" si="1593"/>
        <v>55.335500000000003</v>
      </c>
      <c r="X202" s="23">
        <f t="shared" si="1593"/>
        <v>81.389799999999994</v>
      </c>
      <c r="Y202" s="23">
        <f t="shared" si="1593"/>
        <v>99.449399999999997</v>
      </c>
      <c r="Z202" s="23">
        <f t="shared" si="1593"/>
        <v>104.8708</v>
      </c>
      <c r="AA202" s="23">
        <f t="shared" ref="AA202" si="1594">AA40</f>
        <v>93.799700000000001</v>
      </c>
      <c r="AB202" s="24">
        <f t="shared" si="1593"/>
        <v>96.208702709228618</v>
      </c>
      <c r="AC202" s="24">
        <f t="shared" si="1593"/>
        <v>142.38664394185938</v>
      </c>
      <c r="AD202" s="24">
        <f t="shared" si="1593"/>
        <v>130.58403898566615</v>
      </c>
      <c r="AE202" s="24">
        <f t="shared" si="1593"/>
        <v>72.485698993765666</v>
      </c>
      <c r="AI202" s="23">
        <f t="shared" ref="AI202:BN202" si="1595">AI40</f>
        <v>5.4779999999999998</v>
      </c>
      <c r="AJ202" s="23">
        <f t="shared" si="1595"/>
        <v>6.2140000000000004</v>
      </c>
      <c r="AK202" s="23">
        <f t="shared" si="1595"/>
        <v>6.1509999999999998</v>
      </c>
      <c r="AL202" s="23">
        <f t="shared" si="1595"/>
        <v>5.8819999999999997</v>
      </c>
      <c r="AM202" s="23">
        <f t="shared" si="1595"/>
        <v>5.758</v>
      </c>
      <c r="AN202" s="23">
        <f t="shared" si="1595"/>
        <v>8.2859999999999996</v>
      </c>
      <c r="AO202" s="23">
        <f t="shared" si="1595"/>
        <v>9.2650000000000006</v>
      </c>
      <c r="AP202" s="23">
        <f t="shared" si="1595"/>
        <v>11.678000000000001</v>
      </c>
      <c r="AQ202" s="23">
        <f t="shared" si="1595"/>
        <v>8.9700000000000006</v>
      </c>
      <c r="AR202" s="23">
        <f t="shared" si="1595"/>
        <v>7.8780000000000001</v>
      </c>
      <c r="AS202" s="23">
        <f t="shared" si="1595"/>
        <v>7.2809999999999997</v>
      </c>
      <c r="AT202" s="23">
        <f t="shared" si="1595"/>
        <v>1.4079999999999999</v>
      </c>
      <c r="AU202" s="23">
        <f t="shared" si="1595"/>
        <v>5.2709999999999999</v>
      </c>
      <c r="AV202" s="23">
        <f t="shared" si="1595"/>
        <v>5.6840000000000002</v>
      </c>
      <c r="AW202" s="23">
        <f t="shared" si="1595"/>
        <v>5.7240000000000002</v>
      </c>
      <c r="AX202" s="23">
        <f t="shared" si="1595"/>
        <v>5.9260000000000002</v>
      </c>
      <c r="AY202" s="23">
        <f t="shared" si="1595"/>
        <v>6.7450000000000001</v>
      </c>
      <c r="AZ202" s="23">
        <f t="shared" si="1595"/>
        <v>6.4219999999999997</v>
      </c>
      <c r="BA202" s="23">
        <f t="shared" si="1595"/>
        <v>6.931</v>
      </c>
      <c r="BB202" s="23">
        <f t="shared" si="1595"/>
        <v>6.8230000000000004</v>
      </c>
      <c r="BC202" s="23">
        <f t="shared" si="1595"/>
        <v>6.4809999999999999</v>
      </c>
      <c r="BD202" s="23">
        <f t="shared" si="1595"/>
        <v>6.4470000000000001</v>
      </c>
      <c r="BE202" s="23">
        <f t="shared" si="1595"/>
        <v>6.2850000000000001</v>
      </c>
      <c r="BF202" s="23">
        <f t="shared" si="1595"/>
        <v>6.1420000000000003</v>
      </c>
      <c r="BG202" s="23">
        <f t="shared" si="1595"/>
        <v>6.1040000000000001</v>
      </c>
      <c r="BH202" s="23">
        <f t="shared" si="1595"/>
        <v>6.0830000000000002</v>
      </c>
      <c r="BI202" s="23">
        <f t="shared" si="1595"/>
        <v>6.2169999999999996</v>
      </c>
      <c r="BJ202" s="23">
        <f t="shared" si="1595"/>
        <v>6.6920000000000002</v>
      </c>
      <c r="BK202" s="23">
        <f t="shared" si="1595"/>
        <v>10.446999999999999</v>
      </c>
      <c r="BL202" s="23">
        <f t="shared" si="1595"/>
        <v>10.96</v>
      </c>
      <c r="BM202" s="23">
        <f t="shared" si="1595"/>
        <v>11.217000000000001</v>
      </c>
      <c r="BN202" s="23">
        <f t="shared" si="1595"/>
        <v>10.788</v>
      </c>
      <c r="BO202" s="23">
        <f t="shared" ref="BO202:CT202" si="1596">BO40</f>
        <v>10.824</v>
      </c>
      <c r="BP202" s="23">
        <f t="shared" si="1596"/>
        <v>11.206</v>
      </c>
      <c r="BQ202" s="23">
        <f t="shared" si="1596"/>
        <v>11.053000000000001</v>
      </c>
      <c r="BR202" s="23">
        <f t="shared" si="1596"/>
        <v>11.298</v>
      </c>
      <c r="BS202" s="23">
        <f t="shared" si="1596"/>
        <v>11.916</v>
      </c>
      <c r="BT202" s="23">
        <f t="shared" si="1596"/>
        <v>13.497</v>
      </c>
      <c r="BU202" s="23">
        <f t="shared" si="1596"/>
        <v>14.04</v>
      </c>
      <c r="BV202" s="23">
        <f t="shared" si="1596"/>
        <v>15.882</v>
      </c>
      <c r="BW202" s="23">
        <f t="shared" si="1596"/>
        <v>17.093</v>
      </c>
      <c r="BX202" s="23">
        <f t="shared" si="1596"/>
        <v>21.788</v>
      </c>
      <c r="BY202" s="23">
        <f t="shared" si="1596"/>
        <v>21.43</v>
      </c>
      <c r="BZ202" s="23">
        <f t="shared" si="1596"/>
        <v>21.079000000000001</v>
      </c>
      <c r="CA202" s="23">
        <f t="shared" si="1596"/>
        <v>21.41</v>
      </c>
      <c r="CB202" s="23">
        <f t="shared" si="1596"/>
        <v>25.009</v>
      </c>
      <c r="CC202" s="23">
        <f t="shared" si="1596"/>
        <v>25.45</v>
      </c>
      <c r="CD202" s="23">
        <f t="shared" si="1596"/>
        <v>27.58</v>
      </c>
      <c r="CE202" s="23">
        <f t="shared" si="1596"/>
        <v>27.061</v>
      </c>
      <c r="CF202" s="23">
        <f t="shared" si="1596"/>
        <v>27.155000000000001</v>
      </c>
      <c r="CG202" s="23">
        <f t="shared" si="1596"/>
        <v>25.966999999999999</v>
      </c>
      <c r="CH202" s="23">
        <f t="shared" si="1596"/>
        <v>24.687999999999999</v>
      </c>
      <c r="CI202" s="23">
        <f t="shared" si="1596"/>
        <v>24.271999999999998</v>
      </c>
      <c r="CJ202" s="23">
        <f t="shared" si="1596"/>
        <v>23.446999999999999</v>
      </c>
      <c r="CK202" s="23">
        <f t="shared" si="1596"/>
        <v>22.806999999999999</v>
      </c>
      <c r="CL202" s="23">
        <f t="shared" ref="CL202" si="1597">CL40</f>
        <v>23.274000000000001</v>
      </c>
      <c r="CM202" s="24">
        <f t="shared" si="1596"/>
        <v>18.076897189557851</v>
      </c>
      <c r="CN202" s="24">
        <f t="shared" si="1596"/>
        <v>22.44530202734143</v>
      </c>
      <c r="CO202" s="24">
        <f t="shared" si="1596"/>
        <v>26.215927854103281</v>
      </c>
      <c r="CP202" s="24">
        <f t="shared" si="1596"/>
        <v>29.470575638226052</v>
      </c>
      <c r="CQ202" s="24">
        <f t="shared" si="1596"/>
        <v>32.279852581993261</v>
      </c>
      <c r="CR202" s="24">
        <f t="shared" si="1596"/>
        <v>34.70470389318028</v>
      </c>
      <c r="CS202" s="24">
        <f t="shared" si="1596"/>
        <v>36.797734946744029</v>
      </c>
      <c r="CT202" s="24">
        <f t="shared" si="1596"/>
        <v>38.604352519941806</v>
      </c>
      <c r="CU202" s="24">
        <f t="shared" ref="CU202:DB202" si="1598">CU40</f>
        <v>40.163749859140268</v>
      </c>
      <c r="CV202" s="24">
        <f t="shared" si="1598"/>
        <v>34.667682630649971</v>
      </c>
      <c r="CW202" s="24">
        <f t="shared" si="1598"/>
        <v>29.923705410837247</v>
      </c>
      <c r="CX202" s="24">
        <f t="shared" si="1598"/>
        <v>25.828901085038652</v>
      </c>
      <c r="CY202" s="24">
        <f t="shared" si="1598"/>
        <v>22.294435869533071</v>
      </c>
      <c r="CZ202" s="24">
        <f t="shared" si="1598"/>
        <v>19.243632127602723</v>
      </c>
      <c r="DA202" s="24">
        <f t="shared" si="1598"/>
        <v>16.610304904308826</v>
      </c>
      <c r="DB202" s="24">
        <f t="shared" si="1598"/>
        <v>14.337326092321039</v>
      </c>
      <c r="DE202" s="123"/>
      <c r="DF202" s="23">
        <v>20.409600000000005</v>
      </c>
    </row>
    <row r="203" spans="1:110" s="22" customFormat="1" x14ac:dyDescent="0.2">
      <c r="A203" s="22" t="s">
        <v>89</v>
      </c>
      <c r="C203" s="22">
        <f t="shared" ref="C203:W203" si="1599">C201+C202</f>
        <v>19.802900000000001</v>
      </c>
      <c r="D203" s="22">
        <f t="shared" si="1599"/>
        <v>15.101000000000008</v>
      </c>
      <c r="E203" s="22">
        <f t="shared" si="1599"/>
        <v>21.585200000000029</v>
      </c>
      <c r="F203" s="22">
        <f t="shared" si="1599"/>
        <v>31.309500000000018</v>
      </c>
      <c r="G203" s="22">
        <f t="shared" si="1599"/>
        <v>41.06189999999998</v>
      </c>
      <c r="H203" s="22">
        <f t="shared" si="1599"/>
        <v>60.813800000000008</v>
      </c>
      <c r="I203" s="22">
        <f t="shared" si="1599"/>
        <v>66.287000000000006</v>
      </c>
      <c r="J203" s="22">
        <f t="shared" si="1599"/>
        <v>74.110999999999962</v>
      </c>
      <c r="K203" s="22">
        <f t="shared" si="1599"/>
        <v>65.399700000000024</v>
      </c>
      <c r="L203" s="22">
        <f t="shared" si="1599"/>
        <v>156.35270000000003</v>
      </c>
      <c r="M203" s="22">
        <f t="shared" si="1599"/>
        <v>184.30829999999995</v>
      </c>
      <c r="N203" s="22">
        <f t="shared" si="1599"/>
        <v>45.033499999999904</v>
      </c>
      <c r="O203" s="22">
        <f t="shared" si="1599"/>
        <v>107.24850000000001</v>
      </c>
      <c r="P203" s="22">
        <f t="shared" si="1599"/>
        <v>127.55860000000004</v>
      </c>
      <c r="Q203" s="22">
        <f t="shared" si="1599"/>
        <v>177.41430000000014</v>
      </c>
      <c r="R203" s="22">
        <f t="shared" si="1599"/>
        <v>201.70590000000007</v>
      </c>
      <c r="S203" s="22">
        <f t="shared" si="1599"/>
        <v>265.39239999999972</v>
      </c>
      <c r="T203" s="22">
        <f t="shared" si="1599"/>
        <v>315.06539999999984</v>
      </c>
      <c r="U203" s="22">
        <f t="shared" si="1599"/>
        <v>299.51350000000002</v>
      </c>
      <c r="V203" s="22">
        <f t="shared" si="1599"/>
        <v>412.50280000000004</v>
      </c>
      <c r="W203" s="22">
        <f t="shared" si="1599"/>
        <v>605.00699999999983</v>
      </c>
      <c r="X203" s="22">
        <f t="shared" ref="X203:Y203" si="1600">X201+X202</f>
        <v>836.58299999999963</v>
      </c>
      <c r="Y203" s="22">
        <f t="shared" si="1600"/>
        <v>891.68730000000005</v>
      </c>
      <c r="Z203" s="22">
        <f t="shared" ref="Z203:AA203" si="1601">Z201+Z202</f>
        <v>889.8075999999993</v>
      </c>
      <c r="AA203" s="22">
        <f t="shared" si="1601"/>
        <v>722.22999999999979</v>
      </c>
      <c r="AB203" s="21">
        <f t="shared" ref="AA203:AD203" si="1602">AB201+AB202</f>
        <v>942.919168518422</v>
      </c>
      <c r="AC203" s="21">
        <f t="shared" si="1602"/>
        <v>1155.3096781471238</v>
      </c>
      <c r="AD203" s="21">
        <f t="shared" si="1602"/>
        <v>1259.9208630765656</v>
      </c>
      <c r="AE203" s="21">
        <f t="shared" ref="AE203" si="1603">AE201+AE202</f>
        <v>1329.0986731625569</v>
      </c>
      <c r="AI203" s="22">
        <f t="shared" ref="AI203" si="1604">AI201+AI202</f>
        <v>8.09100000000001</v>
      </c>
      <c r="AJ203" s="22">
        <f t="shared" ref="AJ203:AL203" si="1605">AJ201+AJ202</f>
        <v>8.0260000000000229</v>
      </c>
      <c r="AK203" s="22">
        <f t="shared" si="1605"/>
        <v>14.899000000000001</v>
      </c>
      <c r="AL203" s="22">
        <f t="shared" si="1605"/>
        <v>14.016999999999987</v>
      </c>
      <c r="AM203" s="22">
        <f t="shared" ref="AM203" si="1606">AM201+AM202</f>
        <v>14.684999999999963</v>
      </c>
      <c r="AN203" s="22">
        <f t="shared" ref="AN203:CD203" si="1607">AN201+AN202</f>
        <v>28.215999999999987</v>
      </c>
      <c r="AO203" s="22">
        <f t="shared" si="1607"/>
        <v>30.821999999999981</v>
      </c>
      <c r="AP203" s="22">
        <f t="shared" si="1607"/>
        <v>33.527000000000001</v>
      </c>
      <c r="AQ203" s="22">
        <f t="shared" si="1607"/>
        <v>29.761999999999993</v>
      </c>
      <c r="AR203" s="22">
        <f t="shared" si="1607"/>
        <v>31.515000000000011</v>
      </c>
      <c r="AS203" s="22">
        <f t="shared" si="1607"/>
        <v>35.038999999999994</v>
      </c>
      <c r="AT203" s="22">
        <f t="shared" si="1607"/>
        <v>31.242000000000026</v>
      </c>
      <c r="AU203" s="22">
        <f t="shared" si="1607"/>
        <v>40.983000000000018</v>
      </c>
      <c r="AV203" s="22">
        <f t="shared" si="1607"/>
        <v>43.783000000000001</v>
      </c>
      <c r="AW203" s="22">
        <f t="shared" si="1607"/>
        <v>45.625000000000043</v>
      </c>
      <c r="AX203" s="22">
        <f t="shared" si="1607"/>
        <v>47.013999999999982</v>
      </c>
      <c r="AY203" s="22">
        <f t="shared" si="1607"/>
        <v>48.429000000000002</v>
      </c>
      <c r="AZ203" s="22">
        <f t="shared" si="1607"/>
        <v>51.882999999999988</v>
      </c>
      <c r="BA203" s="22">
        <f t="shared" si="1607"/>
        <v>51.079999999999984</v>
      </c>
      <c r="BB203" s="22">
        <f t="shared" si="1607"/>
        <v>50.315000000000005</v>
      </c>
      <c r="BC203" s="22">
        <f t="shared" si="1607"/>
        <v>56.225000000000058</v>
      </c>
      <c r="BD203" s="22">
        <f t="shared" si="1607"/>
        <v>63.686999999999998</v>
      </c>
      <c r="BE203" s="22">
        <f t="shared" si="1607"/>
        <v>69.050999999999974</v>
      </c>
      <c r="BF203" s="22">
        <f t="shared" si="1607"/>
        <v>76.431999999999974</v>
      </c>
      <c r="BG203" s="22">
        <f t="shared" si="1607"/>
        <v>76.602000000000004</v>
      </c>
      <c r="BH203" s="22">
        <f t="shared" si="1607"/>
        <v>88.265999999999963</v>
      </c>
      <c r="BI203" s="22">
        <f t="shared" si="1607"/>
        <v>72.211000000000055</v>
      </c>
      <c r="BJ203" s="22">
        <f t="shared" si="1607"/>
        <v>77.984999999999957</v>
      </c>
      <c r="BK203" s="22">
        <f t="shared" si="1607"/>
        <v>59.240000000000009</v>
      </c>
      <c r="BL203" s="22">
        <f t="shared" si="1607"/>
        <v>60.767000000000017</v>
      </c>
      <c r="BM203" s="22">
        <f t="shared" si="1607"/>
        <v>86.638000000000005</v>
      </c>
      <c r="BN203" s="22">
        <f t="shared" si="1607"/>
        <v>92.869</v>
      </c>
      <c r="BO203" s="22">
        <f t="shared" si="1607"/>
        <v>79.698000000000022</v>
      </c>
      <c r="BP203" s="22">
        <f t="shared" si="1607"/>
        <v>90.083999999999989</v>
      </c>
      <c r="BQ203" s="22">
        <f t="shared" si="1607"/>
        <v>116.25499999999998</v>
      </c>
      <c r="BR203" s="22">
        <f t="shared" si="1607"/>
        <v>126.46599999999988</v>
      </c>
      <c r="BS203" s="22">
        <f t="shared" si="1607"/>
        <v>125.291</v>
      </c>
      <c r="BT203" s="22">
        <f t="shared" si="1607"/>
        <v>138.83000000000004</v>
      </c>
      <c r="BU203" s="22">
        <f t="shared" si="1607"/>
        <v>164.99000000000007</v>
      </c>
      <c r="BV203" s="22">
        <f t="shared" si="1607"/>
        <v>175.89400000000001</v>
      </c>
      <c r="BW203" s="22">
        <f t="shared" si="1607"/>
        <v>201.81400000000005</v>
      </c>
      <c r="BX203" s="22">
        <f t="shared" si="1607"/>
        <v>196.065</v>
      </c>
      <c r="BY203" s="22">
        <f t="shared" si="1607"/>
        <v>216.10700000000008</v>
      </c>
      <c r="BZ203" s="22">
        <f t="shared" si="1607"/>
        <v>222.59400000000005</v>
      </c>
      <c r="CA203" s="22">
        <f t="shared" si="1607"/>
        <v>210.26300000000009</v>
      </c>
      <c r="CB203" s="22">
        <f t="shared" si="1607"/>
        <v>225.02700000000004</v>
      </c>
      <c r="CC203" s="22">
        <f t="shared" si="1607"/>
        <v>231.88300000000004</v>
      </c>
      <c r="CD203" s="22">
        <f t="shared" si="1607"/>
        <v>224.5139999999999</v>
      </c>
      <c r="CE203" s="22">
        <f t="shared" ref="CE203:CF203" si="1608">CE201+CE202</f>
        <v>211.14100000000005</v>
      </c>
      <c r="CF203" s="22">
        <f t="shared" si="1608"/>
        <v>256.5859999999999</v>
      </c>
      <c r="CG203" s="22">
        <f t="shared" ref="CG203:CH203" si="1609">CG201+CG202</f>
        <v>224.97499999999991</v>
      </c>
      <c r="CH203" s="22">
        <f t="shared" si="1609"/>
        <v>197.108</v>
      </c>
      <c r="CI203" s="22">
        <f t="shared" ref="CI203:CJ203" si="1610">CI201+CI202</f>
        <v>168.6400000000001</v>
      </c>
      <c r="CJ203" s="22">
        <f t="shared" si="1610"/>
        <v>178.26600000000002</v>
      </c>
      <c r="CK203" s="22">
        <f t="shared" ref="CK203:DB203" si="1611">CK201+CK202</f>
        <v>131.697</v>
      </c>
      <c r="CL203" s="22">
        <f t="shared" si="1611"/>
        <v>243.625</v>
      </c>
      <c r="CM203" s="21">
        <f t="shared" si="1611"/>
        <v>206.25689936797545</v>
      </c>
      <c r="CN203" s="21">
        <f t="shared" si="1611"/>
        <v>226.42486993439687</v>
      </c>
      <c r="CO203" s="21">
        <f t="shared" si="1611"/>
        <v>249.36635607815555</v>
      </c>
      <c r="CP203" s="21">
        <f t="shared" si="1611"/>
        <v>260.87104313789416</v>
      </c>
      <c r="CQ203" s="21">
        <f t="shared" si="1611"/>
        <v>262.9262373104774</v>
      </c>
      <c r="CR203" s="21">
        <f t="shared" si="1611"/>
        <v>281.25563703527456</v>
      </c>
      <c r="CS203" s="21">
        <f t="shared" si="1611"/>
        <v>298.22997561282568</v>
      </c>
      <c r="CT203" s="21">
        <f t="shared" si="1611"/>
        <v>312.89782818854553</v>
      </c>
      <c r="CU203" s="21">
        <f t="shared" si="1611"/>
        <v>303.67077039517642</v>
      </c>
      <c r="CV203" s="21">
        <f t="shared" si="1611"/>
        <v>312.05609251655011</v>
      </c>
      <c r="CW203" s="21">
        <f t="shared" si="1611"/>
        <v>319.16165789435735</v>
      </c>
      <c r="CX203" s="21">
        <f t="shared" si="1611"/>
        <v>325.03234227048159</v>
      </c>
      <c r="CY203" s="21">
        <f t="shared" si="1611"/>
        <v>324.3494180357556</v>
      </c>
      <c r="CZ203" s="21">
        <f t="shared" si="1611"/>
        <v>330.22135119662551</v>
      </c>
      <c r="DA203" s="21">
        <f t="shared" si="1611"/>
        <v>335.11946470325745</v>
      </c>
      <c r="DB203" s="21">
        <f t="shared" si="1611"/>
        <v>339.40843922691806</v>
      </c>
      <c r="DE203" s="126"/>
      <c r="DF203" s="22">
        <v>201.82428310599329</v>
      </c>
    </row>
    <row r="204" spans="1:110" s="23" customFormat="1" x14ac:dyDescent="0.2">
      <c r="A204" s="23" t="s">
        <v>65</v>
      </c>
      <c r="C204" s="23">
        <f t="shared" ref="C204:AA204" si="1612">B156-C156+B171+B172-C171-C172</f>
        <v>6.9714</v>
      </c>
      <c r="D204" s="23">
        <f t="shared" si="1612"/>
        <v>7.1319999999999979</v>
      </c>
      <c r="E204" s="23">
        <f>D156-E156+D171+D172-E171-E172</f>
        <v>-4.2321000000000044</v>
      </c>
      <c r="F204" s="23">
        <f t="shared" si="1612"/>
        <v>-14.133699999999994</v>
      </c>
      <c r="G204" s="23">
        <f t="shared" si="1612"/>
        <v>-11.743499999999997</v>
      </c>
      <c r="H204" s="23">
        <f t="shared" si="1612"/>
        <v>-9.3500000000011241E-2</v>
      </c>
      <c r="I204" s="23">
        <f t="shared" si="1612"/>
        <v>-52.533699999999982</v>
      </c>
      <c r="J204" s="23">
        <f>I156-J156+I171+I172-J171-J172</f>
        <v>4.4664999999999848</v>
      </c>
      <c r="K204" s="23">
        <f>J156-K156+J171+J172-K171-K172</f>
        <v>-59.252199999999988</v>
      </c>
      <c r="L204" s="23">
        <f t="shared" si="1612"/>
        <v>9.7016999999999918</v>
      </c>
      <c r="M204" s="23">
        <f t="shared" si="1612"/>
        <v>-17.062299999999993</v>
      </c>
      <c r="N204" s="23">
        <f t="shared" si="1612"/>
        <v>-23.237200000000001</v>
      </c>
      <c r="O204" s="23">
        <f t="shared" si="1612"/>
        <v>-89.774499999999989</v>
      </c>
      <c r="P204" s="23">
        <f t="shared" si="1612"/>
        <v>-49.093900000000055</v>
      </c>
      <c r="Q204" s="23">
        <f t="shared" si="1612"/>
        <v>-152.06679999999997</v>
      </c>
      <c r="R204" s="23">
        <f t="shared" si="1612"/>
        <v>152.9828</v>
      </c>
      <c r="S204" s="23">
        <f t="shared" si="1612"/>
        <v>-99.111400000000017</v>
      </c>
      <c r="T204" s="23">
        <f t="shared" si="1612"/>
        <v>-71.793599999999884</v>
      </c>
      <c r="U204" s="23">
        <f t="shared" si="1612"/>
        <v>-50.844000000000122</v>
      </c>
      <c r="V204" s="23">
        <f t="shared" si="1612"/>
        <v>-103.36970000000002</v>
      </c>
      <c r="W204" s="23">
        <f t="shared" si="1612"/>
        <v>-230.21640000000002</v>
      </c>
      <c r="X204" s="23">
        <f t="shared" si="1612"/>
        <v>-321.00639999999981</v>
      </c>
      <c r="Y204" s="23">
        <f t="shared" si="1612"/>
        <v>-165.00370000000015</v>
      </c>
      <c r="Z204" s="23">
        <f t="shared" si="1612"/>
        <v>-263.28839999999991</v>
      </c>
      <c r="AA204" s="23">
        <f t="shared" si="1612"/>
        <v>-374.98390000000018</v>
      </c>
      <c r="AB204" s="24">
        <f t="shared" ref="AB204" si="1613">AA156-AB156+AA171+AA172-AB171-AB172</f>
        <v>-386.08444155560858</v>
      </c>
      <c r="AC204" s="24">
        <f t="shared" ref="AC204" si="1614">AB156-AC156+AB171+AB172-AC171-AC172</f>
        <v>-275.11999484657872</v>
      </c>
      <c r="AD204" s="24">
        <f t="shared" ref="AD204" si="1615">AC156-AD156+AC171+AC172-AD171-AD172</f>
        <v>-160.06680622376416</v>
      </c>
      <c r="AE204" s="24">
        <f t="shared" ref="AE204" si="1616">AD156-AE156+AD171+AD172-AE171-AE172</f>
        <v>-59.572874612338637</v>
      </c>
      <c r="AI204" s="23">
        <f>AH156-AI156+AH171+AH172-AI171-AJ172</f>
        <v>0</v>
      </c>
      <c r="AJ204" s="23">
        <f t="shared" ref="AJ204:AL204" si="1617">AI156-AJ156+AI171+AI172-AJ171-AK172</f>
        <v>-207.553</v>
      </c>
      <c r="AK204" s="23">
        <f t="shared" si="1617"/>
        <v>-1.0305653461203974</v>
      </c>
      <c r="AL204" s="23">
        <f t="shared" si="1617"/>
        <v>-8.498434653879567</v>
      </c>
      <c r="AM204" s="23">
        <f t="shared" ref="AM204" si="1618">AL156-AM156+AL171+AL172-AM171-AM172</f>
        <v>-8.4210966456997767</v>
      </c>
      <c r="AN204" s="23">
        <f t="shared" ref="AN204" si="1619">AM156-AN156+AM171+AM172-AN171-AN172</f>
        <v>0.93809664569973528</v>
      </c>
      <c r="AO204" s="23">
        <f t="shared" ref="AO204" si="1620">AN156-AO156+AN171+AN172-AO171-AO172</f>
        <v>-7.1442358898773648</v>
      </c>
      <c r="AP204" s="23">
        <f t="shared" ref="AP204" si="1621">AO156-AP156+AO171+AO172-AP171-AP172</f>
        <v>11.041235889877388</v>
      </c>
      <c r="AQ204" s="23">
        <f t="shared" ref="AQ204" si="1622">AP156-AQ156+AP171+AP172-AQ171-AQ172</f>
        <v>15.275728440471113</v>
      </c>
      <c r="AR204" s="23">
        <f t="shared" ref="AR204" si="1623">AQ156-AR156+AQ171+AQ172-AR171-AR172</f>
        <v>-14.169728440471133</v>
      </c>
      <c r="AS204" s="23">
        <f t="shared" ref="AS204" si="1624">AR156-AS156+AR171+AR172-AS171-AS172</f>
        <v>-9.3434510668680844</v>
      </c>
      <c r="AT204" s="23">
        <f t="shared" ref="AT204" si="1625">AS156-AT156+AS171+AS172-AT171-AT172</f>
        <v>-2.2965489331319335</v>
      </c>
      <c r="AU204" s="23">
        <f t="shared" ref="AU204" si="1626">AT156-AU156+AT171+AT172-AU171-AU172</f>
        <v>-8.1732341228661767</v>
      </c>
      <c r="AV204" s="23">
        <f t="shared" ref="AV204" si="1627">AU156-AV156+AU171+AU172-AV171-AV172</f>
        <v>-52.267765877133819</v>
      </c>
      <c r="AW204" s="23">
        <f t="shared" ref="AW204" si="1628">AV156-AW156+AV171+AV172-AW171-AW172</f>
        <v>-6.7937569692555826</v>
      </c>
      <c r="AX204" s="23">
        <f t="shared" ref="AX204" si="1629">AW156-AX156+AW171+AW172-AX171-AX172</f>
        <v>-9.9162430307444467</v>
      </c>
      <c r="AY204" s="23">
        <f t="shared" ref="AY204" si="1630">AX156-AY156+AX171+AX172-AY171-AY172</f>
        <v>0.2811378184193245</v>
      </c>
      <c r="AZ204" s="23">
        <f t="shared" ref="AZ204" si="1631">AY156-AZ156+AY171+AY172-AZ171-AZ172</f>
        <v>-29.075137818419293</v>
      </c>
      <c r="BA204" s="23">
        <f t="shared" ref="BA204" si="1632">AZ156-BA156+AZ171+AZ172-BA171-BA172</f>
        <v>-4.2811356921681067</v>
      </c>
      <c r="BB204" s="23">
        <f t="shared" ref="BB204" si="1633">BA156-BB156+BA171+BA172-BB171-BB172</f>
        <v>-13.604864307831877</v>
      </c>
      <c r="BC204" s="23">
        <f t="shared" ref="BC204" si="1634">BB156-BC156+BB171+BB172-BC171-BC172</f>
        <v>2.8202186472658473</v>
      </c>
      <c r="BD204" s="23">
        <f t="shared" ref="BD204" si="1635">BC156-BD156+BC171+BC172-BD171-BD172</f>
        <v>-93.222218647265848</v>
      </c>
      <c r="BE204" s="23">
        <f t="shared" ref="BE204" si="1636">BD156-BE156+BD171+BD172-BE171-BE172</f>
        <v>-0.11653129877191759</v>
      </c>
      <c r="BF204" s="23">
        <f t="shared" ref="BF204" si="1637">BE156-BF156+BE171+BE172-BF171-BF172</f>
        <v>-8.594468701228088</v>
      </c>
      <c r="BG204" s="23">
        <f t="shared" ref="BG204" si="1638">BF156-BG156+BF171+BF172-BG171-BG172</f>
        <v>-5.4401157612634279</v>
      </c>
      <c r="BH204" s="23">
        <f t="shared" ref="BH204" si="1639">BG156-BH156+BG171+BG172-BH171-BH172</f>
        <v>-58.049884238736546</v>
      </c>
      <c r="BI204" s="23">
        <f t="shared" ref="BI204" si="1640">BH156-BI156+BH171+BH172-BI171-BI172</f>
        <v>6.4170215003574631</v>
      </c>
      <c r="BJ204" s="23">
        <f t="shared" ref="BJ204" si="1641">BI156-BJ156+BI171+BI172-BJ171-BJ172</f>
        <v>-14.720021500357536</v>
      </c>
      <c r="BK204" s="23">
        <f t="shared" ref="BK204" si="1642">BJ156-BK156+BJ171+BJ172-BK171-BK172</f>
        <v>39.355961251925521</v>
      </c>
      <c r="BL204" s="23">
        <f t="shared" ref="BL204" si="1643">BK156-BL156+BK171+BK172-BL171-BL172</f>
        <v>-46.223961251925523</v>
      </c>
      <c r="BM204" s="23">
        <f t="shared" ref="BM204" si="1644">BL156-BM156+BL171+BL172-BM171-BM172</f>
        <v>-32.900108367221492</v>
      </c>
      <c r="BN204" s="23">
        <f t="shared" ref="BN204" si="1645">BM156-BN156+BM171+BM172-BN171-BN172</f>
        <v>-62.907891632778437</v>
      </c>
      <c r="BO204" s="23">
        <f t="shared" ref="BO204" si="1646">BN156-BO156+BN171+BN172-BO171-BO172</f>
        <v>34.478254943777983</v>
      </c>
      <c r="BP204" s="23">
        <f t="shared" ref="BP204" si="1647">BO156-BP156+BO171+BO172-BP171-BP172</f>
        <v>1.0667450562220964</v>
      </c>
      <c r="BQ204" s="23">
        <f t="shared" ref="BQ204" si="1648">BP156-BQ156+BP171+BP172-BQ171-BQ172</f>
        <v>-39.104168376420148</v>
      </c>
      <c r="BR204" s="23">
        <f t="shared" ref="BR204" si="1649">BQ156-BR156+BQ171+BQ172-BR171-BR172</f>
        <v>-113.07383162357979</v>
      </c>
      <c r="BS204" s="23">
        <f t="shared" ref="BS204" si="1650">BR156-BS156+BR171+BR172-BS171-BS172</f>
        <v>-37.689884026882964</v>
      </c>
      <c r="BT204" s="23">
        <f t="shared" ref="BT204" si="1651">BS156-BT156+BS171+BS172-BT171-BT172</f>
        <v>71.030884026882902</v>
      </c>
      <c r="BU204" s="23">
        <f t="shared" ref="BU204" si="1652">BT156-BU156+BT171+BT172-BU171-BU172</f>
        <v>-26.666841068246185</v>
      </c>
      <c r="BV204" s="23">
        <f t="shared" ref="BV204" si="1653">BU156-BV156+BU171+BU172-BV171-BV172</f>
        <v>-296.17915893175399</v>
      </c>
      <c r="BW204" s="23">
        <f t="shared" ref="BW204" si="1654">BV156-BW156+BV171+BV172-BW171-BW172</f>
        <v>-43.607109759013156</v>
      </c>
      <c r="BX204" s="23">
        <f t="shared" ref="BX204" si="1655">BW156-BX156+BW171+BW172-BX171-BX172</f>
        <v>-75.198890240986813</v>
      </c>
      <c r="BY204" s="23">
        <f t="shared" ref="BY204" si="1656">BX156-BY156+BX171+BX172-BY171-BY172</f>
        <v>-54.829853917405444</v>
      </c>
      <c r="BZ204" s="23">
        <f t="shared" ref="BZ204" si="1657">BY156-BZ156+BY171+BY172-BZ171-BZ172</f>
        <v>-180.64614608259467</v>
      </c>
      <c r="CA204" s="23">
        <f t="shared" ref="CA204" si="1658">BZ156-CA156+BZ171+BZ172-CA171-CA172</f>
        <v>-14.398706587741344</v>
      </c>
      <c r="CB204" s="23">
        <f t="shared" ref="CB204" si="1659">CA156-CB156+CA171+CA172-CB171-CB172</f>
        <v>-44.948293412258607</v>
      </c>
      <c r="CC204" s="23">
        <f t="shared" ref="CC204" si="1660">CB156-CC156+CB171+CB172-CC171-CC172</f>
        <v>-32.586328442391732</v>
      </c>
      <c r="CD204" s="23">
        <f t="shared" ref="CD204" si="1661">CC156-CD156+CC171+CC172-CD171-CD172</f>
        <v>-105.69167155760809</v>
      </c>
      <c r="CE204" s="23">
        <f t="shared" ref="CE204" si="1662">CD156-CE156+CD171+CD172-CE171-CE172</f>
        <v>-22.023372154760182</v>
      </c>
      <c r="CF204" s="23">
        <f t="shared" ref="CF204" si="1663">CE156-CF156+CE171+CE172-CF171-CF172</f>
        <v>-73.470627845240088</v>
      </c>
      <c r="CG204" s="23">
        <f t="shared" ref="CG204" si="1664">CF156-CG156+CF171+CF172-CG171-CG172</f>
        <v>16.410253532142629</v>
      </c>
      <c r="CH204" s="23">
        <f t="shared" ref="CH204:CL204" si="1665">CG156-CH156+CG171+CG172-CH171-CH172</f>
        <v>6.0756464678576378</v>
      </c>
      <c r="CI204" s="23">
        <f t="shared" si="1665"/>
        <v>29.000238299483726</v>
      </c>
      <c r="CJ204" s="23">
        <f t="shared" si="1665"/>
        <v>-412.91413829948397</v>
      </c>
      <c r="CK204" s="23">
        <f t="shared" ref="CK204" si="1666">CJ156-CK156+CJ171+CJ172-CK171-CK172</f>
        <v>-76.855009212484447</v>
      </c>
      <c r="CL204" s="23">
        <f t="shared" si="1665"/>
        <v>-41.36899078751555</v>
      </c>
      <c r="CM204" s="24">
        <f t="shared" ref="CM204" si="1667">CL156-CM156+CL171+CL172-CM171-CM172</f>
        <v>24.069897299347303</v>
      </c>
      <c r="CN204" s="24">
        <f t="shared" ref="CN204" si="1668">CM156-CN156+CM171+CM172-CN171-CN172</f>
        <v>-101.47079090942407</v>
      </c>
      <c r="CO204" s="24">
        <f t="shared" ref="CO204" si="1669">CN156-CO156+CN171+CN172-CO171-CO172</f>
        <v>-99.642640787852542</v>
      </c>
      <c r="CP204" s="24">
        <f t="shared" ref="CP204" si="1670">CO156-CP156+CO171+CO172-CP171-CP172</f>
        <v>-81.886907157679161</v>
      </c>
      <c r="CQ204" s="24">
        <f t="shared" ref="CQ204" si="1671">CP156-CQ156+CP171+CP172-CQ171-CQ172</f>
        <v>-18.308996350112011</v>
      </c>
      <c r="CR204" s="24">
        <f t="shared" ref="CR204" si="1672">CQ156-CR156+CQ171+CQ172-CR171-CR172</f>
        <v>-93.471723098414259</v>
      </c>
      <c r="CS204" s="24">
        <f t="shared" ref="CS204" si="1673">CR156-CS156+CR171+CR172-CS171-CS172</f>
        <v>-86.205999017070553</v>
      </c>
      <c r="CT204" s="24">
        <f t="shared" ref="CT204" si="1674">CS156-CT156+CS171+CS172-CT171-CT172</f>
        <v>-77.133276380981897</v>
      </c>
      <c r="CU204" s="24">
        <f t="shared" ref="CU204" si="1675">CT156-CU156+CT171+CT172-CU171-CU172</f>
        <v>-31.497926991924487</v>
      </c>
      <c r="CV204" s="24">
        <f t="shared" ref="CV204" si="1676">CU156-CV156+CU171+CU172-CV171-CV172</f>
        <v>-45.509575869752098</v>
      </c>
      <c r="CW204" s="24">
        <f t="shared" ref="CW204" si="1677">CV156-CW156+CV171+CV172-CW171-CW172</f>
        <v>-42.376753683948209</v>
      </c>
      <c r="CX204" s="24">
        <f t="shared" ref="CX204" si="1678">CW156-CX156+CW171+CW172-CX171-CX172</f>
        <v>-40.682549678139367</v>
      </c>
      <c r="CY204" s="24">
        <f t="shared" ref="CY204" si="1679">CX156-CY156+CX171+CX172-CY171-CY172</f>
        <v>14.086732804702933</v>
      </c>
      <c r="CZ204" s="24">
        <f t="shared" ref="CZ204" si="1680">CY156-CZ156+CY171+CY172-CZ171-CZ172</f>
        <v>-28.948259093690467</v>
      </c>
      <c r="DA204" s="24">
        <f t="shared" ref="DA204" si="1681">CZ156-DA156+CZ171+CZ172-DA171-DA172</f>
        <v>-24.65249255656181</v>
      </c>
      <c r="DB204" s="24">
        <f t="shared" ref="DB204" si="1682">DA156-DB156+DA171+DA172-DB171-DB172</f>
        <v>-20.058855766789293</v>
      </c>
      <c r="DE204" s="123"/>
      <c r="DF204" s="23">
        <v>9.7328726785135586</v>
      </c>
    </row>
    <row r="205" spans="1:110" s="23" customFormat="1" x14ac:dyDescent="0.2">
      <c r="A205" s="23" t="s">
        <v>73</v>
      </c>
      <c r="C205" s="23">
        <f t="shared" ref="C205:AA205" si="1683">B164-C164</f>
        <v>-4.4583000000000013</v>
      </c>
      <c r="D205" s="23">
        <f t="shared" si="1683"/>
        <v>11.2501</v>
      </c>
      <c r="E205" s="23">
        <f>D164-E164</f>
        <v>-19.1677</v>
      </c>
      <c r="F205" s="23">
        <f t="shared" si="1683"/>
        <v>-15.7211</v>
      </c>
      <c r="G205" s="23">
        <f t="shared" si="1683"/>
        <v>-13.522799999999997</v>
      </c>
      <c r="H205" s="23">
        <f t="shared" si="1683"/>
        <v>-3.2335000000000065</v>
      </c>
      <c r="I205" s="23">
        <f t="shared" si="1683"/>
        <v>0.14610000000000412</v>
      </c>
      <c r="J205" s="23">
        <f>I164-J164</f>
        <v>2.18719999999999</v>
      </c>
      <c r="K205" s="23">
        <f>J164-K164</f>
        <v>-5.073599999999999</v>
      </c>
      <c r="L205" s="23">
        <f t="shared" si="1683"/>
        <v>-10.280500000000004</v>
      </c>
      <c r="M205" s="23">
        <f t="shared" si="1683"/>
        <v>-12.385699999999986</v>
      </c>
      <c r="N205" s="23">
        <f t="shared" si="1683"/>
        <v>-2.3426000000000045</v>
      </c>
      <c r="O205" s="23">
        <f t="shared" si="1683"/>
        <v>-124.95280000000001</v>
      </c>
      <c r="P205" s="23">
        <f t="shared" si="1683"/>
        <v>-74.796099999999967</v>
      </c>
      <c r="Q205" s="23">
        <f t="shared" si="1683"/>
        <v>-106.76859999999999</v>
      </c>
      <c r="R205" s="23">
        <f t="shared" si="1683"/>
        <v>255.89379999999997</v>
      </c>
      <c r="S205" s="23">
        <f t="shared" si="1683"/>
        <v>-48.81280000000001</v>
      </c>
      <c r="T205" s="23">
        <f t="shared" si="1683"/>
        <v>5.9053000000000111</v>
      </c>
      <c r="U205" s="23">
        <f t="shared" si="1683"/>
        <v>-98.31</v>
      </c>
      <c r="V205" s="23">
        <f t="shared" si="1683"/>
        <v>-65.575000000000045</v>
      </c>
      <c r="W205" s="23">
        <f t="shared" si="1683"/>
        <v>-203.74929999999995</v>
      </c>
      <c r="X205" s="23">
        <f t="shared" si="1683"/>
        <v>-109.46509999999989</v>
      </c>
      <c r="Y205" s="23">
        <f t="shared" si="1683"/>
        <v>-3.589800000000082</v>
      </c>
      <c r="Z205" s="23">
        <f t="shared" si="1683"/>
        <v>-44.423400000000129</v>
      </c>
      <c r="AA205" s="23">
        <f t="shared" si="1683"/>
        <v>-195.44959999999992</v>
      </c>
      <c r="AB205" s="24">
        <f t="shared" ref="AB205" si="1684">AA164-AB164</f>
        <v>-114.50738161437243</v>
      </c>
      <c r="AC205" s="24">
        <f t="shared" ref="AC205" si="1685">AB164-AC164</f>
        <v>-121.66617979091234</v>
      </c>
      <c r="AD205" s="24">
        <f t="shared" ref="AD205" si="1686">AC164-AD164</f>
        <v>-70.786264863946599</v>
      </c>
      <c r="AE205" s="24">
        <f t="shared" ref="AE205" si="1687">AD164-AE164</f>
        <v>-26.344882992921384</v>
      </c>
      <c r="AI205" s="23">
        <f t="shared" ref="AI205" si="1688">AH164-AI164</f>
        <v>0</v>
      </c>
      <c r="AJ205" s="23">
        <f t="shared" ref="AJ205" si="1689">AI164-AJ164</f>
        <v>-104.19499999999999</v>
      </c>
      <c r="AK205" s="23">
        <f t="shared" ref="AK205" si="1690">AJ164-AK164</f>
        <v>0</v>
      </c>
      <c r="AL205" s="23">
        <f t="shared" ref="AL205" si="1691">AK164-AL164</f>
        <v>-2.9110000000000156</v>
      </c>
      <c r="AM205" s="23">
        <f t="shared" ref="AM205" si="1692">AL164-AM164</f>
        <v>-3.1702117639140397</v>
      </c>
      <c r="AN205" s="23">
        <f t="shared" ref="AN205" si="1693">AM164-AN164</f>
        <v>7.4322117639140544</v>
      </c>
      <c r="AO205" s="23">
        <f t="shared" ref="AO205" si="1694">AN164-AO164</f>
        <v>-2.83985117650154</v>
      </c>
      <c r="AP205" s="23">
        <f t="shared" ref="AP205" si="1695">AO164-AP164</f>
        <v>-40.185148823498466</v>
      </c>
      <c r="AQ205" s="23">
        <f t="shared" ref="AQ205" si="1696">AP164-AQ164</f>
        <v>6.3046210316803695</v>
      </c>
      <c r="AR205" s="23">
        <f t="shared" ref="AR205" si="1697">AQ164-AR164</f>
        <v>32.798378968319625</v>
      </c>
      <c r="AS205" s="23">
        <f t="shared" ref="AS205" si="1698">AR164-AS164</f>
        <v>-3.4301355235740516</v>
      </c>
      <c r="AT205" s="23">
        <f t="shared" ref="AT205" si="1699">AS164-AT164</f>
        <v>-71.909864476425938</v>
      </c>
      <c r="AU205" s="23">
        <f t="shared" ref="AU205" si="1700">AT164-AU164</f>
        <v>-3.5023910608969402</v>
      </c>
      <c r="AV205" s="23">
        <f t="shared" ref="AV205" si="1701">AU164-AV164</f>
        <v>31.202391060896929</v>
      </c>
      <c r="AW205" s="23">
        <f t="shared" ref="AW205" si="1702">AV164-AW164</f>
        <v>-2.2489076758528199</v>
      </c>
      <c r="AX205" s="23">
        <f t="shared" ref="AX205" si="1703">AW164-AX164</f>
        <v>-57.303092324147173</v>
      </c>
      <c r="AY205" s="23">
        <f t="shared" ref="AY205" si="1704">AX164-AY164</f>
        <v>9.9972566949702468E-2</v>
      </c>
      <c r="AZ205" s="23">
        <f t="shared" ref="AZ205" si="1705">AY164-AZ164</f>
        <v>46.176027433050308</v>
      </c>
      <c r="BA205" s="23">
        <f t="shared" ref="BA205" si="1706">AZ164-BA164</f>
        <v>-1.3583127033903395</v>
      </c>
      <c r="BB205" s="23">
        <f t="shared" ref="BB205" si="1707">BA164-BB164</f>
        <v>11.312312703390347</v>
      </c>
      <c r="BC205" s="23">
        <f t="shared" ref="BC205" si="1708">BB164-BC164</f>
        <v>0.53541426679754522</v>
      </c>
      <c r="BD205" s="23">
        <f t="shared" ref="BD205" si="1709">BC164-BD164</f>
        <v>-22.990414266797558</v>
      </c>
      <c r="BE205" s="23">
        <f t="shared" ref="BE205" si="1710">BD164-BE164</f>
        <v>-1.75253716163013E-2</v>
      </c>
      <c r="BF205" s="23">
        <f t="shared" ref="BF205" si="1711">BE164-BF164</f>
        <v>-26.340474628383703</v>
      </c>
      <c r="BG205" s="23">
        <f t="shared" ref="BG205" si="1712">BF164-BG164</f>
        <v>-0.798084456651452</v>
      </c>
      <c r="BH205" s="23">
        <f t="shared" ref="BH205" si="1713">BG164-BH164</f>
        <v>-7.2769155433485651</v>
      </c>
      <c r="BI205" s="23">
        <f t="shared" ref="BI205" si="1714">BH164-BI164</f>
        <v>0.93254277230477101</v>
      </c>
      <c r="BJ205" s="23">
        <f t="shared" ref="BJ205" si="1715">BI164-BJ164</f>
        <v>13.047457227695276</v>
      </c>
      <c r="BK205" s="23">
        <f t="shared" ref="BK205" si="1716">BJ164-BK164</f>
        <v>6.0972662698961244</v>
      </c>
      <c r="BL205" s="23">
        <f t="shared" ref="BL205" si="1717">BK164-BL164</f>
        <v>-2.370266269896149</v>
      </c>
      <c r="BM205" s="23">
        <f t="shared" ref="BM205" si="1718">BL164-BM164</f>
        <v>-4.454320288626775</v>
      </c>
      <c r="BN205" s="23">
        <f t="shared" ref="BN205" si="1719">BM164-BN164</f>
        <v>-97.58267971137326</v>
      </c>
      <c r="BO205" s="23">
        <f t="shared" ref="BO205" si="1720">BN164-BO164</f>
        <v>4.1234660651423383</v>
      </c>
      <c r="BP205" s="23">
        <f t="shared" ref="BP205" si="1721">BO164-BP164</f>
        <v>54.85653393485768</v>
      </c>
      <c r="BQ205" s="23">
        <f t="shared" ref="BQ205" si="1722">BP164-BQ164</f>
        <v>-4.6673800720165275</v>
      </c>
      <c r="BR205" s="23">
        <f t="shared" ref="BR205" si="1723">BQ164-BR164</f>
        <v>-119.88861992798346</v>
      </c>
      <c r="BS205" s="23">
        <f t="shared" ref="BS205" si="1724">BR164-BS164</f>
        <v>-4.3224668400219457</v>
      </c>
      <c r="BT205" s="23">
        <f t="shared" ref="BT205" si="1725">BS164-BT164</f>
        <v>-56.422533159978059</v>
      </c>
      <c r="BU205" s="23">
        <f t="shared" ref="BU205" si="1726">BT164-BU164</f>
        <v>-3.9500444290655423</v>
      </c>
      <c r="BV205" s="23">
        <f t="shared" ref="BV205" si="1727">BU164-BV164</f>
        <v>-139.05295557093444</v>
      </c>
      <c r="BW205" s="23">
        <f t="shared" ref="BW205" si="1728">BV164-BW164</f>
        <v>-5.4590809679364156</v>
      </c>
      <c r="BX205" s="23">
        <f t="shared" ref="BX205" si="1729">BW164-BX164</f>
        <v>-39.966919032063629</v>
      </c>
      <c r="BY205" s="23">
        <f t="shared" ref="BY205" si="1730">BX164-BY164</f>
        <v>-6.3410897636308619</v>
      </c>
      <c r="BZ205" s="23">
        <f t="shared" ref="BZ205" si="1731">BY164-BZ164</f>
        <v>-57.697910236369012</v>
      </c>
      <c r="CA205" s="23">
        <f t="shared" ref="CA205" si="1732">BZ164-CA164</f>
        <v>-1.5208709566545622</v>
      </c>
      <c r="CB205" s="23">
        <f t="shared" ref="CB205" si="1733">CA164-CB164</f>
        <v>-37.087129043345499</v>
      </c>
      <c r="CC205" s="23">
        <f t="shared" ref="CC205" si="1734">CB164-CC164</f>
        <v>-3.565389475761549</v>
      </c>
      <c r="CD205" s="23">
        <f t="shared" ref="CD205" si="1735">CC164-CD164</f>
        <v>38.582389475761488</v>
      </c>
      <c r="CE205" s="23">
        <f t="shared" ref="CE205" si="1736">CD164-CE164</f>
        <v>-1.9390040742076735</v>
      </c>
      <c r="CF205" s="23">
        <f t="shared" ref="CF205" si="1737">CE164-CF164</f>
        <v>-15.301995925792312</v>
      </c>
      <c r="CG205" s="23">
        <f t="shared" ref="CG205" si="1738">CF164-CG164</f>
        <v>1.8775009580290316</v>
      </c>
      <c r="CH205" s="23">
        <f t="shared" ref="CH205:CL205" si="1739">CG164-CH164</f>
        <v>-29.059200958029123</v>
      </c>
      <c r="CI205" s="23">
        <f t="shared" si="1739"/>
        <v>12.975549673248679</v>
      </c>
      <c r="CJ205" s="23">
        <f t="shared" si="1739"/>
        <v>-40.373849673248628</v>
      </c>
      <c r="CK205" s="23">
        <f t="shared" ref="CK205" si="1740">CJ164-CK164</f>
        <v>-29.01672764464081</v>
      </c>
      <c r="CL205" s="23">
        <f t="shared" si="1739"/>
        <v>-139.03527235535921</v>
      </c>
      <c r="CM205" s="24">
        <f t="shared" ref="CM205" si="1741">CL164-CM164</f>
        <v>10.644418825335379</v>
      </c>
      <c r="CN205" s="24">
        <f t="shared" ref="CN205" si="1742">CM164-CN164</f>
        <v>-44.873377877157054</v>
      </c>
      <c r="CO205" s="24">
        <f t="shared" ref="CO205" si="1743">CN164-CO164</f>
        <v>-44.064915949480792</v>
      </c>
      <c r="CP205" s="24">
        <f t="shared" ref="CP205" si="1744">CO164-CP164</f>
        <v>-36.212806613069915</v>
      </c>
      <c r="CQ205" s="24">
        <f t="shared" ref="CQ205" si="1745">CP164-CQ164</f>
        <v>-8.0967784365004718</v>
      </c>
      <c r="CR205" s="24">
        <f t="shared" ref="CR205" si="1746">CQ164-CR164</f>
        <v>-41.335954059608866</v>
      </c>
      <c r="CS205" s="24">
        <f t="shared" ref="CS205" si="1747">CR164-CS164</f>
        <v>-38.122836478369891</v>
      </c>
      <c r="CT205" s="24">
        <f t="shared" ref="CT205" si="1748">CS164-CT164</f>
        <v>-34.110610816433109</v>
      </c>
      <c r="CU205" s="24">
        <f t="shared" ref="CU205" si="1749">CT164-CU164</f>
        <v>-13.929312737074952</v>
      </c>
      <c r="CV205" s="24">
        <f t="shared" ref="CV205" si="1750">CU164-CV164</f>
        <v>-20.125677317874079</v>
      </c>
      <c r="CW205" s="24">
        <f t="shared" ref="CW205" si="1751">CV164-CW164</f>
        <v>-18.740250905942503</v>
      </c>
      <c r="CX205" s="24">
        <f t="shared" ref="CX205" si="1752">CW164-CX164</f>
        <v>-17.991023903055066</v>
      </c>
      <c r="CY205" s="24">
        <f t="shared" ref="CY205" si="1753">CX164-CY164</f>
        <v>6.2295689087927713</v>
      </c>
      <c r="CZ205" s="24">
        <f t="shared" ref="CZ205" si="1754">CY164-CZ164</f>
        <v>-12.801774358460989</v>
      </c>
      <c r="DA205" s="24">
        <f t="shared" ref="DA205" si="1755">CZ164-DA164</f>
        <v>-10.902059638934361</v>
      </c>
      <c r="DB205" s="24">
        <f t="shared" ref="DB205" si="1756">DA164-DB164</f>
        <v>-8.8706179043188058</v>
      </c>
      <c r="DE205" s="123"/>
      <c r="DF205" s="23">
        <v>3.6746611392834438</v>
      </c>
    </row>
    <row r="206" spans="1:110" s="22" customFormat="1" x14ac:dyDescent="0.2">
      <c r="A206" s="22" t="s">
        <v>90</v>
      </c>
      <c r="C206" s="22">
        <f t="shared" ref="C206:W206" si="1757">C204-C205</f>
        <v>11.4297</v>
      </c>
      <c r="D206" s="22">
        <f t="shared" si="1757"/>
        <v>-4.1181000000000019</v>
      </c>
      <c r="E206" s="22">
        <f t="shared" si="1757"/>
        <v>14.935599999999996</v>
      </c>
      <c r="F206" s="22">
        <f t="shared" si="1757"/>
        <v>1.5874000000000059</v>
      </c>
      <c r="G206" s="22">
        <f t="shared" si="1757"/>
        <v>1.7792999999999992</v>
      </c>
      <c r="H206" s="22">
        <f t="shared" si="1757"/>
        <v>3.1399999999999952</v>
      </c>
      <c r="I206" s="22">
        <f t="shared" si="1757"/>
        <v>-52.679799999999986</v>
      </c>
      <c r="J206" s="22">
        <f>J204-J205</f>
        <v>2.2792999999999948</v>
      </c>
      <c r="K206" s="22">
        <f t="shared" si="1757"/>
        <v>-54.178599999999989</v>
      </c>
      <c r="L206" s="22">
        <f t="shared" si="1757"/>
        <v>19.982199999999995</v>
      </c>
      <c r="M206" s="22">
        <f t="shared" si="1757"/>
        <v>-4.6766000000000076</v>
      </c>
      <c r="N206" s="22">
        <f t="shared" si="1757"/>
        <v>-20.894599999999997</v>
      </c>
      <c r="O206" s="22">
        <f t="shared" si="1757"/>
        <v>35.178300000000021</v>
      </c>
      <c r="P206" s="22">
        <f t="shared" si="1757"/>
        <v>25.702199999999912</v>
      </c>
      <c r="Q206" s="22">
        <f t="shared" si="1757"/>
        <v>-45.29819999999998</v>
      </c>
      <c r="R206" s="22">
        <f t="shared" si="1757"/>
        <v>-102.91099999999997</v>
      </c>
      <c r="S206" s="22">
        <f t="shared" si="1757"/>
        <v>-50.298600000000008</v>
      </c>
      <c r="T206" s="22">
        <f t="shared" si="1757"/>
        <v>-77.698899999999895</v>
      </c>
      <c r="U206" s="22">
        <f t="shared" si="1757"/>
        <v>47.46599999999988</v>
      </c>
      <c r="V206" s="22">
        <f t="shared" si="1757"/>
        <v>-37.794699999999978</v>
      </c>
      <c r="W206" s="22">
        <f t="shared" si="1757"/>
        <v>-26.467100000000073</v>
      </c>
      <c r="X206" s="22">
        <f t="shared" ref="X206:Y206" si="1758">X204-X205</f>
        <v>-211.54129999999992</v>
      </c>
      <c r="Y206" s="22">
        <f t="shared" si="1758"/>
        <v>-161.41390000000007</v>
      </c>
      <c r="Z206" s="22">
        <f t="shared" ref="Z206:AA206" si="1759">Z204-Z205</f>
        <v>-218.86499999999978</v>
      </c>
      <c r="AA206" s="22">
        <f t="shared" si="1759"/>
        <v>-179.53430000000026</v>
      </c>
      <c r="AB206" s="21">
        <f t="shared" ref="AA206:AD206" si="1760">AB204-AB205</f>
        <v>-271.57705994123614</v>
      </c>
      <c r="AC206" s="21">
        <f t="shared" si="1760"/>
        <v>-153.45381505566638</v>
      </c>
      <c r="AD206" s="21">
        <f t="shared" si="1760"/>
        <v>-89.280541359817562</v>
      </c>
      <c r="AE206" s="21">
        <f t="shared" ref="AE206" si="1761">AE204-AE205</f>
        <v>-33.227991619417253</v>
      </c>
      <c r="AI206" s="22">
        <f t="shared" ref="AI206" si="1762">AI204-AI205</f>
        <v>0</v>
      </c>
      <c r="AJ206" s="22">
        <f t="shared" ref="AJ206:AL206" si="1763">AJ204-AJ205</f>
        <v>-103.358</v>
      </c>
      <c r="AK206" s="22">
        <f t="shared" si="1763"/>
        <v>-1.0305653461203974</v>
      </c>
      <c r="AL206" s="22">
        <f t="shared" si="1763"/>
        <v>-5.5874346538795514</v>
      </c>
      <c r="AM206" s="22">
        <f t="shared" ref="AM206" si="1764">AM204-AM205</f>
        <v>-5.250884881785737</v>
      </c>
      <c r="AN206" s="22">
        <f t="shared" ref="AN206:CD206" si="1765">AN204-AN205</f>
        <v>-6.4941151182143191</v>
      </c>
      <c r="AO206" s="22">
        <f t="shared" si="1765"/>
        <v>-4.3043847133758248</v>
      </c>
      <c r="AP206" s="22">
        <f t="shared" si="1765"/>
        <v>51.22638471337585</v>
      </c>
      <c r="AQ206" s="22">
        <f t="shared" si="1765"/>
        <v>8.9711074087907434</v>
      </c>
      <c r="AR206" s="22">
        <f t="shared" si="1765"/>
        <v>-46.968107408790758</v>
      </c>
      <c r="AS206" s="22">
        <f t="shared" si="1765"/>
        <v>-5.9133155432940328</v>
      </c>
      <c r="AT206" s="22">
        <f t="shared" si="1765"/>
        <v>69.613315543294007</v>
      </c>
      <c r="AU206" s="22">
        <f t="shared" si="1765"/>
        <v>-4.6708430619692365</v>
      </c>
      <c r="AV206" s="22">
        <f t="shared" si="1765"/>
        <v>-83.470156938030755</v>
      </c>
      <c r="AW206" s="22">
        <f t="shared" si="1765"/>
        <v>-4.5448492934027627</v>
      </c>
      <c r="AX206" s="22">
        <f t="shared" si="1765"/>
        <v>47.386849293402726</v>
      </c>
      <c r="AY206" s="22">
        <f t="shared" si="1765"/>
        <v>0.18116525146962204</v>
      </c>
      <c r="AZ206" s="22">
        <f t="shared" si="1765"/>
        <v>-75.251165251469601</v>
      </c>
      <c r="BA206" s="22">
        <f t="shared" si="1765"/>
        <v>-2.9228229887777673</v>
      </c>
      <c r="BB206" s="22">
        <f t="shared" si="1765"/>
        <v>-24.917177011222222</v>
      </c>
      <c r="BC206" s="22">
        <f t="shared" si="1765"/>
        <v>2.284804380468302</v>
      </c>
      <c r="BD206" s="22">
        <f t="shared" si="1765"/>
        <v>-70.23180438046829</v>
      </c>
      <c r="BE206" s="22">
        <f t="shared" si="1765"/>
        <v>-9.9005927155616291E-2</v>
      </c>
      <c r="BF206" s="22">
        <f t="shared" si="1765"/>
        <v>17.746005927155615</v>
      </c>
      <c r="BG206" s="22">
        <f t="shared" si="1765"/>
        <v>-4.6420313046119759</v>
      </c>
      <c r="BH206" s="22">
        <f t="shared" si="1765"/>
        <v>-50.772968695387981</v>
      </c>
      <c r="BI206" s="22">
        <f t="shared" si="1765"/>
        <v>5.4844787280526921</v>
      </c>
      <c r="BJ206" s="22">
        <f t="shared" si="1765"/>
        <v>-27.767478728052811</v>
      </c>
      <c r="BK206" s="22">
        <f t="shared" si="1765"/>
        <v>33.258694982029397</v>
      </c>
      <c r="BL206" s="22">
        <f t="shared" si="1765"/>
        <v>-43.853694982029374</v>
      </c>
      <c r="BM206" s="22">
        <f t="shared" si="1765"/>
        <v>-28.445788078594717</v>
      </c>
      <c r="BN206" s="22">
        <f t="shared" si="1765"/>
        <v>34.674788078594823</v>
      </c>
      <c r="BO206" s="22">
        <f t="shared" si="1765"/>
        <v>30.354788878635645</v>
      </c>
      <c r="BP206" s="22">
        <f t="shared" si="1765"/>
        <v>-53.789788878635584</v>
      </c>
      <c r="BQ206" s="22">
        <f t="shared" si="1765"/>
        <v>-34.43678830440362</v>
      </c>
      <c r="BR206" s="22">
        <f t="shared" si="1765"/>
        <v>6.8147883044036632</v>
      </c>
      <c r="BS206" s="22">
        <f t="shared" si="1765"/>
        <v>-33.367417186861019</v>
      </c>
      <c r="BT206" s="22">
        <f t="shared" si="1765"/>
        <v>127.45341718686096</v>
      </c>
      <c r="BU206" s="22">
        <f t="shared" si="1765"/>
        <v>-22.716796639180643</v>
      </c>
      <c r="BV206" s="22">
        <f t="shared" si="1765"/>
        <v>-157.12620336081955</v>
      </c>
      <c r="BW206" s="22">
        <f t="shared" si="1765"/>
        <v>-38.14802879107674</v>
      </c>
      <c r="BX206" s="22">
        <f t="shared" si="1765"/>
        <v>-35.231971208923184</v>
      </c>
      <c r="BY206" s="22">
        <f t="shared" si="1765"/>
        <v>-48.488764153774582</v>
      </c>
      <c r="BZ206" s="22">
        <f t="shared" si="1765"/>
        <v>-122.94823584622566</v>
      </c>
      <c r="CA206" s="22">
        <f t="shared" si="1765"/>
        <v>-12.877835631086782</v>
      </c>
      <c r="CB206" s="22">
        <f t="shared" si="1765"/>
        <v>-7.8611643689131085</v>
      </c>
      <c r="CC206" s="22">
        <f t="shared" si="1765"/>
        <v>-29.020938966630183</v>
      </c>
      <c r="CD206" s="22">
        <f t="shared" si="1765"/>
        <v>-144.27406103336958</v>
      </c>
      <c r="CE206" s="22">
        <f t="shared" ref="CE206:CF206" si="1766">CE204-CE205</f>
        <v>-20.084368080552508</v>
      </c>
      <c r="CF206" s="22">
        <f t="shared" si="1766"/>
        <v>-58.168631919447776</v>
      </c>
      <c r="CG206" s="22">
        <f t="shared" ref="CG206:CH206" si="1767">CG204-CG205</f>
        <v>14.532752574113598</v>
      </c>
      <c r="CH206" s="22">
        <f t="shared" si="1767"/>
        <v>35.134847425886761</v>
      </c>
      <c r="CI206" s="22">
        <f t="shared" ref="CI206:CJ206" si="1768">CI204-CI205</f>
        <v>16.024688626235047</v>
      </c>
      <c r="CJ206" s="22">
        <f t="shared" si="1768"/>
        <v>-372.54028862623534</v>
      </c>
      <c r="CK206" s="22">
        <f t="shared" ref="CK206:DB206" si="1769">CK204-CK205</f>
        <v>-47.838281567843637</v>
      </c>
      <c r="CL206" s="22">
        <f t="shared" si="1769"/>
        <v>97.666281567843669</v>
      </c>
      <c r="CM206" s="21">
        <f t="shared" si="1769"/>
        <v>13.425478474011925</v>
      </c>
      <c r="CN206" s="21">
        <f t="shared" si="1769"/>
        <v>-56.597413032267013</v>
      </c>
      <c r="CO206" s="21">
        <f t="shared" si="1769"/>
        <v>-55.577724838371751</v>
      </c>
      <c r="CP206" s="21">
        <f t="shared" si="1769"/>
        <v>-45.674100544609246</v>
      </c>
      <c r="CQ206" s="21">
        <f t="shared" si="1769"/>
        <v>-10.212217913611539</v>
      </c>
      <c r="CR206" s="21">
        <f t="shared" si="1769"/>
        <v>-52.135769038805392</v>
      </c>
      <c r="CS206" s="21">
        <f t="shared" si="1769"/>
        <v>-48.083162538700662</v>
      </c>
      <c r="CT206" s="21">
        <f t="shared" si="1769"/>
        <v>-43.022665564548788</v>
      </c>
      <c r="CU206" s="21">
        <f t="shared" si="1769"/>
        <v>-17.568614254849535</v>
      </c>
      <c r="CV206" s="21">
        <f t="shared" si="1769"/>
        <v>-25.383898551878019</v>
      </c>
      <c r="CW206" s="21">
        <f t="shared" si="1769"/>
        <v>-23.636502778005706</v>
      </c>
      <c r="CX206" s="21">
        <f t="shared" si="1769"/>
        <v>-22.691525775084301</v>
      </c>
      <c r="CY206" s="21">
        <f t="shared" si="1769"/>
        <v>7.857163895910162</v>
      </c>
      <c r="CZ206" s="21">
        <f t="shared" si="1769"/>
        <v>-16.146484735229478</v>
      </c>
      <c r="DA206" s="21">
        <f t="shared" si="1769"/>
        <v>-13.75043291762745</v>
      </c>
      <c r="DB206" s="21">
        <f t="shared" si="1769"/>
        <v>-11.188237862470487</v>
      </c>
      <c r="DE206" s="126"/>
      <c r="DF206" s="22">
        <v>6.0582115392301148</v>
      </c>
    </row>
    <row r="207" spans="1:110" s="22" customFormat="1" x14ac:dyDescent="0.2">
      <c r="A207" s="22" t="s">
        <v>91</v>
      </c>
      <c r="C207" s="22">
        <f t="shared" ref="C207:W207" si="1770">C203+C206</f>
        <v>31.232600000000001</v>
      </c>
      <c r="D207" s="22">
        <f>D203+D206</f>
        <v>10.982900000000006</v>
      </c>
      <c r="E207" s="22">
        <f t="shared" si="1770"/>
        <v>36.520800000000023</v>
      </c>
      <c r="F207" s="22">
        <f t="shared" si="1770"/>
        <v>32.896900000000024</v>
      </c>
      <c r="G207" s="22">
        <f t="shared" si="1770"/>
        <v>42.841199999999979</v>
      </c>
      <c r="H207" s="22">
        <f t="shared" si="1770"/>
        <v>63.953800000000001</v>
      </c>
      <c r="I207" s="22">
        <f t="shared" si="1770"/>
        <v>13.60720000000002</v>
      </c>
      <c r="J207" s="22">
        <f>J203+J206</f>
        <v>76.390299999999954</v>
      </c>
      <c r="K207" s="22">
        <f t="shared" si="1770"/>
        <v>11.221100000000035</v>
      </c>
      <c r="L207" s="22">
        <f t="shared" si="1770"/>
        <v>176.33490000000003</v>
      </c>
      <c r="M207" s="22">
        <f t="shared" si="1770"/>
        <v>179.63169999999994</v>
      </c>
      <c r="N207" s="22">
        <f t="shared" si="1770"/>
        <v>24.138899999999907</v>
      </c>
      <c r="O207" s="22">
        <f t="shared" si="1770"/>
        <v>142.42680000000001</v>
      </c>
      <c r="P207" s="22">
        <f t="shared" si="1770"/>
        <v>153.26079999999996</v>
      </c>
      <c r="Q207" s="22">
        <f t="shared" si="1770"/>
        <v>132.11610000000016</v>
      </c>
      <c r="R207" s="22">
        <f t="shared" si="1770"/>
        <v>98.794900000000098</v>
      </c>
      <c r="S207" s="22">
        <f t="shared" si="1770"/>
        <v>215.0937999999997</v>
      </c>
      <c r="T207" s="22">
        <f t="shared" si="1770"/>
        <v>237.36649999999995</v>
      </c>
      <c r="U207" s="22">
        <f t="shared" si="1770"/>
        <v>346.97949999999992</v>
      </c>
      <c r="V207" s="22">
        <f t="shared" si="1770"/>
        <v>374.70810000000006</v>
      </c>
      <c r="W207" s="22">
        <f t="shared" si="1770"/>
        <v>578.53989999999976</v>
      </c>
      <c r="X207" s="22">
        <f t="shared" ref="X207:Y207" si="1771">X203+X206</f>
        <v>625.04169999999976</v>
      </c>
      <c r="Y207" s="22">
        <f t="shared" si="1771"/>
        <v>730.27340000000004</v>
      </c>
      <c r="Z207" s="22">
        <f t="shared" ref="Z207:AA207" si="1772">Z203+Z206</f>
        <v>670.94259999999952</v>
      </c>
      <c r="AA207" s="22">
        <f t="shared" si="1772"/>
        <v>542.69569999999953</v>
      </c>
      <c r="AB207" s="21">
        <f t="shared" ref="AA207:AD207" si="1773">AB203+AB206</f>
        <v>671.34210857718585</v>
      </c>
      <c r="AC207" s="21">
        <f t="shared" si="1773"/>
        <v>1001.8558630914574</v>
      </c>
      <c r="AD207" s="21">
        <f t="shared" si="1773"/>
        <v>1170.6403217167481</v>
      </c>
      <c r="AE207" s="21">
        <f t="shared" ref="AE207" si="1774">AE203+AE206</f>
        <v>1295.8706815431397</v>
      </c>
      <c r="AI207" s="22">
        <f t="shared" ref="AI207" si="1775">AI203+AI206</f>
        <v>8.09100000000001</v>
      </c>
      <c r="AJ207" s="22">
        <f t="shared" ref="AJ207:AL207" si="1776">AJ203+AJ206</f>
        <v>-95.331999999999979</v>
      </c>
      <c r="AK207" s="22">
        <f t="shared" si="1776"/>
        <v>13.868434653879604</v>
      </c>
      <c r="AL207" s="22">
        <f t="shared" si="1776"/>
        <v>8.4295653461204356</v>
      </c>
      <c r="AM207" s="22">
        <f t="shared" ref="AM207" si="1777">AM203+AM206</f>
        <v>9.4341151182142262</v>
      </c>
      <c r="AN207" s="22">
        <f t="shared" ref="AN207:CD207" si="1778">AN203+AN206</f>
        <v>21.72188488178567</v>
      </c>
      <c r="AO207" s="22">
        <f t="shared" si="1778"/>
        <v>26.517615286624157</v>
      </c>
      <c r="AP207" s="22">
        <f t="shared" si="1778"/>
        <v>84.753384713375851</v>
      </c>
      <c r="AQ207" s="22">
        <f t="shared" si="1778"/>
        <v>38.733107408790737</v>
      </c>
      <c r="AR207" s="22">
        <f t="shared" si="1778"/>
        <v>-15.453107408790746</v>
      </c>
      <c r="AS207" s="22">
        <f t="shared" si="1778"/>
        <v>29.125684456705962</v>
      </c>
      <c r="AT207" s="22">
        <f t="shared" si="1778"/>
        <v>100.85531554329404</v>
      </c>
      <c r="AU207" s="22">
        <f t="shared" si="1778"/>
        <v>36.312156938030782</v>
      </c>
      <c r="AV207" s="22">
        <f t="shared" si="1778"/>
        <v>-39.687156938030753</v>
      </c>
      <c r="AW207" s="22">
        <f t="shared" si="1778"/>
        <v>41.08015070659728</v>
      </c>
      <c r="AX207" s="22">
        <f t="shared" si="1778"/>
        <v>94.4008492934027</v>
      </c>
      <c r="AY207" s="22">
        <f t="shared" si="1778"/>
        <v>48.610165251469624</v>
      </c>
      <c r="AZ207" s="22">
        <f t="shared" si="1778"/>
        <v>-23.368165251469613</v>
      </c>
      <c r="BA207" s="22">
        <f t="shared" si="1778"/>
        <v>48.157177011222217</v>
      </c>
      <c r="BB207" s="22">
        <f t="shared" si="1778"/>
        <v>25.397822988777783</v>
      </c>
      <c r="BC207" s="22">
        <f t="shared" si="1778"/>
        <v>58.50980438046836</v>
      </c>
      <c r="BD207" s="22">
        <f t="shared" si="1778"/>
        <v>-6.5448043804682925</v>
      </c>
      <c r="BE207" s="22">
        <f t="shared" si="1778"/>
        <v>68.951994072844357</v>
      </c>
      <c r="BF207" s="22">
        <f t="shared" si="1778"/>
        <v>94.178005927155596</v>
      </c>
      <c r="BG207" s="22">
        <f t="shared" si="1778"/>
        <v>71.959968695388028</v>
      </c>
      <c r="BH207" s="22">
        <f t="shared" si="1778"/>
        <v>37.493031304611982</v>
      </c>
      <c r="BI207" s="22">
        <f t="shared" si="1778"/>
        <v>77.695478728052748</v>
      </c>
      <c r="BJ207" s="22">
        <f t="shared" si="1778"/>
        <v>50.217521271947149</v>
      </c>
      <c r="BK207" s="22">
        <f t="shared" si="1778"/>
        <v>92.498694982029406</v>
      </c>
      <c r="BL207" s="22">
        <f t="shared" si="1778"/>
        <v>16.913305017970643</v>
      </c>
      <c r="BM207" s="22">
        <f t="shared" si="1778"/>
        <v>58.192211921405288</v>
      </c>
      <c r="BN207" s="22">
        <f t="shared" si="1778"/>
        <v>127.54378807859482</v>
      </c>
      <c r="BO207" s="22">
        <f t="shared" si="1778"/>
        <v>110.05278887863567</v>
      </c>
      <c r="BP207" s="22">
        <f t="shared" si="1778"/>
        <v>36.294211121364405</v>
      </c>
      <c r="BQ207" s="22">
        <f t="shared" si="1778"/>
        <v>81.818211695596361</v>
      </c>
      <c r="BR207" s="22">
        <f t="shared" si="1778"/>
        <v>133.28078830440353</v>
      </c>
      <c r="BS207" s="22">
        <f t="shared" si="1778"/>
        <v>91.923582813138978</v>
      </c>
      <c r="BT207" s="22">
        <f t="shared" si="1778"/>
        <v>266.28341718686102</v>
      </c>
      <c r="BU207" s="22">
        <f t="shared" si="1778"/>
        <v>142.27320336081942</v>
      </c>
      <c r="BV207" s="22">
        <f t="shared" si="1778"/>
        <v>18.76779663918046</v>
      </c>
      <c r="BW207" s="22">
        <f t="shared" si="1778"/>
        <v>163.66597120892331</v>
      </c>
      <c r="BX207" s="22">
        <f t="shared" si="1778"/>
        <v>160.8330287910768</v>
      </c>
      <c r="BY207" s="22">
        <f t="shared" si="1778"/>
        <v>167.6182358462255</v>
      </c>
      <c r="BZ207" s="22">
        <f t="shared" si="1778"/>
        <v>99.645764153774394</v>
      </c>
      <c r="CA207" s="22">
        <f t="shared" si="1778"/>
        <v>197.38516436891331</v>
      </c>
      <c r="CB207" s="22">
        <f t="shared" si="1778"/>
        <v>217.16583563108694</v>
      </c>
      <c r="CC207" s="22">
        <f t="shared" si="1778"/>
        <v>202.86206103336986</v>
      </c>
      <c r="CD207" s="22">
        <f t="shared" si="1778"/>
        <v>80.239938966630319</v>
      </c>
      <c r="CE207" s="22">
        <f t="shared" ref="CE207:CF207" si="1779">CE203+CE206</f>
        <v>191.05663191944754</v>
      </c>
      <c r="CF207" s="22">
        <f t="shared" si="1779"/>
        <v>198.41736808055214</v>
      </c>
      <c r="CG207" s="22">
        <f t="shared" ref="CG207:CH207" si="1780">CG203+CG206</f>
        <v>239.50775257411351</v>
      </c>
      <c r="CH207" s="22">
        <f t="shared" si="1780"/>
        <v>232.24284742588677</v>
      </c>
      <c r="CI207" s="22">
        <f t="shared" ref="CI207:CJ207" si="1781">CI203+CI206</f>
        <v>184.66468862623515</v>
      </c>
      <c r="CJ207" s="22">
        <f t="shared" si="1781"/>
        <v>-194.27428862623532</v>
      </c>
      <c r="CK207" s="22">
        <f t="shared" ref="CK207:DB207" si="1782">CK203+CK206</f>
        <v>83.858718432156365</v>
      </c>
      <c r="CL207" s="22">
        <f t="shared" si="1782"/>
        <v>341.29128156784367</v>
      </c>
      <c r="CM207" s="21">
        <f t="shared" si="1782"/>
        <v>219.68237784198737</v>
      </c>
      <c r="CN207" s="21">
        <f t="shared" si="1782"/>
        <v>169.82745690212985</v>
      </c>
      <c r="CO207" s="21">
        <f t="shared" si="1782"/>
        <v>193.7886312397838</v>
      </c>
      <c r="CP207" s="21">
        <f t="shared" si="1782"/>
        <v>215.19694259328492</v>
      </c>
      <c r="CQ207" s="21">
        <f t="shared" si="1782"/>
        <v>252.71401939686587</v>
      </c>
      <c r="CR207" s="21">
        <f t="shared" si="1782"/>
        <v>229.11986799646917</v>
      </c>
      <c r="CS207" s="21">
        <f t="shared" si="1782"/>
        <v>250.14681307412502</v>
      </c>
      <c r="CT207" s="21">
        <f t="shared" si="1782"/>
        <v>269.87516262399674</v>
      </c>
      <c r="CU207" s="21">
        <f t="shared" si="1782"/>
        <v>286.10215614032688</v>
      </c>
      <c r="CV207" s="21">
        <f t="shared" si="1782"/>
        <v>286.67219396467209</v>
      </c>
      <c r="CW207" s="21">
        <f t="shared" si="1782"/>
        <v>295.52515511635164</v>
      </c>
      <c r="CX207" s="21">
        <f t="shared" si="1782"/>
        <v>302.34081649539729</v>
      </c>
      <c r="CY207" s="21">
        <f t="shared" si="1782"/>
        <v>332.20658193166577</v>
      </c>
      <c r="CZ207" s="21">
        <f t="shared" si="1782"/>
        <v>314.07486646139603</v>
      </c>
      <c r="DA207" s="21">
        <f t="shared" si="1782"/>
        <v>321.36903178563</v>
      </c>
      <c r="DB207" s="21">
        <f t="shared" si="1782"/>
        <v>328.22020136444758</v>
      </c>
      <c r="DE207" s="126"/>
      <c r="DF207" s="22">
        <v>207.8824946452234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2" customFormat="1" x14ac:dyDescent="0.2">
      <c r="A209" s="22" t="s">
        <v>92</v>
      </c>
      <c r="C209" s="22">
        <f t="shared" ref="C209:W209" si="1783">C210+C211</f>
        <v>-3.8810000000000002</v>
      </c>
      <c r="D209" s="22">
        <f>D210+D211</f>
        <v>-5.7040000000000006</v>
      </c>
      <c r="E209" s="22">
        <f t="shared" si="1783"/>
        <v>-6.8861999999999952</v>
      </c>
      <c r="F209" s="22">
        <f t="shared" si="1783"/>
        <v>-16.34640000000001</v>
      </c>
      <c r="G209" s="22">
        <f t="shared" si="1783"/>
        <v>-19.313399999999987</v>
      </c>
      <c r="H209" s="22">
        <f t="shared" si="1783"/>
        <v>-32.904000000000011</v>
      </c>
      <c r="I209" s="22">
        <f t="shared" si="1783"/>
        <v>-41.292599999999993</v>
      </c>
      <c r="J209" s="22">
        <f t="shared" si="1783"/>
        <v>-13.82119999999999</v>
      </c>
      <c r="K209" s="22">
        <f t="shared" si="1783"/>
        <v>-8.6388000000000034</v>
      </c>
      <c r="L209" s="22">
        <f t="shared" si="1783"/>
        <v>-29.378500000000017</v>
      </c>
      <c r="M209" s="22">
        <f t="shared" si="1783"/>
        <v>-28.257999999999996</v>
      </c>
      <c r="N209" s="22">
        <f t="shared" si="1783"/>
        <v>-33.792900000000003</v>
      </c>
      <c r="O209" s="22">
        <f t="shared" si="1783"/>
        <v>-24.035899999999998</v>
      </c>
      <c r="P209" s="22">
        <f t="shared" si="1783"/>
        <v>-17.159399999999991</v>
      </c>
      <c r="Q209" s="22">
        <f t="shared" si="1783"/>
        <v>-30.373600000000039</v>
      </c>
      <c r="R209" s="22">
        <f t="shared" si="1783"/>
        <v>-26.9161</v>
      </c>
      <c r="S209" s="22">
        <f t="shared" si="1783"/>
        <v>-12.918300000000002</v>
      </c>
      <c r="T209" s="22">
        <f t="shared" si="1783"/>
        <v>-30.328999999999994</v>
      </c>
      <c r="U209" s="22">
        <f t="shared" si="1783"/>
        <v>-89.751900000000035</v>
      </c>
      <c r="V209" s="22">
        <f t="shared" si="1783"/>
        <v>-73.327299999999951</v>
      </c>
      <c r="W209" s="22">
        <f t="shared" si="1783"/>
        <v>-172.01060000000001</v>
      </c>
      <c r="X209" s="22">
        <f t="shared" ref="X209:Y209" si="1784">X210+X211</f>
        <v>-128.36879999999996</v>
      </c>
      <c r="Y209" s="22">
        <f t="shared" si="1784"/>
        <v>-157.0067</v>
      </c>
      <c r="Z209" s="22">
        <f t="shared" ref="Z209:AA209" si="1785">Z210+Z211</f>
        <v>-26.396000000000015</v>
      </c>
      <c r="AA209" s="22">
        <f t="shared" si="1785"/>
        <v>-33.3964</v>
      </c>
      <c r="AB209" s="21">
        <f t="shared" ref="AA209:AD209" si="1786">AB210+AB211</f>
        <v>-72.84810000000013</v>
      </c>
      <c r="AC209" s="21">
        <f t="shared" si="1786"/>
        <v>-199.99999999999991</v>
      </c>
      <c r="AD209" s="21">
        <f t="shared" si="1786"/>
        <v>0</v>
      </c>
      <c r="AE209" s="21">
        <f t="shared" ref="AE209" si="1787">AE210+AE211</f>
        <v>0</v>
      </c>
      <c r="AI209" s="22">
        <f t="shared" ref="AI209" si="1788">AI210+AI211</f>
        <v>-5.4779999999999998</v>
      </c>
      <c r="AJ209" s="22">
        <f t="shared" ref="AJ209:AL209" si="1789">AJ210+AJ211</f>
        <v>-123.47500000000001</v>
      </c>
      <c r="AK209" s="22">
        <f t="shared" si="1789"/>
        <v>-6.1509999999999962</v>
      </c>
      <c r="AL209" s="22">
        <f t="shared" si="1789"/>
        <v>-9.0250000000000057</v>
      </c>
      <c r="AM209" s="22">
        <f t="shared" ref="AM209" si="1790">AM210+AM211</f>
        <v>-5.7579999999999956</v>
      </c>
      <c r="AN209" s="22">
        <f t="shared" ref="AN209:CD209" si="1791">AN210+AN211</f>
        <v>-4.4649999999999892</v>
      </c>
      <c r="AO209" s="22">
        <f t="shared" si="1791"/>
        <v>-9.2650000000000006</v>
      </c>
      <c r="AP209" s="22">
        <f t="shared" si="1791"/>
        <v>-4.5480000000000018</v>
      </c>
      <c r="AQ209" s="22">
        <f t="shared" si="1791"/>
        <v>-8.9699999999999989</v>
      </c>
      <c r="AR209" s="22">
        <f t="shared" si="1791"/>
        <v>2.7270000000000039</v>
      </c>
      <c r="AS209" s="22">
        <f t="shared" si="1791"/>
        <v>-7.2810000000000059</v>
      </c>
      <c r="AT209" s="22">
        <f t="shared" si="1791"/>
        <v>-3.6340000000000003</v>
      </c>
      <c r="AU209" s="22">
        <f t="shared" si="1791"/>
        <v>-5.2710000000000008</v>
      </c>
      <c r="AV209" s="22">
        <f t="shared" si="1791"/>
        <v>-10.655000000000001</v>
      </c>
      <c r="AW209" s="22">
        <f t="shared" si="1791"/>
        <v>-5.7240000000000038</v>
      </c>
      <c r="AX209" s="22">
        <f t="shared" si="1791"/>
        <v>-8.7240000000000038</v>
      </c>
      <c r="AY209" s="22">
        <f t="shared" si="1791"/>
        <v>-6.7450000000000045</v>
      </c>
      <c r="AZ209" s="22">
        <f t="shared" si="1791"/>
        <v>-9.1110000000000042</v>
      </c>
      <c r="BA209" s="22">
        <f t="shared" si="1791"/>
        <v>-6.9309999999999974</v>
      </c>
      <c r="BB209" s="22">
        <f t="shared" si="1791"/>
        <v>-4.1300000000000097</v>
      </c>
      <c r="BC209" s="22">
        <f t="shared" si="1791"/>
        <v>-6.4809999999999945</v>
      </c>
      <c r="BD209" s="22">
        <f t="shared" si="1791"/>
        <v>1.7740000000000009</v>
      </c>
      <c r="BE209" s="22">
        <f t="shared" si="1791"/>
        <v>-6.2849999999999966</v>
      </c>
      <c r="BF209" s="22">
        <f t="shared" si="1791"/>
        <v>-1.9259999999999877</v>
      </c>
      <c r="BG209" s="22">
        <f t="shared" si="1791"/>
        <v>-6.1039999999999992</v>
      </c>
      <c r="BH209" s="22">
        <f t="shared" si="1791"/>
        <v>-6.1359999999999957</v>
      </c>
      <c r="BI209" s="22">
        <f t="shared" si="1791"/>
        <v>-6.2169999999999987</v>
      </c>
      <c r="BJ209" s="22">
        <f t="shared" si="1791"/>
        <v>-11.871999999999986</v>
      </c>
      <c r="BK209" s="22">
        <f t="shared" si="1791"/>
        <v>-10.447000000000003</v>
      </c>
      <c r="BL209" s="22">
        <f t="shared" si="1791"/>
        <v>-61.005000000000024</v>
      </c>
      <c r="BM209" s="22">
        <f t="shared" si="1791"/>
        <v>-11.217000000000013</v>
      </c>
      <c r="BN209" s="22">
        <f t="shared" si="1791"/>
        <v>44.751000000000005</v>
      </c>
      <c r="BO209" s="22">
        <f t="shared" si="1791"/>
        <v>-10.823999999999998</v>
      </c>
      <c r="BP209" s="22">
        <f t="shared" si="1791"/>
        <v>-10.732000000000014</v>
      </c>
      <c r="BQ209" s="22">
        <f t="shared" si="1791"/>
        <v>-11.052999999999997</v>
      </c>
      <c r="BR209" s="22">
        <f t="shared" si="1791"/>
        <v>-27.456000000000003</v>
      </c>
      <c r="BS209" s="22">
        <f t="shared" si="1791"/>
        <v>-11.915999999999997</v>
      </c>
      <c r="BT209" s="22">
        <f t="shared" si="1791"/>
        <v>-25.873999999999995</v>
      </c>
      <c r="BU209" s="22">
        <f t="shared" si="1791"/>
        <v>-14.039999999999992</v>
      </c>
      <c r="BV209" s="22">
        <f t="shared" si="1791"/>
        <v>-60.89100000000002</v>
      </c>
      <c r="BW209" s="22">
        <f t="shared" si="1791"/>
        <v>-17.092999999999989</v>
      </c>
      <c r="BX209" s="22">
        <f t="shared" si="1791"/>
        <v>-43.088999999999999</v>
      </c>
      <c r="BY209" s="22">
        <f t="shared" si="1791"/>
        <v>-21.430000000000007</v>
      </c>
      <c r="BZ209" s="22">
        <f t="shared" si="1791"/>
        <v>-13.482000000000028</v>
      </c>
      <c r="CA209" s="22">
        <f t="shared" si="1791"/>
        <v>-21.409999999999997</v>
      </c>
      <c r="CB209" s="22">
        <f t="shared" si="1791"/>
        <v>-27.867999999999995</v>
      </c>
      <c r="CC209" s="22">
        <f t="shared" si="1791"/>
        <v>-25.449999999999989</v>
      </c>
      <c r="CD209" s="22">
        <f t="shared" si="1791"/>
        <v>-49.655999999999977</v>
      </c>
      <c r="CE209" s="22">
        <f t="shared" ref="CE209:CF209" si="1792">CE210+CE211</f>
        <v>-27.061000000000007</v>
      </c>
      <c r="CF209" s="22">
        <f t="shared" si="1792"/>
        <v>-5.6640000000000157</v>
      </c>
      <c r="CG209" s="22">
        <f t="shared" ref="CG209:CH209" si="1793">CG210+CG211</f>
        <v>-25.967000000000013</v>
      </c>
      <c r="CH209" s="22">
        <f t="shared" si="1793"/>
        <v>-157.98519999999994</v>
      </c>
      <c r="CI209" s="22">
        <f t="shared" ref="CI209:CJ209" si="1794">CI210+CI211</f>
        <v>0</v>
      </c>
      <c r="CJ209" s="22">
        <f t="shared" si="1794"/>
        <v>128.99219999999997</v>
      </c>
      <c r="CK209" s="22">
        <f t="shared" ref="CK209:DB209" si="1795">CK210+CK211</f>
        <v>-50.000000000000043</v>
      </c>
      <c r="CL209" s="22">
        <f t="shared" si="1795"/>
        <v>14.763000000000034</v>
      </c>
      <c r="CM209" s="21">
        <f t="shared" si="1795"/>
        <v>-50.000000000000028</v>
      </c>
      <c r="CN209" s="21">
        <f t="shared" si="1795"/>
        <v>-50</v>
      </c>
      <c r="CO209" s="21">
        <f t="shared" si="1795"/>
        <v>-50.000000000000028</v>
      </c>
      <c r="CP209" s="21">
        <f t="shared" si="1795"/>
        <v>-50.000000000000028</v>
      </c>
      <c r="CQ209" s="21">
        <f t="shared" si="1795"/>
        <v>-49.999999999999972</v>
      </c>
      <c r="CR209" s="21">
        <f t="shared" si="1795"/>
        <v>-50</v>
      </c>
      <c r="CS209" s="21">
        <f t="shared" si="1795"/>
        <v>-49.999999999999943</v>
      </c>
      <c r="CT209" s="21">
        <f t="shared" si="1795"/>
        <v>-50</v>
      </c>
      <c r="CU209" s="21">
        <f t="shared" si="1795"/>
        <v>0</v>
      </c>
      <c r="CV209" s="21">
        <f t="shared" si="1795"/>
        <v>0</v>
      </c>
      <c r="CW209" s="21">
        <f t="shared" si="1795"/>
        <v>0</v>
      </c>
      <c r="CX209" s="21">
        <f t="shared" si="1795"/>
        <v>0</v>
      </c>
      <c r="CY209" s="21">
        <f t="shared" si="1795"/>
        <v>0</v>
      </c>
      <c r="CZ209" s="21">
        <f t="shared" si="1795"/>
        <v>0</v>
      </c>
      <c r="DA209" s="21">
        <f t="shared" si="1795"/>
        <v>0</v>
      </c>
      <c r="DB209" s="21">
        <f t="shared" si="1795"/>
        <v>0</v>
      </c>
      <c r="DE209" s="126"/>
      <c r="DF209" s="22">
        <v>-50</v>
      </c>
    </row>
    <row r="210" spans="1:110" s="23" customFormat="1" x14ac:dyDescent="0.2">
      <c r="A210" s="23" t="s">
        <v>93</v>
      </c>
      <c r="C210" s="23">
        <f t="shared" ref="C210:AA210" si="1796">B148-C148</f>
        <v>0</v>
      </c>
      <c r="D210" s="23">
        <f t="shared" si="1796"/>
        <v>0</v>
      </c>
      <c r="E210" s="23">
        <f>D148-E148</f>
        <v>0</v>
      </c>
      <c r="F210" s="23">
        <f t="shared" si="1796"/>
        <v>0</v>
      </c>
      <c r="G210" s="23">
        <f t="shared" si="1796"/>
        <v>0</v>
      </c>
      <c r="H210" s="23">
        <f t="shared" si="1796"/>
        <v>0</v>
      </c>
      <c r="I210" s="23">
        <f t="shared" si="1796"/>
        <v>0</v>
      </c>
      <c r="J210" s="23">
        <f>I148-J148</f>
        <v>0</v>
      </c>
      <c r="K210" s="23">
        <f>J148-K148</f>
        <v>0</v>
      </c>
      <c r="L210" s="23">
        <f t="shared" si="1796"/>
        <v>0</v>
      </c>
      <c r="M210" s="23">
        <f t="shared" si="1796"/>
        <v>0</v>
      </c>
      <c r="N210" s="23">
        <f t="shared" si="1796"/>
        <v>0</v>
      </c>
      <c r="O210" s="23">
        <f t="shared" si="1796"/>
        <v>0</v>
      </c>
      <c r="P210" s="23">
        <f t="shared" si="1796"/>
        <v>0</v>
      </c>
      <c r="Q210" s="23">
        <f t="shared" si="1796"/>
        <v>0</v>
      </c>
      <c r="R210" s="23">
        <f t="shared" si="1796"/>
        <v>0</v>
      </c>
      <c r="S210" s="23">
        <f t="shared" si="1796"/>
        <v>0</v>
      </c>
      <c r="T210" s="23">
        <f t="shared" si="1796"/>
        <v>0</v>
      </c>
      <c r="U210" s="23">
        <f t="shared" si="1796"/>
        <v>0</v>
      </c>
      <c r="V210" s="23">
        <f t="shared" si="1796"/>
        <v>0</v>
      </c>
      <c r="W210" s="23">
        <f t="shared" si="1796"/>
        <v>0</v>
      </c>
      <c r="X210" s="23">
        <f t="shared" si="1796"/>
        <v>0</v>
      </c>
      <c r="Y210" s="23">
        <f t="shared" si="1796"/>
        <v>0</v>
      </c>
      <c r="Z210" s="23">
        <f t="shared" si="1796"/>
        <v>0</v>
      </c>
      <c r="AA210" s="23">
        <f t="shared" si="1796"/>
        <v>0</v>
      </c>
      <c r="AB210" s="24">
        <f t="shared" ref="AB210" si="1797">AA148-AB148</f>
        <v>0</v>
      </c>
      <c r="AC210" s="24">
        <f t="shared" ref="AC210" si="1798">AB148-AC148</f>
        <v>0</v>
      </c>
      <c r="AD210" s="24">
        <f t="shared" ref="AD210" si="1799">AC148-AD148</f>
        <v>0</v>
      </c>
      <c r="AE210" s="24">
        <f t="shared" ref="AE210" si="1800">AD148-AE148</f>
        <v>0</v>
      </c>
      <c r="AI210" s="23">
        <f t="shared" ref="AI210" si="1801">AH148-AI148</f>
        <v>0</v>
      </c>
      <c r="AJ210" s="23">
        <f t="shared" ref="AJ210" si="1802">AI148-AJ148</f>
        <v>0</v>
      </c>
      <c r="AK210" s="23">
        <f t="shared" ref="AK210" si="1803">AJ148-AK148</f>
        <v>0</v>
      </c>
      <c r="AL210" s="23">
        <f t="shared" ref="AL210" si="1804">AK148-AL148</f>
        <v>0</v>
      </c>
      <c r="AM210" s="23">
        <f t="shared" ref="AM210" si="1805">AL148-AM148</f>
        <v>0</v>
      </c>
      <c r="AN210" s="23">
        <f t="shared" ref="AN210" si="1806">AM148-AN148</f>
        <v>0</v>
      </c>
      <c r="AO210" s="23">
        <f t="shared" ref="AO210" si="1807">AN148-AO148</f>
        <v>0</v>
      </c>
      <c r="AP210" s="23">
        <f t="shared" ref="AP210" si="1808">AO148-AP148</f>
        <v>0</v>
      </c>
      <c r="AQ210" s="23">
        <f t="shared" ref="AQ210" si="1809">AP148-AQ148</f>
        <v>0</v>
      </c>
      <c r="AR210" s="23">
        <f t="shared" ref="AR210" si="1810">AQ148-AR148</f>
        <v>0</v>
      </c>
      <c r="AS210" s="23">
        <f t="shared" ref="AS210" si="1811">AR148-AS148</f>
        <v>0</v>
      </c>
      <c r="AT210" s="23">
        <f t="shared" ref="AT210" si="1812">AS148-AT148</f>
        <v>0</v>
      </c>
      <c r="AU210" s="23">
        <f t="shared" ref="AU210" si="1813">AT148-AU148</f>
        <v>0</v>
      </c>
      <c r="AV210" s="23">
        <f t="shared" ref="AV210" si="1814">AU148-AV148</f>
        <v>0</v>
      </c>
      <c r="AW210" s="23">
        <f t="shared" ref="AW210" si="1815">AV148-AW148</f>
        <v>0</v>
      </c>
      <c r="AX210" s="23">
        <f t="shared" ref="AX210" si="1816">AW148-AX148</f>
        <v>0</v>
      </c>
      <c r="AY210" s="23">
        <f t="shared" ref="AY210" si="1817">AX148-AY148</f>
        <v>0</v>
      </c>
      <c r="AZ210" s="23">
        <f t="shared" ref="AZ210" si="1818">AY148-AZ148</f>
        <v>0</v>
      </c>
      <c r="BA210" s="23">
        <f t="shared" ref="BA210" si="1819">AZ148-BA148</f>
        <v>0</v>
      </c>
      <c r="BB210" s="23">
        <f t="shared" ref="BB210" si="1820">BA148-BB148</f>
        <v>0</v>
      </c>
      <c r="BC210" s="23">
        <f t="shared" ref="BC210" si="1821">BB148-BC148</f>
        <v>0</v>
      </c>
      <c r="BD210" s="23">
        <f t="shared" ref="BD210" si="1822">BC148-BD148</f>
        <v>0</v>
      </c>
      <c r="BE210" s="23">
        <f t="shared" ref="BE210" si="1823">BD148-BE148</f>
        <v>0</v>
      </c>
      <c r="BF210" s="23">
        <f t="shared" ref="BF210" si="1824">BE148-BF148</f>
        <v>0</v>
      </c>
      <c r="BG210" s="23">
        <f t="shared" ref="BG210" si="1825">BF148-BG148</f>
        <v>0</v>
      </c>
      <c r="BH210" s="23">
        <f t="shared" ref="BH210" si="1826">BG148-BH148</f>
        <v>0</v>
      </c>
      <c r="BI210" s="23">
        <f t="shared" ref="BI210" si="1827">BH148-BI148</f>
        <v>0</v>
      </c>
      <c r="BJ210" s="23">
        <f t="shared" ref="BJ210" si="1828">BI148-BJ148</f>
        <v>0</v>
      </c>
      <c r="BK210" s="23">
        <f t="shared" ref="BK210" si="1829">BJ148-BK148</f>
        <v>0</v>
      </c>
      <c r="BL210" s="23">
        <f t="shared" ref="BL210" si="1830">BK148-BL148</f>
        <v>0</v>
      </c>
      <c r="BM210" s="23">
        <f t="shared" ref="BM210" si="1831">BL148-BM148</f>
        <v>0</v>
      </c>
      <c r="BN210" s="23">
        <f t="shared" ref="BN210" si="1832">BM148-BN148</f>
        <v>0</v>
      </c>
      <c r="BO210" s="23">
        <f t="shared" ref="BO210" si="1833">BN148-BO148</f>
        <v>0</v>
      </c>
      <c r="BP210" s="23">
        <f t="shared" ref="BP210" si="1834">BO148-BP148</f>
        <v>0</v>
      </c>
      <c r="BQ210" s="23">
        <f t="shared" ref="BQ210" si="1835">BP148-BQ148</f>
        <v>0</v>
      </c>
      <c r="BR210" s="23">
        <f t="shared" ref="BR210" si="1836">BQ148-BR148</f>
        <v>0</v>
      </c>
      <c r="BS210" s="23">
        <f t="shared" ref="BS210" si="1837">BR148-BS148</f>
        <v>0</v>
      </c>
      <c r="BT210" s="23">
        <f t="shared" ref="BT210" si="1838">BS148-BT148</f>
        <v>0</v>
      </c>
      <c r="BU210" s="23">
        <f t="shared" ref="BU210" si="1839">BT148-BU148</f>
        <v>0</v>
      </c>
      <c r="BV210" s="23">
        <f t="shared" ref="BV210" si="1840">BU148-BV148</f>
        <v>0</v>
      </c>
      <c r="BW210" s="23">
        <f t="shared" ref="BW210" si="1841">BV148-BW148</f>
        <v>0</v>
      </c>
      <c r="BX210" s="23">
        <f t="shared" ref="BX210" si="1842">BW148-BX148</f>
        <v>0</v>
      </c>
      <c r="BY210" s="23">
        <f t="shared" ref="BY210" si="1843">BX148-BY148</f>
        <v>0</v>
      </c>
      <c r="BZ210" s="23">
        <f t="shared" ref="BZ210" si="1844">BY148-BZ148</f>
        <v>0</v>
      </c>
      <c r="CA210" s="23">
        <f t="shared" ref="CA210" si="1845">BZ148-CA148</f>
        <v>0</v>
      </c>
      <c r="CB210" s="23">
        <f t="shared" ref="CB210" si="1846">CA148-CB148</f>
        <v>0</v>
      </c>
      <c r="CC210" s="23">
        <f t="shared" ref="CC210" si="1847">CB148-CC148</f>
        <v>0</v>
      </c>
      <c r="CD210" s="23">
        <f t="shared" ref="CD210" si="1848">CC148-CD148</f>
        <v>0</v>
      </c>
      <c r="CE210" s="23">
        <f t="shared" ref="CE210" si="1849">CD148-CE148</f>
        <v>0</v>
      </c>
      <c r="CF210" s="23">
        <f t="shared" ref="CF210" si="1850">CE148-CF148</f>
        <v>0</v>
      </c>
      <c r="CG210" s="23">
        <f t="shared" ref="CG210" si="1851">CF148-CG148</f>
        <v>0</v>
      </c>
      <c r="CH210" s="23">
        <f t="shared" ref="CH210:CL210" si="1852">CG148-CH148</f>
        <v>0</v>
      </c>
      <c r="CI210" s="23">
        <f t="shared" si="1852"/>
        <v>0</v>
      </c>
      <c r="CJ210" s="23">
        <f t="shared" si="1852"/>
        <v>0</v>
      </c>
      <c r="CK210" s="23">
        <f t="shared" ref="CK210" si="1853">CJ148-CK148</f>
        <v>0</v>
      </c>
      <c r="CL210" s="23">
        <f t="shared" si="1852"/>
        <v>0</v>
      </c>
      <c r="CM210" s="24">
        <f t="shared" ref="CM210" si="1854">CL148-CM148</f>
        <v>0</v>
      </c>
      <c r="CN210" s="24">
        <f t="shared" ref="CN210" si="1855">CM148-CN148</f>
        <v>0</v>
      </c>
      <c r="CO210" s="24">
        <f t="shared" ref="CO210" si="1856">CN148-CO148</f>
        <v>0</v>
      </c>
      <c r="CP210" s="24">
        <f t="shared" ref="CP210" si="1857">CO148-CP148</f>
        <v>0</v>
      </c>
      <c r="CQ210" s="24">
        <f t="shared" ref="CQ210" si="1858">CP148-CQ148</f>
        <v>0</v>
      </c>
      <c r="CR210" s="24">
        <f t="shared" ref="CR210" si="1859">CQ148-CR148</f>
        <v>0</v>
      </c>
      <c r="CS210" s="24">
        <f t="shared" ref="CS210" si="1860">CR148-CS148</f>
        <v>0</v>
      </c>
      <c r="CT210" s="24">
        <f t="shared" ref="CT210" si="1861">CS148-CT148</f>
        <v>0</v>
      </c>
      <c r="CU210" s="24">
        <f t="shared" ref="CU210" si="1862">CT148-CU148</f>
        <v>0</v>
      </c>
      <c r="CV210" s="24">
        <f t="shared" ref="CV210" si="1863">CU148-CV148</f>
        <v>0</v>
      </c>
      <c r="CW210" s="24">
        <f t="shared" ref="CW210" si="1864">CV148-CW148</f>
        <v>0</v>
      </c>
      <c r="CX210" s="24">
        <f t="shared" ref="CX210" si="1865">CW148-CX148</f>
        <v>0</v>
      </c>
      <c r="CY210" s="24">
        <f t="shared" ref="CY210" si="1866">CX148-CY148</f>
        <v>0</v>
      </c>
      <c r="CZ210" s="24">
        <f t="shared" ref="CZ210" si="1867">CY148-CZ148</f>
        <v>0</v>
      </c>
      <c r="DA210" s="24">
        <f t="shared" ref="DA210" si="1868">CZ148-DA148</f>
        <v>0</v>
      </c>
      <c r="DB210" s="24">
        <f t="shared" ref="DB210" si="1869">DA148-DB148</f>
        <v>0</v>
      </c>
      <c r="DE210" s="123"/>
      <c r="DF210" s="23">
        <v>0</v>
      </c>
    </row>
    <row r="211" spans="1:110" s="23" customFormat="1" x14ac:dyDescent="0.2">
      <c r="A211" s="23" t="s">
        <v>94</v>
      </c>
      <c r="C211" s="23">
        <f t="shared" ref="C211:AE211" si="1870">B146-C40-C146</f>
        <v>-3.8810000000000002</v>
      </c>
      <c r="D211" s="23">
        <f t="shared" si="1870"/>
        <v>-5.7040000000000006</v>
      </c>
      <c r="E211" s="23">
        <f t="shared" si="1870"/>
        <v>-6.8861999999999952</v>
      </c>
      <c r="F211" s="23">
        <f t="shared" si="1870"/>
        <v>-16.34640000000001</v>
      </c>
      <c r="G211" s="23">
        <f t="shared" si="1870"/>
        <v>-19.313399999999987</v>
      </c>
      <c r="H211" s="23">
        <f t="shared" si="1870"/>
        <v>-32.904000000000011</v>
      </c>
      <c r="I211" s="23">
        <f t="shared" si="1870"/>
        <v>-41.292599999999993</v>
      </c>
      <c r="J211" s="23">
        <f t="shared" si="1870"/>
        <v>-13.82119999999999</v>
      </c>
      <c r="K211" s="23">
        <f t="shared" si="1870"/>
        <v>-8.6388000000000034</v>
      </c>
      <c r="L211" s="23">
        <f t="shared" si="1870"/>
        <v>-29.378500000000017</v>
      </c>
      <c r="M211" s="23">
        <f t="shared" si="1870"/>
        <v>-28.257999999999996</v>
      </c>
      <c r="N211" s="23">
        <f t="shared" si="1870"/>
        <v>-33.792900000000003</v>
      </c>
      <c r="O211" s="23">
        <f t="shared" si="1870"/>
        <v>-24.035899999999998</v>
      </c>
      <c r="P211" s="23">
        <f t="shared" si="1870"/>
        <v>-17.159399999999991</v>
      </c>
      <c r="Q211" s="23">
        <f t="shared" si="1870"/>
        <v>-30.373600000000039</v>
      </c>
      <c r="R211" s="23">
        <f t="shared" si="1870"/>
        <v>-26.9161</v>
      </c>
      <c r="S211" s="23">
        <f t="shared" si="1870"/>
        <v>-12.918300000000002</v>
      </c>
      <c r="T211" s="23">
        <f t="shared" si="1870"/>
        <v>-30.328999999999994</v>
      </c>
      <c r="U211" s="23">
        <f t="shared" si="1870"/>
        <v>-89.751900000000035</v>
      </c>
      <c r="V211" s="23">
        <f t="shared" si="1870"/>
        <v>-73.327299999999951</v>
      </c>
      <c r="W211" s="23">
        <f t="shared" si="1870"/>
        <v>-172.01060000000001</v>
      </c>
      <c r="X211" s="23">
        <f t="shared" si="1870"/>
        <v>-128.36879999999996</v>
      </c>
      <c r="Y211" s="23">
        <f t="shared" si="1870"/>
        <v>-157.0067</v>
      </c>
      <c r="Z211" s="23">
        <f t="shared" si="1870"/>
        <v>-26.396000000000015</v>
      </c>
      <c r="AA211" s="23">
        <f t="shared" si="1870"/>
        <v>-33.3964</v>
      </c>
      <c r="AB211" s="24">
        <f t="shared" si="1870"/>
        <v>-72.84810000000013</v>
      </c>
      <c r="AC211" s="24">
        <f t="shared" si="1870"/>
        <v>-199.99999999999991</v>
      </c>
      <c r="AD211" s="24">
        <f t="shared" si="1870"/>
        <v>0</v>
      </c>
      <c r="AE211" s="24">
        <f t="shared" si="1870"/>
        <v>0</v>
      </c>
      <c r="AI211" s="23">
        <f t="shared" ref="AI211:BN211" si="1871">AH146-AI40-AI146</f>
        <v>-5.4779999999999998</v>
      </c>
      <c r="AJ211" s="23">
        <f t="shared" si="1871"/>
        <v>-123.47500000000001</v>
      </c>
      <c r="AK211" s="23">
        <f t="shared" si="1871"/>
        <v>-6.1509999999999962</v>
      </c>
      <c r="AL211" s="23">
        <f t="shared" si="1871"/>
        <v>-9.0250000000000057</v>
      </c>
      <c r="AM211" s="23">
        <f t="shared" si="1871"/>
        <v>-5.7579999999999956</v>
      </c>
      <c r="AN211" s="23">
        <f t="shared" si="1871"/>
        <v>-4.4649999999999892</v>
      </c>
      <c r="AO211" s="23">
        <f t="shared" si="1871"/>
        <v>-9.2650000000000006</v>
      </c>
      <c r="AP211" s="23">
        <f t="shared" si="1871"/>
        <v>-4.5480000000000018</v>
      </c>
      <c r="AQ211" s="23">
        <f t="shared" si="1871"/>
        <v>-8.9699999999999989</v>
      </c>
      <c r="AR211" s="23">
        <f t="shared" si="1871"/>
        <v>2.7270000000000039</v>
      </c>
      <c r="AS211" s="23">
        <f t="shared" si="1871"/>
        <v>-7.2810000000000059</v>
      </c>
      <c r="AT211" s="23">
        <f t="shared" si="1871"/>
        <v>-3.6340000000000003</v>
      </c>
      <c r="AU211" s="23">
        <f t="shared" si="1871"/>
        <v>-5.2710000000000008</v>
      </c>
      <c r="AV211" s="23">
        <f t="shared" si="1871"/>
        <v>-10.655000000000001</v>
      </c>
      <c r="AW211" s="23">
        <f t="shared" si="1871"/>
        <v>-5.7240000000000038</v>
      </c>
      <c r="AX211" s="23">
        <f t="shared" si="1871"/>
        <v>-8.7240000000000038</v>
      </c>
      <c r="AY211" s="23">
        <f t="shared" si="1871"/>
        <v>-6.7450000000000045</v>
      </c>
      <c r="AZ211" s="23">
        <f t="shared" si="1871"/>
        <v>-9.1110000000000042</v>
      </c>
      <c r="BA211" s="23">
        <f t="shared" si="1871"/>
        <v>-6.9309999999999974</v>
      </c>
      <c r="BB211" s="23">
        <f t="shared" si="1871"/>
        <v>-4.1300000000000097</v>
      </c>
      <c r="BC211" s="23">
        <f t="shared" si="1871"/>
        <v>-6.4809999999999945</v>
      </c>
      <c r="BD211" s="23">
        <f t="shared" si="1871"/>
        <v>1.7740000000000009</v>
      </c>
      <c r="BE211" s="23">
        <f t="shared" si="1871"/>
        <v>-6.2849999999999966</v>
      </c>
      <c r="BF211" s="23">
        <f t="shared" si="1871"/>
        <v>-1.9259999999999877</v>
      </c>
      <c r="BG211" s="23">
        <f t="shared" si="1871"/>
        <v>-6.1039999999999992</v>
      </c>
      <c r="BH211" s="23">
        <f t="shared" si="1871"/>
        <v>-6.1359999999999957</v>
      </c>
      <c r="BI211" s="23">
        <f t="shared" si="1871"/>
        <v>-6.2169999999999987</v>
      </c>
      <c r="BJ211" s="23">
        <f t="shared" si="1871"/>
        <v>-11.871999999999986</v>
      </c>
      <c r="BK211" s="23">
        <f t="shared" si="1871"/>
        <v>-10.447000000000003</v>
      </c>
      <c r="BL211" s="23">
        <f t="shared" si="1871"/>
        <v>-61.005000000000024</v>
      </c>
      <c r="BM211" s="23">
        <f t="shared" si="1871"/>
        <v>-11.217000000000013</v>
      </c>
      <c r="BN211" s="23">
        <f t="shared" si="1871"/>
        <v>44.751000000000005</v>
      </c>
      <c r="BO211" s="23">
        <f t="shared" ref="BO211:CT211" si="1872">BN146-BO40-BO146</f>
        <v>-10.823999999999998</v>
      </c>
      <c r="BP211" s="23">
        <f t="shared" si="1872"/>
        <v>-10.732000000000014</v>
      </c>
      <c r="BQ211" s="23">
        <f t="shared" si="1872"/>
        <v>-11.052999999999997</v>
      </c>
      <c r="BR211" s="23">
        <f t="shared" si="1872"/>
        <v>-27.456000000000003</v>
      </c>
      <c r="BS211" s="23">
        <f t="shared" si="1872"/>
        <v>-11.915999999999997</v>
      </c>
      <c r="BT211" s="23">
        <f t="shared" si="1872"/>
        <v>-25.873999999999995</v>
      </c>
      <c r="BU211" s="23">
        <f t="shared" si="1872"/>
        <v>-14.039999999999992</v>
      </c>
      <c r="BV211" s="23">
        <f t="shared" si="1872"/>
        <v>-60.89100000000002</v>
      </c>
      <c r="BW211" s="23">
        <f t="shared" si="1872"/>
        <v>-17.092999999999989</v>
      </c>
      <c r="BX211" s="23">
        <f t="shared" si="1872"/>
        <v>-43.088999999999999</v>
      </c>
      <c r="BY211" s="23">
        <f t="shared" si="1872"/>
        <v>-21.430000000000007</v>
      </c>
      <c r="BZ211" s="23">
        <f t="shared" si="1872"/>
        <v>-13.482000000000028</v>
      </c>
      <c r="CA211" s="23">
        <f t="shared" si="1872"/>
        <v>-21.409999999999997</v>
      </c>
      <c r="CB211" s="23">
        <f t="shared" si="1872"/>
        <v>-27.867999999999995</v>
      </c>
      <c r="CC211" s="23">
        <f t="shared" si="1872"/>
        <v>-25.449999999999989</v>
      </c>
      <c r="CD211" s="23">
        <f t="shared" si="1872"/>
        <v>-49.655999999999977</v>
      </c>
      <c r="CE211" s="23">
        <f t="shared" si="1872"/>
        <v>-27.061000000000007</v>
      </c>
      <c r="CF211" s="23">
        <f t="shared" si="1872"/>
        <v>-5.6640000000000157</v>
      </c>
      <c r="CG211" s="23">
        <f t="shared" si="1872"/>
        <v>-25.967000000000013</v>
      </c>
      <c r="CH211" s="23">
        <f t="shared" si="1872"/>
        <v>-157.98519999999994</v>
      </c>
      <c r="CI211" s="23">
        <f t="shared" si="1872"/>
        <v>0</v>
      </c>
      <c r="CJ211" s="23">
        <f t="shared" si="1872"/>
        <v>128.99219999999997</v>
      </c>
      <c r="CK211" s="23">
        <f t="shared" si="1872"/>
        <v>-50.000000000000043</v>
      </c>
      <c r="CL211" s="23">
        <f t="shared" si="1872"/>
        <v>14.763000000000034</v>
      </c>
      <c r="CM211" s="24">
        <f t="shared" si="1872"/>
        <v>-50.000000000000028</v>
      </c>
      <c r="CN211" s="24">
        <f t="shared" si="1872"/>
        <v>-50</v>
      </c>
      <c r="CO211" s="24">
        <f t="shared" si="1872"/>
        <v>-50.000000000000028</v>
      </c>
      <c r="CP211" s="24">
        <f t="shared" si="1872"/>
        <v>-50.000000000000028</v>
      </c>
      <c r="CQ211" s="24">
        <f t="shared" si="1872"/>
        <v>-49.999999999999972</v>
      </c>
      <c r="CR211" s="24">
        <f t="shared" si="1872"/>
        <v>-50</v>
      </c>
      <c r="CS211" s="24">
        <f t="shared" si="1872"/>
        <v>-49.999999999999943</v>
      </c>
      <c r="CT211" s="24">
        <f t="shared" si="1872"/>
        <v>-50</v>
      </c>
      <c r="CU211" s="24">
        <f t="shared" ref="CU211:DB211" si="1873">CT146-CU40-CU146</f>
        <v>0</v>
      </c>
      <c r="CV211" s="24">
        <f t="shared" si="1873"/>
        <v>0</v>
      </c>
      <c r="CW211" s="24">
        <f t="shared" si="1873"/>
        <v>0</v>
      </c>
      <c r="CX211" s="24">
        <f t="shared" si="1873"/>
        <v>0</v>
      </c>
      <c r="CY211" s="24">
        <f t="shared" si="1873"/>
        <v>0</v>
      </c>
      <c r="CZ211" s="24">
        <f t="shared" si="1873"/>
        <v>0</v>
      </c>
      <c r="DA211" s="24">
        <f t="shared" si="1873"/>
        <v>0</v>
      </c>
      <c r="DB211" s="24">
        <f t="shared" si="1873"/>
        <v>0</v>
      </c>
      <c r="DE211" s="123"/>
      <c r="DF211" s="23">
        <v>-50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95</v>
      </c>
      <c r="C213" s="22">
        <f t="shared" ref="C213:W213" si="1874">C214+C215</f>
        <v>-30.036200000000001</v>
      </c>
      <c r="D213" s="22">
        <f t="shared" si="1874"/>
        <v>-8.5516000000000112</v>
      </c>
      <c r="E213" s="22">
        <f t="shared" si="1874"/>
        <v>-16.34060000000003</v>
      </c>
      <c r="F213" s="22">
        <f t="shared" si="1874"/>
        <v>-19.844400000000014</v>
      </c>
      <c r="G213" s="22">
        <f t="shared" si="1874"/>
        <v>-23.082699999999981</v>
      </c>
      <c r="H213" s="22">
        <f t="shared" si="1874"/>
        <v>-25.501200000000004</v>
      </c>
      <c r="I213" s="22">
        <f t="shared" si="1874"/>
        <v>29.071899999999985</v>
      </c>
      <c r="J213" s="22">
        <f t="shared" si="1874"/>
        <v>-67.723299999999966</v>
      </c>
      <c r="K213" s="22">
        <f t="shared" si="1874"/>
        <v>-4.6306000000000047</v>
      </c>
      <c r="L213" s="22">
        <f t="shared" si="1874"/>
        <v>-140.44550000000001</v>
      </c>
      <c r="M213" s="22">
        <f t="shared" si="1874"/>
        <v>-145.45219999999995</v>
      </c>
      <c r="N213" s="22">
        <f t="shared" si="1874"/>
        <v>6.2359000000000933</v>
      </c>
      <c r="O213" s="22">
        <f t="shared" si="1874"/>
        <v>-90.230699999999999</v>
      </c>
      <c r="P213" s="22">
        <f t="shared" si="1874"/>
        <v>-54.30430000000004</v>
      </c>
      <c r="Q213" s="22">
        <f t="shared" si="1874"/>
        <v>-52.544600000000173</v>
      </c>
      <c r="R213" s="22">
        <f t="shared" si="1874"/>
        <v>-2.8084000000001197</v>
      </c>
      <c r="S213" s="22">
        <f t="shared" si="1874"/>
        <v>-59.355799999999761</v>
      </c>
      <c r="T213" s="22">
        <f t="shared" si="1874"/>
        <v>-85.567499999999768</v>
      </c>
      <c r="U213" s="22">
        <f t="shared" si="1874"/>
        <v>-108.8175</v>
      </c>
      <c r="V213" s="22">
        <f t="shared" si="1874"/>
        <v>-105.98570000000018</v>
      </c>
      <c r="W213" s="22">
        <f t="shared" si="1874"/>
        <v>-300.9400999999998</v>
      </c>
      <c r="X213" s="22">
        <f t="shared" ref="X213:Y213" si="1875">X214+X215</f>
        <v>-270.32899999999972</v>
      </c>
      <c r="Y213" s="22">
        <f t="shared" si="1875"/>
        <v>-372.34870000000001</v>
      </c>
      <c r="Z213" s="22">
        <f t="shared" ref="Z213:AA213" si="1876">Z214+Z215</f>
        <v>-430.62419999999975</v>
      </c>
      <c r="AA213" s="22">
        <f t="shared" si="1876"/>
        <v>-447.05749999999989</v>
      </c>
      <c r="AB213" s="21">
        <f t="shared" ref="AA213:AD213" si="1877">AB214+AB215</f>
        <v>2.9999999969732016E-4</v>
      </c>
      <c r="AC213" s="21">
        <f t="shared" si="1877"/>
        <v>-1.3642420526593924E-12</v>
      </c>
      <c r="AD213" s="21">
        <f t="shared" si="1877"/>
        <v>-9.0949470177292824E-13</v>
      </c>
      <c r="AE213" s="21">
        <f t="shared" ref="AE213" si="1878">AE214+AE215</f>
        <v>0</v>
      </c>
      <c r="AI213" s="22">
        <f t="shared" ref="AI213" si="1879">AI214+AI215</f>
        <v>-2.6130000000000102</v>
      </c>
      <c r="AJ213" s="22">
        <f t="shared" ref="AJ213:AL213" si="1880">AJ214+AJ215</f>
        <v>239.31099999999998</v>
      </c>
      <c r="AK213" s="22">
        <f t="shared" si="1880"/>
        <v>0</v>
      </c>
      <c r="AL213" s="22">
        <f t="shared" si="1880"/>
        <v>-4.3259999999999863</v>
      </c>
      <c r="AM213" s="22">
        <f t="shared" ref="AM213" si="1881">AM214+AM215</f>
        <v>0</v>
      </c>
      <c r="AN213" s="22">
        <f t="shared" ref="AN213:CD213" si="1882">AN214+AN215</f>
        <v>-13.799999999999933</v>
      </c>
      <c r="AO213" s="22">
        <f t="shared" si="1882"/>
        <v>0</v>
      </c>
      <c r="AP213" s="22">
        <f t="shared" si="1882"/>
        <v>-76.431999999999974</v>
      </c>
      <c r="AQ213" s="22">
        <f t="shared" si="1882"/>
        <v>-2.8421709430404007E-14</v>
      </c>
      <c r="AR213" s="22">
        <f t="shared" si="1882"/>
        <v>-3.0919999999999845</v>
      </c>
      <c r="AS213" s="22">
        <f t="shared" si="1882"/>
        <v>0</v>
      </c>
      <c r="AT213" s="22">
        <f t="shared" si="1882"/>
        <v>-51.213000000000051</v>
      </c>
      <c r="AU213" s="22">
        <f t="shared" si="1882"/>
        <v>-5.6843418860808015E-14</v>
      </c>
      <c r="AV213" s="22">
        <f t="shared" si="1882"/>
        <v>-6.5999999999974079E-2</v>
      </c>
      <c r="AW213" s="22">
        <f t="shared" si="1882"/>
        <v>5.6843418860808015E-14</v>
      </c>
      <c r="AX213" s="22">
        <f t="shared" si="1882"/>
        <v>-52.468000000000018</v>
      </c>
      <c r="AY213" s="22">
        <f t="shared" si="1882"/>
        <v>0</v>
      </c>
      <c r="AZ213" s="22">
        <f t="shared" si="1882"/>
        <v>-2.1400000000000432</v>
      </c>
      <c r="BA213" s="22">
        <f t="shared" si="1882"/>
        <v>0</v>
      </c>
      <c r="BB213" s="22">
        <f t="shared" si="1882"/>
        <v>-0.66999999999995907</v>
      </c>
      <c r="BC213" s="22">
        <f t="shared" si="1882"/>
        <v>0</v>
      </c>
      <c r="BD213" s="22">
        <f t="shared" si="1882"/>
        <v>-60.158000000000015</v>
      </c>
      <c r="BE213" s="22">
        <f t="shared" si="1882"/>
        <v>0</v>
      </c>
      <c r="BF213" s="22">
        <f t="shared" si="1882"/>
        <v>0.80000000000006821</v>
      </c>
      <c r="BG213" s="22">
        <f t="shared" si="1882"/>
        <v>0</v>
      </c>
      <c r="BH213" s="22">
        <f t="shared" si="1882"/>
        <v>-84.278000000000134</v>
      </c>
      <c r="BI213" s="22">
        <f t="shared" si="1882"/>
        <v>0</v>
      </c>
      <c r="BJ213" s="22">
        <f t="shared" si="1882"/>
        <v>-1.2889999999998736</v>
      </c>
      <c r="BK213" s="22">
        <f t="shared" si="1882"/>
        <v>0</v>
      </c>
      <c r="BL213" s="22">
        <f t="shared" si="1882"/>
        <v>-49.089999999999975</v>
      </c>
      <c r="BM213" s="22">
        <f t="shared" si="1882"/>
        <v>0</v>
      </c>
      <c r="BN213" s="22">
        <f t="shared" si="1882"/>
        <v>-59.728999999999985</v>
      </c>
      <c r="BO213" s="22">
        <f t="shared" si="1882"/>
        <v>0</v>
      </c>
      <c r="BP213" s="22">
        <f t="shared" si="1882"/>
        <v>-49.617999999999974</v>
      </c>
      <c r="BQ213" s="22">
        <f t="shared" si="1882"/>
        <v>0</v>
      </c>
      <c r="BR213" s="22">
        <f t="shared" si="1882"/>
        <v>-56.367999999999903</v>
      </c>
      <c r="BS213" s="22">
        <f t="shared" si="1882"/>
        <v>0</v>
      </c>
      <c r="BT213" s="22">
        <f t="shared" si="1882"/>
        <v>-300.28300000000013</v>
      </c>
      <c r="BU213" s="22">
        <f t="shared" si="1882"/>
        <v>0</v>
      </c>
      <c r="BV213" s="22">
        <f t="shared" si="1882"/>
        <v>-0.65599999999994907</v>
      </c>
      <c r="BW213" s="22">
        <f t="shared" si="1882"/>
        <v>0</v>
      </c>
      <c r="BX213" s="22">
        <f t="shared" si="1882"/>
        <v>-267.87400000000002</v>
      </c>
      <c r="BY213" s="22">
        <f t="shared" si="1882"/>
        <v>0</v>
      </c>
      <c r="BZ213" s="22">
        <f t="shared" si="1882"/>
        <v>-2.4510000000004766</v>
      </c>
      <c r="CA213" s="22">
        <f t="shared" si="1882"/>
        <v>0</v>
      </c>
      <c r="CB213" s="22">
        <f t="shared" si="1882"/>
        <v>-378.27599999999984</v>
      </c>
      <c r="CC213" s="22">
        <f t="shared" si="1882"/>
        <v>0</v>
      </c>
      <c r="CD213" s="22">
        <f t="shared" si="1882"/>
        <v>5.9270000000001346</v>
      </c>
      <c r="CE213" s="22">
        <f t="shared" ref="CE213:CF213" si="1883">CE214+CE215</f>
        <v>0</v>
      </c>
      <c r="CF213" s="22">
        <f t="shared" si="1883"/>
        <v>-432.59699999999975</v>
      </c>
      <c r="CG213" s="22">
        <f t="shared" ref="CG213:CH213" si="1884">CG214+CG215</f>
        <v>0</v>
      </c>
      <c r="CH213" s="22">
        <f t="shared" si="1884"/>
        <v>1.9708999999998014</v>
      </c>
      <c r="CI213" s="22">
        <f t="shared" ref="CI213:CJ213" si="1885">CI214+CI215</f>
        <v>0</v>
      </c>
      <c r="CJ213" s="22">
        <f t="shared" si="1885"/>
        <v>-456.51389999999947</v>
      </c>
      <c r="CK213" s="22">
        <f t="shared" ref="CK213:DB213" si="1886">CK214+CK215</f>
        <v>0</v>
      </c>
      <c r="CL213" s="22">
        <f t="shared" si="1886"/>
        <v>9.4589999999998327</v>
      </c>
      <c r="CM213" s="21">
        <f t="shared" si="1886"/>
        <v>0</v>
      </c>
      <c r="CN213" s="21">
        <f t="shared" si="1886"/>
        <v>0</v>
      </c>
      <c r="CO213" s="21">
        <f t="shared" si="1886"/>
        <v>0</v>
      </c>
      <c r="CP213" s="21">
        <f t="shared" si="1886"/>
        <v>0</v>
      </c>
      <c r="CQ213" s="21">
        <f t="shared" si="1886"/>
        <v>-4.5474735088646412E-13</v>
      </c>
      <c r="CR213" s="21">
        <f t="shared" si="1886"/>
        <v>0</v>
      </c>
      <c r="CS213" s="21">
        <f t="shared" si="1886"/>
        <v>0</v>
      </c>
      <c r="CT213" s="21">
        <f t="shared" si="1886"/>
        <v>0</v>
      </c>
      <c r="CU213" s="21">
        <f t="shared" si="1886"/>
        <v>0</v>
      </c>
      <c r="CV213" s="21">
        <f t="shared" si="1886"/>
        <v>0</v>
      </c>
      <c r="CW213" s="21">
        <f t="shared" si="1886"/>
        <v>-9.0949470177292824E-13</v>
      </c>
      <c r="CX213" s="21">
        <f t="shared" si="1886"/>
        <v>0</v>
      </c>
      <c r="CY213" s="21">
        <f t="shared" si="1886"/>
        <v>0</v>
      </c>
      <c r="CZ213" s="21">
        <f t="shared" si="1886"/>
        <v>0</v>
      </c>
      <c r="DA213" s="21">
        <f t="shared" si="1886"/>
        <v>0</v>
      </c>
      <c r="DB213" s="21">
        <f t="shared" si="1886"/>
        <v>0</v>
      </c>
      <c r="DE213" s="126"/>
      <c r="DF213" s="22">
        <v>0</v>
      </c>
    </row>
    <row r="214" spans="1:110" s="23" customFormat="1" x14ac:dyDescent="0.2">
      <c r="A214" s="23" t="s">
        <v>49</v>
      </c>
      <c r="C214" s="23">
        <f t="shared" ref="C214:AA214" si="1887">C136-B136</f>
        <v>-16.917400000000001</v>
      </c>
      <c r="D214" s="23">
        <f t="shared" si="1887"/>
        <v>0.23019999999999996</v>
      </c>
      <c r="E214" s="23">
        <f>E136-D136</f>
        <v>-2.2898000000000001</v>
      </c>
      <c r="F214" s="23">
        <f t="shared" si="1887"/>
        <v>0</v>
      </c>
      <c r="G214" s="23">
        <f t="shared" si="1887"/>
        <v>0</v>
      </c>
      <c r="H214" s="23">
        <f t="shared" si="1887"/>
        <v>0</v>
      </c>
      <c r="I214" s="23">
        <f t="shared" si="1887"/>
        <v>55.326300000000003</v>
      </c>
      <c r="J214" s="23">
        <f>J136-I136</f>
        <v>-42.247</v>
      </c>
      <c r="K214" s="23">
        <f>K136-J136</f>
        <v>20.889999999999997</v>
      </c>
      <c r="L214" s="23">
        <f t="shared" si="1887"/>
        <v>-8.5376999999999974</v>
      </c>
      <c r="M214" s="23">
        <f t="shared" si="1887"/>
        <v>8.7243999999999993</v>
      </c>
      <c r="N214" s="23">
        <f t="shared" si="1887"/>
        <v>24.350500000000004</v>
      </c>
      <c r="O214" s="23">
        <f t="shared" si="1887"/>
        <v>-58.506500000000003</v>
      </c>
      <c r="P214" s="23">
        <f t="shared" si="1887"/>
        <v>0</v>
      </c>
      <c r="Q214" s="23">
        <f t="shared" si="1887"/>
        <v>0</v>
      </c>
      <c r="R214" s="23">
        <f t="shared" si="1887"/>
        <v>0</v>
      </c>
      <c r="S214" s="23">
        <f t="shared" si="1887"/>
        <v>0</v>
      </c>
      <c r="T214" s="23">
        <f t="shared" si="1887"/>
        <v>0</v>
      </c>
      <c r="U214" s="23">
        <f t="shared" si="1887"/>
        <v>0</v>
      </c>
      <c r="V214" s="23">
        <f t="shared" si="1887"/>
        <v>0</v>
      </c>
      <c r="W214" s="23">
        <f t="shared" si="1887"/>
        <v>0</v>
      </c>
      <c r="X214" s="23">
        <f t="shared" si="1887"/>
        <v>0</v>
      </c>
      <c r="Y214" s="23">
        <f t="shared" si="1887"/>
        <v>0</v>
      </c>
      <c r="Z214" s="23">
        <f t="shared" si="1887"/>
        <v>0</v>
      </c>
      <c r="AA214" s="23">
        <f t="shared" si="1887"/>
        <v>0</v>
      </c>
      <c r="AB214" s="24">
        <f t="shared" ref="AB214" si="1888">AB136-AA136</f>
        <v>0</v>
      </c>
      <c r="AC214" s="24">
        <f t="shared" ref="AC214" si="1889">AC136-AB136</f>
        <v>0</v>
      </c>
      <c r="AD214" s="24">
        <f t="shared" ref="AD214" si="1890">AD136-AC136</f>
        <v>0</v>
      </c>
      <c r="AE214" s="24">
        <f t="shared" ref="AE214" si="1891">AE136-AD136</f>
        <v>0</v>
      </c>
      <c r="AI214" s="23">
        <f t="shared" ref="AI214" si="1892">AI136-AH136</f>
        <v>0</v>
      </c>
      <c r="AJ214" s="23">
        <f t="shared" ref="AJ214" si="1893">AJ136-AI136</f>
        <v>44.698999999999998</v>
      </c>
      <c r="AK214" s="23">
        <f t="shared" ref="AK214" si="1894">AK136-AJ136</f>
        <v>0</v>
      </c>
      <c r="AL214" s="23">
        <f t="shared" ref="AL214" si="1895">AL136-AK136</f>
        <v>13.808</v>
      </c>
      <c r="AM214" s="23">
        <f t="shared" ref="AM214" si="1896">AM136-AL136</f>
        <v>0</v>
      </c>
      <c r="AN214" s="23">
        <f t="shared" ref="AN214" si="1897">AN136-AM136</f>
        <v>-14.314</v>
      </c>
      <c r="AO214" s="23">
        <f t="shared" ref="AO214" si="1898">AO136-AN136</f>
        <v>0</v>
      </c>
      <c r="AP214" s="23">
        <f t="shared" ref="AP214" si="1899">AP136-AO136</f>
        <v>-44.192999999999998</v>
      </c>
      <c r="AQ214" s="23">
        <f t="shared" ref="AQ214" si="1900">AQ136-AP136</f>
        <v>0</v>
      </c>
      <c r="AR214" s="23">
        <f t="shared" ref="AR214" si="1901">AR136-AQ136</f>
        <v>0</v>
      </c>
      <c r="AS214" s="23">
        <f t="shared" ref="AS214" si="1902">AS136-AR136</f>
        <v>0</v>
      </c>
      <c r="AT214" s="23">
        <f t="shared" ref="AT214" si="1903">AT136-AS136</f>
        <v>0</v>
      </c>
      <c r="AU214" s="23">
        <f t="shared" ref="AU214" si="1904">AU136-AT136</f>
        <v>0</v>
      </c>
      <c r="AV214" s="23">
        <f t="shared" ref="AV214" si="1905">AV136-AU136</f>
        <v>0</v>
      </c>
      <c r="AW214" s="23">
        <f t="shared" ref="AW214" si="1906">AW136-AV136</f>
        <v>0</v>
      </c>
      <c r="AX214" s="23">
        <f t="shared" ref="AX214" si="1907">AX136-AW136</f>
        <v>0</v>
      </c>
      <c r="AY214" s="23">
        <f t="shared" ref="AY214" si="1908">AY136-AX136</f>
        <v>0</v>
      </c>
      <c r="AZ214" s="23">
        <f t="shared" ref="AZ214" si="1909">AZ136-AY136</f>
        <v>0</v>
      </c>
      <c r="BA214" s="23">
        <f t="shared" ref="BA214" si="1910">BA136-AZ136</f>
        <v>0</v>
      </c>
      <c r="BB214" s="23">
        <f t="shared" ref="BB214" si="1911">BB136-BA136</f>
        <v>0</v>
      </c>
      <c r="BC214" s="23">
        <f t="shared" ref="BC214" si="1912">BC136-BB136</f>
        <v>0</v>
      </c>
      <c r="BD214" s="23">
        <f t="shared" ref="BD214" si="1913">BD136-BC136</f>
        <v>0</v>
      </c>
      <c r="BE214" s="23">
        <f t="shared" ref="BE214" si="1914">BE136-BD136</f>
        <v>0</v>
      </c>
      <c r="BF214" s="23">
        <f t="shared" ref="BF214" si="1915">BF136-BE136</f>
        <v>0</v>
      </c>
      <c r="BG214" s="23">
        <f t="shared" ref="BG214" si="1916">BG136-BF136</f>
        <v>0</v>
      </c>
      <c r="BH214" s="23">
        <f t="shared" ref="BH214" si="1917">BH136-BG136</f>
        <v>0</v>
      </c>
      <c r="BI214" s="23">
        <f t="shared" ref="BI214" si="1918">BI136-BH136</f>
        <v>0</v>
      </c>
      <c r="BJ214" s="23">
        <f t="shared" ref="BJ214" si="1919">BJ136-BI136</f>
        <v>0</v>
      </c>
      <c r="BK214" s="23">
        <f t="shared" ref="BK214" si="1920">BK136-BJ136</f>
        <v>0</v>
      </c>
      <c r="BL214" s="23">
        <f t="shared" ref="BL214" si="1921">BL136-BK136</f>
        <v>58.161000000000001</v>
      </c>
      <c r="BM214" s="23">
        <f t="shared" ref="BM214" si="1922">BM136-BL136</f>
        <v>0</v>
      </c>
      <c r="BN214" s="23">
        <f t="shared" ref="BN214" si="1923">BN136-BM136</f>
        <v>-58.161000000000001</v>
      </c>
      <c r="BO214" s="23">
        <f t="shared" ref="BO214" si="1924">BO136-BN136</f>
        <v>0</v>
      </c>
      <c r="BP214" s="23">
        <f t="shared" ref="BP214" si="1925">BP136-BO136</f>
        <v>54.085000000000001</v>
      </c>
      <c r="BQ214" s="23">
        <f t="shared" ref="BQ214" si="1926">BQ136-BP136</f>
        <v>0</v>
      </c>
      <c r="BR214" s="23">
        <f t="shared" ref="BR214" si="1927">BR136-BQ136</f>
        <v>-54.085000000000001</v>
      </c>
      <c r="BS214" s="23">
        <f t="shared" ref="BS214" si="1928">BS136-BR136</f>
        <v>0</v>
      </c>
      <c r="BT214" s="23">
        <f t="shared" ref="BT214" si="1929">BT136-BS136</f>
        <v>0</v>
      </c>
      <c r="BU214" s="23">
        <f t="shared" ref="BU214" si="1930">BU136-BT136</f>
        <v>0</v>
      </c>
      <c r="BV214" s="23">
        <f t="shared" ref="BV214" si="1931">BV136-BU136</f>
        <v>0</v>
      </c>
      <c r="BW214" s="23">
        <f t="shared" ref="BW214" si="1932">BW136-BV136</f>
        <v>0</v>
      </c>
      <c r="BX214" s="23">
        <f t="shared" ref="BX214" si="1933">BX136-BW136</f>
        <v>0</v>
      </c>
      <c r="BY214" s="23">
        <f t="shared" ref="BY214" si="1934">BY136-BX136</f>
        <v>0</v>
      </c>
      <c r="BZ214" s="23">
        <f t="shared" ref="BZ214" si="1935">BZ136-BY136</f>
        <v>0</v>
      </c>
      <c r="CA214" s="23">
        <f t="shared" ref="CA214" si="1936">CA136-BZ136</f>
        <v>0</v>
      </c>
      <c r="CB214" s="23">
        <f t="shared" ref="CB214" si="1937">CB136-CA136</f>
        <v>0</v>
      </c>
      <c r="CC214" s="23">
        <f t="shared" ref="CC214" si="1938">CC136-CB136</f>
        <v>0</v>
      </c>
      <c r="CD214" s="23">
        <f t="shared" ref="CD214" si="1939">CD136-CC136</f>
        <v>0</v>
      </c>
      <c r="CE214" s="23">
        <f t="shared" ref="CE214" si="1940">CE136-CD136</f>
        <v>0</v>
      </c>
      <c r="CF214" s="23">
        <f t="shared" ref="CF214" si="1941">CF136-CE136</f>
        <v>0</v>
      </c>
      <c r="CG214" s="23">
        <f t="shared" ref="CG214" si="1942">CG136-CF136</f>
        <v>0</v>
      </c>
      <c r="CH214" s="23">
        <f t="shared" ref="CH214:CL214" si="1943">CH136-CG136</f>
        <v>0</v>
      </c>
      <c r="CI214" s="23">
        <f t="shared" si="1943"/>
        <v>0</v>
      </c>
      <c r="CJ214" s="23">
        <f t="shared" si="1943"/>
        <v>0</v>
      </c>
      <c r="CK214" s="23">
        <f t="shared" ref="CK214" si="1944">CK136-CJ136</f>
        <v>0</v>
      </c>
      <c r="CL214" s="23">
        <f t="shared" si="1943"/>
        <v>0</v>
      </c>
      <c r="CM214" s="24">
        <f t="shared" ref="CM214" si="1945">CM136-CL136</f>
        <v>0</v>
      </c>
      <c r="CN214" s="24">
        <f t="shared" ref="CN214" si="1946">CN136-CM136</f>
        <v>0</v>
      </c>
      <c r="CO214" s="24">
        <f t="shared" ref="CO214" si="1947">CO136-CN136</f>
        <v>0</v>
      </c>
      <c r="CP214" s="24">
        <f t="shared" ref="CP214" si="1948">CP136-CO136</f>
        <v>0</v>
      </c>
      <c r="CQ214" s="24">
        <f t="shared" ref="CQ214" si="1949">CQ136-CP136</f>
        <v>0</v>
      </c>
      <c r="CR214" s="24">
        <f t="shared" ref="CR214" si="1950">CR136-CQ136</f>
        <v>0</v>
      </c>
      <c r="CS214" s="24">
        <f t="shared" ref="CS214" si="1951">CS136-CR136</f>
        <v>0</v>
      </c>
      <c r="CT214" s="24">
        <f t="shared" ref="CT214" si="1952">CT136-CS136</f>
        <v>0</v>
      </c>
      <c r="CU214" s="24">
        <f t="shared" ref="CU214" si="1953">CU136-CT136</f>
        <v>0</v>
      </c>
      <c r="CV214" s="24">
        <f t="shared" ref="CV214" si="1954">CV136-CU136</f>
        <v>0</v>
      </c>
      <c r="CW214" s="24">
        <f t="shared" ref="CW214" si="1955">CW136-CV136</f>
        <v>0</v>
      </c>
      <c r="CX214" s="24">
        <f t="shared" ref="CX214" si="1956">CX136-CW136</f>
        <v>0</v>
      </c>
      <c r="CY214" s="24">
        <f t="shared" ref="CY214" si="1957">CY136-CX136</f>
        <v>0</v>
      </c>
      <c r="CZ214" s="24">
        <f t="shared" ref="CZ214" si="1958">CZ136-CY136</f>
        <v>0</v>
      </c>
      <c r="DA214" s="24">
        <f t="shared" ref="DA214" si="1959">DA136-CZ136</f>
        <v>0</v>
      </c>
      <c r="DB214" s="24">
        <f t="shared" ref="DB214" si="1960">DB136-DA136</f>
        <v>0</v>
      </c>
      <c r="DE214" s="123"/>
      <c r="DF214" s="23">
        <v>0</v>
      </c>
    </row>
    <row r="215" spans="1:110" s="23" customFormat="1" x14ac:dyDescent="0.2">
      <c r="A215" s="23" t="s">
        <v>27</v>
      </c>
      <c r="C215" s="23">
        <f t="shared" ref="C215:AE215" si="1961">C128-C56-B128+C130-B130</f>
        <v>-13.1188</v>
      </c>
      <c r="D215" s="23">
        <f t="shared" si="1961"/>
        <v>-8.7818000000000112</v>
      </c>
      <c r="E215" s="23">
        <f t="shared" si="1961"/>
        <v>-14.050800000000031</v>
      </c>
      <c r="F215" s="23">
        <f t="shared" si="1961"/>
        <v>-19.844400000000014</v>
      </c>
      <c r="G215" s="23">
        <f t="shared" si="1961"/>
        <v>-23.082699999999981</v>
      </c>
      <c r="H215" s="23">
        <f t="shared" si="1961"/>
        <v>-25.501200000000004</v>
      </c>
      <c r="I215" s="23">
        <f t="shared" si="1961"/>
        <v>-26.254400000000018</v>
      </c>
      <c r="J215" s="23">
        <f t="shared" si="1961"/>
        <v>-25.476299999999966</v>
      </c>
      <c r="K215" s="23">
        <f t="shared" si="1961"/>
        <v>-25.520600000000002</v>
      </c>
      <c r="L215" s="23">
        <f t="shared" si="1961"/>
        <v>-131.90780000000001</v>
      </c>
      <c r="M215" s="23">
        <f t="shared" si="1961"/>
        <v>-154.17659999999995</v>
      </c>
      <c r="N215" s="23">
        <f t="shared" si="1961"/>
        <v>-18.114599999999911</v>
      </c>
      <c r="O215" s="23">
        <f t="shared" si="1961"/>
        <v>-31.724199999999996</v>
      </c>
      <c r="P215" s="23">
        <f t="shared" si="1961"/>
        <v>-54.30430000000004</v>
      </c>
      <c r="Q215" s="23">
        <f t="shared" si="1961"/>
        <v>-52.544600000000173</v>
      </c>
      <c r="R215" s="23">
        <f t="shared" si="1961"/>
        <v>-2.8084000000001197</v>
      </c>
      <c r="S215" s="23">
        <f t="shared" si="1961"/>
        <v>-59.355799999999761</v>
      </c>
      <c r="T215" s="23">
        <f t="shared" si="1961"/>
        <v>-85.567499999999768</v>
      </c>
      <c r="U215" s="23">
        <f t="shared" si="1961"/>
        <v>-108.8175</v>
      </c>
      <c r="V215" s="23">
        <f t="shared" si="1961"/>
        <v>-105.98570000000018</v>
      </c>
      <c r="W215" s="23">
        <f t="shared" si="1961"/>
        <v>-300.9400999999998</v>
      </c>
      <c r="X215" s="23">
        <f t="shared" si="1961"/>
        <v>-270.32899999999972</v>
      </c>
      <c r="Y215" s="23">
        <f t="shared" si="1961"/>
        <v>-372.34870000000001</v>
      </c>
      <c r="Z215" s="23">
        <f t="shared" si="1961"/>
        <v>-430.62419999999975</v>
      </c>
      <c r="AA215" s="23">
        <f t="shared" si="1961"/>
        <v>-447.05749999999989</v>
      </c>
      <c r="AB215" s="24">
        <f t="shared" si="1961"/>
        <v>2.9999999969732016E-4</v>
      </c>
      <c r="AC215" s="24">
        <f t="shared" si="1961"/>
        <v>-1.3642420526593924E-12</v>
      </c>
      <c r="AD215" s="24">
        <f t="shared" si="1961"/>
        <v>-9.0949470177292824E-13</v>
      </c>
      <c r="AE215" s="24">
        <f t="shared" si="1961"/>
        <v>0</v>
      </c>
      <c r="AI215" s="23">
        <f t="shared" ref="AI215:BN215" si="1962">AI128-AI56-AH128+AI130-AH130</f>
        <v>-2.6130000000000102</v>
      </c>
      <c r="AJ215" s="23">
        <f t="shared" si="1962"/>
        <v>194.61199999999999</v>
      </c>
      <c r="AK215" s="23">
        <f t="shared" si="1962"/>
        <v>0</v>
      </c>
      <c r="AL215" s="23">
        <f t="shared" si="1962"/>
        <v>-18.133999999999986</v>
      </c>
      <c r="AM215" s="23">
        <f t="shared" si="1962"/>
        <v>0</v>
      </c>
      <c r="AN215" s="23">
        <f t="shared" si="1962"/>
        <v>0.51400000000006685</v>
      </c>
      <c r="AO215" s="23">
        <f t="shared" si="1962"/>
        <v>0</v>
      </c>
      <c r="AP215" s="23">
        <f t="shared" si="1962"/>
        <v>-32.238999999999976</v>
      </c>
      <c r="AQ215" s="23">
        <f t="shared" si="1962"/>
        <v>-2.8421709430404007E-14</v>
      </c>
      <c r="AR215" s="23">
        <f t="shared" si="1962"/>
        <v>-3.0919999999999845</v>
      </c>
      <c r="AS215" s="23">
        <f t="shared" si="1962"/>
        <v>0</v>
      </c>
      <c r="AT215" s="23">
        <f t="shared" si="1962"/>
        <v>-51.213000000000051</v>
      </c>
      <c r="AU215" s="23">
        <f t="shared" si="1962"/>
        <v>-5.6843418860808015E-14</v>
      </c>
      <c r="AV215" s="23">
        <f t="shared" si="1962"/>
        <v>-6.5999999999974079E-2</v>
      </c>
      <c r="AW215" s="23">
        <f t="shared" si="1962"/>
        <v>5.6843418860808015E-14</v>
      </c>
      <c r="AX215" s="23">
        <f t="shared" si="1962"/>
        <v>-52.468000000000018</v>
      </c>
      <c r="AY215" s="23">
        <f t="shared" si="1962"/>
        <v>0</v>
      </c>
      <c r="AZ215" s="23">
        <f t="shared" si="1962"/>
        <v>-2.1400000000000432</v>
      </c>
      <c r="BA215" s="23">
        <f t="shared" si="1962"/>
        <v>0</v>
      </c>
      <c r="BB215" s="23">
        <f t="shared" si="1962"/>
        <v>-0.66999999999995907</v>
      </c>
      <c r="BC215" s="23">
        <f t="shared" si="1962"/>
        <v>0</v>
      </c>
      <c r="BD215" s="23">
        <f t="shared" si="1962"/>
        <v>-60.158000000000015</v>
      </c>
      <c r="BE215" s="23">
        <f t="shared" si="1962"/>
        <v>0</v>
      </c>
      <c r="BF215" s="23">
        <f t="shared" si="1962"/>
        <v>0.80000000000006821</v>
      </c>
      <c r="BG215" s="23">
        <f t="shared" si="1962"/>
        <v>0</v>
      </c>
      <c r="BH215" s="23">
        <f t="shared" si="1962"/>
        <v>-84.278000000000134</v>
      </c>
      <c r="BI215" s="23">
        <f t="shared" si="1962"/>
        <v>0</v>
      </c>
      <c r="BJ215" s="23">
        <f t="shared" si="1962"/>
        <v>-1.2889999999998736</v>
      </c>
      <c r="BK215" s="23">
        <f t="shared" si="1962"/>
        <v>0</v>
      </c>
      <c r="BL215" s="23">
        <f t="shared" si="1962"/>
        <v>-107.25099999999998</v>
      </c>
      <c r="BM215" s="23">
        <f t="shared" si="1962"/>
        <v>0</v>
      </c>
      <c r="BN215" s="23">
        <f t="shared" si="1962"/>
        <v>-1.5679999999999836</v>
      </c>
      <c r="BO215" s="23">
        <f t="shared" ref="BO215:CT215" si="1963">BO128-BO56-BN128+BO130-BN130</f>
        <v>0</v>
      </c>
      <c r="BP215" s="23">
        <f t="shared" si="1963"/>
        <v>-103.70299999999997</v>
      </c>
      <c r="BQ215" s="23">
        <f t="shared" si="1963"/>
        <v>0</v>
      </c>
      <c r="BR215" s="23">
        <f t="shared" si="1963"/>
        <v>-2.2829999999999018</v>
      </c>
      <c r="BS215" s="23">
        <f t="shared" si="1963"/>
        <v>0</v>
      </c>
      <c r="BT215" s="23">
        <f t="shared" si="1963"/>
        <v>-300.28300000000013</v>
      </c>
      <c r="BU215" s="23">
        <f t="shared" si="1963"/>
        <v>0</v>
      </c>
      <c r="BV215" s="23">
        <f t="shared" si="1963"/>
        <v>-0.65599999999994907</v>
      </c>
      <c r="BW215" s="23">
        <f t="shared" si="1963"/>
        <v>0</v>
      </c>
      <c r="BX215" s="23">
        <f t="shared" si="1963"/>
        <v>-267.87400000000002</v>
      </c>
      <c r="BY215" s="23">
        <f t="shared" si="1963"/>
        <v>0</v>
      </c>
      <c r="BZ215" s="23">
        <f t="shared" si="1963"/>
        <v>-2.4510000000004766</v>
      </c>
      <c r="CA215" s="23">
        <f t="shared" si="1963"/>
        <v>0</v>
      </c>
      <c r="CB215" s="23">
        <f t="shared" si="1963"/>
        <v>-378.27599999999984</v>
      </c>
      <c r="CC215" s="23">
        <f t="shared" si="1963"/>
        <v>0</v>
      </c>
      <c r="CD215" s="23">
        <f t="shared" si="1963"/>
        <v>5.9270000000001346</v>
      </c>
      <c r="CE215" s="23">
        <f t="shared" si="1963"/>
        <v>0</v>
      </c>
      <c r="CF215" s="23">
        <f t="shared" si="1963"/>
        <v>-432.59699999999975</v>
      </c>
      <c r="CG215" s="23">
        <f t="shared" si="1963"/>
        <v>0</v>
      </c>
      <c r="CH215" s="23">
        <f t="shared" si="1963"/>
        <v>1.9708999999998014</v>
      </c>
      <c r="CI215" s="23">
        <f t="shared" si="1963"/>
        <v>0</v>
      </c>
      <c r="CJ215" s="23">
        <f t="shared" si="1963"/>
        <v>-456.51389999999947</v>
      </c>
      <c r="CK215" s="23">
        <f t="shared" si="1963"/>
        <v>0</v>
      </c>
      <c r="CL215" s="23">
        <f t="shared" si="1963"/>
        <v>9.4589999999998327</v>
      </c>
      <c r="CM215" s="24">
        <f t="shared" si="1963"/>
        <v>0</v>
      </c>
      <c r="CN215" s="24">
        <f t="shared" si="1963"/>
        <v>0</v>
      </c>
      <c r="CO215" s="24">
        <f t="shared" si="1963"/>
        <v>0</v>
      </c>
      <c r="CP215" s="24">
        <f t="shared" si="1963"/>
        <v>0</v>
      </c>
      <c r="CQ215" s="24">
        <f t="shared" si="1963"/>
        <v>-4.5474735088646412E-13</v>
      </c>
      <c r="CR215" s="24">
        <f t="shared" si="1963"/>
        <v>0</v>
      </c>
      <c r="CS215" s="24">
        <f t="shared" si="1963"/>
        <v>0</v>
      </c>
      <c r="CT215" s="24">
        <f t="shared" si="1963"/>
        <v>0</v>
      </c>
      <c r="CU215" s="24">
        <f t="shared" ref="CU215:DB215" si="1964">CU128-CU56-CT128+CU130-CT130</f>
        <v>0</v>
      </c>
      <c r="CV215" s="24">
        <f t="shared" si="1964"/>
        <v>0</v>
      </c>
      <c r="CW215" s="24">
        <f t="shared" si="1964"/>
        <v>-9.0949470177292824E-13</v>
      </c>
      <c r="CX215" s="24">
        <f t="shared" si="1964"/>
        <v>0</v>
      </c>
      <c r="CY215" s="24">
        <f t="shared" si="1964"/>
        <v>0</v>
      </c>
      <c r="CZ215" s="24">
        <f t="shared" si="1964"/>
        <v>0</v>
      </c>
      <c r="DA215" s="24">
        <f t="shared" si="1964"/>
        <v>0</v>
      </c>
      <c r="DB215" s="24">
        <f t="shared" si="1964"/>
        <v>0</v>
      </c>
      <c r="DE215" s="123"/>
      <c r="DF215" s="23">
        <v>0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3" customFormat="1" x14ac:dyDescent="0.2">
      <c r="A217" s="23" t="s">
        <v>442</v>
      </c>
      <c r="C217" s="23">
        <f t="shared" ref="C217" si="1965">B169</f>
        <v>10.064500000000001</v>
      </c>
      <c r="D217" s="23">
        <f t="shared" ref="D217" si="1966">C169</f>
        <v>7.3799000000000001</v>
      </c>
      <c r="E217" s="23">
        <f>D169</f>
        <v>4.1071999999999997</v>
      </c>
      <c r="F217" s="23">
        <f t="shared" ref="F217" si="1967">E169</f>
        <v>17.401199999999999</v>
      </c>
      <c r="G217" s="23">
        <f t="shared" ref="G217" si="1968">F169</f>
        <v>14.1073</v>
      </c>
      <c r="H217" s="23">
        <f t="shared" ref="H217" si="1969">G169</f>
        <v>14.5524</v>
      </c>
      <c r="I217" s="23">
        <f t="shared" ref="I217" si="1970">H169</f>
        <v>20.100999999999999</v>
      </c>
      <c r="J217" s="23">
        <f>I169</f>
        <v>21.487500000000001</v>
      </c>
      <c r="K217" s="23">
        <f>J169</f>
        <v>16.333300000000001</v>
      </c>
      <c r="L217" s="23">
        <f t="shared" ref="L217" si="1971">K169</f>
        <v>14.285</v>
      </c>
      <c r="M217" s="23">
        <f t="shared" ref="M217" si="1972">L169</f>
        <v>20.7959</v>
      </c>
      <c r="N217" s="23">
        <f t="shared" ref="N217" si="1973">M169</f>
        <v>26.717400000000001</v>
      </c>
      <c r="O217" s="23">
        <f t="shared" ref="O217" si="1974">N169</f>
        <v>23.299299999999999</v>
      </c>
      <c r="P217" s="23">
        <f t="shared" ref="P217" si="1975">O169</f>
        <v>51.459499999999998</v>
      </c>
      <c r="Q217" s="23">
        <f t="shared" ref="Q217" si="1976">P169</f>
        <v>133.25659999999999</v>
      </c>
      <c r="R217" s="23">
        <f t="shared" ref="R217" si="1977">Q169</f>
        <v>182.4545</v>
      </c>
      <c r="S217" s="23">
        <f t="shared" ref="S217" si="1978">R169</f>
        <v>251.5249</v>
      </c>
      <c r="T217" s="23">
        <f t="shared" ref="T217" si="1979">S169</f>
        <v>394.34460000000001</v>
      </c>
      <c r="U217" s="23">
        <f t="shared" ref="U217" si="1980">T169</f>
        <v>515.81460000000004</v>
      </c>
      <c r="V217" s="23">
        <f t="shared" ref="V217" si="1981">U169</f>
        <v>664.22469999999998</v>
      </c>
      <c r="W217" s="23">
        <f t="shared" ref="W217:AA217" si="1982">V169</f>
        <v>859.61980000000005</v>
      </c>
      <c r="X217" s="23">
        <f t="shared" si="1982"/>
        <v>965.20899999999995</v>
      </c>
      <c r="Y217" s="23">
        <f t="shared" si="1982"/>
        <v>1191.5528999999999</v>
      </c>
      <c r="Z217" s="23">
        <f t="shared" si="1982"/>
        <v>1392.4709</v>
      </c>
      <c r="AA217" s="23">
        <f t="shared" si="1982"/>
        <v>1606.3933</v>
      </c>
      <c r="AB217" s="24">
        <f t="shared" ref="AB217" si="1983">AA169</f>
        <v>1668.6351</v>
      </c>
      <c r="AC217" s="24">
        <f t="shared" ref="AC217" si="1984">AB169</f>
        <v>2267.1304085771858</v>
      </c>
      <c r="AD217" s="24">
        <f t="shared" ref="AD217" si="1985">AC169</f>
        <v>3068.9862716686421</v>
      </c>
      <c r="AE217" s="24">
        <f t="shared" ref="AE217" si="1986">AD169</f>
        <v>4239.6265933853892</v>
      </c>
      <c r="AI217" s="23">
        <f t="shared" ref="AI217" si="1987">AH169</f>
        <v>0</v>
      </c>
      <c r="AJ217" s="23">
        <f t="shared" ref="AJ217" si="1988">AI169</f>
        <v>0</v>
      </c>
      <c r="AK217" s="23">
        <f t="shared" ref="AK217" si="1989">AJ169</f>
        <v>20.504000000000001</v>
      </c>
      <c r="AL217" s="23">
        <f t="shared" ref="AL217" si="1990">AK169</f>
        <v>28.221434653879609</v>
      </c>
      <c r="AM217" s="23">
        <f t="shared" ref="AM217" si="1991">AL169</f>
        <v>23.298999999999999</v>
      </c>
      <c r="AN217" s="23">
        <f t="shared" ref="AN217" si="1992">AM169</f>
        <v>26.97511511821423</v>
      </c>
      <c r="AO217" s="23">
        <f t="shared" ref="AO217" si="1993">AN169</f>
        <v>30.433</v>
      </c>
      <c r="AP217" s="23">
        <f t="shared" ref="AP217" si="1994">AO169</f>
        <v>47.685615286624156</v>
      </c>
      <c r="AQ217" s="23">
        <f t="shared" ref="AQ217" si="1995">AP169</f>
        <v>51.459000000000003</v>
      </c>
      <c r="AR217" s="23">
        <f t="shared" ref="AR217" si="1996">AQ169</f>
        <v>81.22210740879072</v>
      </c>
      <c r="AS217" s="23">
        <f t="shared" ref="AS217" si="1997">AR169</f>
        <v>65.403999999999996</v>
      </c>
      <c r="AT217" s="23">
        <f t="shared" ref="AT217" si="1998">AS169</f>
        <v>87.248684456705945</v>
      </c>
      <c r="AU217" s="23">
        <f t="shared" ref="AU217" si="1999">AT169</f>
        <v>133.25700000000001</v>
      </c>
      <c r="AV217" s="23">
        <f t="shared" ref="AV217" si="2000">AU169</f>
        <v>164.29815693803073</v>
      </c>
      <c r="AW217" s="23">
        <f t="shared" ref="AW217" si="2001">AV169</f>
        <v>113.89</v>
      </c>
      <c r="AX217" s="23">
        <f t="shared" ref="AX217" si="2002">AW169</f>
        <v>149.24615070659735</v>
      </c>
      <c r="AY217" s="23">
        <f t="shared" ref="AY217" si="2003">AX169</f>
        <v>182.45500000000001</v>
      </c>
      <c r="AZ217" s="23">
        <f t="shared" ref="AZ217" si="2004">AY169</f>
        <v>224.32016525146963</v>
      </c>
      <c r="BA217" s="23">
        <f t="shared" ref="BA217" si="2005">AZ169</f>
        <v>189.70099999999999</v>
      </c>
      <c r="BB217" s="23">
        <f t="shared" ref="BB217" si="2006">BA169</f>
        <v>230.9271770112222</v>
      </c>
      <c r="BC217" s="23">
        <f t="shared" ref="BC217" si="2007">BB169</f>
        <v>251.52500000000001</v>
      </c>
      <c r="BD217" s="23">
        <f t="shared" ref="BD217" si="2008">BC169</f>
        <v>303.55380438046836</v>
      </c>
      <c r="BE217" s="23">
        <f t="shared" ref="BE217" si="2009">BD169</f>
        <v>238.626</v>
      </c>
      <c r="BF217" s="23">
        <f t="shared" ref="BF217" si="2010">BE169</f>
        <v>301.29299407284435</v>
      </c>
      <c r="BG217" s="23">
        <f t="shared" ref="BG217" si="2011">BF169</f>
        <v>394.34399999999999</v>
      </c>
      <c r="BH217" s="23">
        <f t="shared" ref="BH217" si="2012">BG169</f>
        <v>460.19996869538807</v>
      </c>
      <c r="BI217" s="23">
        <f t="shared" ref="BI217" si="2013">BH169</f>
        <v>407.27800000000002</v>
      </c>
      <c r="BJ217" s="23">
        <f t="shared" ref="BJ217" si="2014">BI169</f>
        <v>478.7564787280528</v>
      </c>
      <c r="BK217" s="23">
        <f t="shared" ref="BK217" si="2015">BJ169</f>
        <v>515.81399999999996</v>
      </c>
      <c r="BL217" s="23">
        <f t="shared" ref="BL217" si="2016">BK169</f>
        <v>597.86569498202937</v>
      </c>
      <c r="BM217" s="23">
        <f t="shared" ref="BM217" si="2017">BL169</f>
        <v>504.68299999999999</v>
      </c>
      <c r="BN217" s="23">
        <f t="shared" ref="BN217" si="2018">BM169</f>
        <v>551.65821192140527</v>
      </c>
      <c r="BO217" s="23">
        <f t="shared" ref="BO217" si="2019">BN169</f>
        <v>664.22500000000002</v>
      </c>
      <c r="BP217" s="23">
        <f t="shared" ref="BP217" si="2020">BO169</f>
        <v>763.45378887863569</v>
      </c>
      <c r="BQ217" s="23">
        <f t="shared" ref="BQ217" si="2021">BP169</f>
        <v>739.39400000000001</v>
      </c>
      <c r="BR217" s="23">
        <f t="shared" ref="BR217" si="2022">BQ169</f>
        <v>810.15921169559635</v>
      </c>
      <c r="BS217" s="23">
        <f t="shared" ref="BS217" si="2023">BR169</f>
        <v>859.61900000000003</v>
      </c>
      <c r="BT217" s="23">
        <f t="shared" ref="BT217" si="2024">BS169</f>
        <v>939.62658281313895</v>
      </c>
      <c r="BU217" s="23">
        <f t="shared" ref="BU217" si="2025">BT169</f>
        <v>879.75400000000002</v>
      </c>
      <c r="BV217" s="23">
        <f t="shared" ref="BV217" si="2026">BU169</f>
        <v>1007.9872033608194</v>
      </c>
      <c r="BW217" s="23">
        <f t="shared" ref="BW217" si="2027">BV169</f>
        <v>965.20899999999995</v>
      </c>
      <c r="BX217" s="23">
        <f t="shared" ref="BX217" si="2028">BW169</f>
        <v>1111.7819712089233</v>
      </c>
      <c r="BY217" s="23">
        <f t="shared" ref="BY217" si="2029">BX169</f>
        <v>961.65099999999995</v>
      </c>
      <c r="BZ217" s="23">
        <f t="shared" ref="BZ217" si="2030">BY169</f>
        <v>1107.8392358462256</v>
      </c>
      <c r="CA217" s="23">
        <f t="shared" ref="CA217" si="2031">BZ169</f>
        <v>1191.5530000000001</v>
      </c>
      <c r="CB217" s="23">
        <f t="shared" ref="CB217" si="2032">CA169</f>
        <v>1367.5281643689134</v>
      </c>
      <c r="CC217" s="23">
        <f t="shared" ref="CC217" si="2033">CB169</f>
        <v>1178.549</v>
      </c>
      <c r="CD217" s="23">
        <f t="shared" ref="CD217" si="2034">CC169</f>
        <v>1355.9610610333698</v>
      </c>
      <c r="CE217" s="23">
        <f t="shared" ref="CE217" si="2035">CD169</f>
        <v>1392.471</v>
      </c>
      <c r="CF217" s="23">
        <f t="shared" ref="CF217" si="2036">CE169</f>
        <v>1556.4666319194475</v>
      </c>
      <c r="CG217" s="23">
        <f t="shared" ref="CG217" si="2037">CF169</f>
        <v>1316.624</v>
      </c>
      <c r="CH217" s="23">
        <f t="shared" ref="CH217:CL217" si="2038">CG169</f>
        <v>1530.1647525741134</v>
      </c>
      <c r="CI217" s="23">
        <f t="shared" si="2038"/>
        <v>1606.3933</v>
      </c>
      <c r="CJ217" s="23">
        <f t="shared" si="2038"/>
        <v>1791.0579886262351</v>
      </c>
      <c r="CK217" s="23">
        <f t="shared" ref="CK217" si="2039">CJ169</f>
        <v>1269.261</v>
      </c>
      <c r="CL217" s="23">
        <f t="shared" si="2038"/>
        <v>1303.1197184321563</v>
      </c>
      <c r="CM217" s="24">
        <f t="shared" ref="CM217" si="2040">CL169</f>
        <v>1668.635</v>
      </c>
      <c r="CN217" s="24">
        <f t="shared" ref="CN217" si="2041">CM169</f>
        <v>1838.3173778419873</v>
      </c>
      <c r="CO217" s="24">
        <f t="shared" ref="CO217" si="2042">CN169</f>
        <v>1958.1448347441171</v>
      </c>
      <c r="CP217" s="24">
        <f t="shared" ref="CP217" si="2043">CO169</f>
        <v>2101.933465983901</v>
      </c>
      <c r="CQ217" s="24">
        <f t="shared" ref="CQ217" si="2044">CP169</f>
        <v>2267.1304085771858</v>
      </c>
      <c r="CR217" s="24">
        <f t="shared" ref="CR217" si="2045">CQ169</f>
        <v>2469.8444279740511</v>
      </c>
      <c r="CS217" s="24">
        <f t="shared" ref="CS217" si="2046">CR169</f>
        <v>2648.9642959705202</v>
      </c>
      <c r="CT217" s="24">
        <f t="shared" ref="CT217" si="2047">CS169</f>
        <v>2849.1111090446452</v>
      </c>
      <c r="CU217" s="24">
        <f t="shared" ref="CU217" si="2048">CT169</f>
        <v>3068.9862716686421</v>
      </c>
      <c r="CV217" s="24">
        <f t="shared" ref="CV217" si="2049">CU169</f>
        <v>3355.0884278089688</v>
      </c>
      <c r="CW217" s="24">
        <f t="shared" ref="CW217" si="2050">CV169</f>
        <v>3641.7606217736411</v>
      </c>
      <c r="CX217" s="24">
        <f t="shared" ref="CX217" si="2051">CW169</f>
        <v>3937.2857768899917</v>
      </c>
      <c r="CY217" s="24">
        <f t="shared" ref="CY217" si="2052">CX169</f>
        <v>4239.6265933853892</v>
      </c>
      <c r="CZ217" s="24">
        <f t="shared" ref="CZ217" si="2053">CY169</f>
        <v>4571.8331753170551</v>
      </c>
      <c r="DA217" s="24">
        <f t="shared" ref="DA217" si="2054">CZ169</f>
        <v>4885.9080417784508</v>
      </c>
      <c r="DB217" s="24">
        <f t="shared" ref="DB217" si="2055">DA169</f>
        <v>5207.2770735640806</v>
      </c>
      <c r="DE217" s="123"/>
      <c r="DF217" s="23">
        <v>1303.1197184321563</v>
      </c>
    </row>
    <row r="218" spans="1:110" s="23" customFormat="1" x14ac:dyDescent="0.2">
      <c r="A218" s="23" t="s">
        <v>443</v>
      </c>
      <c r="C218" s="23">
        <f t="shared" ref="C218:W218" si="2056">C217+C213+C209+C207</f>
        <v>7.3799000000000028</v>
      </c>
      <c r="D218" s="23">
        <f t="shared" si="2056"/>
        <v>4.1071999999999944</v>
      </c>
      <c r="E218" s="23">
        <f t="shared" si="2056"/>
        <v>17.401199999999996</v>
      </c>
      <c r="F218" s="23">
        <f t="shared" si="2056"/>
        <v>14.107299999999999</v>
      </c>
      <c r="G218" s="23">
        <f t="shared" si="2056"/>
        <v>14.552400000000013</v>
      </c>
      <c r="H218" s="23">
        <f t="shared" si="2056"/>
        <v>20.100999999999985</v>
      </c>
      <c r="I218" s="23">
        <f t="shared" si="2056"/>
        <v>21.487500000000011</v>
      </c>
      <c r="J218" s="23">
        <f>J217+J213+J209+J207</f>
        <v>16.333299999999994</v>
      </c>
      <c r="K218" s="23">
        <f>K217+K213+K209+K207</f>
        <v>14.285000000000029</v>
      </c>
      <c r="L218" s="23">
        <f>L217+L213+L209+L207</f>
        <v>20.795899999999989</v>
      </c>
      <c r="M218" s="23">
        <f>M217+M213+M209+M207</f>
        <v>26.717399999999998</v>
      </c>
      <c r="N218" s="23">
        <f t="shared" si="2056"/>
        <v>23.299300000000002</v>
      </c>
      <c r="O218" s="23">
        <f t="shared" si="2056"/>
        <v>51.45950000000002</v>
      </c>
      <c r="P218" s="23">
        <f t="shared" si="2056"/>
        <v>133.25659999999993</v>
      </c>
      <c r="Q218" s="23">
        <f t="shared" si="2056"/>
        <v>182.45449999999994</v>
      </c>
      <c r="R218" s="23">
        <f t="shared" si="2056"/>
        <v>251.52489999999997</v>
      </c>
      <c r="S218" s="23">
        <f t="shared" si="2056"/>
        <v>394.34459999999996</v>
      </c>
      <c r="T218" s="23">
        <f t="shared" si="2056"/>
        <v>515.81460000000015</v>
      </c>
      <c r="U218" s="23">
        <f t="shared" si="2056"/>
        <v>664.22469999999998</v>
      </c>
      <c r="V218" s="23">
        <f t="shared" si="2056"/>
        <v>859.61979999999994</v>
      </c>
      <c r="W218" s="23">
        <f t="shared" si="2056"/>
        <v>965.20900000000006</v>
      </c>
      <c r="X218" s="23">
        <f t="shared" ref="X218:Y218" si="2057">X217+X213+X209+X207</f>
        <v>1191.5529000000001</v>
      </c>
      <c r="Y218" s="23">
        <f t="shared" si="2057"/>
        <v>1392.4708999999998</v>
      </c>
      <c r="Z218" s="23">
        <f t="shared" ref="Z218:AA218" si="2058">Z217+Z213+Z209+Z207</f>
        <v>1606.3932999999997</v>
      </c>
      <c r="AA218" s="23">
        <f t="shared" si="2058"/>
        <v>1668.6350999999995</v>
      </c>
      <c r="AB218" s="24">
        <f t="shared" ref="AA218:AD218" si="2059">AB217+AB213+AB209+AB207</f>
        <v>2267.1294085771851</v>
      </c>
      <c r="AC218" s="24">
        <f t="shared" si="2059"/>
        <v>3068.9862716686421</v>
      </c>
      <c r="AD218" s="24">
        <f t="shared" si="2059"/>
        <v>4239.6265933853892</v>
      </c>
      <c r="AE218" s="24">
        <f t="shared" ref="AE218" si="2060">AE217+AE213+AE209+AE207</f>
        <v>5535.4972749285289</v>
      </c>
      <c r="AI218" s="23">
        <f t="shared" ref="AI218" si="2061">AI217+AI213+AI209+AI207</f>
        <v>0</v>
      </c>
      <c r="AJ218" s="23">
        <f t="shared" ref="AJ218:AL218" si="2062">AJ217+AJ213+AJ209+AJ207</f>
        <v>20.503999999999991</v>
      </c>
      <c r="AK218" s="23">
        <f t="shared" si="2062"/>
        <v>28.221434653879609</v>
      </c>
      <c r="AL218" s="23">
        <f t="shared" si="2062"/>
        <v>23.300000000000054</v>
      </c>
      <c r="AM218" s="23">
        <f t="shared" ref="AM218" si="2063">AM217+AM213+AM209+AM207</f>
        <v>26.97511511821423</v>
      </c>
      <c r="AN218" s="23">
        <f t="shared" ref="AN218:CD218" si="2064">AN217+AN213+AN209+AN207</f>
        <v>30.431999999999977</v>
      </c>
      <c r="AO218" s="23">
        <f t="shared" si="2064"/>
        <v>47.685615286624156</v>
      </c>
      <c r="AP218" s="23">
        <f t="shared" si="2064"/>
        <v>51.459000000000032</v>
      </c>
      <c r="AQ218" s="23">
        <f t="shared" si="2064"/>
        <v>81.22210740879072</v>
      </c>
      <c r="AR218" s="23">
        <f t="shared" si="2064"/>
        <v>65.403999999999996</v>
      </c>
      <c r="AS218" s="23">
        <f t="shared" si="2064"/>
        <v>87.248684456705945</v>
      </c>
      <c r="AT218" s="23">
        <f t="shared" si="2064"/>
        <v>133.25699999999995</v>
      </c>
      <c r="AU218" s="23">
        <f t="shared" si="2064"/>
        <v>164.29815693803073</v>
      </c>
      <c r="AV218" s="23">
        <f t="shared" si="2064"/>
        <v>113.89</v>
      </c>
      <c r="AW218" s="23">
        <f t="shared" si="2064"/>
        <v>149.24615070659735</v>
      </c>
      <c r="AX218" s="23">
        <f t="shared" si="2064"/>
        <v>182.45500000000004</v>
      </c>
      <c r="AY218" s="23">
        <f t="shared" si="2064"/>
        <v>224.32016525146963</v>
      </c>
      <c r="AZ218" s="23">
        <f t="shared" si="2064"/>
        <v>189.70099999999999</v>
      </c>
      <c r="BA218" s="23">
        <f t="shared" si="2064"/>
        <v>230.9271770112222</v>
      </c>
      <c r="BB218" s="23">
        <f t="shared" si="2064"/>
        <v>251.52500000000001</v>
      </c>
      <c r="BC218" s="23">
        <f t="shared" si="2064"/>
        <v>303.55380438046836</v>
      </c>
      <c r="BD218" s="23">
        <f t="shared" si="2064"/>
        <v>238.62500000000006</v>
      </c>
      <c r="BE218" s="23">
        <f t="shared" si="2064"/>
        <v>301.29299407284435</v>
      </c>
      <c r="BF218" s="23">
        <f t="shared" si="2064"/>
        <v>394.34500000000003</v>
      </c>
      <c r="BG218" s="23">
        <f t="shared" si="2064"/>
        <v>460.19996869538807</v>
      </c>
      <c r="BH218" s="23">
        <f t="shared" si="2064"/>
        <v>407.27899999999994</v>
      </c>
      <c r="BI218" s="23">
        <f t="shared" si="2064"/>
        <v>478.7564787280528</v>
      </c>
      <c r="BJ218" s="23">
        <f t="shared" si="2064"/>
        <v>515.8130000000001</v>
      </c>
      <c r="BK218" s="23">
        <f t="shared" si="2064"/>
        <v>597.86569498202937</v>
      </c>
      <c r="BL218" s="23">
        <f t="shared" si="2064"/>
        <v>504.68399999999997</v>
      </c>
      <c r="BM218" s="23">
        <f t="shared" si="2064"/>
        <v>551.65821192140527</v>
      </c>
      <c r="BN218" s="23">
        <f t="shared" si="2064"/>
        <v>664.22400000000016</v>
      </c>
      <c r="BO218" s="23">
        <f t="shared" si="2064"/>
        <v>763.45378887863569</v>
      </c>
      <c r="BP218" s="23">
        <f t="shared" si="2064"/>
        <v>739.39800000000014</v>
      </c>
      <c r="BQ218" s="23">
        <f t="shared" si="2064"/>
        <v>810.15921169559635</v>
      </c>
      <c r="BR218" s="23">
        <f t="shared" si="2064"/>
        <v>859.61599999999999</v>
      </c>
      <c r="BS218" s="23">
        <f t="shared" si="2064"/>
        <v>939.62658281313895</v>
      </c>
      <c r="BT218" s="23">
        <f t="shared" si="2064"/>
        <v>879.75299999999982</v>
      </c>
      <c r="BU218" s="23">
        <f t="shared" si="2064"/>
        <v>1007.9872033608194</v>
      </c>
      <c r="BV218" s="23">
        <f t="shared" si="2064"/>
        <v>965.20799999999986</v>
      </c>
      <c r="BW218" s="23">
        <f t="shared" si="2064"/>
        <v>1111.7819712089233</v>
      </c>
      <c r="BX218" s="23">
        <f t="shared" si="2064"/>
        <v>961.65200000000016</v>
      </c>
      <c r="BY218" s="23">
        <f t="shared" si="2064"/>
        <v>1107.8392358462256</v>
      </c>
      <c r="BZ218" s="23">
        <f t="shared" si="2064"/>
        <v>1191.5519999999997</v>
      </c>
      <c r="CA218" s="23">
        <f t="shared" si="2064"/>
        <v>1367.5281643689134</v>
      </c>
      <c r="CB218" s="23">
        <f t="shared" si="2064"/>
        <v>1178.5500000000006</v>
      </c>
      <c r="CC218" s="23">
        <f t="shared" si="2064"/>
        <v>1355.9610610333698</v>
      </c>
      <c r="CD218" s="23">
        <f t="shared" si="2064"/>
        <v>1392.4720000000002</v>
      </c>
      <c r="CE218" s="23">
        <f t="shared" ref="CE218:CF218" si="2065">CE217+CE213+CE209+CE207</f>
        <v>1556.4666319194475</v>
      </c>
      <c r="CF218" s="23">
        <f t="shared" si="2065"/>
        <v>1316.623</v>
      </c>
      <c r="CG218" s="23">
        <f t="shared" ref="CG218:CH218" si="2066">CG217+CG213+CG209+CG207</f>
        <v>1530.1647525741134</v>
      </c>
      <c r="CH218" s="23">
        <f t="shared" si="2066"/>
        <v>1606.3933000000002</v>
      </c>
      <c r="CI218" s="23">
        <f t="shared" ref="CI218:CJ218" si="2067">CI217+CI213+CI209+CI207</f>
        <v>1791.0579886262351</v>
      </c>
      <c r="CJ218" s="23">
        <f t="shared" si="2067"/>
        <v>1269.2620000000002</v>
      </c>
      <c r="CK218" s="23">
        <f t="shared" ref="CK218:DB218" si="2068">CK217+CK213+CK209+CK207</f>
        <v>1303.1197184321563</v>
      </c>
      <c r="CL218" s="23">
        <f t="shared" si="2068"/>
        <v>1668.6329999999998</v>
      </c>
      <c r="CM218" s="24">
        <f t="shared" si="2068"/>
        <v>1838.3173778419873</v>
      </c>
      <c r="CN218" s="24">
        <f t="shared" si="2068"/>
        <v>1958.1448347441171</v>
      </c>
      <c r="CO218" s="24">
        <f t="shared" si="2068"/>
        <v>2101.933465983901</v>
      </c>
      <c r="CP218" s="24">
        <f t="shared" si="2068"/>
        <v>2267.1304085771858</v>
      </c>
      <c r="CQ218" s="24">
        <f t="shared" si="2068"/>
        <v>2469.8444279740511</v>
      </c>
      <c r="CR218" s="24">
        <f t="shared" si="2068"/>
        <v>2648.9642959705202</v>
      </c>
      <c r="CS218" s="24">
        <f t="shared" si="2068"/>
        <v>2849.1111090446452</v>
      </c>
      <c r="CT218" s="24">
        <f t="shared" si="2068"/>
        <v>3068.9862716686421</v>
      </c>
      <c r="CU218" s="24">
        <f t="shared" si="2068"/>
        <v>3355.0884278089688</v>
      </c>
      <c r="CV218" s="24">
        <f t="shared" si="2068"/>
        <v>3641.7606217736411</v>
      </c>
      <c r="CW218" s="24">
        <f t="shared" si="2068"/>
        <v>3937.2857768899917</v>
      </c>
      <c r="CX218" s="24">
        <f t="shared" si="2068"/>
        <v>4239.6265933853892</v>
      </c>
      <c r="CY218" s="24">
        <f t="shared" si="2068"/>
        <v>4571.8331753170551</v>
      </c>
      <c r="CZ218" s="24">
        <f t="shared" si="2068"/>
        <v>4885.9080417784508</v>
      </c>
      <c r="DA218" s="24">
        <f t="shared" si="2068"/>
        <v>5207.2770735640806</v>
      </c>
      <c r="DB218" s="24">
        <f t="shared" si="2068"/>
        <v>5535.497274928528</v>
      </c>
      <c r="DE218" s="123"/>
      <c r="DF218" s="23">
        <v>1461.0022130773798</v>
      </c>
    </row>
    <row r="219" spans="1:110" s="28" customFormat="1" x14ac:dyDescent="0.2">
      <c r="A219" s="28" t="s">
        <v>444</v>
      </c>
      <c r="C219" s="28">
        <f t="shared" ref="C219:W219" si="2069">C218-C169</f>
        <v>0</v>
      </c>
      <c r="D219" s="28">
        <f t="shared" si="2069"/>
        <v>0</v>
      </c>
      <c r="E219" s="28">
        <f t="shared" si="2069"/>
        <v>0</v>
      </c>
      <c r="F219" s="28">
        <f t="shared" si="2069"/>
        <v>0</v>
      </c>
      <c r="G219" s="28">
        <f t="shared" si="2069"/>
        <v>0</v>
      </c>
      <c r="H219" s="28">
        <f t="shared" si="2069"/>
        <v>0</v>
      </c>
      <c r="I219" s="28">
        <f t="shared" si="2069"/>
        <v>0</v>
      </c>
      <c r="J219" s="28">
        <f>J218-J169</f>
        <v>0</v>
      </c>
      <c r="K219" s="28">
        <f t="shared" si="2069"/>
        <v>2.8421709430404007E-14</v>
      </c>
      <c r="L219" s="28">
        <f t="shared" si="2069"/>
        <v>0</v>
      </c>
      <c r="M219" s="28">
        <f t="shared" si="2069"/>
        <v>0</v>
      </c>
      <c r="N219" s="28">
        <f t="shared" si="2069"/>
        <v>0</v>
      </c>
      <c r="O219" s="28">
        <f t="shared" si="2069"/>
        <v>0</v>
      </c>
      <c r="P219" s="28">
        <f t="shared" si="2069"/>
        <v>0</v>
      </c>
      <c r="Q219" s="28">
        <f t="shared" si="2069"/>
        <v>0</v>
      </c>
      <c r="R219" s="28">
        <f t="shared" si="2069"/>
        <v>0</v>
      </c>
      <c r="S219" s="28">
        <f t="shared" si="2069"/>
        <v>0</v>
      </c>
      <c r="T219" s="28">
        <f t="shared" si="2069"/>
        <v>0</v>
      </c>
      <c r="U219" s="28">
        <f t="shared" si="2069"/>
        <v>0</v>
      </c>
      <c r="V219" s="28">
        <f t="shared" si="2069"/>
        <v>0</v>
      </c>
      <c r="W219" s="28">
        <f t="shared" si="2069"/>
        <v>0</v>
      </c>
      <c r="X219" s="28">
        <f t="shared" ref="X219:Y219" si="2070">X218-X169</f>
        <v>0</v>
      </c>
      <c r="Y219" s="28">
        <f t="shared" si="2070"/>
        <v>0</v>
      </c>
      <c r="Z219" s="28">
        <f t="shared" ref="Z219:AA219" si="2071">Z218-Z169</f>
        <v>0</v>
      </c>
      <c r="AA219" s="28">
        <f t="shared" si="2071"/>
        <v>0</v>
      </c>
      <c r="AB219" s="30">
        <f t="shared" ref="AA219:AD219" si="2072">AB218-AB169</f>
        <v>-1.0000000006584742E-3</v>
      </c>
      <c r="AC219" s="30">
        <f t="shared" si="2072"/>
        <v>0</v>
      </c>
      <c r="AD219" s="30">
        <f t="shared" si="2072"/>
        <v>0</v>
      </c>
      <c r="AE219" s="30">
        <f t="shared" ref="AE219" si="2073">AE218-AE169</f>
        <v>0</v>
      </c>
      <c r="AI219" s="28">
        <f t="shared" ref="AI219" si="2074">AI218-AI169</f>
        <v>0</v>
      </c>
      <c r="AJ219" s="28">
        <f t="shared" ref="AJ219:AL219" si="2075">AJ218-AJ169</f>
        <v>0</v>
      </c>
      <c r="AK219" s="28">
        <f t="shared" si="2075"/>
        <v>0</v>
      </c>
      <c r="AL219" s="28">
        <f t="shared" si="2075"/>
        <v>1.0000000000545128E-3</v>
      </c>
      <c r="AM219" s="28">
        <f t="shared" ref="AM219" si="2076">AM218-AM169</f>
        <v>0</v>
      </c>
      <c r="AN219" s="28">
        <f t="shared" ref="AN219:CD219" si="2077">AN218-AN169</f>
        <v>-1.0000000000225384E-3</v>
      </c>
      <c r="AO219" s="28">
        <f t="shared" si="2077"/>
        <v>0</v>
      </c>
      <c r="AP219" s="28">
        <f t="shared" si="2077"/>
        <v>0</v>
      </c>
      <c r="AQ219" s="28">
        <f t="shared" si="2077"/>
        <v>0</v>
      </c>
      <c r="AR219" s="28">
        <f t="shared" si="2077"/>
        <v>0</v>
      </c>
      <c r="AS219" s="28">
        <f t="shared" si="2077"/>
        <v>0</v>
      </c>
      <c r="AT219" s="28">
        <f t="shared" si="2077"/>
        <v>0</v>
      </c>
      <c r="AU219" s="28">
        <f t="shared" si="2077"/>
        <v>0</v>
      </c>
      <c r="AV219" s="28">
        <f t="shared" si="2077"/>
        <v>0</v>
      </c>
      <c r="AW219" s="28">
        <f t="shared" si="2077"/>
        <v>0</v>
      </c>
      <c r="AX219" s="28">
        <f t="shared" si="2077"/>
        <v>0</v>
      </c>
      <c r="AY219" s="28">
        <f t="shared" si="2077"/>
        <v>0</v>
      </c>
      <c r="AZ219" s="28">
        <f t="shared" si="2077"/>
        <v>0</v>
      </c>
      <c r="BA219" s="28">
        <f t="shared" si="2077"/>
        <v>0</v>
      </c>
      <c r="BB219" s="28">
        <f t="shared" si="2077"/>
        <v>0</v>
      </c>
      <c r="BC219" s="28">
        <f t="shared" si="2077"/>
        <v>0</v>
      </c>
      <c r="BD219" s="28">
        <f t="shared" si="2077"/>
        <v>-9.9999999994793143E-4</v>
      </c>
      <c r="BE219" s="28">
        <f t="shared" si="2077"/>
        <v>0</v>
      </c>
      <c r="BF219" s="28">
        <f t="shared" si="2077"/>
        <v>1.0000000000331966E-3</v>
      </c>
      <c r="BG219" s="28">
        <f t="shared" si="2077"/>
        <v>0</v>
      </c>
      <c r="BH219" s="28">
        <f t="shared" si="2077"/>
        <v>9.9999999991950972E-4</v>
      </c>
      <c r="BI219" s="28">
        <f t="shared" si="2077"/>
        <v>0</v>
      </c>
      <c r="BJ219" s="28">
        <f t="shared" si="2077"/>
        <v>-9.999999998626663E-4</v>
      </c>
      <c r="BK219" s="28">
        <f t="shared" si="2077"/>
        <v>0</v>
      </c>
      <c r="BL219" s="28">
        <f t="shared" si="2077"/>
        <v>9.9999999997635314E-4</v>
      </c>
      <c r="BM219" s="28">
        <f t="shared" si="2077"/>
        <v>0</v>
      </c>
      <c r="BN219" s="28">
        <f t="shared" si="2077"/>
        <v>-9.999999998626663E-4</v>
      </c>
      <c r="BO219" s="28">
        <f t="shared" si="2077"/>
        <v>0</v>
      </c>
      <c r="BP219" s="28">
        <f t="shared" si="2077"/>
        <v>4.0000000001327862E-3</v>
      </c>
      <c r="BQ219" s="28">
        <f t="shared" si="2077"/>
        <v>0</v>
      </c>
      <c r="BR219" s="28">
        <f t="shared" si="2077"/>
        <v>-3.0000000000427463E-3</v>
      </c>
      <c r="BS219" s="28">
        <f t="shared" si="2077"/>
        <v>0</v>
      </c>
      <c r="BT219" s="28">
        <f t="shared" si="2077"/>
        <v>-1.0000000002037268E-3</v>
      </c>
      <c r="BU219" s="28">
        <f t="shared" si="2077"/>
        <v>0</v>
      </c>
      <c r="BV219" s="28">
        <f t="shared" si="2077"/>
        <v>-1.00000000009004E-3</v>
      </c>
      <c r="BW219" s="28">
        <f t="shared" si="2077"/>
        <v>0</v>
      </c>
      <c r="BX219" s="28">
        <f t="shared" si="2077"/>
        <v>1.0000000002037268E-3</v>
      </c>
      <c r="BY219" s="28">
        <f t="shared" si="2077"/>
        <v>0</v>
      </c>
      <c r="BZ219" s="28">
        <f t="shared" si="2077"/>
        <v>-1.0000000004311005E-3</v>
      </c>
      <c r="CA219" s="28">
        <f t="shared" si="2077"/>
        <v>0</v>
      </c>
      <c r="CB219" s="28">
        <f t="shared" si="2077"/>
        <v>1.0000000006584742E-3</v>
      </c>
      <c r="CC219" s="28">
        <f t="shared" si="2077"/>
        <v>0</v>
      </c>
      <c r="CD219" s="28">
        <f t="shared" si="2077"/>
        <v>1.0000000002037268E-3</v>
      </c>
      <c r="CE219" s="28">
        <f t="shared" ref="CE219:CF219" si="2078">CE218-CE169</f>
        <v>0</v>
      </c>
      <c r="CF219" s="28">
        <f t="shared" si="2078"/>
        <v>-9.9999999997635314E-4</v>
      </c>
      <c r="CG219" s="28">
        <f t="shared" ref="CG219:CH219" si="2079">CG218-CG169</f>
        <v>0</v>
      </c>
      <c r="CH219" s="28">
        <f t="shared" si="2079"/>
        <v>0</v>
      </c>
      <c r="CI219" s="28">
        <f t="shared" ref="CI219:CJ219" si="2080">CI218-CI169</f>
        <v>0</v>
      </c>
      <c r="CJ219" s="28">
        <f t="shared" si="2080"/>
        <v>1.0000000002037268E-3</v>
      </c>
      <c r="CK219" s="28">
        <f t="shared" ref="CK219:DB219" si="2081">CK218-CK169</f>
        <v>0</v>
      </c>
      <c r="CL219" s="28">
        <f t="shared" si="2081"/>
        <v>-2.00000000018008E-3</v>
      </c>
      <c r="CM219" s="30">
        <f t="shared" si="2081"/>
        <v>0</v>
      </c>
      <c r="CN219" s="30">
        <f t="shared" si="2081"/>
        <v>0</v>
      </c>
      <c r="CO219" s="30">
        <f t="shared" si="2081"/>
        <v>0</v>
      </c>
      <c r="CP219" s="30">
        <f t="shared" si="2081"/>
        <v>0</v>
      </c>
      <c r="CQ219" s="30">
        <f t="shared" si="2081"/>
        <v>0</v>
      </c>
      <c r="CR219" s="30">
        <f t="shared" si="2081"/>
        <v>0</v>
      </c>
      <c r="CS219" s="30">
        <f t="shared" si="2081"/>
        <v>0</v>
      </c>
      <c r="CT219" s="30">
        <f t="shared" si="2081"/>
        <v>0</v>
      </c>
      <c r="CU219" s="30">
        <f t="shared" si="2081"/>
        <v>0</v>
      </c>
      <c r="CV219" s="30">
        <f t="shared" si="2081"/>
        <v>0</v>
      </c>
      <c r="CW219" s="30">
        <f t="shared" si="2081"/>
        <v>0</v>
      </c>
      <c r="CX219" s="30">
        <f t="shared" si="2081"/>
        <v>0</v>
      </c>
      <c r="CY219" s="30">
        <f t="shared" si="2081"/>
        <v>0</v>
      </c>
      <c r="CZ219" s="30">
        <f t="shared" si="2081"/>
        <v>0</v>
      </c>
      <c r="DA219" s="30">
        <f t="shared" si="2081"/>
        <v>0</v>
      </c>
      <c r="DB219" s="30">
        <f t="shared" si="2081"/>
        <v>0</v>
      </c>
      <c r="DE219" s="139"/>
      <c r="DF219" s="28">
        <v>0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96</v>
      </c>
      <c r="C221" s="22">
        <f t="shared" ref="C221:W221" si="2082">C207+C209</f>
        <v>27.351600000000001</v>
      </c>
      <c r="D221" s="22">
        <f t="shared" si="2082"/>
        <v>5.2789000000000055</v>
      </c>
      <c r="E221" s="22">
        <f t="shared" si="2082"/>
        <v>29.634600000000027</v>
      </c>
      <c r="F221" s="22">
        <f t="shared" si="2082"/>
        <v>16.550500000000014</v>
      </c>
      <c r="G221" s="22">
        <f t="shared" si="2082"/>
        <v>23.527799999999992</v>
      </c>
      <c r="H221" s="22">
        <f t="shared" si="2082"/>
        <v>31.049799999999991</v>
      </c>
      <c r="I221" s="22">
        <f t="shared" si="2082"/>
        <v>-27.685399999999973</v>
      </c>
      <c r="J221" s="22">
        <f>J207+J209</f>
        <v>62.569099999999963</v>
      </c>
      <c r="K221" s="22">
        <f t="shared" si="2082"/>
        <v>2.582300000000032</v>
      </c>
      <c r="L221" s="22">
        <f t="shared" si="2082"/>
        <v>146.95640000000003</v>
      </c>
      <c r="M221" s="22">
        <f t="shared" si="2082"/>
        <v>151.37369999999993</v>
      </c>
      <c r="N221" s="22">
        <f t="shared" si="2082"/>
        <v>-9.6540000000000958</v>
      </c>
      <c r="O221" s="22">
        <f t="shared" si="2082"/>
        <v>118.39090000000002</v>
      </c>
      <c r="P221" s="22">
        <f t="shared" si="2082"/>
        <v>136.10139999999996</v>
      </c>
      <c r="Q221" s="22">
        <f t="shared" si="2082"/>
        <v>101.74250000000012</v>
      </c>
      <c r="R221" s="22">
        <f t="shared" si="2082"/>
        <v>71.878800000000098</v>
      </c>
      <c r="S221" s="22">
        <f t="shared" si="2082"/>
        <v>202.17549999999972</v>
      </c>
      <c r="T221" s="22">
        <f t="shared" si="2082"/>
        <v>207.03749999999997</v>
      </c>
      <c r="U221" s="22">
        <f t="shared" si="2082"/>
        <v>257.22759999999988</v>
      </c>
      <c r="V221" s="22">
        <f t="shared" si="2082"/>
        <v>301.38080000000014</v>
      </c>
      <c r="W221" s="22">
        <f t="shared" si="2082"/>
        <v>406.52929999999975</v>
      </c>
      <c r="X221" s="22">
        <f t="shared" ref="X221:Y221" si="2083">X207+X209</f>
        <v>496.6728999999998</v>
      </c>
      <c r="Y221" s="22">
        <f t="shared" si="2083"/>
        <v>573.26670000000001</v>
      </c>
      <c r="Z221" s="22">
        <f t="shared" ref="Z221:AA221" si="2084">Z207+Z209</f>
        <v>644.54659999999944</v>
      </c>
      <c r="AA221" s="22">
        <f t="shared" si="2084"/>
        <v>509.29929999999956</v>
      </c>
      <c r="AB221" s="21">
        <f t="shared" ref="AA221:AD221" si="2085">AB207+AB209</f>
        <v>598.4940085771857</v>
      </c>
      <c r="AC221" s="21">
        <f t="shared" si="2085"/>
        <v>801.85586309145754</v>
      </c>
      <c r="AD221" s="21">
        <f t="shared" si="2085"/>
        <v>1170.6403217167481</v>
      </c>
      <c r="AE221" s="21">
        <f t="shared" ref="AE221" si="2086">AE207+AE209</f>
        <v>1295.8706815431397</v>
      </c>
      <c r="AI221" s="22">
        <f t="shared" ref="AI221" si="2087">AI207+AI209</f>
        <v>2.6130000000000102</v>
      </c>
      <c r="AJ221" s="22">
        <f t="shared" ref="AJ221:AL221" si="2088">AJ207+AJ209</f>
        <v>-218.80699999999999</v>
      </c>
      <c r="AK221" s="22">
        <f t="shared" si="2088"/>
        <v>7.7174346538796073</v>
      </c>
      <c r="AL221" s="22">
        <f t="shared" si="2088"/>
        <v>-0.59543465387957006</v>
      </c>
      <c r="AM221" s="22">
        <f t="shared" ref="AM221" si="2089">AM207+AM209</f>
        <v>3.6761151182142306</v>
      </c>
      <c r="AN221" s="22">
        <f t="shared" ref="AN221:CD221" si="2090">AN207+AN209</f>
        <v>17.25688488178568</v>
      </c>
      <c r="AO221" s="22">
        <f t="shared" si="2090"/>
        <v>17.252615286624156</v>
      </c>
      <c r="AP221" s="22">
        <f t="shared" si="2090"/>
        <v>80.20538471337585</v>
      </c>
      <c r="AQ221" s="22">
        <f t="shared" si="2090"/>
        <v>29.763107408790738</v>
      </c>
      <c r="AR221" s="22">
        <f t="shared" si="2090"/>
        <v>-12.726107408790742</v>
      </c>
      <c r="AS221" s="22">
        <f t="shared" si="2090"/>
        <v>21.844684456705956</v>
      </c>
      <c r="AT221" s="22">
        <f t="shared" si="2090"/>
        <v>97.22131554329404</v>
      </c>
      <c r="AU221" s="22">
        <f t="shared" si="2090"/>
        <v>31.041156938030781</v>
      </c>
      <c r="AV221" s="22">
        <f t="shared" si="2090"/>
        <v>-50.342156938030755</v>
      </c>
      <c r="AW221" s="22">
        <f t="shared" si="2090"/>
        <v>35.356150706597276</v>
      </c>
      <c r="AX221" s="22">
        <f t="shared" si="2090"/>
        <v>85.676849293402697</v>
      </c>
      <c r="AY221" s="22">
        <f t="shared" si="2090"/>
        <v>41.86516525146962</v>
      </c>
      <c r="AZ221" s="22">
        <f t="shared" si="2090"/>
        <v>-32.479165251469617</v>
      </c>
      <c r="BA221" s="22">
        <f t="shared" si="2090"/>
        <v>41.226177011222219</v>
      </c>
      <c r="BB221" s="22">
        <f t="shared" si="2090"/>
        <v>21.267822988777773</v>
      </c>
      <c r="BC221" s="22">
        <f t="shared" si="2090"/>
        <v>52.028804380468365</v>
      </c>
      <c r="BD221" s="22">
        <f t="shared" si="2090"/>
        <v>-4.7708043804682916</v>
      </c>
      <c r="BE221" s="22">
        <f t="shared" si="2090"/>
        <v>62.666994072844361</v>
      </c>
      <c r="BF221" s="22">
        <f t="shared" si="2090"/>
        <v>92.252005927155608</v>
      </c>
      <c r="BG221" s="22">
        <f t="shared" si="2090"/>
        <v>65.855968695388029</v>
      </c>
      <c r="BH221" s="22">
        <f t="shared" si="2090"/>
        <v>31.357031304611986</v>
      </c>
      <c r="BI221" s="22">
        <f t="shared" si="2090"/>
        <v>71.47847872805275</v>
      </c>
      <c r="BJ221" s="22">
        <f t="shared" si="2090"/>
        <v>38.345521271947163</v>
      </c>
      <c r="BK221" s="22">
        <f t="shared" si="2090"/>
        <v>82.051694982029403</v>
      </c>
      <c r="BL221" s="22">
        <f t="shared" si="2090"/>
        <v>-44.091694982029381</v>
      </c>
      <c r="BM221" s="22">
        <f t="shared" si="2090"/>
        <v>46.975211921405275</v>
      </c>
      <c r="BN221" s="22">
        <f t="shared" si="2090"/>
        <v>172.29478807859482</v>
      </c>
      <c r="BO221" s="22">
        <f t="shared" si="2090"/>
        <v>99.228788878635669</v>
      </c>
      <c r="BP221" s="22">
        <f t="shared" si="2090"/>
        <v>25.562211121364392</v>
      </c>
      <c r="BQ221" s="22">
        <f t="shared" si="2090"/>
        <v>70.765211695596363</v>
      </c>
      <c r="BR221" s="22">
        <f t="shared" si="2090"/>
        <v>105.82478830440353</v>
      </c>
      <c r="BS221" s="22">
        <f t="shared" si="2090"/>
        <v>80.007582813138981</v>
      </c>
      <c r="BT221" s="22">
        <f t="shared" si="2090"/>
        <v>240.40941718686102</v>
      </c>
      <c r="BU221" s="22">
        <f t="shared" si="2090"/>
        <v>128.23320336081943</v>
      </c>
      <c r="BV221" s="22">
        <f t="shared" si="2090"/>
        <v>-42.123203360819559</v>
      </c>
      <c r="BW221" s="22">
        <f t="shared" si="2090"/>
        <v>146.57297120892332</v>
      </c>
      <c r="BX221" s="22">
        <f t="shared" si="2090"/>
        <v>117.7440287910768</v>
      </c>
      <c r="BY221" s="22">
        <f t="shared" si="2090"/>
        <v>146.1882358462255</v>
      </c>
      <c r="BZ221" s="22">
        <f t="shared" si="2090"/>
        <v>86.163764153774366</v>
      </c>
      <c r="CA221" s="22">
        <f t="shared" si="2090"/>
        <v>175.97516436891331</v>
      </c>
      <c r="CB221" s="22">
        <f t="shared" si="2090"/>
        <v>189.29783563108694</v>
      </c>
      <c r="CC221" s="22">
        <f t="shared" si="2090"/>
        <v>177.41206103336987</v>
      </c>
      <c r="CD221" s="22">
        <f t="shared" si="2090"/>
        <v>30.583938966630342</v>
      </c>
      <c r="CE221" s="22">
        <f t="shared" ref="CE221:CF221" si="2091">CE207+CE209</f>
        <v>163.99563191944753</v>
      </c>
      <c r="CF221" s="22">
        <f t="shared" si="2091"/>
        <v>192.75336808055212</v>
      </c>
      <c r="CG221" s="22">
        <f t="shared" ref="CG221:CH221" si="2092">CG207+CG209</f>
        <v>213.5407525741135</v>
      </c>
      <c r="CH221" s="22">
        <f t="shared" si="2092"/>
        <v>74.25764742588683</v>
      </c>
      <c r="CI221" s="22">
        <f t="shared" ref="CI221:CJ221" si="2093">CI207+CI209</f>
        <v>184.66468862623515</v>
      </c>
      <c r="CJ221" s="22">
        <f t="shared" si="2093"/>
        <v>-65.28208862623535</v>
      </c>
      <c r="CK221" s="22">
        <f t="shared" ref="CK221:DB221" si="2094">CK207+CK209</f>
        <v>33.858718432156323</v>
      </c>
      <c r="CL221" s="22">
        <f t="shared" si="2094"/>
        <v>356.0542815678437</v>
      </c>
      <c r="CM221" s="21">
        <f t="shared" si="2094"/>
        <v>169.68237784198735</v>
      </c>
      <c r="CN221" s="21">
        <f t="shared" si="2094"/>
        <v>119.82745690212985</v>
      </c>
      <c r="CO221" s="21">
        <f t="shared" si="2094"/>
        <v>143.78863123978377</v>
      </c>
      <c r="CP221" s="21">
        <f t="shared" si="2094"/>
        <v>165.19694259328489</v>
      </c>
      <c r="CQ221" s="21">
        <f t="shared" si="2094"/>
        <v>202.71401939686589</v>
      </c>
      <c r="CR221" s="21">
        <f t="shared" si="2094"/>
        <v>179.11986799646917</v>
      </c>
      <c r="CS221" s="21">
        <f t="shared" si="2094"/>
        <v>200.14681307412508</v>
      </c>
      <c r="CT221" s="21">
        <f t="shared" si="2094"/>
        <v>219.87516262399674</v>
      </c>
      <c r="CU221" s="21">
        <f t="shared" si="2094"/>
        <v>286.10215614032688</v>
      </c>
      <c r="CV221" s="21">
        <f t="shared" si="2094"/>
        <v>286.67219396467209</v>
      </c>
      <c r="CW221" s="21">
        <f t="shared" si="2094"/>
        <v>295.52515511635164</v>
      </c>
      <c r="CX221" s="21">
        <f t="shared" si="2094"/>
        <v>302.34081649539729</v>
      </c>
      <c r="CY221" s="21">
        <f t="shared" si="2094"/>
        <v>332.20658193166577</v>
      </c>
      <c r="CZ221" s="21">
        <f t="shared" si="2094"/>
        <v>314.07486646139603</v>
      </c>
      <c r="DA221" s="21">
        <f t="shared" si="2094"/>
        <v>321.36903178563</v>
      </c>
      <c r="DB221" s="21">
        <f t="shared" si="2094"/>
        <v>328.22020136444758</v>
      </c>
      <c r="DE221" s="126"/>
      <c r="DF221" s="22">
        <v>157.8824946452234</v>
      </c>
    </row>
    <row r="222" spans="1:110" x14ac:dyDescent="0.2">
      <c r="A222" s="152" t="s">
        <v>496</v>
      </c>
      <c r="AA222" s="2"/>
      <c r="CL222" s="2"/>
    </row>
    <row r="223" spans="1:110" x14ac:dyDescent="0.2">
      <c r="AA223" s="2"/>
      <c r="CL223" s="2"/>
    </row>
    <row r="224" spans="1:110" s="7" customFormat="1" hidden="1" outlineLevel="1" x14ac:dyDescent="0.2">
      <c r="A224" s="61" t="s">
        <v>97</v>
      </c>
      <c r="AB224" s="77"/>
      <c r="AC224" s="77"/>
      <c r="AD224" s="77"/>
      <c r="AE224" s="77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50"/>
      <c r="DB224" s="50"/>
      <c r="DE224" s="138"/>
    </row>
    <row r="225" spans="1:110" s="62" customFormat="1" hidden="1" outlineLevel="1" x14ac:dyDescent="0.2">
      <c r="A225" s="62" t="s">
        <v>98</v>
      </c>
      <c r="AB225" s="63"/>
      <c r="AC225" s="63"/>
      <c r="AD225" s="63"/>
      <c r="AE225" s="63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9"/>
    </row>
    <row r="226" spans="1:110" s="62" customFormat="1" hidden="1" outlineLevel="1" x14ac:dyDescent="0.2">
      <c r="A226" s="62" t="s">
        <v>99</v>
      </c>
      <c r="AB226" s="63"/>
      <c r="AC226" s="63"/>
      <c r="AD226" s="63"/>
      <c r="AE226" s="63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</row>
    <row r="227" spans="1:110" s="62" customFormat="1" hidden="1" outlineLevel="1" x14ac:dyDescent="0.2">
      <c r="A227" s="62" t="s">
        <v>100</v>
      </c>
      <c r="AB227" s="63"/>
      <c r="AC227" s="63"/>
      <c r="AD227" s="63"/>
      <c r="AE227" s="63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10" s="62" customFormat="1" hidden="1" outlineLevel="1" x14ac:dyDescent="0.2"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62" customFormat="1" hidden="1" outlineLevel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11" customFormat="1" collapsed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83" customFormat="1" x14ac:dyDescent="0.2">
      <c r="A232" s="82" t="s">
        <v>101</v>
      </c>
      <c r="AB232" s="72"/>
      <c r="AC232" s="72"/>
      <c r="AD232" s="72"/>
      <c r="AE232" s="72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6" customFormat="1" x14ac:dyDescent="0.2">
      <c r="A233" s="66" t="s">
        <v>471</v>
      </c>
      <c r="AB233" s="50"/>
      <c r="AC233" s="50"/>
      <c r="AD233" s="50"/>
      <c r="AE233" s="50"/>
      <c r="AL233" s="66">
        <f t="shared" ref="AL233:BQ233" si="2095">SUM(AI18:AL18)</f>
        <v>615.47299999999996</v>
      </c>
      <c r="AM233" s="66">
        <f t="shared" si="2095"/>
        <v>642.44900000000007</v>
      </c>
      <c r="AN233" s="66">
        <f t="shared" si="2095"/>
        <v>679.86699999999996</v>
      </c>
      <c r="AO233" s="66">
        <f t="shared" si="2095"/>
        <v>722.09799999999996</v>
      </c>
      <c r="AP233" s="66">
        <f t="shared" si="2095"/>
        <v>772.44399999999996</v>
      </c>
      <c r="AQ233" s="66">
        <f t="shared" si="2095"/>
        <v>790.02599999999995</v>
      </c>
      <c r="AR233" s="66">
        <f t="shared" si="2095"/>
        <v>804.51600000000008</v>
      </c>
      <c r="AS233" s="66">
        <f t="shared" si="2095"/>
        <v>825.322</v>
      </c>
      <c r="AT233" s="66">
        <f t="shared" si="2095"/>
        <v>842.03800000000001</v>
      </c>
      <c r="AU233" s="66">
        <f t="shared" si="2095"/>
        <v>894.80399999999997</v>
      </c>
      <c r="AV233" s="66">
        <f t="shared" si="2095"/>
        <v>954.00199999999995</v>
      </c>
      <c r="AW233" s="66">
        <f t="shared" si="2095"/>
        <v>1007.07</v>
      </c>
      <c r="AX233" s="66">
        <f t="shared" si="2095"/>
        <v>1071.395</v>
      </c>
      <c r="AY233" s="66">
        <f t="shared" si="2095"/>
        <v>1121.442</v>
      </c>
      <c r="AZ233" s="66">
        <f t="shared" si="2095"/>
        <v>1155.4880000000001</v>
      </c>
      <c r="BA233" s="66">
        <f t="shared" si="2095"/>
        <v>1192.9499999999998</v>
      </c>
      <c r="BB233" s="66">
        <f t="shared" si="2095"/>
        <v>1228.5139999999999</v>
      </c>
      <c r="BC233" s="66">
        <f t="shared" si="2095"/>
        <v>1258.1760000000002</v>
      </c>
      <c r="BD233" s="66">
        <f t="shared" si="2095"/>
        <v>1302.626</v>
      </c>
      <c r="BE233" s="66">
        <f t="shared" si="2095"/>
        <v>1334.673</v>
      </c>
      <c r="BF233" s="66">
        <f t="shared" si="2095"/>
        <v>1383.0519999999999</v>
      </c>
      <c r="BG233" s="66">
        <f t="shared" si="2095"/>
        <v>1441.857</v>
      </c>
      <c r="BH233" s="66">
        <f t="shared" si="2095"/>
        <v>1502.4870000000001</v>
      </c>
      <c r="BI233" s="66">
        <f t="shared" si="2095"/>
        <v>1555.4470000000001</v>
      </c>
      <c r="BJ233" s="66">
        <f t="shared" si="2095"/>
        <v>1585.175</v>
      </c>
      <c r="BK233" s="66">
        <f t="shared" si="2095"/>
        <v>1563.7350000000001</v>
      </c>
      <c r="BL233" s="66">
        <f t="shared" si="2095"/>
        <v>1546.761</v>
      </c>
      <c r="BM233" s="66">
        <f t="shared" si="2095"/>
        <v>1574.9470000000001</v>
      </c>
      <c r="BN233" s="66">
        <f t="shared" si="2095"/>
        <v>1608.7279999999998</v>
      </c>
      <c r="BO233" s="66">
        <f t="shared" si="2095"/>
        <v>1648.6210000000001</v>
      </c>
      <c r="BP233" s="66">
        <f t="shared" si="2095"/>
        <v>1691.0509999999999</v>
      </c>
      <c r="BQ233" s="66">
        <f t="shared" si="2095"/>
        <v>1744.71</v>
      </c>
      <c r="BR233" s="66">
        <f t="shared" ref="BR233:CW233" si="2096">SUM(BO18:BR18)</f>
        <v>1820.2559999999999</v>
      </c>
      <c r="BS233" s="66">
        <f t="shared" si="2096"/>
        <v>1978.0840000000001</v>
      </c>
      <c r="BT233" s="66">
        <f t="shared" si="2096"/>
        <v>2140.433</v>
      </c>
      <c r="BU233" s="66">
        <f t="shared" si="2096"/>
        <v>2297.0069999999996</v>
      </c>
      <c r="BV233" s="66">
        <f t="shared" si="2096"/>
        <v>2464.3150000000005</v>
      </c>
      <c r="BW233" s="66">
        <f t="shared" si="2096"/>
        <v>2631.8880000000004</v>
      </c>
      <c r="BX233" s="66">
        <f t="shared" si="2096"/>
        <v>2804.4700000000003</v>
      </c>
      <c r="BY233" s="66">
        <f t="shared" si="2096"/>
        <v>2988.5419999999999</v>
      </c>
      <c r="BZ233" s="66">
        <f t="shared" si="2096"/>
        <v>3144.723</v>
      </c>
      <c r="CA233" s="66">
        <f t="shared" si="2096"/>
        <v>3269.1060000000002</v>
      </c>
      <c r="CB233" s="66">
        <f t="shared" si="2096"/>
        <v>3387.6329999999998</v>
      </c>
      <c r="CC233" s="66">
        <f t="shared" si="2096"/>
        <v>3484.1229999999996</v>
      </c>
      <c r="CD233" s="66">
        <f t="shared" si="2096"/>
        <v>3552.1459999999997</v>
      </c>
      <c r="CE233" s="66">
        <f t="shared" si="2096"/>
        <v>3628.3289999999997</v>
      </c>
      <c r="CF233" s="66">
        <f t="shared" si="2096"/>
        <v>3701.7169999999996</v>
      </c>
      <c r="CG233" s="66">
        <f t="shared" si="2096"/>
        <v>3726.6550000000007</v>
      </c>
      <c r="CH233" s="66">
        <f t="shared" si="2096"/>
        <v>3729.0480000000007</v>
      </c>
      <c r="CI233" s="66">
        <f t="shared" si="2096"/>
        <v>3694.6889999999999</v>
      </c>
      <c r="CJ233" s="66">
        <f t="shared" si="2096"/>
        <v>3657.7049999999999</v>
      </c>
      <c r="CK233" s="66">
        <f t="shared" si="2096"/>
        <v>3672.0080000000003</v>
      </c>
      <c r="CL233" s="66">
        <f t="shared" si="2096"/>
        <v>3757.4229999999998</v>
      </c>
      <c r="CM233" s="50">
        <f t="shared" si="2096"/>
        <v>3847.5952456200062</v>
      </c>
      <c r="CN233" s="50">
        <f t="shared" si="2096"/>
        <v>3960.1690168005071</v>
      </c>
      <c r="CO233" s="50">
        <f t="shared" si="2096"/>
        <v>4084.9061785857675</v>
      </c>
      <c r="CP233" s="50">
        <f t="shared" si="2096"/>
        <v>4208.4312034294371</v>
      </c>
      <c r="CQ233" s="50">
        <f t="shared" si="2096"/>
        <v>4352.1734490040744</v>
      </c>
      <c r="CR233" s="50">
        <f t="shared" si="2096"/>
        <v>4492.0996695329704</v>
      </c>
      <c r="CS233" s="50">
        <f t="shared" si="2096"/>
        <v>4625.6158229466228</v>
      </c>
      <c r="CT233" s="50">
        <f t="shared" si="2096"/>
        <v>4756.8642153497831</v>
      </c>
      <c r="CU233" s="50">
        <f t="shared" si="2096"/>
        <v>4894.4045021142374</v>
      </c>
      <c r="CV233" s="50">
        <f t="shared" si="2096"/>
        <v>5009.0640283455441</v>
      </c>
      <c r="CW233" s="50">
        <f t="shared" si="2096"/>
        <v>5102.8144309290992</v>
      </c>
      <c r="CX233" s="50">
        <f t="shared" ref="CX233:DB233" si="2097">SUM(CU18:CX18)</f>
        <v>5179.1756965132045</v>
      </c>
      <c r="CY233" s="50">
        <f t="shared" si="2097"/>
        <v>5233.7904026737069</v>
      </c>
      <c r="CZ233" s="50">
        <f t="shared" si="2097"/>
        <v>5280.5043882626287</v>
      </c>
      <c r="DA233" s="50">
        <f t="shared" si="2097"/>
        <v>5318.7628605370755</v>
      </c>
      <c r="DB233" s="50">
        <f t="shared" si="2097"/>
        <v>5347.1826198063536</v>
      </c>
      <c r="DE233" s="138"/>
      <c r="DF233" s="66">
        <v>3712.6665109476658</v>
      </c>
    </row>
    <row r="234" spans="1:110" s="66" customFormat="1" x14ac:dyDescent="0.2">
      <c r="A234" s="66" t="s">
        <v>472</v>
      </c>
      <c r="AB234" s="50"/>
      <c r="AC234" s="50"/>
      <c r="AD234" s="50"/>
      <c r="AE234" s="50"/>
      <c r="AL234" s="66">
        <f t="shared" ref="AL234:BQ234" si="2098">SUM(AI36:AL36)</f>
        <v>65.858000000000018</v>
      </c>
      <c r="AM234" s="66">
        <f t="shared" si="2098"/>
        <v>66.214999999999975</v>
      </c>
      <c r="AN234" s="66">
        <f t="shared" si="2098"/>
        <v>81.183999999999941</v>
      </c>
      <c r="AO234" s="66">
        <f t="shared" si="2098"/>
        <v>107.04399999999993</v>
      </c>
      <c r="AP234" s="66">
        <f t="shared" si="2098"/>
        <v>134.11799999999994</v>
      </c>
      <c r="AQ234" s="66">
        <f t="shared" si="2098"/>
        <v>158.29699999999997</v>
      </c>
      <c r="AR234" s="66">
        <f t="shared" si="2098"/>
        <v>166.23099999999999</v>
      </c>
      <c r="AS234" s="66">
        <f t="shared" si="2098"/>
        <v>172.566</v>
      </c>
      <c r="AT234" s="66">
        <f t="shared" si="2098"/>
        <v>169.95300000000003</v>
      </c>
      <c r="AU234" s="66">
        <f t="shared" si="2098"/>
        <v>184.56900000000005</v>
      </c>
      <c r="AV234" s="66">
        <f t="shared" si="2098"/>
        <v>205.48200000000003</v>
      </c>
      <c r="AW234" s="66">
        <f t="shared" si="2098"/>
        <v>221.86100000000008</v>
      </c>
      <c r="AX234" s="66">
        <f t="shared" si="2098"/>
        <v>243.27900000000002</v>
      </c>
      <c r="AY234" s="66">
        <f t="shared" si="2098"/>
        <v>257.77700000000004</v>
      </c>
      <c r="AZ234" s="66">
        <f t="shared" si="2098"/>
        <v>267.50700000000001</v>
      </c>
      <c r="BA234" s="66">
        <f t="shared" si="2098"/>
        <v>273.75299999999993</v>
      </c>
      <c r="BB234" s="66">
        <f t="shared" si="2098"/>
        <v>284.625</v>
      </c>
      <c r="BC234" s="66">
        <f t="shared" si="2098"/>
        <v>291.27800000000002</v>
      </c>
      <c r="BD234" s="66">
        <f t="shared" si="2098"/>
        <v>304.27300000000002</v>
      </c>
      <c r="BE234" s="66">
        <f t="shared" si="2098"/>
        <v>323.21500000000003</v>
      </c>
      <c r="BF234" s="66">
        <f t="shared" si="2098"/>
        <v>342.79399999999998</v>
      </c>
      <c r="BG234" s="66">
        <f t="shared" si="2098"/>
        <v>375.86899999999991</v>
      </c>
      <c r="BH234" s="66">
        <f t="shared" si="2098"/>
        <v>398.57899999999989</v>
      </c>
      <c r="BI234" s="66">
        <f t="shared" si="2098"/>
        <v>399.90299999999996</v>
      </c>
      <c r="BJ234" s="66">
        <f t="shared" si="2098"/>
        <v>403.27599999999995</v>
      </c>
      <c r="BK234" s="66">
        <f t="shared" si="2098"/>
        <v>365.49099999999999</v>
      </c>
      <c r="BL234" s="66">
        <f t="shared" si="2098"/>
        <v>329.11400000000003</v>
      </c>
      <c r="BM234" s="66">
        <f t="shared" si="2098"/>
        <v>331.738</v>
      </c>
      <c r="BN234" s="66">
        <f t="shared" si="2098"/>
        <v>341.87100000000004</v>
      </c>
      <c r="BO234" s="66">
        <f t="shared" si="2098"/>
        <v>365.84700000000004</v>
      </c>
      <c r="BP234" s="66">
        <f t="shared" si="2098"/>
        <v>413.55500000000001</v>
      </c>
      <c r="BQ234" s="66">
        <f t="shared" si="2098"/>
        <v>462.97399999999999</v>
      </c>
      <c r="BR234" s="66">
        <f t="shared" ref="BR234:CW234" si="2099">SUM(BO36:BR36)</f>
        <v>518.44999999999982</v>
      </c>
      <c r="BS234" s="66">
        <f t="shared" si="2099"/>
        <v>575.72699999999986</v>
      </c>
      <c r="BT234" s="66">
        <f t="shared" si="2099"/>
        <v>636.57299999999987</v>
      </c>
      <c r="BU234" s="66">
        <f t="shared" si="2099"/>
        <v>702.06299999999999</v>
      </c>
      <c r="BV234" s="66">
        <f t="shared" si="2099"/>
        <v>759.23100000000011</v>
      </c>
      <c r="BW234" s="66">
        <f t="shared" si="2099"/>
        <v>847.39700000000016</v>
      </c>
      <c r="BX234" s="66">
        <f t="shared" si="2099"/>
        <v>895.04100000000017</v>
      </c>
      <c r="BY234" s="66">
        <f t="shared" si="2099"/>
        <v>932.79700000000014</v>
      </c>
      <c r="BZ234" s="66">
        <f t="shared" si="2099"/>
        <v>961.27700000000016</v>
      </c>
      <c r="CA234" s="66">
        <f t="shared" si="2099"/>
        <v>974.58600000000013</v>
      </c>
      <c r="CB234" s="66">
        <f t="shared" si="2099"/>
        <v>1011.5910000000002</v>
      </c>
      <c r="CC234" s="66">
        <f t="shared" si="2099"/>
        <v>1034.8810000000003</v>
      </c>
      <c r="CD234" s="66">
        <f t="shared" si="2099"/>
        <v>1046.4349999999999</v>
      </c>
      <c r="CE234" s="66">
        <f t="shared" si="2099"/>
        <v>1047.24</v>
      </c>
      <c r="CF234" s="66">
        <f t="shared" si="2099"/>
        <v>1050.1009999999999</v>
      </c>
      <c r="CG234" s="66">
        <f t="shared" si="2099"/>
        <v>1026.5669999999998</v>
      </c>
      <c r="CH234" s="66">
        <f t="shared" si="2099"/>
        <v>972.94599999999991</v>
      </c>
      <c r="CI234" s="66">
        <f t="shared" si="2099"/>
        <v>907.38599999999997</v>
      </c>
      <c r="CJ234" s="66">
        <f t="shared" si="2099"/>
        <v>834.30600000000004</v>
      </c>
      <c r="CK234" s="66">
        <f t="shared" si="2099"/>
        <v>809.9380000000001</v>
      </c>
      <c r="CL234" s="66">
        <f t="shared" si="2099"/>
        <v>846.84800000000007</v>
      </c>
      <c r="CM234" s="50">
        <f t="shared" si="2099"/>
        <v>890.74207922784296</v>
      </c>
      <c r="CN234" s="50">
        <f t="shared" si="2099"/>
        <v>945.94527368342847</v>
      </c>
      <c r="CO234" s="50">
        <f t="shared" si="2099"/>
        <v>991.93057539707888</v>
      </c>
      <c r="CP234" s="50">
        <f t="shared" si="2099"/>
        <v>1029.6919355297878</v>
      </c>
      <c r="CQ234" s="50">
        <f t="shared" si="2099"/>
        <v>1089.9254793450173</v>
      </c>
      <c r="CR234" s="50">
        <f t="shared" si="2099"/>
        <v>1150.5252566026866</v>
      </c>
      <c r="CS234" s="50">
        <f t="shared" si="2099"/>
        <v>1209.1192734791202</v>
      </c>
      <c r="CT234" s="50">
        <f t="shared" si="2099"/>
        <v>1269.9463341759315</v>
      </c>
      <c r="CU234" s="50">
        <f t="shared" si="2099"/>
        <v>1316.1419160865757</v>
      </c>
      <c r="CV234" s="50">
        <f t="shared" si="2099"/>
        <v>1352.5475899738071</v>
      </c>
      <c r="CW234" s="50">
        <f t="shared" si="2099"/>
        <v>1378.2496857072722</v>
      </c>
      <c r="CX234" s="50">
        <f t="shared" ref="CX234:DB234" si="2100">SUM(CU36:CX36)</f>
        <v>1392.9660687567825</v>
      </c>
      <c r="CY234" s="50">
        <f t="shared" si="2100"/>
        <v>1410.4325174373053</v>
      </c>
      <c r="CZ234" s="50">
        <f t="shared" si="2100"/>
        <v>1423.8408028903204</v>
      </c>
      <c r="DA234" s="50">
        <f t="shared" si="2100"/>
        <v>1433.6418629883069</v>
      </c>
      <c r="DB234" s="50">
        <f t="shared" si="2100"/>
        <v>1440.5433309393084</v>
      </c>
      <c r="DE234" s="138"/>
      <c r="DF234" s="66">
        <v>820.9205568935057</v>
      </c>
    </row>
    <row r="235" spans="1:110" s="66" customFormat="1" x14ac:dyDescent="0.2">
      <c r="A235" s="66" t="s">
        <v>473</v>
      </c>
      <c r="AB235" s="50"/>
      <c r="AC235" s="50"/>
      <c r="AD235" s="50"/>
      <c r="AE235" s="50"/>
      <c r="AL235" s="66">
        <f t="shared" ref="AL235:BQ235" si="2101">SUM(AI49:AL49)</f>
        <v>38.270000000000024</v>
      </c>
      <c r="AM235" s="66">
        <f t="shared" si="2101"/>
        <v>36.132999999999974</v>
      </c>
      <c r="AN235" s="66">
        <f t="shared" si="2101"/>
        <v>45.739999999999938</v>
      </c>
      <c r="AO235" s="66">
        <f t="shared" si="2101"/>
        <v>58.548999999999914</v>
      </c>
      <c r="AP235" s="66">
        <f t="shared" si="2101"/>
        <v>72.26299999999992</v>
      </c>
      <c r="AQ235" s="66">
        <f t="shared" si="2101"/>
        <v>84.127999999999957</v>
      </c>
      <c r="AR235" s="66">
        <f t="shared" si="2101"/>
        <v>87.834999999999994</v>
      </c>
      <c r="AS235" s="66">
        <f t="shared" si="2101"/>
        <v>94.036000000000001</v>
      </c>
      <c r="AT235" s="66">
        <f t="shared" si="2101"/>
        <v>102.02100000000002</v>
      </c>
      <c r="AU235" s="66">
        <f t="shared" si="2101"/>
        <v>116.94100000000006</v>
      </c>
      <c r="AV235" s="66">
        <f t="shared" si="2101"/>
        <v>131.40300000000002</v>
      </c>
      <c r="AW235" s="66">
        <f t="shared" si="2101"/>
        <v>143.54600000000011</v>
      </c>
      <c r="AX235" s="66">
        <f t="shared" si="2101"/>
        <v>154.80000000000004</v>
      </c>
      <c r="AY235" s="66">
        <f t="shared" si="2101"/>
        <v>160.77200000000002</v>
      </c>
      <c r="AZ235" s="66">
        <f t="shared" si="2101"/>
        <v>168.13400000000001</v>
      </c>
      <c r="BA235" s="66">
        <f t="shared" si="2101"/>
        <v>172.38199999999995</v>
      </c>
      <c r="BB235" s="66">
        <f t="shared" si="2101"/>
        <v>174.786</v>
      </c>
      <c r="BC235" s="66">
        <f t="shared" si="2101"/>
        <v>182.84600000000003</v>
      </c>
      <c r="BD235" s="66">
        <f t="shared" si="2101"/>
        <v>194.62500000000006</v>
      </c>
      <c r="BE235" s="66">
        <f t="shared" si="2101"/>
        <v>213.24200000000002</v>
      </c>
      <c r="BF235" s="66">
        <f t="shared" si="2101"/>
        <v>240.04000000000002</v>
      </c>
      <c r="BG235" s="66">
        <f t="shared" si="2101"/>
        <v>260.79399999999993</v>
      </c>
      <c r="BH235" s="66">
        <f t="shared" si="2101"/>
        <v>285.73699999999997</v>
      </c>
      <c r="BI235" s="66">
        <f t="shared" si="2101"/>
        <v>288.96500000000003</v>
      </c>
      <c r="BJ235" s="66">
        <f t="shared" si="2101"/>
        <v>289.96799999999996</v>
      </c>
      <c r="BK235" s="66">
        <f t="shared" si="2101"/>
        <v>268.26299999999998</v>
      </c>
      <c r="BL235" s="66">
        <f t="shared" si="2101"/>
        <v>235.88700000000003</v>
      </c>
      <c r="BM235" s="66">
        <f t="shared" si="2101"/>
        <v>245.31399999999996</v>
      </c>
      <c r="BN235" s="66">
        <f t="shared" si="2101"/>
        <v>256.10200000000003</v>
      </c>
      <c r="BO235" s="66">
        <f t="shared" si="2101"/>
        <v>276.18300000000005</v>
      </c>
      <c r="BP235" s="66">
        <f t="shared" si="2101"/>
        <v>305.25400000000002</v>
      </c>
      <c r="BQ235" s="66">
        <f t="shared" si="2101"/>
        <v>335.03500000000003</v>
      </c>
      <c r="BR235" s="66">
        <f t="shared" ref="BR235:CW235" si="2102">SUM(BO49:BR49)</f>
        <v>368.1219999999999</v>
      </c>
      <c r="BS235" s="66">
        <f t="shared" si="2102"/>
        <v>412.62299999999988</v>
      </c>
      <c r="BT235" s="66">
        <f t="shared" si="2102"/>
        <v>459.07799999999997</v>
      </c>
      <c r="BU235" s="66">
        <f t="shared" si="2102"/>
        <v>504.82600000000002</v>
      </c>
      <c r="BV235" s="66">
        <f t="shared" si="2102"/>
        <v>549.67000000000007</v>
      </c>
      <c r="BW235" s="66">
        <f t="shared" si="2102"/>
        <v>621.01600000000019</v>
      </c>
      <c r="BX235" s="66">
        <f t="shared" si="2102"/>
        <v>669.96000000000015</v>
      </c>
      <c r="BY235" s="66">
        <f t="shared" si="2102"/>
        <v>713.68700000000013</v>
      </c>
      <c r="BZ235" s="66">
        <f t="shared" si="2102"/>
        <v>755.19000000000028</v>
      </c>
      <c r="CA235" s="66">
        <f t="shared" si="2102"/>
        <v>759.32200000000012</v>
      </c>
      <c r="CB235" s="66">
        <f t="shared" si="2102"/>
        <v>785.06300000000022</v>
      </c>
      <c r="CC235" s="66">
        <f t="shared" si="2102"/>
        <v>796.81900000000019</v>
      </c>
      <c r="CD235" s="66">
        <f t="shared" si="2102"/>
        <v>792.23800000000006</v>
      </c>
      <c r="CE235" s="66">
        <f t="shared" si="2102"/>
        <v>787.46500000000003</v>
      </c>
      <c r="CF235" s="66">
        <f t="shared" si="2102"/>
        <v>816.87799999999993</v>
      </c>
      <c r="CG235" s="66">
        <f t="shared" si="2102"/>
        <v>809.45299999999986</v>
      </c>
      <c r="CH235" s="66">
        <f t="shared" si="2102"/>
        <v>784.93899999999985</v>
      </c>
      <c r="CI235" s="66">
        <f t="shared" si="2102"/>
        <v>745.22700000000009</v>
      </c>
      <c r="CJ235" s="66">
        <f t="shared" si="2102"/>
        <v>670.61500000000001</v>
      </c>
      <c r="CK235" s="66">
        <f t="shared" si="2102"/>
        <v>676.18600000000015</v>
      </c>
      <c r="CL235" s="66">
        <f t="shared" si="2102"/>
        <v>724.11700000000019</v>
      </c>
      <c r="CM235" s="50">
        <f t="shared" si="2102"/>
        <v>767.92900217841759</v>
      </c>
      <c r="CN235" s="50">
        <f t="shared" si="2102"/>
        <v>817.08957008547304</v>
      </c>
      <c r="CO235" s="50">
        <f t="shared" si="2102"/>
        <v>835.66099830952521</v>
      </c>
      <c r="CP235" s="50">
        <f t="shared" si="2102"/>
        <v>846.71046580919347</v>
      </c>
      <c r="CQ235" s="50">
        <f t="shared" si="2102"/>
        <v>889.17684835925991</v>
      </c>
      <c r="CR235" s="50">
        <f t="shared" si="2102"/>
        <v>931.7482135942987</v>
      </c>
      <c r="CS235" s="50">
        <f t="shared" si="2102"/>
        <v>970.03002603632831</v>
      </c>
      <c r="CT235" s="50">
        <f t="shared" si="2102"/>
        <v>1012.9230342052639</v>
      </c>
      <c r="CU235" s="50">
        <f t="shared" si="2102"/>
        <v>1045.7836700128159</v>
      </c>
      <c r="CV235" s="50">
        <f t="shared" si="2102"/>
        <v>1076.6211467566218</v>
      </c>
      <c r="CW235" s="50">
        <f t="shared" si="2102"/>
        <v>1104.4268585740601</v>
      </c>
      <c r="CX235" s="50">
        <f t="shared" ref="CX235:DB235" si="2103">SUM(CU49:CX49)</f>
        <v>1129.3368240908994</v>
      </c>
      <c r="CY235" s="50">
        <f t="shared" si="2103"/>
        <v>1167.8847857210858</v>
      </c>
      <c r="CZ235" s="50">
        <f t="shared" si="2103"/>
        <v>1201.4740949042084</v>
      </c>
      <c r="DA235" s="50">
        <f t="shared" si="2103"/>
        <v>1230.7453022196369</v>
      </c>
      <c r="DB235" s="50">
        <f t="shared" si="2103"/>
        <v>1256.612974168791</v>
      </c>
      <c r="DE235" s="138"/>
      <c r="DF235" s="66">
        <v>685.18068310599347</v>
      </c>
    </row>
    <row r="236" spans="1:110" s="93" customFormat="1" x14ac:dyDescent="0.2"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11" customFormat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1" t="s">
        <v>339</v>
      </c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4" customFormat="1" hidden="1" outlineLevel="1" x14ac:dyDescent="0.2">
      <c r="A239" s="64" t="s">
        <v>474</v>
      </c>
      <c r="B239" s="64">
        <f t="shared" ref="B239:Z239" si="2104">B16-B245</f>
        <v>136.74039999999999</v>
      </c>
      <c r="C239" s="64">
        <f t="shared" si="2104"/>
        <v>129.8064</v>
      </c>
      <c r="D239" s="64">
        <f t="shared" si="2104"/>
        <v>109.6041</v>
      </c>
      <c r="E239" s="64">
        <f t="shared" si="2104"/>
        <v>153.48050000000001</v>
      </c>
      <c r="F239" s="64">
        <f t="shared" si="2104"/>
        <v>185.774</v>
      </c>
      <c r="G239" s="64">
        <f t="shared" si="2104"/>
        <v>235.6318</v>
      </c>
      <c r="H239" s="64">
        <f t="shared" si="2104"/>
        <v>307.96300000000002</v>
      </c>
      <c r="I239" s="64">
        <f t="shared" si="2104"/>
        <v>402.01369999999997</v>
      </c>
      <c r="J239" s="64">
        <f t="shared" si="2104"/>
        <v>419.36149999999998</v>
      </c>
      <c r="K239" s="64">
        <f t="shared" si="2104"/>
        <v>388.17250000000001</v>
      </c>
      <c r="L239" s="64">
        <f t="shared" si="2104"/>
        <v>415.91120000000001</v>
      </c>
      <c r="M239" s="64">
        <f t="shared" si="2104"/>
        <v>538.70740000000001</v>
      </c>
      <c r="N239" s="64">
        <f t="shared" si="2104"/>
        <v>621.6712</v>
      </c>
      <c r="O239" s="64">
        <f t="shared" si="2104"/>
        <v>774.78570000000002</v>
      </c>
      <c r="P239" s="64">
        <f t="shared" si="2104"/>
        <v>849.40110000000004</v>
      </c>
      <c r="Q239" s="64">
        <f t="shared" si="2104"/>
        <v>1075.2061000000001</v>
      </c>
      <c r="R239" s="64">
        <f t="shared" si="2104"/>
        <v>1237.3123000000001</v>
      </c>
      <c r="S239" s="64">
        <f t="shared" si="2104"/>
        <v>1386.2954999999999</v>
      </c>
      <c r="T239" s="64">
        <f t="shared" si="2104"/>
        <v>1596.9315999999999</v>
      </c>
      <c r="U239" s="64">
        <f t="shared" si="2104"/>
        <v>1609.8604</v>
      </c>
      <c r="V239" s="64">
        <f t="shared" si="2104"/>
        <v>1826.1596999999999</v>
      </c>
      <c r="W239" s="64">
        <f t="shared" si="2104"/>
        <v>2470.7991999999999</v>
      </c>
      <c r="X239" s="64">
        <f t="shared" si="2104"/>
        <v>3144.7224999999999</v>
      </c>
      <c r="Y239" s="64">
        <f t="shared" si="2104"/>
        <v>3552.1457</v>
      </c>
      <c r="Z239" s="64">
        <f t="shared" si="2104"/>
        <v>3729.0482999999999</v>
      </c>
      <c r="AA239" s="64">
        <f t="shared" ref="AA239" si="2105">AA16-AA245</f>
        <v>3757.4236999999998</v>
      </c>
      <c r="AB239" s="30"/>
      <c r="AC239" s="30"/>
      <c r="AD239" s="30"/>
      <c r="AE239" s="30"/>
      <c r="AI239" s="64">
        <f t="shared" ref="AI239:BN239" si="2106">AI16-AI245</f>
        <v>146.197</v>
      </c>
      <c r="AJ239" s="64">
        <f t="shared" si="2106"/>
        <v>155.36500000000001</v>
      </c>
      <c r="AK239" s="64">
        <f t="shared" si="2106"/>
        <v>156.678</v>
      </c>
      <c r="AL239" s="64">
        <f t="shared" si="2106"/>
        <v>163.43199999999999</v>
      </c>
      <c r="AM239" s="64">
        <f t="shared" si="2106"/>
        <v>173.173</v>
      </c>
      <c r="AN239" s="64">
        <f t="shared" si="2106"/>
        <v>189.97</v>
      </c>
      <c r="AO239" s="64">
        <f t="shared" si="2106"/>
        <v>200.12299999999999</v>
      </c>
      <c r="AP239" s="64">
        <f t="shared" si="2106"/>
        <v>211.51900000000001</v>
      </c>
      <c r="AQ239" s="64">
        <f t="shared" si="2106"/>
        <v>190.755</v>
      </c>
      <c r="AR239" s="64">
        <f t="shared" si="2106"/>
        <v>205.88300000000001</v>
      </c>
      <c r="AS239" s="64">
        <f t="shared" si="2106"/>
        <v>221.48699999999999</v>
      </c>
      <c r="AT239" s="64">
        <f t="shared" si="2106"/>
        <v>231.27600000000001</v>
      </c>
      <c r="AU239" s="64">
        <f t="shared" si="2106"/>
        <v>243.52099999999999</v>
      </c>
      <c r="AV239" s="64">
        <f t="shared" si="2106"/>
        <v>263.65800000000002</v>
      </c>
      <c r="AW239" s="64">
        <f t="shared" si="2106"/>
        <v>274.07499999999999</v>
      </c>
      <c r="AX239" s="64">
        <f t="shared" si="2106"/>
        <v>293.952</v>
      </c>
      <c r="AY239" s="64">
        <f t="shared" si="2106"/>
        <v>295.85300000000001</v>
      </c>
      <c r="AZ239" s="64">
        <f t="shared" si="2106"/>
        <v>304.21800000000002</v>
      </c>
      <c r="BA239" s="64">
        <f t="shared" si="2106"/>
        <v>310.245</v>
      </c>
      <c r="BB239" s="64">
        <f t="shared" si="2106"/>
        <v>326.99700000000001</v>
      </c>
      <c r="BC239" s="64">
        <f t="shared" si="2106"/>
        <v>323.23</v>
      </c>
      <c r="BD239" s="64">
        <f t="shared" si="2106"/>
        <v>342.154</v>
      </c>
      <c r="BE239" s="64">
        <f t="shared" si="2106"/>
        <v>345.536</v>
      </c>
      <c r="BF239" s="64">
        <f t="shared" si="2106"/>
        <v>375.37599999999998</v>
      </c>
      <c r="BG239" s="64">
        <f t="shared" si="2106"/>
        <v>382.03500000000003</v>
      </c>
      <c r="BH239" s="64">
        <f t="shared" si="2106"/>
        <v>402.78399999999999</v>
      </c>
      <c r="BI239" s="64">
        <f t="shared" si="2106"/>
        <v>407.00900000000001</v>
      </c>
      <c r="BJ239" s="64">
        <f t="shared" si="2106"/>
        <v>405.10399999999998</v>
      </c>
      <c r="BK239" s="64">
        <f t="shared" si="2106"/>
        <v>361.71</v>
      </c>
      <c r="BL239" s="64">
        <f t="shared" si="2106"/>
        <v>385.827</v>
      </c>
      <c r="BM239" s="64">
        <f t="shared" si="2106"/>
        <v>423.43799999999999</v>
      </c>
      <c r="BN239" s="64">
        <f t="shared" si="2106"/>
        <v>438.88499999999999</v>
      </c>
      <c r="BO239" s="64">
        <f t="shared" ref="BO239:CT239" si="2107">BO16-BO245</f>
        <v>400.488</v>
      </c>
      <c r="BP239" s="64">
        <f t="shared" si="2107"/>
        <v>430.17899999999997</v>
      </c>
      <c r="BQ239" s="64">
        <f t="shared" si="2107"/>
        <v>477.09699999999998</v>
      </c>
      <c r="BR239" s="64">
        <f t="shared" si="2107"/>
        <v>518.39599999999996</v>
      </c>
      <c r="BS239" s="64">
        <f t="shared" si="2107"/>
        <v>558.31600000000003</v>
      </c>
      <c r="BT239" s="64">
        <f t="shared" si="2107"/>
        <v>595.33100000000002</v>
      </c>
      <c r="BU239" s="64">
        <f t="shared" si="2107"/>
        <v>635.41300000000001</v>
      </c>
      <c r="BV239" s="64">
        <f t="shared" si="2107"/>
        <v>681.73900000000003</v>
      </c>
      <c r="BW239" s="64">
        <f t="shared" si="2107"/>
        <v>725.88900000000001</v>
      </c>
      <c r="BX239" s="64">
        <f t="shared" si="2107"/>
        <v>763.17100000000005</v>
      </c>
      <c r="BY239" s="64">
        <f t="shared" si="2107"/>
        <v>817.74300000000005</v>
      </c>
      <c r="BZ239" s="64">
        <f t="shared" si="2107"/>
        <v>837.92</v>
      </c>
      <c r="CA239" s="64">
        <f t="shared" si="2107"/>
        <v>850.27200000000005</v>
      </c>
      <c r="CB239" s="64">
        <f t="shared" si="2107"/>
        <v>881.69799999999998</v>
      </c>
      <c r="CC239" s="64">
        <f t="shared" si="2107"/>
        <v>914.23299999999995</v>
      </c>
      <c r="CD239" s="64">
        <f t="shared" si="2107"/>
        <v>905.94299999999998</v>
      </c>
      <c r="CE239" s="64">
        <f t="shared" si="2107"/>
        <v>926.45500000000004</v>
      </c>
      <c r="CF239" s="64">
        <f t="shared" si="2107"/>
        <v>955.08600000000001</v>
      </c>
      <c r="CG239" s="64">
        <f t="shared" si="2107"/>
        <v>939.17100000000005</v>
      </c>
      <c r="CH239" s="64">
        <f t="shared" si="2107"/>
        <v>908.33600000000001</v>
      </c>
      <c r="CI239" s="64">
        <f t="shared" si="2107"/>
        <v>892.096</v>
      </c>
      <c r="CJ239" s="64">
        <f t="shared" si="2107"/>
        <v>918.10199999999998</v>
      </c>
      <c r="CK239" s="64">
        <f t="shared" si="2107"/>
        <v>953.47400000000005</v>
      </c>
      <c r="CL239" s="64">
        <f t="shared" ref="CL239" si="2108">CL16-CL245</f>
        <v>993.75099999999998</v>
      </c>
      <c r="CM239" s="30">
        <f t="shared" si="2107"/>
        <v>982.26824562000604</v>
      </c>
      <c r="CN239" s="30">
        <f t="shared" si="2107"/>
        <v>1030.6757711805014</v>
      </c>
      <c r="CO239" s="30">
        <f t="shared" si="2107"/>
        <v>1078.2111617852595</v>
      </c>
      <c r="CP239" s="30">
        <f t="shared" si="2107"/>
        <v>1117.27602484367</v>
      </c>
      <c r="CQ239" s="30">
        <f t="shared" si="2107"/>
        <v>1126.0104911946439</v>
      </c>
      <c r="CR239" s="30">
        <f t="shared" si="2107"/>
        <v>1170.6019917093975</v>
      </c>
      <c r="CS239" s="30">
        <f t="shared" si="2107"/>
        <v>1211.7273151989111</v>
      </c>
      <c r="CT239" s="30">
        <f t="shared" si="2107"/>
        <v>1248.5244172468304</v>
      </c>
      <c r="CU239" s="30">
        <f t="shared" ref="CU239:DB239" si="2109">CU16-CU245</f>
        <v>1263.5507779590989</v>
      </c>
      <c r="CV239" s="30">
        <f t="shared" si="2109"/>
        <v>1285.2615179407042</v>
      </c>
      <c r="CW239" s="30">
        <f t="shared" si="2109"/>
        <v>1305.477717782466</v>
      </c>
      <c r="CX239" s="30">
        <f t="shared" si="2109"/>
        <v>1324.8856828309354</v>
      </c>
      <c r="CY239" s="30">
        <f t="shared" si="2109"/>
        <v>1318.1654841196016</v>
      </c>
      <c r="CZ239" s="30">
        <f t="shared" si="2109"/>
        <v>1331.9755035296259</v>
      </c>
      <c r="DA239" s="30">
        <f t="shared" si="2109"/>
        <v>1343.7361900569135</v>
      </c>
      <c r="DB239" s="30">
        <f t="shared" si="2109"/>
        <v>1353.3054421002123</v>
      </c>
      <c r="DE239" s="139"/>
      <c r="DF239" s="64">
        <v>948.99451094766573</v>
      </c>
    </row>
    <row r="240" spans="1:110" s="64" customFormat="1" hidden="1" outlineLevel="1" x14ac:dyDescent="0.2">
      <c r="A240" s="64" t="s">
        <v>475</v>
      </c>
      <c r="B240" s="64">
        <f t="shared" ref="B240:Z240" si="2110">B36-B246</f>
        <v>21.45059999999998</v>
      </c>
      <c r="C240" s="64">
        <f t="shared" si="2110"/>
        <v>22.654200000000003</v>
      </c>
      <c r="D240" s="64">
        <f t="shared" si="2110"/>
        <v>18.002800000000008</v>
      </c>
      <c r="E240" s="64">
        <f t="shared" si="2110"/>
        <v>23.113000000000028</v>
      </c>
      <c r="F240" s="64">
        <f t="shared" si="2110"/>
        <v>36.128500000000017</v>
      </c>
      <c r="G240" s="64">
        <f t="shared" si="2110"/>
        <v>47.067099999999982</v>
      </c>
      <c r="H240" s="64">
        <f t="shared" si="2110"/>
        <v>69.5548</v>
      </c>
      <c r="I240" s="64">
        <f t="shared" si="2110"/>
        <v>75.201999999999998</v>
      </c>
      <c r="J240" s="64">
        <f t="shared" si="2110"/>
        <v>81.861299999999972</v>
      </c>
      <c r="K240" s="64">
        <f t="shared" si="2110"/>
        <v>68.362700000000018</v>
      </c>
      <c r="L240" s="64">
        <f t="shared" si="2110"/>
        <v>154.2937</v>
      </c>
      <c r="M240" s="64">
        <f t="shared" si="2110"/>
        <v>191.91019999999997</v>
      </c>
      <c r="N240" s="64">
        <f t="shared" si="2110"/>
        <v>72.796999999999912</v>
      </c>
      <c r="O240" s="64">
        <f t="shared" si="2110"/>
        <v>112.91480000000001</v>
      </c>
      <c r="P240" s="64">
        <f t="shared" si="2110"/>
        <v>168.65100000000007</v>
      </c>
      <c r="Q240" s="64">
        <f t="shared" si="2110"/>
        <v>247.72090000000014</v>
      </c>
      <c r="R240" s="64">
        <f t="shared" si="2110"/>
        <v>273.58990000000006</v>
      </c>
      <c r="S240" s="64">
        <f t="shared" si="2110"/>
        <v>345.22699999999975</v>
      </c>
      <c r="T240" s="64">
        <f t="shared" si="2110"/>
        <v>416.07109999999989</v>
      </c>
      <c r="U240" s="64">
        <f t="shared" si="2110"/>
        <v>337.94280000000003</v>
      </c>
      <c r="V240" s="64">
        <f t="shared" si="2110"/>
        <v>523.52070000000003</v>
      </c>
      <c r="W240" s="64">
        <f t="shared" si="2110"/>
        <v>766.73879999999986</v>
      </c>
      <c r="X240" s="64">
        <f t="shared" si="2110"/>
        <v>959.05259999999953</v>
      </c>
      <c r="Y240" s="64">
        <f t="shared" si="2110"/>
        <v>1047.2565</v>
      </c>
      <c r="Z240" s="64">
        <f t="shared" si="2110"/>
        <v>973.38929999999937</v>
      </c>
      <c r="AA240" s="64">
        <f t="shared" ref="AA240" si="2111">AA36-AA246</f>
        <v>839.19459999999981</v>
      </c>
      <c r="AB240" s="30"/>
      <c r="AC240" s="30"/>
      <c r="AD240" s="30"/>
      <c r="AE240" s="30"/>
      <c r="AI240" s="64">
        <f t="shared" ref="AI240:BN240" si="2112">AI36-AI246</f>
        <v>13.14200000000001</v>
      </c>
      <c r="AJ240" s="64">
        <f t="shared" si="2112"/>
        <v>17.469000000000023</v>
      </c>
      <c r="AK240" s="64">
        <f t="shared" si="2112"/>
        <v>16.481999999999999</v>
      </c>
      <c r="AL240" s="64">
        <f t="shared" si="2112"/>
        <v>18.764999999999986</v>
      </c>
      <c r="AM240" s="64">
        <f t="shared" si="2112"/>
        <v>13.498999999999967</v>
      </c>
      <c r="AN240" s="64">
        <f t="shared" si="2112"/>
        <v>32.437999999999988</v>
      </c>
      <c r="AO240" s="64">
        <f t="shared" si="2112"/>
        <v>42.341999999999985</v>
      </c>
      <c r="AP240" s="64">
        <f t="shared" si="2112"/>
        <v>45.838999999999999</v>
      </c>
      <c r="AQ240" s="64">
        <f t="shared" si="2112"/>
        <v>37.677999999999997</v>
      </c>
      <c r="AR240" s="64">
        <f t="shared" si="2112"/>
        <v>40.372000000000014</v>
      </c>
      <c r="AS240" s="64">
        <f t="shared" si="2112"/>
        <v>48.676999999999992</v>
      </c>
      <c r="AT240" s="64">
        <f t="shared" si="2112"/>
        <v>43.226000000000028</v>
      </c>
      <c r="AU240" s="64">
        <f t="shared" si="2112"/>
        <v>52.294000000000011</v>
      </c>
      <c r="AV240" s="64">
        <f t="shared" si="2112"/>
        <v>61.284999999999997</v>
      </c>
      <c r="AW240" s="64">
        <f t="shared" si="2112"/>
        <v>65.05600000000004</v>
      </c>
      <c r="AX240" s="64">
        <f t="shared" si="2112"/>
        <v>64.643999999999977</v>
      </c>
      <c r="AY240" s="64">
        <f t="shared" si="2112"/>
        <v>66.792000000000002</v>
      </c>
      <c r="AZ240" s="64">
        <f t="shared" si="2112"/>
        <v>71.014999999999986</v>
      </c>
      <c r="BA240" s="64">
        <f t="shared" si="2112"/>
        <v>71.301999999999992</v>
      </c>
      <c r="BB240" s="64">
        <f t="shared" si="2112"/>
        <v>75.51600000000002</v>
      </c>
      <c r="BC240" s="64">
        <f t="shared" si="2112"/>
        <v>73.44500000000005</v>
      </c>
      <c r="BD240" s="64">
        <f t="shared" si="2112"/>
        <v>84.009999999999991</v>
      </c>
      <c r="BE240" s="64">
        <f t="shared" si="2112"/>
        <v>90.243999999999971</v>
      </c>
      <c r="BF240" s="64">
        <f t="shared" si="2112"/>
        <v>95.09499999999997</v>
      </c>
      <c r="BG240" s="64">
        <f t="shared" si="2112"/>
        <v>106.52000000000001</v>
      </c>
      <c r="BH240" s="64">
        <f t="shared" si="2112"/>
        <v>106.71999999999997</v>
      </c>
      <c r="BI240" s="64">
        <f t="shared" si="2112"/>
        <v>91.56800000000004</v>
      </c>
      <c r="BJ240" s="64">
        <f t="shared" si="2112"/>
        <v>98.467999999999961</v>
      </c>
      <c r="BK240" s="64">
        <f t="shared" si="2112"/>
        <v>68.735000000000014</v>
      </c>
      <c r="BL240" s="64">
        <f t="shared" si="2112"/>
        <v>70.343000000000018</v>
      </c>
      <c r="BM240" s="64">
        <f t="shared" si="2112"/>
        <v>94.192000000000007</v>
      </c>
      <c r="BN240" s="64">
        <f t="shared" si="2112"/>
        <v>108.601</v>
      </c>
      <c r="BO240" s="64">
        <f t="shared" ref="BO240:CT240" si="2113">BO36-BO246</f>
        <v>92.711000000000013</v>
      </c>
      <c r="BP240" s="64">
        <f t="shared" si="2113"/>
        <v>118.05099999999999</v>
      </c>
      <c r="BQ240" s="64">
        <f t="shared" si="2113"/>
        <v>143.61099999999999</v>
      </c>
      <c r="BR240" s="64">
        <f t="shared" si="2113"/>
        <v>164.07699999999988</v>
      </c>
      <c r="BS240" s="64">
        <f t="shared" si="2113"/>
        <v>149.988</v>
      </c>
      <c r="BT240" s="64">
        <f t="shared" si="2113"/>
        <v>178.89700000000005</v>
      </c>
      <c r="BU240" s="64">
        <f t="shared" si="2113"/>
        <v>209.10100000000006</v>
      </c>
      <c r="BV240" s="64">
        <f t="shared" si="2113"/>
        <v>221.245</v>
      </c>
      <c r="BW240" s="64">
        <f t="shared" si="2113"/>
        <v>238.15400000000005</v>
      </c>
      <c r="BX240" s="64">
        <f t="shared" si="2113"/>
        <v>226.541</v>
      </c>
      <c r="BY240" s="64">
        <f t="shared" si="2113"/>
        <v>246.85700000000008</v>
      </c>
      <c r="BZ240" s="64">
        <f t="shared" si="2113"/>
        <v>249.72500000000002</v>
      </c>
      <c r="CA240" s="64">
        <f t="shared" si="2113"/>
        <v>251.46300000000008</v>
      </c>
      <c r="CB240" s="64">
        <f t="shared" si="2113"/>
        <v>263.54600000000005</v>
      </c>
      <c r="CC240" s="64">
        <f t="shared" si="2113"/>
        <v>270.14700000000005</v>
      </c>
      <c r="CD240" s="64">
        <f t="shared" si="2113"/>
        <v>261.27899999999988</v>
      </c>
      <c r="CE240" s="64">
        <f t="shared" si="2113"/>
        <v>252.26800000000003</v>
      </c>
      <c r="CF240" s="64">
        <f t="shared" si="2113"/>
        <v>266.40699999999993</v>
      </c>
      <c r="CG240" s="64">
        <f t="shared" si="2113"/>
        <v>246.61299999999994</v>
      </c>
      <c r="CH240" s="64">
        <f t="shared" si="2113"/>
        <v>207.65800000000002</v>
      </c>
      <c r="CI240" s="64">
        <f t="shared" si="2113"/>
        <v>186.70800000000008</v>
      </c>
      <c r="CJ240" s="64">
        <f t="shared" si="2113"/>
        <v>193.327</v>
      </c>
      <c r="CK240" s="64">
        <f t="shared" si="2113"/>
        <v>222.245</v>
      </c>
      <c r="CL240" s="64">
        <f t="shared" ref="CL240" si="2114">CL36-CL246</f>
        <v>244.56799999999998</v>
      </c>
      <c r="CM240" s="30">
        <f t="shared" si="2113"/>
        <v>230.60207922784298</v>
      </c>
      <c r="CN240" s="30">
        <f t="shared" si="2113"/>
        <v>248.5301944555855</v>
      </c>
      <c r="CO240" s="30">
        <f t="shared" si="2113"/>
        <v>268.23030171365042</v>
      </c>
      <c r="CP240" s="30">
        <f t="shared" si="2113"/>
        <v>282.32936013270898</v>
      </c>
      <c r="CQ240" s="30">
        <f t="shared" si="2113"/>
        <v>290.83562304307225</v>
      </c>
      <c r="CR240" s="30">
        <f t="shared" si="2113"/>
        <v>309.12997171325492</v>
      </c>
      <c r="CS240" s="30">
        <f t="shared" si="2113"/>
        <v>326.82431859008398</v>
      </c>
      <c r="CT240" s="30">
        <f t="shared" si="2113"/>
        <v>343.15642082952047</v>
      </c>
      <c r="CU240" s="30">
        <f t="shared" ref="CU240:DB240" si="2115">CU36-CU246</f>
        <v>337.03120495371627</v>
      </c>
      <c r="CV240" s="30">
        <f t="shared" si="2115"/>
        <v>345.53564560048642</v>
      </c>
      <c r="CW240" s="30">
        <f t="shared" si="2115"/>
        <v>352.52641432354903</v>
      </c>
      <c r="CX240" s="30">
        <f t="shared" si="2115"/>
        <v>357.87280387903104</v>
      </c>
      <c r="CY240" s="30">
        <f t="shared" si="2115"/>
        <v>354.49765363423887</v>
      </c>
      <c r="CZ240" s="30">
        <f t="shared" si="2115"/>
        <v>358.94393105350161</v>
      </c>
      <c r="DA240" s="30">
        <f t="shared" si="2115"/>
        <v>362.32747442153561</v>
      </c>
      <c r="DB240" s="30">
        <f t="shared" si="2115"/>
        <v>364.77427183003249</v>
      </c>
      <c r="DE240" s="139"/>
      <c r="DF240" s="64">
        <v>218.64055689350562</v>
      </c>
    </row>
    <row r="241" spans="1:110" s="89" customFormat="1" hidden="1" outlineLevel="1" x14ac:dyDescent="0.2">
      <c r="A241" s="86" t="s">
        <v>476</v>
      </c>
      <c r="B241" s="86">
        <f>+B240/B239</f>
        <v>0.15687097595151089</v>
      </c>
      <c r="C241" s="86">
        <f t="shared" ref="C241" si="2116">+C240/C239</f>
        <v>0.17452298191768667</v>
      </c>
      <c r="D241" s="86">
        <f t="shared" ref="D241" si="2117">+D240/D239</f>
        <v>0.1642529795874425</v>
      </c>
      <c r="E241" s="86">
        <f t="shared" ref="E241" si="2118">+E240/E239</f>
        <v>0.15059242053550795</v>
      </c>
      <c r="F241" s="86">
        <f t="shared" ref="F241" si="2119">+F240/F239</f>
        <v>0.19447554555535229</v>
      </c>
      <c r="G241" s="86">
        <f t="shared" ref="G241" si="2120">+G240/G239</f>
        <v>0.19974850593171203</v>
      </c>
      <c r="H241" s="86">
        <f t="shared" ref="H241" si="2121">+H240/H239</f>
        <v>0.22585440458756406</v>
      </c>
      <c r="I241" s="86">
        <f t="shared" ref="I241" si="2122">+I240/I239</f>
        <v>0.18706327669927666</v>
      </c>
      <c r="J241" s="86">
        <f t="shared" ref="J241" si="2123">+J240/J239</f>
        <v>0.19520461463439057</v>
      </c>
      <c r="K241" s="86">
        <f t="shared" ref="K241" si="2124">+K240/K239</f>
        <v>0.17611422756635262</v>
      </c>
      <c r="L241" s="86">
        <f t="shared" ref="L241" si="2125">+L240/L239</f>
        <v>0.37097750673701502</v>
      </c>
      <c r="M241" s="86">
        <f t="shared" ref="M241" si="2126">+M240/M239</f>
        <v>0.35624199704700543</v>
      </c>
      <c r="N241" s="86">
        <f t="shared" ref="N241" si="2127">+N240/N239</f>
        <v>0.11709887799209601</v>
      </c>
      <c r="O241" s="86">
        <f t="shared" ref="O241" si="2128">+O240/O239</f>
        <v>0.14573681470889308</v>
      </c>
      <c r="P241" s="86">
        <f t="shared" ref="P241" si="2129">+P240/P239</f>
        <v>0.19855283917103481</v>
      </c>
      <c r="Q241" s="86">
        <f t="shared" ref="Q241" si="2130">+Q240/Q239</f>
        <v>0.23039387518355794</v>
      </c>
      <c r="R241" s="86">
        <f t="shared" ref="R241" si="2131">+R240/R239</f>
        <v>0.22111628567823988</v>
      </c>
      <c r="S241" s="86">
        <f t="shared" ref="S241" si="2132">+S240/S239</f>
        <v>0.24902843585656864</v>
      </c>
      <c r="T241" s="86">
        <f t="shared" ref="T241" si="2133">+T240/T239</f>
        <v>0.26054409593998884</v>
      </c>
      <c r="U241" s="86">
        <f t="shared" ref="U241" si="2134">+U240/U239</f>
        <v>0.20992056205618825</v>
      </c>
      <c r="V241" s="86">
        <f t="shared" ref="V241" si="2135">+V240/V239</f>
        <v>0.28667848710055316</v>
      </c>
      <c r="W241" s="86">
        <f t="shared" ref="W241" si="2136">+W240/W239</f>
        <v>0.31032015875672936</v>
      </c>
      <c r="X241" s="86">
        <f t="shared" ref="X241:Y241" si="2137">+X240/X239</f>
        <v>0.30497209213213555</v>
      </c>
      <c r="Y241" s="86">
        <f t="shared" si="2137"/>
        <v>0.29482363293825475</v>
      </c>
      <c r="Z241" s="86">
        <f t="shared" ref="Z241:AA241" si="2138">+Z240/Z239</f>
        <v>0.26102887967420518</v>
      </c>
      <c r="AA241" s="86">
        <f t="shared" si="2138"/>
        <v>0.22334308478439624</v>
      </c>
      <c r="AB241" s="87"/>
      <c r="AC241" s="87"/>
      <c r="AD241" s="87"/>
      <c r="AE241" s="87"/>
      <c r="AF241" s="86"/>
      <c r="AG241" s="86"/>
      <c r="AH241" s="86"/>
      <c r="AI241" s="86">
        <f t="shared" ref="AI241" si="2139">+AI240/AI239</f>
        <v>8.9892405452916338E-2</v>
      </c>
      <c r="AJ241" s="86">
        <f t="shared" ref="AJ241" si="2140">+AJ240/AJ239</f>
        <v>0.11243845138866554</v>
      </c>
      <c r="AK241" s="86">
        <f t="shared" ref="AK241" si="2141">+AK240/AK239</f>
        <v>0.10519664534905986</v>
      </c>
      <c r="AL241" s="86">
        <f t="shared" ref="AL241" si="2142">+AL240/AL239</f>
        <v>0.11481839541827786</v>
      </c>
      <c r="AM241" s="86">
        <f t="shared" ref="AM241" si="2143">+AM240/AM239</f>
        <v>7.7950950783320538E-2</v>
      </c>
      <c r="AN241" s="86">
        <f t="shared" ref="AN241" si="2144">+AN240/AN239</f>
        <v>0.17075327683318411</v>
      </c>
      <c r="AO241" s="86">
        <f t="shared" ref="AO241" si="2145">+AO240/AO239</f>
        <v>0.21157987837479944</v>
      </c>
      <c r="AP241" s="86">
        <f t="shared" ref="AP241" si="2146">+AP240/AP239</f>
        <v>0.21671339217753488</v>
      </c>
      <c r="AQ241" s="86">
        <f t="shared" ref="AQ241" si="2147">+AQ240/AQ239</f>
        <v>0.19752037954444182</v>
      </c>
      <c r="AR241" s="86">
        <f t="shared" ref="AR241" si="2148">+AR240/AR239</f>
        <v>0.19609195513956962</v>
      </c>
      <c r="AS241" s="86">
        <f t="shared" ref="AS241" si="2149">+AS240/AS239</f>
        <v>0.21977362102516171</v>
      </c>
      <c r="AT241" s="86">
        <f t="shared" ref="AT241" si="2150">+AT240/AT239</f>
        <v>0.18690222937096812</v>
      </c>
      <c r="AU241" s="86">
        <f t="shared" ref="AU241" si="2151">+AU240/AU239</f>
        <v>0.21474123381556423</v>
      </c>
      <c r="AV241" s="86">
        <f t="shared" ref="AV241" si="2152">+AV240/AV239</f>
        <v>0.23244126861312758</v>
      </c>
      <c r="AW241" s="86">
        <f t="shared" ref="AW241" si="2153">+AW240/AW239</f>
        <v>0.23736568457539009</v>
      </c>
      <c r="AX241" s="86">
        <f t="shared" ref="AX241" si="2154">+AX240/AX239</f>
        <v>0.21991345525800124</v>
      </c>
      <c r="AY241" s="86">
        <f t="shared" ref="AY241" si="2155">+AY240/AY239</f>
        <v>0.22576076632652026</v>
      </c>
      <c r="AZ241" s="86">
        <f t="shared" ref="AZ241" si="2156">+AZ240/AZ239</f>
        <v>0.23343457652078439</v>
      </c>
      <c r="BA241" s="86">
        <f t="shared" ref="BA241" si="2157">+BA240/BA239</f>
        <v>0.22982481587132747</v>
      </c>
      <c r="BB241" s="86">
        <f t="shared" ref="BB241" si="2158">+BB240/BB239</f>
        <v>0.23093789851283045</v>
      </c>
      <c r="BC241" s="86">
        <f t="shared" ref="BC241" si="2159">+BC240/BC239</f>
        <v>0.22722210190885761</v>
      </c>
      <c r="BD241" s="86">
        <f t="shared" ref="BD241" si="2160">+BD240/BD239</f>
        <v>0.2455327133396073</v>
      </c>
      <c r="BE241" s="86">
        <f t="shared" ref="BE241" si="2161">+BE240/BE239</f>
        <v>0.26117105019448039</v>
      </c>
      <c r="BF241" s="86">
        <f t="shared" ref="BF241" si="2162">+BF240/BF239</f>
        <v>0.25333265845445629</v>
      </c>
      <c r="BG241" s="86">
        <f t="shared" ref="BG241" si="2163">+BG240/BG239</f>
        <v>0.27882262096404781</v>
      </c>
      <c r="BH241" s="86">
        <f t="shared" ref="BH241" si="2164">+BH240/BH239</f>
        <v>0.26495590688805903</v>
      </c>
      <c r="BI241" s="86">
        <f t="shared" ref="BI241" si="2165">+BI240/BI239</f>
        <v>0.22497782604315883</v>
      </c>
      <c r="BJ241" s="86">
        <f t="shared" ref="BJ241" si="2166">+BJ240/BJ239</f>
        <v>0.24306844662111449</v>
      </c>
      <c r="BK241" s="86">
        <f t="shared" ref="BK241" si="2167">+BK240/BK239</f>
        <v>0.19002792292167764</v>
      </c>
      <c r="BL241" s="86">
        <f t="shared" ref="BL241" si="2168">+BL240/BL239</f>
        <v>0.18231746352639919</v>
      </c>
      <c r="BM241" s="86">
        <f t="shared" ref="BM241" si="2169">+BM240/BM239</f>
        <v>0.22244578899390233</v>
      </c>
      <c r="BN241" s="86">
        <f t="shared" ref="BN241" si="2170">+BN240/BN239</f>
        <v>0.24744750902856102</v>
      </c>
      <c r="BO241" s="86">
        <f t="shared" ref="BO241" si="2171">+BO240/BO239</f>
        <v>0.23149507600727115</v>
      </c>
      <c r="BP241" s="86">
        <f t="shared" ref="BP241" si="2172">+BP240/BP239</f>
        <v>0.27442297276250116</v>
      </c>
      <c r="BQ241" s="86">
        <f t="shared" ref="BQ241" si="2173">+BQ240/BQ239</f>
        <v>0.30101006713519474</v>
      </c>
      <c r="BR241" s="86">
        <f t="shared" ref="BR241" si="2174">+BR240/BR239</f>
        <v>0.31650900084105565</v>
      </c>
      <c r="BS241" s="86">
        <f t="shared" ref="BS241" si="2175">+BS240/BS239</f>
        <v>0.26864356385989296</v>
      </c>
      <c r="BT241" s="86">
        <f t="shared" ref="BT241" si="2176">+BT240/BT239</f>
        <v>0.30050005795095508</v>
      </c>
      <c r="BU241" s="86">
        <f t="shared" ref="BU241" si="2177">+BU240/BU239</f>
        <v>0.32907888255355189</v>
      </c>
      <c r="BV241" s="86">
        <f t="shared" ref="BV241" si="2178">+BV240/BV239</f>
        <v>0.32453035545861392</v>
      </c>
      <c r="BW241" s="86">
        <f t="shared" ref="BW241" si="2179">+BW240/BW239</f>
        <v>0.32808597457738037</v>
      </c>
      <c r="BX241" s="86">
        <f t="shared" ref="BX241" si="2180">+BX240/BX239</f>
        <v>0.29684173009718656</v>
      </c>
      <c r="BY241" s="86">
        <f t="shared" ref="BY241" si="2181">+BY240/BY239</f>
        <v>0.30187601728171326</v>
      </c>
      <c r="BZ241" s="86">
        <f t="shared" ref="BZ241" si="2182">+BZ240/BZ239</f>
        <v>0.29802964483482913</v>
      </c>
      <c r="CA241" s="86">
        <f t="shared" ref="CA241" si="2183">+CA240/CA239</f>
        <v>0.29574418539008701</v>
      </c>
      <c r="CB241" s="86">
        <f t="shared" ref="CB241:CC241" si="2184">+CB240/CB239</f>
        <v>0.29890733561831834</v>
      </c>
      <c r="CC241" s="86">
        <f t="shared" si="2184"/>
        <v>0.29549031811365378</v>
      </c>
      <c r="CD241" s="86">
        <f t="shared" ref="CD241" si="2185">+CD240/CD239</f>
        <v>0.2884055619393272</v>
      </c>
      <c r="CE241" s="86">
        <f t="shared" ref="CE241:CF241" si="2186">+CE240/CE239</f>
        <v>0.27229385129337097</v>
      </c>
      <c r="CF241" s="86">
        <f t="shared" si="2186"/>
        <v>0.27893509066199268</v>
      </c>
      <c r="CG241" s="86">
        <f t="shared" ref="CG241:CH241" si="2187">+CG240/CG239</f>
        <v>0.26258583367672123</v>
      </c>
      <c r="CH241" s="86">
        <f t="shared" si="2187"/>
        <v>0.22861364076729318</v>
      </c>
      <c r="CI241" s="86">
        <f t="shared" ref="CI241:CJ241" si="2188">+CI240/CI239</f>
        <v>0.20929137671282025</v>
      </c>
      <c r="CJ241" s="86">
        <f t="shared" si="2188"/>
        <v>0.21057246362604592</v>
      </c>
      <c r="CK241" s="86">
        <f t="shared" ref="CK241:DB241" si="2189">+CK240/CK239</f>
        <v>0.23308973291353513</v>
      </c>
      <c r="CL241" s="86">
        <f t="shared" si="2189"/>
        <v>0.24610591586826075</v>
      </c>
      <c r="CM241" s="47">
        <f t="shared" si="2189"/>
        <v>0.23476487228016552</v>
      </c>
      <c r="CN241" s="47">
        <f t="shared" si="2189"/>
        <v>0.24113324617200166</v>
      </c>
      <c r="CO241" s="47">
        <f t="shared" si="2189"/>
        <v>0.2487734418084907</v>
      </c>
      <c r="CP241" s="47">
        <f t="shared" si="2189"/>
        <v>0.25269436903222969</v>
      </c>
      <c r="CQ241" s="47">
        <f t="shared" si="2189"/>
        <v>0.25828855531755252</v>
      </c>
      <c r="CR241" s="47">
        <f t="shared" si="2189"/>
        <v>0.26407777699219614</v>
      </c>
      <c r="CS241" s="47">
        <f t="shared" si="2189"/>
        <v>0.26971771164243674</v>
      </c>
      <c r="CT241" s="47">
        <f t="shared" si="2189"/>
        <v>0.27484958731221937</v>
      </c>
      <c r="CU241" s="47">
        <f t="shared" si="2189"/>
        <v>0.26673340781610122</v>
      </c>
      <c r="CV241" s="47">
        <f t="shared" si="2189"/>
        <v>0.26884462094073824</v>
      </c>
      <c r="CW241" s="47">
        <f t="shared" si="2189"/>
        <v>0.27003633192787369</v>
      </c>
      <c r="CX241" s="47">
        <f t="shared" si="2189"/>
        <v>0.27011598699923312</v>
      </c>
      <c r="CY241" s="47">
        <f t="shared" si="2189"/>
        <v>0.26893258692098637</v>
      </c>
      <c r="CZ241" s="47">
        <f t="shared" si="2189"/>
        <v>0.26948238169720812</v>
      </c>
      <c r="DA241" s="47">
        <f t="shared" si="2189"/>
        <v>0.26964182188632529</v>
      </c>
      <c r="DB241" s="47">
        <f t="shared" si="2189"/>
        <v>0.26954319437593821</v>
      </c>
      <c r="DE241" s="130"/>
      <c r="DF241" s="89">
        <v>0.23039180350492355</v>
      </c>
    </row>
    <row r="242" spans="1:110" s="64" customFormat="1" hidden="1" outlineLevel="1" x14ac:dyDescent="0.2">
      <c r="A242" s="64" t="s">
        <v>477</v>
      </c>
      <c r="B242" s="64">
        <f t="shared" ref="B242:Z242" si="2190">B49-B248</f>
        <v>13.863999999999979</v>
      </c>
      <c r="C242" s="64">
        <f t="shared" si="2190"/>
        <v>16.749400000000001</v>
      </c>
      <c r="D242" s="64">
        <f t="shared" si="2190"/>
        <v>11.686400000000008</v>
      </c>
      <c r="E242" s="64">
        <f t="shared" si="2190"/>
        <v>17.545800000000028</v>
      </c>
      <c r="F242" s="64">
        <f t="shared" si="2190"/>
        <v>26.291400000000017</v>
      </c>
      <c r="G242" s="64">
        <f t="shared" si="2190"/>
        <v>34.328399999999981</v>
      </c>
      <c r="H242" s="64">
        <f t="shared" si="2190"/>
        <v>52.116900000000008</v>
      </c>
      <c r="I242" s="64">
        <f t="shared" si="2190"/>
        <v>52.845700000000001</v>
      </c>
      <c r="J242" s="64">
        <f t="shared" si="2190"/>
        <v>58.159199999999963</v>
      </c>
      <c r="K242" s="64">
        <f t="shared" si="2190"/>
        <v>48.817100000000018</v>
      </c>
      <c r="L242" s="64">
        <f t="shared" si="2190"/>
        <v>139.14800000000002</v>
      </c>
      <c r="M242" s="64">
        <f t="shared" si="2190"/>
        <v>167.90659999999994</v>
      </c>
      <c r="N242" s="64">
        <f t="shared" si="2190"/>
        <v>38.269399999999905</v>
      </c>
      <c r="O242" s="64">
        <f t="shared" si="2190"/>
        <v>72.261899999999997</v>
      </c>
      <c r="P242" s="64">
        <f t="shared" si="2190"/>
        <v>102.02090000000004</v>
      </c>
      <c r="Q242" s="64">
        <f t="shared" si="2190"/>
        <v>154.81010000000015</v>
      </c>
      <c r="R242" s="64">
        <f t="shared" si="2190"/>
        <v>174.78460000000007</v>
      </c>
      <c r="S242" s="64">
        <f t="shared" si="2190"/>
        <v>240.03789999999975</v>
      </c>
      <c r="T242" s="64">
        <f t="shared" si="2190"/>
        <v>289.96889999999985</v>
      </c>
      <c r="U242" s="64">
        <f t="shared" si="2190"/>
        <v>256.1001</v>
      </c>
      <c r="V242" s="64">
        <f t="shared" si="2190"/>
        <v>368.12190000000004</v>
      </c>
      <c r="W242" s="64">
        <f t="shared" si="2190"/>
        <v>549.67149999999981</v>
      </c>
      <c r="X242" s="64">
        <f t="shared" si="2190"/>
        <v>755.19319999999959</v>
      </c>
      <c r="Y242" s="64">
        <f t="shared" si="2190"/>
        <v>792.23790000000008</v>
      </c>
      <c r="Z242" s="64">
        <f t="shared" si="2190"/>
        <v>784.93679999999927</v>
      </c>
      <c r="AA242" s="64">
        <f t="shared" ref="AA242" si="2191">AA49-AA248</f>
        <v>724.11909999999978</v>
      </c>
      <c r="AB242" s="30"/>
      <c r="AC242" s="30"/>
      <c r="AD242" s="30"/>
      <c r="AE242" s="30"/>
      <c r="AI242" s="64">
        <f t="shared" ref="AI242:BN242" si="2192">AI49-AI248</f>
        <v>11.064000000000011</v>
      </c>
      <c r="AJ242" s="64">
        <f t="shared" si="2192"/>
        <v>10.323000000000022</v>
      </c>
      <c r="AK242" s="64">
        <f t="shared" si="2192"/>
        <v>8.7480000000000011</v>
      </c>
      <c r="AL242" s="64">
        <f t="shared" si="2192"/>
        <v>8.1349999999999874</v>
      </c>
      <c r="AM242" s="64">
        <f t="shared" si="2192"/>
        <v>8.9269999999999641</v>
      </c>
      <c r="AN242" s="64">
        <f t="shared" si="2192"/>
        <v>19.929999999999986</v>
      </c>
      <c r="AO242" s="64">
        <f t="shared" si="2192"/>
        <v>21.556999999999981</v>
      </c>
      <c r="AP242" s="64">
        <f t="shared" si="2192"/>
        <v>21.848999999999997</v>
      </c>
      <c r="AQ242" s="64">
        <f t="shared" si="2192"/>
        <v>20.791999999999994</v>
      </c>
      <c r="AR242" s="64">
        <f t="shared" si="2192"/>
        <v>23.637000000000011</v>
      </c>
      <c r="AS242" s="64">
        <f t="shared" si="2192"/>
        <v>27.757999999999996</v>
      </c>
      <c r="AT242" s="64">
        <f t="shared" si="2192"/>
        <v>29.834000000000024</v>
      </c>
      <c r="AU242" s="64">
        <f t="shared" si="2192"/>
        <v>35.712000000000018</v>
      </c>
      <c r="AV242" s="64">
        <f t="shared" si="2192"/>
        <v>38.099000000000004</v>
      </c>
      <c r="AW242" s="64">
        <f t="shared" si="2192"/>
        <v>39.901000000000039</v>
      </c>
      <c r="AX242" s="64">
        <f t="shared" si="2192"/>
        <v>41.08799999999998</v>
      </c>
      <c r="AY242" s="64">
        <f t="shared" si="2192"/>
        <v>41.684000000000005</v>
      </c>
      <c r="AZ242" s="64">
        <f t="shared" si="2192"/>
        <v>45.460999999999991</v>
      </c>
      <c r="BA242" s="64">
        <f t="shared" si="2192"/>
        <v>44.148999999999987</v>
      </c>
      <c r="BB242" s="64">
        <f t="shared" si="2192"/>
        <v>43.492000000000004</v>
      </c>
      <c r="BC242" s="64">
        <f t="shared" si="2192"/>
        <v>49.744000000000057</v>
      </c>
      <c r="BD242" s="64">
        <f t="shared" si="2192"/>
        <v>57.239999999999995</v>
      </c>
      <c r="BE242" s="64">
        <f t="shared" si="2192"/>
        <v>62.765999999999977</v>
      </c>
      <c r="BF242" s="64">
        <f t="shared" si="2192"/>
        <v>70.289999999999978</v>
      </c>
      <c r="BG242" s="64">
        <f t="shared" si="2192"/>
        <v>70.498000000000005</v>
      </c>
      <c r="BH242" s="64">
        <f t="shared" si="2192"/>
        <v>82.182999999999964</v>
      </c>
      <c r="BI242" s="64">
        <f t="shared" si="2192"/>
        <v>65.994000000000057</v>
      </c>
      <c r="BJ242" s="64">
        <f t="shared" si="2192"/>
        <v>71.29299999999995</v>
      </c>
      <c r="BK242" s="64">
        <f t="shared" si="2192"/>
        <v>48.793000000000006</v>
      </c>
      <c r="BL242" s="64">
        <f t="shared" si="2192"/>
        <v>49.807000000000016</v>
      </c>
      <c r="BM242" s="64">
        <f t="shared" si="2192"/>
        <v>75.421000000000006</v>
      </c>
      <c r="BN242" s="64">
        <f t="shared" si="2192"/>
        <v>82.081000000000003</v>
      </c>
      <c r="BO242" s="64">
        <f t="shared" ref="BO242:CT242" si="2193">BO49-BO248</f>
        <v>68.874000000000024</v>
      </c>
      <c r="BP242" s="64">
        <f t="shared" si="2193"/>
        <v>78.877999999999986</v>
      </c>
      <c r="BQ242" s="64">
        <f t="shared" si="2193"/>
        <v>105.20199999999998</v>
      </c>
      <c r="BR242" s="64">
        <f t="shared" si="2193"/>
        <v>115.16799999999988</v>
      </c>
      <c r="BS242" s="64">
        <f t="shared" si="2193"/>
        <v>113.375</v>
      </c>
      <c r="BT242" s="64">
        <f t="shared" si="2193"/>
        <v>125.33300000000006</v>
      </c>
      <c r="BU242" s="64">
        <f t="shared" si="2193"/>
        <v>150.95000000000007</v>
      </c>
      <c r="BV242" s="64">
        <f t="shared" si="2193"/>
        <v>160.012</v>
      </c>
      <c r="BW242" s="64">
        <f t="shared" si="2193"/>
        <v>184.72100000000006</v>
      </c>
      <c r="BX242" s="64">
        <f t="shared" si="2193"/>
        <v>174.27699999999999</v>
      </c>
      <c r="BY242" s="64">
        <f t="shared" si="2193"/>
        <v>194.67700000000008</v>
      </c>
      <c r="BZ242" s="64">
        <f t="shared" si="2193"/>
        <v>201.51500000000004</v>
      </c>
      <c r="CA242" s="64">
        <f t="shared" si="2193"/>
        <v>188.85300000000009</v>
      </c>
      <c r="CB242" s="64">
        <f t="shared" si="2193"/>
        <v>200.01800000000003</v>
      </c>
      <c r="CC242" s="64">
        <f t="shared" si="2193"/>
        <v>206.43300000000005</v>
      </c>
      <c r="CD242" s="64">
        <f t="shared" si="2193"/>
        <v>196.93399999999991</v>
      </c>
      <c r="CE242" s="64">
        <f t="shared" si="2193"/>
        <v>184.08000000000004</v>
      </c>
      <c r="CF242" s="64">
        <f t="shared" si="2193"/>
        <v>229.43099999999993</v>
      </c>
      <c r="CG242" s="64">
        <f t="shared" si="2193"/>
        <v>199.00799999999992</v>
      </c>
      <c r="CH242" s="64">
        <f t="shared" si="2193"/>
        <v>172.42000000000002</v>
      </c>
      <c r="CI242" s="64">
        <f t="shared" si="2193"/>
        <v>144.36800000000011</v>
      </c>
      <c r="CJ242" s="64">
        <f t="shared" si="2193"/>
        <v>154.81900000000002</v>
      </c>
      <c r="CK242" s="64">
        <f t="shared" si="2193"/>
        <v>204.57900000000001</v>
      </c>
      <c r="CL242" s="64">
        <f t="shared" ref="CL242" si="2194">CL49-CL248</f>
        <v>220.351</v>
      </c>
      <c r="CM242" s="30">
        <f t="shared" si="2193"/>
        <v>188.1800021784176</v>
      </c>
      <c r="CN242" s="30">
        <f t="shared" si="2193"/>
        <v>203.97956790705544</v>
      </c>
      <c r="CO242" s="30">
        <f t="shared" si="2193"/>
        <v>223.15042822405226</v>
      </c>
      <c r="CP242" s="30">
        <f t="shared" si="2193"/>
        <v>231.40046749966814</v>
      </c>
      <c r="CQ242" s="30">
        <f t="shared" si="2193"/>
        <v>230.64638472848415</v>
      </c>
      <c r="CR242" s="30">
        <f t="shared" si="2193"/>
        <v>246.55093314209427</v>
      </c>
      <c r="CS242" s="30">
        <f t="shared" si="2193"/>
        <v>261.43224066608167</v>
      </c>
      <c r="CT242" s="30">
        <f t="shared" si="2193"/>
        <v>274.29347566860372</v>
      </c>
      <c r="CU242" s="30">
        <f t="shared" ref="CU242:DB242" si="2195">CU49-CU248</f>
        <v>263.50702053603618</v>
      </c>
      <c r="CV242" s="30">
        <f t="shared" si="2195"/>
        <v>277.38840988590016</v>
      </c>
      <c r="CW242" s="30">
        <f t="shared" si="2195"/>
        <v>289.23795248352008</v>
      </c>
      <c r="CX242" s="30">
        <f t="shared" si="2195"/>
        <v>299.20344118544295</v>
      </c>
      <c r="CY242" s="30">
        <f t="shared" si="2195"/>
        <v>302.05498216622254</v>
      </c>
      <c r="CZ242" s="30">
        <f t="shared" si="2195"/>
        <v>310.97771906902278</v>
      </c>
      <c r="DA242" s="30">
        <f t="shared" si="2195"/>
        <v>318.50915979894864</v>
      </c>
      <c r="DB242" s="30">
        <f t="shared" si="2195"/>
        <v>325.071113134597</v>
      </c>
      <c r="DE242" s="139"/>
      <c r="DF242" s="64">
        <v>181.41468310599328</v>
      </c>
    </row>
    <row r="243" spans="1:110" s="64" customFormat="1" hidden="1" outlineLevel="1" x14ac:dyDescent="0.2">
      <c r="AB243" s="30"/>
      <c r="AC243" s="30"/>
      <c r="AD243" s="30"/>
      <c r="AE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4" customFormat="1" hidden="1" outlineLevel="1" x14ac:dyDescent="0.2">
      <c r="A244" s="65" t="s">
        <v>352</v>
      </c>
      <c r="AB244" s="30"/>
      <c r="AC244" s="30"/>
      <c r="AD244" s="30"/>
      <c r="AE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4" customFormat="1" hidden="1" outlineLevel="1" x14ac:dyDescent="0.2">
      <c r="A245" s="64" t="s">
        <v>478</v>
      </c>
      <c r="AB245" s="30"/>
      <c r="AC245" s="30"/>
      <c r="AD245" s="30"/>
      <c r="AE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4" t="s">
        <v>479</v>
      </c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89" customFormat="1" hidden="1" outlineLevel="1" x14ac:dyDescent="0.2">
      <c r="A247" s="86" t="s">
        <v>480</v>
      </c>
      <c r="B247" s="86" t="e">
        <f>+B246/B245</f>
        <v>#DIV/0!</v>
      </c>
      <c r="C247" s="86" t="e">
        <f t="shared" ref="C247:X247" si="2196">+C246/C245</f>
        <v>#DIV/0!</v>
      </c>
      <c r="D247" s="86" t="e">
        <f t="shared" si="2196"/>
        <v>#DIV/0!</v>
      </c>
      <c r="E247" s="86" t="e">
        <f t="shared" si="2196"/>
        <v>#DIV/0!</v>
      </c>
      <c r="F247" s="86" t="e">
        <f t="shared" si="2196"/>
        <v>#DIV/0!</v>
      </c>
      <c r="G247" s="86" t="e">
        <f t="shared" si="2196"/>
        <v>#DIV/0!</v>
      </c>
      <c r="H247" s="86" t="e">
        <f t="shared" si="2196"/>
        <v>#DIV/0!</v>
      </c>
      <c r="I247" s="86" t="e">
        <f t="shared" si="2196"/>
        <v>#DIV/0!</v>
      </c>
      <c r="J247" s="86" t="e">
        <f t="shared" si="2196"/>
        <v>#DIV/0!</v>
      </c>
      <c r="K247" s="86" t="e">
        <f t="shared" si="2196"/>
        <v>#DIV/0!</v>
      </c>
      <c r="L247" s="86" t="e">
        <f t="shared" si="2196"/>
        <v>#DIV/0!</v>
      </c>
      <c r="M247" s="86" t="e">
        <f t="shared" si="2196"/>
        <v>#DIV/0!</v>
      </c>
      <c r="N247" s="86" t="e">
        <f t="shared" si="2196"/>
        <v>#DIV/0!</v>
      </c>
      <c r="O247" s="86" t="e">
        <f t="shared" si="2196"/>
        <v>#DIV/0!</v>
      </c>
      <c r="P247" s="86" t="e">
        <f t="shared" si="2196"/>
        <v>#DIV/0!</v>
      </c>
      <c r="Q247" s="86" t="e">
        <f t="shared" si="2196"/>
        <v>#DIV/0!</v>
      </c>
      <c r="R247" s="86" t="e">
        <f t="shared" si="2196"/>
        <v>#DIV/0!</v>
      </c>
      <c r="S247" s="86" t="e">
        <f t="shared" si="2196"/>
        <v>#DIV/0!</v>
      </c>
      <c r="T247" s="86" t="e">
        <f t="shared" si="2196"/>
        <v>#DIV/0!</v>
      </c>
      <c r="U247" s="86" t="e">
        <f t="shared" si="2196"/>
        <v>#DIV/0!</v>
      </c>
      <c r="V247" s="86" t="e">
        <f t="shared" si="2196"/>
        <v>#DIV/0!</v>
      </c>
      <c r="W247" s="86" t="e">
        <f t="shared" si="2196"/>
        <v>#DIV/0!</v>
      </c>
      <c r="X247" s="86" t="e">
        <f t="shared" si="2196"/>
        <v>#DIV/0!</v>
      </c>
      <c r="Y247" s="86" t="e">
        <f t="shared" ref="Y247:Z247" si="2197">+Y246/Y245</f>
        <v>#DIV/0!</v>
      </c>
      <c r="Z247" s="86" t="e">
        <f t="shared" si="2197"/>
        <v>#DIV/0!</v>
      </c>
      <c r="AA247" s="86" t="e">
        <f t="shared" ref="AA247" si="2198">+AA246/AA245</f>
        <v>#DIV/0!</v>
      </c>
      <c r="AB247" s="87"/>
      <c r="AC247" s="87"/>
      <c r="AD247" s="87"/>
      <c r="AE247" s="87"/>
      <c r="AF247" s="86"/>
      <c r="AG247" s="86"/>
      <c r="AH247" s="86"/>
      <c r="AI247" s="86" t="e">
        <f t="shared" ref="AI247" si="2199">+AI246/AI245</f>
        <v>#DIV/0!</v>
      </c>
      <c r="AJ247" s="86" t="e">
        <f t="shared" ref="AJ247" si="2200">+AJ246/AJ245</f>
        <v>#DIV/0!</v>
      </c>
      <c r="AK247" s="86" t="e">
        <f t="shared" ref="AK247" si="2201">+AK246/AK245</f>
        <v>#DIV/0!</v>
      </c>
      <c r="AL247" s="86" t="e">
        <f t="shared" ref="AL247" si="2202">+AL246/AL245</f>
        <v>#DIV/0!</v>
      </c>
      <c r="AM247" s="86" t="e">
        <f t="shared" ref="AM247" si="2203">+AM246/AM245</f>
        <v>#DIV/0!</v>
      </c>
      <c r="AN247" s="86" t="e">
        <f t="shared" ref="AN247" si="2204">+AN246/AN245</f>
        <v>#DIV/0!</v>
      </c>
      <c r="AO247" s="86" t="e">
        <f t="shared" ref="AO247" si="2205">+AO246/AO245</f>
        <v>#DIV/0!</v>
      </c>
      <c r="AP247" s="86" t="e">
        <f t="shared" ref="AP247" si="2206">+AP246/AP245</f>
        <v>#DIV/0!</v>
      </c>
      <c r="AQ247" s="86" t="e">
        <f t="shared" ref="AQ247" si="2207">+AQ246/AQ245</f>
        <v>#DIV/0!</v>
      </c>
      <c r="AR247" s="86" t="e">
        <f t="shared" ref="AR247" si="2208">+AR246/AR245</f>
        <v>#DIV/0!</v>
      </c>
      <c r="AS247" s="86" t="e">
        <f t="shared" ref="AS247" si="2209">+AS246/AS245</f>
        <v>#DIV/0!</v>
      </c>
      <c r="AT247" s="86" t="e">
        <f t="shared" ref="AT247" si="2210">+AT246/AT245</f>
        <v>#DIV/0!</v>
      </c>
      <c r="AU247" s="86" t="e">
        <f t="shared" ref="AU247" si="2211">+AU246/AU245</f>
        <v>#DIV/0!</v>
      </c>
      <c r="AV247" s="86" t="e">
        <f t="shared" ref="AV247" si="2212">+AV246/AV245</f>
        <v>#DIV/0!</v>
      </c>
      <c r="AW247" s="86" t="e">
        <f t="shared" ref="AW247" si="2213">+AW246/AW245</f>
        <v>#DIV/0!</v>
      </c>
      <c r="AX247" s="86" t="e">
        <f t="shared" ref="AX247" si="2214">+AX246/AX245</f>
        <v>#DIV/0!</v>
      </c>
      <c r="AY247" s="86" t="e">
        <f t="shared" ref="AY247" si="2215">+AY246/AY245</f>
        <v>#DIV/0!</v>
      </c>
      <c r="AZ247" s="86" t="e">
        <f t="shared" ref="AZ247" si="2216">+AZ246/AZ245</f>
        <v>#DIV/0!</v>
      </c>
      <c r="BA247" s="86" t="e">
        <f t="shared" ref="BA247" si="2217">+BA246/BA245</f>
        <v>#DIV/0!</v>
      </c>
      <c r="BB247" s="86" t="e">
        <f t="shared" ref="BB247" si="2218">+BB246/BB245</f>
        <v>#DIV/0!</v>
      </c>
      <c r="BC247" s="86" t="e">
        <f t="shared" ref="BC247" si="2219">+BC246/BC245</f>
        <v>#DIV/0!</v>
      </c>
      <c r="BD247" s="86" t="e">
        <f t="shared" ref="BD247" si="2220">+BD246/BD245</f>
        <v>#DIV/0!</v>
      </c>
      <c r="BE247" s="86" t="e">
        <f t="shared" ref="BE247" si="2221">+BE246/BE245</f>
        <v>#DIV/0!</v>
      </c>
      <c r="BF247" s="86" t="e">
        <f t="shared" ref="BF247" si="2222">+BF246/BF245</f>
        <v>#DIV/0!</v>
      </c>
      <c r="BG247" s="86" t="e">
        <f t="shared" ref="BG247" si="2223">+BG246/BG245</f>
        <v>#DIV/0!</v>
      </c>
      <c r="BH247" s="86" t="e">
        <f t="shared" ref="BH247" si="2224">+BH246/BH245</f>
        <v>#DIV/0!</v>
      </c>
      <c r="BI247" s="86" t="e">
        <f t="shared" ref="BI247" si="2225">+BI246/BI245</f>
        <v>#DIV/0!</v>
      </c>
      <c r="BJ247" s="86" t="e">
        <f t="shared" ref="BJ247" si="2226">+BJ246/BJ245</f>
        <v>#DIV/0!</v>
      </c>
      <c r="BK247" s="86" t="e">
        <f t="shared" ref="BK247" si="2227">+BK246/BK245</f>
        <v>#DIV/0!</v>
      </c>
      <c r="BL247" s="86" t="e">
        <f t="shared" ref="BL247" si="2228">+BL246/BL245</f>
        <v>#DIV/0!</v>
      </c>
      <c r="BM247" s="86" t="e">
        <f t="shared" ref="BM247" si="2229">+BM246/BM245</f>
        <v>#DIV/0!</v>
      </c>
      <c r="BN247" s="86" t="e">
        <f t="shared" ref="BN247" si="2230">+BN246/BN245</f>
        <v>#DIV/0!</v>
      </c>
      <c r="BO247" s="86" t="e">
        <f t="shared" ref="BO247" si="2231">+BO246/BO245</f>
        <v>#DIV/0!</v>
      </c>
      <c r="BP247" s="86" t="e">
        <f t="shared" ref="BP247" si="2232">+BP246/BP245</f>
        <v>#DIV/0!</v>
      </c>
      <c r="BQ247" s="86" t="e">
        <f t="shared" ref="BQ247" si="2233">+BQ246/BQ245</f>
        <v>#DIV/0!</v>
      </c>
      <c r="BR247" s="86" t="e">
        <f t="shared" ref="BR247" si="2234">+BR246/BR245</f>
        <v>#DIV/0!</v>
      </c>
      <c r="BS247" s="86" t="e">
        <f t="shared" ref="BS247" si="2235">+BS246/BS245</f>
        <v>#DIV/0!</v>
      </c>
      <c r="BT247" s="86" t="e">
        <f t="shared" ref="BT247" si="2236">+BT246/BT245</f>
        <v>#DIV/0!</v>
      </c>
      <c r="BU247" s="86" t="e">
        <f t="shared" ref="BU247" si="2237">+BU246/BU245</f>
        <v>#DIV/0!</v>
      </c>
      <c r="BV247" s="86" t="e">
        <f t="shared" ref="BV247" si="2238">+BV246/BV245</f>
        <v>#DIV/0!</v>
      </c>
      <c r="BW247" s="86" t="e">
        <f t="shared" ref="BW247" si="2239">+BW246/BW245</f>
        <v>#DIV/0!</v>
      </c>
      <c r="BX247" s="86" t="e">
        <f t="shared" ref="BX247" si="2240">+BX246/BX245</f>
        <v>#DIV/0!</v>
      </c>
      <c r="BY247" s="86" t="e">
        <f t="shared" ref="BY247" si="2241">+BY246/BY245</f>
        <v>#DIV/0!</v>
      </c>
      <c r="BZ247" s="86" t="e">
        <f t="shared" ref="BZ247" si="2242">+BZ246/BZ245</f>
        <v>#DIV/0!</v>
      </c>
      <c r="CA247" s="86" t="e">
        <f t="shared" ref="CA247" si="2243">+CA246/CA245</f>
        <v>#DIV/0!</v>
      </c>
      <c r="CB247" s="86" t="e">
        <f t="shared" ref="CB247:CC247" si="2244">+CB246/CB245</f>
        <v>#DIV/0!</v>
      </c>
      <c r="CC247" s="86" t="e">
        <f t="shared" si="2244"/>
        <v>#DIV/0!</v>
      </c>
      <c r="CD247" s="86" t="e">
        <f t="shared" ref="CD247" si="2245">+CD246/CD245</f>
        <v>#DIV/0!</v>
      </c>
      <c r="CE247" s="86" t="e">
        <f t="shared" ref="CE247:CF247" si="2246">+CE246/CE245</f>
        <v>#DIV/0!</v>
      </c>
      <c r="CF247" s="86" t="e">
        <f t="shared" si="2246"/>
        <v>#DIV/0!</v>
      </c>
      <c r="CG247" s="86" t="e">
        <f t="shared" ref="CG247:CH247" si="2247">+CG246/CG245</f>
        <v>#DIV/0!</v>
      </c>
      <c r="CH247" s="86" t="e">
        <f t="shared" si="2247"/>
        <v>#DIV/0!</v>
      </c>
      <c r="CI247" s="86" t="e">
        <f t="shared" ref="CI247:CJ247" si="2248">+CI246/CI245</f>
        <v>#DIV/0!</v>
      </c>
      <c r="CJ247" s="86" t="e">
        <f t="shared" si="2248"/>
        <v>#DIV/0!</v>
      </c>
      <c r="CK247" s="86" t="e">
        <f t="shared" ref="CK247:DB247" si="2249">+CK246/CK245</f>
        <v>#DIV/0!</v>
      </c>
      <c r="CL247" s="86" t="e">
        <f t="shared" si="2249"/>
        <v>#DIV/0!</v>
      </c>
      <c r="CM247" s="47" t="e">
        <f t="shared" si="2249"/>
        <v>#DIV/0!</v>
      </c>
      <c r="CN247" s="47" t="e">
        <f t="shared" si="2249"/>
        <v>#DIV/0!</v>
      </c>
      <c r="CO247" s="47" t="e">
        <f t="shared" si="2249"/>
        <v>#DIV/0!</v>
      </c>
      <c r="CP247" s="47" t="e">
        <f t="shared" si="2249"/>
        <v>#DIV/0!</v>
      </c>
      <c r="CQ247" s="47" t="e">
        <f t="shared" si="2249"/>
        <v>#DIV/0!</v>
      </c>
      <c r="CR247" s="47" t="e">
        <f t="shared" si="2249"/>
        <v>#DIV/0!</v>
      </c>
      <c r="CS247" s="47" t="e">
        <f t="shared" si="2249"/>
        <v>#DIV/0!</v>
      </c>
      <c r="CT247" s="47" t="e">
        <f t="shared" si="2249"/>
        <v>#DIV/0!</v>
      </c>
      <c r="CU247" s="47" t="e">
        <f t="shared" si="2249"/>
        <v>#DIV/0!</v>
      </c>
      <c r="CV247" s="47" t="e">
        <f t="shared" si="2249"/>
        <v>#DIV/0!</v>
      </c>
      <c r="CW247" s="47" t="e">
        <f t="shared" si="2249"/>
        <v>#DIV/0!</v>
      </c>
      <c r="CX247" s="47" t="e">
        <f t="shared" si="2249"/>
        <v>#DIV/0!</v>
      </c>
      <c r="CY247" s="47" t="e">
        <f t="shared" si="2249"/>
        <v>#DIV/0!</v>
      </c>
      <c r="CZ247" s="47" t="e">
        <f t="shared" si="2249"/>
        <v>#DIV/0!</v>
      </c>
      <c r="DA247" s="47" t="e">
        <f t="shared" si="2249"/>
        <v>#DIV/0!</v>
      </c>
      <c r="DB247" s="47" t="e">
        <f t="shared" si="2249"/>
        <v>#DIV/0!</v>
      </c>
      <c r="DE247" s="130"/>
    </row>
    <row r="248" spans="1:110" s="64" customFormat="1" hidden="1" outlineLevel="1" x14ac:dyDescent="0.2">
      <c r="A248" s="64" t="s">
        <v>481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hidden="1" outlineLevel="1" x14ac:dyDescent="0.2"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11" customFormat="1" collapsed="1" x14ac:dyDescent="0.2"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x14ac:dyDescent="0.2">
      <c r="A251" s="154" t="s">
        <v>497</v>
      </c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63"/>
      <c r="AC251" s="63"/>
      <c r="AD251" s="63"/>
      <c r="AE251" s="63"/>
      <c r="AL251" s="180"/>
      <c r="CF251" s="180"/>
      <c r="CG251" s="180"/>
      <c r="CH251" s="180"/>
      <c r="CI251" s="180"/>
      <c r="CJ251" s="180"/>
      <c r="CK251" s="180"/>
      <c r="CL251" s="18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84" customFormat="1" x14ac:dyDescent="0.2">
      <c r="A252" s="84" t="s">
        <v>512</v>
      </c>
      <c r="B252" s="84">
        <f>B16/B173</f>
        <v>2.3907921377192949</v>
      </c>
      <c r="C252" s="84">
        <f>C16/C173</f>
        <v>2.9563403313306518</v>
      </c>
      <c r="D252" s="84">
        <f>D16/D173</f>
        <v>2.3298903546997822</v>
      </c>
      <c r="E252" s="84">
        <f t="shared" ref="E252:Y252" si="2250">E18/(E169+E156+E146)</f>
        <v>1.5828002520426905</v>
      </c>
      <c r="F252" s="84">
        <f t="shared" si="2250"/>
        <v>1.5533449669345405</v>
      </c>
      <c r="G252" s="84">
        <f t="shared" si="2250"/>
        <v>1.6190352511776962</v>
      </c>
      <c r="H252" s="84">
        <f t="shared" si="2250"/>
        <v>1.7525101464318475</v>
      </c>
      <c r="I252" s="84">
        <f t="shared" si="2250"/>
        <v>1.5527609814505459</v>
      </c>
      <c r="J252" s="84">
        <f t="shared" si="2250"/>
        <v>1.6989740398537954</v>
      </c>
      <c r="K252" s="84">
        <f t="shared" si="2250"/>
        <v>1.3095915653899215</v>
      </c>
      <c r="L252" s="84">
        <f t="shared" si="2250"/>
        <v>1.3786717043125507</v>
      </c>
      <c r="M252" s="84">
        <f t="shared" si="2250"/>
        <v>1.6099180587768918</v>
      </c>
      <c r="N252" s="84">
        <f t="shared" si="2250"/>
        <v>1.7020215488045873</v>
      </c>
      <c r="O252" s="84">
        <f t="shared" si="2250"/>
        <v>1.6324729471821624</v>
      </c>
      <c r="P252" s="84">
        <f t="shared" si="2250"/>
        <v>1.4400414414026466</v>
      </c>
      <c r="Q252" s="84">
        <f t="shared" si="2250"/>
        <v>1.3472933366246935</v>
      </c>
      <c r="R252" s="84">
        <f t="shared" si="2250"/>
        <v>1.7373887165356254</v>
      </c>
      <c r="S252" s="84">
        <f t="shared" si="2250"/>
        <v>1.4735711399788705</v>
      </c>
      <c r="T252" s="84">
        <f t="shared" si="2250"/>
        <v>1.4039961358120685</v>
      </c>
      <c r="U252" s="84">
        <f t="shared" si="2250"/>
        <v>1.1663853936758029</v>
      </c>
      <c r="V252" s="84">
        <f t="shared" si="2250"/>
        <v>1.0699730473571663</v>
      </c>
      <c r="W252" s="84">
        <f t="shared" si="2250"/>
        <v>1.1437799653273648</v>
      </c>
      <c r="X252" s="84">
        <f t="shared" si="2250"/>
        <v>1.1432800665654941</v>
      </c>
      <c r="Y252" s="84">
        <f t="shared" si="2250"/>
        <v>1.1229905947704801</v>
      </c>
      <c r="Z252" s="84">
        <f>Z18/(Z169+Z156+Z146)</f>
        <v>1.051001194614096</v>
      </c>
      <c r="AA252" s="84">
        <f>AA18/(AA169+AA156+AA146)</f>
        <v>0.96745734404895301</v>
      </c>
      <c r="AB252" s="50">
        <f t="shared" ref="AA252:AE252" si="2251">AB18/(AB169+AB156+AB146)</f>
        <v>0.86860748811901012</v>
      </c>
      <c r="AC252" s="50">
        <f t="shared" si="2251"/>
        <v>0.79551261323013955</v>
      </c>
      <c r="AD252" s="50">
        <f t="shared" si="2251"/>
        <v>0.72135933699464649</v>
      </c>
      <c r="AE252" s="50">
        <f t="shared" si="2251"/>
        <v>0.63185285568234184</v>
      </c>
      <c r="AL252" s="84">
        <f>SUM(AI18:AL18)/(AL169+AL156+AL146)</f>
        <v>1.6850501704288783</v>
      </c>
      <c r="AM252" s="84">
        <f t="shared" ref="AM252:CL252" si="2252">SUM(AJ18:AM18)/(AM169+AM156+AM146)</f>
        <v>1.7025181779030909</v>
      </c>
      <c r="AN252" s="84">
        <f t="shared" si="2252"/>
        <v>1.8273980555906473</v>
      </c>
      <c r="AO252" s="84">
        <f t="shared" si="2252"/>
        <v>1.8214658309166054</v>
      </c>
      <c r="AP252" s="84">
        <f t="shared" si="2252"/>
        <v>1.9886823541527214</v>
      </c>
      <c r="AQ252" s="84">
        <f t="shared" si="2252"/>
        <v>1.9608129342851259</v>
      </c>
      <c r="AR252" s="84">
        <f t="shared" si="2252"/>
        <v>2.0867034631585502</v>
      </c>
      <c r="AS252" s="84">
        <f t="shared" si="2252"/>
        <v>1.9804616194598998</v>
      </c>
      <c r="AT252" s="84">
        <f t="shared" si="2252"/>
        <v>1.8104567434320151</v>
      </c>
      <c r="AU252" s="84">
        <f t="shared" si="2252"/>
        <v>1.7743085241791614</v>
      </c>
      <c r="AV252" s="84">
        <f t="shared" si="2252"/>
        <v>1.8752176938408858</v>
      </c>
      <c r="AW252" s="84">
        <f t="shared" si="2252"/>
        <v>1.828071870303392</v>
      </c>
      <c r="AX252" s="84">
        <f t="shared" si="2252"/>
        <v>1.7904777024825154</v>
      </c>
      <c r="AY252" s="84">
        <f t="shared" si="2252"/>
        <v>1.7523379287559639</v>
      </c>
      <c r="AZ252" s="84">
        <f t="shared" si="2252"/>
        <v>1.8190072886985817</v>
      </c>
      <c r="BA252" s="84">
        <f t="shared" si="2252"/>
        <v>1.752438095779524</v>
      </c>
      <c r="BB252" s="84">
        <f t="shared" si="2252"/>
        <v>1.7250364029785146</v>
      </c>
      <c r="BC252" s="84">
        <f t="shared" si="2252"/>
        <v>1.6525037361007315</v>
      </c>
      <c r="BD252" s="84">
        <f t="shared" si="2252"/>
        <v>1.6711281365099442</v>
      </c>
      <c r="BE252" s="84">
        <f t="shared" si="2252"/>
        <v>1.5846094462254166</v>
      </c>
      <c r="BF252" s="84">
        <f t="shared" si="2252"/>
        <v>1.4701245360193542</v>
      </c>
      <c r="BG252" s="84">
        <f t="shared" si="2252"/>
        <v>1.4246640341139587</v>
      </c>
      <c r="BH252" s="84">
        <f t="shared" si="2252"/>
        <v>1.4800363289265137</v>
      </c>
      <c r="BI252" s="84">
        <f t="shared" si="2252"/>
        <v>1.4399214441628512</v>
      </c>
      <c r="BJ252" s="84">
        <f t="shared" si="2252"/>
        <v>1.3936609056652876</v>
      </c>
      <c r="BK252" s="84">
        <f t="shared" si="2252"/>
        <v>1.3250714361719578</v>
      </c>
      <c r="BL252" s="84">
        <f t="shared" si="2252"/>
        <v>1.3117815677660647</v>
      </c>
      <c r="BM252" s="84">
        <f t="shared" si="2252"/>
        <v>1.2509454683153711</v>
      </c>
      <c r="BN252" s="84">
        <f t="shared" si="2252"/>
        <v>1.1655650251084431</v>
      </c>
      <c r="BO252" s="84">
        <f t="shared" si="2252"/>
        <v>1.1409429797238908</v>
      </c>
      <c r="BP252" s="84">
        <f t="shared" si="2252"/>
        <v>1.1930275954269833</v>
      </c>
      <c r="BQ252" s="84">
        <f t="shared" si="2252"/>
        <v>1.1423384882408643</v>
      </c>
      <c r="BR252" s="84">
        <f t="shared" si="2252"/>
        <v>1.0665141726830307</v>
      </c>
      <c r="BS252" s="84">
        <f t="shared" si="2252"/>
        <v>1.084219405306635</v>
      </c>
      <c r="BT252" s="84">
        <f t="shared" si="2252"/>
        <v>1.2569894146491858</v>
      </c>
      <c r="BU252" s="84">
        <f t="shared" si="2252"/>
        <v>1.2364623101186314</v>
      </c>
      <c r="BV252" s="84">
        <f t="shared" si="2252"/>
        <v>1.1407783057626477</v>
      </c>
      <c r="BW252" s="84">
        <f t="shared" si="2252"/>
        <v>1.1197688503520176</v>
      </c>
      <c r="BX252" s="84">
        <f t="shared" si="2252"/>
        <v>1.2226177771267543</v>
      </c>
      <c r="BY252" s="84">
        <f t="shared" si="2252"/>
        <v>1.1978882400060613</v>
      </c>
      <c r="BZ252" s="84">
        <f t="shared" si="2252"/>
        <v>1.1432799573913468</v>
      </c>
      <c r="CA252" s="84">
        <f t="shared" si="2252"/>
        <v>1.1115669400464663</v>
      </c>
      <c r="CB252" s="84">
        <f t="shared" si="2252"/>
        <v>1.2126419809299622</v>
      </c>
      <c r="CC252" s="84">
        <f t="shared" si="2252"/>
        <v>1.1599841350828906</v>
      </c>
      <c r="CD252" s="84">
        <f t="shared" si="2252"/>
        <v>1.1229909026300682</v>
      </c>
      <c r="CE252" s="84">
        <f t="shared" si="2252"/>
        <v>1.0833643102005113</v>
      </c>
      <c r="CF252" s="84">
        <f t="shared" si="2252"/>
        <v>1.1723951723524153</v>
      </c>
      <c r="CG252" s="84">
        <f t="shared" si="2252"/>
        <v>1.1109329111370549</v>
      </c>
      <c r="CH252" s="84">
        <f t="shared" si="2252"/>
        <v>1.0510011100615957</v>
      </c>
      <c r="CI252" s="84">
        <f t="shared" si="2252"/>
        <v>1.0041324137546896</v>
      </c>
      <c r="CJ252" s="84">
        <f t="shared" si="2252"/>
        <v>1.0735773878970656</v>
      </c>
      <c r="CK252" s="84">
        <f t="shared" ref="CK252" si="2253">SUM(CH18:CK18)/(CK169+CK156+CK146)</f>
        <v>1.0358473116320897</v>
      </c>
      <c r="CL252" s="84">
        <f t="shared" si="2252"/>
        <v>0.96745674034422335</v>
      </c>
      <c r="CM252" s="50">
        <f t="shared" ref="CM252:DB252" si="2254">SUM(CJ18:CM18)/(CM169+CM156+CM146)</f>
        <v>0.94736841025021823</v>
      </c>
      <c r="CN252" s="50">
        <f t="shared" si="2254"/>
        <v>0.91878933095142057</v>
      </c>
      <c r="CO252" s="50">
        <f t="shared" si="2254"/>
        <v>0.89240383972794957</v>
      </c>
      <c r="CP252" s="50">
        <f t="shared" si="2254"/>
        <v>0.86860748811901012</v>
      </c>
      <c r="CQ252" s="50">
        <f t="shared" si="2254"/>
        <v>0.85609083468722824</v>
      </c>
      <c r="CR252" s="50">
        <f t="shared" si="2254"/>
        <v>0.83625877877817612</v>
      </c>
      <c r="CS252" s="50">
        <f t="shared" si="2254"/>
        <v>0.81563015463904609</v>
      </c>
      <c r="CT252" s="50">
        <f t="shared" si="2254"/>
        <v>0.79551261323013955</v>
      </c>
      <c r="CU252" s="50">
        <f t="shared" si="2254"/>
        <v>0.78222141155348501</v>
      </c>
      <c r="CV252" s="50">
        <f t="shared" si="2254"/>
        <v>0.76420919550844002</v>
      </c>
      <c r="CW252" s="50">
        <f t="shared" si="2254"/>
        <v>0.74357410027904824</v>
      </c>
      <c r="CX252" s="50">
        <f t="shared" si="2254"/>
        <v>0.72135933699464649</v>
      </c>
      <c r="CY252" s="50">
        <f t="shared" si="2254"/>
        <v>0.700119254872546</v>
      </c>
      <c r="CZ252" s="50">
        <f t="shared" si="2254"/>
        <v>0.67704421824405592</v>
      </c>
      <c r="DA252" s="50">
        <f t="shared" si="2254"/>
        <v>0.65431412458071037</v>
      </c>
      <c r="DB252" s="50">
        <f t="shared" si="2254"/>
        <v>0.63185285568234184</v>
      </c>
      <c r="DE252" s="138"/>
      <c r="DF252" s="84">
        <v>0.99731235001723439</v>
      </c>
    </row>
    <row r="253" spans="1:110" s="84" customFormat="1" x14ac:dyDescent="0.2">
      <c r="A253" s="84" t="s">
        <v>513</v>
      </c>
      <c r="E253" s="181">
        <f>+E50</f>
        <v>0.11431940865451981</v>
      </c>
      <c r="F253" s="181">
        <f t="shared" ref="F253:AE253" si="2255">+F50</f>
        <v>0.14152357165157675</v>
      </c>
      <c r="G253" s="181">
        <f t="shared" si="2255"/>
        <v>0.14568661785039194</v>
      </c>
      <c r="H253" s="181">
        <f t="shared" si="2255"/>
        <v>0.16923104398905064</v>
      </c>
      <c r="I253" s="181">
        <f t="shared" si="2255"/>
        <v>0.13145248532574885</v>
      </c>
      <c r="J253" s="181">
        <f t="shared" si="2255"/>
        <v>0.13868512011713036</v>
      </c>
      <c r="K253" s="181">
        <f t="shared" si="2255"/>
        <v>0.12576135609812653</v>
      </c>
      <c r="L253" s="181">
        <f t="shared" si="2255"/>
        <v>0.33456180069207087</v>
      </c>
      <c r="M253" s="181">
        <f t="shared" si="2255"/>
        <v>0.31168422783871158</v>
      </c>
      <c r="N253" s="181">
        <f t="shared" si="2255"/>
        <v>6.1558907666946619E-2</v>
      </c>
      <c r="O253" s="181">
        <f t="shared" si="2255"/>
        <v>9.3266951106609208E-2</v>
      </c>
      <c r="P253" s="181">
        <f t="shared" si="2255"/>
        <v>0.12010921577568011</v>
      </c>
      <c r="Q253" s="181">
        <f t="shared" si="2255"/>
        <v>0.14398179102592529</v>
      </c>
      <c r="R253" s="181">
        <f t="shared" si="2255"/>
        <v>0.14126150689684411</v>
      </c>
      <c r="S253" s="181">
        <f t="shared" si="2255"/>
        <v>0.17315060172957336</v>
      </c>
      <c r="T253" s="181">
        <f t="shared" si="2255"/>
        <v>0.18157878521534665</v>
      </c>
      <c r="U253" s="181">
        <f t="shared" si="2255"/>
        <v>0.15908217880258438</v>
      </c>
      <c r="V253" s="181">
        <f t="shared" si="2255"/>
        <v>0.20158253410148086</v>
      </c>
      <c r="W253" s="181">
        <f t="shared" si="2255"/>
        <v>0.22246708676285787</v>
      </c>
      <c r="X253" s="181">
        <f t="shared" si="2255"/>
        <v>0.24014621321913129</v>
      </c>
      <c r="Y253" s="181">
        <f t="shared" si="2255"/>
        <v>0.22303080079175808</v>
      </c>
      <c r="Z253" s="181">
        <f t="shared" si="2255"/>
        <v>0.21049252700749391</v>
      </c>
      <c r="AA253" s="181">
        <f t="shared" ref="AA253" si="2256">+AA50</f>
        <v>0.1927169139855055</v>
      </c>
      <c r="AB253" s="182">
        <f t="shared" si="2255"/>
        <v>0.20119384751239647</v>
      </c>
      <c r="AC253" s="182">
        <f t="shared" si="2255"/>
        <v>0.21293923651145921</v>
      </c>
      <c r="AD253" s="182">
        <f t="shared" si="2255"/>
        <v>0.21805339117018313</v>
      </c>
      <c r="AE253" s="182">
        <f t="shared" si="2255"/>
        <v>0.23500468630231652</v>
      </c>
      <c r="AL253" s="181">
        <f t="shared" ref="AL253:CW253" si="2257">+AL50</f>
        <v>5.082913662322075E-2</v>
      </c>
      <c r="AM253" s="181">
        <f t="shared" si="2257"/>
        <v>5.1549606462901056E-2</v>
      </c>
      <c r="AN253" s="181">
        <f t="shared" si="2257"/>
        <v>0.10491130178449221</v>
      </c>
      <c r="AO253" s="181">
        <f t="shared" si="2257"/>
        <v>0.10837619212805846</v>
      </c>
      <c r="AP253" s="181">
        <f t="shared" si="2257"/>
        <v>0.10384900566561465</v>
      </c>
      <c r="AQ253" s="181">
        <f t="shared" si="2257"/>
        <v>0.10899845351366934</v>
      </c>
      <c r="AR253" s="181">
        <f t="shared" si="2257"/>
        <v>0.11560696468746948</v>
      </c>
      <c r="AS253" s="181">
        <f t="shared" si="2257"/>
        <v>0.12633639032382857</v>
      </c>
      <c r="AT253" s="181">
        <f t="shared" si="2257"/>
        <v>0.13136481321661952</v>
      </c>
      <c r="AU253" s="181">
        <f t="shared" si="2257"/>
        <v>0.14664854365742594</v>
      </c>
      <c r="AV253" s="181">
        <f t="shared" si="2257"/>
        <v>0.14450158917992248</v>
      </c>
      <c r="AW253" s="181">
        <f t="shared" si="2257"/>
        <v>0.14627377805801695</v>
      </c>
      <c r="AX253" s="181">
        <f t="shared" si="2257"/>
        <v>0.14098609285839278</v>
      </c>
      <c r="AY253" s="181">
        <f t="shared" si="2257"/>
        <v>0.14199095269239156</v>
      </c>
      <c r="AZ253" s="181">
        <f t="shared" si="2257"/>
        <v>0.15270537177867946</v>
      </c>
      <c r="BA253" s="181">
        <f t="shared" si="2257"/>
        <v>0.14230366323389576</v>
      </c>
      <c r="BB253" s="181">
        <f t="shared" si="2257"/>
        <v>0.13300427832671249</v>
      </c>
      <c r="BC253" s="181">
        <f t="shared" si="2257"/>
        <v>0.15389660613185674</v>
      </c>
      <c r="BD253" s="181">
        <f t="shared" si="2257"/>
        <v>0.16729309024591266</v>
      </c>
      <c r="BE253" s="181">
        <f t="shared" si="2257"/>
        <v>0.18336975447863221</v>
      </c>
      <c r="BF253" s="181">
        <f t="shared" si="2257"/>
        <v>0.1872522484122586</v>
      </c>
      <c r="BG253" s="181">
        <f t="shared" si="2257"/>
        <v>0.18453283076157945</v>
      </c>
      <c r="BH253" s="181">
        <f t="shared" si="2257"/>
        <v>0.20403739969810114</v>
      </c>
      <c r="BI253" s="181">
        <f t="shared" si="2257"/>
        <v>0.16696689706819967</v>
      </c>
      <c r="BJ253" s="181">
        <f t="shared" si="2257"/>
        <v>0.17598690706583978</v>
      </c>
      <c r="BK253" s="181">
        <f t="shared" si="2257"/>
        <v>0.13531246966818733</v>
      </c>
      <c r="BL253" s="181">
        <f t="shared" si="2257"/>
        <v>0.12909722402218712</v>
      </c>
      <c r="BM253" s="181">
        <f t="shared" si="2257"/>
        <v>0.17811580443890251</v>
      </c>
      <c r="BN253" s="181">
        <f t="shared" si="2257"/>
        <v>0.18702165715392416</v>
      </c>
      <c r="BO253" s="181">
        <f t="shared" si="2257"/>
        <v>0.17197519026787325</v>
      </c>
      <c r="BP253" s="181">
        <f t="shared" si="2257"/>
        <v>0.18419110779002426</v>
      </c>
      <c r="BQ253" s="181">
        <f t="shared" si="2257"/>
        <v>0.22050442572474777</v>
      </c>
      <c r="BR253" s="181">
        <f t="shared" si="2257"/>
        <v>0.22387453322214232</v>
      </c>
      <c r="BS253" s="181">
        <f t="shared" si="2257"/>
        <v>0.2030660056312196</v>
      </c>
      <c r="BT253" s="181">
        <f t="shared" si="2257"/>
        <v>0.21221695629278575</v>
      </c>
      <c r="BU253" s="181">
        <f t="shared" si="2257"/>
        <v>0.23821509900247931</v>
      </c>
      <c r="BV253" s="181">
        <f t="shared" si="2257"/>
        <v>0.2347115244983784</v>
      </c>
      <c r="BW253" s="181">
        <f t="shared" si="2257"/>
        <v>0.25447554653672955</v>
      </c>
      <c r="BX253" s="181">
        <f t="shared" si="2257"/>
        <v>0.22835904404124369</v>
      </c>
      <c r="BY253" s="181">
        <f t="shared" si="2257"/>
        <v>0.23806623841475874</v>
      </c>
      <c r="BZ253" s="181">
        <f t="shared" si="2257"/>
        <v>0.24049431926675585</v>
      </c>
      <c r="CA253" s="181">
        <f t="shared" si="2257"/>
        <v>0.22210892514395403</v>
      </c>
      <c r="CB253" s="181">
        <f t="shared" si="2257"/>
        <v>0.22685545390825435</v>
      </c>
      <c r="CC253" s="181">
        <f t="shared" si="2257"/>
        <v>0.225799112480079</v>
      </c>
      <c r="CD253" s="181">
        <f t="shared" si="2257"/>
        <v>0.21738012214896513</v>
      </c>
      <c r="CE253" s="181">
        <f t="shared" si="2257"/>
        <v>0.19869286689585575</v>
      </c>
      <c r="CF253" s="181">
        <f t="shared" si="2257"/>
        <v>0.24022025241705974</v>
      </c>
      <c r="CG253" s="181">
        <f t="shared" si="2257"/>
        <v>0.21189751387127576</v>
      </c>
      <c r="CH253" s="181">
        <f t="shared" si="2257"/>
        <v>0.18981962621761111</v>
      </c>
      <c r="CI253" s="181">
        <f t="shared" si="2257"/>
        <v>0.16183011693808749</v>
      </c>
      <c r="CJ253" s="181">
        <f t="shared" si="2257"/>
        <v>0.1686294115468652</v>
      </c>
      <c r="CK253" s="181">
        <f t="shared" si="2257"/>
        <v>0.21456169753973364</v>
      </c>
      <c r="CL253" s="181">
        <f t="shared" ref="CL253" si="2258">+CL50</f>
        <v>0.22173663221470974</v>
      </c>
      <c r="CM253" s="182">
        <f t="shared" si="2257"/>
        <v>0.1915769984599662</v>
      </c>
      <c r="CN253" s="182">
        <f t="shared" si="2257"/>
        <v>0.197908569902079</v>
      </c>
      <c r="CO253" s="182">
        <f t="shared" si="2257"/>
        <v>0.20696356718712555</v>
      </c>
      <c r="CP253" s="182">
        <f t="shared" si="2257"/>
        <v>0.2071112798934765</v>
      </c>
      <c r="CQ253" s="182">
        <f t="shared" si="2257"/>
        <v>0.20483502288134034</v>
      </c>
      <c r="CR253" s="182">
        <f t="shared" si="2257"/>
        <v>0.21061892503878524</v>
      </c>
      <c r="CS253" s="182">
        <f t="shared" si="2257"/>
        <v>0.21575171029561735</v>
      </c>
      <c r="CT253" s="182">
        <f t="shared" si="2257"/>
        <v>0.21969412202082431</v>
      </c>
      <c r="CU253" s="182">
        <f t="shared" si="2257"/>
        <v>0.20854486035112543</v>
      </c>
      <c r="CV253" s="182">
        <f t="shared" si="2257"/>
        <v>0.21582254351654645</v>
      </c>
      <c r="CW253" s="182">
        <f t="shared" si="2257"/>
        <v>0.22155717293653288</v>
      </c>
      <c r="CX253" s="182">
        <f t="shared" ref="CX253:DB253" si="2259">+CX50</f>
        <v>0.22583340212879588</v>
      </c>
      <c r="CY253" s="182">
        <f t="shared" si="2259"/>
        <v>0.22914799833949837</v>
      </c>
      <c r="CZ253" s="182">
        <f t="shared" si="2259"/>
        <v>0.23347104976402142</v>
      </c>
      <c r="DA253" s="182">
        <f t="shared" si="2259"/>
        <v>0.23703250843118118</v>
      </c>
      <c r="DB253" s="182">
        <f t="shared" si="2259"/>
        <v>0.24020528036162694</v>
      </c>
      <c r="DE253" s="138"/>
      <c r="DF253" s="84">
        <v>0.19116515534408371</v>
      </c>
    </row>
    <row r="254" spans="1:110" s="84" customFormat="1" x14ac:dyDescent="0.2">
      <c r="A254" s="84" t="s">
        <v>514</v>
      </c>
      <c r="E254" s="84">
        <f>(E169+E156+E146+E148)/E128</f>
        <v>2.0097849021095264</v>
      </c>
      <c r="F254" s="84">
        <f t="shared" ref="F254:AE254" si="2260">(F169+F156+F146+F148)/F128</f>
        <v>2.1866082333238261</v>
      </c>
      <c r="G254" s="84">
        <f t="shared" si="2260"/>
        <v>2.2071170221639203</v>
      </c>
      <c r="H254" s="84">
        <f t="shared" si="2260"/>
        <v>1.8985956640397943</v>
      </c>
      <c r="I254" s="84">
        <f t="shared" si="2260"/>
        <v>2.1729578883316902</v>
      </c>
      <c r="J254" s="84">
        <f t="shared" si="2260"/>
        <v>1.6257100027398992</v>
      </c>
      <c r="K254" s="84">
        <f t="shared" si="2260"/>
        <v>1.6925286749208714</v>
      </c>
      <c r="L254" s="84">
        <f t="shared" si="2260"/>
        <v>1.6542199771779009</v>
      </c>
      <c r="M254" s="84">
        <f t="shared" si="2260"/>
        <v>1.7429867548427018</v>
      </c>
      <c r="N254" s="84">
        <f t="shared" si="2260"/>
        <v>1.8714382917326762</v>
      </c>
      <c r="O254" s="84">
        <f t="shared" si="2260"/>
        <v>2.0135199517714284</v>
      </c>
      <c r="P254" s="84">
        <f t="shared" si="2260"/>
        <v>2.0811138650977763</v>
      </c>
      <c r="Q254" s="84">
        <f t="shared" si="2260"/>
        <v>2.0691301112542879</v>
      </c>
      <c r="R254" s="84">
        <f t="shared" si="2260"/>
        <v>1.2770434515659106</v>
      </c>
      <c r="S254" s="84">
        <f t="shared" si="2260"/>
        <v>1.2741532384381258</v>
      </c>
      <c r="T254" s="84">
        <f t="shared" si="2260"/>
        <v>1.206486918573662</v>
      </c>
      <c r="U254" s="84">
        <f t="shared" si="2260"/>
        <v>1.2662095438560568</v>
      </c>
      <c r="V254" s="84">
        <f t="shared" si="2260"/>
        <v>1.2622173296804438</v>
      </c>
      <c r="W254" s="84">
        <f t="shared" si="2260"/>
        <v>1.3493666605263817</v>
      </c>
      <c r="X254" s="84">
        <f t="shared" si="2260"/>
        <v>1.3187542846945854</v>
      </c>
      <c r="Y254" s="84">
        <f t="shared" si="2260"/>
        <v>1.2623888599565709</v>
      </c>
      <c r="Z254" s="84">
        <f t="shared" si="2260"/>
        <v>1.2406048890951227</v>
      </c>
      <c r="AA254" s="84">
        <f t="shared" ref="AA254" si="2261">(AA169+AA156+AA146+AA148)/AA128</f>
        <v>1.277006559309005</v>
      </c>
      <c r="AB254" s="50">
        <f t="shared" si="2260"/>
        <v>1.2461334279899445</v>
      </c>
      <c r="AC254" s="50">
        <f t="shared" si="2260"/>
        <v>1.2200879929724406</v>
      </c>
      <c r="AD254" s="50">
        <f t="shared" si="2260"/>
        <v>1.1906090538087941</v>
      </c>
      <c r="AE254" s="50">
        <f t="shared" si="2260"/>
        <v>1.161354338233799</v>
      </c>
      <c r="AL254" s="84">
        <f t="shared" ref="AL254:CW254" si="2262">(AL169+AL156+AL146+AL148)/AL128</f>
        <v>1.8714422589190103</v>
      </c>
      <c r="AM254" s="84">
        <f t="shared" si="2262"/>
        <v>1.8488594402935523</v>
      </c>
      <c r="AN254" s="84">
        <f t="shared" si="2262"/>
        <v>1.656873485820151</v>
      </c>
      <c r="AO254" s="84">
        <f t="shared" si="2262"/>
        <v>1.6108746050463085</v>
      </c>
      <c r="AP254" s="84">
        <f t="shared" si="2262"/>
        <v>1.6478653944873167</v>
      </c>
      <c r="AQ254" s="84">
        <f t="shared" si="2262"/>
        <v>1.5707706302394888</v>
      </c>
      <c r="AR254" s="84">
        <f t="shared" si="2262"/>
        <v>1.3916144494816785</v>
      </c>
      <c r="AS254" s="84">
        <f t="shared" si="2262"/>
        <v>1.367204502285303</v>
      </c>
      <c r="AT254" s="84">
        <f t="shared" si="2262"/>
        <v>1.6409763360583152</v>
      </c>
      <c r="AU254" s="84">
        <f t="shared" si="2262"/>
        <v>1.5802248896590421</v>
      </c>
      <c r="AV254" s="84">
        <f t="shared" si="2262"/>
        <v>1.4243613721120358</v>
      </c>
      <c r="AW254" s="84">
        <f t="shared" si="2262"/>
        <v>1.3873819365100446</v>
      </c>
      <c r="AX254" s="84">
        <f t="shared" si="2262"/>
        <v>1.5514541358023091</v>
      </c>
      <c r="AY254" s="84">
        <f t="shared" si="2262"/>
        <v>1.4974344137214926</v>
      </c>
      <c r="AZ254" s="84">
        <f t="shared" si="2262"/>
        <v>1.3495489677032833</v>
      </c>
      <c r="BA254" s="84">
        <f t="shared" si="2262"/>
        <v>1.3222128374126494</v>
      </c>
      <c r="BB254" s="84">
        <f t="shared" si="2262"/>
        <v>1.2770424750165421</v>
      </c>
      <c r="BC254" s="84">
        <f t="shared" si="2262"/>
        <v>1.2534726549039987</v>
      </c>
      <c r="BD254" s="84">
        <f t="shared" si="2262"/>
        <v>1.2894879196684836</v>
      </c>
      <c r="BE254" s="84">
        <f t="shared" si="2262"/>
        <v>1.2622834623507388</v>
      </c>
      <c r="BF254" s="84">
        <f t="shared" si="2262"/>
        <v>1.2741528080817932</v>
      </c>
      <c r="BG254" s="84">
        <f t="shared" si="2262"/>
        <v>1.2512447743109671</v>
      </c>
      <c r="BH254" s="84">
        <f t="shared" si="2262"/>
        <v>1.2583377336833783</v>
      </c>
      <c r="BI254" s="84">
        <f t="shared" si="2262"/>
        <v>1.2377346693750033</v>
      </c>
      <c r="BJ254" s="84">
        <f t="shared" si="2262"/>
        <v>1.2064869658192185</v>
      </c>
      <c r="BK254" s="84">
        <f t="shared" si="2262"/>
        <v>1.1901766775386935</v>
      </c>
      <c r="BL254" s="84">
        <f t="shared" si="2262"/>
        <v>1.262315317080273</v>
      </c>
      <c r="BM254" s="84">
        <f t="shared" si="2262"/>
        <v>1.2471301470286202</v>
      </c>
      <c r="BN254" s="84">
        <f t="shared" si="2262"/>
        <v>1.2662098006027329</v>
      </c>
      <c r="BO254" s="84">
        <f t="shared" si="2262"/>
        <v>1.2468308848536491</v>
      </c>
      <c r="BP254" s="84">
        <f t="shared" si="2262"/>
        <v>1.2498589169761671</v>
      </c>
      <c r="BQ254" s="84">
        <f t="shared" si="2262"/>
        <v>1.2324147775993728</v>
      </c>
      <c r="BR254" s="84">
        <f t="shared" si="2262"/>
        <v>1.262217574552331</v>
      </c>
      <c r="BS254" s="84">
        <f t="shared" si="2262"/>
        <v>1.2448817483995873</v>
      </c>
      <c r="BT254" s="84">
        <f t="shared" si="2262"/>
        <v>1.3194097920650614</v>
      </c>
      <c r="BU254" s="84">
        <f t="shared" si="2262"/>
        <v>1.2887032702591978</v>
      </c>
      <c r="BV254" s="84">
        <f t="shared" si="2262"/>
        <v>1.3493674191174725</v>
      </c>
      <c r="BW254" s="84">
        <f t="shared" si="2262"/>
        <v>1.3162829337256168</v>
      </c>
      <c r="BX254" s="84">
        <f t="shared" si="2262"/>
        <v>1.3556671114982866</v>
      </c>
      <c r="BY254" s="84">
        <f t="shared" si="2262"/>
        <v>1.322328999192576</v>
      </c>
      <c r="BZ254" s="84">
        <f t="shared" si="2262"/>
        <v>1.318754683528889</v>
      </c>
      <c r="CA254" s="84">
        <f t="shared" si="2262"/>
        <v>1.2929583275257648</v>
      </c>
      <c r="CB254" s="84">
        <f t="shared" si="2262"/>
        <v>1.3325928441748134</v>
      </c>
      <c r="CC254" s="84">
        <f t="shared" si="2262"/>
        <v>1.3043259992642686</v>
      </c>
      <c r="CD254" s="84">
        <f t="shared" si="2262"/>
        <v>1.2623887716430346</v>
      </c>
      <c r="CE254" s="84">
        <f t="shared" si="2262"/>
        <v>1.2451523138606198</v>
      </c>
      <c r="CF254" s="84">
        <f t="shared" si="2262"/>
        <v>1.269780058474123</v>
      </c>
      <c r="CG254" s="84">
        <f t="shared" si="2262"/>
        <v>1.2490895811039451</v>
      </c>
      <c r="CH254" s="84">
        <f t="shared" si="2262"/>
        <v>1.2406048890951227</v>
      </c>
      <c r="CI254" s="84">
        <f t="shared" si="2262"/>
        <v>1.2247241147711336</v>
      </c>
      <c r="CJ254" s="84">
        <f t="shared" si="2262"/>
        <v>1.2606275636950806</v>
      </c>
      <c r="CK254" s="84">
        <f t="shared" si="2262"/>
        <v>1.2608541278010141</v>
      </c>
      <c r="CL254" s="84">
        <f t="shared" ref="CL254" si="2263">(CL169+CL156+CL146+CL148)/CL128</f>
        <v>1.2770069923080007</v>
      </c>
      <c r="CM254" s="50">
        <f t="shared" si="2262"/>
        <v>1.257570185499145</v>
      </c>
      <c r="CN254" s="50">
        <f t="shared" si="2262"/>
        <v>1.2553375733653729</v>
      </c>
      <c r="CO254" s="50">
        <f t="shared" si="2262"/>
        <v>1.2518059895847278</v>
      </c>
      <c r="CP254" s="50">
        <f t="shared" si="2262"/>
        <v>1.2461334279899445</v>
      </c>
      <c r="CQ254" s="50">
        <f t="shared" si="2262"/>
        <v>1.2343158592245429</v>
      </c>
      <c r="CR254" s="50">
        <f t="shared" si="2262"/>
        <v>1.230550933848763</v>
      </c>
      <c r="CS254" s="50">
        <f t="shared" si="2262"/>
        <v>1.2257633537581469</v>
      </c>
      <c r="CT254" s="50">
        <f t="shared" si="2262"/>
        <v>1.2200879929724406</v>
      </c>
      <c r="CU254" s="50">
        <f t="shared" si="2262"/>
        <v>1.2115555953175925</v>
      </c>
      <c r="CV254" s="50">
        <f t="shared" si="2262"/>
        <v>1.2044702760656998</v>
      </c>
      <c r="CW254" s="50">
        <f t="shared" si="2262"/>
        <v>1.1974209748026503</v>
      </c>
      <c r="CX254" s="50">
        <f t="shared" ref="CX254:DB254" si="2264">(CX169+CX156+CX146+CX148)/CX128</f>
        <v>1.1906090538087941</v>
      </c>
      <c r="CY254" s="50">
        <f t="shared" si="2264"/>
        <v>1.1805332037875016</v>
      </c>
      <c r="CZ254" s="50">
        <f t="shared" si="2264"/>
        <v>1.1740093774009024</v>
      </c>
      <c r="DA254" s="50">
        <f t="shared" si="2264"/>
        <v>1.1676143108324013</v>
      </c>
      <c r="DB254" s="50">
        <f t="shared" si="2264"/>
        <v>1.161354338233799</v>
      </c>
      <c r="DE254" s="138"/>
      <c r="DF254" s="84">
        <v>1.243814923474704</v>
      </c>
    </row>
    <row r="255" spans="1:110" s="84" customFormat="1" x14ac:dyDescent="0.2">
      <c r="A255" s="154" t="s">
        <v>498</v>
      </c>
      <c r="AB255" s="50"/>
      <c r="AC255" s="50"/>
      <c r="AD255" s="50"/>
      <c r="AE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A255" s="50"/>
      <c r="DB255" s="50"/>
      <c r="DE255" s="138"/>
    </row>
    <row r="256" spans="1:110" s="88" customFormat="1" x14ac:dyDescent="0.2">
      <c r="A256" s="88" t="s">
        <v>102</v>
      </c>
      <c r="B256" s="88">
        <f t="shared" ref="B256:AE256" si="2265">B169/B128</f>
        <v>0.26334725362136813</v>
      </c>
      <c r="C256" s="88">
        <f t="shared" si="2265"/>
        <v>0.1763492814505761</v>
      </c>
      <c r="D256" s="88">
        <f t="shared" si="2265"/>
        <v>9.1775263223753595E-2</v>
      </c>
      <c r="F256" s="88">
        <f t="shared" si="2265"/>
        <v>0.25792762748926773</v>
      </c>
      <c r="G256" s="88">
        <f t="shared" si="2265"/>
        <v>0.22068986434740412</v>
      </c>
      <c r="H256" s="88">
        <f t="shared" si="2265"/>
        <v>0.21717615891750092</v>
      </c>
      <c r="I256" s="88">
        <f t="shared" si="2265"/>
        <v>0.18034369164271177</v>
      </c>
      <c r="J256" s="88">
        <f t="shared" si="2265"/>
        <v>0.10757595316879888</v>
      </c>
      <c r="K256" s="88">
        <f t="shared" si="2265"/>
        <v>8.1569421944886825E-2</v>
      </c>
      <c r="L256" s="88">
        <f t="shared" si="2265"/>
        <v>0.11403317813355587</v>
      </c>
      <c r="M256" s="88">
        <f t="shared" si="2265"/>
        <v>0.13916791159060651</v>
      </c>
      <c r="N256" s="88">
        <f t="shared" si="2265"/>
        <v>0.11937755798439539</v>
      </c>
      <c r="O256" s="88">
        <f t="shared" si="2265"/>
        <v>0.21831616611705271</v>
      </c>
      <c r="P256" s="88">
        <f t="shared" si="2265"/>
        <v>0.4701611523229044</v>
      </c>
      <c r="Q256" s="88">
        <f t="shared" si="2265"/>
        <v>0.47305629088420065</v>
      </c>
      <c r="R256" s="88">
        <f t="shared" si="2265"/>
        <v>0.45102885366450224</v>
      </c>
      <c r="S256" s="88">
        <f t="shared" si="2265"/>
        <v>0.53408804183049463</v>
      </c>
      <c r="T256" s="88">
        <f t="shared" si="2265"/>
        <v>0.54713669873340065</v>
      </c>
      <c r="U256" s="88">
        <f t="shared" si="2265"/>
        <v>0.60936072437287125</v>
      </c>
      <c r="V256" s="88">
        <f t="shared" si="2265"/>
        <v>0.63573281939458126</v>
      </c>
      <c r="W256" s="88">
        <f t="shared" si="2265"/>
        <v>0.60291539230767832</v>
      </c>
      <c r="X256" s="88">
        <f t="shared" si="2265"/>
        <v>0.57127802044629039</v>
      </c>
      <c r="Y256" s="88">
        <f t="shared" si="2265"/>
        <v>0.55573100748095416</v>
      </c>
      <c r="Z256" s="88">
        <f t="shared" si="2265"/>
        <v>0.56168208682269238</v>
      </c>
      <c r="AA256" s="88">
        <f t="shared" ref="AA256" si="2266">AA169/AA128</f>
        <v>0.54865097861249856</v>
      </c>
      <c r="AB256" s="42">
        <f t="shared" si="2265"/>
        <v>0.58310180444165993</v>
      </c>
      <c r="AC256" s="42">
        <f t="shared" si="2265"/>
        <v>0.62619906417805793</v>
      </c>
      <c r="AD256" s="42">
        <f t="shared" si="2265"/>
        <v>0.70305257265665289</v>
      </c>
      <c r="AE256" s="42">
        <f t="shared" si="2265"/>
        <v>0.75964786907306014</v>
      </c>
      <c r="AL256" s="88">
        <f t="shared" ref="AL256:CW256" si="2267">AL169/AL128</f>
        <v>0.11937614321653098</v>
      </c>
      <c r="AM256" s="88">
        <f t="shared" si="2267"/>
        <v>0.13216616912402859</v>
      </c>
      <c r="AN256" s="88">
        <f t="shared" si="2267"/>
        <v>0.13553245689040899</v>
      </c>
      <c r="AO256" s="88">
        <f t="shared" si="2267"/>
        <v>0.1937644108988755</v>
      </c>
      <c r="AP256" s="88">
        <f t="shared" si="2267"/>
        <v>0.21831395225509204</v>
      </c>
      <c r="AQ256" s="88">
        <f t="shared" si="2267"/>
        <v>0.31665168597946503</v>
      </c>
      <c r="AR256" s="88">
        <f t="shared" si="2267"/>
        <v>0.23607461522912995</v>
      </c>
      <c r="AS256" s="88">
        <f t="shared" si="2267"/>
        <v>0.28624333004175101</v>
      </c>
      <c r="AT256" s="88">
        <f t="shared" si="2267"/>
        <v>0.47016339304300586</v>
      </c>
      <c r="AU256" s="88">
        <f t="shared" si="2267"/>
        <v>0.51481691970592991</v>
      </c>
      <c r="AV256" s="88">
        <f t="shared" si="2267"/>
        <v>0.3188659805359883</v>
      </c>
      <c r="AW256" s="88">
        <f t="shared" si="2267"/>
        <v>0.37586577457192338</v>
      </c>
      <c r="AX256" s="88">
        <f t="shared" si="2267"/>
        <v>0.47305758725203728</v>
      </c>
      <c r="AY256" s="88">
        <f t="shared" si="2267"/>
        <v>0.52487654986456833</v>
      </c>
      <c r="AZ256" s="88">
        <f t="shared" si="2267"/>
        <v>0.40302062044028231</v>
      </c>
      <c r="BA256" s="88">
        <f t="shared" si="2267"/>
        <v>0.44853553970640248</v>
      </c>
      <c r="BB256" s="88">
        <f t="shared" si="2267"/>
        <v>0.45102919473738007</v>
      </c>
      <c r="BC256" s="88">
        <f t="shared" si="2267"/>
        <v>0.4997486131848814</v>
      </c>
      <c r="BD256" s="88">
        <f t="shared" si="2267"/>
        <v>0.39475264476960109</v>
      </c>
      <c r="BE256" s="88">
        <f t="shared" si="2267"/>
        <v>0.45153694592197713</v>
      </c>
      <c r="BF256" s="88">
        <f t="shared" si="2267"/>
        <v>0.53408744621460524</v>
      </c>
      <c r="BG256" s="88">
        <f t="shared" si="2267"/>
        <v>0.56895658979041586</v>
      </c>
      <c r="BH256" s="88">
        <f t="shared" si="2267"/>
        <v>0.5048354269083265</v>
      </c>
      <c r="BI256" s="88">
        <f t="shared" si="2267"/>
        <v>0.54856210352593515</v>
      </c>
      <c r="BJ256" s="88">
        <f t="shared" si="2267"/>
        <v>0.54713646855164455</v>
      </c>
      <c r="BK256" s="88">
        <f t="shared" si="2267"/>
        <v>0.60296375351802434</v>
      </c>
      <c r="BL256" s="88">
        <f t="shared" si="2267"/>
        <v>0.54028739932833814</v>
      </c>
      <c r="BM256" s="88">
        <f t="shared" si="2267"/>
        <v>0.54645486866200566</v>
      </c>
      <c r="BN256" s="88">
        <f t="shared" si="2267"/>
        <v>0.60936116730196732</v>
      </c>
      <c r="BO256" s="88">
        <f t="shared" si="2267"/>
        <v>0.65876940197947864</v>
      </c>
      <c r="BP256" s="88">
        <f t="shared" si="2267"/>
        <v>0.65197463327231486</v>
      </c>
      <c r="BQ256" s="88">
        <f t="shared" si="2267"/>
        <v>0.65373062529197967</v>
      </c>
      <c r="BR256" s="88">
        <f t="shared" si="2267"/>
        <v>0.63573246283199392</v>
      </c>
      <c r="BS256" s="88">
        <f t="shared" si="2267"/>
        <v>0.64114438087452652</v>
      </c>
      <c r="BT256" s="88">
        <f t="shared" si="2267"/>
        <v>0.68166490520658674</v>
      </c>
      <c r="BU256" s="88">
        <f t="shared" si="2267"/>
        <v>0.69924040118096775</v>
      </c>
      <c r="BV256" s="88">
        <f t="shared" si="2267"/>
        <v>0.60291573125650411</v>
      </c>
      <c r="BW256" s="88">
        <f t="shared" si="2267"/>
        <v>0.62262973270893307</v>
      </c>
      <c r="BX256" s="88">
        <f t="shared" si="2267"/>
        <v>0.56834292144446952</v>
      </c>
      <c r="BY256" s="88">
        <f t="shared" si="2267"/>
        <v>0.5871826333271456</v>
      </c>
      <c r="BZ256" s="88">
        <f t="shared" si="2267"/>
        <v>0.57127809577963418</v>
      </c>
      <c r="CA256" s="88">
        <f t="shared" si="2267"/>
        <v>0.60121170321588369</v>
      </c>
      <c r="CB256" s="88">
        <f t="shared" si="2267"/>
        <v>0.56218773284385037</v>
      </c>
      <c r="CC256" s="88">
        <f t="shared" si="2267"/>
        <v>0.58883272763462213</v>
      </c>
      <c r="CD256" s="88">
        <f t="shared" si="2267"/>
        <v>0.55573111392784968</v>
      </c>
      <c r="CE256" s="88">
        <f t="shared" si="2267"/>
        <v>0.57866892212449383</v>
      </c>
      <c r="CF256" s="88">
        <f t="shared" si="2267"/>
        <v>0.52949404199358951</v>
      </c>
      <c r="CG256" s="88">
        <f t="shared" si="2267"/>
        <v>0.5697711079604143</v>
      </c>
      <c r="CH256" s="88">
        <f t="shared" si="2267"/>
        <v>0.56168208682269238</v>
      </c>
      <c r="CI256" s="88">
        <f t="shared" si="2267"/>
        <v>0.59615750438182724</v>
      </c>
      <c r="CJ256" s="88">
        <f t="shared" si="2267"/>
        <v>0.46963711804967134</v>
      </c>
      <c r="CK256" s="88">
        <f t="shared" si="2267"/>
        <v>0.4634909787376264</v>
      </c>
      <c r="CL256" s="88">
        <f t="shared" ref="CL256" si="2268">CL169/CL128</f>
        <v>0.54865089161297875</v>
      </c>
      <c r="CM256" s="42">
        <f t="shared" si="2267"/>
        <v>0.56922274460492372</v>
      </c>
      <c r="CN256" s="42">
        <f t="shared" si="2267"/>
        <v>0.57030550147538495</v>
      </c>
      <c r="CO256" s="42">
        <f t="shared" si="2267"/>
        <v>0.57482458460789476</v>
      </c>
      <c r="CP256" s="42">
        <f t="shared" si="2267"/>
        <v>0.58310180444165993</v>
      </c>
      <c r="CQ256" s="42">
        <f t="shared" si="2267"/>
        <v>0.59966618526907467</v>
      </c>
      <c r="CR256" s="42">
        <f t="shared" si="2267"/>
        <v>0.60682994725161521</v>
      </c>
      <c r="CS256" s="42">
        <f t="shared" si="2267"/>
        <v>0.61580006882955596</v>
      </c>
      <c r="CT256" s="42">
        <f t="shared" si="2267"/>
        <v>0.62619906417805793</v>
      </c>
      <c r="CU256" s="42">
        <f t="shared" si="2267"/>
        <v>0.64964658403981657</v>
      </c>
      <c r="CV256" s="42">
        <f t="shared" si="2267"/>
        <v>0.66921113498030038</v>
      </c>
      <c r="CW256" s="42">
        <f t="shared" si="2267"/>
        <v>0.68700243832813124</v>
      </c>
      <c r="CX256" s="42">
        <f t="shared" ref="CX256:DB256" si="2269">CX169/CX128</f>
        <v>0.70305257265665289</v>
      </c>
      <c r="CY256" s="42">
        <f t="shared" si="2269"/>
        <v>0.72197851991136253</v>
      </c>
      <c r="CZ256" s="42">
        <f t="shared" si="2269"/>
        <v>0.73545902299842592</v>
      </c>
      <c r="DA256" s="42">
        <f t="shared" si="2269"/>
        <v>0.74797272897201628</v>
      </c>
      <c r="DB256" s="42">
        <f t="shared" si="2269"/>
        <v>0.75964786907306014</v>
      </c>
      <c r="DE256" s="125"/>
      <c r="DF256" s="88">
        <v>0.48814842620624099</v>
      </c>
    </row>
    <row r="257" spans="1:110" s="89" customFormat="1" x14ac:dyDescent="0.2">
      <c r="A257" s="89" t="s">
        <v>103</v>
      </c>
      <c r="C257" s="89">
        <f t="shared" ref="C257:AE257" si="2270">C136/B136-1</f>
        <v>-0.89146861990831006</v>
      </c>
      <c r="D257" s="89">
        <f t="shared" si="2270"/>
        <v>0.11176927558749261</v>
      </c>
      <c r="F257" s="89" t="e">
        <f t="shared" si="2270"/>
        <v>#DIV/0!</v>
      </c>
      <c r="G257" s="89" t="e">
        <f t="shared" si="2270"/>
        <v>#DIV/0!</v>
      </c>
      <c r="H257" s="89" t="e">
        <f t="shared" si="2270"/>
        <v>#DIV/0!</v>
      </c>
      <c r="I257" s="89" t="e">
        <f t="shared" si="2270"/>
        <v>#DIV/0!</v>
      </c>
      <c r="J257" s="89">
        <f t="shared" si="2270"/>
        <v>-0.76359705962625368</v>
      </c>
      <c r="K257" s="89">
        <f>K136/J136-1</f>
        <v>1.5971802772319617</v>
      </c>
      <c r="L257" s="89">
        <f t="shared" si="2270"/>
        <v>-0.25133576494069643</v>
      </c>
      <c r="M257" s="89">
        <f t="shared" si="2270"/>
        <v>0.34305352396231448</v>
      </c>
      <c r="N257" s="89">
        <f t="shared" si="2270"/>
        <v>0.71292013116289987</v>
      </c>
      <c r="O257" s="89">
        <f t="shared" si="2270"/>
        <v>-1</v>
      </c>
      <c r="P257" s="89" t="e">
        <f t="shared" si="2270"/>
        <v>#DIV/0!</v>
      </c>
      <c r="Q257" s="89" t="e">
        <f t="shared" si="2270"/>
        <v>#DIV/0!</v>
      </c>
      <c r="R257" s="89" t="e">
        <f t="shared" si="2270"/>
        <v>#DIV/0!</v>
      </c>
      <c r="S257" s="89" t="e">
        <f t="shared" si="2270"/>
        <v>#DIV/0!</v>
      </c>
      <c r="T257" s="89" t="e">
        <f t="shared" si="2270"/>
        <v>#DIV/0!</v>
      </c>
      <c r="U257" s="89" t="e">
        <f t="shared" si="2270"/>
        <v>#DIV/0!</v>
      </c>
      <c r="V257" s="89" t="e">
        <f t="shared" si="2270"/>
        <v>#DIV/0!</v>
      </c>
      <c r="W257" s="89" t="e">
        <f t="shared" si="2270"/>
        <v>#DIV/0!</v>
      </c>
      <c r="X257" s="89" t="e">
        <f t="shared" si="2270"/>
        <v>#DIV/0!</v>
      </c>
      <c r="Y257" s="89" t="e">
        <f t="shared" si="2270"/>
        <v>#DIV/0!</v>
      </c>
      <c r="Z257" s="89" t="e">
        <f t="shared" si="2270"/>
        <v>#DIV/0!</v>
      </c>
      <c r="AA257" s="89" t="e">
        <f t="shared" si="2270"/>
        <v>#DIV/0!</v>
      </c>
      <c r="AB257" s="47" t="e">
        <f t="shared" si="2270"/>
        <v>#DIV/0!</v>
      </c>
      <c r="AC257" s="47" t="e">
        <f t="shared" si="2270"/>
        <v>#DIV/0!</v>
      </c>
      <c r="AD257" s="47" t="e">
        <f t="shared" si="2270"/>
        <v>#DIV/0!</v>
      </c>
      <c r="AE257" s="47" t="e">
        <f t="shared" si="2270"/>
        <v>#DIV/0!</v>
      </c>
      <c r="AL257" s="89">
        <f t="shared" ref="AL257:CW257" si="2271">AL136/AK136-1</f>
        <v>0.3089107138862166</v>
      </c>
      <c r="AM257" s="89">
        <f t="shared" si="2271"/>
        <v>0</v>
      </c>
      <c r="AN257" s="89">
        <f t="shared" si="2271"/>
        <v>-0.2446544857880254</v>
      </c>
      <c r="AO257" s="89">
        <f t="shared" si="2271"/>
        <v>0</v>
      </c>
      <c r="AP257" s="89">
        <f t="shared" si="2271"/>
        <v>-1</v>
      </c>
      <c r="AQ257" s="89" t="e">
        <f t="shared" si="2271"/>
        <v>#DIV/0!</v>
      </c>
      <c r="AR257" s="89" t="e">
        <f t="shared" si="2271"/>
        <v>#DIV/0!</v>
      </c>
      <c r="AS257" s="89" t="e">
        <f t="shared" si="2271"/>
        <v>#DIV/0!</v>
      </c>
      <c r="AT257" s="89" t="e">
        <f t="shared" si="2271"/>
        <v>#DIV/0!</v>
      </c>
      <c r="AU257" s="89" t="e">
        <f t="shared" si="2271"/>
        <v>#DIV/0!</v>
      </c>
      <c r="AV257" s="89" t="e">
        <f t="shared" si="2271"/>
        <v>#DIV/0!</v>
      </c>
      <c r="AW257" s="89" t="e">
        <f t="shared" si="2271"/>
        <v>#DIV/0!</v>
      </c>
      <c r="AX257" s="89" t="e">
        <f t="shared" si="2271"/>
        <v>#DIV/0!</v>
      </c>
      <c r="AY257" s="89" t="e">
        <f t="shared" si="2271"/>
        <v>#DIV/0!</v>
      </c>
      <c r="AZ257" s="89" t="e">
        <f t="shared" si="2271"/>
        <v>#DIV/0!</v>
      </c>
      <c r="BA257" s="89" t="e">
        <f t="shared" si="2271"/>
        <v>#DIV/0!</v>
      </c>
      <c r="BB257" s="89" t="e">
        <f t="shared" si="2271"/>
        <v>#DIV/0!</v>
      </c>
      <c r="BC257" s="89" t="e">
        <f t="shared" si="2271"/>
        <v>#DIV/0!</v>
      </c>
      <c r="BD257" s="89" t="e">
        <f t="shared" si="2271"/>
        <v>#DIV/0!</v>
      </c>
      <c r="BE257" s="89" t="e">
        <f t="shared" si="2271"/>
        <v>#DIV/0!</v>
      </c>
      <c r="BF257" s="89" t="e">
        <f t="shared" si="2271"/>
        <v>#DIV/0!</v>
      </c>
      <c r="BG257" s="89" t="e">
        <f t="shared" si="2271"/>
        <v>#DIV/0!</v>
      </c>
      <c r="BH257" s="89" t="e">
        <f t="shared" si="2271"/>
        <v>#DIV/0!</v>
      </c>
      <c r="BI257" s="89" t="e">
        <f t="shared" si="2271"/>
        <v>#DIV/0!</v>
      </c>
      <c r="BJ257" s="89" t="e">
        <f t="shared" si="2271"/>
        <v>#DIV/0!</v>
      </c>
      <c r="BK257" s="89" t="e">
        <f t="shared" si="2271"/>
        <v>#DIV/0!</v>
      </c>
      <c r="BL257" s="89" t="e">
        <f t="shared" si="2271"/>
        <v>#DIV/0!</v>
      </c>
      <c r="BM257" s="89">
        <f t="shared" si="2271"/>
        <v>0</v>
      </c>
      <c r="BN257" s="89">
        <f t="shared" si="2271"/>
        <v>-1</v>
      </c>
      <c r="BO257" s="89" t="e">
        <f t="shared" si="2271"/>
        <v>#DIV/0!</v>
      </c>
      <c r="BP257" s="89" t="e">
        <f t="shared" si="2271"/>
        <v>#DIV/0!</v>
      </c>
      <c r="BQ257" s="89">
        <f t="shared" si="2271"/>
        <v>0</v>
      </c>
      <c r="BR257" s="89">
        <f t="shared" si="2271"/>
        <v>-1</v>
      </c>
      <c r="BS257" s="89" t="e">
        <f t="shared" si="2271"/>
        <v>#DIV/0!</v>
      </c>
      <c r="BT257" s="89" t="e">
        <f t="shared" si="2271"/>
        <v>#DIV/0!</v>
      </c>
      <c r="BU257" s="89" t="e">
        <f t="shared" si="2271"/>
        <v>#DIV/0!</v>
      </c>
      <c r="BV257" s="89" t="e">
        <f t="shared" si="2271"/>
        <v>#DIV/0!</v>
      </c>
      <c r="BW257" s="89" t="e">
        <f t="shared" si="2271"/>
        <v>#DIV/0!</v>
      </c>
      <c r="BX257" s="89" t="e">
        <f t="shared" si="2271"/>
        <v>#DIV/0!</v>
      </c>
      <c r="BY257" s="89" t="e">
        <f t="shared" si="2271"/>
        <v>#DIV/0!</v>
      </c>
      <c r="BZ257" s="89" t="e">
        <f t="shared" si="2271"/>
        <v>#DIV/0!</v>
      </c>
      <c r="CA257" s="89" t="e">
        <f t="shared" si="2271"/>
        <v>#DIV/0!</v>
      </c>
      <c r="CB257" s="89" t="e">
        <f t="shared" si="2271"/>
        <v>#DIV/0!</v>
      </c>
      <c r="CC257" s="89" t="e">
        <f t="shared" si="2271"/>
        <v>#DIV/0!</v>
      </c>
      <c r="CD257" s="89" t="e">
        <f t="shared" si="2271"/>
        <v>#DIV/0!</v>
      </c>
      <c r="CE257" s="89" t="e">
        <f t="shared" si="2271"/>
        <v>#DIV/0!</v>
      </c>
      <c r="CF257" s="89" t="e">
        <f t="shared" si="2271"/>
        <v>#DIV/0!</v>
      </c>
      <c r="CG257" s="89" t="e">
        <f t="shared" si="2271"/>
        <v>#DIV/0!</v>
      </c>
      <c r="CH257" s="89" t="e">
        <f t="shared" si="2271"/>
        <v>#DIV/0!</v>
      </c>
      <c r="CI257" s="89" t="e">
        <f t="shared" si="2271"/>
        <v>#DIV/0!</v>
      </c>
      <c r="CJ257" s="89" t="e">
        <f t="shared" si="2271"/>
        <v>#DIV/0!</v>
      </c>
      <c r="CK257" s="89" t="e">
        <f t="shared" si="2271"/>
        <v>#DIV/0!</v>
      </c>
      <c r="CL257" s="89" t="e">
        <f t="shared" si="2271"/>
        <v>#DIV/0!</v>
      </c>
      <c r="CM257" s="47" t="e">
        <f t="shared" si="2271"/>
        <v>#DIV/0!</v>
      </c>
      <c r="CN257" s="47" t="e">
        <f t="shared" si="2271"/>
        <v>#DIV/0!</v>
      </c>
      <c r="CO257" s="47" t="e">
        <f t="shared" si="2271"/>
        <v>#DIV/0!</v>
      </c>
      <c r="CP257" s="47" t="e">
        <f t="shared" si="2271"/>
        <v>#DIV/0!</v>
      </c>
      <c r="CQ257" s="47" t="e">
        <f t="shared" si="2271"/>
        <v>#DIV/0!</v>
      </c>
      <c r="CR257" s="47" t="e">
        <f t="shared" si="2271"/>
        <v>#DIV/0!</v>
      </c>
      <c r="CS257" s="47" t="e">
        <f t="shared" si="2271"/>
        <v>#DIV/0!</v>
      </c>
      <c r="CT257" s="47" t="e">
        <f t="shared" si="2271"/>
        <v>#DIV/0!</v>
      </c>
      <c r="CU257" s="47" t="e">
        <f t="shared" si="2271"/>
        <v>#DIV/0!</v>
      </c>
      <c r="CV257" s="47" t="e">
        <f t="shared" si="2271"/>
        <v>#DIV/0!</v>
      </c>
      <c r="CW257" s="47" t="e">
        <f t="shared" si="2271"/>
        <v>#DIV/0!</v>
      </c>
      <c r="CX257" s="47" t="e">
        <f t="shared" ref="CX257:DB257" si="2272">CX136/CW136-1</f>
        <v>#DIV/0!</v>
      </c>
      <c r="CY257" s="47" t="e">
        <f t="shared" si="2272"/>
        <v>#DIV/0!</v>
      </c>
      <c r="CZ257" s="47" t="e">
        <f t="shared" si="2272"/>
        <v>#DIV/0!</v>
      </c>
      <c r="DA257" s="47" t="e">
        <f t="shared" si="2272"/>
        <v>#DIV/0!</v>
      </c>
      <c r="DB257" s="47" t="e">
        <f t="shared" si="2272"/>
        <v>#DIV/0!</v>
      </c>
      <c r="DE257" s="130"/>
    </row>
    <row r="258" spans="1:110" s="89" customFormat="1" x14ac:dyDescent="0.2">
      <c r="A258" s="89" t="s">
        <v>104</v>
      </c>
      <c r="C258" s="89">
        <f>C36/B36-1</f>
        <v>5.6110318592488051E-2</v>
      </c>
      <c r="D258" s="89">
        <f>D36/C36-1</f>
        <v>-0.20532175049218226</v>
      </c>
      <c r="F258" s="89">
        <f t="shared" ref="F258:AE258" si="2273">F36/E36-1</f>
        <v>0.56312464846623</v>
      </c>
      <c r="G258" s="89">
        <f t="shared" si="2273"/>
        <v>0.30276928186888363</v>
      </c>
      <c r="H258" s="89">
        <f t="shared" si="2273"/>
        <v>0.47777959551363969</v>
      </c>
      <c r="I258" s="89">
        <f t="shared" si="2273"/>
        <v>8.1190658301080632E-2</v>
      </c>
      <c r="J258" s="89">
        <f t="shared" si="2273"/>
        <v>8.8552166165793089E-2</v>
      </c>
      <c r="K258" s="89">
        <f t="shared" si="2273"/>
        <v>-0.16489598870284194</v>
      </c>
      <c r="L258" s="89">
        <f t="shared" si="2273"/>
        <v>1.2569866315988101</v>
      </c>
      <c r="M258" s="89">
        <f t="shared" si="2273"/>
        <v>0.24379802934274042</v>
      </c>
      <c r="N258" s="89">
        <f t="shared" si="2273"/>
        <v>-0.62067154325304275</v>
      </c>
      <c r="O258" s="89">
        <f t="shared" si="2273"/>
        <v>0.55109139112875738</v>
      </c>
      <c r="P258" s="89">
        <f t="shared" si="2273"/>
        <v>0.49361288334213094</v>
      </c>
      <c r="Q258" s="89">
        <f t="shared" si="2273"/>
        <v>0.46883742165774311</v>
      </c>
      <c r="R258" s="89">
        <f t="shared" si="2273"/>
        <v>0.10442800748745817</v>
      </c>
      <c r="S258" s="89">
        <f t="shared" si="2273"/>
        <v>0.26184117176840105</v>
      </c>
      <c r="T258" s="89">
        <f t="shared" si="2273"/>
        <v>0.20521019503109605</v>
      </c>
      <c r="U258" s="89">
        <f t="shared" si="2273"/>
        <v>-0.18777631996069877</v>
      </c>
      <c r="V258" s="89">
        <f t="shared" si="2273"/>
        <v>0.54913997280013072</v>
      </c>
      <c r="W258" s="89">
        <f t="shared" si="2273"/>
        <v>0.46458162972352346</v>
      </c>
      <c r="X258" s="89">
        <f t="shared" si="2273"/>
        <v>0.25082048802017032</v>
      </c>
      <c r="Y258" s="89">
        <f t="shared" si="2273"/>
        <v>9.1969825221265733E-2</v>
      </c>
      <c r="Z258" s="89">
        <f t="shared" si="2273"/>
        <v>-7.0534009576451062E-2</v>
      </c>
      <c r="AA258" s="89">
        <f t="shared" si="2273"/>
        <v>-0.13786333998123834</v>
      </c>
      <c r="AB258" s="47">
        <f t="shared" si="2273"/>
        <v>0.22700019224359647</v>
      </c>
      <c r="AC258" s="47">
        <f t="shared" si="2273"/>
        <v>0.23332648373373011</v>
      </c>
      <c r="AD258" s="47">
        <f t="shared" si="2273"/>
        <v>9.6870026134355136E-2</v>
      </c>
      <c r="AE258" s="47">
        <f t="shared" si="2273"/>
        <v>3.4155363328403521E-2</v>
      </c>
      <c r="AL258" s="89">
        <f t="shared" ref="AL258:CW258" si="2274">AL36/AK36-1</f>
        <v>0.13851474335638803</v>
      </c>
      <c r="AM258" s="89">
        <f t="shared" si="2274"/>
        <v>-0.28062883026911933</v>
      </c>
      <c r="AN258" s="89">
        <f t="shared" si="2274"/>
        <v>1.4029928142825443</v>
      </c>
      <c r="AO258" s="89">
        <f t="shared" si="2274"/>
        <v>0.30532091990874899</v>
      </c>
      <c r="AP258" s="89">
        <f t="shared" si="2274"/>
        <v>8.2589391148269131E-2</v>
      </c>
      <c r="AQ258" s="89">
        <f t="shared" si="2274"/>
        <v>-0.17803617007351824</v>
      </c>
      <c r="AR258" s="89">
        <f t="shared" si="2274"/>
        <v>7.1500610435798473E-2</v>
      </c>
      <c r="AS258" s="89">
        <f t="shared" si="2274"/>
        <v>0.20571187952045911</v>
      </c>
      <c r="AT258" s="89">
        <f t="shared" si="2274"/>
        <v>-0.11198307208743274</v>
      </c>
      <c r="AU258" s="89">
        <f t="shared" si="2274"/>
        <v>0.20978115023365507</v>
      </c>
      <c r="AV258" s="89">
        <f t="shared" si="2274"/>
        <v>0.17193177037518614</v>
      </c>
      <c r="AW258" s="89">
        <f t="shared" si="2274"/>
        <v>6.1532185689810559E-2</v>
      </c>
      <c r="AX258" s="89">
        <f t="shared" si="2274"/>
        <v>-6.333005410724013E-3</v>
      </c>
      <c r="AY258" s="89">
        <f t="shared" si="2274"/>
        <v>3.3228141822907453E-2</v>
      </c>
      <c r="AZ258" s="89">
        <f t="shared" si="2274"/>
        <v>6.32261348664509E-2</v>
      </c>
      <c r="BA258" s="89">
        <f t="shared" si="2274"/>
        <v>4.0413997042878513E-3</v>
      </c>
      <c r="BB258" s="89">
        <f t="shared" si="2274"/>
        <v>5.9100726487335997E-2</v>
      </c>
      <c r="BC258" s="89">
        <f t="shared" si="2274"/>
        <v>-2.7424651729434424E-2</v>
      </c>
      <c r="BD258" s="89">
        <f t="shared" si="2274"/>
        <v>0.14384913881135453</v>
      </c>
      <c r="BE258" s="89">
        <f t="shared" si="2274"/>
        <v>7.4205451731936378E-2</v>
      </c>
      <c r="BF258" s="89">
        <f t="shared" si="2274"/>
        <v>5.3754266211604174E-2</v>
      </c>
      <c r="BG258" s="89">
        <f t="shared" si="2274"/>
        <v>0.12014301487985746</v>
      </c>
      <c r="BH258" s="89">
        <f t="shared" si="2274"/>
        <v>1.8775816748024532E-3</v>
      </c>
      <c r="BI258" s="89">
        <f t="shared" si="2274"/>
        <v>-0.14197901049475203</v>
      </c>
      <c r="BJ258" s="89">
        <f t="shared" si="2274"/>
        <v>7.5353835401012592E-2</v>
      </c>
      <c r="BK258" s="89">
        <f t="shared" si="2274"/>
        <v>-0.30195596538977088</v>
      </c>
      <c r="BL258" s="89">
        <f t="shared" si="2274"/>
        <v>2.3394195097112158E-2</v>
      </c>
      <c r="BM258" s="89">
        <f t="shared" si="2274"/>
        <v>0.33903871031943456</v>
      </c>
      <c r="BN258" s="89">
        <f t="shared" si="2274"/>
        <v>0.15297477492780698</v>
      </c>
      <c r="BO258" s="89">
        <f t="shared" si="2274"/>
        <v>-0.14631541146029947</v>
      </c>
      <c r="BP258" s="89">
        <f t="shared" si="2274"/>
        <v>0.27332247521869002</v>
      </c>
      <c r="BQ258" s="89">
        <f t="shared" si="2274"/>
        <v>0.21651659028724879</v>
      </c>
      <c r="BR258" s="89">
        <f t="shared" si="2274"/>
        <v>0.14250997486264905</v>
      </c>
      <c r="BS258" s="89">
        <f t="shared" si="2274"/>
        <v>-8.5868220408709894E-2</v>
      </c>
      <c r="BT258" s="89">
        <f t="shared" si="2274"/>
        <v>0.19274208603354959</v>
      </c>
      <c r="BU258" s="89">
        <f t="shared" si="2274"/>
        <v>0.16883458079229952</v>
      </c>
      <c r="BV258" s="89">
        <f t="shared" si="2274"/>
        <v>5.8077197143963755E-2</v>
      </c>
      <c r="BW258" s="89">
        <f t="shared" si="2274"/>
        <v>7.6426585911546274E-2</v>
      </c>
      <c r="BX258" s="89">
        <f t="shared" si="2274"/>
        <v>-4.8762565398859814E-2</v>
      </c>
      <c r="BY258" s="89">
        <f t="shared" si="2274"/>
        <v>8.9679130929942508E-2</v>
      </c>
      <c r="BZ258" s="89">
        <f t="shared" si="2274"/>
        <v>1.1618062278970998E-2</v>
      </c>
      <c r="CA258" s="89">
        <f t="shared" si="2274"/>
        <v>6.9596556211835026E-3</v>
      </c>
      <c r="CB258" s="89">
        <f t="shared" si="2274"/>
        <v>4.8050806679312608E-2</v>
      </c>
      <c r="CC258" s="89">
        <f t="shared" si="2274"/>
        <v>2.5046860889559985E-2</v>
      </c>
      <c r="CD258" s="89">
        <f t="shared" si="2274"/>
        <v>-3.282657219958085E-2</v>
      </c>
      <c r="CE258" s="89">
        <f t="shared" si="2274"/>
        <v>-3.4488037691509321E-2</v>
      </c>
      <c r="CF258" s="89">
        <f t="shared" si="2274"/>
        <v>5.6047536746634208E-2</v>
      </c>
      <c r="CG258" s="89">
        <f t="shared" si="2274"/>
        <v>-7.4299849478429603E-2</v>
      </c>
      <c r="CH258" s="89">
        <f t="shared" si="2274"/>
        <v>-0.1579600426579294</v>
      </c>
      <c r="CI258" s="89">
        <f t="shared" si="2274"/>
        <v>-0.10088703541399768</v>
      </c>
      <c r="CJ258" s="89">
        <f t="shared" si="2274"/>
        <v>3.5451078689718196E-2</v>
      </c>
      <c r="CK258" s="89">
        <f t="shared" si="2274"/>
        <v>0.14958076212841465</v>
      </c>
      <c r="CL258" s="89">
        <f t="shared" si="2274"/>
        <v>0.10044320457153133</v>
      </c>
      <c r="CM258" s="47">
        <f t="shared" si="2274"/>
        <v>-5.7104448546649644E-2</v>
      </c>
      <c r="CN258" s="47">
        <f t="shared" si="2274"/>
        <v>7.7744811702365135E-2</v>
      </c>
      <c r="CO258" s="47">
        <f t="shared" si="2274"/>
        <v>7.9266454127309149E-2</v>
      </c>
      <c r="CP258" s="47">
        <f t="shared" si="2274"/>
        <v>5.2563257502912686E-2</v>
      </c>
      <c r="CQ258" s="47">
        <f t="shared" si="2274"/>
        <v>3.0128864055672055E-2</v>
      </c>
      <c r="CR258" s="47">
        <f t="shared" si="2274"/>
        <v>6.2902709368148235E-2</v>
      </c>
      <c r="CS258" s="47">
        <f t="shared" si="2274"/>
        <v>5.723918253142446E-2</v>
      </c>
      <c r="CT258" s="47">
        <f t="shared" si="2274"/>
        <v>4.9972114406580781E-2</v>
      </c>
      <c r="CU258" s="47">
        <f t="shared" si="2274"/>
        <v>-1.7849632132767801E-2</v>
      </c>
      <c r="CV258" s="47">
        <f t="shared" si="2274"/>
        <v>2.5233392403347432E-2</v>
      </c>
      <c r="CW258" s="47">
        <f t="shared" si="2274"/>
        <v>2.0231686114217773E-2</v>
      </c>
      <c r="CX258" s="47">
        <f t="shared" ref="CX258:DB258" si="2275">CX36/CW36-1</f>
        <v>1.5165926121425644E-2</v>
      </c>
      <c r="CY258" s="47">
        <f t="shared" si="2275"/>
        <v>-9.4311448319304159E-3</v>
      </c>
      <c r="CZ258" s="47">
        <f t="shared" si="2275"/>
        <v>1.2542473479529193E-2</v>
      </c>
      <c r="DA258" s="47">
        <f t="shared" si="2275"/>
        <v>9.4263841099173629E-3</v>
      </c>
      <c r="DB258" s="47">
        <f t="shared" si="2275"/>
        <v>6.7529999274917873E-3</v>
      </c>
      <c r="DE258" s="130"/>
      <c r="DF258" s="89">
        <v>-1.6218331600235669E-2</v>
      </c>
    </row>
    <row r="259" spans="1:110" s="103" customFormat="1" x14ac:dyDescent="0.2">
      <c r="A259" s="147" t="s">
        <v>105</v>
      </c>
      <c r="C259" s="103">
        <f>IF(C257&gt;C258,"RF",0)</f>
        <v>0</v>
      </c>
      <c r="D259" s="103" t="str">
        <f t="shared" ref="D259:U259" si="2276">IF(D257&gt;D258,"RF",0)</f>
        <v>RF</v>
      </c>
      <c r="F259" s="103" t="e">
        <f t="shared" si="2276"/>
        <v>#DIV/0!</v>
      </c>
      <c r="G259" s="103" t="e">
        <f t="shared" si="2276"/>
        <v>#DIV/0!</v>
      </c>
      <c r="H259" s="103" t="e">
        <f t="shared" si="2276"/>
        <v>#DIV/0!</v>
      </c>
      <c r="I259" s="103" t="e">
        <f t="shared" si="2276"/>
        <v>#DIV/0!</v>
      </c>
      <c r="J259" s="103">
        <f t="shared" si="2276"/>
        <v>0</v>
      </c>
      <c r="K259" s="103" t="str">
        <f t="shared" si="2276"/>
        <v>RF</v>
      </c>
      <c r="L259" s="103">
        <f t="shared" si="2276"/>
        <v>0</v>
      </c>
      <c r="M259" s="103" t="str">
        <f t="shared" si="2276"/>
        <v>RF</v>
      </c>
      <c r="N259" s="103" t="str">
        <f t="shared" si="2276"/>
        <v>RF</v>
      </c>
      <c r="O259" s="103">
        <f t="shared" si="2276"/>
        <v>0</v>
      </c>
      <c r="P259" s="103" t="e">
        <f t="shared" si="2276"/>
        <v>#DIV/0!</v>
      </c>
      <c r="Q259" s="103" t="e">
        <f t="shared" si="2276"/>
        <v>#DIV/0!</v>
      </c>
      <c r="R259" s="103" t="e">
        <f t="shared" si="2276"/>
        <v>#DIV/0!</v>
      </c>
      <c r="S259" s="103" t="e">
        <f t="shared" si="2276"/>
        <v>#DIV/0!</v>
      </c>
      <c r="T259" s="103" t="e">
        <f t="shared" si="2276"/>
        <v>#DIV/0!</v>
      </c>
      <c r="U259" s="103" t="e">
        <f t="shared" si="2276"/>
        <v>#DIV/0!</v>
      </c>
      <c r="V259" s="103" t="e">
        <f>IF(V257&gt;V258,"RF",0)</f>
        <v>#DIV/0!</v>
      </c>
      <c r="W259" s="103" t="e">
        <f t="shared" ref="W259:AE259" si="2277">IF(W257&gt;W258,"RF",0)</f>
        <v>#DIV/0!</v>
      </c>
      <c r="X259" s="103" t="e">
        <f t="shared" si="2277"/>
        <v>#DIV/0!</v>
      </c>
      <c r="Y259" s="103" t="e">
        <f t="shared" si="2277"/>
        <v>#DIV/0!</v>
      </c>
      <c r="Z259" s="103" t="e">
        <f t="shared" si="2277"/>
        <v>#DIV/0!</v>
      </c>
      <c r="AA259" s="103" t="e">
        <f t="shared" ref="AA259" si="2278">IF(AA257&gt;AA258,"RF",0)</f>
        <v>#DIV/0!</v>
      </c>
      <c r="AB259" s="73" t="e">
        <f t="shared" si="2277"/>
        <v>#DIV/0!</v>
      </c>
      <c r="AC259" s="73" t="e">
        <f t="shared" si="2277"/>
        <v>#DIV/0!</v>
      </c>
      <c r="AD259" s="73" t="e">
        <f t="shared" si="2277"/>
        <v>#DIV/0!</v>
      </c>
      <c r="AE259" s="73" t="e">
        <f t="shared" si="2277"/>
        <v>#DIV/0!</v>
      </c>
      <c r="AL259" s="103" t="str">
        <f t="shared" ref="AL259:CW259" si="2279">IF(AL257&gt;AL258,"RF",0)</f>
        <v>RF</v>
      </c>
      <c r="AM259" s="103" t="str">
        <f t="shared" si="2279"/>
        <v>RF</v>
      </c>
      <c r="AN259" s="103">
        <f t="shared" si="2279"/>
        <v>0</v>
      </c>
      <c r="AO259" s="103">
        <f t="shared" si="2279"/>
        <v>0</v>
      </c>
      <c r="AP259" s="103">
        <f t="shared" si="2279"/>
        <v>0</v>
      </c>
      <c r="AQ259" s="103" t="e">
        <f t="shared" si="2279"/>
        <v>#DIV/0!</v>
      </c>
      <c r="AR259" s="103" t="e">
        <f t="shared" si="2279"/>
        <v>#DIV/0!</v>
      </c>
      <c r="AS259" s="103" t="e">
        <f t="shared" si="2279"/>
        <v>#DIV/0!</v>
      </c>
      <c r="AT259" s="103" t="e">
        <f t="shared" si="2279"/>
        <v>#DIV/0!</v>
      </c>
      <c r="AU259" s="103" t="e">
        <f t="shared" si="2279"/>
        <v>#DIV/0!</v>
      </c>
      <c r="AV259" s="103" t="e">
        <f t="shared" si="2279"/>
        <v>#DIV/0!</v>
      </c>
      <c r="AW259" s="103" t="e">
        <f t="shared" si="2279"/>
        <v>#DIV/0!</v>
      </c>
      <c r="AX259" s="103" t="e">
        <f t="shared" si="2279"/>
        <v>#DIV/0!</v>
      </c>
      <c r="AY259" s="103" t="e">
        <f t="shared" si="2279"/>
        <v>#DIV/0!</v>
      </c>
      <c r="AZ259" s="103" t="e">
        <f t="shared" si="2279"/>
        <v>#DIV/0!</v>
      </c>
      <c r="BA259" s="103" t="e">
        <f t="shared" si="2279"/>
        <v>#DIV/0!</v>
      </c>
      <c r="BB259" s="103" t="e">
        <f t="shared" si="2279"/>
        <v>#DIV/0!</v>
      </c>
      <c r="BC259" s="103" t="e">
        <f t="shared" si="2279"/>
        <v>#DIV/0!</v>
      </c>
      <c r="BD259" s="103" t="e">
        <f t="shared" si="2279"/>
        <v>#DIV/0!</v>
      </c>
      <c r="BE259" s="103" t="e">
        <f t="shared" si="2279"/>
        <v>#DIV/0!</v>
      </c>
      <c r="BF259" s="103" t="e">
        <f t="shared" si="2279"/>
        <v>#DIV/0!</v>
      </c>
      <c r="BG259" s="103" t="e">
        <f t="shared" si="2279"/>
        <v>#DIV/0!</v>
      </c>
      <c r="BH259" s="103" t="e">
        <f t="shared" si="2279"/>
        <v>#DIV/0!</v>
      </c>
      <c r="BI259" s="103" t="e">
        <f t="shared" si="2279"/>
        <v>#DIV/0!</v>
      </c>
      <c r="BJ259" s="103" t="e">
        <f t="shared" si="2279"/>
        <v>#DIV/0!</v>
      </c>
      <c r="BK259" s="103" t="e">
        <f t="shared" si="2279"/>
        <v>#DIV/0!</v>
      </c>
      <c r="BL259" s="103" t="e">
        <f t="shared" si="2279"/>
        <v>#DIV/0!</v>
      </c>
      <c r="BM259" s="103">
        <f t="shared" si="2279"/>
        <v>0</v>
      </c>
      <c r="BN259" s="103">
        <f t="shared" si="2279"/>
        <v>0</v>
      </c>
      <c r="BO259" s="103" t="e">
        <f t="shared" si="2279"/>
        <v>#DIV/0!</v>
      </c>
      <c r="BP259" s="103" t="e">
        <f t="shared" si="2279"/>
        <v>#DIV/0!</v>
      </c>
      <c r="BQ259" s="103">
        <f t="shared" si="2279"/>
        <v>0</v>
      </c>
      <c r="BR259" s="103">
        <f t="shared" si="2279"/>
        <v>0</v>
      </c>
      <c r="BS259" s="103" t="e">
        <f t="shared" si="2279"/>
        <v>#DIV/0!</v>
      </c>
      <c r="BT259" s="103" t="e">
        <f t="shared" si="2279"/>
        <v>#DIV/0!</v>
      </c>
      <c r="BU259" s="103" t="e">
        <f t="shared" si="2279"/>
        <v>#DIV/0!</v>
      </c>
      <c r="BV259" s="103" t="e">
        <f t="shared" si="2279"/>
        <v>#DIV/0!</v>
      </c>
      <c r="BW259" s="103" t="e">
        <f t="shared" si="2279"/>
        <v>#DIV/0!</v>
      </c>
      <c r="BX259" s="103" t="e">
        <f t="shared" si="2279"/>
        <v>#DIV/0!</v>
      </c>
      <c r="BY259" s="103" t="e">
        <f t="shared" si="2279"/>
        <v>#DIV/0!</v>
      </c>
      <c r="BZ259" s="103" t="e">
        <f t="shared" si="2279"/>
        <v>#DIV/0!</v>
      </c>
      <c r="CA259" s="103" t="e">
        <f t="shared" si="2279"/>
        <v>#DIV/0!</v>
      </c>
      <c r="CB259" s="103" t="e">
        <f t="shared" si="2279"/>
        <v>#DIV/0!</v>
      </c>
      <c r="CC259" s="103" t="e">
        <f t="shared" si="2279"/>
        <v>#DIV/0!</v>
      </c>
      <c r="CD259" s="103" t="e">
        <f t="shared" si="2279"/>
        <v>#DIV/0!</v>
      </c>
      <c r="CE259" s="103" t="e">
        <f t="shared" si="2279"/>
        <v>#DIV/0!</v>
      </c>
      <c r="CF259" s="103" t="e">
        <f t="shared" si="2279"/>
        <v>#DIV/0!</v>
      </c>
      <c r="CG259" s="103" t="e">
        <f t="shared" si="2279"/>
        <v>#DIV/0!</v>
      </c>
      <c r="CH259" s="103" t="e">
        <f t="shared" si="2279"/>
        <v>#DIV/0!</v>
      </c>
      <c r="CI259" s="103" t="e">
        <f t="shared" si="2279"/>
        <v>#DIV/0!</v>
      </c>
      <c r="CJ259" s="103" t="e">
        <f t="shared" si="2279"/>
        <v>#DIV/0!</v>
      </c>
      <c r="CK259" s="103" t="e">
        <f t="shared" si="2279"/>
        <v>#DIV/0!</v>
      </c>
      <c r="CL259" s="103" t="e">
        <f t="shared" ref="CL259" si="2280">IF(CL257&gt;CL258,"RF",0)</f>
        <v>#DIV/0!</v>
      </c>
      <c r="CM259" s="73" t="e">
        <f t="shared" si="2279"/>
        <v>#DIV/0!</v>
      </c>
      <c r="CN259" s="73" t="e">
        <f t="shared" si="2279"/>
        <v>#DIV/0!</v>
      </c>
      <c r="CO259" s="73" t="e">
        <f t="shared" si="2279"/>
        <v>#DIV/0!</v>
      </c>
      <c r="CP259" s="73" t="e">
        <f t="shared" si="2279"/>
        <v>#DIV/0!</v>
      </c>
      <c r="CQ259" s="73" t="e">
        <f t="shared" si="2279"/>
        <v>#DIV/0!</v>
      </c>
      <c r="CR259" s="73" t="e">
        <f t="shared" si="2279"/>
        <v>#DIV/0!</v>
      </c>
      <c r="CS259" s="73" t="e">
        <f t="shared" si="2279"/>
        <v>#DIV/0!</v>
      </c>
      <c r="CT259" s="73" t="e">
        <f t="shared" si="2279"/>
        <v>#DIV/0!</v>
      </c>
      <c r="CU259" s="73" t="e">
        <f t="shared" si="2279"/>
        <v>#DIV/0!</v>
      </c>
      <c r="CV259" s="73" t="e">
        <f t="shared" si="2279"/>
        <v>#DIV/0!</v>
      </c>
      <c r="CW259" s="73" t="e">
        <f t="shared" si="2279"/>
        <v>#DIV/0!</v>
      </c>
      <c r="CX259" s="73" t="e">
        <f t="shared" ref="CX259:DB259" si="2281">IF(CX257&gt;CX258,"RF",0)</f>
        <v>#DIV/0!</v>
      </c>
      <c r="CY259" s="73" t="e">
        <f t="shared" si="2281"/>
        <v>#DIV/0!</v>
      </c>
      <c r="CZ259" s="73" t="e">
        <f t="shared" si="2281"/>
        <v>#DIV/0!</v>
      </c>
      <c r="DA259" s="73" t="e">
        <f t="shared" si="2281"/>
        <v>#DIV/0!</v>
      </c>
      <c r="DB259" s="73" t="e">
        <f t="shared" si="2281"/>
        <v>#DIV/0!</v>
      </c>
      <c r="DE259" s="142"/>
    </row>
    <row r="260" spans="1:110" s="86" customFormat="1" x14ac:dyDescent="0.2">
      <c r="A260" s="86" t="s">
        <v>432</v>
      </c>
      <c r="B260" s="86">
        <f>B44/B16</f>
        <v>2.2436675627685747E-2</v>
      </c>
      <c r="C260" s="86">
        <f>C44/C16</f>
        <v>1.1831465936964589E-2</v>
      </c>
      <c r="D260" s="86">
        <f>D44/D16</f>
        <v>1.1057980495255195E-2</v>
      </c>
      <c r="F260" s="86">
        <f t="shared" ref="F260:AE260" si="2282">F44/F16</f>
        <v>2.4723588876807302E-3</v>
      </c>
      <c r="G260" s="86">
        <f t="shared" si="2282"/>
        <v>2.599818869948793E-3</v>
      </c>
      <c r="H260" s="86">
        <f t="shared" si="2282"/>
        <v>2.4538662112006961E-3</v>
      </c>
      <c r="I260" s="86">
        <f t="shared" si="2282"/>
        <v>6.2067536504352965E-3</v>
      </c>
      <c r="J260" s="86">
        <f t="shared" si="2282"/>
        <v>9.8483051019228052E-3</v>
      </c>
      <c r="K260" s="86">
        <f t="shared" si="2282"/>
        <v>5.4468052219052094E-3</v>
      </c>
      <c r="L260" s="86">
        <f t="shared" si="2282"/>
        <v>5.6475997761060532E-3</v>
      </c>
      <c r="M260" s="86">
        <f t="shared" si="2282"/>
        <v>5.6316285983819781E-3</v>
      </c>
      <c r="N260" s="86">
        <f t="shared" si="2282"/>
        <v>7.4840204918612922E-3</v>
      </c>
      <c r="O260" s="86">
        <f t="shared" si="2282"/>
        <v>3.3966811726132786E-3</v>
      </c>
      <c r="P260" s="86">
        <f t="shared" si="2282"/>
        <v>7.8855560700356983E-4</v>
      </c>
      <c r="Q260" s="86">
        <f t="shared" si="2282"/>
        <v>5.884453222503109E-4</v>
      </c>
      <c r="R260" s="86">
        <f t="shared" si="2282"/>
        <v>6.1334555552385603E-4</v>
      </c>
      <c r="S260" s="86">
        <f t="shared" si="2282"/>
        <v>5.7635619534219076E-4</v>
      </c>
      <c r="T260" s="86">
        <f t="shared" si="2282"/>
        <v>6.4968343039864714E-4</v>
      </c>
      <c r="U260" s="86">
        <f t="shared" si="2282"/>
        <v>4.2326030257033471E-3</v>
      </c>
      <c r="V260" s="86">
        <f t="shared" si="2282"/>
        <v>3.8619842503369232E-3</v>
      </c>
      <c r="W260" s="86">
        <f t="shared" si="2282"/>
        <v>4.2384666467432889E-3</v>
      </c>
      <c r="X260" s="86">
        <f t="shared" si="2282"/>
        <v>5.4970828109634478E-3</v>
      </c>
      <c r="Y260" s="86">
        <f t="shared" si="2282"/>
        <v>5.9443789144122102E-3</v>
      </c>
      <c r="Z260" s="86">
        <f t="shared" si="2282"/>
        <v>5.4174680440583194E-3</v>
      </c>
      <c r="AA260" s="86">
        <f t="shared" ref="AA260" si="2283">AA44/AA16</f>
        <v>4.7538689874128386E-3</v>
      </c>
      <c r="AB260" s="87">
        <f t="shared" si="2282"/>
        <v>-3.0567096221238491E-2</v>
      </c>
      <c r="AC260" s="87">
        <f t="shared" si="2282"/>
        <v>-3.0122933280195205E-2</v>
      </c>
      <c r="AD260" s="87">
        <f t="shared" si="2282"/>
        <v>-2.9741090301928699E-2</v>
      </c>
      <c r="AE260" s="87">
        <f t="shared" si="2282"/>
        <v>-3.8889843214673231E-2</v>
      </c>
      <c r="AL260" s="86">
        <f t="shared" ref="AL260:CW260" si="2284">AL44/AL16</f>
        <v>5.9413089235890162E-3</v>
      </c>
      <c r="AM260" s="86">
        <f t="shared" si="2284"/>
        <v>4.475293492634533E-3</v>
      </c>
      <c r="AN260" s="86">
        <f t="shared" si="2284"/>
        <v>3.2057693319997894E-3</v>
      </c>
      <c r="AO260" s="86">
        <f t="shared" si="2284"/>
        <v>2.0187584635449202E-3</v>
      </c>
      <c r="AP260" s="86">
        <f t="shared" si="2284"/>
        <v>1.8438059937877921E-4</v>
      </c>
      <c r="AQ260" s="86">
        <f t="shared" si="2284"/>
        <v>5.242326544520458E-6</v>
      </c>
      <c r="AR260" s="86">
        <f t="shared" si="2284"/>
        <v>0</v>
      </c>
      <c r="AS260" s="86">
        <f t="shared" si="2284"/>
        <v>0</v>
      </c>
      <c r="AT260" s="86">
        <f t="shared" si="2284"/>
        <v>4.3238381846797766E-6</v>
      </c>
      <c r="AU260" s="86">
        <f t="shared" si="2284"/>
        <v>0</v>
      </c>
      <c r="AV260" s="86">
        <f t="shared" si="2284"/>
        <v>0</v>
      </c>
      <c r="AW260" s="86">
        <f t="shared" si="2284"/>
        <v>0</v>
      </c>
      <c r="AX260" s="86">
        <f t="shared" si="2284"/>
        <v>0</v>
      </c>
      <c r="AY260" s="86">
        <f t="shared" si="2284"/>
        <v>0</v>
      </c>
      <c r="AZ260" s="86">
        <f t="shared" si="2284"/>
        <v>0</v>
      </c>
      <c r="BA260" s="86">
        <f t="shared" si="2284"/>
        <v>0</v>
      </c>
      <c r="BB260" s="86">
        <f t="shared" si="2284"/>
        <v>0</v>
      </c>
      <c r="BC260" s="86">
        <f t="shared" si="2284"/>
        <v>0</v>
      </c>
      <c r="BD260" s="86">
        <f t="shared" si="2284"/>
        <v>0</v>
      </c>
      <c r="BE260" s="86">
        <f t="shared" si="2284"/>
        <v>0</v>
      </c>
      <c r="BF260" s="86">
        <f t="shared" si="2284"/>
        <v>0</v>
      </c>
      <c r="BG260" s="86">
        <f t="shared" si="2284"/>
        <v>0</v>
      </c>
      <c r="BH260" s="86">
        <f t="shared" si="2284"/>
        <v>0</v>
      </c>
      <c r="BI260" s="86">
        <f t="shared" si="2284"/>
        <v>0</v>
      </c>
      <c r="BJ260" s="86">
        <f t="shared" si="2284"/>
        <v>0</v>
      </c>
      <c r="BK260" s="86">
        <f t="shared" si="2284"/>
        <v>3.6520969837715296E-3</v>
      </c>
      <c r="BL260" s="86">
        <f t="shared" si="2284"/>
        <v>3.5119366970170567E-3</v>
      </c>
      <c r="BM260" s="86">
        <f t="shared" si="2284"/>
        <v>3.4078188542360395E-3</v>
      </c>
      <c r="BN260" s="86">
        <f t="shared" si="2284"/>
        <v>3.2878772343552412E-3</v>
      </c>
      <c r="BO260" s="86">
        <f t="shared" si="2284"/>
        <v>3.460777851021753E-3</v>
      </c>
      <c r="BP260" s="86">
        <f t="shared" si="2284"/>
        <v>3.0243224332196597E-3</v>
      </c>
      <c r="BQ260" s="86">
        <f t="shared" si="2284"/>
        <v>2.8254212455747995E-3</v>
      </c>
      <c r="BR260" s="86">
        <f t="shared" si="2284"/>
        <v>3.6593646555914787E-3</v>
      </c>
      <c r="BS260" s="86">
        <f t="shared" si="2284"/>
        <v>2.9427779250460312E-3</v>
      </c>
      <c r="BT260" s="86">
        <f t="shared" si="2284"/>
        <v>2.665743930687298E-3</v>
      </c>
      <c r="BU260" s="86">
        <f t="shared" si="2284"/>
        <v>4.7339289564425025E-3</v>
      </c>
      <c r="BV260" s="86">
        <f t="shared" si="2284"/>
        <v>4.6748095678844827E-3</v>
      </c>
      <c r="BW260" s="86">
        <f t="shared" si="2284"/>
        <v>4.6260516415044172E-3</v>
      </c>
      <c r="BX260" s="86">
        <f t="shared" si="2284"/>
        <v>5.576731820260466E-3</v>
      </c>
      <c r="BY260" s="86">
        <f t="shared" si="2284"/>
        <v>5.4613735611310646E-3</v>
      </c>
      <c r="BZ260" s="86">
        <f t="shared" si="2284"/>
        <v>4.9145503150658781E-3</v>
      </c>
      <c r="CA260" s="86">
        <f t="shared" si="2284"/>
        <v>4.613817695984344E-3</v>
      </c>
      <c r="CB260" s="86">
        <f t="shared" si="2284"/>
        <v>6.5918262262135109E-3</v>
      </c>
      <c r="CC260" s="86">
        <f t="shared" si="2284"/>
        <v>6.0739439508309158E-3</v>
      </c>
      <c r="CD260" s="86">
        <f t="shared" si="2284"/>
        <v>5.4893078262098164E-3</v>
      </c>
      <c r="CE260" s="86">
        <f t="shared" si="2284"/>
        <v>5.2814221953575722E-3</v>
      </c>
      <c r="CF260" s="86">
        <f t="shared" si="2284"/>
        <v>5.0749356602442092E-3</v>
      </c>
      <c r="CG260" s="86">
        <f t="shared" si="2284"/>
        <v>4.9511750256343093E-3</v>
      </c>
      <c r="CH260" s="86">
        <f t="shared" si="2284"/>
        <v>5.0542970883021262E-3</v>
      </c>
      <c r="CI260" s="86">
        <f t="shared" si="2284"/>
        <v>5.1137994117225055E-3</v>
      </c>
      <c r="CJ260" s="86">
        <f t="shared" si="2284"/>
        <v>4.3992933247068407E-3</v>
      </c>
      <c r="CK260" s="86">
        <f t="shared" si="2284"/>
        <v>3.6886165747571508E-3</v>
      </c>
      <c r="CL260" s="86">
        <f t="shared" ref="CL260" si="2285">CL44/CL16</f>
        <v>4.1368511830428348E-3</v>
      </c>
      <c r="CM260" s="87">
        <f t="shared" si="2284"/>
        <v>-2.8878867994042635E-2</v>
      </c>
      <c r="CN260" s="87">
        <f t="shared" si="2284"/>
        <v>-3.0321267169712826E-2</v>
      </c>
      <c r="CO260" s="87">
        <f t="shared" si="2284"/>
        <v>-3.0873787408704129E-2</v>
      </c>
      <c r="CP260" s="87">
        <f t="shared" si="2284"/>
        <v>-3.1982131655179914E-2</v>
      </c>
      <c r="CQ260" s="87">
        <f t="shared" si="2284"/>
        <v>-2.8187859676516998E-2</v>
      </c>
      <c r="CR260" s="87">
        <f t="shared" si="2284"/>
        <v>-2.953849577954646E-2</v>
      </c>
      <c r="CS260" s="87">
        <f t="shared" si="2284"/>
        <v>-3.0605483328152515E-2</v>
      </c>
      <c r="CT260" s="87">
        <f t="shared" si="2284"/>
        <v>-3.1947757669475649E-2</v>
      </c>
      <c r="CU260" s="87">
        <f t="shared" si="2284"/>
        <v>-2.6717445453899941E-2</v>
      </c>
      <c r="CV260" s="87">
        <f t="shared" si="2284"/>
        <v>-2.8714757417642782E-2</v>
      </c>
      <c r="CW260" s="87">
        <f t="shared" si="2284"/>
        <v>-3.068559983356622E-2</v>
      </c>
      <c r="CX260" s="87">
        <f t="shared" ref="CX260:DB260" si="2286">CX44/CX16</f>
        <v>-3.2689721163902549E-2</v>
      </c>
      <c r="CY260" s="87">
        <f t="shared" si="2286"/>
        <v>-3.537939135038666E-2</v>
      </c>
      <c r="CZ260" s="87">
        <f t="shared" si="2286"/>
        <v>-3.7756073437704214E-2</v>
      </c>
      <c r="DA260" s="87">
        <f t="shared" si="2286"/>
        <v>-3.9996681534108715E-2</v>
      </c>
      <c r="DB260" s="87">
        <f t="shared" si="2286"/>
        <v>-4.2326030788963083E-2</v>
      </c>
      <c r="DE260" s="141"/>
      <c r="DF260" s="86">
        <v>-4.6001622500666119E-2</v>
      </c>
    </row>
    <row r="261" spans="1:110" s="86" customFormat="1" x14ac:dyDescent="0.2">
      <c r="A261" s="86" t="s">
        <v>433</v>
      </c>
      <c r="B261" s="86">
        <f>B40/B16</f>
        <v>3.3488274131127309E-2</v>
      </c>
      <c r="C261" s="86">
        <f>C40/C16</f>
        <v>2.3523493448705149E-2</v>
      </c>
      <c r="D261" s="86">
        <f>D40/D16</f>
        <v>3.115394405866204E-2</v>
      </c>
      <c r="F261" s="86">
        <f t="shared" ref="F261:AE261" si="2287">F40/F16</f>
        <v>2.7011853111845573E-2</v>
      </c>
      <c r="G261" s="86">
        <f t="shared" si="2287"/>
        <v>2.8576363631733919E-2</v>
      </c>
      <c r="H261" s="86">
        <f t="shared" si="2287"/>
        <v>2.8240080788925939E-2</v>
      </c>
      <c r="I261" s="86">
        <f t="shared" si="2287"/>
        <v>3.3434930202627423E-2</v>
      </c>
      <c r="J261" s="86">
        <f t="shared" si="2287"/>
        <v>3.8038303468487217E-2</v>
      </c>
      <c r="K261" s="86">
        <f t="shared" si="2287"/>
        <v>4.2719667158286581E-2</v>
      </c>
      <c r="L261" s="86">
        <f t="shared" si="2287"/>
        <v>4.1366282033280175E-2</v>
      </c>
      <c r="M261" s="86">
        <f t="shared" si="2287"/>
        <v>3.8089693960023568E-2</v>
      </c>
      <c r="N261" s="86">
        <f t="shared" si="2287"/>
        <v>3.8163743149111619E-2</v>
      </c>
      <c r="O261" s="86">
        <f t="shared" si="2287"/>
        <v>4.5156486496846809E-2</v>
      </c>
      <c r="P261" s="86">
        <f t="shared" si="2287"/>
        <v>3.0065536764668659E-2</v>
      </c>
      <c r="Q261" s="86">
        <f t="shared" si="2287"/>
        <v>2.1023132216232775E-2</v>
      </c>
      <c r="R261" s="86">
        <f t="shared" si="2287"/>
        <v>2.175788602440952E-2</v>
      </c>
      <c r="S261" s="86">
        <f t="shared" si="2287"/>
        <v>1.8289390681856792E-2</v>
      </c>
      <c r="T261" s="86">
        <f t="shared" si="2287"/>
        <v>1.571545080578279E-2</v>
      </c>
      <c r="U261" s="86">
        <f t="shared" si="2287"/>
        <v>2.696718299300983E-2</v>
      </c>
      <c r="V261" s="86">
        <f t="shared" si="2287"/>
        <v>2.4302858068765837E-2</v>
      </c>
      <c r="W261" s="86">
        <f t="shared" si="2287"/>
        <v>2.2395789993780151E-2</v>
      </c>
      <c r="X261" s="86">
        <f t="shared" si="2287"/>
        <v>2.5881393350287663E-2</v>
      </c>
      <c r="Y261" s="86">
        <f t="shared" si="2287"/>
        <v>2.7996993479180766E-2</v>
      </c>
      <c r="Z261" s="86">
        <f t="shared" si="2287"/>
        <v>2.812267140653555E-2</v>
      </c>
      <c r="AA261" s="86">
        <f t="shared" ref="AA261" si="2288">AA40/AA16</f>
        <v>2.4963833596940373E-2</v>
      </c>
      <c r="AB261" s="87">
        <f t="shared" si="2287"/>
        <v>2.2860942251076471E-2</v>
      </c>
      <c r="AC261" s="87">
        <f t="shared" si="2287"/>
        <v>2.9932879623176159E-2</v>
      </c>
      <c r="AD261" s="87">
        <f t="shared" si="2287"/>
        <v>2.5213286174782547E-2</v>
      </c>
      <c r="AE261" s="87">
        <f t="shared" si="2287"/>
        <v>1.3555867481554372E-2</v>
      </c>
      <c r="AL261" s="86">
        <f t="shared" ref="AL261:CW261" si="2289">AL40/AL16</f>
        <v>3.5990503695726664E-2</v>
      </c>
      <c r="AM261" s="86">
        <f t="shared" si="2289"/>
        <v>3.3249987007212441E-2</v>
      </c>
      <c r="AN261" s="86">
        <f t="shared" si="2289"/>
        <v>4.3617413275780385E-2</v>
      </c>
      <c r="AO261" s="86">
        <f t="shared" si="2289"/>
        <v>4.6296527635504167E-2</v>
      </c>
      <c r="AP261" s="86">
        <f t="shared" si="2289"/>
        <v>5.5210170244753429E-2</v>
      </c>
      <c r="AQ261" s="86">
        <f t="shared" si="2289"/>
        <v>4.7023669104348513E-2</v>
      </c>
      <c r="AR261" s="86">
        <f t="shared" si="2289"/>
        <v>3.8264451168867751E-2</v>
      </c>
      <c r="AS261" s="86">
        <f t="shared" si="2289"/>
        <v>3.2873261184629347E-2</v>
      </c>
      <c r="AT261" s="86">
        <f t="shared" si="2289"/>
        <v>6.0879641640291249E-3</v>
      </c>
      <c r="AU261" s="86">
        <f t="shared" si="2289"/>
        <v>2.1644950538146607E-2</v>
      </c>
      <c r="AV261" s="86">
        <f t="shared" si="2289"/>
        <v>2.1558230738304925E-2</v>
      </c>
      <c r="AW261" s="86">
        <f t="shared" si="2289"/>
        <v>2.0884794308127338E-2</v>
      </c>
      <c r="AX261" s="86">
        <f t="shared" si="2289"/>
        <v>2.015975397343784E-2</v>
      </c>
      <c r="AY261" s="86">
        <f t="shared" si="2289"/>
        <v>2.2798484382446686E-2</v>
      </c>
      <c r="AZ261" s="86">
        <f t="shared" si="2289"/>
        <v>2.110986200685035E-2</v>
      </c>
      <c r="BA261" s="86">
        <f t="shared" si="2289"/>
        <v>2.2340408386920016E-2</v>
      </c>
      <c r="BB261" s="86">
        <f t="shared" si="2289"/>
        <v>2.0865634852919139E-2</v>
      </c>
      <c r="BC261" s="86">
        <f t="shared" si="2289"/>
        <v>2.0050737864678401E-2</v>
      </c>
      <c r="BD261" s="86">
        <f t="shared" si="2289"/>
        <v>1.8842392606837857E-2</v>
      </c>
      <c r="BE261" s="86">
        <f t="shared" si="2289"/>
        <v>1.8189132246712356E-2</v>
      </c>
      <c r="BF261" s="86">
        <f t="shared" si="2289"/>
        <v>1.6362260773198075E-2</v>
      </c>
      <c r="BG261" s="86">
        <f t="shared" si="2289"/>
        <v>1.5977593675972096E-2</v>
      </c>
      <c r="BH261" s="86">
        <f t="shared" si="2289"/>
        <v>1.5102387383808692E-2</v>
      </c>
      <c r="BI261" s="86">
        <f t="shared" si="2289"/>
        <v>1.5274846502165798E-2</v>
      </c>
      <c r="BJ261" s="86">
        <f t="shared" si="2289"/>
        <v>1.65192148189107E-2</v>
      </c>
      <c r="BK261" s="86">
        <f t="shared" si="2289"/>
        <v>2.8882253739183322E-2</v>
      </c>
      <c r="BL261" s="86">
        <f t="shared" si="2289"/>
        <v>2.8406513800226529E-2</v>
      </c>
      <c r="BM261" s="86">
        <f t="shared" si="2289"/>
        <v>2.6490300823261023E-2</v>
      </c>
      <c r="BN261" s="86">
        <f t="shared" si="2289"/>
        <v>2.4580470966198437E-2</v>
      </c>
      <c r="BO261" s="86">
        <f t="shared" si="2289"/>
        <v>2.7027027027027025E-2</v>
      </c>
      <c r="BP261" s="86">
        <f t="shared" si="2289"/>
        <v>2.6049621204196394E-2</v>
      </c>
      <c r="BQ261" s="86">
        <f t="shared" si="2289"/>
        <v>2.31671966078177E-2</v>
      </c>
      <c r="BR261" s="86">
        <f t="shared" si="2289"/>
        <v>2.1794149646216409E-2</v>
      </c>
      <c r="BS261" s="86">
        <f t="shared" si="2289"/>
        <v>2.1342752133200551E-2</v>
      </c>
      <c r="BT261" s="86">
        <f t="shared" si="2289"/>
        <v>2.2671421444540936E-2</v>
      </c>
      <c r="BU261" s="86">
        <f t="shared" si="2289"/>
        <v>2.2095865208927104E-2</v>
      </c>
      <c r="BV261" s="86">
        <f t="shared" si="2289"/>
        <v>2.3296305477609466E-2</v>
      </c>
      <c r="BW261" s="86">
        <f t="shared" si="2289"/>
        <v>2.3547677399712627E-2</v>
      </c>
      <c r="BX261" s="86">
        <f t="shared" si="2289"/>
        <v>2.8549302843006351E-2</v>
      </c>
      <c r="BY261" s="86">
        <f t="shared" si="2289"/>
        <v>2.6206277522400068E-2</v>
      </c>
      <c r="BZ261" s="86">
        <f t="shared" si="2289"/>
        <v>2.5156339507351539E-2</v>
      </c>
      <c r="CA261" s="86">
        <f t="shared" si="2289"/>
        <v>2.5180177637273718E-2</v>
      </c>
      <c r="CB261" s="86">
        <f t="shared" si="2289"/>
        <v>2.836458742108976E-2</v>
      </c>
      <c r="CC261" s="86">
        <f t="shared" si="2289"/>
        <v>2.7837542508310244E-2</v>
      </c>
      <c r="CD261" s="86">
        <f t="shared" si="2289"/>
        <v>3.0443416418030715E-2</v>
      </c>
      <c r="CE261" s="86">
        <f t="shared" si="2289"/>
        <v>2.9209189868908903E-2</v>
      </c>
      <c r="CF261" s="86">
        <f t="shared" si="2289"/>
        <v>2.8431994605721371E-2</v>
      </c>
      <c r="CG261" s="86">
        <f t="shared" si="2289"/>
        <v>2.7648852019493783E-2</v>
      </c>
      <c r="CH261" s="86">
        <f t="shared" si="2289"/>
        <v>2.7179369748639267E-2</v>
      </c>
      <c r="CI261" s="86">
        <f t="shared" si="2289"/>
        <v>2.7207834134442929E-2</v>
      </c>
      <c r="CJ261" s="86">
        <f t="shared" si="2289"/>
        <v>2.5538556718098859E-2</v>
      </c>
      <c r="CK261" s="86">
        <f t="shared" si="2289"/>
        <v>2.3919897134059238E-2</v>
      </c>
      <c r="CL261" s="86">
        <f t="shared" ref="CL261" si="2290">CL40/CL16</f>
        <v>2.3420353790838955E-2</v>
      </c>
      <c r="CM261" s="87">
        <f t="shared" si="2289"/>
        <v>1.8403218540519697E-2</v>
      </c>
      <c r="CN261" s="87">
        <f t="shared" si="2289"/>
        <v>2.1777267551010084E-2</v>
      </c>
      <c r="CO261" s="87">
        <f t="shared" si="2289"/>
        <v>2.4314279784208487E-2</v>
      </c>
      <c r="CP261" s="87">
        <f t="shared" si="2289"/>
        <v>2.637716641449421E-2</v>
      </c>
      <c r="CQ261" s="87">
        <f t="shared" si="2289"/>
        <v>2.866745277634657E-2</v>
      </c>
      <c r="CR261" s="87">
        <f t="shared" si="2289"/>
        <v>2.9646886079957861E-2</v>
      </c>
      <c r="CS261" s="87">
        <f t="shared" si="2289"/>
        <v>3.0367999866953148E-2</v>
      </c>
      <c r="CT261" s="87">
        <f t="shared" si="2289"/>
        <v>3.0919982009698907E-2</v>
      </c>
      <c r="CU261" s="87">
        <f t="shared" si="2289"/>
        <v>3.1786415361963687E-2</v>
      </c>
      <c r="CV261" s="87">
        <f t="shared" si="2289"/>
        <v>2.6973251860987698E-2</v>
      </c>
      <c r="CW261" s="87">
        <f t="shared" si="2289"/>
        <v>2.2921651594074534E-2</v>
      </c>
      <c r="CX261" s="87">
        <f t="shared" ref="CX261:DB261" si="2291">CX40/CX16</f>
        <v>1.949519224168007E-2</v>
      </c>
      <c r="CY261" s="87">
        <f t="shared" si="2291"/>
        <v>1.6913229892697008E-2</v>
      </c>
      <c r="CZ261" s="87">
        <f t="shared" si="2291"/>
        <v>1.4447436966076834E-2</v>
      </c>
      <c r="DA261" s="87">
        <f t="shared" si="2291"/>
        <v>1.2361284177071469E-2</v>
      </c>
      <c r="DB261" s="87">
        <f t="shared" si="2291"/>
        <v>1.0594301660437245E-2</v>
      </c>
      <c r="DE261" s="141"/>
      <c r="DF261" s="86">
        <v>2.1506552213478011E-2</v>
      </c>
    </row>
    <row r="262" spans="1:110" s="85" customFormat="1" x14ac:dyDescent="0.2">
      <c r="AB262" s="58"/>
      <c r="AC262" s="58"/>
      <c r="AD262" s="58"/>
      <c r="AE262" s="58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E262" s="143"/>
    </row>
  </sheetData>
  <sortState xmlns:xlrd2="http://schemas.microsoft.com/office/spreadsheetml/2017/richdata2" ref="A28:DE33">
    <sortCondition ref="A28:A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100408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Elxsi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146.197</v>
      </c>
      <c r="D6">
        <f>_xll.EQNXTDZ($A$1,$B6,D$1,$B$1)</f>
        <v>155.36500000000001</v>
      </c>
      <c r="E6">
        <f>_xll.EQNXTDZ($A$1,$B6,E$1,$B$1)</f>
        <v>156.678</v>
      </c>
      <c r="F6">
        <f>_xll.EQNXTDZ($A$1,$B6,F$1,$B$1)</f>
        <v>163.43199999999999</v>
      </c>
      <c r="G6">
        <f>_xll.EQNXTDZ($A$1,$B6,G$1,$B$1)</f>
        <v>173.173</v>
      </c>
      <c r="H6">
        <f>_xll.EQNXTDZ($A$1,$B6,H$1,$B$1)</f>
        <v>189.97</v>
      </c>
      <c r="I6">
        <f>_xll.EQNXTDZ($A$1,$B6,I$1,$B$1)</f>
        <v>200.12299999999999</v>
      </c>
      <c r="J6">
        <f>_xll.EQNXTDZ($A$1,$B6,J$1,$B$1)</f>
        <v>211.51900000000001</v>
      </c>
      <c r="K6">
        <f>_xll.EQNXTDZ($A$1,$B6,K$1,$B$1)</f>
        <v>190.755</v>
      </c>
      <c r="L6">
        <f>_xll.EQNXTDZ($A$1,$B6,L$1,$B$1)</f>
        <v>205.88300000000001</v>
      </c>
      <c r="M6">
        <f>_xll.EQNXTDZ($A$1,$B6,M$1,$B$1)</f>
        <v>221.48699999999999</v>
      </c>
      <c r="N6">
        <f>_xll.EQNXTDZ($A$1,$B6,N$1,$B$1)</f>
        <v>231.27600000000001</v>
      </c>
      <c r="O6">
        <f>_xll.EQNXTDZ($A$1,$B6,O$1,$B$1)</f>
        <v>243.52099999999999</v>
      </c>
      <c r="P6">
        <f>_xll.EQNXTDZ($A$1,$B6,P$1,$B$1)</f>
        <v>263.65800000000002</v>
      </c>
      <c r="Q6">
        <f>_xll.EQNXTDZ($A$1,$B6,Q$1,$B$1)</f>
        <v>274.07499999999999</v>
      </c>
      <c r="R6">
        <f>_xll.EQNXTDZ($A$1,$B6,R$1,$B$1)</f>
        <v>293.952</v>
      </c>
      <c r="S6">
        <f>_xll.EQNXTDZ($A$1,$B6,S$1,$B$1)</f>
        <v>295.85300000000001</v>
      </c>
      <c r="T6">
        <f>_xll.EQNXTDZ($A$1,$B6,T$1,$B$1)</f>
        <v>304.21800000000002</v>
      </c>
      <c r="U6">
        <f>_xll.EQNXTDZ($A$1,$B6,U$1,$B$1)</f>
        <v>310.245</v>
      </c>
      <c r="V6">
        <f>_xll.EQNXTDZ($A$1,$B6,V$1,$B$1)</f>
        <v>326.99700000000001</v>
      </c>
      <c r="W6">
        <f>_xll.EQNXTDZ($A$1,$B6,W$1,$B$1)</f>
        <v>323.23</v>
      </c>
      <c r="X6">
        <f>_xll.EQNXTDZ($A$1,$B6,X$1,$B$1)</f>
        <v>342.154</v>
      </c>
      <c r="Y6">
        <f>_xll.EQNXTDZ($A$1,$B6,Y$1,$B$1)</f>
        <v>345.536</v>
      </c>
      <c r="Z6">
        <f>_xll.EQNXTDZ($A$1,$B6,Z$1,$B$1)</f>
        <v>375.37599999999998</v>
      </c>
      <c r="AA6">
        <f>_xll.EQNXTDZ($A$1,$B6,AA$1,$B$1)</f>
        <v>382.03500000000003</v>
      </c>
      <c r="AB6">
        <f>_xll.EQNXTDZ($A$1,$B6,AB$1,$B$1)</f>
        <v>402.78399999999999</v>
      </c>
      <c r="AC6">
        <f>_xll.EQNXTDZ($A$1,$B6,AC$1,$B$1)</f>
        <v>407.00900000000001</v>
      </c>
      <c r="AD6">
        <f>_xll.EQNXTDZ($A$1,$B6,AD$1,$B$1)</f>
        <v>405.10399999999998</v>
      </c>
      <c r="AE6">
        <f>_xll.EQNXTDZ($A$1,$B6,AE$1,$B$1)</f>
        <v>361.71</v>
      </c>
      <c r="AF6">
        <f>_xll.EQNXTDZ($A$1,$B6,AF$1,$B$1)</f>
        <v>385.827</v>
      </c>
      <c r="AG6">
        <f>_xll.EQNXTDZ($A$1,$B6,AG$1,$B$1)</f>
        <v>423.43799999999999</v>
      </c>
      <c r="AH6">
        <f>_xll.EQNXTDZ($A$1,$B6,AH$1,$B$1)</f>
        <v>438.88499999999999</v>
      </c>
      <c r="AI6">
        <f>_xll.EQNXTDZ($A$1,$B6,AI$1,$B$1)</f>
        <v>400.488</v>
      </c>
      <c r="AJ6">
        <f>_xll.EQNXTDZ($A$1,$B6,AJ$1,$B$1)</f>
        <v>430.17899999999997</v>
      </c>
      <c r="AK6">
        <f>_xll.EQNXTDZ($A$1,$B6,AK$1,$B$1)</f>
        <v>477.09699999999998</v>
      </c>
      <c r="AL6">
        <f>_xll.EQNXTDZ($A$1,$B6,AL$1,$B$1)</f>
        <v>518.39599999999996</v>
      </c>
      <c r="AM6">
        <f>_xll.EQNXTDZ($A$1,$B6,AM$1,$B$1)</f>
        <v>558.31600000000003</v>
      </c>
      <c r="AN6">
        <f>_xll.EQNXTDZ($A$1,$B6,AN$1,$B$1)</f>
        <v>595.33100000000002</v>
      </c>
      <c r="AO6">
        <f>_xll.EQNXTDZ($A$1,$B6,AO$1,$B$1)</f>
        <v>635.41300000000001</v>
      </c>
      <c r="AP6">
        <f>_xll.EQNXTDZ($A$1,$B6,AP$1,$B$1)</f>
        <v>681.73900000000003</v>
      </c>
      <c r="AQ6">
        <f>_xll.EQNXTDZ($A$1,$B6,AQ$1,$B$1)</f>
        <v>725.88900000000001</v>
      </c>
      <c r="AR6">
        <f>_xll.EQNXTDZ($A$1,$B6,AR$1,$B$1)</f>
        <v>763.17100000000005</v>
      </c>
      <c r="AS6">
        <f>_xll.EQNXTDZ($A$1,$B6,AS$1,$B$1)</f>
        <v>817.74300000000005</v>
      </c>
      <c r="AT6">
        <f>_xll.EQNXTDZ($A$1,$B6,AT$1,$B$1)</f>
        <v>837.92</v>
      </c>
      <c r="AU6">
        <f>_xll.EQNXTDZ($A$1,$B6,AU$1,$B$1)</f>
        <v>850.27200000000005</v>
      </c>
      <c r="AV6">
        <f>_xll.EQNXTDZ($A$1,$B6,AV$1,$B$1)</f>
        <v>881.69799999999998</v>
      </c>
      <c r="AW6">
        <f>_xll.EQNXTDZ($A$1,$B6,AW$1,$B$1)</f>
        <v>914.23299999999995</v>
      </c>
      <c r="AX6">
        <f>_xll.EQNXTDZ($A$1,$B6,AX$1,$B$1)</f>
        <v>905.94299999999998</v>
      </c>
      <c r="AY6">
        <f>_xll.EQNXTDZ($A$1,$B6,AY$1,$B$1)</f>
        <v>926.45500000000004</v>
      </c>
      <c r="AZ6">
        <f>_xll.EQNXTDZ($A$1,$B6,AZ$1,$B$1)</f>
        <v>955.08600000000001</v>
      </c>
      <c r="BA6">
        <f>_xll.EQNXTDZ($A$1,$B6,BA$1,$B$1)</f>
        <v>939.17100000000005</v>
      </c>
      <c r="BB6">
        <f>_xll.EQNXTDZ($A$1,$B6,BB$1,$B$1)</f>
        <v>908.33600000000001</v>
      </c>
      <c r="BC6">
        <f>_xll.EQNXTDZ($A$1,$B6,BC$1,$B$1)</f>
        <v>892.096</v>
      </c>
      <c r="BD6">
        <f>_xll.EQNXTDZ($A$1,$B6,BD$1,$B$1)</f>
        <v>918.10199999999998</v>
      </c>
      <c r="BE6">
        <f>_xll.EQNXTDZ($A$1,$B6,BE$1,$B$1)</f>
        <v>953.47400000000005</v>
      </c>
      <c r="BF6">
        <f>_xll.EQNXTDZ($A$1,$B6,BF$1,$B$1)</f>
        <v>993.75099999999998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146.197</v>
      </c>
      <c r="D9">
        <f>_xll.EQNXTDZ($A$1,$B9,D$1,$B$1)</f>
        <v>155.36500000000001</v>
      </c>
      <c r="E9">
        <f>_xll.EQNXTDZ($A$1,$B9,E$1,$B$1)</f>
        <v>156.678</v>
      </c>
      <c r="F9">
        <f>_xll.EQNXTDZ($A$1,$B9,F$1,$B$1)</f>
        <v>163.43199999999999</v>
      </c>
      <c r="G9">
        <f>_xll.EQNXTDZ($A$1,$B9,G$1,$B$1)</f>
        <v>173.173</v>
      </c>
      <c r="H9">
        <f>_xll.EQNXTDZ($A$1,$B9,H$1,$B$1)</f>
        <v>189.97</v>
      </c>
      <c r="I9">
        <f>_xll.EQNXTDZ($A$1,$B9,I$1,$B$1)</f>
        <v>200.12299999999999</v>
      </c>
      <c r="J9">
        <f>_xll.EQNXTDZ($A$1,$B9,J$1,$B$1)</f>
        <v>211.51900000000001</v>
      </c>
      <c r="K9">
        <f>_xll.EQNXTDZ($A$1,$B9,K$1,$B$1)</f>
        <v>190.755</v>
      </c>
      <c r="L9">
        <f>_xll.EQNXTDZ($A$1,$B9,L$1,$B$1)</f>
        <v>205.88300000000001</v>
      </c>
      <c r="M9">
        <f>_xll.EQNXTDZ($A$1,$B9,M$1,$B$1)</f>
        <v>221.48699999999999</v>
      </c>
      <c r="N9">
        <f>_xll.EQNXTDZ($A$1,$B9,N$1,$B$1)</f>
        <v>231.27600000000001</v>
      </c>
      <c r="O9">
        <f>_xll.EQNXTDZ($A$1,$B9,O$1,$B$1)</f>
        <v>243.52099999999999</v>
      </c>
      <c r="P9">
        <f>_xll.EQNXTDZ($A$1,$B9,P$1,$B$1)</f>
        <v>263.65800000000002</v>
      </c>
      <c r="Q9">
        <f>_xll.EQNXTDZ($A$1,$B9,Q$1,$B$1)</f>
        <v>274.07499999999999</v>
      </c>
      <c r="R9">
        <f>_xll.EQNXTDZ($A$1,$B9,R$1,$B$1)</f>
        <v>293.952</v>
      </c>
      <c r="S9">
        <f>_xll.EQNXTDZ($A$1,$B9,S$1,$B$1)</f>
        <v>295.85300000000001</v>
      </c>
      <c r="T9">
        <f>_xll.EQNXTDZ($A$1,$B9,T$1,$B$1)</f>
        <v>304.21800000000002</v>
      </c>
      <c r="U9">
        <f>_xll.EQNXTDZ($A$1,$B9,U$1,$B$1)</f>
        <v>310.245</v>
      </c>
      <c r="V9">
        <f>_xll.EQNXTDZ($A$1,$B9,V$1,$B$1)</f>
        <v>326.99700000000001</v>
      </c>
      <c r="W9">
        <f>_xll.EQNXTDZ($A$1,$B9,W$1,$B$1)</f>
        <v>323.23</v>
      </c>
      <c r="X9">
        <f>_xll.EQNXTDZ($A$1,$B9,X$1,$B$1)</f>
        <v>342.154</v>
      </c>
      <c r="Y9">
        <f>_xll.EQNXTDZ($A$1,$B9,Y$1,$B$1)</f>
        <v>345.536</v>
      </c>
      <c r="Z9">
        <f>_xll.EQNXTDZ($A$1,$B9,Z$1,$B$1)</f>
        <v>375.37599999999998</v>
      </c>
      <c r="AA9">
        <f>_xll.EQNXTDZ($A$1,$B9,AA$1,$B$1)</f>
        <v>382.03500000000003</v>
      </c>
      <c r="AB9">
        <f>_xll.EQNXTDZ($A$1,$B9,AB$1,$B$1)</f>
        <v>402.78399999999999</v>
      </c>
      <c r="AC9">
        <f>_xll.EQNXTDZ($A$1,$B9,AC$1,$B$1)</f>
        <v>407.00900000000001</v>
      </c>
      <c r="AD9">
        <f>_xll.EQNXTDZ($A$1,$B9,AD$1,$B$1)</f>
        <v>405.10399999999998</v>
      </c>
      <c r="AE9">
        <f>_xll.EQNXTDZ($A$1,$B9,AE$1,$B$1)</f>
        <v>361.71</v>
      </c>
      <c r="AF9">
        <f>_xll.EQNXTDZ($A$1,$B9,AF$1,$B$1)</f>
        <v>385.827</v>
      </c>
      <c r="AG9">
        <f>_xll.EQNXTDZ($A$1,$B9,AG$1,$B$1)</f>
        <v>423.43799999999999</v>
      </c>
      <c r="AH9">
        <f>_xll.EQNXTDZ($A$1,$B9,AH$1,$B$1)</f>
        <v>438.88499999999999</v>
      </c>
      <c r="AI9">
        <f>_xll.EQNXTDZ($A$1,$B9,AI$1,$B$1)</f>
        <v>400.488</v>
      </c>
      <c r="AJ9">
        <f>_xll.EQNXTDZ($A$1,$B9,AJ$1,$B$1)</f>
        <v>430.17899999999997</v>
      </c>
      <c r="AK9">
        <f>_xll.EQNXTDZ($A$1,$B9,AK$1,$B$1)</f>
        <v>477.09699999999998</v>
      </c>
      <c r="AL9">
        <f>_xll.EQNXTDZ($A$1,$B9,AL$1,$B$1)</f>
        <v>518.39599999999996</v>
      </c>
      <c r="AM9">
        <f>_xll.EQNXTDZ($A$1,$B9,AM$1,$B$1)</f>
        <v>558.31600000000003</v>
      </c>
      <c r="AN9">
        <f>_xll.EQNXTDZ($A$1,$B9,AN$1,$B$1)</f>
        <v>595.33100000000002</v>
      </c>
      <c r="AO9">
        <f>_xll.EQNXTDZ($A$1,$B9,AO$1,$B$1)</f>
        <v>635.41300000000001</v>
      </c>
      <c r="AP9">
        <f>_xll.EQNXTDZ($A$1,$B9,AP$1,$B$1)</f>
        <v>681.73900000000003</v>
      </c>
      <c r="AQ9">
        <f>_xll.EQNXTDZ($A$1,$B9,AQ$1,$B$1)</f>
        <v>725.88900000000001</v>
      </c>
      <c r="AR9">
        <f>_xll.EQNXTDZ($A$1,$B9,AR$1,$B$1)</f>
        <v>763.17100000000005</v>
      </c>
      <c r="AS9">
        <f>_xll.EQNXTDZ($A$1,$B9,AS$1,$B$1)</f>
        <v>817.74300000000005</v>
      </c>
      <c r="AT9">
        <f>_xll.EQNXTDZ($A$1,$B9,AT$1,$B$1)</f>
        <v>837.92</v>
      </c>
      <c r="AU9">
        <f>_xll.EQNXTDZ($A$1,$B9,AU$1,$B$1)</f>
        <v>850.27200000000005</v>
      </c>
      <c r="AV9">
        <f>_xll.EQNXTDZ($A$1,$B9,AV$1,$B$1)</f>
        <v>881.69799999999998</v>
      </c>
      <c r="AW9">
        <f>_xll.EQNXTDZ($A$1,$B9,AW$1,$B$1)</f>
        <v>914.23299999999995</v>
      </c>
      <c r="AX9">
        <f>_xll.EQNXTDZ($A$1,$B9,AX$1,$B$1)</f>
        <v>905.94299999999998</v>
      </c>
      <c r="AY9">
        <f>_xll.EQNXTDZ($A$1,$B9,AY$1,$B$1)</f>
        <v>926.45500000000004</v>
      </c>
      <c r="AZ9">
        <f>_xll.EQNXTDZ($A$1,$B9,AZ$1,$B$1)</f>
        <v>955.08600000000001</v>
      </c>
      <c r="BA9">
        <f>_xll.EQNXTDZ($A$1,$B9,BA$1,$B$1)</f>
        <v>939.17100000000005</v>
      </c>
      <c r="BB9">
        <f>_xll.EQNXTDZ($A$1,$B9,BB$1,$B$1)</f>
        <v>908.33600000000001</v>
      </c>
      <c r="BC9">
        <f>_xll.EQNXTDZ($A$1,$B9,BC$1,$B$1)</f>
        <v>892.096</v>
      </c>
      <c r="BD9">
        <f>_xll.EQNXTDZ($A$1,$B9,BD$1,$B$1)</f>
        <v>918.10199999999998</v>
      </c>
      <c r="BE9">
        <f>_xll.EQNXTDZ($A$1,$B9,BE$1,$B$1)</f>
        <v>953.47400000000005</v>
      </c>
      <c r="BF9">
        <f>_xll.EQNXTDZ($A$1,$B9,BF$1,$B$1)</f>
        <v>993.75099999999998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1.2E-2</v>
      </c>
      <c r="D10">
        <f>_xll.EQNXTDZ($A$1,$B10,D$1,$B$1)</f>
        <v>-6.0000000000000001E-3</v>
      </c>
      <c r="E10">
        <f>_xll.EQNXTDZ($A$1,$B10,E$1,$B$1)</f>
        <v>-0.63200000000000001</v>
      </c>
      <c r="F10">
        <f>_xll.EQNXTDZ($A$1,$B10,F$1,$B$1)</f>
        <v>0.33500000000000002</v>
      </c>
      <c r="G10">
        <f>_xll.EQNXTDZ($A$1,$B10,G$1,$B$1)</f>
        <v>0.19900000000000001</v>
      </c>
      <c r="H10">
        <f>_xll.EQNXTDZ($A$1,$B10,H$1,$B$1)</f>
        <v>-0.2</v>
      </c>
      <c r="I10">
        <f>_xll.EQNXTDZ($A$1,$B10,I$1,$B$1)</f>
        <v>0.08</v>
      </c>
      <c r="J10">
        <f>_xll.EQNXTDZ($A$1,$B10,J$1,$B$1)</f>
        <v>0.23300000000000001</v>
      </c>
      <c r="K10">
        <f>_xll.EQNXTDZ($A$1,$B10,K$1,$B$1)</f>
        <v>0</v>
      </c>
      <c r="L10">
        <f>_xll.EQNXTDZ($A$1,$B10,L$1,$B$1)</f>
        <v>-5.2999999999999999E-2</v>
      </c>
      <c r="M10">
        <f>_xll.EQNXTDZ($A$1,$B10,M$1,$B$1)</f>
        <v>-0.129</v>
      </c>
      <c r="N10">
        <f>_xll.EQNXTDZ($A$1,$B10,N$1,$B$1)</f>
        <v>-0.107</v>
      </c>
      <c r="O10">
        <f>_xll.EQNXTDZ($A$1,$B10,O$1,$B$1)</f>
        <v>0.23300000000000001</v>
      </c>
      <c r="P10">
        <f>_xll.EQNXTDZ($A$1,$B10,P$1,$B$1)</f>
        <v>0</v>
      </c>
      <c r="Q10">
        <f>_xll.EQNXTDZ($A$1,$B10,Q$1,$B$1)</f>
        <v>5.5E-2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-5.0000000000000001E-3</v>
      </c>
      <c r="V10">
        <f>_xll.EQNXTDZ($A$1,$B10,V$1,$B$1)</f>
        <v>5.0000000000000001E-3</v>
      </c>
      <c r="W10">
        <f>_xll.EQNXTDZ($A$1,$B10,W$1,$B$1)</f>
        <v>-8.5999999999999993E-2</v>
      </c>
      <c r="X10">
        <f>_xll.EQNXTDZ($A$1,$B10,X$1,$B$1)</f>
        <v>8.5999999999999993E-2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-1.6619999999999999</v>
      </c>
      <c r="AE10">
        <f>_xll.EQNXTDZ($A$1,$B10,AE$1,$B$1)</f>
        <v>0.47299999999999998</v>
      </c>
      <c r="AF10">
        <f>_xll.EQNXTDZ($A$1,$B10,AF$1,$B$1)</f>
        <v>-0.154</v>
      </c>
      <c r="AG10">
        <f>_xll.EQNXTDZ($A$1,$B10,AG$1,$B$1)</f>
        <v>0.503</v>
      </c>
      <c r="AH10">
        <f>_xll.EQNXTDZ($A$1,$B10,AH$1,$B$1)</f>
        <v>-0.872</v>
      </c>
      <c r="AI10">
        <f>_xll.EQNXTDZ($A$1,$B10,AI$1,$B$1)</f>
        <v>0.90900000000000003</v>
      </c>
      <c r="AJ10">
        <f>_xll.EQNXTDZ($A$1,$B10,AJ$1,$B$1)</f>
        <v>0.80300000000000005</v>
      </c>
      <c r="AK10">
        <f>_xll.EQNXTDZ($A$1,$B10,AK$1,$B$1)</f>
        <v>0</v>
      </c>
      <c r="AL10">
        <f>_xll.EQNXTDZ($A$1,$B10,AL$1,$B$1)</f>
        <v>-6.3E-2</v>
      </c>
      <c r="AM10">
        <f>_xll.EQNXTDZ($A$1,$B10,AM$1,$B$1)</f>
        <v>6.3E-2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-0.56799999999999995</v>
      </c>
      <c r="AQ10">
        <f>_xll.EQNXTDZ($A$1,$B10,AQ$1,$B$1)</f>
        <v>0.56000000000000005</v>
      </c>
      <c r="AR10">
        <f>_xll.EQNXTDZ($A$1,$B10,AR$1,$B$1)</f>
        <v>-0.03</v>
      </c>
      <c r="AS10">
        <f>_xll.EQNXTDZ($A$1,$B10,AS$1,$B$1)</f>
        <v>-1.1040000000000001</v>
      </c>
      <c r="AT10">
        <f>_xll.EQNXTDZ($A$1,$B10,AT$1,$B$1)</f>
        <v>0.75600000000000001</v>
      </c>
      <c r="AU10">
        <f>_xll.EQNXTDZ($A$1,$B10,AU$1,$B$1)</f>
        <v>0.17499999999999999</v>
      </c>
      <c r="AV10">
        <f>_xll.EQNXTDZ($A$1,$B10,AV$1,$B$1)</f>
        <v>0</v>
      </c>
      <c r="AW10">
        <f>_xll.EQNXTDZ($A$1,$B10,AW$1,$B$1)</f>
        <v>0.21099999999999999</v>
      </c>
      <c r="AX10">
        <f>_xll.EQNXTDZ($A$1,$B10,AX$1,$B$1)</f>
        <v>-1.107</v>
      </c>
      <c r="AY10">
        <f>_xll.EQNXTDZ($A$1,$B10,AY$1,$B$1)</f>
        <v>1.107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21.436</v>
      </c>
      <c r="AI11">
        <f>_xll.EQNXTDZ($A$1,$B11,AI$1,$B$1)</f>
        <v>14.407999999999999</v>
      </c>
      <c r="AJ11">
        <f>_xll.EQNXTDZ($A$1,$B11,AJ$1,$B$1)</f>
        <v>18.260000000000002</v>
      </c>
      <c r="AK11">
        <f>_xll.EQNXTDZ($A$1,$B11,AK$1,$B$1)</f>
        <v>21.829000000000001</v>
      </c>
      <c r="AL11">
        <f>_xll.EQNXTDZ($A$1,$B11,AL$1,$B$1)</f>
        <v>30.895</v>
      </c>
      <c r="AM11">
        <f>_xll.EQNXTDZ($A$1,$B11,AM$1,$B$1)</f>
        <v>39.656999999999996</v>
      </c>
      <c r="AN11">
        <f>_xll.EQNXTDZ($A$1,$B11,AN$1,$B$1)</f>
        <v>30.312999999999999</v>
      </c>
      <c r="AO11">
        <f>_xll.EQNXTDZ($A$1,$B11,AO$1,$B$1)</f>
        <v>22.286999999999999</v>
      </c>
      <c r="AP11">
        <f>_xll.EQNXTDZ($A$1,$B11,AP$1,$B$1)</f>
        <v>34.445999999999998</v>
      </c>
      <c r="AQ11">
        <f>_xll.EQNXTDZ($A$1,$B11,AQ$1,$B$1)</f>
        <v>39.186</v>
      </c>
      <c r="AR11">
        <f>_xll.EQNXTDZ($A$1,$B11,AR$1,$B$1)</f>
        <v>41.6</v>
      </c>
      <c r="AS11">
        <f>_xll.EQNXTDZ($A$1,$B11,AS$1,$B$1)</f>
        <v>50.258000000000003</v>
      </c>
      <c r="AT11">
        <f>_xll.EQNXTDZ($A$1,$B11,AT$1,$B$1)</f>
        <v>55.072000000000003</v>
      </c>
      <c r="AU11">
        <f>_xll.EQNXTDZ($A$1,$B11,AU$1,$B$1)</f>
        <v>58.005000000000003</v>
      </c>
      <c r="AV11">
        <f>_xll.EQNXTDZ($A$1,$B11,AV$1,$B$1)</f>
        <v>49.857999999999997</v>
      </c>
      <c r="AW11">
        <f>_xll.EQNXTDZ($A$1,$B11,AW$1,$B$1)</f>
        <v>44.323999999999998</v>
      </c>
      <c r="AX11">
        <f>_xll.EQNXTDZ($A$1,$B11,AX$1,$B$1)</f>
        <v>41.878999999999998</v>
      </c>
      <c r="AY11">
        <f>_xll.EQNXTDZ($A$1,$B11,AY$1,$B$1)</f>
        <v>49.296999999999997</v>
      </c>
      <c r="AZ11">
        <f>_xll.EQNXTDZ($A$1,$B11,AZ$1,$B$1)</f>
        <v>59.19</v>
      </c>
      <c r="BA11">
        <f>_xll.EQNXTDZ($A$1,$B11,BA$1,$B$1)</f>
        <v>56.023000000000003</v>
      </c>
      <c r="BB11">
        <f>_xll.EQNXTDZ($A$1,$B11,BB$1,$B$1)</f>
        <v>74.152000000000001</v>
      </c>
      <c r="BC11">
        <f>_xll.EQNXTDZ($A$1,$B11,BC$1,$B$1)</f>
        <v>66.540000000000006</v>
      </c>
      <c r="BD11">
        <f>_xll.EQNXTDZ($A$1,$B11,BD$1,$B$1)</f>
        <v>72.36</v>
      </c>
      <c r="BE11">
        <f>_xll.EQNXTDZ($A$1,$B11,BE$1,$B$1)</f>
        <v>66.39</v>
      </c>
      <c r="BF11">
        <f>_xll.EQNXTDZ($A$1,$B11,BF$1,$B$1)</f>
        <v>70.478999999999999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14.545</v>
      </c>
      <c r="D12">
        <f>_xll.EQNXTDZ($A$1,$B12,D$1,$B$1)</f>
        <v>16.946000000000002</v>
      </c>
      <c r="E12">
        <f>_xll.EQNXTDZ($A$1,$B12,E$1,$B$1)</f>
        <v>14.137</v>
      </c>
      <c r="F12">
        <f>_xll.EQNXTDZ($A$1,$B12,F$1,$B$1)</f>
        <v>14.058999999999999</v>
      </c>
      <c r="G12">
        <f>_xll.EQNXTDZ($A$1,$B12,G$1,$B$1)</f>
        <v>25.067</v>
      </c>
      <c r="H12">
        <f>_xll.EQNXTDZ($A$1,$B12,H$1,$B$1)</f>
        <v>12.887</v>
      </c>
      <c r="I12">
        <f>_xll.EQNXTDZ($A$1,$B12,I$1,$B$1)</f>
        <v>13.340999999999999</v>
      </c>
      <c r="J12">
        <f>_xll.EQNXTDZ($A$1,$B12,J$1,$B$1)</f>
        <v>23.64</v>
      </c>
      <c r="K12">
        <f>_xll.EQNXTDZ($A$1,$B12,K$1,$B$1)</f>
        <v>15.96</v>
      </c>
      <c r="L12">
        <f>_xll.EQNXTDZ($A$1,$B12,L$1,$B$1)</f>
        <v>16.795999999999999</v>
      </c>
      <c r="M12">
        <f>_xll.EQNXTDZ($A$1,$B12,M$1,$B$1)</f>
        <v>19.391999999999999</v>
      </c>
      <c r="N12">
        <f>_xll.EQNXTDZ($A$1,$B12,N$1,$B$1)</f>
        <v>23.349</v>
      </c>
      <c r="O12">
        <f>_xll.EQNXTDZ($A$1,$B12,O$1,$B$1)</f>
        <v>16.837</v>
      </c>
      <c r="P12">
        <f>_xll.EQNXTDZ($A$1,$B12,P$1,$B$1)</f>
        <v>17.338000000000001</v>
      </c>
      <c r="Q12">
        <f>_xll.EQNXTDZ($A$1,$B12,Q$1,$B$1)</f>
        <v>14.167</v>
      </c>
      <c r="R12">
        <f>_xll.EQNXTDZ($A$1,$B12,R$1,$B$1)</f>
        <v>21.347999999999999</v>
      </c>
      <c r="S12">
        <f>_xll.EQNXTDZ($A$1,$B12,S$1,$B$1)</f>
        <v>17.974</v>
      </c>
      <c r="T12">
        <f>_xll.EQNXTDZ($A$1,$B12,T$1,$B$1)</f>
        <v>16.780999999999999</v>
      </c>
      <c r="U12">
        <f>_xll.EQNXTDZ($A$1,$B12,U$1,$B$1)</f>
        <v>15.397</v>
      </c>
      <c r="V12">
        <f>_xll.EQNXTDZ($A$1,$B12,V$1,$B$1)</f>
        <v>26.346</v>
      </c>
      <c r="W12">
        <f>_xll.EQNXTDZ($A$1,$B12,W$1,$B$1)</f>
        <v>19.212</v>
      </c>
      <c r="X12">
        <f>_xll.EQNXTDZ($A$1,$B12,X$1,$B$1)</f>
        <v>20.806999999999999</v>
      </c>
      <c r="Y12">
        <f>_xll.EQNXTDZ($A$1,$B12,Y$1,$B$1)</f>
        <v>15.334</v>
      </c>
      <c r="Z12">
        <f>_xll.EQNXTDZ($A$1,$B12,Z$1,$B$1)</f>
        <v>21.934000000000001</v>
      </c>
      <c r="AA12">
        <f>_xll.EQNXTDZ($A$1,$B12,AA$1,$B$1)</f>
        <v>22.843</v>
      </c>
      <c r="AB12">
        <f>_xll.EQNXTDZ($A$1,$B12,AB$1,$B$1)</f>
        <v>22.57</v>
      </c>
      <c r="AC12">
        <f>_xll.EQNXTDZ($A$1,$B12,AC$1,$B$1)</f>
        <v>23.163</v>
      </c>
      <c r="AD12">
        <f>_xll.EQNXTDZ($A$1,$B12,AD$1,$B$1)</f>
        <v>31.986999999999998</v>
      </c>
      <c r="AE12">
        <f>_xll.EQNXTDZ($A$1,$B12,AE$1,$B$1)</f>
        <v>14.78</v>
      </c>
      <c r="AF12">
        <f>_xll.EQNXTDZ($A$1,$B12,AF$1,$B$1)</f>
        <v>23.233000000000001</v>
      </c>
      <c r="AG12">
        <f>_xll.EQNXTDZ($A$1,$B12,AG$1,$B$1)</f>
        <v>21.675999999999998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32.078000000000003</v>
      </c>
      <c r="D14">
        <f>_xll.EQNXTDZ($A$1,$B14,D$1,$B$1)</f>
        <v>33.101999999999997</v>
      </c>
      <c r="E14">
        <f>_xll.EQNXTDZ($A$1,$B14,E$1,$B$1)</f>
        <v>36.892000000000003</v>
      </c>
      <c r="F14">
        <f>_xll.EQNXTDZ($A$1,$B14,F$1,$B$1)</f>
        <v>36.654000000000003</v>
      </c>
      <c r="G14">
        <f>_xll.EQNXTDZ($A$1,$B14,G$1,$B$1)</f>
        <v>40.58</v>
      </c>
      <c r="H14">
        <f>_xll.EQNXTDZ($A$1,$B14,H$1,$B$1)</f>
        <v>45.156999999999996</v>
      </c>
      <c r="I14">
        <f>_xll.EQNXTDZ($A$1,$B14,I$1,$B$1)</f>
        <v>38.79</v>
      </c>
      <c r="J14">
        <f>_xll.EQNXTDZ($A$1,$B14,J$1,$B$1)</f>
        <v>35.593000000000004</v>
      </c>
      <c r="K14">
        <f>_xll.EQNXTDZ($A$1,$B14,K$1,$B$1)</f>
        <v>31.084</v>
      </c>
      <c r="L14">
        <f>_xll.EQNXTDZ($A$1,$B14,L$1,$B$1)</f>
        <v>33.372</v>
      </c>
      <c r="M14">
        <f>_xll.EQNXTDZ($A$1,$B14,M$1,$B$1)</f>
        <v>34.244</v>
      </c>
      <c r="N14">
        <f>_xll.EQNXTDZ($A$1,$B14,N$1,$B$1)</f>
        <v>37.564999999999998</v>
      </c>
      <c r="O14">
        <f>_xll.EQNXTDZ($A$1,$B14,O$1,$B$1)</f>
        <v>45.011000000000003</v>
      </c>
      <c r="P14">
        <f>_xll.EQNXTDZ($A$1,$B14,P$1,$B$1)</f>
        <v>41.460999999999999</v>
      </c>
      <c r="Q14">
        <f>_xll.EQNXTDZ($A$1,$B14,Q$1,$B$1)</f>
        <v>46.158000000000001</v>
      </c>
      <c r="R14">
        <f>_xll.EQNXTDZ($A$1,$B14,R$1,$B$1)</f>
        <v>49.021999999999998</v>
      </c>
      <c r="S14">
        <f>_xll.EQNXTDZ($A$1,$B14,S$1,$B$1)</f>
        <v>52.457999999999998</v>
      </c>
      <c r="T14">
        <f>_xll.EQNXTDZ($A$1,$B14,T$1,$B$1)</f>
        <v>47.593000000000004</v>
      </c>
      <c r="U14">
        <f>_xll.EQNXTDZ($A$1,$B14,U$1,$B$1)</f>
        <v>51.222000000000001</v>
      </c>
      <c r="V14">
        <f>_xll.EQNXTDZ($A$1,$B14,V$1,$B$1)</f>
        <v>50.436</v>
      </c>
      <c r="W14">
        <f>_xll.EQNXTDZ($A$1,$B14,W$1,$B$1)</f>
        <v>51.432000000000002</v>
      </c>
      <c r="X14">
        <f>_xll.EQNXTDZ($A$1,$B14,X$1,$B$1)</f>
        <v>50.817999999999998</v>
      </c>
      <c r="Y14">
        <f>_xll.EQNXTDZ($A$1,$B14,Y$1,$B$1)</f>
        <v>52.793999999999997</v>
      </c>
      <c r="Z14">
        <f>_xll.EQNXTDZ($A$1,$B14,Z$1,$B$1)</f>
        <v>56.432000000000002</v>
      </c>
      <c r="AA14">
        <f>_xll.EQNXTDZ($A$1,$B14,AA$1,$B$1)</f>
        <v>56.457000000000001</v>
      </c>
      <c r="AB14">
        <f>_xll.EQNXTDZ($A$1,$B14,AB$1,$B$1)</f>
        <v>59.167000000000002</v>
      </c>
      <c r="AC14">
        <f>_xll.EQNXTDZ($A$1,$B14,AC$1,$B$1)</f>
        <v>62.451999999999998</v>
      </c>
      <c r="AD14">
        <f>_xll.EQNXTDZ($A$1,$B14,AD$1,$B$1)</f>
        <v>62.341000000000001</v>
      </c>
      <c r="AE14">
        <f>_xll.EQNXTDZ($A$1,$B14,AE$1,$B$1)</f>
        <v>59.088999999999999</v>
      </c>
      <c r="AF14">
        <f>_xll.EQNXTDZ($A$1,$B14,AF$1,$B$1)</f>
        <v>55.393999999999998</v>
      </c>
      <c r="AG14">
        <f>_xll.EQNXTDZ($A$1,$B14,AG$1,$B$1)</f>
        <v>64.501999999999995</v>
      </c>
      <c r="AH14">
        <f>_xll.EQNXTDZ($A$1,$B14,AH$1,$B$1)</f>
        <v>55.929000000000002</v>
      </c>
      <c r="AI14">
        <f>_xll.EQNXTDZ($A$1,$B14,AI$1,$B$1)</f>
        <v>41.497</v>
      </c>
      <c r="AJ14">
        <f>_xll.EQNXTDZ($A$1,$B14,AJ$1,$B$1)</f>
        <v>45.24</v>
      </c>
      <c r="AK14">
        <f>_xll.EQNXTDZ($A$1,$B14,AK$1,$B$1)</f>
        <v>48.82</v>
      </c>
      <c r="AL14">
        <f>_xll.EQNXTDZ($A$1,$B14,AL$1,$B$1)</f>
        <v>54.683999999999997</v>
      </c>
      <c r="AM14">
        <f>_xll.EQNXTDZ($A$1,$B14,AM$1,$B$1)</f>
        <v>65.721000000000004</v>
      </c>
      <c r="AN14">
        <f>_xll.EQNXTDZ($A$1,$B14,AN$1,$B$1)</f>
        <v>70.433000000000007</v>
      </c>
      <c r="AO14">
        <f>_xll.EQNXTDZ($A$1,$B14,AO$1,$B$1)</f>
        <v>72.777000000000001</v>
      </c>
      <c r="AP14">
        <f>_xll.EQNXTDZ($A$1,$B14,AP$1,$B$1)</f>
        <v>81.849000000000004</v>
      </c>
      <c r="AQ14">
        <f>_xll.EQNXTDZ($A$1,$B14,AQ$1,$B$1)</f>
        <v>82.31</v>
      </c>
      <c r="AR14">
        <f>_xll.EQNXTDZ($A$1,$B14,AR$1,$B$1)</f>
        <v>102.895</v>
      </c>
      <c r="AS14">
        <f>_xll.EQNXTDZ($A$1,$B14,AS$1,$B$1)</f>
        <v>111.01900000000001</v>
      </c>
      <c r="AT14">
        <f>_xll.EQNXTDZ($A$1,$B14,AT$1,$B$1)</f>
        <v>103.148</v>
      </c>
      <c r="AU14">
        <f>_xll.EQNXTDZ($A$1,$B14,AU$1,$B$1)</f>
        <v>98.197000000000003</v>
      </c>
      <c r="AV14">
        <f>_xll.EQNXTDZ($A$1,$B14,AV$1,$B$1)</f>
        <v>90.962999999999994</v>
      </c>
      <c r="AW14">
        <f>_xll.EQNXTDZ($A$1,$B14,AW$1,$B$1)</f>
        <v>103.779</v>
      </c>
      <c r="AX14">
        <f>_xll.EQNXTDZ($A$1,$B14,AX$1,$B$1)</f>
        <v>107.541</v>
      </c>
      <c r="AY14">
        <f>_xll.EQNXTDZ($A$1,$B14,AY$1,$B$1)</f>
        <v>125.26</v>
      </c>
      <c r="AZ14">
        <f>_xll.EQNXTDZ($A$1,$B14,AZ$1,$B$1)</f>
        <v>114.416</v>
      </c>
      <c r="BA14">
        <f>_xll.EQNXTDZ($A$1,$B14,BA$1,$B$1)</f>
        <v>121.286</v>
      </c>
      <c r="BB14">
        <f>_xll.EQNXTDZ($A$1,$B14,BB$1,$B$1)</f>
        <v>108.944</v>
      </c>
      <c r="BC14">
        <f>_xll.EQNXTDZ($A$1,$B14,BC$1,$B$1)</f>
        <v>109.702</v>
      </c>
      <c r="BD14">
        <f>_xll.EQNXTDZ($A$1,$B14,BD$1,$B$1)</f>
        <v>113.59699999999999</v>
      </c>
      <c r="BE14">
        <f>_xll.EQNXTDZ($A$1,$B14,BE$1,$B$1)</f>
        <v>115.83499999999999</v>
      </c>
      <c r="BF14">
        <f>_xll.EQNXTDZ($A$1,$B14,BF$1,$B$1)</f>
        <v>111.491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86.42</v>
      </c>
      <c r="D16">
        <f>_xll.EQNXTDZ($A$1,$B16,D$1,$B$1)</f>
        <v>85.040999999999997</v>
      </c>
      <c r="E16">
        <f>_xll.EQNXTDZ($A$1,$B16,E$1,$B$1)</f>
        <v>89.799000000000007</v>
      </c>
      <c r="F16">
        <f>_xll.EQNXTDZ($A$1,$B16,F$1,$B$1)</f>
        <v>90.233000000000004</v>
      </c>
      <c r="G16">
        <f>_xll.EQNXTDZ($A$1,$B16,G$1,$B$1)</f>
        <v>93.828000000000003</v>
      </c>
      <c r="H16">
        <f>_xll.EQNXTDZ($A$1,$B16,H$1,$B$1)</f>
        <v>99.688000000000002</v>
      </c>
      <c r="I16">
        <f>_xll.EQNXTDZ($A$1,$B16,I$1,$B$1)</f>
        <v>104.35599999999999</v>
      </c>
      <c r="J16">
        <f>_xll.EQNXTDZ($A$1,$B16,J$1,$B$1)</f>
        <v>105.087</v>
      </c>
      <c r="K16">
        <f>_xll.EQNXTDZ($A$1,$B16,K$1,$B$1)</f>
        <v>106.033</v>
      </c>
      <c r="L16">
        <f>_xll.EQNXTDZ($A$1,$B16,L$1,$B$1)</f>
        <v>113.973</v>
      </c>
      <c r="M16">
        <f>_xll.EQNXTDZ($A$1,$B16,M$1,$B$1)</f>
        <v>117.53100000000001</v>
      </c>
      <c r="N16">
        <f>_xll.EQNXTDZ($A$1,$B16,N$1,$B$1)</f>
        <v>123.075</v>
      </c>
      <c r="O16">
        <f>_xll.EQNXTDZ($A$1,$B16,O$1,$B$1)</f>
        <v>129.14599999999999</v>
      </c>
      <c r="P16">
        <f>_xll.EQNXTDZ($A$1,$B16,P$1,$B$1)</f>
        <v>143.57400000000001</v>
      </c>
      <c r="Q16">
        <f>_xll.EQNXTDZ($A$1,$B16,Q$1,$B$1)</f>
        <v>147.34700000000001</v>
      </c>
      <c r="R16">
        <f>_xll.EQNXTDZ($A$1,$B16,R$1,$B$1)</f>
        <v>156.41900000000001</v>
      </c>
      <c r="S16">
        <f>_xll.EQNXTDZ($A$1,$B16,S$1,$B$1)</f>
        <v>156.34399999999999</v>
      </c>
      <c r="T16">
        <f>_xll.EQNXTDZ($A$1,$B16,T$1,$B$1)</f>
        <v>162.315</v>
      </c>
      <c r="U16">
        <f>_xll.EQNXTDZ($A$1,$B16,U$1,$B$1)</f>
        <v>172.32900000000001</v>
      </c>
      <c r="V16">
        <f>_xll.EQNXTDZ($A$1,$B16,V$1,$B$1)</f>
        <v>174.69399999999999</v>
      </c>
      <c r="W16">
        <f>_xll.EQNXTDZ($A$1,$B16,W$1,$B$1)</f>
        <v>179.227</v>
      </c>
      <c r="X16">
        <f>_xll.EQNXTDZ($A$1,$B16,X$1,$B$1)</f>
        <v>186.43299999999999</v>
      </c>
      <c r="Y16">
        <f>_xll.EQNXTDZ($A$1,$B16,Y$1,$B$1)</f>
        <v>183.92</v>
      </c>
      <c r="Z16">
        <f>_xll.EQNXTDZ($A$1,$B16,Z$1,$B$1)</f>
        <v>201.91499999999999</v>
      </c>
      <c r="AA16">
        <f>_xll.EQNXTDZ($A$1,$B16,AA$1,$B$1)</f>
        <v>196.215</v>
      </c>
      <c r="AB16">
        <f>_xll.EQNXTDZ($A$1,$B16,AB$1,$B$1)</f>
        <v>214.327</v>
      </c>
      <c r="AC16">
        <f>_xll.EQNXTDZ($A$1,$B16,AC$1,$B$1)</f>
        <v>218.06899999999999</v>
      </c>
      <c r="AD16">
        <f>_xll.EQNXTDZ($A$1,$B16,AD$1,$B$1)</f>
        <v>213.97</v>
      </c>
      <c r="AE16">
        <f>_xll.EQNXTDZ($A$1,$B16,AE$1,$B$1)</f>
        <v>217.518</v>
      </c>
      <c r="AF16">
        <f>_xll.EQNXTDZ($A$1,$B16,AF$1,$B$1)</f>
        <v>236.994</v>
      </c>
      <c r="AG16">
        <f>_xll.EQNXTDZ($A$1,$B16,AG$1,$B$1)</f>
        <v>242.565</v>
      </c>
      <c r="AH16">
        <f>_xll.EQNXTDZ($A$1,$B16,AH$1,$B$1)</f>
        <v>253.791</v>
      </c>
      <c r="AI16">
        <f>_xll.EQNXTDZ($A$1,$B16,AI$1,$B$1)</f>
        <v>250.96299999999999</v>
      </c>
      <c r="AJ16">
        <f>_xll.EQNXTDZ($A$1,$B16,AJ$1,$B$1)</f>
        <v>245.886</v>
      </c>
      <c r="AK16">
        <f>_xll.EQNXTDZ($A$1,$B16,AK$1,$B$1)</f>
        <v>262.83699999999999</v>
      </c>
      <c r="AL16">
        <f>_xll.EQNXTDZ($A$1,$B16,AL$1,$B$1)</f>
        <v>264.83800000000002</v>
      </c>
      <c r="AM16">
        <f>_xll.EQNXTDZ($A$1,$B16,AM$1,$B$1)</f>
        <v>302.887</v>
      </c>
      <c r="AN16">
        <f>_xll.EQNXTDZ($A$1,$B16,AN$1,$B$1)</f>
        <v>310.94600000000003</v>
      </c>
      <c r="AO16">
        <f>_xll.EQNXTDZ($A$1,$B16,AO$1,$B$1)</f>
        <v>329.50599999999997</v>
      </c>
      <c r="AP16">
        <f>_xll.EQNXTDZ($A$1,$B16,AP$1,$B$1)</f>
        <v>344.767</v>
      </c>
      <c r="AQ16">
        <f>_xll.EQNXTDZ($A$1,$B16,AQ$1,$B$1)</f>
        <v>365.67899999999997</v>
      </c>
      <c r="AR16">
        <f>_xll.EQNXTDZ($A$1,$B16,AR$1,$B$1)</f>
        <v>392.16500000000002</v>
      </c>
      <c r="AS16">
        <f>_xll.EQNXTDZ($A$1,$B16,AS$1,$B$1)</f>
        <v>410.71300000000002</v>
      </c>
      <c r="AT16">
        <f>_xll.EQNXTDZ($A$1,$B16,AT$1,$B$1)</f>
        <v>429.21899999999999</v>
      </c>
      <c r="AU16">
        <f>_xll.EQNXTDZ($A$1,$B16,AU$1,$B$1)</f>
        <v>442.43200000000002</v>
      </c>
      <c r="AV16">
        <f>_xll.EQNXTDZ($A$1,$B16,AV$1,$B$1)</f>
        <v>477.33100000000002</v>
      </c>
      <c r="AW16">
        <f>_xll.EQNXTDZ($A$1,$B16,AW$1,$B$1)</f>
        <v>495.77199999999999</v>
      </c>
      <c r="AX16">
        <f>_xll.EQNXTDZ($A$1,$B16,AX$1,$B$1)</f>
        <v>496.351</v>
      </c>
      <c r="AY16">
        <f>_xll.EQNXTDZ($A$1,$B16,AY$1,$B$1)</f>
        <v>498.52300000000002</v>
      </c>
      <c r="AZ16">
        <f>_xll.EQNXTDZ($A$1,$B16,AZ$1,$B$1)</f>
        <v>515.07299999999998</v>
      </c>
      <c r="BA16">
        <f>_xll.EQNXTDZ($A$1,$B16,BA$1,$B$1)</f>
        <v>515.24900000000002</v>
      </c>
      <c r="BB16">
        <f>_xll.EQNXTDZ($A$1,$B16,BB$1,$B$1)</f>
        <v>517.58199999999999</v>
      </c>
      <c r="BC16">
        <f>_xll.EQNXTDZ($A$1,$B16,BC$1,$B$1)</f>
        <v>529.14599999999996</v>
      </c>
      <c r="BD16">
        <f>_xll.EQNXTDZ($A$1,$B16,BD$1,$B$1)</f>
        <v>538.81799999999998</v>
      </c>
      <c r="BE16">
        <f>_xll.EQNXTDZ($A$1,$B16,BE$1,$B$1)</f>
        <v>549.00400000000002</v>
      </c>
      <c r="BF16">
        <f>_xll.EQNXTDZ($A$1,$B16,BF$1,$B$1)</f>
        <v>567.21299999999997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2.8130000000000002</v>
      </c>
      <c r="E19">
        <f>_xll.EQNXTDZ($A$1,$B19,E$1,$B$1)</f>
        <v>0</v>
      </c>
      <c r="F19">
        <f>_xll.EQNXTDZ($A$1,$B19,F$1,$B$1)</f>
        <v>3.3860000000000001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1.214</v>
      </c>
      <c r="J19">
        <f>_xll.EQNXTDZ($A$1,$B19,J$1,$B$1)</f>
        <v>1.127</v>
      </c>
      <c r="K19">
        <f>_xll.EQNXTDZ($A$1,$B19,K$1,$B$1)</f>
        <v>0</v>
      </c>
      <c r="L19">
        <f>_xll.EQNXTDZ($A$1,$B19,L$1,$B$1)</f>
        <v>1.423</v>
      </c>
      <c r="M19">
        <f>_xll.EQNXTDZ($A$1,$B19,M$1,$B$1)</f>
        <v>1.772</v>
      </c>
      <c r="N19">
        <f>_xll.EQNXTDZ($A$1,$B19,N$1,$B$1)</f>
        <v>4.1680000000000001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1.292</v>
      </c>
      <c r="R19">
        <f>_xll.EQNXTDZ($A$1,$B19,R$1,$B$1)</f>
        <v>2.5190000000000001</v>
      </c>
      <c r="S19">
        <f>_xll.EQNXTDZ($A$1,$B19,S$1,$B$1)</f>
        <v>2.2850000000000001</v>
      </c>
      <c r="T19">
        <f>_xll.EQNXTDZ($A$1,$B19,T$1,$B$1)</f>
        <v>6.5140000000000002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3.2440000000000002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11.757</v>
      </c>
      <c r="AD19">
        <f>_xll.EQNXTDZ($A$1,$B19,AD$1,$B$1)</f>
        <v>0</v>
      </c>
      <c r="AE19">
        <f>_xll.EQNXTDZ($A$1,$B19,AE$1,$B$1)</f>
        <v>1.115</v>
      </c>
      <c r="AF19">
        <f>_xll.EQNXTDZ($A$1,$B19,AF$1,$B$1)</f>
        <v>1.7000000000000001E-2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1.9390000000000001</v>
      </c>
      <c r="AK19">
        <f>_xll.EQNXTDZ($A$1,$B19,AK$1,$B$1)</f>
        <v>0</v>
      </c>
      <c r="AL19">
        <f>_xll.EQNXTDZ($A$1,$B19,AL$1,$B$1)</f>
        <v>3.9649999999999999</v>
      </c>
      <c r="AM19">
        <f>_xll.EQNXTDZ($A$1,$B19,AM$1,$B$1)</f>
        <v>0</v>
      </c>
      <c r="AN19">
        <f>_xll.EQNXTDZ($A$1,$B19,AN$1,$B$1)</f>
        <v>4.742</v>
      </c>
      <c r="AO19">
        <f>_xll.EQNXTDZ($A$1,$B19,AO$1,$B$1)</f>
        <v>1.742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13.141999999999999</v>
      </c>
      <c r="D22">
        <f>_xll.EQNXTDZ($A$1,$B22,D$1,$B$1)</f>
        <v>17.469000000000001</v>
      </c>
      <c r="E22">
        <f>_xll.EQNXTDZ($A$1,$B22,E$1,$B$1)</f>
        <v>16.481999999999999</v>
      </c>
      <c r="F22">
        <f>_xll.EQNXTDZ($A$1,$B22,F$1,$B$1)</f>
        <v>18.765000000000001</v>
      </c>
      <c r="G22">
        <f>_xll.EQNXTDZ($A$1,$B22,G$1,$B$1)</f>
        <v>13.497</v>
      </c>
      <c r="H22">
        <f>_xll.EQNXTDZ($A$1,$B22,H$1,$B$1)</f>
        <v>32.438000000000002</v>
      </c>
      <c r="I22">
        <f>_xll.EQNXTDZ($A$1,$B22,I$1,$B$1)</f>
        <v>42.341999999999999</v>
      </c>
      <c r="J22">
        <f>_xll.EQNXTDZ($A$1,$B22,J$1,$B$1)</f>
        <v>45.838999999999999</v>
      </c>
      <c r="K22">
        <f>_xll.EQNXTDZ($A$1,$B22,K$1,$B$1)</f>
        <v>37.677999999999997</v>
      </c>
      <c r="L22">
        <f>_xll.EQNXTDZ($A$1,$B22,L$1,$B$1)</f>
        <v>40.372</v>
      </c>
      <c r="M22">
        <f>_xll.EQNXTDZ($A$1,$B22,M$1,$B$1)</f>
        <v>48.677</v>
      </c>
      <c r="N22">
        <f>_xll.EQNXTDZ($A$1,$B22,N$1,$B$1)</f>
        <v>43.225999999999999</v>
      </c>
      <c r="O22">
        <f>_xll.EQNXTDZ($A$1,$B22,O$1,$B$1)</f>
        <v>52.304000000000002</v>
      </c>
      <c r="P22">
        <f>_xll.EQNXTDZ($A$1,$B22,P$1,$B$1)</f>
        <v>61.284999999999997</v>
      </c>
      <c r="Q22">
        <f>_xll.EQNXTDZ($A$1,$B22,Q$1,$B$1)</f>
        <v>65.055999999999997</v>
      </c>
      <c r="R22">
        <f>_xll.EQNXTDZ($A$1,$B22,R$1,$B$1)</f>
        <v>64.644000000000005</v>
      </c>
      <c r="S22">
        <f>_xll.EQNXTDZ($A$1,$B22,S$1,$B$1)</f>
        <v>66.792000000000002</v>
      </c>
      <c r="T22">
        <f>_xll.EQNXTDZ($A$1,$B22,T$1,$B$1)</f>
        <v>71.015000000000001</v>
      </c>
      <c r="U22">
        <f>_xll.EQNXTDZ($A$1,$B22,U$1,$B$1)</f>
        <v>71.302000000000007</v>
      </c>
      <c r="V22">
        <f>_xll.EQNXTDZ($A$1,$B22,V$1,$B$1)</f>
        <v>75.516000000000005</v>
      </c>
      <c r="W22">
        <f>_xll.EQNXTDZ($A$1,$B22,W$1,$B$1)</f>
        <v>73.444999999999993</v>
      </c>
      <c r="X22">
        <f>_xll.EQNXTDZ($A$1,$B22,X$1,$B$1)</f>
        <v>84.01</v>
      </c>
      <c r="Y22">
        <f>_xll.EQNXTDZ($A$1,$B22,Y$1,$B$1)</f>
        <v>90.244</v>
      </c>
      <c r="Z22">
        <f>_xll.EQNXTDZ($A$1,$B22,Z$1,$B$1)</f>
        <v>95.094999999999999</v>
      </c>
      <c r="AA22">
        <f>_xll.EQNXTDZ($A$1,$B22,AA$1,$B$1)</f>
        <v>106.52</v>
      </c>
      <c r="AB22">
        <f>_xll.EQNXTDZ($A$1,$B22,AB$1,$B$1)</f>
        <v>106.72</v>
      </c>
      <c r="AC22">
        <f>_xll.EQNXTDZ($A$1,$B22,AC$1,$B$1)</f>
        <v>91.567999999999998</v>
      </c>
      <c r="AD22">
        <f>_xll.EQNXTDZ($A$1,$B22,AD$1,$B$1)</f>
        <v>98.468000000000004</v>
      </c>
      <c r="AE22">
        <f>_xll.EQNXTDZ($A$1,$B22,AE$1,$B$1)</f>
        <v>68.734999999999999</v>
      </c>
      <c r="AF22">
        <f>_xll.EQNXTDZ($A$1,$B22,AF$1,$B$1)</f>
        <v>70.343000000000004</v>
      </c>
      <c r="AG22">
        <f>_xll.EQNXTDZ($A$1,$B22,AG$1,$B$1)</f>
        <v>94.191999999999993</v>
      </c>
      <c r="AH22">
        <f>_xll.EQNXTDZ($A$1,$B22,AH$1,$B$1)</f>
        <v>108.601</v>
      </c>
      <c r="AI22">
        <f>_xll.EQNXTDZ($A$1,$B22,AI$1,$B$1)</f>
        <v>92.710999999999999</v>
      </c>
      <c r="AJ22">
        <f>_xll.EQNXTDZ($A$1,$B22,AJ$1,$B$1)</f>
        <v>118.051</v>
      </c>
      <c r="AK22">
        <f>_xll.EQNXTDZ($A$1,$B22,AK$1,$B$1)</f>
        <v>143.61099999999999</v>
      </c>
      <c r="AL22">
        <f>_xll.EQNXTDZ($A$1,$B22,AL$1,$B$1)</f>
        <v>164.077</v>
      </c>
      <c r="AM22">
        <f>_xll.EQNXTDZ($A$1,$B22,AM$1,$B$1)</f>
        <v>149.988</v>
      </c>
      <c r="AN22">
        <f>_xll.EQNXTDZ($A$1,$B22,AN$1,$B$1)</f>
        <v>178.89699999999999</v>
      </c>
      <c r="AO22">
        <f>_xll.EQNXTDZ($A$1,$B22,AO$1,$B$1)</f>
        <v>209.101</v>
      </c>
      <c r="AP22">
        <f>_xll.EQNXTDZ($A$1,$B22,AP$1,$B$1)</f>
        <v>221.245</v>
      </c>
      <c r="AQ22">
        <f>_xll.EQNXTDZ($A$1,$B22,AQ$1,$B$1)</f>
        <v>238.154</v>
      </c>
      <c r="AR22">
        <f>_xll.EQNXTDZ($A$1,$B22,AR$1,$B$1)</f>
        <v>226.541</v>
      </c>
      <c r="AS22">
        <f>_xll.EQNXTDZ($A$1,$B22,AS$1,$B$1)</f>
        <v>246.857</v>
      </c>
      <c r="AT22">
        <f>_xll.EQNXTDZ($A$1,$B22,AT$1,$B$1)</f>
        <v>249.72499999999999</v>
      </c>
      <c r="AU22">
        <f>_xll.EQNXTDZ($A$1,$B22,AU$1,$B$1)</f>
        <v>251.46299999999999</v>
      </c>
      <c r="AV22">
        <f>_xll.EQNXTDZ($A$1,$B22,AV$1,$B$1)</f>
        <v>263.54599999999999</v>
      </c>
      <c r="AW22">
        <f>_xll.EQNXTDZ($A$1,$B22,AW$1,$B$1)</f>
        <v>270.14699999999999</v>
      </c>
      <c r="AX22">
        <f>_xll.EQNXTDZ($A$1,$B22,AX$1,$B$1)</f>
        <v>261.279</v>
      </c>
      <c r="AY22">
        <f>_xll.EQNXTDZ($A$1,$B22,AY$1,$B$1)</f>
        <v>252.268</v>
      </c>
      <c r="AZ22">
        <f>_xll.EQNXTDZ($A$1,$B22,AZ$1,$B$1)</f>
        <v>266.40699999999998</v>
      </c>
      <c r="BA22">
        <f>_xll.EQNXTDZ($A$1,$B22,BA$1,$B$1)</f>
        <v>246.613</v>
      </c>
      <c r="BB22">
        <f>_xll.EQNXTDZ($A$1,$B22,BB$1,$B$1)</f>
        <v>207.65799999999999</v>
      </c>
      <c r="BC22">
        <f>_xll.EQNXTDZ($A$1,$B22,BC$1,$B$1)</f>
        <v>186.708</v>
      </c>
      <c r="BD22">
        <f>_xll.EQNXTDZ($A$1,$B22,BD$1,$B$1)</f>
        <v>193.327</v>
      </c>
      <c r="BE22">
        <f>_xll.EQNXTDZ($A$1,$B22,BE$1,$B$1)</f>
        <v>222.245</v>
      </c>
      <c r="BF22">
        <f>_xll.EQNXTDZ($A$1,$B22,BF$1,$B$1)</f>
        <v>244.56800000000001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5.5839999999999996</v>
      </c>
      <c r="D23">
        <f>_xll.EQNXTDZ($A$1,$B23,D$1,$B$1)</f>
        <v>1.1160000000000001</v>
      </c>
      <c r="E23">
        <f>_xll.EQNXTDZ($A$1,$B23,E$1,$B$1)</f>
        <v>3.5590000000000002</v>
      </c>
      <c r="F23">
        <f>_xll.EQNXTDZ($A$1,$B23,F$1,$B$1)</f>
        <v>0.77900000000000003</v>
      </c>
      <c r="G23">
        <f>_xll.EQNXTDZ($A$1,$B23,G$1,$B$1)</f>
        <v>6.9169999999999998</v>
      </c>
      <c r="H23">
        <f>_xll.EQNXTDZ($A$1,$B23,H$1,$B$1)</f>
        <v>6.5309999999999997</v>
      </c>
      <c r="I23">
        <f>_xll.EQNXTDZ($A$1,$B23,I$1,$B$1)</f>
        <v>6.3E-2</v>
      </c>
      <c r="J23">
        <f>_xll.EQNXTDZ($A$1,$B23,J$1,$B$1)</f>
        <v>1.373</v>
      </c>
      <c r="K23">
        <f>_xll.EQNXTDZ($A$1,$B23,K$1,$B$1)</f>
        <v>2.2120000000000002</v>
      </c>
      <c r="L23">
        <f>_xll.EQNXTDZ($A$1,$B23,L$1,$B$1)</f>
        <v>2.7389999999999999</v>
      </c>
      <c r="M23">
        <f>_xll.EQNXTDZ($A$1,$B23,M$1,$B$1)</f>
        <v>2.097</v>
      </c>
      <c r="N23">
        <f>_xll.EQNXTDZ($A$1,$B23,N$1,$B$1)</f>
        <v>3.66</v>
      </c>
      <c r="O23">
        <f>_xll.EQNXTDZ($A$1,$B23,O$1,$B$1)</f>
        <v>7.5659999999999998</v>
      </c>
      <c r="P23">
        <f>_xll.EQNXTDZ($A$1,$B23,P$1,$B$1)</f>
        <v>2.71</v>
      </c>
      <c r="Q23">
        <f>_xll.EQNXTDZ($A$1,$B23,Q$1,$B$1)</f>
        <v>2.2549999999999999</v>
      </c>
      <c r="R23">
        <f>_xll.EQNXTDZ($A$1,$B23,R$1,$B$1)</f>
        <v>3.1280000000000001</v>
      </c>
      <c r="S23">
        <f>_xll.EQNXTDZ($A$1,$B23,S$1,$B$1)</f>
        <v>3.1179999999999999</v>
      </c>
      <c r="T23">
        <f>_xll.EQNXTDZ($A$1,$B23,T$1,$B$1)</f>
        <v>3.923</v>
      </c>
      <c r="U23">
        <f>_xll.EQNXTDZ($A$1,$B23,U$1,$B$1)</f>
        <v>2.4159999999999999</v>
      </c>
      <c r="V23">
        <f>_xll.EQNXTDZ($A$1,$B23,V$1,$B$1)</f>
        <v>-2.903</v>
      </c>
      <c r="W23">
        <f>_xll.EQNXTDZ($A$1,$B23,W$1,$B$1)</f>
        <v>7.907</v>
      </c>
      <c r="X23">
        <f>_xll.EQNXTDZ($A$1,$B23,X$1,$B$1)</f>
        <v>8.8819999999999997</v>
      </c>
      <c r="Y23">
        <f>_xll.EQNXTDZ($A$1,$B23,Y$1,$B$1)</f>
        <v>10.057</v>
      </c>
      <c r="Z23">
        <f>_xll.EQNXTDZ($A$1,$B23,Z$1,$B$1)</f>
        <v>19.623000000000001</v>
      </c>
      <c r="AA23">
        <f>_xll.EQNXTDZ($A$1,$B23,AA$1,$B$1)</f>
        <v>7.8470000000000004</v>
      </c>
      <c r="AB23">
        <f>_xll.EQNXTDZ($A$1,$B23,AB$1,$B$1)</f>
        <v>23.318999999999999</v>
      </c>
      <c r="AC23">
        <f>_xll.EQNXTDZ($A$1,$B23,AC$1,$B$1)</f>
        <v>9.0640000000000001</v>
      </c>
      <c r="AD23">
        <f>_xll.EQNXTDZ($A$1,$B23,AD$1,$B$1)</f>
        <v>14.988</v>
      </c>
      <c r="AE23">
        <f>_xll.EQNXTDZ($A$1,$B23,AE$1,$B$1)</f>
        <v>13.222</v>
      </c>
      <c r="AF23">
        <f>_xll.EQNXTDZ($A$1,$B23,AF$1,$B$1)</f>
        <v>12.409000000000001</v>
      </c>
      <c r="AG23">
        <f>_xll.EQNXTDZ($A$1,$B23,AG$1,$B$1)</f>
        <v>20.524999999999999</v>
      </c>
      <c r="AH23">
        <f>_xll.EQNXTDZ($A$1,$B23,AH$1,$B$1)</f>
        <v>13.388999999999999</v>
      </c>
      <c r="AI23">
        <f>_xll.EQNXTDZ($A$1,$B23,AI$1,$B$1)</f>
        <v>13.449</v>
      </c>
      <c r="AJ23">
        <f>_xll.EQNXTDZ($A$1,$B23,AJ$1,$B$1)</f>
        <v>4.407</v>
      </c>
      <c r="AK23">
        <f>_xll.EQNXTDZ($A$1,$B23,AK$1,$B$1)</f>
        <v>15.085000000000001</v>
      </c>
      <c r="AL23">
        <f>_xll.EQNXTDZ($A$1,$B23,AL$1,$B$1)</f>
        <v>10.789</v>
      </c>
      <c r="AM23">
        <f>_xll.EQNXTDZ($A$1,$B23,AM$1,$B$1)</f>
        <v>17.501000000000001</v>
      </c>
      <c r="AN23">
        <f>_xll.EQNXTDZ($A$1,$B23,AN$1,$B$1)</f>
        <v>7.1740000000000004</v>
      </c>
      <c r="AO23">
        <f>_xll.EQNXTDZ($A$1,$B23,AO$1,$B$1)</f>
        <v>8.2530000000000001</v>
      </c>
      <c r="AP23">
        <f>_xll.EQNXTDZ($A$1,$B23,AP$1,$B$1)</f>
        <v>18.088999999999999</v>
      </c>
      <c r="AQ23">
        <f>_xll.EQNXTDZ($A$1,$B23,AQ$1,$B$1)</f>
        <v>10.319000000000001</v>
      </c>
      <c r="AR23">
        <f>_xll.EQNXTDZ($A$1,$B23,AR$1,$B$1)</f>
        <v>18.669</v>
      </c>
      <c r="AS23">
        <f>_xll.EQNXTDZ($A$1,$B23,AS$1,$B$1)</f>
        <v>19.135000000000002</v>
      </c>
      <c r="AT23">
        <f>_xll.EQNXTDZ($A$1,$B23,AT$1,$B$1)</f>
        <v>25.687000000000001</v>
      </c>
      <c r="AU23">
        <f>_xll.EQNXTDZ($A$1,$B23,AU$1,$B$1)</f>
        <v>22.209</v>
      </c>
      <c r="AV23">
        <f>_xll.EQNXTDZ($A$1,$B23,AV$1,$B$1)</f>
        <v>31.13</v>
      </c>
      <c r="AW23">
        <f>_xll.EQNXTDZ($A$1,$B23,AW$1,$B$1)</f>
        <v>34.93</v>
      </c>
      <c r="AX23">
        <f>_xll.EQNXTDZ($A$1,$B23,AX$1,$B$1)</f>
        <v>33.682000000000002</v>
      </c>
      <c r="AY23">
        <f>_xll.EQNXTDZ($A$1,$B23,AY$1,$B$1)</f>
        <v>32.082999999999998</v>
      </c>
      <c r="AZ23">
        <f>_xll.EQNXTDZ($A$1,$B23,AZ$1,$B$1)</f>
        <v>64.304000000000002</v>
      </c>
      <c r="BA23">
        <f>_xll.EQNXTDZ($A$1,$B23,BA$1,$B$1)</f>
        <v>39.853999999999999</v>
      </c>
      <c r="BB23">
        <f>_xll.EQNXTDZ($A$1,$B23,BB$1,$B$1)</f>
        <v>43.070999999999998</v>
      </c>
      <c r="BC23">
        <f>_xll.EQNXTDZ($A$1,$B23,BC$1,$B$1)</f>
        <v>38.472999999999999</v>
      </c>
      <c r="BD23">
        <f>_xll.EQNXTDZ($A$1,$B23,BD$1,$B$1)</f>
        <v>48.877000000000002</v>
      </c>
      <c r="BE23">
        <f>_xll.EQNXTDZ($A$1,$B23,BE$1,$B$1)</f>
        <v>46.037999999999997</v>
      </c>
      <c r="BF23">
        <f>_xll.EQNXTDZ($A$1,$B23,BF$1,$B$1)</f>
        <v>50.588999999999999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18.725999999999999</v>
      </c>
      <c r="D24">
        <f>_xll.EQNXTDZ($A$1,$B24,D$1,$B$1)</f>
        <v>18.585000000000001</v>
      </c>
      <c r="E24">
        <f>_xll.EQNXTDZ($A$1,$B24,E$1,$B$1)</f>
        <v>20.041</v>
      </c>
      <c r="F24">
        <f>_xll.EQNXTDZ($A$1,$B24,F$1,$B$1)</f>
        <v>19.544</v>
      </c>
      <c r="G24">
        <f>_xll.EQNXTDZ($A$1,$B24,G$1,$B$1)</f>
        <v>20.414000000000001</v>
      </c>
      <c r="H24">
        <f>_xll.EQNXTDZ($A$1,$B24,H$1,$B$1)</f>
        <v>38.969000000000001</v>
      </c>
      <c r="I24">
        <f>_xll.EQNXTDZ($A$1,$B24,I$1,$B$1)</f>
        <v>42.405000000000001</v>
      </c>
      <c r="J24">
        <f>_xll.EQNXTDZ($A$1,$B24,J$1,$B$1)</f>
        <v>47.212000000000003</v>
      </c>
      <c r="K24">
        <f>_xll.EQNXTDZ($A$1,$B24,K$1,$B$1)</f>
        <v>39.89</v>
      </c>
      <c r="L24">
        <f>_xll.EQNXTDZ($A$1,$B24,L$1,$B$1)</f>
        <v>43.110999999999997</v>
      </c>
      <c r="M24">
        <f>_xll.EQNXTDZ($A$1,$B24,M$1,$B$1)</f>
        <v>50.774000000000001</v>
      </c>
      <c r="N24">
        <f>_xll.EQNXTDZ($A$1,$B24,N$1,$B$1)</f>
        <v>46.886000000000003</v>
      </c>
      <c r="O24">
        <f>_xll.EQNXTDZ($A$1,$B24,O$1,$B$1)</f>
        <v>59.87</v>
      </c>
      <c r="P24">
        <f>_xll.EQNXTDZ($A$1,$B24,P$1,$B$1)</f>
        <v>63.994999999999997</v>
      </c>
      <c r="Q24">
        <f>_xll.EQNXTDZ($A$1,$B24,Q$1,$B$1)</f>
        <v>67.311000000000007</v>
      </c>
      <c r="R24">
        <f>_xll.EQNXTDZ($A$1,$B24,R$1,$B$1)</f>
        <v>67.772000000000006</v>
      </c>
      <c r="S24">
        <f>_xll.EQNXTDZ($A$1,$B24,S$1,$B$1)</f>
        <v>69.91</v>
      </c>
      <c r="T24">
        <f>_xll.EQNXTDZ($A$1,$B24,T$1,$B$1)</f>
        <v>74.938000000000002</v>
      </c>
      <c r="U24">
        <f>_xll.EQNXTDZ($A$1,$B24,U$1,$B$1)</f>
        <v>73.718000000000004</v>
      </c>
      <c r="V24">
        <f>_xll.EQNXTDZ($A$1,$B24,V$1,$B$1)</f>
        <v>72.613</v>
      </c>
      <c r="W24">
        <f>_xll.EQNXTDZ($A$1,$B24,W$1,$B$1)</f>
        <v>81.352000000000004</v>
      </c>
      <c r="X24">
        <f>_xll.EQNXTDZ($A$1,$B24,X$1,$B$1)</f>
        <v>92.891999999999996</v>
      </c>
      <c r="Y24">
        <f>_xll.EQNXTDZ($A$1,$B24,Y$1,$B$1)</f>
        <v>100.301</v>
      </c>
      <c r="Z24">
        <f>_xll.EQNXTDZ($A$1,$B24,Z$1,$B$1)</f>
        <v>114.718</v>
      </c>
      <c r="AA24">
        <f>_xll.EQNXTDZ($A$1,$B24,AA$1,$B$1)</f>
        <v>114.367</v>
      </c>
      <c r="AB24">
        <f>_xll.EQNXTDZ($A$1,$B24,AB$1,$B$1)</f>
        <v>130.03899999999999</v>
      </c>
      <c r="AC24">
        <f>_xll.EQNXTDZ($A$1,$B24,AC$1,$B$1)</f>
        <v>100.63200000000001</v>
      </c>
      <c r="AD24">
        <f>_xll.EQNXTDZ($A$1,$B24,AD$1,$B$1)</f>
        <v>113.456</v>
      </c>
      <c r="AE24">
        <f>_xll.EQNXTDZ($A$1,$B24,AE$1,$B$1)</f>
        <v>81.956999999999994</v>
      </c>
      <c r="AF24">
        <f>_xll.EQNXTDZ($A$1,$B24,AF$1,$B$1)</f>
        <v>82.751999999999995</v>
      </c>
      <c r="AG24">
        <f>_xll.EQNXTDZ($A$1,$B24,AG$1,$B$1)</f>
        <v>114.717</v>
      </c>
      <c r="AH24">
        <f>_xll.EQNXTDZ($A$1,$B24,AH$1,$B$1)</f>
        <v>121.991</v>
      </c>
      <c r="AI24">
        <f>_xll.EQNXTDZ($A$1,$B24,AI$1,$B$1)</f>
        <v>106.15900000000001</v>
      </c>
      <c r="AJ24">
        <f>_xll.EQNXTDZ($A$1,$B24,AJ$1,$B$1)</f>
        <v>122.458</v>
      </c>
      <c r="AK24">
        <f>_xll.EQNXTDZ($A$1,$B24,AK$1,$B$1)</f>
        <v>158.696</v>
      </c>
      <c r="AL24">
        <f>_xll.EQNXTDZ($A$1,$B24,AL$1,$B$1)</f>
        <v>174.86600000000001</v>
      </c>
      <c r="AM24">
        <f>_xll.EQNXTDZ($A$1,$B24,AM$1,$B$1)</f>
        <v>167.489</v>
      </c>
      <c r="AN24">
        <f>_xll.EQNXTDZ($A$1,$B24,AN$1,$B$1)</f>
        <v>186.071</v>
      </c>
      <c r="AO24">
        <f>_xll.EQNXTDZ($A$1,$B24,AO$1,$B$1)</f>
        <v>217.35400000000001</v>
      </c>
      <c r="AP24">
        <f>_xll.EQNXTDZ($A$1,$B24,AP$1,$B$1)</f>
        <v>239.334</v>
      </c>
      <c r="AQ24">
        <f>_xll.EQNXTDZ($A$1,$B24,AQ$1,$B$1)</f>
        <v>248.47300000000001</v>
      </c>
      <c r="AR24">
        <f>_xll.EQNXTDZ($A$1,$B24,AR$1,$B$1)</f>
        <v>245.21100000000001</v>
      </c>
      <c r="AS24">
        <f>_xll.EQNXTDZ($A$1,$B24,AS$1,$B$1)</f>
        <v>265.99200000000002</v>
      </c>
      <c r="AT24">
        <f>_xll.EQNXTDZ($A$1,$B24,AT$1,$B$1)</f>
        <v>275.41199999999998</v>
      </c>
      <c r="AU24">
        <f>_xll.EQNXTDZ($A$1,$B24,AU$1,$B$1)</f>
        <v>273.67200000000003</v>
      </c>
      <c r="AV24">
        <f>_xll.EQNXTDZ($A$1,$B24,AV$1,$B$1)</f>
        <v>294.67599999999999</v>
      </c>
      <c r="AW24">
        <f>_xll.EQNXTDZ($A$1,$B24,AW$1,$B$1)</f>
        <v>305.07600000000002</v>
      </c>
      <c r="AX24">
        <f>_xll.EQNXTDZ($A$1,$B24,AX$1,$B$1)</f>
        <v>294.96199999999999</v>
      </c>
      <c r="AY24">
        <f>_xll.EQNXTDZ($A$1,$B24,AY$1,$B$1)</f>
        <v>284.351</v>
      </c>
      <c r="AZ24">
        <f>_xll.EQNXTDZ($A$1,$B24,AZ$1,$B$1)</f>
        <v>330.71100000000001</v>
      </c>
      <c r="BA24">
        <f>_xll.EQNXTDZ($A$1,$B24,BA$1,$B$1)</f>
        <v>286.46699999999998</v>
      </c>
      <c r="BB24">
        <f>_xll.EQNXTDZ($A$1,$B24,BB$1,$B$1)</f>
        <v>250.72900000000001</v>
      </c>
      <c r="BC24">
        <f>_xll.EQNXTDZ($A$1,$B24,BC$1,$B$1)</f>
        <v>225.18100000000001</v>
      </c>
      <c r="BD24">
        <f>_xll.EQNXTDZ($A$1,$B24,BD$1,$B$1)</f>
        <v>242.20500000000001</v>
      </c>
      <c r="BE24">
        <f>_xll.EQNXTDZ($A$1,$B24,BE$1,$B$1)</f>
        <v>268.28300000000002</v>
      </c>
      <c r="BF24">
        <f>_xll.EQNXTDZ($A$1,$B24,BF$1,$B$1)</f>
        <v>295.15699999999998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0.71199999999999997</v>
      </c>
      <c r="D25">
        <f>_xll.EQNXTDZ($A$1,$B25,D$1,$B$1)</f>
        <v>0.97399999999999998</v>
      </c>
      <c r="E25">
        <f>_xll.EQNXTDZ($A$1,$B25,E$1,$B$1)</f>
        <v>1.25</v>
      </c>
      <c r="F25">
        <f>_xll.EQNXTDZ($A$1,$B25,F$1,$B$1)</f>
        <v>0.97099999999999997</v>
      </c>
      <c r="G25">
        <f>_xll.EQNXTDZ($A$1,$B25,G$1,$B$1)</f>
        <v>0.77500000000000002</v>
      </c>
      <c r="H25">
        <f>_xll.EQNXTDZ($A$1,$B25,H$1,$B$1)</f>
        <v>0.60899999999999999</v>
      </c>
      <c r="I25">
        <f>_xll.EQNXTDZ($A$1,$B25,I$1,$B$1)</f>
        <v>0.40400000000000003</v>
      </c>
      <c r="J25">
        <f>_xll.EQNXTDZ($A$1,$B25,J$1,$B$1)</f>
        <v>3.9E-2</v>
      </c>
      <c r="K25">
        <f>_xll.EQNXTDZ($A$1,$B25,K$1,$B$1)</f>
        <v>1E-3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1E-3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1.321</v>
      </c>
      <c r="AF25">
        <f>_xll.EQNXTDZ($A$1,$B25,AF$1,$B$1)</f>
        <v>1.355</v>
      </c>
      <c r="AG25">
        <f>_xll.EQNXTDZ($A$1,$B25,AG$1,$B$1)</f>
        <v>1.4430000000000001</v>
      </c>
      <c r="AH25">
        <f>_xll.EQNXTDZ($A$1,$B25,AH$1,$B$1)</f>
        <v>1.4430000000000001</v>
      </c>
      <c r="AI25">
        <f>_xll.EQNXTDZ($A$1,$B25,AI$1,$B$1)</f>
        <v>1.3859999999999999</v>
      </c>
      <c r="AJ25">
        <f>_xll.EQNXTDZ($A$1,$B25,AJ$1,$B$1)</f>
        <v>1.3009999999999999</v>
      </c>
      <c r="AK25">
        <f>_xll.EQNXTDZ($A$1,$B25,AK$1,$B$1)</f>
        <v>1.3480000000000001</v>
      </c>
      <c r="AL25">
        <f>_xll.EQNXTDZ($A$1,$B25,AL$1,$B$1)</f>
        <v>1.897</v>
      </c>
      <c r="AM25">
        <f>_xll.EQNXTDZ($A$1,$B25,AM$1,$B$1)</f>
        <v>1.643</v>
      </c>
      <c r="AN25">
        <f>_xll.EQNXTDZ($A$1,$B25,AN$1,$B$1)</f>
        <v>1.587</v>
      </c>
      <c r="AO25">
        <f>_xll.EQNXTDZ($A$1,$B25,AO$1,$B$1)</f>
        <v>3.008</v>
      </c>
      <c r="AP25">
        <f>_xll.EQNXTDZ($A$1,$B25,AP$1,$B$1)</f>
        <v>3.1869999999999998</v>
      </c>
      <c r="AQ25">
        <f>_xll.EQNXTDZ($A$1,$B25,AQ$1,$B$1)</f>
        <v>3.3580000000000001</v>
      </c>
      <c r="AR25">
        <f>_xll.EQNXTDZ($A$1,$B25,AR$1,$B$1)</f>
        <v>4.2560000000000002</v>
      </c>
      <c r="AS25">
        <f>_xll.EQNXTDZ($A$1,$B25,AS$1,$B$1)</f>
        <v>4.4660000000000002</v>
      </c>
      <c r="AT25">
        <f>_xll.EQNXTDZ($A$1,$B25,AT$1,$B$1)</f>
        <v>4.1180000000000003</v>
      </c>
      <c r="AU25">
        <f>_xll.EQNXTDZ($A$1,$B25,AU$1,$B$1)</f>
        <v>3.923</v>
      </c>
      <c r="AV25">
        <f>_xll.EQNXTDZ($A$1,$B25,AV$1,$B$1)</f>
        <v>5.8120000000000003</v>
      </c>
      <c r="AW25">
        <f>_xll.EQNXTDZ($A$1,$B25,AW$1,$B$1)</f>
        <v>5.5529999999999999</v>
      </c>
      <c r="AX25">
        <f>_xll.EQNXTDZ($A$1,$B25,AX$1,$B$1)</f>
        <v>4.9729999999999999</v>
      </c>
      <c r="AY25">
        <f>_xll.EQNXTDZ($A$1,$B25,AY$1,$B$1)</f>
        <v>4.8929999999999998</v>
      </c>
      <c r="AZ25">
        <f>_xll.EQNXTDZ($A$1,$B25,AZ$1,$B$1)</f>
        <v>4.8470000000000004</v>
      </c>
      <c r="BA25">
        <f>_xll.EQNXTDZ($A$1,$B25,BA$1,$B$1)</f>
        <v>4.6500000000000004</v>
      </c>
      <c r="BB25">
        <f>_xll.EQNXTDZ($A$1,$B25,BB$1,$B$1)</f>
        <v>4.5910000000000002</v>
      </c>
      <c r="BC25">
        <f>_xll.EQNXTDZ($A$1,$B25,BC$1,$B$1)</f>
        <v>4.5620000000000003</v>
      </c>
      <c r="BD25">
        <f>_xll.EQNXTDZ($A$1,$B25,BD$1,$B$1)</f>
        <v>4.0389999999999997</v>
      </c>
      <c r="BE25">
        <f>_xll.EQNXTDZ($A$1,$B25,BE$1,$B$1)</f>
        <v>3.5169999999999999</v>
      </c>
      <c r="BF25">
        <f>_xll.EQNXTDZ($A$1,$B25,BF$1,$B$1)</f>
        <v>4.1109999999999998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-7.3849999999999998</v>
      </c>
      <c r="D26">
        <f>_xll.EQNXTDZ($A$1,$B26,D$1,$B$1)</f>
        <v>-8.5109999999999992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-95.688999999999993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10.629</v>
      </c>
      <c r="D27">
        <f>_xll.EQNXTDZ($A$1,$B27,D$1,$B$1)</f>
        <v>9.1</v>
      </c>
      <c r="E27">
        <f>_xll.EQNXTDZ($A$1,$B27,E$1,$B$1)</f>
        <v>18.791</v>
      </c>
      <c r="F27">
        <f>_xll.EQNXTDZ($A$1,$B27,F$1,$B$1)</f>
        <v>18.573</v>
      </c>
      <c r="G27">
        <f>_xll.EQNXTDZ($A$1,$B27,G$1,$B$1)</f>
        <v>19.638999999999999</v>
      </c>
      <c r="H27">
        <f>_xll.EQNXTDZ($A$1,$B27,H$1,$B$1)</f>
        <v>38.36</v>
      </c>
      <c r="I27">
        <f>_xll.EQNXTDZ($A$1,$B27,I$1,$B$1)</f>
        <v>42.000999999999998</v>
      </c>
      <c r="J27">
        <f>_xll.EQNXTDZ($A$1,$B27,J$1,$B$1)</f>
        <v>47.173000000000002</v>
      </c>
      <c r="K27">
        <f>_xll.EQNXTDZ($A$1,$B27,K$1,$B$1)</f>
        <v>39.889000000000003</v>
      </c>
      <c r="L27">
        <f>_xll.EQNXTDZ($A$1,$B27,L$1,$B$1)</f>
        <v>43.110999999999997</v>
      </c>
      <c r="M27">
        <f>_xll.EQNXTDZ($A$1,$B27,M$1,$B$1)</f>
        <v>50.774000000000001</v>
      </c>
      <c r="N27">
        <f>_xll.EQNXTDZ($A$1,$B27,N$1,$B$1)</f>
        <v>46.884999999999998</v>
      </c>
      <c r="O27">
        <f>_xll.EQNXTDZ($A$1,$B27,O$1,$B$1)</f>
        <v>59.87</v>
      </c>
      <c r="P27">
        <f>_xll.EQNXTDZ($A$1,$B27,P$1,$B$1)</f>
        <v>63.994999999999997</v>
      </c>
      <c r="Q27">
        <f>_xll.EQNXTDZ($A$1,$B27,Q$1,$B$1)</f>
        <v>67.311000000000007</v>
      </c>
      <c r="R27">
        <f>_xll.EQNXTDZ($A$1,$B27,R$1,$B$1)</f>
        <v>67.772000000000006</v>
      </c>
      <c r="S27">
        <f>_xll.EQNXTDZ($A$1,$B27,S$1,$B$1)</f>
        <v>69.91</v>
      </c>
      <c r="T27">
        <f>_xll.EQNXTDZ($A$1,$B27,T$1,$B$1)</f>
        <v>74.938000000000002</v>
      </c>
      <c r="U27">
        <f>_xll.EQNXTDZ($A$1,$B27,U$1,$B$1)</f>
        <v>73.718000000000004</v>
      </c>
      <c r="V27">
        <f>_xll.EQNXTDZ($A$1,$B27,V$1,$B$1)</f>
        <v>72.613</v>
      </c>
      <c r="W27">
        <f>_xll.EQNXTDZ($A$1,$B27,W$1,$B$1)</f>
        <v>81.352000000000004</v>
      </c>
      <c r="X27">
        <f>_xll.EQNXTDZ($A$1,$B27,X$1,$B$1)</f>
        <v>92.891999999999996</v>
      </c>
      <c r="Y27">
        <f>_xll.EQNXTDZ($A$1,$B27,Y$1,$B$1)</f>
        <v>100.301</v>
      </c>
      <c r="Z27">
        <f>_xll.EQNXTDZ($A$1,$B27,Z$1,$B$1)</f>
        <v>114.718</v>
      </c>
      <c r="AA27">
        <f>_xll.EQNXTDZ($A$1,$B27,AA$1,$B$1)</f>
        <v>114.367</v>
      </c>
      <c r="AB27">
        <f>_xll.EQNXTDZ($A$1,$B27,AB$1,$B$1)</f>
        <v>130.03899999999999</v>
      </c>
      <c r="AC27">
        <f>_xll.EQNXTDZ($A$1,$B27,AC$1,$B$1)</f>
        <v>100.63200000000001</v>
      </c>
      <c r="AD27">
        <f>_xll.EQNXTDZ($A$1,$B27,AD$1,$B$1)</f>
        <v>113.456</v>
      </c>
      <c r="AE27">
        <f>_xll.EQNXTDZ($A$1,$B27,AE$1,$B$1)</f>
        <v>80.635999999999996</v>
      </c>
      <c r="AF27">
        <f>_xll.EQNXTDZ($A$1,$B27,AF$1,$B$1)</f>
        <v>81.397000000000006</v>
      </c>
      <c r="AG27">
        <f>_xll.EQNXTDZ($A$1,$B27,AG$1,$B$1)</f>
        <v>113.274</v>
      </c>
      <c r="AH27">
        <f>_xll.EQNXTDZ($A$1,$B27,AH$1,$B$1)</f>
        <v>120.548</v>
      </c>
      <c r="AI27">
        <f>_xll.EQNXTDZ($A$1,$B27,AI$1,$B$1)</f>
        <v>104.773</v>
      </c>
      <c r="AJ27">
        <f>_xll.EQNXTDZ($A$1,$B27,AJ$1,$B$1)</f>
        <v>121.157</v>
      </c>
      <c r="AK27">
        <f>_xll.EQNXTDZ($A$1,$B27,AK$1,$B$1)</f>
        <v>157.34800000000001</v>
      </c>
      <c r="AL27">
        <f>_xll.EQNXTDZ($A$1,$B27,AL$1,$B$1)</f>
        <v>172.96899999999999</v>
      </c>
      <c r="AM27">
        <f>_xll.EQNXTDZ($A$1,$B27,AM$1,$B$1)</f>
        <v>165.846</v>
      </c>
      <c r="AN27">
        <f>_xll.EQNXTDZ($A$1,$B27,AN$1,$B$1)</f>
        <v>184.48400000000001</v>
      </c>
      <c r="AO27">
        <f>_xll.EQNXTDZ($A$1,$B27,AO$1,$B$1)</f>
        <v>214.346</v>
      </c>
      <c r="AP27">
        <f>_xll.EQNXTDZ($A$1,$B27,AP$1,$B$1)</f>
        <v>236.14699999999999</v>
      </c>
      <c r="AQ27">
        <f>_xll.EQNXTDZ($A$1,$B27,AQ$1,$B$1)</f>
        <v>245.11500000000001</v>
      </c>
      <c r="AR27">
        <f>_xll.EQNXTDZ($A$1,$B27,AR$1,$B$1)</f>
        <v>240.95500000000001</v>
      </c>
      <c r="AS27">
        <f>_xll.EQNXTDZ($A$1,$B27,AS$1,$B$1)</f>
        <v>261.52600000000001</v>
      </c>
      <c r="AT27">
        <f>_xll.EQNXTDZ($A$1,$B27,AT$1,$B$1)</f>
        <v>271.29399999999998</v>
      </c>
      <c r="AU27">
        <f>_xll.EQNXTDZ($A$1,$B27,AU$1,$B$1)</f>
        <v>269.74900000000002</v>
      </c>
      <c r="AV27">
        <f>_xll.EQNXTDZ($A$1,$B27,AV$1,$B$1)</f>
        <v>288.86399999999998</v>
      </c>
      <c r="AW27">
        <f>_xll.EQNXTDZ($A$1,$B27,AW$1,$B$1)</f>
        <v>299.52300000000002</v>
      </c>
      <c r="AX27">
        <f>_xll.EQNXTDZ($A$1,$B27,AX$1,$B$1)</f>
        <v>289.98899999999998</v>
      </c>
      <c r="AY27">
        <f>_xll.EQNXTDZ($A$1,$B27,AY$1,$B$1)</f>
        <v>279.45800000000003</v>
      </c>
      <c r="AZ27">
        <f>_xll.EQNXTDZ($A$1,$B27,AZ$1,$B$1)</f>
        <v>325.86399999999998</v>
      </c>
      <c r="BA27">
        <f>_xll.EQNXTDZ($A$1,$B27,BA$1,$B$1)</f>
        <v>281.81700000000001</v>
      </c>
      <c r="BB27">
        <f>_xll.EQNXTDZ($A$1,$B27,BB$1,$B$1)</f>
        <v>246.13800000000001</v>
      </c>
      <c r="BC27">
        <f>_xll.EQNXTDZ($A$1,$B27,BC$1,$B$1)</f>
        <v>220.619</v>
      </c>
      <c r="BD27">
        <f>_xll.EQNXTDZ($A$1,$B27,BD$1,$B$1)</f>
        <v>238.166</v>
      </c>
      <c r="BE27">
        <f>_xll.EQNXTDZ($A$1,$B27,BE$1,$B$1)</f>
        <v>169.077</v>
      </c>
      <c r="BF27">
        <f>_xll.EQNXTDZ($A$1,$B27,BF$1,$B$1)</f>
        <v>291.04599999999999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5.4779999999999998</v>
      </c>
      <c r="D28">
        <f>_xll.EQNXTDZ($A$1,$B28,D$1,$B$1)</f>
        <v>6.2140000000000004</v>
      </c>
      <c r="E28">
        <f>_xll.EQNXTDZ($A$1,$B28,E$1,$B$1)</f>
        <v>6.1509999999999998</v>
      </c>
      <c r="F28">
        <f>_xll.EQNXTDZ($A$1,$B28,F$1,$B$1)</f>
        <v>5.8819999999999997</v>
      </c>
      <c r="G28">
        <f>_xll.EQNXTDZ($A$1,$B28,G$1,$B$1)</f>
        <v>5.758</v>
      </c>
      <c r="H28">
        <f>_xll.EQNXTDZ($A$1,$B28,H$1,$B$1)</f>
        <v>8.2859999999999996</v>
      </c>
      <c r="I28">
        <f>_xll.EQNXTDZ($A$1,$B28,I$1,$B$1)</f>
        <v>9.2650000000000006</v>
      </c>
      <c r="J28">
        <f>_xll.EQNXTDZ($A$1,$B28,J$1,$B$1)</f>
        <v>11.678000000000001</v>
      </c>
      <c r="K28">
        <f>_xll.EQNXTDZ($A$1,$B28,K$1,$B$1)</f>
        <v>8.9700000000000006</v>
      </c>
      <c r="L28">
        <f>_xll.EQNXTDZ($A$1,$B28,L$1,$B$1)</f>
        <v>7.8780000000000001</v>
      </c>
      <c r="M28">
        <f>_xll.EQNXTDZ($A$1,$B28,M$1,$B$1)</f>
        <v>7.2809999999999997</v>
      </c>
      <c r="N28">
        <f>_xll.EQNXTDZ($A$1,$B28,N$1,$B$1)</f>
        <v>1.4079999999999999</v>
      </c>
      <c r="O28">
        <f>_xll.EQNXTDZ($A$1,$B28,O$1,$B$1)</f>
        <v>5.2709999999999999</v>
      </c>
      <c r="P28">
        <f>_xll.EQNXTDZ($A$1,$B28,P$1,$B$1)</f>
        <v>5.6840000000000002</v>
      </c>
      <c r="Q28">
        <f>_xll.EQNXTDZ($A$1,$B28,Q$1,$B$1)</f>
        <v>5.7240000000000002</v>
      </c>
      <c r="R28">
        <f>_xll.EQNXTDZ($A$1,$B28,R$1,$B$1)</f>
        <v>5.9260000000000002</v>
      </c>
      <c r="S28">
        <f>_xll.EQNXTDZ($A$1,$B28,S$1,$B$1)</f>
        <v>6.7450000000000001</v>
      </c>
      <c r="T28">
        <f>_xll.EQNXTDZ($A$1,$B28,T$1,$B$1)</f>
        <v>6.4219999999999997</v>
      </c>
      <c r="U28">
        <f>_xll.EQNXTDZ($A$1,$B28,U$1,$B$1)</f>
        <v>6.931</v>
      </c>
      <c r="V28">
        <f>_xll.EQNXTDZ($A$1,$B28,V$1,$B$1)</f>
        <v>6.8230000000000004</v>
      </c>
      <c r="W28">
        <f>_xll.EQNXTDZ($A$1,$B28,W$1,$B$1)</f>
        <v>6.4809999999999999</v>
      </c>
      <c r="X28">
        <f>_xll.EQNXTDZ($A$1,$B28,X$1,$B$1)</f>
        <v>6.4470000000000001</v>
      </c>
      <c r="Y28">
        <f>_xll.EQNXTDZ($A$1,$B28,Y$1,$B$1)</f>
        <v>6.2850000000000001</v>
      </c>
      <c r="Z28">
        <f>_xll.EQNXTDZ($A$1,$B28,Z$1,$B$1)</f>
        <v>6.1420000000000003</v>
      </c>
      <c r="AA28">
        <f>_xll.EQNXTDZ($A$1,$B28,AA$1,$B$1)</f>
        <v>6.1040000000000001</v>
      </c>
      <c r="AB28">
        <f>_xll.EQNXTDZ($A$1,$B28,AB$1,$B$1)</f>
        <v>6.0830000000000002</v>
      </c>
      <c r="AC28">
        <f>_xll.EQNXTDZ($A$1,$B28,AC$1,$B$1)</f>
        <v>6.2169999999999996</v>
      </c>
      <c r="AD28">
        <f>_xll.EQNXTDZ($A$1,$B28,AD$1,$B$1)</f>
        <v>6.6920000000000002</v>
      </c>
      <c r="AE28">
        <f>_xll.EQNXTDZ($A$1,$B28,AE$1,$B$1)</f>
        <v>10.446999999999999</v>
      </c>
      <c r="AF28">
        <f>_xll.EQNXTDZ($A$1,$B28,AF$1,$B$1)</f>
        <v>10.96</v>
      </c>
      <c r="AG28">
        <f>_xll.EQNXTDZ($A$1,$B28,AG$1,$B$1)</f>
        <v>11.217000000000001</v>
      </c>
      <c r="AH28">
        <f>_xll.EQNXTDZ($A$1,$B28,AH$1,$B$1)</f>
        <v>10.788</v>
      </c>
      <c r="AI28">
        <f>_xll.EQNXTDZ($A$1,$B28,AI$1,$B$1)</f>
        <v>10.824</v>
      </c>
      <c r="AJ28">
        <f>_xll.EQNXTDZ($A$1,$B28,AJ$1,$B$1)</f>
        <v>11.206</v>
      </c>
      <c r="AK28">
        <f>_xll.EQNXTDZ($A$1,$B28,AK$1,$B$1)</f>
        <v>11.053000000000001</v>
      </c>
      <c r="AL28">
        <f>_xll.EQNXTDZ($A$1,$B28,AL$1,$B$1)</f>
        <v>11.298</v>
      </c>
      <c r="AM28">
        <f>_xll.EQNXTDZ($A$1,$B28,AM$1,$B$1)</f>
        <v>11.916</v>
      </c>
      <c r="AN28">
        <f>_xll.EQNXTDZ($A$1,$B28,AN$1,$B$1)</f>
        <v>13.497</v>
      </c>
      <c r="AO28">
        <f>_xll.EQNXTDZ($A$1,$B28,AO$1,$B$1)</f>
        <v>14.04</v>
      </c>
      <c r="AP28">
        <f>_xll.EQNXTDZ($A$1,$B28,AP$1,$B$1)</f>
        <v>15.882</v>
      </c>
      <c r="AQ28">
        <f>_xll.EQNXTDZ($A$1,$B28,AQ$1,$B$1)</f>
        <v>17.093</v>
      </c>
      <c r="AR28">
        <f>_xll.EQNXTDZ($A$1,$B28,AR$1,$B$1)</f>
        <v>21.788</v>
      </c>
      <c r="AS28">
        <f>_xll.EQNXTDZ($A$1,$B28,AS$1,$B$1)</f>
        <v>21.43</v>
      </c>
      <c r="AT28">
        <f>_xll.EQNXTDZ($A$1,$B28,AT$1,$B$1)</f>
        <v>21.079000000000001</v>
      </c>
      <c r="AU28">
        <f>_xll.EQNXTDZ($A$1,$B28,AU$1,$B$1)</f>
        <v>21.41</v>
      </c>
      <c r="AV28">
        <f>_xll.EQNXTDZ($A$1,$B28,AV$1,$B$1)</f>
        <v>25.009</v>
      </c>
      <c r="AW28">
        <f>_xll.EQNXTDZ($A$1,$B28,AW$1,$B$1)</f>
        <v>25.45</v>
      </c>
      <c r="AX28">
        <f>_xll.EQNXTDZ($A$1,$B28,AX$1,$B$1)</f>
        <v>27.58</v>
      </c>
      <c r="AY28">
        <f>_xll.EQNXTDZ($A$1,$B28,AY$1,$B$1)</f>
        <v>27.061</v>
      </c>
      <c r="AZ28">
        <f>_xll.EQNXTDZ($A$1,$B28,AZ$1,$B$1)</f>
        <v>27.155000000000001</v>
      </c>
      <c r="BA28">
        <f>_xll.EQNXTDZ($A$1,$B28,BA$1,$B$1)</f>
        <v>25.966999999999999</v>
      </c>
      <c r="BB28">
        <f>_xll.EQNXTDZ($A$1,$B28,BB$1,$B$1)</f>
        <v>24.687999999999999</v>
      </c>
      <c r="BC28">
        <f>_xll.EQNXTDZ($A$1,$B28,BC$1,$B$1)</f>
        <v>24.271999999999998</v>
      </c>
      <c r="BD28">
        <f>_xll.EQNXTDZ($A$1,$B28,BD$1,$B$1)</f>
        <v>23.446999999999999</v>
      </c>
      <c r="BE28">
        <f>_xll.EQNXTDZ($A$1,$B28,BE$1,$B$1)</f>
        <v>22.806999999999999</v>
      </c>
      <c r="BF28">
        <f>_xll.EQNXTDZ($A$1,$B28,BF$1,$B$1)</f>
        <v>23.274000000000001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1.472</v>
      </c>
      <c r="D29">
        <f>_xll.EQNXTDZ($A$1,$B29,D$1,$B$1)</f>
        <v>1.0740000000000001</v>
      </c>
      <c r="E29">
        <f>_xll.EQNXTDZ($A$1,$B29,E$1,$B$1)</f>
        <v>3.8919999999999999</v>
      </c>
      <c r="F29">
        <f>_xll.EQNXTDZ($A$1,$B29,F$1,$B$1)</f>
        <v>4.556</v>
      </c>
      <c r="G29">
        <f>_xll.EQNXTDZ($A$1,$B29,G$1,$B$1)</f>
        <v>4.9560000000000004</v>
      </c>
      <c r="H29">
        <f>_xll.EQNXTDZ($A$1,$B29,H$1,$B$1)</f>
        <v>10.144</v>
      </c>
      <c r="I29">
        <f>_xll.EQNXTDZ($A$1,$B29,I$1,$B$1)</f>
        <v>11.179</v>
      </c>
      <c r="J29">
        <f>_xll.EQNXTDZ($A$1,$B29,J$1,$B$1)</f>
        <v>13.646000000000001</v>
      </c>
      <c r="K29">
        <f>_xll.EQNXTDZ($A$1,$B29,K$1,$B$1)</f>
        <v>10.127000000000001</v>
      </c>
      <c r="L29">
        <f>_xll.EQNXTDZ($A$1,$B29,L$1,$B$1)</f>
        <v>11.596</v>
      </c>
      <c r="M29">
        <f>_xll.EQNXTDZ($A$1,$B29,M$1,$B$1)</f>
        <v>15.734999999999999</v>
      </c>
      <c r="N29">
        <f>_xll.EQNXTDZ($A$1,$B29,N$1,$B$1)</f>
        <v>15.643000000000001</v>
      </c>
      <c r="O29">
        <f>_xll.EQNXTDZ($A$1,$B29,O$1,$B$1)</f>
        <v>18.876999999999999</v>
      </c>
      <c r="P29">
        <f>_xll.EQNXTDZ($A$1,$B29,P$1,$B$1)</f>
        <v>20.212</v>
      </c>
      <c r="Q29">
        <f>_xll.EQNXTDZ($A$1,$B29,Q$1,$B$1)</f>
        <v>21.686</v>
      </c>
      <c r="R29">
        <f>_xll.EQNXTDZ($A$1,$B29,R$1,$B$1)</f>
        <v>20.757999999999999</v>
      </c>
      <c r="S29">
        <f>_xll.EQNXTDZ($A$1,$B29,S$1,$B$1)</f>
        <v>21.481000000000002</v>
      </c>
      <c r="T29">
        <f>_xll.EQNXTDZ($A$1,$B29,T$1,$B$1)</f>
        <v>23.055</v>
      </c>
      <c r="U29">
        <f>_xll.EQNXTDZ($A$1,$B29,U$1,$B$1)</f>
        <v>22.638000000000002</v>
      </c>
      <c r="V29">
        <f>_xll.EQNXTDZ($A$1,$B29,V$1,$B$1)</f>
        <v>22.297999999999998</v>
      </c>
      <c r="W29">
        <f>_xll.EQNXTDZ($A$1,$B29,W$1,$B$1)</f>
        <v>25.126999999999999</v>
      </c>
      <c r="X29">
        <f>_xll.EQNXTDZ($A$1,$B29,X$1,$B$1)</f>
        <v>29.204999999999998</v>
      </c>
      <c r="Y29">
        <f>_xll.EQNXTDZ($A$1,$B29,Y$1,$B$1)</f>
        <v>31.25</v>
      </c>
      <c r="Z29">
        <f>_xll.EQNXTDZ($A$1,$B29,Z$1,$B$1)</f>
        <v>38.286000000000001</v>
      </c>
      <c r="AA29">
        <f>_xll.EQNXTDZ($A$1,$B29,AA$1,$B$1)</f>
        <v>37.765000000000001</v>
      </c>
      <c r="AB29">
        <f>_xll.EQNXTDZ($A$1,$B29,AB$1,$B$1)</f>
        <v>41.773000000000003</v>
      </c>
      <c r="AC29">
        <f>_xll.EQNXTDZ($A$1,$B29,AC$1,$B$1)</f>
        <v>28.420999999999999</v>
      </c>
      <c r="AD29">
        <f>_xll.EQNXTDZ($A$1,$B29,AD$1,$B$1)</f>
        <v>35.470999999999997</v>
      </c>
      <c r="AE29">
        <f>_xll.EQNXTDZ($A$1,$B29,AE$1,$B$1)</f>
        <v>21.396000000000001</v>
      </c>
      <c r="AF29">
        <f>_xll.EQNXTDZ($A$1,$B29,AF$1,$B$1)</f>
        <v>20.63</v>
      </c>
      <c r="AG29">
        <f>_xll.EQNXTDZ($A$1,$B29,AG$1,$B$1)</f>
        <v>26.635999999999999</v>
      </c>
      <c r="AH29">
        <f>_xll.EQNXTDZ($A$1,$B29,AH$1,$B$1)</f>
        <v>27.678000000000001</v>
      </c>
      <c r="AI29">
        <f>_xll.EQNXTDZ($A$1,$B29,AI$1,$B$1)</f>
        <v>25.076000000000001</v>
      </c>
      <c r="AJ29">
        <f>_xll.EQNXTDZ($A$1,$B29,AJ$1,$B$1)</f>
        <v>31.073</v>
      </c>
      <c r="AK29">
        <f>_xll.EQNXTDZ($A$1,$B29,AK$1,$B$1)</f>
        <v>41.093000000000004</v>
      </c>
      <c r="AL29">
        <f>_xll.EQNXTDZ($A$1,$B29,AL$1,$B$1)</f>
        <v>46.503</v>
      </c>
      <c r="AM29">
        <f>_xll.EQNXTDZ($A$1,$B29,AM$1,$B$1)</f>
        <v>40.555</v>
      </c>
      <c r="AN29">
        <f>_xll.EQNXTDZ($A$1,$B29,AN$1,$B$1)</f>
        <v>45.654000000000003</v>
      </c>
      <c r="AO29">
        <f>_xll.EQNXTDZ($A$1,$B29,AO$1,$B$1)</f>
        <v>49.356000000000002</v>
      </c>
      <c r="AP29">
        <f>_xll.EQNXTDZ($A$1,$B29,AP$1,$B$1)</f>
        <v>60.253</v>
      </c>
      <c r="AQ29">
        <f>_xll.EQNXTDZ($A$1,$B29,AQ$1,$B$1)</f>
        <v>43.301000000000002</v>
      </c>
      <c r="AR29">
        <f>_xll.EQNXTDZ($A$1,$B29,AR$1,$B$1)</f>
        <v>44.889000000000003</v>
      </c>
      <c r="AS29">
        <f>_xll.EQNXTDZ($A$1,$B29,AS$1,$B$1)</f>
        <v>45.418999999999997</v>
      </c>
      <c r="AT29">
        <f>_xll.EQNXTDZ($A$1,$B29,AT$1,$B$1)</f>
        <v>48.7</v>
      </c>
      <c r="AU29">
        <f>_xll.EQNXTDZ($A$1,$B29,AU$1,$B$1)</f>
        <v>59.485999999999997</v>
      </c>
      <c r="AV29">
        <f>_xll.EQNXTDZ($A$1,$B29,AV$1,$B$1)</f>
        <v>63.837000000000003</v>
      </c>
      <c r="AW29">
        <f>_xll.EQNXTDZ($A$1,$B29,AW$1,$B$1)</f>
        <v>67.641000000000005</v>
      </c>
      <c r="AX29">
        <f>_xll.EQNXTDZ($A$1,$B29,AX$1,$B$1)</f>
        <v>65.474000000000004</v>
      </c>
      <c r="AY29">
        <f>_xll.EQNXTDZ($A$1,$B29,AY$1,$B$1)</f>
        <v>68.316999999999993</v>
      </c>
      <c r="AZ29">
        <f>_xll.EQNXTDZ($A$1,$B29,AZ$1,$B$1)</f>
        <v>69.278000000000006</v>
      </c>
      <c r="BA29">
        <f>_xll.EQNXTDZ($A$1,$B29,BA$1,$B$1)</f>
        <v>56.841999999999999</v>
      </c>
      <c r="BB29">
        <f>_xll.EQNXTDZ($A$1,$B29,BB$1,$B$1)</f>
        <v>49.03</v>
      </c>
      <c r="BC29">
        <f>_xll.EQNXTDZ($A$1,$B29,BC$1,$B$1)</f>
        <v>51.978999999999999</v>
      </c>
      <c r="BD29">
        <f>_xll.EQNXTDZ($A$1,$B29,BD$1,$B$1)</f>
        <v>59.899000000000001</v>
      </c>
      <c r="BE29">
        <f>_xll.EQNXTDZ($A$1,$B29,BE$1,$B$1)</f>
        <v>37.380000000000003</v>
      </c>
      <c r="BF29">
        <f>_xll.EQNXTDZ($A$1,$B29,BF$1,$B$1)</f>
        <v>47.420999999999999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3.6779999999999999</v>
      </c>
      <c r="D30">
        <f>_xll.EQNXTDZ($A$1,$B30,D$1,$B$1)</f>
        <v>1.8120000000000001</v>
      </c>
      <c r="E30">
        <f>_xll.EQNXTDZ($A$1,$B30,E$1,$B$1)</f>
        <v>8.7479999999999993</v>
      </c>
      <c r="F30">
        <f>_xll.EQNXTDZ($A$1,$B30,F$1,$B$1)</f>
        <v>8.1349999999999998</v>
      </c>
      <c r="G30">
        <f>_xll.EQNXTDZ($A$1,$B30,G$1,$B$1)</f>
        <v>8.9260000000000002</v>
      </c>
      <c r="H30">
        <f>_xll.EQNXTDZ($A$1,$B30,H$1,$B$1)</f>
        <v>19.93</v>
      </c>
      <c r="I30">
        <f>_xll.EQNXTDZ($A$1,$B30,I$1,$B$1)</f>
        <v>21.556999999999999</v>
      </c>
      <c r="J30">
        <f>_xll.EQNXTDZ($A$1,$B30,J$1,$B$1)</f>
        <v>21.849</v>
      </c>
      <c r="K30">
        <f>_xll.EQNXTDZ($A$1,$B30,K$1,$B$1)</f>
        <v>20.792000000000002</v>
      </c>
      <c r="L30">
        <f>_xll.EQNXTDZ($A$1,$B30,L$1,$B$1)</f>
        <v>23.635999999999999</v>
      </c>
      <c r="M30">
        <f>_xll.EQNXTDZ($A$1,$B30,M$1,$B$1)</f>
        <v>27.757999999999999</v>
      </c>
      <c r="N30">
        <f>_xll.EQNXTDZ($A$1,$B30,N$1,$B$1)</f>
        <v>29.834</v>
      </c>
      <c r="O30">
        <f>_xll.EQNXTDZ($A$1,$B30,O$1,$B$1)</f>
        <v>35.722000000000001</v>
      </c>
      <c r="P30">
        <f>_xll.EQNXTDZ($A$1,$B30,P$1,$B$1)</f>
        <v>38.098999999999997</v>
      </c>
      <c r="Q30">
        <f>_xll.EQNXTDZ($A$1,$B30,Q$1,$B$1)</f>
        <v>39.901000000000003</v>
      </c>
      <c r="R30">
        <f>_xll.EQNXTDZ($A$1,$B30,R$1,$B$1)</f>
        <v>41.088000000000001</v>
      </c>
      <c r="S30">
        <f>_xll.EQNXTDZ($A$1,$B30,S$1,$B$1)</f>
        <v>41.683999999999997</v>
      </c>
      <c r="T30">
        <f>_xll.EQNXTDZ($A$1,$B30,T$1,$B$1)</f>
        <v>45.460999999999999</v>
      </c>
      <c r="U30">
        <f>_xll.EQNXTDZ($A$1,$B30,U$1,$B$1)</f>
        <v>44.148000000000003</v>
      </c>
      <c r="V30">
        <f>_xll.EQNXTDZ($A$1,$B30,V$1,$B$1)</f>
        <v>43.491</v>
      </c>
      <c r="W30">
        <f>_xll.EQNXTDZ($A$1,$B30,W$1,$B$1)</f>
        <v>49.743000000000002</v>
      </c>
      <c r="X30">
        <f>_xll.EQNXTDZ($A$1,$B30,X$1,$B$1)</f>
        <v>57.24</v>
      </c>
      <c r="Y30">
        <f>_xll.EQNXTDZ($A$1,$B30,Y$1,$B$1)</f>
        <v>62.765999999999998</v>
      </c>
      <c r="Z30">
        <f>_xll.EQNXTDZ($A$1,$B30,Z$1,$B$1)</f>
        <v>70.289000000000001</v>
      </c>
      <c r="AA30">
        <f>_xll.EQNXTDZ($A$1,$B30,AA$1,$B$1)</f>
        <v>70.498000000000005</v>
      </c>
      <c r="AB30">
        <f>_xll.EQNXTDZ($A$1,$B30,AB$1,$B$1)</f>
        <v>82.183000000000007</v>
      </c>
      <c r="AC30">
        <f>_xll.EQNXTDZ($A$1,$B30,AC$1,$B$1)</f>
        <v>65.9939999999999</v>
      </c>
      <c r="AD30">
        <f>_xll.EQNXTDZ($A$1,$B30,AD$1,$B$1)</f>
        <v>71.293000000000006</v>
      </c>
      <c r="AE30">
        <f>_xll.EQNXTDZ($A$1,$B30,AE$1,$B$1)</f>
        <v>48.792999999999999</v>
      </c>
      <c r="AF30">
        <f>_xll.EQNXTDZ($A$1,$B30,AF$1,$B$1)</f>
        <v>49.807000000000002</v>
      </c>
      <c r="AG30">
        <f>_xll.EQNXTDZ($A$1,$B30,AG$1,$B$1)</f>
        <v>75.421000000000006</v>
      </c>
      <c r="AH30">
        <f>_xll.EQNXTDZ($A$1,$B30,AH$1,$B$1)</f>
        <v>82.081999999999994</v>
      </c>
      <c r="AI30">
        <f>_xll.EQNXTDZ($A$1,$B30,AI$1,$B$1)</f>
        <v>68.872999999999905</v>
      </c>
      <c r="AJ30">
        <f>_xll.EQNXTDZ($A$1,$B30,AJ$1,$B$1)</f>
        <v>78.878</v>
      </c>
      <c r="AK30">
        <f>_xll.EQNXTDZ($A$1,$B30,AK$1,$B$1)</f>
        <v>105.202</v>
      </c>
      <c r="AL30">
        <f>_xll.EQNXTDZ($A$1,$B30,AL$1,$B$1)</f>
        <v>115.16800000000001</v>
      </c>
      <c r="AM30">
        <f>_xll.EQNXTDZ($A$1,$B30,AM$1,$B$1)</f>
        <v>113.375</v>
      </c>
      <c r="AN30">
        <f>_xll.EQNXTDZ($A$1,$B30,AN$1,$B$1)</f>
        <v>125.333</v>
      </c>
      <c r="AO30">
        <f>_xll.EQNXTDZ($A$1,$B30,AO$1,$B$1)</f>
        <v>150.94999999999999</v>
      </c>
      <c r="AP30">
        <f>_xll.EQNXTDZ($A$1,$B30,AP$1,$B$1)</f>
        <v>160.012</v>
      </c>
      <c r="AQ30">
        <f>_xll.EQNXTDZ($A$1,$B30,AQ$1,$B$1)</f>
        <v>184.721</v>
      </c>
      <c r="AR30">
        <f>_xll.EQNXTDZ($A$1,$B30,AR$1,$B$1)</f>
        <v>174.27799999999999</v>
      </c>
      <c r="AS30">
        <f>_xll.EQNXTDZ($A$1,$B30,AS$1,$B$1)</f>
        <v>194.67699999999999</v>
      </c>
      <c r="AT30">
        <f>_xll.EQNXTDZ($A$1,$B30,AT$1,$B$1)</f>
        <v>201.51499999999999</v>
      </c>
      <c r="AU30">
        <f>_xll.EQNXTDZ($A$1,$B30,AU$1,$B$1)</f>
        <v>188.85300000000001</v>
      </c>
      <c r="AV30">
        <f>_xll.EQNXTDZ($A$1,$B30,AV$1,$B$1)</f>
        <v>200.018</v>
      </c>
      <c r="AW30">
        <f>_xll.EQNXTDZ($A$1,$B30,AW$1,$B$1)</f>
        <v>206.43199999999999</v>
      </c>
      <c r="AX30">
        <f>_xll.EQNXTDZ($A$1,$B30,AX$1,$B$1)</f>
        <v>196.935</v>
      </c>
      <c r="AY30">
        <f>_xll.EQNXTDZ($A$1,$B30,AY$1,$B$1)</f>
        <v>184.08</v>
      </c>
      <c r="AZ30">
        <f>_xll.EQNXTDZ($A$1,$B30,AZ$1,$B$1)</f>
        <v>229.43100000000001</v>
      </c>
      <c r="BA30">
        <f>_xll.EQNXTDZ($A$1,$B30,BA$1,$B$1)</f>
        <v>199.00800000000001</v>
      </c>
      <c r="BB30">
        <f>_xll.EQNXTDZ($A$1,$B30,BB$1,$B$1)</f>
        <v>172.42</v>
      </c>
      <c r="BC30">
        <f>_xll.EQNXTDZ($A$1,$B30,BC$1,$B$1)</f>
        <v>144.36799999999999</v>
      </c>
      <c r="BD30">
        <f>_xll.EQNXTDZ($A$1,$B30,BD$1,$B$1)</f>
        <v>154.82</v>
      </c>
      <c r="BE30">
        <f>_xll.EQNXTDZ($A$1,$B30,BE$1,$B$1)</f>
        <v>108.89</v>
      </c>
      <c r="BF30">
        <f>_xll.EQNXTDZ($A$1,$B30,BF$1,$B$1)</f>
        <v>220.351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-1.0660000000000001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2.613</v>
      </c>
      <c r="D38">
        <f>_xll.EQNXTDZ($A$1,$B38,D$1,$B$1)</f>
        <v>1.8120000000000001</v>
      </c>
      <c r="E38">
        <f>_xll.EQNXTDZ($A$1,$B38,E$1,$B$1)</f>
        <v>8.7479999999999993</v>
      </c>
      <c r="F38">
        <f>_xll.EQNXTDZ($A$1,$B38,F$1,$B$1)</f>
        <v>8.1349999999999998</v>
      </c>
      <c r="G38">
        <f>_xll.EQNXTDZ($A$1,$B38,G$1,$B$1)</f>
        <v>8.9260000000000002</v>
      </c>
      <c r="H38">
        <f>_xll.EQNXTDZ($A$1,$B38,H$1,$B$1)</f>
        <v>19.93</v>
      </c>
      <c r="I38">
        <f>_xll.EQNXTDZ($A$1,$B38,I$1,$B$1)</f>
        <v>21.556999999999999</v>
      </c>
      <c r="J38">
        <f>_xll.EQNXTDZ($A$1,$B38,J$1,$B$1)</f>
        <v>21.849</v>
      </c>
      <c r="K38">
        <f>_xll.EQNXTDZ($A$1,$B38,K$1,$B$1)</f>
        <v>20.792000000000002</v>
      </c>
      <c r="L38">
        <f>_xll.EQNXTDZ($A$1,$B38,L$1,$B$1)</f>
        <v>23.635999999999999</v>
      </c>
      <c r="M38">
        <f>_xll.EQNXTDZ($A$1,$B38,M$1,$B$1)</f>
        <v>27.757999999999999</v>
      </c>
      <c r="N38">
        <f>_xll.EQNXTDZ($A$1,$B38,N$1,$B$1)</f>
        <v>29.834</v>
      </c>
      <c r="O38">
        <f>_xll.EQNXTDZ($A$1,$B38,O$1,$B$1)</f>
        <v>35.722000000000001</v>
      </c>
      <c r="P38">
        <f>_xll.EQNXTDZ($A$1,$B38,P$1,$B$1)</f>
        <v>38.098999999999997</v>
      </c>
      <c r="Q38">
        <f>_xll.EQNXTDZ($A$1,$B38,Q$1,$B$1)</f>
        <v>39.901000000000003</v>
      </c>
      <c r="R38">
        <f>_xll.EQNXTDZ($A$1,$B38,R$1,$B$1)</f>
        <v>41.088000000000001</v>
      </c>
      <c r="S38">
        <f>_xll.EQNXTDZ($A$1,$B38,S$1,$B$1)</f>
        <v>41.683999999999997</v>
      </c>
      <c r="T38">
        <f>_xll.EQNXTDZ($A$1,$B38,T$1,$B$1)</f>
        <v>45.460999999999999</v>
      </c>
      <c r="U38">
        <f>_xll.EQNXTDZ($A$1,$B38,U$1,$B$1)</f>
        <v>44.148000000000003</v>
      </c>
      <c r="V38">
        <f>_xll.EQNXTDZ($A$1,$B38,V$1,$B$1)</f>
        <v>43.491</v>
      </c>
      <c r="W38">
        <f>_xll.EQNXTDZ($A$1,$B38,W$1,$B$1)</f>
        <v>49.743000000000002</v>
      </c>
      <c r="X38">
        <f>_xll.EQNXTDZ($A$1,$B38,X$1,$B$1)</f>
        <v>57.24</v>
      </c>
      <c r="Y38">
        <f>_xll.EQNXTDZ($A$1,$B38,Y$1,$B$1)</f>
        <v>62.765999999999998</v>
      </c>
      <c r="Z38">
        <f>_xll.EQNXTDZ($A$1,$B38,Z$1,$B$1)</f>
        <v>70.289000000000001</v>
      </c>
      <c r="AA38">
        <f>_xll.EQNXTDZ($A$1,$B38,AA$1,$B$1)</f>
        <v>70.498000000000005</v>
      </c>
      <c r="AB38">
        <f>_xll.EQNXTDZ($A$1,$B38,AB$1,$B$1)</f>
        <v>82.183000000000007</v>
      </c>
      <c r="AC38">
        <f>_xll.EQNXTDZ($A$1,$B38,AC$1,$B$1)</f>
        <v>65.9939999999999</v>
      </c>
      <c r="AD38">
        <f>_xll.EQNXTDZ($A$1,$B38,AD$1,$B$1)</f>
        <v>71.293000000000006</v>
      </c>
      <c r="AE38">
        <f>_xll.EQNXTDZ($A$1,$B38,AE$1,$B$1)</f>
        <v>48.792999999999999</v>
      </c>
      <c r="AF38">
        <f>_xll.EQNXTDZ($A$1,$B38,AF$1,$B$1)</f>
        <v>49.807000000000002</v>
      </c>
      <c r="AG38">
        <f>_xll.EQNXTDZ($A$1,$B38,AG$1,$B$1)</f>
        <v>75.421000000000006</v>
      </c>
      <c r="AH38">
        <f>_xll.EQNXTDZ($A$1,$B38,AH$1,$B$1)</f>
        <v>82.081999999999994</v>
      </c>
      <c r="AI38">
        <f>_xll.EQNXTDZ($A$1,$B38,AI$1,$B$1)</f>
        <v>68.872999999999905</v>
      </c>
      <c r="AJ38">
        <f>_xll.EQNXTDZ($A$1,$B38,AJ$1,$B$1)</f>
        <v>78.878</v>
      </c>
      <c r="AK38">
        <f>_xll.EQNXTDZ($A$1,$B38,AK$1,$B$1)</f>
        <v>105.202</v>
      </c>
      <c r="AL38">
        <f>_xll.EQNXTDZ($A$1,$B38,AL$1,$B$1)</f>
        <v>115.16800000000001</v>
      </c>
      <c r="AM38">
        <f>_xll.EQNXTDZ($A$1,$B38,AM$1,$B$1)</f>
        <v>113.375</v>
      </c>
      <c r="AN38">
        <f>_xll.EQNXTDZ($A$1,$B38,AN$1,$B$1)</f>
        <v>125.333</v>
      </c>
      <c r="AO38">
        <f>_xll.EQNXTDZ($A$1,$B38,AO$1,$B$1)</f>
        <v>150.94999999999999</v>
      </c>
      <c r="AP38">
        <f>_xll.EQNXTDZ($A$1,$B38,AP$1,$B$1)</f>
        <v>160.012</v>
      </c>
      <c r="AQ38">
        <f>_xll.EQNXTDZ($A$1,$B38,AQ$1,$B$1)</f>
        <v>184.721</v>
      </c>
      <c r="AR38">
        <f>_xll.EQNXTDZ($A$1,$B38,AR$1,$B$1)</f>
        <v>174.27799999999999</v>
      </c>
      <c r="AS38">
        <f>_xll.EQNXTDZ($A$1,$B38,AS$1,$B$1)</f>
        <v>194.67699999999999</v>
      </c>
      <c r="AT38">
        <f>_xll.EQNXTDZ($A$1,$B38,AT$1,$B$1)</f>
        <v>201.51499999999999</v>
      </c>
      <c r="AU38">
        <f>_xll.EQNXTDZ($A$1,$B38,AU$1,$B$1)</f>
        <v>188.85300000000001</v>
      </c>
      <c r="AV38">
        <f>_xll.EQNXTDZ($A$1,$B38,AV$1,$B$1)</f>
        <v>200.018</v>
      </c>
      <c r="AW38">
        <f>_xll.EQNXTDZ($A$1,$B38,AW$1,$B$1)</f>
        <v>206.43199999999999</v>
      </c>
      <c r="AX38">
        <f>_xll.EQNXTDZ($A$1,$B38,AX$1,$B$1)</f>
        <v>196.935</v>
      </c>
      <c r="AY38">
        <f>_xll.EQNXTDZ($A$1,$B38,AY$1,$B$1)</f>
        <v>184.08</v>
      </c>
      <c r="AZ38">
        <f>_xll.EQNXTDZ($A$1,$B38,AZ$1,$B$1)</f>
        <v>229.43100000000001</v>
      </c>
      <c r="BA38">
        <f>_xll.EQNXTDZ($A$1,$B38,BA$1,$B$1)</f>
        <v>199.00800000000001</v>
      </c>
      <c r="BB38">
        <f>_xll.EQNXTDZ($A$1,$B38,BB$1,$B$1)</f>
        <v>172.42</v>
      </c>
      <c r="BC38">
        <f>_xll.EQNXTDZ($A$1,$B38,BC$1,$B$1)</f>
        <v>144.36799999999999</v>
      </c>
      <c r="BD38">
        <f>_xll.EQNXTDZ($A$1,$B38,BD$1,$B$1)</f>
        <v>154.82</v>
      </c>
      <c r="BE38">
        <f>_xll.EQNXTDZ($A$1,$B38,BE$1,$B$1)</f>
        <v>108.89</v>
      </c>
      <c r="BF38">
        <f>_xll.EQNXTDZ($A$1,$B38,BF$1,$B$1)</f>
        <v>220.351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-5.8999999999999997E-2</v>
      </c>
      <c r="T40">
        <f>_xll.EQNXTDZ($A$1,$B40,T$1,$B$1)</f>
        <v>-2.02</v>
      </c>
      <c r="U40">
        <f>_xll.EQNXTDZ($A$1,$B40,U$1,$B$1)</f>
        <v>-0.43099999999999999</v>
      </c>
      <c r="V40">
        <f>_xll.EQNXTDZ($A$1,$B40,V$1,$B$1)</f>
        <v>0.11600000000000001</v>
      </c>
      <c r="W40">
        <f>_xll.EQNXTDZ($A$1,$B40,W$1,$B$1)</f>
        <v>-0.69399999999999995</v>
      </c>
      <c r="X40">
        <f>_xll.EQNXTDZ($A$1,$B40,X$1,$B$1)</f>
        <v>0.501</v>
      </c>
      <c r="Y40">
        <f>_xll.EQNXTDZ($A$1,$B40,Y$1,$B$1)</f>
        <v>0.90700000000000003</v>
      </c>
      <c r="Z40">
        <f>_xll.EQNXTDZ($A$1,$B40,Z$1,$B$1)</f>
        <v>-0.106</v>
      </c>
      <c r="AA40">
        <f>_xll.EQNXTDZ($A$1,$B40,AA$1,$B$1)</f>
        <v>-0.502</v>
      </c>
      <c r="AB40">
        <f>_xll.EQNXTDZ($A$1,$B40,AB$1,$B$1)</f>
        <v>-1.1919999999999999</v>
      </c>
      <c r="AC40">
        <f>_xll.EQNXTDZ($A$1,$B40,AC$1,$B$1)</f>
        <v>-0.877</v>
      </c>
      <c r="AD40">
        <f>_xll.EQNXTDZ($A$1,$B40,AD$1,$B$1)</f>
        <v>-0.41199999999999998</v>
      </c>
      <c r="AE40">
        <f>_xll.EQNXTDZ($A$1,$B40,AE$1,$B$1)</f>
        <v>-0.85199999999999998</v>
      </c>
      <c r="AF40">
        <f>_xll.EQNXTDZ($A$1,$B40,AF$1,$B$1)</f>
        <v>-1.8440000000000001</v>
      </c>
      <c r="AG40">
        <f>_xll.EQNXTDZ($A$1,$B40,AG$1,$B$1)</f>
        <v>0.23100000000000001</v>
      </c>
      <c r="AH40">
        <f>_xll.EQNXTDZ($A$1,$B40,AH$1,$B$1)</f>
        <v>-1.7989999999999999</v>
      </c>
      <c r="AI40">
        <f>_xll.EQNXTDZ($A$1,$B40,AI$1,$B$1)</f>
        <v>-1.333</v>
      </c>
      <c r="AJ40">
        <f>_xll.EQNXTDZ($A$1,$B40,AJ$1,$B$1)</f>
        <v>0.38600000000000001</v>
      </c>
      <c r="AK40">
        <f>_xll.EQNXTDZ($A$1,$B40,AK$1,$B$1)</f>
        <v>-1.3839999999999999</v>
      </c>
      <c r="AL40">
        <f>_xll.EQNXTDZ($A$1,$B40,AL$1,$B$1)</f>
        <v>-0.89800000000000002</v>
      </c>
      <c r="AM40">
        <f>_xll.EQNXTDZ($A$1,$B40,AM$1,$B$1)</f>
        <v>8.9999999999999993E-3</v>
      </c>
      <c r="AN40">
        <f>_xll.EQNXTDZ($A$1,$B40,AN$1,$B$1)</f>
        <v>-1.367</v>
      </c>
      <c r="AO40">
        <f>_xll.EQNXTDZ($A$1,$B40,AO$1,$B$1)</f>
        <v>0.54800000000000004</v>
      </c>
      <c r="AP40">
        <f>_xll.EQNXTDZ($A$1,$B40,AP$1,$B$1)</f>
        <v>-1.204</v>
      </c>
      <c r="AQ40">
        <f>_xll.EQNXTDZ($A$1,$B40,AQ$1,$B$1)</f>
        <v>-2.6070000000000002</v>
      </c>
      <c r="AR40">
        <f>_xll.EQNXTDZ($A$1,$B40,AR$1,$B$1)</f>
        <v>-0.59299999999999997</v>
      </c>
      <c r="AS40">
        <f>_xll.EQNXTDZ($A$1,$B40,AS$1,$B$1)</f>
        <v>2.1999999999999999E-2</v>
      </c>
      <c r="AT40">
        <f>_xll.EQNXTDZ($A$1,$B40,AT$1,$B$1)</f>
        <v>-2.4750000000000001</v>
      </c>
      <c r="AU40">
        <f>_xll.EQNXTDZ($A$1,$B40,AU$1,$B$1)</f>
        <v>-0.34499999999999997</v>
      </c>
      <c r="AV40">
        <f>_xll.EQNXTDZ($A$1,$B40,AV$1,$B$1)</f>
        <v>-5.8780000000000001</v>
      </c>
      <c r="AW40">
        <f>_xll.EQNXTDZ($A$1,$B40,AW$1,$B$1)</f>
        <v>-1.8280000000000001</v>
      </c>
      <c r="AX40">
        <f>_xll.EQNXTDZ($A$1,$B40,AX$1,$B$1)</f>
        <v>-1.925</v>
      </c>
      <c r="AY40">
        <f>_xll.EQNXTDZ($A$1,$B40,AY$1,$B$1)</f>
        <v>1.1040000000000001</v>
      </c>
      <c r="AZ40">
        <f>_xll.EQNXTDZ($A$1,$B40,AZ$1,$B$1)</f>
        <v>-2.2240000000000002</v>
      </c>
      <c r="BA40">
        <f>_xll.EQNXTDZ($A$1,$B40,BA$1,$B$1)</f>
        <v>-3.4180000000000001</v>
      </c>
      <c r="BB40">
        <f>_xll.EQNXTDZ($A$1,$B40,BB$1,$B$1)</f>
        <v>-0.22800000000000001</v>
      </c>
      <c r="BC40">
        <f>_xll.EQNXTDZ($A$1,$B40,BC$1,$B$1)</f>
        <v>0.154</v>
      </c>
      <c r="BD40">
        <f>_xll.EQNXTDZ($A$1,$B40,BD$1,$B$1)</f>
        <v>1.466</v>
      </c>
      <c r="BE40">
        <f>_xll.EQNXTDZ($A$1,$B40,BE$1,$B$1)</f>
        <v>-1.4590000000000001</v>
      </c>
      <c r="BF40">
        <f>_xll.EQNXTDZ($A$1,$B40,BF$1,$B$1)</f>
        <v>6.3319999999999999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35.722000000000001</v>
      </c>
      <c r="P41">
        <f>_xll.EQNXTDZ($A$1,$B41,P$1,$B$1)</f>
        <v>38.098999999999997</v>
      </c>
      <c r="Q41">
        <f>_xll.EQNXTDZ($A$1,$B41,Q$1,$B$1)</f>
        <v>39.901000000000003</v>
      </c>
      <c r="R41">
        <f>_xll.EQNXTDZ($A$1,$B41,R$1,$B$1)</f>
        <v>41.088000000000001</v>
      </c>
      <c r="S41">
        <f>_xll.EQNXTDZ($A$1,$B41,S$1,$B$1)</f>
        <v>41.625</v>
      </c>
      <c r="T41">
        <f>_xll.EQNXTDZ($A$1,$B41,T$1,$B$1)</f>
        <v>43.441000000000003</v>
      </c>
      <c r="U41">
        <f>_xll.EQNXTDZ($A$1,$B41,U$1,$B$1)</f>
        <v>43.716999999999999</v>
      </c>
      <c r="V41">
        <f>_xll.EQNXTDZ($A$1,$B41,V$1,$B$1)</f>
        <v>43.607999999999997</v>
      </c>
      <c r="W41">
        <f>_xll.EQNXTDZ($A$1,$B41,W$1,$B$1)</f>
        <v>49.05</v>
      </c>
      <c r="X41">
        <f>_xll.EQNXTDZ($A$1,$B41,X$1,$B$1)</f>
        <v>57.74</v>
      </c>
      <c r="Y41">
        <f>_xll.EQNXTDZ($A$1,$B41,Y$1,$B$1)</f>
        <v>63.673000000000002</v>
      </c>
      <c r="Z41">
        <f>_xll.EQNXTDZ($A$1,$B41,Z$1,$B$1)</f>
        <v>70.183000000000007</v>
      </c>
      <c r="AA41">
        <f>_xll.EQNXTDZ($A$1,$B41,AA$1,$B$1)</f>
        <v>69.995999999999995</v>
      </c>
      <c r="AB41">
        <f>_xll.EQNXTDZ($A$1,$B41,AB$1,$B$1)</f>
        <v>80.992000000000004</v>
      </c>
      <c r="AC41">
        <f>_xll.EQNXTDZ($A$1,$B41,AC$1,$B$1)</f>
        <v>65.117000000000004</v>
      </c>
      <c r="AD41">
        <f>_xll.EQNXTDZ($A$1,$B41,AD$1,$B$1)</f>
        <v>70.881</v>
      </c>
      <c r="AE41">
        <f>_xll.EQNXTDZ($A$1,$B41,AE$1,$B$1)</f>
        <v>47.941000000000003</v>
      </c>
      <c r="AF41">
        <f>_xll.EQNXTDZ($A$1,$B41,AF$1,$B$1)</f>
        <v>47.960999999999999</v>
      </c>
      <c r="AG41">
        <f>_xll.EQNXTDZ($A$1,$B41,AG$1,$B$1)</f>
        <v>75.650999999999996</v>
      </c>
      <c r="AH41">
        <f>_xll.EQNXTDZ($A$1,$B41,AH$1,$B$1)</f>
        <v>80.283000000000001</v>
      </c>
      <c r="AI41">
        <f>_xll.EQNXTDZ($A$1,$B41,AI$1,$B$1)</f>
        <v>67.540000000000006</v>
      </c>
      <c r="AJ41">
        <f>_xll.EQNXTDZ($A$1,$B41,AJ$1,$B$1)</f>
        <v>79.265000000000001</v>
      </c>
      <c r="AK41">
        <f>_xll.EQNXTDZ($A$1,$B41,AK$1,$B$1)</f>
        <v>103.81699999999999</v>
      </c>
      <c r="AL41">
        <f>_xll.EQNXTDZ($A$1,$B41,AL$1,$B$1)</f>
        <v>114.27</v>
      </c>
      <c r="AM41">
        <f>_xll.EQNXTDZ($A$1,$B41,AM$1,$B$1)</f>
        <v>113.38500000000001</v>
      </c>
      <c r="AN41">
        <f>_xll.EQNXTDZ($A$1,$B41,AN$1,$B$1)</f>
        <v>123.967</v>
      </c>
      <c r="AO41">
        <f>_xll.EQNXTDZ($A$1,$B41,AO$1,$B$1)</f>
        <v>151.499</v>
      </c>
      <c r="AP41">
        <f>_xll.EQNXTDZ($A$1,$B41,AP$1,$B$1)</f>
        <v>158.80799999999999</v>
      </c>
      <c r="AQ41">
        <f>_xll.EQNXTDZ($A$1,$B41,AQ$1,$B$1)</f>
        <v>182.114</v>
      </c>
      <c r="AR41">
        <f>_xll.EQNXTDZ($A$1,$B41,AR$1,$B$1)</f>
        <v>173.684</v>
      </c>
      <c r="AS41">
        <f>_xll.EQNXTDZ($A$1,$B41,AS$1,$B$1)</f>
        <v>194.7</v>
      </c>
      <c r="AT41">
        <f>_xll.EQNXTDZ($A$1,$B41,AT$1,$B$1)</f>
        <v>199.041</v>
      </c>
      <c r="AU41">
        <f>_xll.EQNXTDZ($A$1,$B41,AU$1,$B$1)</f>
        <v>188.50700000000001</v>
      </c>
      <c r="AV41">
        <f>_xll.EQNXTDZ($A$1,$B41,AV$1,$B$1)</f>
        <v>194.14</v>
      </c>
      <c r="AW41">
        <f>_xll.EQNXTDZ($A$1,$B41,AW$1,$B$1)</f>
        <v>204.60400000000001</v>
      </c>
      <c r="AX41">
        <f>_xll.EQNXTDZ($A$1,$B41,AX$1,$B$1)</f>
        <v>195.01</v>
      </c>
      <c r="AY41">
        <f>_xll.EQNXTDZ($A$1,$B41,AY$1,$B$1)</f>
        <v>185.184</v>
      </c>
      <c r="AZ41">
        <f>_xll.EQNXTDZ($A$1,$B41,AZ$1,$B$1)</f>
        <v>227.208</v>
      </c>
      <c r="BA41">
        <f>_xll.EQNXTDZ($A$1,$B41,BA$1,$B$1)</f>
        <v>195.58799999999999</v>
      </c>
      <c r="BB41">
        <f>_xll.EQNXTDZ($A$1,$B41,BB$1,$B$1)</f>
        <v>172.19</v>
      </c>
      <c r="BC41">
        <f>_xll.EQNXTDZ($A$1,$B41,BC$1,$B$1)</f>
        <v>144.52199999999999</v>
      </c>
      <c r="BD41">
        <f>_xll.EQNXTDZ($A$1,$B41,BD$1,$B$1)</f>
        <v>156.285</v>
      </c>
      <c r="BE41">
        <f>_xll.EQNXTDZ($A$1,$B41,BE$1,$B$1)</f>
        <v>107.434</v>
      </c>
      <c r="BF41">
        <f>_xll.EQNXTDZ($A$1,$B41,BF$1,$B$1)</f>
        <v>226.68299999999999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2.613</v>
      </c>
      <c r="D42">
        <f>_xll.EQNXTDZ($A$1,$B42,D$1,$B$1)</f>
        <v>1.8120000000000001</v>
      </c>
      <c r="E42">
        <f>_xll.EQNXTDZ($A$1,$B42,E$1,$B$1)</f>
        <v>8.7479999999999993</v>
      </c>
      <c r="F42">
        <f>_xll.EQNXTDZ($A$1,$B42,F$1,$B$1)</f>
        <v>8.1349999999999998</v>
      </c>
      <c r="G42">
        <f>_xll.EQNXTDZ($A$1,$B42,G$1,$B$1)</f>
        <v>8.9260000000000002</v>
      </c>
      <c r="H42">
        <f>_xll.EQNXTDZ($A$1,$B42,H$1,$B$1)</f>
        <v>19.93</v>
      </c>
      <c r="I42">
        <f>_xll.EQNXTDZ($A$1,$B42,I$1,$B$1)</f>
        <v>21.556999999999999</v>
      </c>
      <c r="J42">
        <f>_xll.EQNXTDZ($A$1,$B42,J$1,$B$1)</f>
        <v>21.849</v>
      </c>
      <c r="K42">
        <f>_xll.EQNXTDZ($A$1,$B42,K$1,$B$1)</f>
        <v>20.792000000000002</v>
      </c>
      <c r="L42">
        <f>_xll.EQNXTDZ($A$1,$B42,L$1,$B$1)</f>
        <v>23.635999999999999</v>
      </c>
      <c r="M42">
        <f>_xll.EQNXTDZ($A$1,$B42,M$1,$B$1)</f>
        <v>27.757999999999999</v>
      </c>
      <c r="N42">
        <f>_xll.EQNXTDZ($A$1,$B42,N$1,$B$1)</f>
        <v>29.834</v>
      </c>
      <c r="O42">
        <f>_xll.EQNXTDZ($A$1,$B42,O$1,$B$1)</f>
        <v>35.722000000000001</v>
      </c>
      <c r="P42">
        <f>_xll.EQNXTDZ($A$1,$B42,P$1,$B$1)</f>
        <v>38.098999999999997</v>
      </c>
      <c r="Q42">
        <f>_xll.EQNXTDZ($A$1,$B42,Q$1,$B$1)</f>
        <v>39.901000000000003</v>
      </c>
      <c r="R42">
        <f>_xll.EQNXTDZ($A$1,$B42,R$1,$B$1)</f>
        <v>41.088000000000001</v>
      </c>
      <c r="S42">
        <f>_xll.EQNXTDZ($A$1,$B42,S$1,$B$1)</f>
        <v>41.683999999999997</v>
      </c>
      <c r="T42">
        <f>_xll.EQNXTDZ($A$1,$B42,T$1,$B$1)</f>
        <v>45.460999999999999</v>
      </c>
      <c r="U42">
        <f>_xll.EQNXTDZ($A$1,$B42,U$1,$B$1)</f>
        <v>44.148000000000003</v>
      </c>
      <c r="V42">
        <f>_xll.EQNXTDZ($A$1,$B42,V$1,$B$1)</f>
        <v>43.491</v>
      </c>
      <c r="W42">
        <f>_xll.EQNXTDZ($A$1,$B42,W$1,$B$1)</f>
        <v>49.743000000000002</v>
      </c>
      <c r="X42">
        <f>_xll.EQNXTDZ($A$1,$B42,X$1,$B$1)</f>
        <v>57.24</v>
      </c>
      <c r="Y42">
        <f>_xll.EQNXTDZ($A$1,$B42,Y$1,$B$1)</f>
        <v>62.765999999999998</v>
      </c>
      <c r="Z42">
        <f>_xll.EQNXTDZ($A$1,$B42,Z$1,$B$1)</f>
        <v>70.289000000000001</v>
      </c>
      <c r="AA42">
        <f>_xll.EQNXTDZ($A$1,$B42,AA$1,$B$1)</f>
        <v>70.498000000000005</v>
      </c>
      <c r="AB42">
        <f>_xll.EQNXTDZ($A$1,$B42,AB$1,$B$1)</f>
        <v>82.183000000000007</v>
      </c>
      <c r="AC42">
        <f>_xll.EQNXTDZ($A$1,$B42,AC$1,$B$1)</f>
        <v>65.9939999999999</v>
      </c>
      <c r="AD42">
        <f>_xll.EQNXTDZ($A$1,$B42,AD$1,$B$1)</f>
        <v>71.293000000000006</v>
      </c>
      <c r="AE42">
        <f>_xll.EQNXTDZ($A$1,$B42,AE$1,$B$1)</f>
        <v>48.792999999999999</v>
      </c>
      <c r="AF42">
        <f>_xll.EQNXTDZ($A$1,$B42,AF$1,$B$1)</f>
        <v>49.807000000000002</v>
      </c>
      <c r="AG42">
        <f>_xll.EQNXTDZ($A$1,$B42,AG$1,$B$1)</f>
        <v>75.421000000000006</v>
      </c>
      <c r="AH42">
        <f>_xll.EQNXTDZ($A$1,$B42,AH$1,$B$1)</f>
        <v>82.081999999999994</v>
      </c>
      <c r="AI42">
        <f>_xll.EQNXTDZ($A$1,$B42,AI$1,$B$1)</f>
        <v>68.872999999999905</v>
      </c>
      <c r="AJ42">
        <f>_xll.EQNXTDZ($A$1,$B42,AJ$1,$B$1)</f>
        <v>78.878</v>
      </c>
      <c r="AK42">
        <f>_xll.EQNXTDZ($A$1,$B42,AK$1,$B$1)</f>
        <v>105.202</v>
      </c>
      <c r="AL42">
        <f>_xll.EQNXTDZ($A$1,$B42,AL$1,$B$1)</f>
        <v>115.16800000000001</v>
      </c>
      <c r="AM42">
        <f>_xll.EQNXTDZ($A$1,$B42,AM$1,$B$1)</f>
        <v>113.375</v>
      </c>
      <c r="AN42">
        <f>_xll.EQNXTDZ($A$1,$B42,AN$1,$B$1)</f>
        <v>125.333</v>
      </c>
      <c r="AO42">
        <f>_xll.EQNXTDZ($A$1,$B42,AO$1,$B$1)</f>
        <v>150.94999999999999</v>
      </c>
      <c r="AP42">
        <f>_xll.EQNXTDZ($A$1,$B42,AP$1,$B$1)</f>
        <v>160.012</v>
      </c>
      <c r="AQ42">
        <f>_xll.EQNXTDZ($A$1,$B42,AQ$1,$B$1)</f>
        <v>184.721</v>
      </c>
      <c r="AR42">
        <f>_xll.EQNXTDZ($A$1,$B42,AR$1,$B$1)</f>
        <v>174.27799999999999</v>
      </c>
      <c r="AS42">
        <f>_xll.EQNXTDZ($A$1,$B42,AS$1,$B$1)</f>
        <v>194.67699999999999</v>
      </c>
      <c r="AT42">
        <f>_xll.EQNXTDZ($A$1,$B42,AT$1,$B$1)</f>
        <v>201.51499999999999</v>
      </c>
      <c r="AU42">
        <f>_xll.EQNXTDZ($A$1,$B42,AU$1,$B$1)</f>
        <v>188.85300000000001</v>
      </c>
      <c r="AV42">
        <f>_xll.EQNXTDZ($A$1,$B42,AV$1,$B$1)</f>
        <v>200.018</v>
      </c>
      <c r="AW42">
        <f>_xll.EQNXTDZ($A$1,$B42,AW$1,$B$1)</f>
        <v>206.43199999999999</v>
      </c>
      <c r="AX42">
        <f>_xll.EQNXTDZ($A$1,$B42,AX$1,$B$1)</f>
        <v>196.935</v>
      </c>
      <c r="AY42">
        <f>_xll.EQNXTDZ($A$1,$B42,AY$1,$B$1)</f>
        <v>184.08</v>
      </c>
      <c r="AZ42">
        <f>_xll.EQNXTDZ($A$1,$B42,AZ$1,$B$1)</f>
        <v>229.43100000000001</v>
      </c>
      <c r="BA42">
        <f>_xll.EQNXTDZ($A$1,$B42,BA$1,$B$1)</f>
        <v>199.00800000000001</v>
      </c>
      <c r="BB42">
        <f>_xll.EQNXTDZ($A$1,$B42,BB$1,$B$1)</f>
        <v>172.42</v>
      </c>
      <c r="BC42">
        <f>_xll.EQNXTDZ($A$1,$B42,BC$1,$B$1)</f>
        <v>144.36799999999999</v>
      </c>
      <c r="BD42">
        <f>_xll.EQNXTDZ($A$1,$B42,BD$1,$B$1)</f>
        <v>154.82</v>
      </c>
      <c r="BE42">
        <f>_xll.EQNXTDZ($A$1,$B42,BE$1,$B$1)</f>
        <v>108.89</v>
      </c>
      <c r="BF42">
        <f>_xll.EQNXTDZ($A$1,$B42,BF$1,$B$1)</f>
        <v>220.351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31.138000000000002</v>
      </c>
      <c r="D45">
        <f>_xll.EQNXTDZ($A$1,$B45,D$1,$B$1)</f>
        <v>31.138000000000002</v>
      </c>
      <c r="E45">
        <f>_xll.EQNXTDZ($A$1,$B45,E$1,$B$1)</f>
        <v>31.138000000000002</v>
      </c>
      <c r="F45">
        <f>_xll.EQNXTDZ($A$1,$B45,F$1,$B$1)</f>
        <v>31.138000000000002</v>
      </c>
      <c r="G45">
        <f>_xll.EQNXTDZ($A$1,$B45,G$1,$B$1)</f>
        <v>31.138000000000002</v>
      </c>
      <c r="H45">
        <f>_xll.EQNXTDZ($A$1,$B45,H$1,$B$1)</f>
        <v>31.138000000000002</v>
      </c>
      <c r="I45">
        <f>_xll.EQNXTDZ($A$1,$B45,I$1,$B$1)</f>
        <v>31.138000000000002</v>
      </c>
      <c r="J45">
        <f>_xll.EQNXTDZ($A$1,$B45,J$1,$B$1)</f>
        <v>31.138000000000002</v>
      </c>
      <c r="K45">
        <f>_xll.EQNXTDZ($A$1,$B45,K$1,$B$1)</f>
        <v>31.138000000000002</v>
      </c>
      <c r="L45">
        <f>_xll.EQNXTDZ($A$1,$B45,L$1,$B$1)</f>
        <v>31.138000000000002</v>
      </c>
      <c r="M45">
        <f>_xll.EQNXTDZ($A$1,$B45,M$1,$B$1)</f>
        <v>31.138000000000002</v>
      </c>
      <c r="N45">
        <f>_xll.EQNXTDZ($A$1,$B45,N$1,$B$1)</f>
        <v>31.138000000000002</v>
      </c>
      <c r="O45">
        <f>_xll.EQNXTDZ($A$1,$B45,O$1,$B$1)</f>
        <v>31.138000000000002</v>
      </c>
      <c r="P45">
        <f>_xll.EQNXTDZ($A$1,$B45,P$1,$B$1)</f>
        <v>31.138000000000002</v>
      </c>
      <c r="Q45">
        <f>_xll.EQNXTDZ($A$1,$B45,Q$1,$B$1)</f>
        <v>31.138000000000002</v>
      </c>
      <c r="R45">
        <f>_xll.EQNXTDZ($A$1,$B45,R$1,$B$1)</f>
        <v>31.138000000000002</v>
      </c>
      <c r="S45">
        <f>_xll.EQNXTDZ($A$1,$B45,S$1,$B$1)</f>
        <v>31.138000000000002</v>
      </c>
      <c r="T45">
        <f>_xll.EQNXTDZ($A$1,$B45,T$1,$B$1)</f>
        <v>31.138000000000002</v>
      </c>
      <c r="U45">
        <f>_xll.EQNXTDZ($A$1,$B45,U$1,$B$1)</f>
        <v>31.138000000000002</v>
      </c>
      <c r="V45">
        <f>_xll.EQNXTDZ($A$1,$B45,V$1,$B$1)</f>
        <v>31.138000000000002</v>
      </c>
      <c r="W45">
        <f>_xll.EQNXTDZ($A$1,$B45,W$1,$B$1)</f>
        <v>31.138000000000002</v>
      </c>
      <c r="X45">
        <f>_xll.EQNXTDZ($A$1,$B45,X$1,$B$1)</f>
        <v>62.276000000000003</v>
      </c>
      <c r="Y45">
        <f>_xll.EQNXTDZ($A$1,$B45,Y$1,$B$1)</f>
        <v>62.276000000000003</v>
      </c>
      <c r="Z45">
        <f>_xll.EQNXTDZ($A$1,$B45,Z$1,$B$1)</f>
        <v>62.276000000000003</v>
      </c>
      <c r="AA45">
        <f>_xll.EQNXTDZ($A$1,$B45,AA$1,$B$1)</f>
        <v>62.276000000000003</v>
      </c>
      <c r="AB45">
        <f>_xll.EQNXTDZ($A$1,$B45,AB$1,$B$1)</f>
        <v>62.276000000000003</v>
      </c>
      <c r="AC45">
        <f>_xll.EQNXTDZ($A$1,$B45,AC$1,$B$1)</f>
        <v>62.276000000000003</v>
      </c>
      <c r="AD45">
        <f>_xll.EQNXTDZ($A$1,$B45,AD$1,$B$1)</f>
        <v>62.276000000000003</v>
      </c>
      <c r="AE45">
        <f>_xll.EQNXTDZ($A$1,$B45,AE$1,$B$1)</f>
        <v>62.276000000000003</v>
      </c>
      <c r="AF45">
        <f>_xll.EQNXTDZ($A$1,$B45,AF$1,$B$1)</f>
        <v>62.276000000000003</v>
      </c>
      <c r="AG45">
        <f>_xll.EQNXTDZ($A$1,$B45,AG$1,$B$1)</f>
        <v>62.276000000000003</v>
      </c>
      <c r="AH45">
        <f>_xll.EQNXTDZ($A$1,$B45,AH$1,$B$1)</f>
        <v>62.276000000000003</v>
      </c>
      <c r="AI45">
        <f>_xll.EQNXTDZ($A$1,$B45,AI$1,$B$1)</f>
        <v>62.276000000000003</v>
      </c>
      <c r="AJ45">
        <f>_xll.EQNXTDZ($A$1,$B45,AJ$1,$B$1)</f>
        <v>62.276000000000003</v>
      </c>
      <c r="AK45">
        <f>_xll.EQNXTDZ($A$1,$B45,AK$1,$B$1)</f>
        <v>62.276000000000003</v>
      </c>
      <c r="AL45">
        <f>_xll.EQNXTDZ($A$1,$B45,AL$1,$B$1)</f>
        <v>62.276000000000003</v>
      </c>
      <c r="AM45">
        <f>_xll.EQNXTDZ($A$1,$B45,AM$1,$B$1)</f>
        <v>62.276000000000003</v>
      </c>
      <c r="AN45">
        <f>_xll.EQNXTDZ($A$1,$B45,AN$1,$B$1)</f>
        <v>62.276000000000003</v>
      </c>
      <c r="AO45">
        <f>_xll.EQNXTDZ($A$1,$B45,AO$1,$B$1)</f>
        <v>62.276000000000003</v>
      </c>
      <c r="AP45">
        <f>_xll.EQNXTDZ($A$1,$B45,AP$1,$B$1)</f>
        <v>62.276000000000003</v>
      </c>
      <c r="AQ45">
        <f>_xll.EQNXTDZ($A$1,$B45,AQ$1,$B$1)</f>
        <v>62.276000000000003</v>
      </c>
      <c r="AR45">
        <f>_xll.EQNXTDZ($A$1,$B45,AR$1,$B$1)</f>
        <v>62.276000000000003</v>
      </c>
      <c r="AS45">
        <f>_xll.EQNXTDZ($A$1,$B45,AS$1,$B$1)</f>
        <v>62.276000000000003</v>
      </c>
      <c r="AT45">
        <f>_xll.EQNXTDZ($A$1,$B45,AT$1,$B$1)</f>
        <v>62.276000000000003</v>
      </c>
      <c r="AU45">
        <f>_xll.EQNXTDZ($A$1,$B45,AU$1,$B$1)</f>
        <v>62.276000000000003</v>
      </c>
      <c r="AV45">
        <f>_xll.EQNXTDZ($A$1,$B45,AV$1,$B$1)</f>
        <v>62.276000000000003</v>
      </c>
      <c r="AW45">
        <f>_xll.EQNXTDZ($A$1,$B45,AW$1,$B$1)</f>
        <v>62.276000000000003</v>
      </c>
      <c r="AX45">
        <f>_xll.EQNXTDZ($A$1,$B45,AX$1,$B$1)</f>
        <v>62.276000000000003</v>
      </c>
      <c r="AY45">
        <f>_xll.EQNXTDZ($A$1,$B45,AY$1,$B$1)</f>
        <v>62.276000000000003</v>
      </c>
      <c r="AZ45">
        <f>_xll.EQNXTDZ($A$1,$B45,AZ$1,$B$1)</f>
        <v>62.28</v>
      </c>
      <c r="BA45">
        <f>_xll.EQNXTDZ($A$1,$B45,BA$1,$B$1)</f>
        <v>62.283000000000001</v>
      </c>
      <c r="BB45">
        <f>_xll.EQNXTDZ($A$1,$B45,BB$1,$B$1)</f>
        <v>62.283999999999999</v>
      </c>
      <c r="BC45">
        <f>_xll.EQNXTDZ($A$1,$B45,BC$1,$B$1)</f>
        <v>62.284999999999997</v>
      </c>
      <c r="BD45">
        <f>_xll.EQNXTDZ($A$1,$B45,BD$1,$B$1)</f>
        <v>62.292999999999999</v>
      </c>
      <c r="BE45">
        <f>_xll.EQNXTDZ($A$1,$B45,BE$1,$B$1)</f>
        <v>62.295000000000002</v>
      </c>
      <c r="BF45">
        <f>_xll.EQNXTDZ($A$1,$B45,BF$1,$B$1)</f>
        <v>62.296999999999997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110.1</v>
      </c>
      <c r="D48" s="55">
        <f>_xll.EQNXTDZ($A$1,$B48,D$5)</f>
        <v>112.6</v>
      </c>
      <c r="E48" s="55">
        <f>_xll.EQNXTDZ($A$1,$B48,E$5)</f>
        <v>115.35</v>
      </c>
      <c r="F48" s="55">
        <f>_xll.EQNXTDZ($A$1,$B48,F$5)</f>
        <v>95.575000000000003</v>
      </c>
      <c r="G48" s="55">
        <f>_xll.EQNXTDZ($A$1,$B48,G$5)</f>
        <v>90.4</v>
      </c>
      <c r="H48" s="55">
        <f>_xll.EQNXTDZ($A$1,$B48,H$5)</f>
        <v>91.9</v>
      </c>
      <c r="I48" s="55">
        <f>_xll.EQNXTDZ($A$1,$B48,I$5)</f>
        <v>207.82499999999999</v>
      </c>
      <c r="J48" s="55">
        <f>_xll.EQNXTDZ($A$1,$B48,J$5)</f>
        <v>272.2</v>
      </c>
      <c r="K48" s="55">
        <f>_xll.EQNXTDZ($A$1,$B48,K$5)</f>
        <v>309.375</v>
      </c>
      <c r="L48" s="55">
        <f>_xll.EQNXTDZ($A$1,$B48,L$5)</f>
        <v>322.95</v>
      </c>
      <c r="M48" s="55">
        <f>_xll.EQNXTDZ($A$1,$B48,M$5)</f>
        <v>298.375</v>
      </c>
      <c r="N48" s="55">
        <f>_xll.EQNXTDZ($A$1,$B48,N$5)</f>
        <v>579.07500000000005</v>
      </c>
      <c r="O48" s="55">
        <f>_xll.EQNXTDZ($A$1,$B48,O$5)</f>
        <v>600.65</v>
      </c>
      <c r="P48" s="55">
        <f>_xll.EQNXTDZ($A$1,$B48,P$5)</f>
        <v>940.67499999999995</v>
      </c>
      <c r="Q48" s="55">
        <f>_xll.EQNXTDZ($A$1,$B48,Q$5)</f>
        <v>1122.3499999999999</v>
      </c>
      <c r="R48" s="55">
        <f>_xll.EQNXTDZ($A$1,$B48,R$5)</f>
        <v>940.27499999999998</v>
      </c>
      <c r="S48" s="55">
        <f>_xll.EQNXTDZ($A$1,$B48,S$5)</f>
        <v>847.875</v>
      </c>
      <c r="T48" s="55">
        <f>_xll.EQNXTDZ($A$1,$B48,T$5)</f>
        <v>697.67499999999995</v>
      </c>
      <c r="U48" s="55">
        <f>_xll.EQNXTDZ($A$1,$B48,U$5)</f>
        <v>701.27499999999998</v>
      </c>
      <c r="V48" s="55">
        <f>_xll.EQNXTDZ($A$1,$B48,V$5)</f>
        <v>731.57500000000005</v>
      </c>
      <c r="W48" s="55">
        <f>_xll.EQNXTDZ($A$1,$B48,W$5)</f>
        <v>792.52499999999998</v>
      </c>
      <c r="X48" s="55">
        <f>_xll.EQNXTDZ($A$1,$B48,X$5)</f>
        <v>812.35</v>
      </c>
      <c r="Y48" s="55">
        <f>_xll.EQNXTDZ($A$1,$B48,Y$5)</f>
        <v>976.65</v>
      </c>
      <c r="Z48" s="55">
        <f>_xll.EQNXTDZ($A$1,$B48,Z$5)</f>
        <v>985.15</v>
      </c>
      <c r="AA48" s="55">
        <f>_xll.EQNXTDZ($A$1,$B48,AA$5)</f>
        <v>1335.5</v>
      </c>
      <c r="AB48" s="55">
        <f>_xll.EQNXTDZ($A$1,$B48,AB$5)</f>
        <v>1153.5</v>
      </c>
      <c r="AC48" s="55">
        <f>_xll.EQNXTDZ($A$1,$B48,AC$5)</f>
        <v>1020.7</v>
      </c>
      <c r="AD48" s="55">
        <f>_xll.EQNXTDZ($A$1,$B48,AD$5)</f>
        <v>963.25</v>
      </c>
      <c r="AE48" s="55">
        <f>_xll.EQNXTDZ($A$1,$B48,AE$5)</f>
        <v>885.55</v>
      </c>
      <c r="AF48" s="55">
        <f>_xll.EQNXTDZ($A$1,$B48,AF$5)</f>
        <v>676.05</v>
      </c>
      <c r="AG48" s="55">
        <f>_xll.EQNXTDZ($A$1,$B48,AG$5)</f>
        <v>825.6</v>
      </c>
      <c r="AH48" s="55">
        <f>_xll.EQNXTDZ($A$1,$B48,AH$5)</f>
        <v>629.79999999999995</v>
      </c>
      <c r="AI48" s="55">
        <f>_xll.EQNXTDZ($A$1,$B48,AI$5)</f>
        <v>897.5</v>
      </c>
      <c r="AJ48" s="55">
        <f>_xll.EQNXTDZ($A$1,$B48,AJ$5)</f>
        <v>1283.8499999999999</v>
      </c>
      <c r="AK48" s="55">
        <f>_xll.EQNXTDZ($A$1,$B48,AK$5)</f>
        <v>1832.85</v>
      </c>
      <c r="AL48" s="55">
        <f>_xll.EQNXTDZ($A$1,$B48,AL$5)</f>
        <v>2693.4</v>
      </c>
      <c r="AM48" s="55">
        <f>_xll.EQNXTDZ($A$1,$B48,AM$5)</f>
        <v>4296.75</v>
      </c>
      <c r="AN48" s="55">
        <f>_xll.EQNXTDZ($A$1,$B48,AN$5)</f>
        <v>5594.6</v>
      </c>
      <c r="AO48" s="55">
        <f>_xll.EQNXTDZ($A$1,$B48,AO$5)</f>
        <v>5867.8</v>
      </c>
      <c r="AP48" s="55">
        <f>_xll.EQNXTDZ($A$1,$B48,AP$5)</f>
        <v>8840.25</v>
      </c>
      <c r="AQ48" s="55">
        <f>_xll.EQNXTDZ($A$1,$B48,AQ$5)</f>
        <v>8164.6</v>
      </c>
      <c r="AR48" s="55">
        <f>_xll.EQNXTDZ($A$1,$B48,AR$5)</f>
        <v>8583.2999999999993</v>
      </c>
      <c r="AS48" s="55">
        <f>_xll.EQNXTDZ($A$1,$B48,AS$5)</f>
        <v>6287.1</v>
      </c>
      <c r="AT48" s="55">
        <f>_xll.EQNXTDZ($A$1,$B48,AT$5)</f>
        <v>5961.5</v>
      </c>
      <c r="AU48" s="55">
        <f>_xll.EQNXTDZ($A$1,$B48,AU$5)</f>
        <v>7584.05</v>
      </c>
      <c r="AV48" s="55">
        <f>_xll.EQNXTDZ($A$1,$B48,AV$5)</f>
        <v>7220.8</v>
      </c>
      <c r="AW48" s="55">
        <f>_xll.EQNXTDZ($A$1,$B48,AW$5)</f>
        <v>8757.7000000000007</v>
      </c>
      <c r="AX48" s="55">
        <f>_xll.EQNXTDZ($A$1,$B48,AX$5)</f>
        <v>7779.6</v>
      </c>
      <c r="AY48" s="55">
        <f>_xll.EQNXTDZ($A$1,$B48,AY$5)</f>
        <v>7001.95</v>
      </c>
      <c r="AZ48" s="55">
        <f>_xll.EQNXTDZ($A$1,$B48,AZ$5)</f>
        <v>7727.4</v>
      </c>
      <c r="BA48" s="55">
        <f>_xll.EQNXTDZ($A$1,$B48,BA$5)</f>
        <v>6794</v>
      </c>
      <c r="BB48" s="55">
        <f>_xll.EQNXTDZ($A$1,$B48,BB$5)</f>
        <v>5216.3</v>
      </c>
      <c r="BC48" s="55">
        <f>_xll.EQNXTDZ($A$1,$B48,BC$5)</f>
        <v>6310</v>
      </c>
      <c r="BD48" s="55">
        <f>_xll.EQNXTDZ($A$1,$B48,BD$5)</f>
        <v>5227.05</v>
      </c>
      <c r="BE48" s="55">
        <f>_xll.EQNXTDZ($A$1,$B48,BE$5)</f>
        <v>5239.05</v>
      </c>
      <c r="BF48" s="55">
        <f>_xll.EQNXTDZ($A$1,$B48,BF$5)</f>
        <v>3977.25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45.11</v>
      </c>
      <c r="D49" s="55">
        <f>_xll.EQNXTDZ($A$1,$B49,D$5)</f>
        <v>45.11</v>
      </c>
      <c r="E49" s="55">
        <f>_xll.EQNXTDZ($A$1,$B49,E$5)</f>
        <v>45.11</v>
      </c>
      <c r="F49" s="55">
        <f>_xll.EQNXTDZ($A$1,$B49,F$5)</f>
        <v>45.11</v>
      </c>
      <c r="G49" s="55">
        <f>_xll.EQNXTDZ($A$1,$B49,G$5)</f>
        <v>45.11</v>
      </c>
      <c r="H49" s="55">
        <f>_xll.EQNXTDZ($A$1,$B49,H$5)</f>
        <v>45.11</v>
      </c>
      <c r="I49" s="55">
        <f>_xll.EQNXTDZ($A$1,$B49,I$5)</f>
        <v>45.11</v>
      </c>
      <c r="J49" s="55">
        <f>_xll.EQNXTDZ($A$1,$B49,J$5)</f>
        <v>45.11</v>
      </c>
      <c r="K49" s="55">
        <f>_xll.EQNXTDZ($A$1,$B49,K$5)</f>
        <v>45.02</v>
      </c>
      <c r="L49" s="55">
        <f>_xll.EQNXTDZ($A$1,$B49,L$5)</f>
        <v>45.02</v>
      </c>
      <c r="M49" s="55">
        <f>_xll.EQNXTDZ($A$1,$B49,M$5)</f>
        <v>45.02</v>
      </c>
      <c r="N49" s="55">
        <f>_xll.EQNXTDZ($A$1,$B49,N$5)</f>
        <v>44.95</v>
      </c>
      <c r="O49" s="55">
        <f>_xll.EQNXTDZ($A$1,$B49,O$5)</f>
        <v>44.95</v>
      </c>
      <c r="P49" s="55">
        <f>_xll.EQNXTDZ($A$1,$B49,P$5)</f>
        <v>44.95</v>
      </c>
      <c r="Q49" s="55">
        <f>_xll.EQNXTDZ($A$1,$B49,Q$5)</f>
        <v>44.79</v>
      </c>
      <c r="R49" s="55">
        <f>_xll.EQNXTDZ($A$1,$B49,R$5)</f>
        <v>44.79</v>
      </c>
      <c r="S49" s="55">
        <f>_xll.EQNXTDZ($A$1,$B49,S$5)</f>
        <v>44.63</v>
      </c>
      <c r="T49" s="55">
        <f>_xll.EQNXTDZ($A$1,$B49,T$5)</f>
        <v>44.63</v>
      </c>
      <c r="U49" s="55">
        <f>_xll.EQNXTDZ($A$1,$B49,U$5)</f>
        <v>44.63</v>
      </c>
      <c r="V49" s="55">
        <f>_xll.EQNXTDZ($A$1,$B49,V$5)</f>
        <v>44.63</v>
      </c>
      <c r="W49" s="55">
        <f>_xll.EQNXTDZ($A$1,$B49,W$5)</f>
        <v>44.57</v>
      </c>
      <c r="X49" s="55">
        <f>_xll.EQNXTDZ($A$1,$B49,X$5)</f>
        <v>44.57</v>
      </c>
      <c r="Y49" s="55">
        <f>_xll.EQNXTDZ($A$1,$B49,Y$5)</f>
        <v>44.57</v>
      </c>
      <c r="Z49" s="55">
        <f>_xll.EQNXTDZ($A$1,$B49,Z$5)</f>
        <v>44.57</v>
      </c>
      <c r="AA49" s="55">
        <f>_xll.EQNXTDZ($A$1,$B49,AA$5)</f>
        <v>44.57</v>
      </c>
      <c r="AB49" s="55">
        <f>_xll.EQNXTDZ($A$1,$B49,AB$5)</f>
        <v>44.57</v>
      </c>
      <c r="AC49" s="55">
        <f>_xll.EQNXTDZ($A$1,$B49,AC$5)</f>
        <v>44.57</v>
      </c>
      <c r="AD49" s="55">
        <f>_xll.EQNXTDZ($A$1,$B49,AD$5)</f>
        <v>44.53</v>
      </c>
      <c r="AE49" s="55">
        <f>_xll.EQNXTDZ($A$1,$B49,AE$5)</f>
        <v>44.53</v>
      </c>
      <c r="AF49" s="55">
        <f>_xll.EQNXTDZ($A$1,$B49,AF$5)</f>
        <v>44.53</v>
      </c>
      <c r="AG49" s="55">
        <f>_xll.EQNXTDZ($A$1,$B49,AG$5)</f>
        <v>44.53</v>
      </c>
      <c r="AH49" s="55">
        <f>_xll.EQNXTDZ($A$1,$B49,AH$5)</f>
        <v>44.53</v>
      </c>
      <c r="AI49" s="55">
        <f>_xll.EQNXTDZ($A$1,$B49,AI$5)</f>
        <v>44.53</v>
      </c>
      <c r="AJ49" s="55">
        <f>_xll.EQNXTDZ($A$1,$B49,AJ$5)</f>
        <v>44.53</v>
      </c>
      <c r="AK49" s="55">
        <f>_xll.EQNXTDZ($A$1,$B49,AK$5)</f>
        <v>44.53</v>
      </c>
      <c r="AL49" s="55">
        <f>_xll.EQNXTDZ($A$1,$B49,AL$5)</f>
        <v>44.53</v>
      </c>
      <c r="AM49" s="55">
        <f>_xll.EQNXTDZ($A$1,$B49,AM$5)</f>
        <v>44.53</v>
      </c>
      <c r="AN49" s="55">
        <f>_xll.EQNXTDZ($A$1,$B49,AN$5)</f>
        <v>44.53</v>
      </c>
      <c r="AO49" s="55">
        <f>_xll.EQNXTDZ($A$1,$B49,AO$5)</f>
        <v>44.32</v>
      </c>
      <c r="AP49" s="55">
        <f>_xll.EQNXTDZ($A$1,$B49,AP$5)</f>
        <v>44.08</v>
      </c>
      <c r="AQ49" s="55">
        <f>_xll.EQNXTDZ($A$1,$B49,AQ$5)</f>
        <v>43.92</v>
      </c>
      <c r="AR49" s="55">
        <f>_xll.EQNXTDZ($A$1,$B49,AR$5)</f>
        <v>43.92</v>
      </c>
      <c r="AS49" s="55">
        <f>_xll.EQNXTDZ($A$1,$B49,AS$5)</f>
        <v>43.92</v>
      </c>
      <c r="AT49" s="55">
        <f>_xll.EQNXTDZ($A$1,$B49,AT$5)</f>
        <v>43.92</v>
      </c>
      <c r="AU49" s="55">
        <f>_xll.EQNXTDZ($A$1,$B49,AU$5)</f>
        <v>43.92</v>
      </c>
      <c r="AV49" s="55">
        <f>_xll.EQNXTDZ($A$1,$B49,AV$5)</f>
        <v>43.92</v>
      </c>
      <c r="AW49" s="55">
        <f>_xll.EQNXTDZ($A$1,$B49,AW$5)</f>
        <v>43.92</v>
      </c>
      <c r="AX49" s="55">
        <f>_xll.EQNXTDZ($A$1,$B49,AX$5)</f>
        <v>43.92</v>
      </c>
      <c r="AY49" s="55">
        <f>_xll.EQNXTDZ($A$1,$B49,AY$5)</f>
        <v>43.92</v>
      </c>
      <c r="AZ49" s="55">
        <f>_xll.EQNXTDZ($A$1,$B49,AZ$5)</f>
        <v>43.91</v>
      </c>
      <c r="BA49" s="55">
        <f>_xll.EQNXTDZ($A$1,$B49,BA$5)</f>
        <v>43.91</v>
      </c>
      <c r="BB49" s="55">
        <f>_xll.EQNXTDZ($A$1,$B49,BB$5)</f>
        <v>43.91</v>
      </c>
      <c r="BC49" s="55">
        <f>_xll.EQNXTDZ($A$1,$B49,BC$5)</f>
        <v>43.91</v>
      </c>
      <c r="BD49" s="55">
        <f>_xll.EQNXTDZ($A$1,$B49,BD$5)</f>
        <v>43.9</v>
      </c>
      <c r="BE49" s="55">
        <f>_xll.EQNXTDZ($A$1,$B49,BE$5)</f>
        <v>43.9</v>
      </c>
      <c r="BF49" s="55">
        <f>_xll.EQNXTDZ($A$1,$B49,BF$5)</f>
        <v>43.9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31.138000000000002</v>
      </c>
      <c r="E56" s="55">
        <f>_xll.EQNXTDZ($A$1,$B56,E$5,$B$1)</f>
        <v>0</v>
      </c>
      <c r="F56" s="55">
        <f>_xll.EQNXTDZ($A$1,$B56,F$5,$B$1)</f>
        <v>31.138000000000002</v>
      </c>
      <c r="G56" s="55">
        <f>_xll.EQNXTDZ($A$1,$B56,G$5,$B$1)</f>
        <v>0</v>
      </c>
      <c r="H56" s="55">
        <f>_xll.EQNXTDZ($A$1,$B56,H$5,$B$1)</f>
        <v>31.138000000000002</v>
      </c>
      <c r="I56" s="55">
        <f>_xll.EQNXTDZ($A$1,$B56,I$5,$B$1)</f>
        <v>0</v>
      </c>
      <c r="J56" s="55">
        <f>_xll.EQNXTDZ($A$1,$B56,J$5,$B$1)</f>
        <v>31.138000000000002</v>
      </c>
      <c r="K56" s="55">
        <f>_xll.EQNXTDZ($A$1,$B56,K$5,$B$1)</f>
        <v>0</v>
      </c>
      <c r="L56" s="55">
        <f>_xll.EQNXTDZ($A$1,$B56,L$5,$B$1)</f>
        <v>31.138000000000002</v>
      </c>
      <c r="M56" s="55">
        <f>_xll.EQNXTDZ($A$1,$B56,M$5,$B$1)</f>
        <v>0</v>
      </c>
      <c r="N56" s="55">
        <f>_xll.EQNXTDZ($A$1,$B56,N$5,$B$1)</f>
        <v>31.138000000000002</v>
      </c>
      <c r="O56" s="55">
        <f>_xll.EQNXTDZ($A$1,$B56,O$5,$B$1)</f>
        <v>0</v>
      </c>
      <c r="P56" s="55">
        <f>_xll.EQNXTDZ($A$1,$B56,P$5,$B$1)</f>
        <v>31.138000000000002</v>
      </c>
      <c r="Q56" s="55">
        <f>_xll.EQNXTDZ($A$1,$B56,Q$5,$B$1)</f>
        <v>0</v>
      </c>
      <c r="R56" s="55">
        <f>_xll.EQNXTDZ($A$1,$B56,R$5,$B$1)</f>
        <v>31.138000000000002</v>
      </c>
      <c r="S56" s="55">
        <f>_xll.EQNXTDZ($A$1,$B56,S$5,$B$1)</f>
        <v>0</v>
      </c>
      <c r="T56" s="55">
        <f>_xll.EQNXTDZ($A$1,$B56,T$5,$B$1)</f>
        <v>31.138000000000002</v>
      </c>
      <c r="U56" s="55">
        <f>_xll.EQNXTDZ($A$1,$B56,U$5,$B$1)</f>
        <v>0</v>
      </c>
      <c r="V56" s="55">
        <f>_xll.EQNXTDZ($A$1,$B56,V$5,$B$1)</f>
        <v>31.138000000000002</v>
      </c>
      <c r="W56" s="55">
        <f>_xll.EQNXTDZ($A$1,$B56,W$5,$B$1)</f>
        <v>0</v>
      </c>
      <c r="X56" s="55">
        <f>_xll.EQNXTDZ($A$1,$B56,X$5,$B$1)</f>
        <v>62.276000000000003</v>
      </c>
      <c r="Y56" s="55">
        <f>_xll.EQNXTDZ($A$1,$B56,Y$5,$B$1)</f>
        <v>0</v>
      </c>
      <c r="Z56" s="55">
        <f>_xll.EQNXTDZ($A$1,$B56,Z$5,$B$1)</f>
        <v>62.276000000000003</v>
      </c>
      <c r="AA56" s="55">
        <f>_xll.EQNXTDZ($A$1,$B56,AA$5,$B$1)</f>
        <v>0</v>
      </c>
      <c r="AB56" s="55">
        <f>_xll.EQNXTDZ($A$1,$B56,AB$5,$B$1)</f>
        <v>62.276000000000003</v>
      </c>
      <c r="AC56" s="55">
        <f>_xll.EQNXTDZ($A$1,$B56,AC$5,$B$1)</f>
        <v>0</v>
      </c>
      <c r="AD56" s="55">
        <f>_xll.EQNXTDZ($A$1,$B56,AD$5,$B$1)</f>
        <v>62.276000000000003</v>
      </c>
      <c r="AE56" s="55">
        <f>_xll.EQNXTDZ($A$1,$B56,AE$5,$B$1)</f>
        <v>0</v>
      </c>
      <c r="AF56" s="55">
        <f>_xll.EQNXTDZ($A$1,$B56,AF$5,$B$1)</f>
        <v>62.276000000000003</v>
      </c>
      <c r="AG56" s="55">
        <f>_xll.EQNXTDZ($A$1,$B56,AG$5,$B$1)</f>
        <v>0</v>
      </c>
      <c r="AH56" s="55">
        <f>_xll.EQNXTDZ($A$1,$B56,AH$5,$B$1)</f>
        <v>62.276000000000003</v>
      </c>
      <c r="AI56" s="55">
        <f>_xll.EQNXTDZ($A$1,$B56,AI$5,$B$1)</f>
        <v>0</v>
      </c>
      <c r="AJ56" s="55">
        <f>_xll.EQNXTDZ($A$1,$B56,AJ$5,$B$1)</f>
        <v>62.276000000000003</v>
      </c>
      <c r="AK56" s="55">
        <f>_xll.EQNXTDZ($A$1,$B56,AK$5,$B$1)</f>
        <v>0</v>
      </c>
      <c r="AL56" s="55">
        <f>_xll.EQNXTDZ($A$1,$B56,AL$5,$B$1)</f>
        <v>62.276000000000003</v>
      </c>
      <c r="AM56" s="55">
        <f>_xll.EQNXTDZ($A$1,$B56,AM$5,$B$1)</f>
        <v>0</v>
      </c>
      <c r="AN56" s="55">
        <f>_xll.EQNXTDZ($A$1,$B56,AN$5,$B$1)</f>
        <v>62.276000000000003</v>
      </c>
      <c r="AO56" s="55">
        <f>_xll.EQNXTDZ($A$1,$B56,AO$5,$B$1)</f>
        <v>0</v>
      </c>
      <c r="AP56" s="55">
        <f>_xll.EQNXTDZ($A$1,$B56,AP$5,$B$1)</f>
        <v>62.276000000000003</v>
      </c>
      <c r="AQ56" s="55">
        <f>_xll.EQNXTDZ($A$1,$B56,AQ$5,$B$1)</f>
        <v>0</v>
      </c>
      <c r="AR56" s="55">
        <f>_xll.EQNXTDZ($A$1,$B56,AR$5,$B$1)</f>
        <v>62.276000000000003</v>
      </c>
      <c r="AS56" s="55">
        <f>_xll.EQNXTDZ($A$1,$B56,AS$5,$B$1)</f>
        <v>0</v>
      </c>
      <c r="AT56" s="55">
        <f>_xll.EQNXTDZ($A$1,$B56,AT$5,$B$1)</f>
        <v>62.276000000000003</v>
      </c>
      <c r="AU56" s="55">
        <f>_xll.EQNXTDZ($A$1,$B56,AU$5,$B$1)</f>
        <v>0</v>
      </c>
      <c r="AV56" s="55">
        <f>_xll.EQNXTDZ($A$1,$B56,AV$5,$B$1)</f>
        <v>62.276000000000003</v>
      </c>
      <c r="AW56" s="55">
        <f>_xll.EQNXTDZ($A$1,$B56,AW$5,$B$1)</f>
        <v>0</v>
      </c>
      <c r="AX56" s="55">
        <f>_xll.EQNXTDZ($A$1,$B56,AX$5,$B$1)</f>
        <v>62.276000000000003</v>
      </c>
      <c r="AY56" s="55">
        <f>_xll.EQNXTDZ($A$1,$B56,AY$5,$B$1)</f>
        <v>0</v>
      </c>
      <c r="AZ56" s="55">
        <f>_xll.EQNXTDZ($A$1,$B56,AZ$5,$B$1)</f>
        <v>62.28</v>
      </c>
      <c r="BA56" s="55">
        <f>_xll.EQNXTDZ($A$1,$B56,BA$5,$B$1)</f>
        <v>0</v>
      </c>
      <c r="BB56" s="55">
        <f>_xll.EQNXTDZ($A$1,$B56,BB$5,$B$1)</f>
        <v>62.283999999999999</v>
      </c>
      <c r="BC56" s="55">
        <f>_xll.EQNXTDZ($A$1,$B56,BC$5,$B$1)</f>
        <v>0</v>
      </c>
      <c r="BD56" s="55">
        <f>_xll.EQNXTDZ($A$1,$B56,BD$5,$B$1)</f>
        <v>62.292999999999999</v>
      </c>
      <c r="BE56" s="55">
        <f>_xll.EQNXTDZ($A$1,$B56,BE$5,$B$1)</f>
        <v>0</v>
      </c>
      <c r="BF56" s="55">
        <f>_xll.EQNXTDZ($A$1,$B56,BF$5,$B$1)</f>
        <v>62.296999999999997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165.286</v>
      </c>
      <c r="E58" s="55">
        <f>_xll.EQNXTDZ($A$1,$B58,E$5,$B$1)</f>
        <v>0</v>
      </c>
      <c r="F58" s="55">
        <f>_xll.EQNXTDZ($A$1,$B58,F$5,$B$1)</f>
        <v>164.035</v>
      </c>
      <c r="G58" s="55">
        <f>_xll.EQNXTDZ($A$1,$B58,G$5,$B$1)</f>
        <v>0</v>
      </c>
      <c r="H58" s="55">
        <f>_xll.EQNXTDZ($A$1,$B58,H$5,$B$1)</f>
        <v>193.40600000000001</v>
      </c>
      <c r="I58" s="55">
        <f>_xll.EQNXTDZ($A$1,$B58,I$5,$B$1)</f>
        <v>0</v>
      </c>
      <c r="J58" s="55">
        <f>_xll.EQNXTDZ($A$1,$B58,J$5,$B$1)</f>
        <v>204.57300000000001</v>
      </c>
      <c r="K58" s="55">
        <f>_xll.EQNXTDZ($A$1,$B58,K$5,$B$1)</f>
        <v>0</v>
      </c>
      <c r="L58" s="55">
        <f>_xll.EQNXTDZ($A$1,$B58,L$5,$B$1)</f>
        <v>245.91</v>
      </c>
      <c r="M58" s="55">
        <f>_xll.EQNXTDZ($A$1,$B58,M$5,$B$1)</f>
        <v>0</v>
      </c>
      <c r="N58" s="55">
        <f>_xll.EQNXTDZ($A$1,$B58,N$5,$B$1)</f>
        <v>252.28899999999999</v>
      </c>
      <c r="O58" s="55">
        <f>_xll.EQNXTDZ($A$1,$B58,O$5,$B$1)</f>
        <v>0</v>
      </c>
      <c r="P58" s="55">
        <f>_xll.EQNXTDZ($A$1,$B58,P$5,$B$1)</f>
        <v>326.03399999999999</v>
      </c>
      <c r="Q58" s="55">
        <f>_xll.EQNXTDZ($A$1,$B58,Q$5,$B$1)</f>
        <v>0</v>
      </c>
      <c r="R58" s="55">
        <f>_xll.EQNXTDZ($A$1,$B58,R$5,$B$1)</f>
        <v>354.55500000000001</v>
      </c>
      <c r="S58" s="55">
        <f>_xll.EQNXTDZ($A$1,$B58,S$5,$B$1)</f>
        <v>0</v>
      </c>
      <c r="T58" s="55">
        <f>_xll.EQNXTDZ($A$1,$B58,T$5,$B$1)</f>
        <v>439.56</v>
      </c>
      <c r="U58" s="55">
        <f>_xll.EQNXTDZ($A$1,$B58,U$5,$B$1)</f>
        <v>0</v>
      </c>
      <c r="V58" s="55">
        <f>_xll.EQNXTDZ($A$1,$B58,V$5,$B$1)</f>
        <v>526.53099999999995</v>
      </c>
      <c r="W58" s="55">
        <f>_xll.EQNXTDZ($A$1,$B58,W$5,$B$1)</f>
        <v>0</v>
      </c>
      <c r="X58" s="55">
        <f>_xll.EQNXTDZ($A$1,$B58,X$5,$B$1)</f>
        <v>542.21900000000005</v>
      </c>
      <c r="Y58" s="55">
        <f>_xll.EQNXTDZ($A$1,$B58,Y$5,$B$1)</f>
        <v>0</v>
      </c>
      <c r="Z58" s="55">
        <f>_xll.EQNXTDZ($A$1,$B58,Z$5,$B$1)</f>
        <v>676.07500000000005</v>
      </c>
      <c r="AA58" s="55">
        <f>_xll.EQNXTDZ($A$1,$B58,AA$5,$B$1)</f>
        <v>0</v>
      </c>
      <c r="AB58" s="55">
        <f>_xll.EQNXTDZ($A$1,$B58,AB$5,$B$1)</f>
        <v>744.47799999999995</v>
      </c>
      <c r="AC58" s="55">
        <f>_xll.EQNXTDZ($A$1,$B58,AC$5,$B$1)</f>
        <v>0</v>
      </c>
      <c r="AD58" s="55">
        <f>_xll.EQNXTDZ($A$1,$B58,AD$5,$B$1)</f>
        <v>880.476</v>
      </c>
      <c r="AE58" s="55">
        <f>_xll.EQNXTDZ($A$1,$B58,AE$5,$B$1)</f>
        <v>0</v>
      </c>
      <c r="AF58" s="55">
        <f>_xll.EQNXTDZ($A$1,$B58,AF$5,$B$1)</f>
        <v>871.82500000000005</v>
      </c>
      <c r="AG58" s="55">
        <f>_xll.EQNXTDZ($A$1,$B58,AG$5,$B$1)</f>
        <v>0</v>
      </c>
      <c r="AH58" s="55">
        <f>_xll.EQNXTDZ($A$1,$B58,AH$5,$B$1)</f>
        <v>1027.759</v>
      </c>
      <c r="AI58" s="55">
        <f>_xll.EQNXTDZ($A$1,$B58,AI$5,$B$1)</f>
        <v>0</v>
      </c>
      <c r="AJ58" s="55">
        <f>_xll.EQNXTDZ($A$1,$B58,AJ$5,$B$1)</f>
        <v>1071.808</v>
      </c>
      <c r="AK58" s="55">
        <f>_xll.EQNXTDZ($A$1,$B58,AK$5,$B$1)</f>
        <v>0</v>
      </c>
      <c r="AL58" s="55">
        <f>_xll.EQNXTDZ($A$1,$B58,AL$5,$B$1)</f>
        <v>1289.895</v>
      </c>
      <c r="AM58" s="55">
        <f>_xll.EQNXTDZ($A$1,$B58,AM$5,$B$1)</f>
        <v>0</v>
      </c>
      <c r="AN58" s="55">
        <f>_xll.EQNXTDZ($A$1,$B58,AN$5,$B$1)</f>
        <v>1228.32</v>
      </c>
      <c r="AO58" s="55">
        <f>_xll.EQNXTDZ($A$1,$B58,AO$5,$B$1)</f>
        <v>0</v>
      </c>
      <c r="AP58" s="55">
        <f>_xll.EQNXTDZ($A$1,$B58,AP$5,$B$1)</f>
        <v>1538.626</v>
      </c>
      <c r="AQ58" s="55">
        <f>_xll.EQNXTDZ($A$1,$B58,AQ$5,$B$1)</f>
        <v>0</v>
      </c>
      <c r="AR58" s="55">
        <f>_xll.EQNXTDZ($A$1,$B58,AR$5,$B$1)</f>
        <v>1629.75</v>
      </c>
      <c r="AS58" s="55">
        <f>_xll.EQNXTDZ($A$1,$B58,AS$5,$B$1)</f>
        <v>0</v>
      </c>
      <c r="AT58" s="55">
        <f>_xll.EQNXTDZ($A$1,$B58,AT$5,$B$1)</f>
        <v>2023.491</v>
      </c>
      <c r="AU58" s="55">
        <f>_xll.EQNXTDZ($A$1,$B58,AU$5,$B$1)</f>
        <v>0</v>
      </c>
      <c r="AV58" s="55">
        <f>_xll.EQNXTDZ($A$1,$B58,AV$5,$B$1)</f>
        <v>2034.086</v>
      </c>
      <c r="AW58" s="55">
        <f>_xll.EQNXTDZ($A$1,$B58,AW$5,$B$1)</f>
        <v>0</v>
      </c>
      <c r="AX58" s="55">
        <f>_xll.EQNXTDZ($A$1,$B58,AX$5,$B$1)</f>
        <v>2443.38</v>
      </c>
      <c r="AY58" s="55">
        <f>_xll.EQNXTDZ($A$1,$B58,AY$5,$B$1)</f>
        <v>0</v>
      </c>
      <c r="AZ58" s="55">
        <f>_xll.EQNXTDZ($A$1,$B58,AZ$5,$B$1)</f>
        <v>2424.29</v>
      </c>
      <c r="BA58" s="55">
        <f>_xll.EQNXTDZ($A$1,$B58,BA$5,$B$1)</f>
        <v>0</v>
      </c>
      <c r="BB58" s="55">
        <f>_xll.EQNXTDZ($A$1,$B58,BB$5,$B$1)</f>
        <v>2797.6849999999999</v>
      </c>
      <c r="BC58" s="55">
        <f>_xll.EQNXTDZ($A$1,$B58,BC$5,$B$1)</f>
        <v>0</v>
      </c>
      <c r="BD58" s="55">
        <f>_xll.EQNXTDZ($A$1,$B58,BD$5,$B$1)</f>
        <v>2640.3490000000002</v>
      </c>
      <c r="BE58" s="55">
        <f>_xll.EQNXTDZ($A$1,$B58,BE$5,$B$1)</f>
        <v>0</v>
      </c>
      <c r="BF58" s="55">
        <f>_xll.EQNXTDZ($A$1,$B58,BF$5,$B$1)</f>
        <v>2979.0450000000001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196.42400000000001</v>
      </c>
      <c r="E59" s="55">
        <f>_xll.EQNXTDZ($A$1,$B59,E$5,$B$1)</f>
        <v>0</v>
      </c>
      <c r="F59" s="55">
        <f>_xll.EQNXTDZ($A$1,$B59,F$5,$B$1)</f>
        <v>195.173</v>
      </c>
      <c r="G59" s="55">
        <f>_xll.EQNXTDZ($A$1,$B59,G$5,$B$1)</f>
        <v>0</v>
      </c>
      <c r="H59" s="55">
        <f>_xll.EQNXTDZ($A$1,$B59,H$5,$B$1)</f>
        <v>224.54400000000001</v>
      </c>
      <c r="I59" s="55">
        <f>_xll.EQNXTDZ($A$1,$B59,I$5,$B$1)</f>
        <v>0</v>
      </c>
      <c r="J59" s="55">
        <f>_xll.EQNXTDZ($A$1,$B59,J$5,$B$1)</f>
        <v>235.71100000000001</v>
      </c>
      <c r="K59" s="55">
        <f>_xll.EQNXTDZ($A$1,$B59,K$5,$B$1)</f>
        <v>0</v>
      </c>
      <c r="L59" s="55">
        <f>_xll.EQNXTDZ($A$1,$B59,L$5,$B$1)</f>
        <v>277.048</v>
      </c>
      <c r="M59" s="55">
        <f>_xll.EQNXTDZ($A$1,$B59,M$5,$B$1)</f>
        <v>0</v>
      </c>
      <c r="N59" s="55">
        <f>_xll.EQNXTDZ($A$1,$B59,N$5,$B$1)</f>
        <v>283.42700000000002</v>
      </c>
      <c r="O59" s="55">
        <f>_xll.EQNXTDZ($A$1,$B59,O$5,$B$1)</f>
        <v>0</v>
      </c>
      <c r="P59" s="55">
        <f>_xll.EQNXTDZ($A$1,$B59,P$5,$B$1)</f>
        <v>357.17200000000003</v>
      </c>
      <c r="Q59" s="55">
        <f>_xll.EQNXTDZ($A$1,$B59,Q$5,$B$1)</f>
        <v>0</v>
      </c>
      <c r="R59" s="55">
        <f>_xll.EQNXTDZ($A$1,$B59,R$5,$B$1)</f>
        <v>385.69299999999998</v>
      </c>
      <c r="S59" s="55">
        <f>_xll.EQNXTDZ($A$1,$B59,S$5,$B$1)</f>
        <v>0</v>
      </c>
      <c r="T59" s="55">
        <f>_xll.EQNXTDZ($A$1,$B59,T$5,$B$1)</f>
        <v>470.69799999999998</v>
      </c>
      <c r="U59" s="55">
        <f>_xll.EQNXTDZ($A$1,$B59,U$5,$B$1)</f>
        <v>0</v>
      </c>
      <c r="V59" s="55">
        <f>_xll.EQNXTDZ($A$1,$B59,V$5,$B$1)</f>
        <v>557.66899999999998</v>
      </c>
      <c r="W59" s="55">
        <f>_xll.EQNXTDZ($A$1,$B59,W$5,$B$1)</f>
        <v>0</v>
      </c>
      <c r="X59" s="55">
        <f>_xll.EQNXTDZ($A$1,$B59,X$5,$B$1)</f>
        <v>604.495</v>
      </c>
      <c r="Y59" s="55">
        <f>_xll.EQNXTDZ($A$1,$B59,Y$5,$B$1)</f>
        <v>0</v>
      </c>
      <c r="Z59" s="55">
        <f>_xll.EQNXTDZ($A$1,$B59,Z$5,$B$1)</f>
        <v>738.351</v>
      </c>
      <c r="AA59" s="55">
        <f>_xll.EQNXTDZ($A$1,$B59,AA$5,$B$1)</f>
        <v>0</v>
      </c>
      <c r="AB59" s="55">
        <f>_xll.EQNXTDZ($A$1,$B59,AB$5,$B$1)</f>
        <v>806.75400000000002</v>
      </c>
      <c r="AC59" s="55">
        <f>_xll.EQNXTDZ($A$1,$B59,AC$5,$B$1)</f>
        <v>0</v>
      </c>
      <c r="AD59" s="55">
        <f>_xll.EQNXTDZ($A$1,$B59,AD$5,$B$1)</f>
        <v>942.75199999999995</v>
      </c>
      <c r="AE59" s="55">
        <f>_xll.EQNXTDZ($A$1,$B59,AE$5,$B$1)</f>
        <v>0</v>
      </c>
      <c r="AF59" s="55">
        <f>_xll.EQNXTDZ($A$1,$B59,AF$5,$B$1)</f>
        <v>934.101</v>
      </c>
      <c r="AG59" s="55">
        <f>_xll.EQNXTDZ($A$1,$B59,AG$5,$B$1)</f>
        <v>0</v>
      </c>
      <c r="AH59" s="55">
        <f>_xll.EQNXTDZ($A$1,$B59,AH$5,$B$1)</f>
        <v>1090.0350000000001</v>
      </c>
      <c r="AI59" s="55">
        <f>_xll.EQNXTDZ($A$1,$B59,AI$5,$B$1)</f>
        <v>0</v>
      </c>
      <c r="AJ59" s="55">
        <f>_xll.EQNXTDZ($A$1,$B59,AJ$5,$B$1)</f>
        <v>1134.0840000000001</v>
      </c>
      <c r="AK59" s="55">
        <f>_xll.EQNXTDZ($A$1,$B59,AK$5,$B$1)</f>
        <v>0</v>
      </c>
      <c r="AL59" s="55">
        <f>_xll.EQNXTDZ($A$1,$B59,AL$5,$B$1)</f>
        <v>1352.171</v>
      </c>
      <c r="AM59" s="55">
        <f>_xll.EQNXTDZ($A$1,$B59,AM$5,$B$1)</f>
        <v>0</v>
      </c>
      <c r="AN59" s="55">
        <f>_xll.EQNXTDZ($A$1,$B59,AN$5,$B$1)</f>
        <v>1290.596</v>
      </c>
      <c r="AO59" s="55">
        <f>_xll.EQNXTDZ($A$1,$B59,AO$5,$B$1)</f>
        <v>0</v>
      </c>
      <c r="AP59" s="55">
        <f>_xll.EQNXTDZ($A$1,$B59,AP$5,$B$1)</f>
        <v>1600.902</v>
      </c>
      <c r="AQ59" s="55">
        <f>_xll.EQNXTDZ($A$1,$B59,AQ$5,$B$1)</f>
        <v>0</v>
      </c>
      <c r="AR59" s="55">
        <f>_xll.EQNXTDZ($A$1,$B59,AR$5,$B$1)</f>
        <v>1692.0260000000001</v>
      </c>
      <c r="AS59" s="55">
        <f>_xll.EQNXTDZ($A$1,$B59,AS$5,$B$1)</f>
        <v>0</v>
      </c>
      <c r="AT59" s="55">
        <f>_xll.EQNXTDZ($A$1,$B59,AT$5,$B$1)</f>
        <v>2085.7669999999998</v>
      </c>
      <c r="AU59" s="55">
        <f>_xll.EQNXTDZ($A$1,$B59,AU$5,$B$1)</f>
        <v>0</v>
      </c>
      <c r="AV59" s="55">
        <f>_xll.EQNXTDZ($A$1,$B59,AV$5,$B$1)</f>
        <v>2096.3620000000001</v>
      </c>
      <c r="AW59" s="55">
        <f>_xll.EQNXTDZ($A$1,$B59,AW$5,$B$1)</f>
        <v>0</v>
      </c>
      <c r="AX59" s="55">
        <f>_xll.EQNXTDZ($A$1,$B59,AX$5,$B$1)</f>
        <v>2505.6559999999999</v>
      </c>
      <c r="AY59" s="55">
        <f>_xll.EQNXTDZ($A$1,$B59,AY$5,$B$1)</f>
        <v>0</v>
      </c>
      <c r="AZ59" s="55">
        <f>_xll.EQNXTDZ($A$1,$B59,AZ$5,$B$1)</f>
        <v>2486.5700000000002</v>
      </c>
      <c r="BA59" s="55">
        <f>_xll.EQNXTDZ($A$1,$B59,BA$5,$B$1)</f>
        <v>0</v>
      </c>
      <c r="BB59" s="55">
        <f>_xll.EQNXTDZ($A$1,$B59,BB$5,$B$1)</f>
        <v>2859.9690000000001</v>
      </c>
      <c r="BC59" s="55">
        <f>_xll.EQNXTDZ($A$1,$B59,BC$5,$B$1)</f>
        <v>0</v>
      </c>
      <c r="BD59" s="55">
        <f>_xll.EQNXTDZ($A$1,$B59,BD$5,$B$1)</f>
        <v>2702.6419999999998</v>
      </c>
      <c r="BE59" s="55">
        <f>_xll.EQNXTDZ($A$1,$B59,BE$5,$B$1)</f>
        <v>0</v>
      </c>
      <c r="BF59" s="55">
        <f>_xll.EQNXTDZ($A$1,$B59,BF$5,$B$1)</f>
        <v>3041.3420000000001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43.942999999999998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43.555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43.942999999999998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43.555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10.09</v>
      </c>
      <c r="W64" s="55">
        <f>_xll.EQNXTDZ($A$1,$B64,W$5,$B$1)</f>
        <v>0</v>
      </c>
      <c r="X64" s="55">
        <f>_xll.EQNXTDZ($A$1,$B64,X$5,$B$1)</f>
        <v>11.906000000000001</v>
      </c>
      <c r="Y64" s="55">
        <f>_xll.EQNXTDZ($A$1,$B64,Y$5,$B$1)</f>
        <v>0</v>
      </c>
      <c r="Z64" s="55">
        <f>_xll.EQNXTDZ($A$1,$B64,Z$5,$B$1)</f>
        <v>9.1189999999999998</v>
      </c>
      <c r="AA64" s="55">
        <f>_xll.EQNXTDZ($A$1,$B64,AA$5,$B$1)</f>
        <v>0</v>
      </c>
      <c r="AB64" s="55">
        <f>_xll.EQNXTDZ($A$1,$B64,AB$5,$B$1)</f>
        <v>1.3480000000000001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1.952</v>
      </c>
      <c r="AG64" s="55">
        <f>_xll.EQNXTDZ($A$1,$B64,AG$5,$B$1)</f>
        <v>0</v>
      </c>
      <c r="AH64" s="55">
        <f>_xll.EQNXTDZ($A$1,$B64,AH$5,$B$1)</f>
        <v>45.014000000000003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60.457000000000001</v>
      </c>
      <c r="AM64" s="55">
        <f>_xll.EQNXTDZ($A$1,$B64,AM$5,$B$1)</f>
        <v>0</v>
      </c>
      <c r="AN64" s="55">
        <f>_xll.EQNXTDZ($A$1,$B64,AN$5,$B$1)</f>
        <v>85.918000000000006</v>
      </c>
      <c r="AO64" s="55">
        <f>_xll.EQNXTDZ($A$1,$B64,AO$5,$B$1)</f>
        <v>0</v>
      </c>
      <c r="AP64" s="55">
        <f>_xll.EQNXTDZ($A$1,$B64,AP$5,$B$1)</f>
        <v>118.286</v>
      </c>
      <c r="AQ64" s="55">
        <f>_xll.EQNXTDZ($A$1,$B64,AQ$5,$B$1)</f>
        <v>0</v>
      </c>
      <c r="AR64" s="55">
        <f>_xll.EQNXTDZ($A$1,$B64,AR$5,$B$1)</f>
        <v>165.166</v>
      </c>
      <c r="AS64" s="55">
        <f>_xll.EQNXTDZ($A$1,$B64,AS$5,$B$1)</f>
        <v>0</v>
      </c>
      <c r="AT64" s="55">
        <f>_xll.EQNXTDZ($A$1,$B64,AT$5,$B$1)</f>
        <v>153.727</v>
      </c>
      <c r="AU64" s="55">
        <f>_xll.EQNXTDZ($A$1,$B64,AU$5,$B$1)</f>
        <v>0</v>
      </c>
      <c r="AV64" s="55">
        <f>_xll.EQNXTDZ($A$1,$B64,AV$5,$B$1)</f>
        <v>199.30500000000001</v>
      </c>
      <c r="AW64" s="55">
        <f>_xll.EQNXTDZ($A$1,$B64,AW$5,$B$1)</f>
        <v>0</v>
      </c>
      <c r="AX64" s="55">
        <f>_xll.EQNXTDZ($A$1,$B64,AX$5,$B$1)</f>
        <v>181.18899999999999</v>
      </c>
      <c r="AY64" s="55">
        <f>_xll.EQNXTDZ($A$1,$B64,AY$5,$B$1)</f>
        <v>0</v>
      </c>
      <c r="AZ64" s="55">
        <f>_xll.EQNXTDZ($A$1,$B64,AZ$5,$B$1)</f>
        <v>160.023</v>
      </c>
      <c r="BA64" s="55">
        <f>_xll.EQNXTDZ($A$1,$B64,BA$5,$B$1)</f>
        <v>0</v>
      </c>
      <c r="BB64" s="55">
        <f>_xll.EQNXTDZ($A$1,$B64,BB$5,$B$1)</f>
        <v>139.31299999999999</v>
      </c>
      <c r="BC64" s="55">
        <f>_xll.EQNXTDZ($A$1,$B64,BC$5,$B$1)</f>
        <v>0</v>
      </c>
      <c r="BD64" s="55">
        <f>_xll.EQNXTDZ($A$1,$B64,BD$5,$B$1)</f>
        <v>114.999</v>
      </c>
      <c r="BE64" s="55">
        <f>_xll.EQNXTDZ($A$1,$B64,BE$5,$B$1)</f>
        <v>0</v>
      </c>
      <c r="BF64" s="55">
        <f>_xll.EQNXTDZ($A$1,$B64,BF$5,$B$1)</f>
        <v>103.72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7.3780000000000001</v>
      </c>
      <c r="E66" s="55">
        <f>_xll.EQNXTDZ($A$1,$B66,E$5,$B$1)</f>
        <v>0</v>
      </c>
      <c r="F66" s="55">
        <f>_xll.EQNXTDZ($A$1,$B66,F$5,$B$1)</f>
        <v>5.0579999999999998</v>
      </c>
      <c r="G66" s="55">
        <f>_xll.EQNXTDZ($A$1,$B66,G$5,$B$1)</f>
        <v>0</v>
      </c>
      <c r="H66" s="55">
        <f>_xll.EQNXTDZ($A$1,$B66,H$5,$B$1)</f>
        <v>5.1120000000000001</v>
      </c>
      <c r="I66" s="55">
        <f>_xll.EQNXTDZ($A$1,$B66,I$5,$B$1)</f>
        <v>0</v>
      </c>
      <c r="J66" s="55">
        <f>_xll.EQNXTDZ($A$1,$B66,J$5,$B$1)</f>
        <v>5.1130000000000004</v>
      </c>
      <c r="K66" s="55">
        <f>_xll.EQNXTDZ($A$1,$B66,K$5,$B$1)</f>
        <v>0</v>
      </c>
      <c r="L66" s="55">
        <f>_xll.EQNXTDZ($A$1,$B66,L$5,$B$1)</f>
        <v>6.0279999999999996</v>
      </c>
      <c r="M66" s="55">
        <f>_xll.EQNXTDZ($A$1,$B66,M$5,$B$1)</f>
        <v>0</v>
      </c>
      <c r="N66" s="55">
        <f>_xll.EQNXTDZ($A$1,$B66,N$5,$B$1)</f>
        <v>10.765000000000001</v>
      </c>
      <c r="O66" s="55">
        <f>_xll.EQNXTDZ($A$1,$B66,O$5,$B$1)</f>
        <v>0</v>
      </c>
      <c r="P66" s="55">
        <f>_xll.EQNXTDZ($A$1,$B66,P$5,$B$1)</f>
        <v>11.802</v>
      </c>
      <c r="Q66" s="55">
        <f>_xll.EQNXTDZ($A$1,$B66,Q$5,$B$1)</f>
        <v>0</v>
      </c>
      <c r="R66" s="55">
        <f>_xll.EQNXTDZ($A$1,$B66,R$5,$B$1)</f>
        <v>18.242999999999999</v>
      </c>
      <c r="S66" s="55">
        <f>_xll.EQNXTDZ($A$1,$B66,S$5,$B$1)</f>
        <v>0</v>
      </c>
      <c r="T66" s="55">
        <f>_xll.EQNXTDZ($A$1,$B66,T$5,$B$1)</f>
        <v>19.161999999999999</v>
      </c>
      <c r="U66" s="55">
        <f>_xll.EQNXTDZ($A$1,$B66,U$5,$B$1)</f>
        <v>0</v>
      </c>
      <c r="V66" s="55">
        <f>_xll.EQNXTDZ($A$1,$B66,V$5,$B$1)</f>
        <v>15.881</v>
      </c>
      <c r="W66" s="55">
        <f>_xll.EQNXTDZ($A$1,$B66,W$5,$B$1)</f>
        <v>0</v>
      </c>
      <c r="X66" s="55">
        <f>_xll.EQNXTDZ($A$1,$B66,X$5,$B$1)</f>
        <v>16.146999999999998</v>
      </c>
      <c r="Y66" s="55">
        <f>_xll.EQNXTDZ($A$1,$B66,Y$5,$B$1)</f>
        <v>0</v>
      </c>
      <c r="Z66" s="55">
        <f>_xll.EQNXTDZ($A$1,$B66,Z$5,$B$1)</f>
        <v>9.7330000000000005</v>
      </c>
      <c r="AA66" s="55">
        <f>_xll.EQNXTDZ($A$1,$B66,AA$5,$B$1)</f>
        <v>0</v>
      </c>
      <c r="AB66" s="55">
        <f>_xll.EQNXTDZ($A$1,$B66,AB$5,$B$1)</f>
        <v>10.906000000000001</v>
      </c>
      <c r="AC66" s="55">
        <f>_xll.EQNXTDZ($A$1,$B66,AC$5,$B$1)</f>
        <v>0</v>
      </c>
      <c r="AD66" s="55">
        <f>_xll.EQNXTDZ($A$1,$B66,AD$5,$B$1)</f>
        <v>12.420999999999999</v>
      </c>
      <c r="AE66" s="55">
        <f>_xll.EQNXTDZ($A$1,$B66,AE$5,$B$1)</f>
        <v>0</v>
      </c>
      <c r="AF66" s="55">
        <f>_xll.EQNXTDZ($A$1,$B66,AF$5,$B$1)</f>
        <v>37.320999999999998</v>
      </c>
      <c r="AG66" s="55">
        <f>_xll.EQNXTDZ($A$1,$B66,AG$5,$B$1)</f>
        <v>0</v>
      </c>
      <c r="AH66" s="55">
        <f>_xll.EQNXTDZ($A$1,$B66,AH$5,$B$1)</f>
        <v>36.56</v>
      </c>
      <c r="AI66" s="55">
        <f>_xll.EQNXTDZ($A$1,$B66,AI$5,$B$1)</f>
        <v>0</v>
      </c>
      <c r="AJ66" s="55">
        <f>_xll.EQNXTDZ($A$1,$B66,AJ$5,$B$1)</f>
        <v>38.54</v>
      </c>
      <c r="AK66" s="55">
        <f>_xll.EQNXTDZ($A$1,$B66,AK$5,$B$1)</f>
        <v>0</v>
      </c>
      <c r="AL66" s="55">
        <f>_xll.EQNXTDZ($A$1,$B66,AL$5,$B$1)</f>
        <v>39.6</v>
      </c>
      <c r="AM66" s="55">
        <f>_xll.EQNXTDZ($A$1,$B66,AM$5,$B$1)</f>
        <v>0</v>
      </c>
      <c r="AN66" s="55">
        <f>_xll.EQNXTDZ($A$1,$B66,AN$5,$B$1)</f>
        <v>41.392000000000003</v>
      </c>
      <c r="AO66" s="55">
        <f>_xll.EQNXTDZ($A$1,$B66,AO$5,$B$1)</f>
        <v>0</v>
      </c>
      <c r="AP66" s="55">
        <f>_xll.EQNXTDZ($A$1,$B66,AP$5,$B$1)</f>
        <v>39.762</v>
      </c>
      <c r="AQ66" s="55">
        <f>_xll.EQNXTDZ($A$1,$B66,AQ$5,$B$1)</f>
        <v>0</v>
      </c>
      <c r="AR66" s="55">
        <f>_xll.EQNXTDZ($A$1,$B66,AR$5,$B$1)</f>
        <v>40.488</v>
      </c>
      <c r="AS66" s="55">
        <f>_xll.EQNXTDZ($A$1,$B66,AS$5,$B$1)</f>
        <v>0</v>
      </c>
      <c r="AT66" s="55">
        <f>_xll.EQNXTDZ($A$1,$B66,AT$5,$B$1)</f>
        <v>45.453000000000003</v>
      </c>
      <c r="AU66" s="55">
        <f>_xll.EQNXTDZ($A$1,$B66,AU$5,$B$1)</f>
        <v>0</v>
      </c>
      <c r="AV66" s="55">
        <f>_xll.EQNXTDZ($A$1,$B66,AV$5,$B$1)</f>
        <v>56.2</v>
      </c>
      <c r="AW66" s="55">
        <f>_xll.EQNXTDZ($A$1,$B66,AW$5,$B$1)</f>
        <v>0</v>
      </c>
      <c r="AX66" s="55">
        <f>_xll.EQNXTDZ($A$1,$B66,AX$5,$B$1)</f>
        <v>54.2</v>
      </c>
      <c r="AY66" s="55">
        <f>_xll.EQNXTDZ($A$1,$B66,AY$5,$B$1)</f>
        <v>0</v>
      </c>
      <c r="AZ66" s="55">
        <f>_xll.EQNXTDZ($A$1,$B66,AZ$5,$B$1)</f>
        <v>56.052999999999997</v>
      </c>
      <c r="BA66" s="55">
        <f>_xll.EQNXTDZ($A$1,$B66,BA$5,$B$1)</f>
        <v>0</v>
      </c>
      <c r="BB66" s="55">
        <f>_xll.EQNXTDZ($A$1,$B66,BB$5,$B$1)</f>
        <v>56.753</v>
      </c>
      <c r="BC66" s="55">
        <f>_xll.EQNXTDZ($A$1,$B66,BC$5,$B$1)</f>
        <v>0</v>
      </c>
      <c r="BD66" s="55">
        <f>_xll.EQNXTDZ($A$1,$B66,BD$5,$B$1)</f>
        <v>58.872999999999998</v>
      </c>
      <c r="BE66" s="55">
        <f>_xll.EQNXTDZ($A$1,$B66,BE$5,$B$1)</f>
        <v>0</v>
      </c>
      <c r="BF66" s="55">
        <f>_xll.EQNXTDZ($A$1,$B66,BF$5,$B$1)</f>
        <v>60.487000000000002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203.80199999999999</v>
      </c>
      <c r="E67" s="55">
        <f>_xll.EQNXTDZ($A$1,$B67,E$5,$B$1)</f>
        <v>0</v>
      </c>
      <c r="F67" s="55">
        <f>_xll.EQNXTDZ($A$1,$B67,F$5,$B$1)</f>
        <v>200.23099999999999</v>
      </c>
      <c r="G67" s="55">
        <f>_xll.EQNXTDZ($A$1,$B67,G$5,$B$1)</f>
        <v>0</v>
      </c>
      <c r="H67" s="55">
        <f>_xll.EQNXTDZ($A$1,$B67,H$5,$B$1)</f>
        <v>229.65600000000001</v>
      </c>
      <c r="I67" s="55">
        <f>_xll.EQNXTDZ($A$1,$B67,I$5,$B$1)</f>
        <v>0</v>
      </c>
      <c r="J67" s="55">
        <f>_xll.EQNXTDZ($A$1,$B67,J$5,$B$1)</f>
        <v>240.82400000000001</v>
      </c>
      <c r="K67" s="55">
        <f>_xll.EQNXTDZ($A$1,$B67,K$5,$B$1)</f>
        <v>0</v>
      </c>
      <c r="L67" s="55">
        <f>_xll.EQNXTDZ($A$1,$B67,L$5,$B$1)</f>
        <v>283.07600000000002</v>
      </c>
      <c r="M67" s="55">
        <f>_xll.EQNXTDZ($A$1,$B67,M$5,$B$1)</f>
        <v>0</v>
      </c>
      <c r="N67" s="55">
        <f>_xll.EQNXTDZ($A$1,$B67,N$5,$B$1)</f>
        <v>294.19200000000001</v>
      </c>
      <c r="O67" s="55">
        <f>_xll.EQNXTDZ($A$1,$B67,O$5,$B$1)</f>
        <v>0</v>
      </c>
      <c r="P67" s="55">
        <f>_xll.EQNXTDZ($A$1,$B67,P$5,$B$1)</f>
        <v>368.97399999999999</v>
      </c>
      <c r="Q67" s="55">
        <f>_xll.EQNXTDZ($A$1,$B67,Q$5,$B$1)</f>
        <v>0</v>
      </c>
      <c r="R67" s="55">
        <f>_xll.EQNXTDZ($A$1,$B67,R$5,$B$1)</f>
        <v>403.93599999999998</v>
      </c>
      <c r="S67" s="55">
        <f>_xll.EQNXTDZ($A$1,$B67,S$5,$B$1)</f>
        <v>0</v>
      </c>
      <c r="T67" s="55">
        <f>_xll.EQNXTDZ($A$1,$B67,T$5,$B$1)</f>
        <v>489.86</v>
      </c>
      <c r="U67" s="55">
        <f>_xll.EQNXTDZ($A$1,$B67,U$5,$B$1)</f>
        <v>0</v>
      </c>
      <c r="V67" s="55">
        <f>_xll.EQNXTDZ($A$1,$B67,V$5,$B$1)</f>
        <v>583.64</v>
      </c>
      <c r="W67" s="55">
        <f>_xll.EQNXTDZ($A$1,$B67,W$5,$B$1)</f>
        <v>0</v>
      </c>
      <c r="X67" s="55">
        <f>_xll.EQNXTDZ($A$1,$B67,X$5,$B$1)</f>
        <v>632.548</v>
      </c>
      <c r="Y67" s="55">
        <f>_xll.EQNXTDZ($A$1,$B67,Y$5,$B$1)</f>
        <v>0</v>
      </c>
      <c r="Z67" s="55">
        <f>_xll.EQNXTDZ($A$1,$B67,Z$5,$B$1)</f>
        <v>757.20299999999997</v>
      </c>
      <c r="AA67" s="55">
        <f>_xll.EQNXTDZ($A$1,$B67,AA$5,$B$1)</f>
        <v>0</v>
      </c>
      <c r="AB67" s="55">
        <f>_xll.EQNXTDZ($A$1,$B67,AB$5,$B$1)</f>
        <v>819.00800000000004</v>
      </c>
      <c r="AC67" s="55">
        <f>_xll.EQNXTDZ($A$1,$B67,AC$5,$B$1)</f>
        <v>0</v>
      </c>
      <c r="AD67" s="55">
        <f>_xll.EQNXTDZ($A$1,$B67,AD$5,$B$1)</f>
        <v>955.173</v>
      </c>
      <c r="AE67" s="55">
        <f>_xll.EQNXTDZ($A$1,$B67,AE$5,$B$1)</f>
        <v>0</v>
      </c>
      <c r="AF67" s="55">
        <f>_xll.EQNXTDZ($A$1,$B67,AF$5,$B$1)</f>
        <v>1017.317</v>
      </c>
      <c r="AG67" s="55">
        <f>_xll.EQNXTDZ($A$1,$B67,AG$5,$B$1)</f>
        <v>0</v>
      </c>
      <c r="AH67" s="55">
        <f>_xll.EQNXTDZ($A$1,$B67,AH$5,$B$1)</f>
        <v>1171.6089999999999</v>
      </c>
      <c r="AI67" s="55">
        <f>_xll.EQNXTDZ($A$1,$B67,AI$5,$B$1)</f>
        <v>0</v>
      </c>
      <c r="AJ67" s="55">
        <f>_xll.EQNXTDZ($A$1,$B67,AJ$5,$B$1)</f>
        <v>1216.1790000000001</v>
      </c>
      <c r="AK67" s="55">
        <f>_xll.EQNXTDZ($A$1,$B67,AK$5,$B$1)</f>
        <v>0</v>
      </c>
      <c r="AL67" s="55">
        <f>_xll.EQNXTDZ($A$1,$B67,AL$5,$B$1)</f>
        <v>1452.2280000000001</v>
      </c>
      <c r="AM67" s="55">
        <f>_xll.EQNXTDZ($A$1,$B67,AM$5,$B$1)</f>
        <v>0</v>
      </c>
      <c r="AN67" s="55">
        <f>_xll.EQNXTDZ($A$1,$B67,AN$5,$B$1)</f>
        <v>1417.9059999999999</v>
      </c>
      <c r="AO67" s="55">
        <f>_xll.EQNXTDZ($A$1,$B67,AO$5,$B$1)</f>
        <v>0</v>
      </c>
      <c r="AP67" s="55">
        <f>_xll.EQNXTDZ($A$1,$B67,AP$5,$B$1)</f>
        <v>1758.95</v>
      </c>
      <c r="AQ67" s="55">
        <f>_xll.EQNXTDZ($A$1,$B67,AQ$5,$B$1)</f>
        <v>0</v>
      </c>
      <c r="AR67" s="55">
        <f>_xll.EQNXTDZ($A$1,$B67,AR$5,$B$1)</f>
        <v>1897.68</v>
      </c>
      <c r="AS67" s="55">
        <f>_xll.EQNXTDZ($A$1,$B67,AS$5,$B$1)</f>
        <v>0</v>
      </c>
      <c r="AT67" s="55">
        <f>_xll.EQNXTDZ($A$1,$B67,AT$5,$B$1)</f>
        <v>2284.9470000000001</v>
      </c>
      <c r="AU67" s="55">
        <f>_xll.EQNXTDZ($A$1,$B67,AU$5,$B$1)</f>
        <v>0</v>
      </c>
      <c r="AV67" s="55">
        <f>_xll.EQNXTDZ($A$1,$B67,AV$5,$B$1)</f>
        <v>2351.8670000000002</v>
      </c>
      <c r="AW67" s="55">
        <f>_xll.EQNXTDZ($A$1,$B67,AW$5,$B$1)</f>
        <v>0</v>
      </c>
      <c r="AX67" s="55">
        <f>_xll.EQNXTDZ($A$1,$B67,AX$5,$B$1)</f>
        <v>2741.0450000000001</v>
      </c>
      <c r="AY67" s="55">
        <f>_xll.EQNXTDZ($A$1,$B67,AY$5,$B$1)</f>
        <v>0</v>
      </c>
      <c r="AZ67" s="55">
        <f>_xll.EQNXTDZ($A$1,$B67,AZ$5,$B$1)</f>
        <v>2702.6460000000002</v>
      </c>
      <c r="BA67" s="55">
        <f>_xll.EQNXTDZ($A$1,$B67,BA$5,$B$1)</f>
        <v>0</v>
      </c>
      <c r="BB67" s="55">
        <f>_xll.EQNXTDZ($A$1,$B67,BB$5,$B$1)</f>
        <v>3056.0349999999999</v>
      </c>
      <c r="BC67" s="55">
        <f>_xll.EQNXTDZ($A$1,$B67,BC$5,$B$1)</f>
        <v>0</v>
      </c>
      <c r="BD67" s="55">
        <f>_xll.EQNXTDZ($A$1,$B67,BD$5,$B$1)</f>
        <v>2876.5140000000001</v>
      </c>
      <c r="BE67" s="55">
        <f>_xll.EQNXTDZ($A$1,$B67,BE$5,$B$1)</f>
        <v>0</v>
      </c>
      <c r="BF67" s="55">
        <f>_xll.EQNXTDZ($A$1,$B67,BF$5,$B$1)</f>
        <v>3205.549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115.78400000000001</v>
      </c>
      <c r="E68" s="55">
        <f>_xll.EQNXTDZ($A$1,$B68,E$5,$B$1)</f>
        <v>0</v>
      </c>
      <c r="F68" s="55">
        <f>_xll.EQNXTDZ($A$1,$B68,F$5,$B$1)</f>
        <v>115.93300000000001</v>
      </c>
      <c r="G68" s="55">
        <f>_xll.EQNXTDZ($A$1,$B68,G$5,$B$1)</f>
        <v>0</v>
      </c>
      <c r="H68" s="55">
        <f>_xll.EQNXTDZ($A$1,$B68,H$5,$B$1)</f>
        <v>111.042</v>
      </c>
      <c r="I68" s="55">
        <f>_xll.EQNXTDZ($A$1,$B68,I$5,$B$1)</f>
        <v>0</v>
      </c>
      <c r="J68" s="55">
        <f>_xll.EQNXTDZ($A$1,$B68,J$5,$B$1)</f>
        <v>99.855000000000004</v>
      </c>
      <c r="K68" s="55">
        <f>_xll.EQNXTDZ($A$1,$B68,K$5,$B$1)</f>
        <v>0</v>
      </c>
      <c r="L68" s="55">
        <f>_xll.EQNXTDZ($A$1,$B68,L$5,$B$1)</f>
        <v>83.593000000000004</v>
      </c>
      <c r="M68" s="55">
        <f>_xll.EQNXTDZ($A$1,$B68,M$5,$B$1)</f>
        <v>0</v>
      </c>
      <c r="N68" s="55">
        <f>_xll.EQNXTDZ($A$1,$B68,N$5,$B$1)</f>
        <v>98.846999999999994</v>
      </c>
      <c r="O68" s="55">
        <f>_xll.EQNXTDZ($A$1,$B68,O$5,$B$1)</f>
        <v>0</v>
      </c>
      <c r="P68" s="55">
        <f>_xll.EQNXTDZ($A$1,$B68,P$5,$B$1)</f>
        <v>104.288</v>
      </c>
      <c r="Q68" s="55">
        <f>_xll.EQNXTDZ($A$1,$B68,Q$5,$B$1)</f>
        <v>0</v>
      </c>
      <c r="R68" s="55">
        <f>_xll.EQNXTDZ($A$1,$B68,R$5,$B$1)</f>
        <v>106.965</v>
      </c>
      <c r="S68" s="55">
        <f>_xll.EQNXTDZ($A$1,$B68,S$5,$B$1)</f>
        <v>0</v>
      </c>
      <c r="T68" s="55">
        <f>_xll.EQNXTDZ($A$1,$B68,T$5,$B$1)</f>
        <v>108.76300000000001</v>
      </c>
      <c r="U68" s="55">
        <f>_xll.EQNXTDZ($A$1,$B68,U$5,$B$1)</f>
        <v>0</v>
      </c>
      <c r="V68" s="55">
        <f>_xll.EQNXTDZ($A$1,$B68,V$5,$B$1)</f>
        <v>107.80500000000001</v>
      </c>
      <c r="W68" s="55">
        <f>_xll.EQNXTDZ($A$1,$B68,W$5,$B$1)</f>
        <v>0</v>
      </c>
      <c r="X68" s="55">
        <f>_xll.EQNXTDZ($A$1,$B68,X$5,$B$1)</f>
        <v>99.724000000000004</v>
      </c>
      <c r="Y68" s="55">
        <f>_xll.EQNXTDZ($A$1,$B68,Y$5,$B$1)</f>
        <v>0</v>
      </c>
      <c r="Z68" s="55">
        <f>_xll.EQNXTDZ($A$1,$B68,Z$5,$B$1)</f>
        <v>94.275999999999996</v>
      </c>
      <c r="AA68" s="55">
        <f>_xll.EQNXTDZ($A$1,$B68,AA$5,$B$1)</f>
        <v>0</v>
      </c>
      <c r="AB68" s="55">
        <f>_xll.EQNXTDZ($A$1,$B68,AB$5,$B$1)</f>
        <v>94.606999999999999</v>
      </c>
      <c r="AC68" s="55">
        <f>_xll.EQNXTDZ($A$1,$B68,AC$5,$B$1)</f>
        <v>0</v>
      </c>
      <c r="AD68" s="55">
        <f>_xll.EQNXTDZ($A$1,$B68,AD$5,$B$1)</f>
        <v>101.187</v>
      </c>
      <c r="AE68" s="55">
        <f>_xll.EQNXTDZ($A$1,$B68,AE$5,$B$1)</f>
        <v>0</v>
      </c>
      <c r="AF68" s="55">
        <f>_xll.EQNXTDZ($A$1,$B68,AF$5,$B$1)</f>
        <v>151.18899999999999</v>
      </c>
      <c r="AG68" s="55">
        <f>_xll.EQNXTDZ($A$1,$B68,AG$5,$B$1)</f>
        <v>0</v>
      </c>
      <c r="AH68" s="55">
        <f>_xll.EQNXTDZ($A$1,$B68,AH$5,$B$1)</f>
        <v>95.227999999999994</v>
      </c>
      <c r="AI68" s="55">
        <f>_xll.EQNXTDZ($A$1,$B68,AI$5,$B$1)</f>
        <v>0</v>
      </c>
      <c r="AJ68" s="55">
        <f>_xll.EQNXTDZ($A$1,$B68,AJ$5,$B$1)</f>
        <v>93.956000000000003</v>
      </c>
      <c r="AK68" s="55">
        <f>_xll.EQNXTDZ($A$1,$B68,AK$5,$B$1)</f>
        <v>0</v>
      </c>
      <c r="AL68" s="55">
        <f>_xll.EQNXTDZ($A$1,$B68,AL$5,$B$1)</f>
        <v>104.55800000000001</v>
      </c>
      <c r="AM68" s="55">
        <f>_xll.EQNXTDZ($A$1,$B68,AM$5,$B$1)</f>
        <v>0</v>
      </c>
      <c r="AN68" s="55">
        <f>_xll.EQNXTDZ($A$1,$B68,AN$5,$B$1)</f>
        <v>120.056</v>
      </c>
      <c r="AO68" s="55">
        <f>_xll.EQNXTDZ($A$1,$B68,AO$5,$B$1)</f>
        <v>0</v>
      </c>
      <c r="AP68" s="55">
        <f>_xll.EQNXTDZ($A$1,$B68,AP$5,$B$1)</f>
        <v>147.12200000000001</v>
      </c>
      <c r="AQ68" s="55">
        <f>_xll.EQNXTDZ($A$1,$B68,AQ$5,$B$1)</f>
        <v>0</v>
      </c>
      <c r="AR68" s="55">
        <f>_xll.EQNXTDZ($A$1,$B68,AR$5,$B$1)</f>
        <v>184.34299999999999</v>
      </c>
      <c r="AS68" s="55">
        <f>_xll.EQNXTDZ($A$1,$B68,AS$5,$B$1)</f>
        <v>0</v>
      </c>
      <c r="AT68" s="55">
        <f>_xll.EQNXTDZ($A$1,$B68,AT$5,$B$1)</f>
        <v>175.93600000000001</v>
      </c>
      <c r="AU68" s="55">
        <f>_xll.EQNXTDZ($A$1,$B68,AU$5,$B$1)</f>
        <v>0</v>
      </c>
      <c r="AV68" s="55">
        <f>_xll.EQNXTDZ($A$1,$B68,AV$5,$B$1)</f>
        <v>175.661</v>
      </c>
      <c r="AW68" s="55">
        <f>_xll.EQNXTDZ($A$1,$B68,AW$5,$B$1)</f>
        <v>0</v>
      </c>
      <c r="AX68" s="55">
        <f>_xll.EQNXTDZ($A$1,$B68,AX$5,$B$1)</f>
        <v>205.696</v>
      </c>
      <c r="AY68" s="55">
        <f>_xll.EQNXTDZ($A$1,$B68,AY$5,$B$1)</f>
        <v>0</v>
      </c>
      <c r="AZ68" s="55">
        <f>_xll.EQNXTDZ($A$1,$B68,AZ$5,$B$1)</f>
        <v>186.023</v>
      </c>
      <c r="BA68" s="55">
        <f>_xll.EQNXTDZ($A$1,$B68,BA$5,$B$1)</f>
        <v>0</v>
      </c>
      <c r="BB68" s="55">
        <f>_xll.EQNXTDZ($A$1,$B68,BB$5,$B$1)</f>
        <v>162.965</v>
      </c>
      <c r="BC68" s="55">
        <f>_xll.EQNXTDZ($A$1,$B68,BC$5,$B$1)</f>
        <v>0</v>
      </c>
      <c r="BD68" s="55">
        <f>_xll.EQNXTDZ($A$1,$B68,BD$5,$B$1)</f>
        <v>142.887</v>
      </c>
      <c r="BE68" s="55">
        <f>_xll.EQNXTDZ($A$1,$B68,BE$5,$B$1)</f>
        <v>0</v>
      </c>
      <c r="BF68" s="55">
        <f>_xll.EQNXTDZ($A$1,$B68,BF$5,$B$1)</f>
        <v>132.101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115.78400000000001</v>
      </c>
      <c r="E71" s="55">
        <f>_xll.EQNXTDZ($A$1,$B71,E$5,$B$1)</f>
        <v>0</v>
      </c>
      <c r="F71" s="55">
        <f>_xll.EQNXTDZ($A$1,$B71,F$5,$B$1)</f>
        <v>115.93300000000001</v>
      </c>
      <c r="G71" s="55">
        <f>_xll.EQNXTDZ($A$1,$B71,G$5,$B$1)</f>
        <v>0</v>
      </c>
      <c r="H71" s="55">
        <f>_xll.EQNXTDZ($A$1,$B71,H$5,$B$1)</f>
        <v>111.042</v>
      </c>
      <c r="I71" s="55">
        <f>_xll.EQNXTDZ($A$1,$B71,I$5,$B$1)</f>
        <v>0</v>
      </c>
      <c r="J71" s="55">
        <f>_xll.EQNXTDZ($A$1,$B71,J$5,$B$1)</f>
        <v>99.855000000000004</v>
      </c>
      <c r="K71" s="55">
        <f>_xll.EQNXTDZ($A$1,$B71,K$5,$B$1)</f>
        <v>0</v>
      </c>
      <c r="L71" s="55">
        <f>_xll.EQNXTDZ($A$1,$B71,L$5,$B$1)</f>
        <v>83.593000000000004</v>
      </c>
      <c r="M71" s="55">
        <f>_xll.EQNXTDZ($A$1,$B71,M$5,$B$1)</f>
        <v>0</v>
      </c>
      <c r="N71" s="55">
        <f>_xll.EQNXTDZ($A$1,$B71,N$5,$B$1)</f>
        <v>98.846999999999994</v>
      </c>
      <c r="O71" s="55">
        <f>_xll.EQNXTDZ($A$1,$B71,O$5,$B$1)</f>
        <v>0</v>
      </c>
      <c r="P71" s="55">
        <f>_xll.EQNXTDZ($A$1,$B71,P$5,$B$1)</f>
        <v>104.288</v>
      </c>
      <c r="Q71" s="55">
        <f>_xll.EQNXTDZ($A$1,$B71,Q$5,$B$1)</f>
        <v>0</v>
      </c>
      <c r="R71" s="55">
        <f>_xll.EQNXTDZ($A$1,$B71,R$5,$B$1)</f>
        <v>106.965</v>
      </c>
      <c r="S71" s="55">
        <f>_xll.EQNXTDZ($A$1,$B71,S$5,$B$1)</f>
        <v>0</v>
      </c>
      <c r="T71" s="55">
        <f>_xll.EQNXTDZ($A$1,$B71,T$5,$B$1)</f>
        <v>108.76300000000001</v>
      </c>
      <c r="U71" s="55">
        <f>_xll.EQNXTDZ($A$1,$B71,U$5,$B$1)</f>
        <v>0</v>
      </c>
      <c r="V71" s="55">
        <f>_xll.EQNXTDZ($A$1,$B71,V$5,$B$1)</f>
        <v>107.80500000000001</v>
      </c>
      <c r="W71" s="55">
        <f>_xll.EQNXTDZ($A$1,$B71,W$5,$B$1)</f>
        <v>0</v>
      </c>
      <c r="X71" s="55">
        <f>_xll.EQNXTDZ($A$1,$B71,X$5,$B$1)</f>
        <v>99.724000000000004</v>
      </c>
      <c r="Y71" s="55">
        <f>_xll.EQNXTDZ($A$1,$B71,Y$5,$B$1)</f>
        <v>0</v>
      </c>
      <c r="Z71" s="55">
        <f>_xll.EQNXTDZ($A$1,$B71,Z$5,$B$1)</f>
        <v>94.275999999999996</v>
      </c>
      <c r="AA71" s="55">
        <f>_xll.EQNXTDZ($A$1,$B71,AA$5,$B$1)</f>
        <v>0</v>
      </c>
      <c r="AB71" s="55">
        <f>_xll.EQNXTDZ($A$1,$B71,AB$5,$B$1)</f>
        <v>94.606999999999999</v>
      </c>
      <c r="AC71" s="55">
        <f>_xll.EQNXTDZ($A$1,$B71,AC$5,$B$1)</f>
        <v>0</v>
      </c>
      <c r="AD71" s="55">
        <f>_xll.EQNXTDZ($A$1,$B71,AD$5,$B$1)</f>
        <v>101.187</v>
      </c>
      <c r="AE71" s="55">
        <f>_xll.EQNXTDZ($A$1,$B71,AE$5,$B$1)</f>
        <v>0</v>
      </c>
      <c r="AF71" s="55">
        <f>_xll.EQNXTDZ($A$1,$B71,AF$5,$B$1)</f>
        <v>151.18899999999999</v>
      </c>
      <c r="AG71" s="55">
        <f>_xll.EQNXTDZ($A$1,$B71,AG$5,$B$1)</f>
        <v>0</v>
      </c>
      <c r="AH71" s="55">
        <f>_xll.EQNXTDZ($A$1,$B71,AH$5,$B$1)</f>
        <v>95.227999999999994</v>
      </c>
      <c r="AI71" s="55">
        <f>_xll.EQNXTDZ($A$1,$B71,AI$5,$B$1)</f>
        <v>0</v>
      </c>
      <c r="AJ71" s="55">
        <f>_xll.EQNXTDZ($A$1,$B71,AJ$5,$B$1)</f>
        <v>93.956000000000003</v>
      </c>
      <c r="AK71" s="55">
        <f>_xll.EQNXTDZ($A$1,$B71,AK$5,$B$1)</f>
        <v>0</v>
      </c>
      <c r="AL71" s="55">
        <f>_xll.EQNXTDZ($A$1,$B71,AL$5,$B$1)</f>
        <v>104.55800000000001</v>
      </c>
      <c r="AM71" s="55">
        <f>_xll.EQNXTDZ($A$1,$B71,AM$5,$B$1)</f>
        <v>0</v>
      </c>
      <c r="AN71" s="55">
        <f>_xll.EQNXTDZ($A$1,$B71,AN$5,$B$1)</f>
        <v>120.056</v>
      </c>
      <c r="AO71" s="55">
        <f>_xll.EQNXTDZ($A$1,$B71,AO$5,$B$1)</f>
        <v>0</v>
      </c>
      <c r="AP71" s="55">
        <f>_xll.EQNXTDZ($A$1,$B71,AP$5,$B$1)</f>
        <v>147.12200000000001</v>
      </c>
      <c r="AQ71" s="55">
        <f>_xll.EQNXTDZ($A$1,$B71,AQ$5,$B$1)</f>
        <v>0</v>
      </c>
      <c r="AR71" s="55">
        <f>_xll.EQNXTDZ($A$1,$B71,AR$5,$B$1)</f>
        <v>184.34299999999999</v>
      </c>
      <c r="AS71" s="55">
        <f>_xll.EQNXTDZ($A$1,$B71,AS$5,$B$1)</f>
        <v>0</v>
      </c>
      <c r="AT71" s="55">
        <f>_xll.EQNXTDZ($A$1,$B71,AT$5,$B$1)</f>
        <v>175.93600000000001</v>
      </c>
      <c r="AU71" s="55">
        <f>_xll.EQNXTDZ($A$1,$B71,AU$5,$B$1)</f>
        <v>0</v>
      </c>
      <c r="AV71" s="55">
        <f>_xll.EQNXTDZ($A$1,$B71,AV$5,$B$1)</f>
        <v>175.661</v>
      </c>
      <c r="AW71" s="55">
        <f>_xll.EQNXTDZ($A$1,$B71,AW$5,$B$1)</f>
        <v>0</v>
      </c>
      <c r="AX71" s="55">
        <f>_xll.EQNXTDZ($A$1,$B71,AX$5,$B$1)</f>
        <v>205.696</v>
      </c>
      <c r="AY71" s="55">
        <f>_xll.EQNXTDZ($A$1,$B71,AY$5,$B$1)</f>
        <v>0</v>
      </c>
      <c r="AZ71" s="55">
        <f>_xll.EQNXTDZ($A$1,$B71,AZ$5,$B$1)</f>
        <v>186.023</v>
      </c>
      <c r="BA71" s="55">
        <f>_xll.EQNXTDZ($A$1,$B71,BA$5,$B$1)</f>
        <v>0</v>
      </c>
      <c r="BB71" s="55">
        <f>_xll.EQNXTDZ($A$1,$B71,BB$5,$B$1)</f>
        <v>162.965</v>
      </c>
      <c r="BC71" s="55">
        <f>_xll.EQNXTDZ($A$1,$B71,BC$5,$B$1)</f>
        <v>0</v>
      </c>
      <c r="BD71" s="55">
        <f>_xll.EQNXTDZ($A$1,$B71,BD$5,$B$1)</f>
        <v>142.887</v>
      </c>
      <c r="BE71" s="55">
        <f>_xll.EQNXTDZ($A$1,$B71,BE$5,$B$1)</f>
        <v>0</v>
      </c>
      <c r="BF71" s="55">
        <f>_xll.EQNXTDZ($A$1,$B71,BF$5,$B$1)</f>
        <v>132.101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1.4770000000000001</v>
      </c>
      <c r="E74" s="55">
        <f>_xll.EQNXTDZ($A$1,$B74,E$5,$B$1)</f>
        <v>0</v>
      </c>
      <c r="F74" s="55">
        <f>_xll.EQNXTDZ($A$1,$B74,F$5,$B$1)</f>
        <v>4.4710000000000001</v>
      </c>
      <c r="G74" s="55">
        <f>_xll.EQNXTDZ($A$1,$B74,G$5,$B$1)</f>
        <v>0</v>
      </c>
      <c r="H74" s="55">
        <f>_xll.EQNXTDZ($A$1,$B74,H$5,$B$1)</f>
        <v>5.5410000000000004</v>
      </c>
      <c r="I74" s="55">
        <f>_xll.EQNXTDZ($A$1,$B74,I$5,$B$1)</f>
        <v>0</v>
      </c>
      <c r="J74" s="55">
        <f>_xll.EQNXTDZ($A$1,$B74,J$5,$B$1)</f>
        <v>9.5980000000000008</v>
      </c>
      <c r="K74" s="55">
        <f>_xll.EQNXTDZ($A$1,$B74,K$5,$B$1)</f>
        <v>0</v>
      </c>
      <c r="L74" s="55">
        <f>_xll.EQNXTDZ($A$1,$B74,L$5,$B$1)</f>
        <v>15.255000000000001</v>
      </c>
      <c r="M74" s="55">
        <f>_xll.EQNXTDZ($A$1,$B74,M$5,$B$1)</f>
        <v>0</v>
      </c>
      <c r="N74" s="55">
        <f>_xll.EQNXTDZ($A$1,$B74,N$5,$B$1)</f>
        <v>2.2269999999999999</v>
      </c>
      <c r="O74" s="55">
        <f>_xll.EQNXTDZ($A$1,$B74,O$5,$B$1)</f>
        <v>0</v>
      </c>
      <c r="P74" s="55">
        <f>_xll.EQNXTDZ($A$1,$B74,P$5,$B$1)</f>
        <v>1.7569999999999999</v>
      </c>
      <c r="Q74" s="55">
        <f>_xll.EQNXTDZ($A$1,$B74,Q$5,$B$1)</f>
        <v>0</v>
      </c>
      <c r="R74" s="55">
        <f>_xll.EQNXTDZ($A$1,$B74,R$5,$B$1)</f>
        <v>1.8779999999999999</v>
      </c>
      <c r="S74" s="55">
        <f>_xll.EQNXTDZ($A$1,$B74,S$5,$B$1)</f>
        <v>0</v>
      </c>
      <c r="T74" s="55">
        <f>_xll.EQNXTDZ($A$1,$B74,T$5,$B$1)</f>
        <v>2.7690000000000001</v>
      </c>
      <c r="U74" s="55">
        <f>_xll.EQNXTDZ($A$1,$B74,U$5,$B$1)</f>
        <v>0</v>
      </c>
      <c r="V74" s="55">
        <f>_xll.EQNXTDZ($A$1,$B74,V$5,$B$1)</f>
        <v>1.034</v>
      </c>
      <c r="W74" s="55">
        <f>_xll.EQNXTDZ($A$1,$B74,W$5,$B$1)</f>
        <v>0</v>
      </c>
      <c r="X74" s="55">
        <f>_xll.EQNXTDZ($A$1,$B74,X$5,$B$1)</f>
        <v>0.89400000000000002</v>
      </c>
      <c r="Y74" s="55">
        <f>_xll.EQNXTDZ($A$1,$B74,Y$5,$B$1)</f>
        <v>0</v>
      </c>
      <c r="Z74" s="55">
        <f>_xll.EQNXTDZ($A$1,$B74,Z$5,$B$1)</f>
        <v>2.1259999999999999</v>
      </c>
      <c r="AA74" s="55">
        <f>_xll.EQNXTDZ($A$1,$B74,AA$5,$B$1)</f>
        <v>0</v>
      </c>
      <c r="AB74" s="55">
        <f>_xll.EQNXTDZ($A$1,$B74,AB$5,$B$1)</f>
        <v>1.8480000000000001</v>
      </c>
      <c r="AC74" s="55">
        <f>_xll.EQNXTDZ($A$1,$B74,AC$5,$B$1)</f>
        <v>0</v>
      </c>
      <c r="AD74" s="55">
        <f>_xll.EQNXTDZ($A$1,$B74,AD$5,$B$1)</f>
        <v>0.44800000000000001</v>
      </c>
      <c r="AE74" s="55">
        <f>_xll.EQNXTDZ($A$1,$B74,AE$5,$B$1)</f>
        <v>0</v>
      </c>
      <c r="AF74" s="55">
        <f>_xll.EQNXTDZ($A$1,$B74,AF$5,$B$1)</f>
        <v>0.49099999999999999</v>
      </c>
      <c r="AG74" s="55">
        <f>_xll.EQNXTDZ($A$1,$B74,AG$5,$B$1)</f>
        <v>0</v>
      </c>
      <c r="AH74" s="55">
        <f>_xll.EQNXTDZ($A$1,$B74,AH$5,$B$1)</f>
        <v>0.91300000000000003</v>
      </c>
      <c r="AI74" s="55">
        <f>_xll.EQNXTDZ($A$1,$B74,AI$5,$B$1)</f>
        <v>0</v>
      </c>
      <c r="AJ74" s="55">
        <f>_xll.EQNXTDZ($A$1,$B74,AJ$5,$B$1)</f>
        <v>1.7110000000000001</v>
      </c>
      <c r="AK74" s="55">
        <f>_xll.EQNXTDZ($A$1,$B74,AK$5,$B$1)</f>
        <v>0</v>
      </c>
      <c r="AL74" s="55">
        <f>_xll.EQNXTDZ($A$1,$B74,AL$5,$B$1)</f>
        <v>7.2670000000000003</v>
      </c>
      <c r="AM74" s="55">
        <f>_xll.EQNXTDZ($A$1,$B74,AM$5,$B$1)</f>
        <v>0</v>
      </c>
      <c r="AN74" s="55">
        <f>_xll.EQNXTDZ($A$1,$B74,AN$5,$B$1)</f>
        <v>4.1459999999999999</v>
      </c>
      <c r="AO74" s="55">
        <f>_xll.EQNXTDZ($A$1,$B74,AO$5,$B$1)</f>
        <v>0</v>
      </c>
      <c r="AP74" s="55">
        <f>_xll.EQNXTDZ($A$1,$B74,AP$5,$B$1)</f>
        <v>22.088999999999999</v>
      </c>
      <c r="AQ74" s="55">
        <f>_xll.EQNXTDZ($A$1,$B74,AQ$5,$B$1)</f>
        <v>0</v>
      </c>
      <c r="AR74" s="55">
        <f>_xll.EQNXTDZ($A$1,$B74,AR$5,$B$1)</f>
        <v>6.1689999999999996</v>
      </c>
      <c r="AS74" s="55">
        <f>_xll.EQNXTDZ($A$1,$B74,AS$5,$B$1)</f>
        <v>0</v>
      </c>
      <c r="AT74" s="55">
        <f>_xll.EQNXTDZ($A$1,$B74,AT$5,$B$1)</f>
        <v>6.9790000000000001</v>
      </c>
      <c r="AU74" s="55">
        <f>_xll.EQNXTDZ($A$1,$B74,AU$5,$B$1)</f>
        <v>0</v>
      </c>
      <c r="AV74" s="55">
        <f>_xll.EQNXTDZ($A$1,$B74,AV$5,$B$1)</f>
        <v>10.113</v>
      </c>
      <c r="AW74" s="55">
        <f>_xll.EQNXTDZ($A$1,$B74,AW$5,$B$1)</f>
        <v>0</v>
      </c>
      <c r="AX74" s="55">
        <f>_xll.EQNXTDZ($A$1,$B74,AX$5,$B$1)</f>
        <v>2.1539999999999999</v>
      </c>
      <c r="AY74" s="55">
        <f>_xll.EQNXTDZ($A$1,$B74,AY$5,$B$1)</f>
        <v>0</v>
      </c>
      <c r="AZ74" s="55">
        <f>_xll.EQNXTDZ($A$1,$B74,AZ$5,$B$1)</f>
        <v>0.33600000000000002</v>
      </c>
      <c r="BA74" s="55">
        <f>_xll.EQNXTDZ($A$1,$B74,BA$5,$B$1)</f>
        <v>0</v>
      </c>
      <c r="BB74" s="55">
        <f>_xll.EQNXTDZ($A$1,$B74,BB$5,$B$1)</f>
        <v>1.617</v>
      </c>
      <c r="BC74" s="55">
        <f>_xll.EQNXTDZ($A$1,$B74,BC$5,$B$1)</f>
        <v>0</v>
      </c>
      <c r="BD74" s="55">
        <f>_xll.EQNXTDZ($A$1,$B74,BD$5,$B$1)</f>
        <v>5.8000000000000003E-2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52.786999999999999</v>
      </c>
      <c r="E78" s="55">
        <f>_xll.EQNXTDZ($A$1,$B78,E$5,$B$1)</f>
        <v>0</v>
      </c>
      <c r="F78" s="55">
        <f>_xll.EQNXTDZ($A$1,$B78,F$5,$B$1)</f>
        <v>54.44</v>
      </c>
      <c r="G78" s="55">
        <f>_xll.EQNXTDZ($A$1,$B78,G$5,$B$1)</f>
        <v>0</v>
      </c>
      <c r="H78" s="55">
        <f>_xll.EQNXTDZ($A$1,$B78,H$5,$B$1)</f>
        <v>44.658999999999999</v>
      </c>
      <c r="I78" s="55">
        <f>_xll.EQNXTDZ($A$1,$B78,I$5,$B$1)</f>
        <v>0</v>
      </c>
      <c r="J78" s="55">
        <f>_xll.EQNXTDZ($A$1,$B78,J$5,$B$1)</f>
        <v>40.677999999999997</v>
      </c>
      <c r="K78" s="55">
        <f>_xll.EQNXTDZ($A$1,$B78,K$5,$B$1)</f>
        <v>0</v>
      </c>
      <c r="L78" s="55">
        <f>_xll.EQNXTDZ($A$1,$B78,L$5,$B$1)</f>
        <v>41.463999999999999</v>
      </c>
      <c r="M78" s="55">
        <f>_xll.EQNXTDZ($A$1,$B78,M$5,$B$1)</f>
        <v>0</v>
      </c>
      <c r="N78" s="55">
        <f>_xll.EQNXTDZ($A$1,$B78,N$5,$B$1)</f>
        <v>35.76</v>
      </c>
      <c r="O78" s="55">
        <f>_xll.EQNXTDZ($A$1,$B78,O$5,$B$1)</f>
        <v>0</v>
      </c>
      <c r="P78" s="55">
        <f>_xll.EQNXTDZ($A$1,$B78,P$5,$B$1)</f>
        <v>35.972000000000001</v>
      </c>
      <c r="Q78" s="55">
        <f>_xll.EQNXTDZ($A$1,$B78,Q$5,$B$1)</f>
        <v>0</v>
      </c>
      <c r="R78" s="55">
        <f>_xll.EQNXTDZ($A$1,$B78,R$5,$B$1)</f>
        <v>35.780999999999999</v>
      </c>
      <c r="S78" s="55">
        <f>_xll.EQNXTDZ($A$1,$B78,S$5,$B$1)</f>
        <v>0</v>
      </c>
      <c r="T78" s="55">
        <f>_xll.EQNXTDZ($A$1,$B78,T$5,$B$1)</f>
        <v>34.591999999999999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15.141999999999999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16.827000000000002</v>
      </c>
      <c r="AI78" s="55">
        <f>_xll.EQNXTDZ($A$1,$B78,AI$5,$B$1)</f>
        <v>0</v>
      </c>
      <c r="AJ78" s="55">
        <f>_xll.EQNXTDZ($A$1,$B78,AJ$5,$B$1)</f>
        <v>17.998999999999999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36.808999999999997</v>
      </c>
      <c r="W79" s="55">
        <f>_xll.EQNXTDZ($A$1,$B79,W$5,$B$1)</f>
        <v>0</v>
      </c>
      <c r="X79" s="55">
        <f>_xll.EQNXTDZ($A$1,$B79,X$5,$B$1)</f>
        <v>37.11</v>
      </c>
      <c r="Y79" s="55">
        <f>_xll.EQNXTDZ($A$1,$B79,Y$5,$B$1)</f>
        <v>0</v>
      </c>
      <c r="Z79" s="55">
        <f>_xll.EQNXTDZ($A$1,$B79,Z$5,$B$1)</f>
        <v>39.305</v>
      </c>
      <c r="AA79" s="55">
        <f>_xll.EQNXTDZ($A$1,$B79,AA$5,$B$1)</f>
        <v>0</v>
      </c>
      <c r="AB79" s="55">
        <f>_xll.EQNXTDZ($A$1,$B79,AB$5,$B$1)</f>
        <v>27.719000000000001</v>
      </c>
      <c r="AC79" s="55">
        <f>_xll.EQNXTDZ($A$1,$B79,AC$5,$B$1)</f>
        <v>0</v>
      </c>
      <c r="AD79" s="55">
        <f>_xll.EQNXTDZ($A$1,$B79,AD$5,$B$1)</f>
        <v>12.637</v>
      </c>
      <c r="AE79" s="55">
        <f>_xll.EQNXTDZ($A$1,$B79,AE$5,$B$1)</f>
        <v>0</v>
      </c>
      <c r="AF79" s="55">
        <f>_xll.EQNXTDZ($A$1,$B79,AF$5,$B$1)</f>
        <v>27.779</v>
      </c>
      <c r="AG79" s="55">
        <f>_xll.EQNXTDZ($A$1,$B79,AG$5,$B$1)</f>
        <v>0</v>
      </c>
      <c r="AH79" s="55">
        <f>_xll.EQNXTDZ($A$1,$B79,AH$5,$B$1)</f>
        <v>66.043000000000006</v>
      </c>
      <c r="AI79" s="55">
        <f>_xll.EQNXTDZ($A$1,$B79,AI$5,$B$1)</f>
        <v>0</v>
      </c>
      <c r="AJ79" s="55">
        <f>_xll.EQNXTDZ($A$1,$B79,AJ$5,$B$1)</f>
        <v>60.923000000000002</v>
      </c>
      <c r="AK79" s="55">
        <f>_xll.EQNXTDZ($A$1,$B79,AK$5,$B$1)</f>
        <v>0</v>
      </c>
      <c r="AL79" s="55">
        <f>_xll.EQNXTDZ($A$1,$B79,AL$5,$B$1)</f>
        <v>203.53899999999999</v>
      </c>
      <c r="AM79" s="55">
        <f>_xll.EQNXTDZ($A$1,$B79,AM$5,$B$1)</f>
        <v>0</v>
      </c>
      <c r="AN79" s="55">
        <f>_xll.EQNXTDZ($A$1,$B79,AN$5,$B$1)</f>
        <v>142.30699999999999</v>
      </c>
      <c r="AO79" s="55">
        <f>_xll.EQNXTDZ($A$1,$B79,AO$5,$B$1)</f>
        <v>0</v>
      </c>
      <c r="AP79" s="55">
        <f>_xll.EQNXTDZ($A$1,$B79,AP$5,$B$1)</f>
        <v>295.29300000000001</v>
      </c>
      <c r="AQ79" s="55">
        <f>_xll.EQNXTDZ($A$1,$B79,AQ$5,$B$1)</f>
        <v>0</v>
      </c>
      <c r="AR79" s="55">
        <f>_xll.EQNXTDZ($A$1,$B79,AR$5,$B$1)</f>
        <v>304.65800000000002</v>
      </c>
      <c r="AS79" s="55">
        <f>_xll.EQNXTDZ($A$1,$B79,AS$5,$B$1)</f>
        <v>0</v>
      </c>
      <c r="AT79" s="55">
        <f>_xll.EQNXTDZ($A$1,$B79,AT$5,$B$1)</f>
        <v>254.21</v>
      </c>
      <c r="AU79" s="55">
        <f>_xll.EQNXTDZ($A$1,$B79,AU$5,$B$1)</f>
        <v>0</v>
      </c>
      <c r="AV79" s="55">
        <f>_xll.EQNXTDZ($A$1,$B79,AV$5,$B$1)</f>
        <v>354.41500000000002</v>
      </c>
      <c r="AW79" s="55">
        <f>_xll.EQNXTDZ($A$1,$B79,AW$5,$B$1)</f>
        <v>0</v>
      </c>
      <c r="AX79" s="55">
        <f>_xll.EQNXTDZ($A$1,$B79,AX$5,$B$1)</f>
        <v>418.54199999999997</v>
      </c>
      <c r="AY79" s="55">
        <f>_xll.EQNXTDZ($A$1,$B79,AY$5,$B$1)</f>
        <v>0</v>
      </c>
      <c r="AZ79" s="55">
        <f>_xll.EQNXTDZ($A$1,$B79,AZ$5,$B$1)</f>
        <v>445.01900000000001</v>
      </c>
      <c r="BA79" s="55">
        <f>_xll.EQNXTDZ($A$1,$B79,BA$5,$B$1)</f>
        <v>0</v>
      </c>
      <c r="BB79" s="55">
        <f>_xll.EQNXTDZ($A$1,$B79,BB$5,$B$1)</f>
        <v>586.01099999999997</v>
      </c>
      <c r="BC79" s="55">
        <f>_xll.EQNXTDZ($A$1,$B79,BC$5,$B$1)</f>
        <v>0</v>
      </c>
      <c r="BD79" s="55">
        <f>_xll.EQNXTDZ($A$1,$B79,BD$5,$B$1)</f>
        <v>727.75</v>
      </c>
      <c r="BE79" s="55">
        <f>_xll.EQNXTDZ($A$1,$B79,BE$5,$B$1)</f>
        <v>0</v>
      </c>
      <c r="BF79" s="55">
        <f>_xll.EQNXTDZ($A$1,$B79,BF$5,$B$1)</f>
        <v>783.56500000000005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1.4999999999999999E-2</v>
      </c>
      <c r="E81" s="55">
        <f>_xll.EQNXTDZ($A$1,$B81,E$5,$B$1)</f>
        <v>0</v>
      </c>
      <c r="F81" s="55">
        <f>_xll.EQNXTDZ($A$1,$B81,F$5,$B$1)</f>
        <v>0.312</v>
      </c>
      <c r="G81" s="55">
        <f>_xll.EQNXTDZ($A$1,$B81,G$5,$B$1)</f>
        <v>0</v>
      </c>
      <c r="H81" s="55">
        <f>_xll.EQNXTDZ($A$1,$B81,H$5,$B$1)</f>
        <v>0.313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5.2999999999999999E-2</v>
      </c>
      <c r="M81" s="55">
        <f>_xll.EQNXTDZ($A$1,$B81,M$5,$B$1)</f>
        <v>0</v>
      </c>
      <c r="N81" s="55">
        <f>_xll.EQNXTDZ($A$1,$B81,N$5,$B$1)</f>
        <v>0.28899999999999998</v>
      </c>
      <c r="O81" s="55">
        <f>_xll.EQNXTDZ($A$1,$B81,O$5,$B$1)</f>
        <v>0</v>
      </c>
      <c r="P81" s="55">
        <f>_xll.EQNXTDZ($A$1,$B81,P$5,$B$1)</f>
        <v>5.5E-2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1.6619999999999999</v>
      </c>
      <c r="AE81" s="55">
        <f>_xll.EQNXTDZ($A$1,$B81,AE$5,$B$1)</f>
        <v>0</v>
      </c>
      <c r="AF81" s="55">
        <f>_xll.EQNXTDZ($A$1,$B81,AF$5,$B$1)</f>
        <v>1.3420000000000001</v>
      </c>
      <c r="AG81" s="55">
        <f>_xll.EQNXTDZ($A$1,$B81,AG$5,$B$1)</f>
        <v>0</v>
      </c>
      <c r="AH81" s="55">
        <f>_xll.EQNXTDZ($A$1,$B81,AH$5,$B$1)</f>
        <v>1.712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6.3E-2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0.56799999999999995</v>
      </c>
      <c r="AQ81" s="55">
        <f>_xll.EQNXTDZ($A$1,$B81,AQ$5,$B$1)</f>
        <v>0</v>
      </c>
      <c r="AR81" s="55">
        <f>_xll.EQNXTDZ($A$1,$B81,AR$5,$B$1)</f>
        <v>3.7999999999999999E-2</v>
      </c>
      <c r="AS81" s="55">
        <f>_xll.EQNXTDZ($A$1,$B81,AS$5,$B$1)</f>
        <v>0</v>
      </c>
      <c r="AT81" s="55">
        <f>_xll.EQNXTDZ($A$1,$B81,AT$5,$B$1)</f>
        <v>0.38600000000000001</v>
      </c>
      <c r="AU81" s="55">
        <f>_xll.EQNXTDZ($A$1,$B81,AU$5,$B$1)</f>
        <v>0</v>
      </c>
      <c r="AV81" s="55">
        <f>_xll.EQNXTDZ($A$1,$B81,AV$5,$B$1)</f>
        <v>0.21099999999999999</v>
      </c>
      <c r="AW81" s="55">
        <f>_xll.EQNXTDZ($A$1,$B81,AW$5,$B$1)</f>
        <v>0</v>
      </c>
      <c r="AX81" s="55">
        <f>_xll.EQNXTDZ($A$1,$B81,AX$5,$B$1)</f>
        <v>1.107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121.93</v>
      </c>
      <c r="E82" s="55">
        <f>_xll.EQNXTDZ($A$1,$B82,E$5,$B$1)</f>
        <v>0</v>
      </c>
      <c r="F82" s="55">
        <f>_xll.EQNXTDZ($A$1,$B82,F$5,$B$1)</f>
        <v>140.97499999999999</v>
      </c>
      <c r="G82" s="55">
        <f>_xll.EQNXTDZ($A$1,$B82,G$5,$B$1)</f>
        <v>0</v>
      </c>
      <c r="H82" s="55">
        <f>_xll.EQNXTDZ($A$1,$B82,H$5,$B$1)</f>
        <v>151.51499999999999</v>
      </c>
      <c r="I82" s="55">
        <f>_xll.EQNXTDZ($A$1,$B82,I$5,$B$1)</f>
        <v>0</v>
      </c>
      <c r="J82" s="55">
        <f>_xll.EQNXTDZ($A$1,$B82,J$5,$B$1)</f>
        <v>155.61099999999999</v>
      </c>
      <c r="K82" s="55">
        <f>_xll.EQNXTDZ($A$1,$B82,K$5,$B$1)</f>
        <v>0</v>
      </c>
      <c r="L82" s="55">
        <f>_xll.EQNXTDZ($A$1,$B82,L$5,$B$1)</f>
        <v>139.02000000000001</v>
      </c>
      <c r="M82" s="55">
        <f>_xll.EQNXTDZ($A$1,$B82,M$5,$B$1)</f>
        <v>0</v>
      </c>
      <c r="N82" s="55">
        <f>_xll.EQNXTDZ($A$1,$B82,N$5,$B$1)</f>
        <v>154.08199999999999</v>
      </c>
      <c r="O82" s="55">
        <f>_xll.EQNXTDZ($A$1,$B82,O$5,$B$1)</f>
        <v>0</v>
      </c>
      <c r="P82" s="55">
        <f>_xll.EQNXTDZ($A$1,$B82,P$5,$B$1)</f>
        <v>196.244</v>
      </c>
      <c r="Q82" s="55">
        <f>_xll.EQNXTDZ($A$1,$B82,Q$5,$B$1)</f>
        <v>0</v>
      </c>
      <c r="R82" s="55">
        <f>_xll.EQNXTDZ($A$1,$B82,R$5,$B$1)</f>
        <v>215.21100000000001</v>
      </c>
      <c r="S82" s="55">
        <f>_xll.EQNXTDZ($A$1,$B82,S$5,$B$1)</f>
        <v>0</v>
      </c>
      <c r="T82" s="55">
        <f>_xll.EQNXTDZ($A$1,$B82,T$5,$B$1)</f>
        <v>216.09399999999999</v>
      </c>
      <c r="U82" s="55">
        <f>_xll.EQNXTDZ($A$1,$B82,U$5,$B$1)</f>
        <v>0</v>
      </c>
      <c r="V82" s="55">
        <f>_xll.EQNXTDZ($A$1,$B82,V$5,$B$1)</f>
        <v>244.81100000000001</v>
      </c>
      <c r="W82" s="55">
        <f>_xll.EQNXTDZ($A$1,$B82,W$5,$B$1)</f>
        <v>0</v>
      </c>
      <c r="X82" s="55">
        <f>_xll.EQNXTDZ($A$1,$B82,X$5,$B$1)</f>
        <v>288.92500000000001</v>
      </c>
      <c r="Y82" s="55">
        <f>_xll.EQNXTDZ($A$1,$B82,Y$5,$B$1)</f>
        <v>0</v>
      </c>
      <c r="Z82" s="55">
        <f>_xll.EQNXTDZ($A$1,$B82,Z$5,$B$1)</f>
        <v>306.666</v>
      </c>
      <c r="AA82" s="55">
        <f>_xll.EQNXTDZ($A$1,$B82,AA$5,$B$1)</f>
        <v>0</v>
      </c>
      <c r="AB82" s="55">
        <f>_xll.EQNXTDZ($A$1,$B82,AB$5,$B$1)</f>
        <v>343.15899999999999</v>
      </c>
      <c r="AC82" s="55">
        <f>_xll.EQNXTDZ($A$1,$B82,AC$5,$B$1)</f>
        <v>0</v>
      </c>
      <c r="AD82" s="55">
        <f>_xll.EQNXTDZ($A$1,$B82,AD$5,$B$1)</f>
        <v>356.541</v>
      </c>
      <c r="AE82" s="55">
        <f>_xll.EQNXTDZ($A$1,$B82,AE$5,$B$1)</f>
        <v>0</v>
      </c>
      <c r="AF82" s="55">
        <f>_xll.EQNXTDZ($A$1,$B82,AF$5,$B$1)</f>
        <v>336.15899999999999</v>
      </c>
      <c r="AG82" s="55">
        <f>_xll.EQNXTDZ($A$1,$B82,AG$5,$B$1)</f>
        <v>0</v>
      </c>
      <c r="AH82" s="55">
        <f>_xll.EQNXTDZ($A$1,$B82,AH$5,$B$1)</f>
        <v>392.38099999999997</v>
      </c>
      <c r="AI82" s="55">
        <f>_xll.EQNXTDZ($A$1,$B82,AI$5,$B$1)</f>
        <v>0</v>
      </c>
      <c r="AJ82" s="55">
        <f>_xll.EQNXTDZ($A$1,$B82,AJ$5,$B$1)</f>
        <v>358.536</v>
      </c>
      <c r="AK82" s="55">
        <f>_xll.EQNXTDZ($A$1,$B82,AK$5,$B$1)</f>
        <v>0</v>
      </c>
      <c r="AL82" s="55">
        <f>_xll.EQNXTDZ($A$1,$B82,AL$5,$B$1)</f>
        <v>489.37299999999999</v>
      </c>
      <c r="AM82" s="55">
        <f>_xll.EQNXTDZ($A$1,$B82,AM$5,$B$1)</f>
        <v>0</v>
      </c>
      <c r="AN82" s="55">
        <f>_xll.EQNXTDZ($A$1,$B82,AN$5,$B$1)</f>
        <v>414.07400000000001</v>
      </c>
      <c r="AO82" s="55">
        <f>_xll.EQNXTDZ($A$1,$B82,AO$5,$B$1)</f>
        <v>0</v>
      </c>
      <c r="AP82" s="55">
        <f>_xll.EQNXTDZ($A$1,$B82,AP$5,$B$1)</f>
        <v>672.78800000000001</v>
      </c>
      <c r="AQ82" s="55">
        <f>_xll.EQNXTDZ($A$1,$B82,AQ$5,$B$1)</f>
        <v>0</v>
      </c>
      <c r="AR82" s="55">
        <f>_xll.EQNXTDZ($A$1,$B82,AR$5,$B$1)</f>
        <v>766.73900000000003</v>
      </c>
      <c r="AS82" s="55">
        <f>_xll.EQNXTDZ($A$1,$B82,AS$5,$B$1)</f>
        <v>0</v>
      </c>
      <c r="AT82" s="55">
        <f>_xll.EQNXTDZ($A$1,$B82,AT$5,$B$1)</f>
        <v>976.37599999999998</v>
      </c>
      <c r="AU82" s="55">
        <f>_xll.EQNXTDZ($A$1,$B82,AU$5,$B$1)</f>
        <v>0</v>
      </c>
      <c r="AV82" s="55">
        <f>_xll.EQNXTDZ($A$1,$B82,AV$5,$B$1)</f>
        <v>882.87800000000004</v>
      </c>
      <c r="AW82" s="55">
        <f>_xll.EQNXTDZ($A$1,$B82,AW$5,$B$1)</f>
        <v>0</v>
      </c>
      <c r="AX82" s="55">
        <f>_xll.EQNXTDZ($A$1,$B82,AX$5,$B$1)</f>
        <v>971.58799999999997</v>
      </c>
      <c r="AY82" s="55">
        <f>_xll.EQNXTDZ($A$1,$B82,AY$5,$B$1)</f>
        <v>0</v>
      </c>
      <c r="AZ82" s="55">
        <f>_xll.EQNXTDZ($A$1,$B82,AZ$5,$B$1)</f>
        <v>984.80700000000002</v>
      </c>
      <c r="BA82" s="55">
        <f>_xll.EQNXTDZ($A$1,$B82,BA$5,$B$1)</f>
        <v>0</v>
      </c>
      <c r="BB82" s="55">
        <f>_xll.EQNXTDZ($A$1,$B82,BB$5,$B$1)</f>
        <v>971.52599999999995</v>
      </c>
      <c r="BC82" s="55">
        <f>_xll.EQNXTDZ($A$1,$B82,BC$5,$B$1)</f>
        <v>0</v>
      </c>
      <c r="BD82" s="55">
        <f>_xll.EQNXTDZ($A$1,$B82,BD$5,$B$1)</f>
        <v>1005.258</v>
      </c>
      <c r="BE82" s="55">
        <f>_xll.EQNXTDZ($A$1,$B82,BE$5,$B$1)</f>
        <v>0</v>
      </c>
      <c r="BF82" s="55">
        <f>_xll.EQNXTDZ($A$1,$B82,BF$5,$B$1)</f>
        <v>1079.366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20.504000000000001</v>
      </c>
      <c r="E83" s="55">
        <f>_xll.EQNXTDZ($A$1,$B83,E$5,$B$1)</f>
        <v>0</v>
      </c>
      <c r="F83" s="55">
        <f>_xll.EQNXTDZ($A$1,$B83,F$5,$B$1)</f>
        <v>23.298999999999999</v>
      </c>
      <c r="G83" s="55">
        <f>_xll.EQNXTDZ($A$1,$B83,G$5,$B$1)</f>
        <v>0</v>
      </c>
      <c r="H83" s="55">
        <f>_xll.EQNXTDZ($A$1,$B83,H$5,$B$1)</f>
        <v>30.433</v>
      </c>
      <c r="I83" s="55">
        <f>_xll.EQNXTDZ($A$1,$B83,I$5,$B$1)</f>
        <v>0</v>
      </c>
      <c r="J83" s="55">
        <f>_xll.EQNXTDZ($A$1,$B83,J$5,$B$1)</f>
        <v>51.459000000000003</v>
      </c>
      <c r="K83" s="55">
        <f>_xll.EQNXTDZ($A$1,$B83,K$5,$B$1)</f>
        <v>0</v>
      </c>
      <c r="L83" s="55">
        <f>_xll.EQNXTDZ($A$1,$B83,L$5,$B$1)</f>
        <v>65.403999999999996</v>
      </c>
      <c r="M83" s="55">
        <f>_xll.EQNXTDZ($A$1,$B83,M$5,$B$1)</f>
        <v>0</v>
      </c>
      <c r="N83" s="55">
        <f>_xll.EQNXTDZ($A$1,$B83,N$5,$B$1)</f>
        <v>133.25700000000001</v>
      </c>
      <c r="O83" s="55">
        <f>_xll.EQNXTDZ($A$1,$B83,O$5,$B$1)</f>
        <v>0</v>
      </c>
      <c r="P83" s="55">
        <f>_xll.EQNXTDZ($A$1,$B83,P$5,$B$1)</f>
        <v>113.89</v>
      </c>
      <c r="Q83" s="55">
        <f>_xll.EQNXTDZ($A$1,$B83,Q$5,$B$1)</f>
        <v>0</v>
      </c>
      <c r="R83" s="55">
        <f>_xll.EQNXTDZ($A$1,$B83,R$5,$B$1)</f>
        <v>182.45500000000001</v>
      </c>
      <c r="S83" s="55">
        <f>_xll.EQNXTDZ($A$1,$B83,S$5,$B$1)</f>
        <v>0</v>
      </c>
      <c r="T83" s="55">
        <f>_xll.EQNXTDZ($A$1,$B83,T$5,$B$1)</f>
        <v>189.70099999999999</v>
      </c>
      <c r="U83" s="55">
        <f>_xll.EQNXTDZ($A$1,$B83,U$5,$B$1)</f>
        <v>0</v>
      </c>
      <c r="V83" s="55">
        <f>_xll.EQNXTDZ($A$1,$B83,V$5,$B$1)</f>
        <v>251.52500000000001</v>
      </c>
      <c r="W83" s="55">
        <f>_xll.EQNXTDZ($A$1,$B83,W$5,$B$1)</f>
        <v>0</v>
      </c>
      <c r="X83" s="55">
        <f>_xll.EQNXTDZ($A$1,$B83,X$5,$B$1)</f>
        <v>238.626</v>
      </c>
      <c r="Y83" s="55">
        <f>_xll.EQNXTDZ($A$1,$B83,Y$5,$B$1)</f>
        <v>0</v>
      </c>
      <c r="Z83" s="55">
        <f>_xll.EQNXTDZ($A$1,$B83,Z$5,$B$1)</f>
        <v>394.34399999999999</v>
      </c>
      <c r="AA83" s="55">
        <f>_xll.EQNXTDZ($A$1,$B83,AA$5,$B$1)</f>
        <v>0</v>
      </c>
      <c r="AB83" s="55">
        <f>_xll.EQNXTDZ($A$1,$B83,AB$5,$B$1)</f>
        <v>407.27800000000002</v>
      </c>
      <c r="AC83" s="55">
        <f>_xll.EQNXTDZ($A$1,$B83,AC$5,$B$1)</f>
        <v>0</v>
      </c>
      <c r="AD83" s="55">
        <f>_xll.EQNXTDZ($A$1,$B83,AD$5,$B$1)</f>
        <v>515.81399999999996</v>
      </c>
      <c r="AE83" s="55">
        <f>_xll.EQNXTDZ($A$1,$B83,AE$5,$B$1)</f>
        <v>0</v>
      </c>
      <c r="AF83" s="55">
        <f>_xll.EQNXTDZ($A$1,$B83,AF$5,$B$1)</f>
        <v>504.68299999999999</v>
      </c>
      <c r="AG83" s="55">
        <f>_xll.EQNXTDZ($A$1,$B83,AG$5,$B$1)</f>
        <v>0</v>
      </c>
      <c r="AH83" s="55">
        <f>_xll.EQNXTDZ($A$1,$B83,AH$5,$B$1)</f>
        <v>664.22500000000002</v>
      </c>
      <c r="AI83" s="55">
        <f>_xll.EQNXTDZ($A$1,$B83,AI$5,$B$1)</f>
        <v>0</v>
      </c>
      <c r="AJ83" s="55">
        <f>_xll.EQNXTDZ($A$1,$B83,AJ$5,$B$1)</f>
        <v>739.39400000000001</v>
      </c>
      <c r="AK83" s="55">
        <f>_xll.EQNXTDZ($A$1,$B83,AK$5,$B$1)</f>
        <v>0</v>
      </c>
      <c r="AL83" s="55">
        <f>_xll.EQNXTDZ($A$1,$B83,AL$5,$B$1)</f>
        <v>859.61900000000003</v>
      </c>
      <c r="AM83" s="55">
        <f>_xll.EQNXTDZ($A$1,$B83,AM$5,$B$1)</f>
        <v>0</v>
      </c>
      <c r="AN83" s="55">
        <f>_xll.EQNXTDZ($A$1,$B83,AN$5,$B$1)</f>
        <v>879.75400000000002</v>
      </c>
      <c r="AO83" s="55">
        <f>_xll.EQNXTDZ($A$1,$B83,AO$5,$B$1)</f>
        <v>0</v>
      </c>
      <c r="AP83" s="55">
        <f>_xll.EQNXTDZ($A$1,$B83,AP$5,$B$1)</f>
        <v>965.20899999999995</v>
      </c>
      <c r="AQ83" s="55">
        <f>_xll.EQNXTDZ($A$1,$B83,AQ$5,$B$1)</f>
        <v>0</v>
      </c>
      <c r="AR83" s="55">
        <f>_xll.EQNXTDZ($A$1,$B83,AR$5,$B$1)</f>
        <v>961.65099999999995</v>
      </c>
      <c r="AS83" s="55">
        <f>_xll.EQNXTDZ($A$1,$B83,AS$5,$B$1)</f>
        <v>0</v>
      </c>
      <c r="AT83" s="55">
        <f>_xll.EQNXTDZ($A$1,$B83,AT$5,$B$1)</f>
        <v>1191.5530000000001</v>
      </c>
      <c r="AU83" s="55">
        <f>_xll.EQNXTDZ($A$1,$B83,AU$5,$B$1)</f>
        <v>0</v>
      </c>
      <c r="AV83" s="55">
        <f>_xll.EQNXTDZ($A$1,$B83,AV$5,$B$1)</f>
        <v>1178.549</v>
      </c>
      <c r="AW83" s="55">
        <f>_xll.EQNXTDZ($A$1,$B83,AW$5,$B$1)</f>
        <v>0</v>
      </c>
      <c r="AX83" s="55">
        <f>_xll.EQNXTDZ($A$1,$B83,AX$5,$B$1)</f>
        <v>1392.471</v>
      </c>
      <c r="AY83" s="55">
        <f>_xll.EQNXTDZ($A$1,$B83,AY$5,$B$1)</f>
        <v>0</v>
      </c>
      <c r="AZ83" s="55">
        <f>_xll.EQNXTDZ($A$1,$B83,AZ$5,$B$1)</f>
        <v>1316.624</v>
      </c>
      <c r="BA83" s="55">
        <f>_xll.EQNXTDZ($A$1,$B83,BA$5,$B$1)</f>
        <v>0</v>
      </c>
      <c r="BB83" s="55">
        <f>_xll.EQNXTDZ($A$1,$B83,BB$5,$B$1)</f>
        <v>1606.394</v>
      </c>
      <c r="BC83" s="55">
        <f>_xll.EQNXTDZ($A$1,$B83,BC$5,$B$1)</f>
        <v>0</v>
      </c>
      <c r="BD83" s="55">
        <f>_xll.EQNXTDZ($A$1,$B83,BD$5,$B$1)</f>
        <v>1269.261</v>
      </c>
      <c r="BE83" s="55">
        <f>_xll.EQNXTDZ($A$1,$B83,BE$5,$B$1)</f>
        <v>0</v>
      </c>
      <c r="BF83" s="55">
        <f>_xll.EQNXTDZ($A$1,$B83,BF$5,$B$1)</f>
        <v>1668.635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20.933</v>
      </c>
      <c r="E84" s="55">
        <f>_xll.EQNXTDZ($A$1,$B84,E$5,$B$1)</f>
        <v>0</v>
      </c>
      <c r="F84" s="55">
        <f>_xll.EQNXTDZ($A$1,$B84,F$5,$B$1)</f>
        <v>15.741</v>
      </c>
      <c r="G84" s="55">
        <f>_xll.EQNXTDZ($A$1,$B84,G$5,$B$1)</f>
        <v>0</v>
      </c>
      <c r="H84" s="55">
        <f>_xll.EQNXTDZ($A$1,$B84,H$5,$B$1)</f>
        <v>17.137</v>
      </c>
      <c r="I84" s="55">
        <f>_xll.EQNXTDZ($A$1,$B84,I$5,$B$1)</f>
        <v>0</v>
      </c>
      <c r="J84" s="55">
        <f>_xll.EQNXTDZ($A$1,$B84,J$5,$B$1)</f>
        <v>19.2</v>
      </c>
      <c r="K84" s="55">
        <f>_xll.EQNXTDZ($A$1,$B84,K$5,$B$1)</f>
        <v>0</v>
      </c>
      <c r="L84" s="55">
        <f>_xll.EQNXTDZ($A$1,$B84,L$5,$B$1)</f>
        <v>23.465</v>
      </c>
      <c r="M84" s="55">
        <f>_xll.EQNXTDZ($A$1,$B84,M$5,$B$1)</f>
        <v>0</v>
      </c>
      <c r="N84" s="55">
        <f>_xll.EQNXTDZ($A$1,$B84,N$5,$B$1)</f>
        <v>25.949000000000002</v>
      </c>
      <c r="O84" s="55">
        <f>_xll.EQNXTDZ($A$1,$B84,O$5,$B$1)</f>
        <v>0</v>
      </c>
      <c r="P84" s="55">
        <f>_xll.EQNXTDZ($A$1,$B84,P$5,$B$1)</f>
        <v>36.521999999999998</v>
      </c>
      <c r="Q84" s="55">
        <f>_xll.EQNXTDZ($A$1,$B84,Q$5,$B$1)</f>
        <v>0</v>
      </c>
      <c r="R84" s="55">
        <f>_xll.EQNXTDZ($A$1,$B84,R$5,$B$1)</f>
        <v>33.328000000000003</v>
      </c>
      <c r="S84" s="55">
        <f>_xll.EQNXTDZ($A$1,$B84,S$5,$B$1)</f>
        <v>0</v>
      </c>
      <c r="T84" s="55">
        <f>_xll.EQNXTDZ($A$1,$B84,T$5,$B$1)</f>
        <v>54.8</v>
      </c>
      <c r="U84" s="55">
        <f>_xll.EQNXTDZ($A$1,$B84,U$5,$B$1)</f>
        <v>0</v>
      </c>
      <c r="V84" s="55">
        <f>_xll.EQNXTDZ($A$1,$B84,V$5,$B$1)</f>
        <v>69.406999999999996</v>
      </c>
      <c r="W84" s="55">
        <f>_xll.EQNXTDZ($A$1,$B84,W$5,$B$1)</f>
        <v>0</v>
      </c>
      <c r="X84" s="55">
        <f>_xll.EQNXTDZ($A$1,$B84,X$5,$B$1)</f>
        <v>113.371</v>
      </c>
      <c r="Y84" s="55">
        <f>_xll.EQNXTDZ($A$1,$B84,Y$5,$B$1)</f>
        <v>0</v>
      </c>
      <c r="Z84" s="55">
        <f>_xll.EQNXTDZ($A$1,$B84,Z$5,$B$1)</f>
        <v>103.218</v>
      </c>
      <c r="AA84" s="55">
        <f>_xll.EQNXTDZ($A$1,$B84,AA$5,$B$1)</f>
        <v>0</v>
      </c>
      <c r="AB84" s="55">
        <f>_xll.EQNXTDZ($A$1,$B84,AB$5,$B$1)</f>
        <v>139.6</v>
      </c>
      <c r="AC84" s="55">
        <f>_xll.EQNXTDZ($A$1,$B84,AC$5,$B$1)</f>
        <v>0</v>
      </c>
      <c r="AD84" s="55">
        <f>_xll.EQNXTDZ($A$1,$B84,AD$5,$B$1)</f>
        <v>133.22900000000001</v>
      </c>
      <c r="AE84" s="55">
        <f>_xll.EQNXTDZ($A$1,$B84,AE$5,$B$1)</f>
        <v>0</v>
      </c>
      <c r="AF84" s="55">
        <f>_xll.EQNXTDZ($A$1,$B84,AF$5,$B$1)</f>
        <v>156.845</v>
      </c>
      <c r="AG84" s="55">
        <f>_xll.EQNXTDZ($A$1,$B84,AG$5,$B$1)</f>
        <v>0</v>
      </c>
      <c r="AH84" s="55">
        <f>_xll.EQNXTDZ($A$1,$B84,AH$5,$B$1)</f>
        <v>141.99</v>
      </c>
      <c r="AI84" s="55">
        <f>_xll.EQNXTDZ($A$1,$B84,AI$5,$B$1)</f>
        <v>0</v>
      </c>
      <c r="AJ84" s="55">
        <f>_xll.EQNXTDZ($A$1,$B84,AJ$5,$B$1)</f>
        <v>144.136</v>
      </c>
      <c r="AK84" s="55">
        <f>_xll.EQNXTDZ($A$1,$B84,AK$5,$B$1)</f>
        <v>0</v>
      </c>
      <c r="AL84" s="55">
        <f>_xll.EQNXTDZ($A$1,$B84,AL$5,$B$1)</f>
        <v>41.41</v>
      </c>
      <c r="AM84" s="55">
        <f>_xll.EQNXTDZ($A$1,$B84,AM$5,$B$1)</f>
        <v>0</v>
      </c>
      <c r="AN84" s="55">
        <f>_xll.EQNXTDZ($A$1,$B84,AN$5,$B$1)</f>
        <v>141.49700000000001</v>
      </c>
      <c r="AO84" s="55">
        <f>_xll.EQNXTDZ($A$1,$B84,AO$5,$B$1)</f>
        <v>0</v>
      </c>
      <c r="AP84" s="55">
        <f>_xll.EQNXTDZ($A$1,$B84,AP$5,$B$1)</f>
        <v>56.134999999999998</v>
      </c>
      <c r="AQ84" s="55">
        <f>_xll.EQNXTDZ($A$1,$B84,AQ$5,$B$1)</f>
        <v>0</v>
      </c>
      <c r="AR84" s="55">
        <f>_xll.EQNXTDZ($A$1,$B84,AR$5,$B$1)</f>
        <v>69.179000000000002</v>
      </c>
      <c r="AS84" s="55">
        <f>_xll.EQNXTDZ($A$1,$B84,AS$5,$B$1)</f>
        <v>0</v>
      </c>
      <c r="AT84" s="55">
        <f>_xll.EQNXTDZ($A$1,$B84,AT$5,$B$1)</f>
        <v>143.36099999999999</v>
      </c>
      <c r="AU84" s="55">
        <f>_xll.EQNXTDZ($A$1,$B84,AU$5,$B$1)</f>
        <v>0</v>
      </c>
      <c r="AV84" s="55">
        <f>_xll.EQNXTDZ($A$1,$B84,AV$5,$B$1)</f>
        <v>189.84800000000001</v>
      </c>
      <c r="AW84" s="55">
        <f>_xll.EQNXTDZ($A$1,$B84,AW$5,$B$1)</f>
        <v>0</v>
      </c>
      <c r="AX84" s="55">
        <f>_xll.EQNXTDZ($A$1,$B84,AX$5,$B$1)</f>
        <v>168.53</v>
      </c>
      <c r="AY84" s="55">
        <f>_xll.EQNXTDZ($A$1,$B84,AY$5,$B$1)</f>
        <v>0</v>
      </c>
      <c r="AZ84" s="55">
        <f>_xll.EQNXTDZ($A$1,$B84,AZ$5,$B$1)</f>
        <v>221.29300000000001</v>
      </c>
      <c r="BA84" s="55">
        <f>_xll.EQNXTDZ($A$1,$B84,BA$5,$B$1)</f>
        <v>0</v>
      </c>
      <c r="BB84" s="55">
        <f>_xll.EQNXTDZ($A$1,$B84,BB$5,$B$1)</f>
        <v>215.85900000000001</v>
      </c>
      <c r="BC84" s="55">
        <f>_xll.EQNXTDZ($A$1,$B84,BC$5,$B$1)</f>
        <v>0</v>
      </c>
      <c r="BD84" s="55">
        <f>_xll.EQNXTDZ($A$1,$B84,BD$5,$B$1)</f>
        <v>257.25799999999998</v>
      </c>
      <c r="BE84" s="55">
        <f>_xll.EQNXTDZ($A$1,$B84,BE$5,$B$1)</f>
        <v>0</v>
      </c>
      <c r="BF84" s="55">
        <f>_xll.EQNXTDZ($A$1,$B84,BF$5,$B$1)</f>
        <v>216.01400000000001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9.9179999999999993</v>
      </c>
      <c r="E85" s="55">
        <f>_xll.EQNXTDZ($A$1,$B85,E$5,$B$1)</f>
        <v>0</v>
      </c>
      <c r="F85" s="55">
        <f>_xll.EQNXTDZ($A$1,$B85,F$5,$B$1)</f>
        <v>10.084</v>
      </c>
      <c r="G85" s="55">
        <f>_xll.EQNXTDZ($A$1,$B85,G$5,$B$1)</f>
        <v>0</v>
      </c>
      <c r="H85" s="55">
        <f>_xll.EQNXTDZ($A$1,$B85,H$5,$B$1)</f>
        <v>11.401</v>
      </c>
      <c r="I85" s="55">
        <f>_xll.EQNXTDZ($A$1,$B85,I$5,$B$1)</f>
        <v>0</v>
      </c>
      <c r="J85" s="55">
        <f>_xll.EQNXTDZ($A$1,$B85,J$5,$B$1)</f>
        <v>12.019</v>
      </c>
      <c r="K85" s="55">
        <f>_xll.EQNXTDZ($A$1,$B85,K$5,$B$1)</f>
        <v>0</v>
      </c>
      <c r="L85" s="55">
        <f>_xll.EQNXTDZ($A$1,$B85,L$5,$B$1)</f>
        <v>17.29</v>
      </c>
      <c r="M85" s="55">
        <f>_xll.EQNXTDZ($A$1,$B85,M$5,$B$1)</f>
        <v>0</v>
      </c>
      <c r="N85" s="55">
        <f>_xll.EQNXTDZ($A$1,$B85,N$5,$B$1)</f>
        <v>14.686</v>
      </c>
      <c r="O85" s="55">
        <f>_xll.EQNXTDZ($A$1,$B85,O$5,$B$1)</f>
        <v>0</v>
      </c>
      <c r="P85" s="55">
        <f>_xll.EQNXTDZ($A$1,$B85,P$5,$B$1)</f>
        <v>20.013999999999999</v>
      </c>
      <c r="Q85" s="55">
        <f>_xll.EQNXTDZ($A$1,$B85,Q$5,$B$1)</f>
        <v>0</v>
      </c>
      <c r="R85" s="55">
        <f>_xll.EQNXTDZ($A$1,$B85,R$5,$B$1)</f>
        <v>22.766999999999999</v>
      </c>
      <c r="S85" s="55">
        <f>_xll.EQNXTDZ($A$1,$B85,S$5,$B$1)</f>
        <v>0</v>
      </c>
      <c r="T85" s="55">
        <f>_xll.EQNXTDZ($A$1,$B85,T$5,$B$1)</f>
        <v>28.510999999999999</v>
      </c>
      <c r="U85" s="55">
        <f>_xll.EQNXTDZ($A$1,$B85,U$5,$B$1)</f>
        <v>0</v>
      </c>
      <c r="V85" s="55">
        <f>_xll.EQNXTDZ($A$1,$B85,V$5,$B$1)</f>
        <v>0.77600000000000002</v>
      </c>
      <c r="W85" s="55">
        <f>_xll.EQNXTDZ($A$1,$B85,W$5,$B$1)</f>
        <v>0</v>
      </c>
      <c r="X85" s="55">
        <f>_xll.EQNXTDZ($A$1,$B85,X$5,$B$1)</f>
        <v>0.83899999999999997</v>
      </c>
      <c r="Y85" s="55">
        <f>_xll.EQNXTDZ($A$1,$B85,Y$5,$B$1)</f>
        <v>0</v>
      </c>
      <c r="Z85" s="55">
        <f>_xll.EQNXTDZ($A$1,$B85,Z$5,$B$1)</f>
        <v>0.83699999999999997</v>
      </c>
      <c r="AA85" s="55">
        <f>_xll.EQNXTDZ($A$1,$B85,AA$5,$B$1)</f>
        <v>0</v>
      </c>
      <c r="AB85" s="55">
        <f>_xll.EQNXTDZ($A$1,$B85,AB$5,$B$1)</f>
        <v>0.95799999999999996</v>
      </c>
      <c r="AC85" s="55">
        <f>_xll.EQNXTDZ($A$1,$B85,AC$5,$B$1)</f>
        <v>0</v>
      </c>
      <c r="AD85" s="55">
        <f>_xll.EQNXTDZ($A$1,$B85,AD$5,$B$1)</f>
        <v>0.75800000000000001</v>
      </c>
      <c r="AE85" s="55">
        <f>_xll.EQNXTDZ($A$1,$B85,AE$5,$B$1)</f>
        <v>0</v>
      </c>
      <c r="AF85" s="55">
        <f>_xll.EQNXTDZ($A$1,$B85,AF$5,$B$1)</f>
        <v>0.64200000000000002</v>
      </c>
      <c r="AG85" s="55">
        <f>_xll.EQNXTDZ($A$1,$B85,AG$5,$B$1)</f>
        <v>0</v>
      </c>
      <c r="AH85" s="55">
        <f>_xll.EQNXTDZ($A$1,$B85,AH$5,$B$1)</f>
        <v>0.89400000000000002</v>
      </c>
      <c r="AI85" s="55">
        <f>_xll.EQNXTDZ($A$1,$B85,AI$5,$B$1)</f>
        <v>0</v>
      </c>
      <c r="AJ85" s="55">
        <f>_xll.EQNXTDZ($A$1,$B85,AJ$5,$B$1)</f>
        <v>0.79</v>
      </c>
      <c r="AK85" s="55">
        <f>_xll.EQNXTDZ($A$1,$B85,AK$5,$B$1)</f>
        <v>0</v>
      </c>
      <c r="AL85" s="55">
        <f>_xll.EQNXTDZ($A$1,$B85,AL$5,$B$1)</f>
        <v>0.90500000000000003</v>
      </c>
      <c r="AM85" s="55">
        <f>_xll.EQNXTDZ($A$1,$B85,AM$5,$B$1)</f>
        <v>0</v>
      </c>
      <c r="AN85" s="55">
        <f>_xll.EQNXTDZ($A$1,$B85,AN$5,$B$1)</f>
        <v>0.99099999999999999</v>
      </c>
      <c r="AO85" s="55">
        <f>_xll.EQNXTDZ($A$1,$B85,AO$5,$B$1)</f>
        <v>0</v>
      </c>
      <c r="AP85" s="55">
        <f>_xll.EQNXTDZ($A$1,$B85,AP$5,$B$1)</f>
        <v>1.0009999999999999</v>
      </c>
      <c r="AQ85" s="55">
        <f>_xll.EQNXTDZ($A$1,$B85,AQ$5,$B$1)</f>
        <v>0</v>
      </c>
      <c r="AR85" s="55">
        <f>_xll.EQNXTDZ($A$1,$B85,AR$5,$B$1)</f>
        <v>1.0469999999999999</v>
      </c>
      <c r="AS85" s="55">
        <f>_xll.EQNXTDZ($A$1,$B85,AS$5,$B$1)</f>
        <v>0</v>
      </c>
      <c r="AT85" s="55">
        <f>_xll.EQNXTDZ($A$1,$B85,AT$5,$B$1)</f>
        <v>1.8140000000000001</v>
      </c>
      <c r="AU85" s="55">
        <f>_xll.EQNXTDZ($A$1,$B85,AU$5,$B$1)</f>
        <v>0</v>
      </c>
      <c r="AV85" s="55">
        <f>_xll.EQNXTDZ($A$1,$B85,AV$5,$B$1)</f>
        <v>1.9219999999999999</v>
      </c>
      <c r="AW85" s="55">
        <f>_xll.EQNXTDZ($A$1,$B85,AW$5,$B$1)</f>
        <v>0</v>
      </c>
      <c r="AX85" s="55">
        <f>_xll.EQNXTDZ($A$1,$B85,AX$5,$B$1)</f>
        <v>3.024</v>
      </c>
      <c r="AY85" s="55">
        <f>_xll.EQNXTDZ($A$1,$B85,AY$5,$B$1)</f>
        <v>0</v>
      </c>
      <c r="AZ85" s="55">
        <f>_xll.EQNXTDZ($A$1,$B85,AZ$5,$B$1)</f>
        <v>3.2949999999999999</v>
      </c>
      <c r="BA85" s="55">
        <f>_xll.EQNXTDZ($A$1,$B85,BA$5,$B$1)</f>
        <v>0</v>
      </c>
      <c r="BB85" s="55">
        <f>_xll.EQNXTDZ($A$1,$B85,BB$5,$B$1)</f>
        <v>3.7210000000000001</v>
      </c>
      <c r="BC85" s="55">
        <f>_xll.EQNXTDZ($A$1,$B85,BC$5,$B$1)</f>
        <v>0</v>
      </c>
      <c r="BD85" s="55">
        <f>_xll.EQNXTDZ($A$1,$B85,BD$5,$B$1)</f>
        <v>4.5529999999999999</v>
      </c>
      <c r="BE85" s="55">
        <f>_xll.EQNXTDZ($A$1,$B85,BE$5,$B$1)</f>
        <v>0</v>
      </c>
      <c r="BF85" s="55">
        <f>_xll.EQNXTDZ($A$1,$B85,BF$5,$B$1)</f>
        <v>4.1340000000000003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173.3</v>
      </c>
      <c r="E86" s="55">
        <f>_xll.EQNXTDZ($A$1,$B86,E$5,$B$1)</f>
        <v>0</v>
      </c>
      <c r="F86" s="55">
        <f>_xll.EQNXTDZ($A$1,$B86,F$5,$B$1)</f>
        <v>190.411</v>
      </c>
      <c r="G86" s="55">
        <f>_xll.EQNXTDZ($A$1,$B86,G$5,$B$1)</f>
        <v>0</v>
      </c>
      <c r="H86" s="55">
        <f>_xll.EQNXTDZ($A$1,$B86,H$5,$B$1)</f>
        <v>210.79900000000001</v>
      </c>
      <c r="I86" s="55">
        <f>_xll.EQNXTDZ($A$1,$B86,I$5,$B$1)</f>
        <v>0</v>
      </c>
      <c r="J86" s="55">
        <f>_xll.EQNXTDZ($A$1,$B86,J$5,$B$1)</f>
        <v>238.28899999999999</v>
      </c>
      <c r="K86" s="55">
        <f>_xll.EQNXTDZ($A$1,$B86,K$5,$B$1)</f>
        <v>0</v>
      </c>
      <c r="L86" s="55">
        <f>_xll.EQNXTDZ($A$1,$B86,L$5,$B$1)</f>
        <v>245.232</v>
      </c>
      <c r="M86" s="55">
        <f>_xll.EQNXTDZ($A$1,$B86,M$5,$B$1)</f>
        <v>0</v>
      </c>
      <c r="N86" s="55">
        <f>_xll.EQNXTDZ($A$1,$B86,N$5,$B$1)</f>
        <v>328.26299999999998</v>
      </c>
      <c r="O86" s="55">
        <f>_xll.EQNXTDZ($A$1,$B86,O$5,$B$1)</f>
        <v>0</v>
      </c>
      <c r="P86" s="55">
        <f>_xll.EQNXTDZ($A$1,$B86,P$5,$B$1)</f>
        <v>366.72500000000002</v>
      </c>
      <c r="Q86" s="55">
        <f>_xll.EQNXTDZ($A$1,$B86,Q$5,$B$1)</f>
        <v>0</v>
      </c>
      <c r="R86" s="55">
        <f>_xll.EQNXTDZ($A$1,$B86,R$5,$B$1)</f>
        <v>453.76100000000002</v>
      </c>
      <c r="S86" s="55">
        <f>_xll.EQNXTDZ($A$1,$B86,S$5,$B$1)</f>
        <v>0</v>
      </c>
      <c r="T86" s="55">
        <f>_xll.EQNXTDZ($A$1,$B86,T$5,$B$1)</f>
        <v>489.10599999999999</v>
      </c>
      <c r="U86" s="55">
        <f>_xll.EQNXTDZ($A$1,$B86,U$5,$B$1)</f>
        <v>0</v>
      </c>
      <c r="V86" s="55">
        <f>_xll.EQNXTDZ($A$1,$B86,V$5,$B$1)</f>
        <v>566.51900000000001</v>
      </c>
      <c r="W86" s="55">
        <f>_xll.EQNXTDZ($A$1,$B86,W$5,$B$1)</f>
        <v>0</v>
      </c>
      <c r="X86" s="55">
        <f>_xll.EQNXTDZ($A$1,$B86,X$5,$B$1)</f>
        <v>641.76099999999997</v>
      </c>
      <c r="Y86" s="55">
        <f>_xll.EQNXTDZ($A$1,$B86,Y$5,$B$1)</f>
        <v>0</v>
      </c>
      <c r="Z86" s="55">
        <f>_xll.EQNXTDZ($A$1,$B86,Z$5,$B$1)</f>
        <v>805.06500000000005</v>
      </c>
      <c r="AA86" s="55">
        <f>_xll.EQNXTDZ($A$1,$B86,AA$5,$B$1)</f>
        <v>0</v>
      </c>
      <c r="AB86" s="55">
        <f>_xll.EQNXTDZ($A$1,$B86,AB$5,$B$1)</f>
        <v>890.995</v>
      </c>
      <c r="AC86" s="55">
        <f>_xll.EQNXTDZ($A$1,$B86,AC$5,$B$1)</f>
        <v>0</v>
      </c>
      <c r="AD86" s="55">
        <f>_xll.EQNXTDZ($A$1,$B86,AD$5,$B$1)</f>
        <v>1008.004</v>
      </c>
      <c r="AE86" s="55">
        <f>_xll.EQNXTDZ($A$1,$B86,AE$5,$B$1)</f>
        <v>0</v>
      </c>
      <c r="AF86" s="55">
        <f>_xll.EQNXTDZ($A$1,$B86,AF$5,$B$1)</f>
        <v>999.67100000000005</v>
      </c>
      <c r="AG86" s="55">
        <f>_xll.EQNXTDZ($A$1,$B86,AG$5,$B$1)</f>
        <v>0</v>
      </c>
      <c r="AH86" s="55">
        <f>_xll.EQNXTDZ($A$1,$B86,AH$5,$B$1)</f>
        <v>1201.202</v>
      </c>
      <c r="AI86" s="55">
        <f>_xll.EQNXTDZ($A$1,$B86,AI$5,$B$1)</f>
        <v>0</v>
      </c>
      <c r="AJ86" s="55">
        <f>_xll.EQNXTDZ($A$1,$B86,AJ$5,$B$1)</f>
        <v>1242.856</v>
      </c>
      <c r="AK86" s="55">
        <f>_xll.EQNXTDZ($A$1,$B86,AK$5,$B$1)</f>
        <v>0</v>
      </c>
      <c r="AL86" s="55">
        <f>_xll.EQNXTDZ($A$1,$B86,AL$5,$B$1)</f>
        <v>1391.37</v>
      </c>
      <c r="AM86" s="55">
        <f>_xll.EQNXTDZ($A$1,$B86,AM$5,$B$1)</f>
        <v>0</v>
      </c>
      <c r="AN86" s="55">
        <f>_xll.EQNXTDZ($A$1,$B86,AN$5,$B$1)</f>
        <v>1436.316</v>
      </c>
      <c r="AO86" s="55">
        <f>_xll.EQNXTDZ($A$1,$B86,AO$5,$B$1)</f>
        <v>0</v>
      </c>
      <c r="AP86" s="55">
        <f>_xll.EQNXTDZ($A$1,$B86,AP$5,$B$1)</f>
        <v>1695.701</v>
      </c>
      <c r="AQ86" s="55">
        <f>_xll.EQNXTDZ($A$1,$B86,AQ$5,$B$1)</f>
        <v>0</v>
      </c>
      <c r="AR86" s="55">
        <f>_xll.EQNXTDZ($A$1,$B86,AR$5,$B$1)</f>
        <v>1798.654</v>
      </c>
      <c r="AS86" s="55">
        <f>_xll.EQNXTDZ($A$1,$B86,AS$5,$B$1)</f>
        <v>0</v>
      </c>
      <c r="AT86" s="55">
        <f>_xll.EQNXTDZ($A$1,$B86,AT$5,$B$1)</f>
        <v>2313.4899999999998</v>
      </c>
      <c r="AU86" s="55">
        <f>_xll.EQNXTDZ($A$1,$B86,AU$5,$B$1)</f>
        <v>0</v>
      </c>
      <c r="AV86" s="55">
        <f>_xll.EQNXTDZ($A$1,$B86,AV$5,$B$1)</f>
        <v>2253.4079999999999</v>
      </c>
      <c r="AW86" s="55">
        <f>_xll.EQNXTDZ($A$1,$B86,AW$5,$B$1)</f>
        <v>0</v>
      </c>
      <c r="AX86" s="55">
        <f>_xll.EQNXTDZ($A$1,$B86,AX$5,$B$1)</f>
        <v>2536.7199999999998</v>
      </c>
      <c r="AY86" s="55">
        <f>_xll.EQNXTDZ($A$1,$B86,AY$5,$B$1)</f>
        <v>0</v>
      </c>
      <c r="AZ86" s="55">
        <f>_xll.EQNXTDZ($A$1,$B86,AZ$5,$B$1)</f>
        <v>2526.0189999999998</v>
      </c>
      <c r="BA86" s="55">
        <f>_xll.EQNXTDZ($A$1,$B86,BA$5,$B$1)</f>
        <v>0</v>
      </c>
      <c r="BB86" s="55">
        <f>_xll.EQNXTDZ($A$1,$B86,BB$5,$B$1)</f>
        <v>2797.5</v>
      </c>
      <c r="BC86" s="55">
        <f>_xll.EQNXTDZ($A$1,$B86,BC$5,$B$1)</f>
        <v>0</v>
      </c>
      <c r="BD86" s="55">
        <f>_xll.EQNXTDZ($A$1,$B86,BD$5,$B$1)</f>
        <v>2536.33</v>
      </c>
      <c r="BE86" s="55">
        <f>_xll.EQNXTDZ($A$1,$B86,BE$5,$B$1)</f>
        <v>0</v>
      </c>
      <c r="BF86" s="55">
        <f>_xll.EQNXTDZ($A$1,$B86,BF$5,$B$1)</f>
        <v>2968.1489999999999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95.930999999999997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44.698999999999998</v>
      </c>
      <c r="E88" s="55">
        <f>_xll.EQNXTDZ($A$1,$B88,E$5,$B$1)</f>
        <v>0</v>
      </c>
      <c r="F88" s="55">
        <f>_xll.EQNXTDZ($A$1,$B88,F$5,$B$1)</f>
        <v>58.506999999999998</v>
      </c>
      <c r="G88" s="55">
        <f>_xll.EQNXTDZ($A$1,$B88,G$5,$B$1)</f>
        <v>0</v>
      </c>
      <c r="H88" s="55">
        <f>_xll.EQNXTDZ($A$1,$B88,H$5,$B$1)</f>
        <v>44.192999999999998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14.218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10.53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53.189</v>
      </c>
      <c r="G89" s="55">
        <f>_xll.EQNXTDZ($A$1,$B89,G$5,$B$1)</f>
        <v>0</v>
      </c>
      <c r="H89" s="55">
        <f>_xll.EQNXTDZ($A$1,$B89,H$5,$B$1)</f>
        <v>60.351999999999997</v>
      </c>
      <c r="I89" s="55">
        <f>_xll.EQNXTDZ($A$1,$B89,I$5,$B$1)</f>
        <v>0</v>
      </c>
      <c r="J89" s="55">
        <f>_xll.EQNXTDZ($A$1,$B89,J$5,$B$1)</f>
        <v>64.224000000000004</v>
      </c>
      <c r="K89" s="55">
        <f>_xll.EQNXTDZ($A$1,$B89,K$5,$B$1)</f>
        <v>0</v>
      </c>
      <c r="L89" s="55">
        <f>_xll.EQNXTDZ($A$1,$B89,L$5,$B$1)</f>
        <v>51.055999999999997</v>
      </c>
      <c r="M89" s="55">
        <f>_xll.EQNXTDZ($A$1,$B89,M$5,$B$1)</f>
        <v>0</v>
      </c>
      <c r="N89" s="55">
        <f>_xll.EQNXTDZ($A$1,$B89,N$5,$B$1)</f>
        <v>66.150999999999996</v>
      </c>
      <c r="O89" s="55">
        <f>_xll.EQNXTDZ($A$1,$B89,O$5,$B$1)</f>
        <v>0</v>
      </c>
      <c r="P89" s="55">
        <f>_xll.EQNXTDZ($A$1,$B89,P$5,$B$1)</f>
        <v>64.98</v>
      </c>
      <c r="Q89" s="55">
        <f>_xll.EQNXTDZ($A$1,$B89,Q$5,$B$1)</f>
        <v>0</v>
      </c>
      <c r="R89" s="55">
        <f>_xll.EQNXTDZ($A$1,$B89,R$5,$B$1)</f>
        <v>76.528999999999996</v>
      </c>
      <c r="S89" s="55">
        <f>_xll.EQNXTDZ($A$1,$B89,S$5,$B$1)</f>
        <v>0</v>
      </c>
      <c r="T89" s="55">
        <f>_xll.EQNXTDZ($A$1,$B89,T$5,$B$1)</f>
        <v>68.561999999999998</v>
      </c>
      <c r="U89" s="55">
        <f>_xll.EQNXTDZ($A$1,$B89,U$5,$B$1)</f>
        <v>0</v>
      </c>
      <c r="V89" s="55">
        <f>_xll.EQNXTDZ($A$1,$B89,V$5,$B$1)</f>
        <v>46.476999999999997</v>
      </c>
      <c r="W89" s="55">
        <f>_xll.EQNXTDZ($A$1,$B89,W$5,$B$1)</f>
        <v>0</v>
      </c>
      <c r="X89" s="55">
        <f>_xll.EQNXTDZ($A$1,$B89,X$5,$B$1)</f>
        <v>43.451999999999998</v>
      </c>
      <c r="Y89" s="55">
        <f>_xll.EQNXTDZ($A$1,$B89,Y$5,$B$1)</f>
        <v>0</v>
      </c>
      <c r="Z89" s="55">
        <f>_xll.EQNXTDZ($A$1,$B89,Z$5,$B$1)</f>
        <v>44.988999999999997</v>
      </c>
      <c r="AA89" s="55">
        <f>_xll.EQNXTDZ($A$1,$B89,AA$5,$B$1)</f>
        <v>0</v>
      </c>
      <c r="AB89" s="55">
        <f>_xll.EQNXTDZ($A$1,$B89,AB$5,$B$1)</f>
        <v>49.869</v>
      </c>
      <c r="AC89" s="55">
        <f>_xll.EQNXTDZ($A$1,$B89,AC$5,$B$1)</f>
        <v>0</v>
      </c>
      <c r="AD89" s="55">
        <f>_xll.EQNXTDZ($A$1,$B89,AD$5,$B$1)</f>
        <v>55.494999999999997</v>
      </c>
      <c r="AE89" s="55">
        <f>_xll.EQNXTDZ($A$1,$B89,AE$5,$B$1)</f>
        <v>0</v>
      </c>
      <c r="AF89" s="55">
        <f>_xll.EQNXTDZ($A$1,$B89,AF$5,$B$1)</f>
        <v>45.694000000000003</v>
      </c>
      <c r="AG89" s="55">
        <f>_xll.EQNXTDZ($A$1,$B89,AG$5,$B$1)</f>
        <v>0</v>
      </c>
      <c r="AH89" s="55">
        <f>_xll.EQNXTDZ($A$1,$B89,AH$5,$B$1)</f>
        <v>47.131999999999998</v>
      </c>
      <c r="AI89" s="55">
        <f>_xll.EQNXTDZ($A$1,$B89,AI$5,$B$1)</f>
        <v>0</v>
      </c>
      <c r="AJ89" s="55">
        <f>_xll.EQNXTDZ($A$1,$B89,AJ$5,$B$1)</f>
        <v>42.793999999999997</v>
      </c>
      <c r="AK89" s="55">
        <f>_xll.EQNXTDZ($A$1,$B89,AK$5,$B$1)</f>
        <v>0</v>
      </c>
      <c r="AL89" s="55">
        <f>_xll.EQNXTDZ($A$1,$B89,AL$5,$B$1)</f>
        <v>56.131</v>
      </c>
      <c r="AM89" s="55">
        <f>_xll.EQNXTDZ($A$1,$B89,AM$5,$B$1)</f>
        <v>0</v>
      </c>
      <c r="AN89" s="55">
        <f>_xll.EQNXTDZ($A$1,$B89,AN$5,$B$1)</f>
        <v>61.335000000000001</v>
      </c>
      <c r="AO89" s="55">
        <f>_xll.EQNXTDZ($A$1,$B89,AO$5,$B$1)</f>
        <v>0</v>
      </c>
      <c r="AP89" s="55">
        <f>_xll.EQNXTDZ($A$1,$B89,AP$5,$B$1)</f>
        <v>84.296000000000006</v>
      </c>
      <c r="AQ89" s="55">
        <f>_xll.EQNXTDZ($A$1,$B89,AQ$5,$B$1)</f>
        <v>0</v>
      </c>
      <c r="AR89" s="55">
        <f>_xll.EQNXTDZ($A$1,$B89,AR$5,$B$1)</f>
        <v>88.677999999999997</v>
      </c>
      <c r="AS89" s="55">
        <f>_xll.EQNXTDZ($A$1,$B89,AS$5,$B$1)</f>
        <v>0</v>
      </c>
      <c r="AT89" s="55">
        <f>_xll.EQNXTDZ($A$1,$B89,AT$5,$B$1)</f>
        <v>103.17100000000001</v>
      </c>
      <c r="AU89" s="55">
        <f>_xll.EQNXTDZ($A$1,$B89,AU$5,$B$1)</f>
        <v>0</v>
      </c>
      <c r="AV89" s="55">
        <f>_xll.EQNXTDZ($A$1,$B89,AV$5,$B$1)</f>
        <v>96.622</v>
      </c>
      <c r="AW89" s="55">
        <f>_xll.EQNXTDZ($A$1,$B89,AW$5,$B$1)</f>
        <v>0</v>
      </c>
      <c r="AX89" s="55">
        <f>_xll.EQNXTDZ($A$1,$B89,AX$5,$B$1)</f>
        <v>85.638999999999996</v>
      </c>
      <c r="AY89" s="55">
        <f>_xll.EQNXTDZ($A$1,$B89,AY$5,$B$1)</f>
        <v>0</v>
      </c>
      <c r="AZ89" s="55">
        <f>_xll.EQNXTDZ($A$1,$B89,AZ$5,$B$1)</f>
        <v>112.672</v>
      </c>
      <c r="BA89" s="55">
        <f>_xll.EQNXTDZ($A$1,$B89,BA$5,$B$1)</f>
        <v>0</v>
      </c>
      <c r="BB89" s="55">
        <f>_xll.EQNXTDZ($A$1,$B89,BB$5,$B$1)</f>
        <v>123.009</v>
      </c>
      <c r="BC89" s="55">
        <f>_xll.EQNXTDZ($A$1,$B89,BC$5,$B$1)</f>
        <v>0</v>
      </c>
      <c r="BD89" s="55">
        <f>_xll.EQNXTDZ($A$1,$B89,BD$5,$B$1)</f>
        <v>109.71</v>
      </c>
      <c r="BE89" s="55">
        <f>_xll.EQNXTDZ($A$1,$B89,BE$5,$B$1)</f>
        <v>0</v>
      </c>
      <c r="BF89" s="55">
        <f>_xll.EQNXTDZ($A$1,$B89,BF$5,$B$1)</f>
        <v>120.348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29.846</v>
      </c>
      <c r="G91" s="55">
        <f>_xll.EQNXTDZ($A$1,$B91,G$5,$B$1)</f>
        <v>0</v>
      </c>
      <c r="H91" s="55">
        <f>_xll.EQNXTDZ($A$1,$B91,H$5,$B$1)</f>
        <v>36.149000000000001</v>
      </c>
      <c r="I91" s="55">
        <f>_xll.EQNXTDZ($A$1,$B91,I$5,$B$1)</f>
        <v>0</v>
      </c>
      <c r="J91" s="55">
        <f>_xll.EQNXTDZ($A$1,$B91,J$5,$B$1)</f>
        <v>35.207999999999998</v>
      </c>
      <c r="K91" s="55">
        <f>_xll.EQNXTDZ($A$1,$B91,K$5,$B$1)</f>
        <v>0</v>
      </c>
      <c r="L91" s="55">
        <f>_xll.EQNXTDZ($A$1,$B91,L$5,$B$1)</f>
        <v>34.768000000000001</v>
      </c>
      <c r="M91" s="55">
        <f>_xll.EQNXTDZ($A$1,$B91,M$5,$B$1)</f>
        <v>0</v>
      </c>
      <c r="N91" s="55">
        <f>_xll.EQNXTDZ($A$1,$B91,N$5,$B$1)</f>
        <v>47.784999999999997</v>
      </c>
      <c r="O91" s="55">
        <f>_xll.EQNXTDZ($A$1,$B91,O$5,$B$1)</f>
        <v>0</v>
      </c>
      <c r="P91" s="55">
        <f>_xll.EQNXTDZ($A$1,$B91,P$5,$B$1)</f>
        <v>50.564</v>
      </c>
      <c r="Q91" s="55">
        <f>_xll.EQNXTDZ($A$1,$B91,Q$5,$B$1)</f>
        <v>0</v>
      </c>
      <c r="R91" s="55">
        <f>_xll.EQNXTDZ($A$1,$B91,R$5,$B$1)</f>
        <v>48.518999999999998</v>
      </c>
      <c r="S91" s="55">
        <f>_xll.EQNXTDZ($A$1,$B91,S$5,$B$1)</f>
        <v>0</v>
      </c>
      <c r="T91" s="55">
        <f>_xll.EQNXTDZ($A$1,$B91,T$5,$B$1)</f>
        <v>56.415999999999997</v>
      </c>
      <c r="U91" s="55">
        <f>_xll.EQNXTDZ($A$1,$B91,U$5,$B$1)</f>
        <v>0</v>
      </c>
      <c r="V91" s="55">
        <f>_xll.EQNXTDZ($A$1,$B91,V$5,$B$1)</f>
        <v>78.713999999999999</v>
      </c>
      <c r="W91" s="55">
        <f>_xll.EQNXTDZ($A$1,$B91,W$5,$B$1)</f>
        <v>0</v>
      </c>
      <c r="X91" s="55">
        <f>_xll.EQNXTDZ($A$1,$B91,X$5,$B$1)</f>
        <v>100.98699999999999</v>
      </c>
      <c r="Y91" s="55">
        <f>_xll.EQNXTDZ($A$1,$B91,Y$5,$B$1)</f>
        <v>0</v>
      </c>
      <c r="Z91" s="55">
        <f>_xll.EQNXTDZ($A$1,$B91,Z$5,$B$1)</f>
        <v>135.81</v>
      </c>
      <c r="AA91" s="55">
        <f>_xll.EQNXTDZ($A$1,$B91,AA$5,$B$1)</f>
        <v>0</v>
      </c>
      <c r="AB91" s="55">
        <f>_xll.EQNXTDZ($A$1,$B91,AB$5,$B$1)</f>
        <v>143.05199999999999</v>
      </c>
      <c r="AC91" s="55">
        <f>_xll.EQNXTDZ($A$1,$B91,AC$5,$B$1)</f>
        <v>0</v>
      </c>
      <c r="AD91" s="55">
        <f>_xll.EQNXTDZ($A$1,$B91,AD$5,$B$1)</f>
        <v>124.366</v>
      </c>
      <c r="AE91" s="55">
        <f>_xll.EQNXTDZ($A$1,$B91,AE$5,$B$1)</f>
        <v>0</v>
      </c>
      <c r="AF91" s="55">
        <f>_xll.EQNXTDZ($A$1,$B91,AF$5,$B$1)</f>
        <v>102.014</v>
      </c>
      <c r="AG91" s="55">
        <f>_xll.EQNXTDZ($A$1,$B91,AG$5,$B$1)</f>
        <v>0</v>
      </c>
      <c r="AH91" s="55">
        <f>_xll.EQNXTDZ($A$1,$B91,AH$5,$B$1)</f>
        <v>160.17599999999999</v>
      </c>
      <c r="AI91" s="55">
        <f>_xll.EQNXTDZ($A$1,$B91,AI$5,$B$1)</f>
        <v>0</v>
      </c>
      <c r="AJ91" s="55">
        <f>_xll.EQNXTDZ($A$1,$B91,AJ$5,$B$1)</f>
        <v>146.99</v>
      </c>
      <c r="AK91" s="55">
        <f>_xll.EQNXTDZ($A$1,$B91,AK$5,$B$1)</f>
        <v>0</v>
      </c>
      <c r="AL91" s="55">
        <f>_xll.EQNXTDZ($A$1,$B91,AL$5,$B$1)</f>
        <v>195.74700000000001</v>
      </c>
      <c r="AM91" s="55">
        <f>_xll.EQNXTDZ($A$1,$B91,AM$5,$B$1)</f>
        <v>0</v>
      </c>
      <c r="AN91" s="55">
        <f>_xll.EQNXTDZ($A$1,$B91,AN$5,$B$1)</f>
        <v>223.08500000000001</v>
      </c>
      <c r="AO91" s="55">
        <f>_xll.EQNXTDZ($A$1,$B91,AO$5,$B$1)</f>
        <v>0</v>
      </c>
      <c r="AP91" s="55">
        <f>_xll.EQNXTDZ($A$1,$B91,AP$5,$B$1)</f>
        <v>313.32799999999997</v>
      </c>
      <c r="AQ91" s="55">
        <f>_xll.EQNXTDZ($A$1,$B91,AQ$5,$B$1)</f>
        <v>0</v>
      </c>
      <c r="AR91" s="55">
        <f>_xll.EQNXTDZ($A$1,$B91,AR$5,$B$1)</f>
        <v>292.49200000000002</v>
      </c>
      <c r="AS91" s="55">
        <f>_xll.EQNXTDZ($A$1,$B91,AS$5,$B$1)</f>
        <v>0</v>
      </c>
      <c r="AT91" s="55">
        <f>_xll.EQNXTDZ($A$1,$B91,AT$5,$B$1)</f>
        <v>349.78699999999998</v>
      </c>
      <c r="AU91" s="55">
        <f>_xll.EQNXTDZ($A$1,$B91,AU$5,$B$1)</f>
        <v>0</v>
      </c>
      <c r="AV91" s="55">
        <f>_xll.EQNXTDZ($A$1,$B91,AV$5,$B$1)</f>
        <v>332.17599999999999</v>
      </c>
      <c r="AW91" s="55">
        <f>_xll.EQNXTDZ($A$1,$B91,AW$5,$B$1)</f>
        <v>0</v>
      </c>
      <c r="AX91" s="55">
        <f>_xll.EQNXTDZ($A$1,$B91,AX$5,$B$1)</f>
        <v>321.83499999999998</v>
      </c>
      <c r="AY91" s="55">
        <f>_xll.EQNXTDZ($A$1,$B91,AY$5,$B$1)</f>
        <v>0</v>
      </c>
      <c r="AZ91" s="55">
        <f>_xll.EQNXTDZ($A$1,$B91,AZ$5,$B$1)</f>
        <v>322.05700000000002</v>
      </c>
      <c r="BA91" s="55">
        <f>_xll.EQNXTDZ($A$1,$B91,BA$5,$B$1)</f>
        <v>0</v>
      </c>
      <c r="BB91" s="55">
        <f>_xll.EQNXTDZ($A$1,$B91,BB$5,$B$1)</f>
        <v>357.51499999999999</v>
      </c>
      <c r="BC91" s="55">
        <f>_xll.EQNXTDZ($A$1,$B91,BC$5,$B$1)</f>
        <v>0</v>
      </c>
      <c r="BD91" s="55">
        <f>_xll.EQNXTDZ($A$1,$B91,BD$5,$B$1)</f>
        <v>414.137</v>
      </c>
      <c r="BE91" s="55">
        <f>_xll.EQNXTDZ($A$1,$B91,BE$5,$B$1)</f>
        <v>0</v>
      </c>
      <c r="BF91" s="55">
        <f>_xll.EQNXTDZ($A$1,$B91,BF$5,$B$1)</f>
        <v>504.39400000000001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0.88600000000000001</v>
      </c>
      <c r="E92" s="55">
        <f>_xll.EQNXTDZ($A$1,$B92,E$5,$B$1)</f>
        <v>0</v>
      </c>
      <c r="F92" s="55">
        <f>_xll.EQNXTDZ($A$1,$B92,F$5,$B$1)</f>
        <v>19.013000000000002</v>
      </c>
      <c r="G92" s="55">
        <f>_xll.EQNXTDZ($A$1,$B92,G$5,$B$1)</f>
        <v>0</v>
      </c>
      <c r="H92" s="55">
        <f>_xll.EQNXTDZ($A$1,$B92,H$5,$B$1)</f>
        <v>1.2310000000000001</v>
      </c>
      <c r="I92" s="55">
        <f>_xll.EQNXTDZ($A$1,$B92,I$5,$B$1)</f>
        <v>0</v>
      </c>
      <c r="J92" s="55">
        <f>_xll.EQNXTDZ($A$1,$B92,J$5,$B$1)</f>
        <v>41.323999999999998</v>
      </c>
      <c r="K92" s="55">
        <f>_xll.EQNXTDZ($A$1,$B92,K$5,$B$1)</f>
        <v>0</v>
      </c>
      <c r="L92" s="55">
        <f>_xll.EQNXTDZ($A$1,$B92,L$5,$B$1)</f>
        <v>14.914</v>
      </c>
      <c r="M92" s="55">
        <f>_xll.EQNXTDZ($A$1,$B92,M$5,$B$1)</f>
        <v>0</v>
      </c>
      <c r="N92" s="55">
        <f>_xll.EQNXTDZ($A$1,$B92,N$5,$B$1)</f>
        <v>57.405000000000001</v>
      </c>
      <c r="O92" s="55">
        <f>_xll.EQNXTDZ($A$1,$B92,O$5,$B$1)</f>
        <v>0</v>
      </c>
      <c r="P92" s="55">
        <f>_xll.EQNXTDZ($A$1,$B92,P$5,$B$1)</f>
        <v>27.06</v>
      </c>
      <c r="Q92" s="55">
        <f>_xll.EQNXTDZ($A$1,$B92,Q$5,$B$1)</f>
        <v>0</v>
      </c>
      <c r="R92" s="55">
        <f>_xll.EQNXTDZ($A$1,$B92,R$5,$B$1)</f>
        <v>70.667000000000002</v>
      </c>
      <c r="S92" s="55">
        <f>_xll.EQNXTDZ($A$1,$B92,S$5,$B$1)</f>
        <v>0</v>
      </c>
      <c r="T92" s="55">
        <f>_xll.EQNXTDZ($A$1,$B92,T$5,$B$1)</f>
        <v>23.542000000000002</v>
      </c>
      <c r="U92" s="55">
        <f>_xll.EQNXTDZ($A$1,$B92,U$5,$B$1)</f>
        <v>0</v>
      </c>
      <c r="V92" s="55">
        <f>_xll.EQNXTDZ($A$1,$B92,V$5,$B$1)</f>
        <v>6.5659999999999998</v>
      </c>
      <c r="W92" s="55">
        <f>_xll.EQNXTDZ($A$1,$B92,W$5,$B$1)</f>
        <v>0</v>
      </c>
      <c r="X92" s="55">
        <f>_xll.EQNXTDZ($A$1,$B92,X$5,$B$1)</f>
        <v>7.6909999999999998</v>
      </c>
      <c r="Y92" s="55">
        <f>_xll.EQNXTDZ($A$1,$B92,Y$5,$B$1)</f>
        <v>0</v>
      </c>
      <c r="Z92" s="55">
        <f>_xll.EQNXTDZ($A$1,$B92,Z$5,$B$1)</f>
        <v>6.89</v>
      </c>
      <c r="AA92" s="55">
        <f>_xll.EQNXTDZ($A$1,$B92,AA$5,$B$1)</f>
        <v>0</v>
      </c>
      <c r="AB92" s="55">
        <f>_xll.EQNXTDZ($A$1,$B92,AB$5,$B$1)</f>
        <v>9.4410000000000007</v>
      </c>
      <c r="AC92" s="55">
        <f>_xll.EQNXTDZ($A$1,$B92,AC$5,$B$1)</f>
        <v>0</v>
      </c>
      <c r="AD92" s="55">
        <f>_xll.EQNXTDZ($A$1,$B92,AD$5,$B$1)</f>
        <v>8.3539999999999992</v>
      </c>
      <c r="AE92" s="55">
        <f>_xll.EQNXTDZ($A$1,$B92,AE$5,$B$1)</f>
        <v>0</v>
      </c>
      <c r="AF92" s="55">
        <f>_xll.EQNXTDZ($A$1,$B92,AF$5,$B$1)</f>
        <v>9.9280000000000008</v>
      </c>
      <c r="AG92" s="55">
        <f>_xll.EQNXTDZ($A$1,$B92,AG$5,$B$1)</f>
        <v>0</v>
      </c>
      <c r="AH92" s="55">
        <f>_xll.EQNXTDZ($A$1,$B92,AH$5,$B$1)</f>
        <v>10.064</v>
      </c>
      <c r="AI92" s="55">
        <f>_xll.EQNXTDZ($A$1,$B92,AI$5,$B$1)</f>
        <v>0</v>
      </c>
      <c r="AJ92" s="55">
        <f>_xll.EQNXTDZ($A$1,$B92,AJ$5,$B$1)</f>
        <v>11.641999999999999</v>
      </c>
      <c r="AK92" s="55">
        <f>_xll.EQNXTDZ($A$1,$B92,AK$5,$B$1)</f>
        <v>0</v>
      </c>
      <c r="AL92" s="55">
        <f>_xll.EQNXTDZ($A$1,$B92,AL$5,$B$1)</f>
        <v>12.587</v>
      </c>
      <c r="AM92" s="55">
        <f>_xll.EQNXTDZ($A$1,$B92,AM$5,$B$1)</f>
        <v>0</v>
      </c>
      <c r="AN92" s="55">
        <f>_xll.EQNXTDZ($A$1,$B92,AN$5,$B$1)</f>
        <v>13.537000000000001</v>
      </c>
      <c r="AO92" s="55">
        <f>_xll.EQNXTDZ($A$1,$B92,AO$5,$B$1)</f>
        <v>0</v>
      </c>
      <c r="AP92" s="55">
        <f>_xll.EQNXTDZ($A$1,$B92,AP$5,$B$1)</f>
        <v>12.598000000000001</v>
      </c>
      <c r="AQ92" s="55">
        <f>_xll.EQNXTDZ($A$1,$B92,AQ$5,$B$1)</f>
        <v>0</v>
      </c>
      <c r="AR92" s="55">
        <f>_xll.EQNXTDZ($A$1,$B92,AR$5,$B$1)</f>
        <v>26.872</v>
      </c>
      <c r="AS92" s="55">
        <f>_xll.EQNXTDZ($A$1,$B92,AS$5,$B$1)</f>
        <v>0</v>
      </c>
      <c r="AT92" s="55">
        <f>_xll.EQNXTDZ($A$1,$B92,AT$5,$B$1)</f>
        <v>25.597000000000001</v>
      </c>
      <c r="AU92" s="55">
        <f>_xll.EQNXTDZ($A$1,$B92,AU$5,$B$1)</f>
        <v>0</v>
      </c>
      <c r="AV92" s="55">
        <f>_xll.EQNXTDZ($A$1,$B92,AV$5,$B$1)</f>
        <v>32.04</v>
      </c>
      <c r="AW92" s="55">
        <f>_xll.EQNXTDZ($A$1,$B92,AW$5,$B$1)</f>
        <v>0</v>
      </c>
      <c r="AX92" s="55">
        <f>_xll.EQNXTDZ($A$1,$B92,AX$5,$B$1)</f>
        <v>38.463000000000001</v>
      </c>
      <c r="AY92" s="55">
        <f>_xll.EQNXTDZ($A$1,$B92,AY$5,$B$1)</f>
        <v>0</v>
      </c>
      <c r="AZ92" s="55">
        <f>_xll.EQNXTDZ($A$1,$B92,AZ$5,$B$1)</f>
        <v>47.762</v>
      </c>
      <c r="BA92" s="55">
        <f>_xll.EQNXTDZ($A$1,$B92,BA$5,$B$1)</f>
        <v>0</v>
      </c>
      <c r="BB92" s="55">
        <f>_xll.EQNXTDZ($A$1,$B92,BB$5,$B$1)</f>
        <v>49.158999999999999</v>
      </c>
      <c r="BC92" s="55">
        <f>_xll.EQNXTDZ($A$1,$B92,BC$5,$B$1)</f>
        <v>0</v>
      </c>
      <c r="BD92" s="55">
        <f>_xll.EQNXTDZ($A$1,$B92,BD$5,$B$1)</f>
        <v>55.427999999999997</v>
      </c>
      <c r="BE92" s="55">
        <f>_xll.EQNXTDZ($A$1,$B92,BE$5,$B$1)</f>
        <v>0</v>
      </c>
      <c r="BF92" s="55">
        <f>_xll.EQNXTDZ($A$1,$B92,BF$5,$B$1)</f>
        <v>132.25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141.51599999999999</v>
      </c>
      <c r="E93" s="55">
        <f>_xll.EQNXTDZ($A$1,$B93,E$5,$B$1)</f>
        <v>0</v>
      </c>
      <c r="F93" s="55">
        <f>_xll.EQNXTDZ($A$1,$B93,F$5,$B$1)</f>
        <v>160.55500000000001</v>
      </c>
      <c r="G93" s="55">
        <f>_xll.EQNXTDZ($A$1,$B93,G$5,$B$1)</f>
        <v>0</v>
      </c>
      <c r="H93" s="55">
        <f>_xll.EQNXTDZ($A$1,$B93,H$5,$B$1)</f>
        <v>141.92500000000001</v>
      </c>
      <c r="I93" s="55">
        <f>_xll.EQNXTDZ($A$1,$B93,I$5,$B$1)</f>
        <v>0</v>
      </c>
      <c r="J93" s="55">
        <f>_xll.EQNXTDZ($A$1,$B93,J$5,$B$1)</f>
        <v>140.756</v>
      </c>
      <c r="K93" s="55">
        <f>_xll.EQNXTDZ($A$1,$B93,K$5,$B$1)</f>
        <v>0</v>
      </c>
      <c r="L93" s="55">
        <f>_xll.EQNXTDZ($A$1,$B93,L$5,$B$1)</f>
        <v>100.738</v>
      </c>
      <c r="M93" s="55">
        <f>_xll.EQNXTDZ($A$1,$B93,M$5,$B$1)</f>
        <v>0</v>
      </c>
      <c r="N93" s="55">
        <f>_xll.EQNXTDZ($A$1,$B93,N$5,$B$1)</f>
        <v>171.34100000000001</v>
      </c>
      <c r="O93" s="55">
        <f>_xll.EQNXTDZ($A$1,$B93,O$5,$B$1)</f>
        <v>0</v>
      </c>
      <c r="P93" s="55">
        <f>_xll.EQNXTDZ($A$1,$B93,P$5,$B$1)</f>
        <v>142.60400000000001</v>
      </c>
      <c r="Q93" s="55">
        <f>_xll.EQNXTDZ($A$1,$B93,Q$5,$B$1)</f>
        <v>0</v>
      </c>
      <c r="R93" s="55">
        <f>_xll.EQNXTDZ($A$1,$B93,R$5,$B$1)</f>
        <v>195.715</v>
      </c>
      <c r="S93" s="55">
        <f>_xll.EQNXTDZ($A$1,$B93,S$5,$B$1)</f>
        <v>0</v>
      </c>
      <c r="T93" s="55">
        <f>_xll.EQNXTDZ($A$1,$B93,T$5,$B$1)</f>
        <v>148.52000000000001</v>
      </c>
      <c r="U93" s="55">
        <f>_xll.EQNXTDZ($A$1,$B93,U$5,$B$1)</f>
        <v>0</v>
      </c>
      <c r="V93" s="55">
        <f>_xll.EQNXTDZ($A$1,$B93,V$5,$B$1)</f>
        <v>131.75700000000001</v>
      </c>
      <c r="W93" s="55">
        <f>_xll.EQNXTDZ($A$1,$B93,W$5,$B$1)</f>
        <v>0</v>
      </c>
      <c r="X93" s="55">
        <f>_xll.EQNXTDZ($A$1,$B93,X$5,$B$1)</f>
        <v>152.13</v>
      </c>
      <c r="Y93" s="55">
        <f>_xll.EQNXTDZ($A$1,$B93,Y$5,$B$1)</f>
        <v>0</v>
      </c>
      <c r="Z93" s="55">
        <f>_xll.EQNXTDZ($A$1,$B93,Z$5,$B$1)</f>
        <v>187.68899999999999</v>
      </c>
      <c r="AA93" s="55">
        <f>_xll.EQNXTDZ($A$1,$B93,AA$5,$B$1)</f>
        <v>0</v>
      </c>
      <c r="AB93" s="55">
        <f>_xll.EQNXTDZ($A$1,$B93,AB$5,$B$1)</f>
        <v>202.36199999999999</v>
      </c>
      <c r="AC93" s="55">
        <f>_xll.EQNXTDZ($A$1,$B93,AC$5,$B$1)</f>
        <v>0</v>
      </c>
      <c r="AD93" s="55">
        <f>_xll.EQNXTDZ($A$1,$B93,AD$5,$B$1)</f>
        <v>188.215</v>
      </c>
      <c r="AE93" s="55">
        <f>_xll.EQNXTDZ($A$1,$B93,AE$5,$B$1)</f>
        <v>0</v>
      </c>
      <c r="AF93" s="55">
        <f>_xll.EQNXTDZ($A$1,$B93,AF$5,$B$1)</f>
        <v>171.85400000000001</v>
      </c>
      <c r="AG93" s="55">
        <f>_xll.EQNXTDZ($A$1,$B93,AG$5,$B$1)</f>
        <v>0</v>
      </c>
      <c r="AH93" s="55">
        <f>_xll.EQNXTDZ($A$1,$B93,AH$5,$B$1)</f>
        <v>217.37200000000001</v>
      </c>
      <c r="AI93" s="55">
        <f>_xll.EQNXTDZ($A$1,$B93,AI$5,$B$1)</f>
        <v>0</v>
      </c>
      <c r="AJ93" s="55">
        <f>_xll.EQNXTDZ($A$1,$B93,AJ$5,$B$1)</f>
        <v>211.95599999999999</v>
      </c>
      <c r="AK93" s="55">
        <f>_xll.EQNXTDZ($A$1,$B93,AK$5,$B$1)</f>
        <v>0</v>
      </c>
      <c r="AL93" s="55">
        <f>_xll.EQNXTDZ($A$1,$B93,AL$5,$B$1)</f>
        <v>264.46499999999997</v>
      </c>
      <c r="AM93" s="55">
        <f>_xll.EQNXTDZ($A$1,$B93,AM$5,$B$1)</f>
        <v>0</v>
      </c>
      <c r="AN93" s="55">
        <f>_xll.EQNXTDZ($A$1,$B93,AN$5,$B$1)</f>
        <v>297.95699999999999</v>
      </c>
      <c r="AO93" s="55">
        <f>_xll.EQNXTDZ($A$1,$B93,AO$5,$B$1)</f>
        <v>0</v>
      </c>
      <c r="AP93" s="55">
        <f>_xll.EQNXTDZ($A$1,$B93,AP$5,$B$1)</f>
        <v>410.22199999999998</v>
      </c>
      <c r="AQ93" s="55">
        <f>_xll.EQNXTDZ($A$1,$B93,AQ$5,$B$1)</f>
        <v>0</v>
      </c>
      <c r="AR93" s="55">
        <f>_xll.EQNXTDZ($A$1,$B93,AR$5,$B$1)</f>
        <v>408.04199999999997</v>
      </c>
      <c r="AS93" s="55">
        <f>_xll.EQNXTDZ($A$1,$B93,AS$5,$B$1)</f>
        <v>0</v>
      </c>
      <c r="AT93" s="55">
        <f>_xll.EQNXTDZ($A$1,$B93,AT$5,$B$1)</f>
        <v>478.55500000000001</v>
      </c>
      <c r="AU93" s="55">
        <f>_xll.EQNXTDZ($A$1,$B93,AU$5,$B$1)</f>
        <v>0</v>
      </c>
      <c r="AV93" s="55">
        <f>_xll.EQNXTDZ($A$1,$B93,AV$5,$B$1)</f>
        <v>460.83800000000002</v>
      </c>
      <c r="AW93" s="55">
        <f>_xll.EQNXTDZ($A$1,$B93,AW$5,$B$1)</f>
        <v>0</v>
      </c>
      <c r="AX93" s="55">
        <f>_xll.EQNXTDZ($A$1,$B93,AX$5,$B$1)</f>
        <v>445.93700000000001</v>
      </c>
      <c r="AY93" s="55">
        <f>_xll.EQNXTDZ($A$1,$B93,AY$5,$B$1)</f>
        <v>0</v>
      </c>
      <c r="AZ93" s="55">
        <f>_xll.EQNXTDZ($A$1,$B93,AZ$5,$B$1)</f>
        <v>482.49099999999999</v>
      </c>
      <c r="BA93" s="55">
        <f>_xll.EQNXTDZ($A$1,$B93,BA$5,$B$1)</f>
        <v>0</v>
      </c>
      <c r="BB93" s="55">
        <f>_xll.EQNXTDZ($A$1,$B93,BB$5,$B$1)</f>
        <v>529.68299999999999</v>
      </c>
      <c r="BC93" s="55">
        <f>_xll.EQNXTDZ($A$1,$B93,BC$5,$B$1)</f>
        <v>0</v>
      </c>
      <c r="BD93" s="55">
        <f>_xll.EQNXTDZ($A$1,$B93,BD$5,$B$1)</f>
        <v>579.27499999999998</v>
      </c>
      <c r="BE93" s="55">
        <f>_xll.EQNXTDZ($A$1,$B93,BE$5,$B$1)</f>
        <v>0</v>
      </c>
      <c r="BF93" s="55">
        <f>_xll.EQNXTDZ($A$1,$B93,BF$5,$B$1)</f>
        <v>756.99199999999996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31.783999999999999</v>
      </c>
      <c r="E94" s="55">
        <f>_xll.EQNXTDZ($A$1,$B94,E$5,$B$1)</f>
        <v>0</v>
      </c>
      <c r="F94" s="55">
        <f>_xll.EQNXTDZ($A$1,$B94,F$5,$B$1)</f>
        <v>29.856000000000002</v>
      </c>
      <c r="G94" s="55">
        <f>_xll.EQNXTDZ($A$1,$B94,G$5,$B$1)</f>
        <v>0</v>
      </c>
      <c r="H94" s="55">
        <f>_xll.EQNXTDZ($A$1,$B94,H$5,$B$1)</f>
        <v>68.873999999999995</v>
      </c>
      <c r="I94" s="55">
        <f>_xll.EQNXTDZ($A$1,$B94,I$5,$B$1)</f>
        <v>0</v>
      </c>
      <c r="J94" s="55">
        <f>_xll.EQNXTDZ($A$1,$B94,J$5,$B$1)</f>
        <v>97.533000000000001</v>
      </c>
      <c r="K94" s="55">
        <f>_xll.EQNXTDZ($A$1,$B94,K$5,$B$1)</f>
        <v>0</v>
      </c>
      <c r="L94" s="55">
        <f>_xll.EQNXTDZ($A$1,$B94,L$5,$B$1)</f>
        <v>144.494</v>
      </c>
      <c r="M94" s="55">
        <f>_xll.EQNXTDZ($A$1,$B94,M$5,$B$1)</f>
        <v>0</v>
      </c>
      <c r="N94" s="55">
        <f>_xll.EQNXTDZ($A$1,$B94,N$5,$B$1)</f>
        <v>156.922</v>
      </c>
      <c r="O94" s="55">
        <f>_xll.EQNXTDZ($A$1,$B94,O$5,$B$1)</f>
        <v>0</v>
      </c>
      <c r="P94" s="55">
        <f>_xll.EQNXTDZ($A$1,$B94,P$5,$B$1)</f>
        <v>224.12100000000001</v>
      </c>
      <c r="Q94" s="55">
        <f>_xll.EQNXTDZ($A$1,$B94,Q$5,$B$1)</f>
        <v>0</v>
      </c>
      <c r="R94" s="55">
        <f>_xll.EQNXTDZ($A$1,$B94,R$5,$B$1)</f>
        <v>258.04599999999999</v>
      </c>
      <c r="S94" s="55">
        <f>_xll.EQNXTDZ($A$1,$B94,S$5,$B$1)</f>
        <v>0</v>
      </c>
      <c r="T94" s="55">
        <f>_xll.EQNXTDZ($A$1,$B94,T$5,$B$1)</f>
        <v>340.58600000000001</v>
      </c>
      <c r="U94" s="55">
        <f>_xll.EQNXTDZ($A$1,$B94,U$5,$B$1)</f>
        <v>0</v>
      </c>
      <c r="V94" s="55">
        <f>_xll.EQNXTDZ($A$1,$B94,V$5,$B$1)</f>
        <v>434.762</v>
      </c>
      <c r="W94" s="55">
        <f>_xll.EQNXTDZ($A$1,$B94,W$5,$B$1)</f>
        <v>0</v>
      </c>
      <c r="X94" s="55">
        <f>_xll.EQNXTDZ($A$1,$B94,X$5,$B$1)</f>
        <v>489.63099999999997</v>
      </c>
      <c r="Y94" s="55">
        <f>_xll.EQNXTDZ($A$1,$B94,Y$5,$B$1)</f>
        <v>0</v>
      </c>
      <c r="Z94" s="55">
        <f>_xll.EQNXTDZ($A$1,$B94,Z$5,$B$1)</f>
        <v>617.37599999999998</v>
      </c>
      <c r="AA94" s="55">
        <f>_xll.EQNXTDZ($A$1,$B94,AA$5,$B$1)</f>
        <v>0</v>
      </c>
      <c r="AB94" s="55">
        <f>_xll.EQNXTDZ($A$1,$B94,AB$5,$B$1)</f>
        <v>688.63300000000004</v>
      </c>
      <c r="AC94" s="55">
        <f>_xll.EQNXTDZ($A$1,$B94,AC$5,$B$1)</f>
        <v>0</v>
      </c>
      <c r="AD94" s="55">
        <f>_xll.EQNXTDZ($A$1,$B94,AD$5,$B$1)</f>
        <v>819.78899999999999</v>
      </c>
      <c r="AE94" s="55">
        <f>_xll.EQNXTDZ($A$1,$B94,AE$5,$B$1)</f>
        <v>0</v>
      </c>
      <c r="AF94" s="55">
        <f>_xll.EQNXTDZ($A$1,$B94,AF$5,$B$1)</f>
        <v>827.81700000000001</v>
      </c>
      <c r="AG94" s="55">
        <f>_xll.EQNXTDZ($A$1,$B94,AG$5,$B$1)</f>
        <v>0</v>
      </c>
      <c r="AH94" s="55">
        <f>_xll.EQNXTDZ($A$1,$B94,AH$5,$B$1)</f>
        <v>983.83</v>
      </c>
      <c r="AI94" s="55">
        <f>_xll.EQNXTDZ($A$1,$B94,AI$5,$B$1)</f>
        <v>0</v>
      </c>
      <c r="AJ94" s="55">
        <f>_xll.EQNXTDZ($A$1,$B94,AJ$5,$B$1)</f>
        <v>1030.9000000000001</v>
      </c>
      <c r="AK94" s="55">
        <f>_xll.EQNXTDZ($A$1,$B94,AK$5,$B$1)</f>
        <v>0</v>
      </c>
      <c r="AL94" s="55">
        <f>_xll.EQNXTDZ($A$1,$B94,AL$5,$B$1)</f>
        <v>1126.905</v>
      </c>
      <c r="AM94" s="55">
        <f>_xll.EQNXTDZ($A$1,$B94,AM$5,$B$1)</f>
        <v>0</v>
      </c>
      <c r="AN94" s="55">
        <f>_xll.EQNXTDZ($A$1,$B94,AN$5,$B$1)</f>
        <v>1138.3589999999999</v>
      </c>
      <c r="AO94" s="55">
        <f>_xll.EQNXTDZ($A$1,$B94,AO$5,$B$1)</f>
        <v>0</v>
      </c>
      <c r="AP94" s="55">
        <f>_xll.EQNXTDZ($A$1,$B94,AP$5,$B$1)</f>
        <v>1285.479</v>
      </c>
      <c r="AQ94" s="55">
        <f>_xll.EQNXTDZ($A$1,$B94,AQ$5,$B$1)</f>
        <v>0</v>
      </c>
      <c r="AR94" s="55">
        <f>_xll.EQNXTDZ($A$1,$B94,AR$5,$B$1)</f>
        <v>1390.6120000000001</v>
      </c>
      <c r="AS94" s="55">
        <f>_xll.EQNXTDZ($A$1,$B94,AS$5,$B$1)</f>
        <v>0</v>
      </c>
      <c r="AT94" s="55">
        <f>_xll.EQNXTDZ($A$1,$B94,AT$5,$B$1)</f>
        <v>1834.9349999999999</v>
      </c>
      <c r="AU94" s="55">
        <f>_xll.EQNXTDZ($A$1,$B94,AU$5,$B$1)</f>
        <v>0</v>
      </c>
      <c r="AV94" s="55">
        <f>_xll.EQNXTDZ($A$1,$B94,AV$5,$B$1)</f>
        <v>1792.57</v>
      </c>
      <c r="AW94" s="55">
        <f>_xll.EQNXTDZ($A$1,$B94,AW$5,$B$1)</f>
        <v>0</v>
      </c>
      <c r="AX94" s="55">
        <f>_xll.EQNXTDZ($A$1,$B94,AX$5,$B$1)</f>
        <v>2090.7829999999999</v>
      </c>
      <c r="AY94" s="55">
        <f>_xll.EQNXTDZ($A$1,$B94,AY$5,$B$1)</f>
        <v>0</v>
      </c>
      <c r="AZ94" s="55">
        <f>_xll.EQNXTDZ($A$1,$B94,AZ$5,$B$1)</f>
        <v>2043.528</v>
      </c>
      <c r="BA94" s="55">
        <f>_xll.EQNXTDZ($A$1,$B94,BA$5,$B$1)</f>
        <v>0</v>
      </c>
      <c r="BB94" s="55">
        <f>_xll.EQNXTDZ($A$1,$B94,BB$5,$B$1)</f>
        <v>2267.817</v>
      </c>
      <c r="BC94" s="55">
        <f>_xll.EQNXTDZ($A$1,$B94,BC$5,$B$1)</f>
        <v>0</v>
      </c>
      <c r="BD94" s="55">
        <f>_xll.EQNXTDZ($A$1,$B94,BD$5,$B$1)</f>
        <v>1957.0550000000001</v>
      </c>
      <c r="BE94" s="55">
        <f>_xll.EQNXTDZ($A$1,$B94,BE$5,$B$1)</f>
        <v>0</v>
      </c>
      <c r="BF94" s="55">
        <f>_xll.EQNXTDZ($A$1,$B94,BF$5,$B$1)</f>
        <v>2211.1570000000002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1.97</v>
      </c>
      <c r="E96" s="55">
        <f>_xll.EQNXTDZ($A$1,$B96,E$5,$B$1)</f>
        <v>0</v>
      </c>
      <c r="F96" s="55">
        <f>_xll.EQNXTDZ($A$1,$B96,F$5,$B$1)</f>
        <v>-4.47</v>
      </c>
      <c r="G96" s="55">
        <f>_xll.EQNXTDZ($A$1,$B96,G$5,$B$1)</f>
        <v>0</v>
      </c>
      <c r="H96" s="55">
        <f>_xll.EQNXTDZ($A$1,$B96,H$5,$B$1)</f>
        <v>-0.46</v>
      </c>
      <c r="I96" s="55">
        <f>_xll.EQNXTDZ($A$1,$B96,I$5,$B$1)</f>
        <v>0</v>
      </c>
      <c r="J96" s="55">
        <f>_xll.EQNXTDZ($A$1,$B96,J$5,$B$1)</f>
        <v>-6.84</v>
      </c>
      <c r="K96" s="55">
        <f>_xll.EQNXTDZ($A$1,$B96,K$5,$B$1)</f>
        <v>0</v>
      </c>
      <c r="L96" s="55">
        <f>_xll.EQNXTDZ($A$1,$B96,L$5,$B$1)</f>
        <v>-1.73</v>
      </c>
      <c r="M96" s="55">
        <f>_xll.EQNXTDZ($A$1,$B96,M$5,$B$1)</f>
        <v>0</v>
      </c>
      <c r="N96" s="55">
        <f>_xll.EQNXTDZ($A$1,$B96,N$5,$B$1)</f>
        <v>0.436</v>
      </c>
      <c r="O96" s="55">
        <f>_xll.EQNXTDZ($A$1,$B96,O$5,$B$1)</f>
        <v>0</v>
      </c>
      <c r="P96" s="55">
        <f>_xll.EQNXTDZ($A$1,$B96,P$5,$B$1)</f>
        <v>2.8359999999999999</v>
      </c>
      <c r="Q96" s="55">
        <f>_xll.EQNXTDZ($A$1,$B96,Q$5,$B$1)</f>
        <v>0</v>
      </c>
      <c r="R96" s="55">
        <f>_xll.EQNXTDZ($A$1,$B96,R$5,$B$1)</f>
        <v>1.266</v>
      </c>
      <c r="S96" s="55">
        <f>_xll.EQNXTDZ($A$1,$B96,S$5,$B$1)</f>
        <v>0</v>
      </c>
      <c r="T96" s="55">
        <f>_xll.EQNXTDZ($A$1,$B96,T$5,$B$1)</f>
        <v>3.15</v>
      </c>
      <c r="U96" s="55">
        <f>_xll.EQNXTDZ($A$1,$B96,U$5,$B$1)</f>
        <v>0</v>
      </c>
      <c r="V96" s="55">
        <f>_xll.EQNXTDZ($A$1,$B96,V$5,$B$1)</f>
        <v>3.23</v>
      </c>
      <c r="W96" s="55">
        <f>_xll.EQNXTDZ($A$1,$B96,W$5,$B$1)</f>
        <v>0</v>
      </c>
      <c r="X96" s="55">
        <f>_xll.EQNXTDZ($A$1,$B96,X$5,$B$1)</f>
        <v>5.19</v>
      </c>
      <c r="Y96" s="55">
        <f>_xll.EQNXTDZ($A$1,$B96,Y$5,$B$1)</f>
        <v>0</v>
      </c>
      <c r="Z96" s="55">
        <f>_xll.EQNXTDZ($A$1,$B96,Z$5,$B$1)</f>
        <v>4.12</v>
      </c>
      <c r="AA96" s="55">
        <f>_xll.EQNXTDZ($A$1,$B96,AA$5,$B$1)</f>
        <v>0</v>
      </c>
      <c r="AB96" s="55">
        <f>_xll.EQNXTDZ($A$1,$B96,AB$5,$B$1)</f>
        <v>6.2</v>
      </c>
      <c r="AC96" s="55">
        <f>_xll.EQNXTDZ($A$1,$B96,AC$5,$B$1)</f>
        <v>0</v>
      </c>
      <c r="AD96" s="55">
        <f>_xll.EQNXTDZ($A$1,$B96,AD$5,$B$1)</f>
        <v>5.97</v>
      </c>
      <c r="AE96" s="55">
        <f>_xll.EQNXTDZ($A$1,$B96,AE$5,$B$1)</f>
        <v>0</v>
      </c>
      <c r="AF96" s="55">
        <f>_xll.EQNXTDZ($A$1,$B96,AF$5,$B$1)</f>
        <v>10.039999999999999</v>
      </c>
      <c r="AG96" s="55">
        <f>_xll.EQNXTDZ($A$1,$B96,AG$5,$B$1)</f>
        <v>0</v>
      </c>
      <c r="AH96" s="55">
        <f>_xll.EQNXTDZ($A$1,$B96,AH$5,$B$1)</f>
        <v>8.7680000000000007</v>
      </c>
      <c r="AI96" s="55">
        <f>_xll.EQNXTDZ($A$1,$B96,AI$5,$B$1)</f>
        <v>0</v>
      </c>
      <c r="AJ96" s="55">
        <f>_xll.EQNXTDZ($A$1,$B96,AJ$5,$B$1)</f>
        <v>10.686</v>
      </c>
      <c r="AK96" s="55">
        <f>_xll.EQNXTDZ($A$1,$B96,AK$5,$B$1)</f>
        <v>0</v>
      </c>
      <c r="AL96" s="55">
        <f>_xll.EQNXTDZ($A$1,$B96,AL$5,$B$1)</f>
        <v>9.9580000000000002</v>
      </c>
      <c r="AM96" s="55">
        <f>_xll.EQNXTDZ($A$1,$B96,AM$5,$B$1)</f>
        <v>0</v>
      </c>
      <c r="AN96" s="55">
        <f>_xll.EQNXTDZ($A$1,$B96,AN$5,$B$1)</f>
        <v>13.038</v>
      </c>
      <c r="AO96" s="55">
        <f>_xll.EQNXTDZ($A$1,$B96,AO$5,$B$1)</f>
        <v>0</v>
      </c>
      <c r="AP96" s="55">
        <f>_xll.EQNXTDZ($A$1,$B96,AP$5,$B$1)</f>
        <v>8.968</v>
      </c>
      <c r="AQ96" s="55">
        <f>_xll.EQNXTDZ($A$1,$B96,AQ$5,$B$1)</f>
        <v>0</v>
      </c>
      <c r="AR96" s="55">
        <f>_xll.EQNXTDZ($A$1,$B96,AR$5,$B$1)</f>
        <v>11.898</v>
      </c>
      <c r="AS96" s="55">
        <f>_xll.EQNXTDZ($A$1,$B96,AS$5,$B$1)</f>
        <v>0</v>
      </c>
      <c r="AT96" s="55">
        <f>_xll.EQNXTDZ($A$1,$B96,AT$5,$B$1)</f>
        <v>12.888</v>
      </c>
      <c r="AU96" s="55">
        <f>_xll.EQNXTDZ($A$1,$B96,AU$5,$B$1)</f>
        <v>0</v>
      </c>
      <c r="AV96" s="55">
        <f>_xll.EQNXTDZ($A$1,$B96,AV$5,$B$1)</f>
        <v>19.108000000000001</v>
      </c>
      <c r="AW96" s="55">
        <f>_xll.EQNXTDZ($A$1,$B96,AW$5,$B$1)</f>
        <v>0</v>
      </c>
      <c r="AX96" s="55">
        <f>_xll.EQNXTDZ($A$1,$B96,AX$5,$B$1)</f>
        <v>23.869</v>
      </c>
      <c r="AY96" s="55">
        <f>_xll.EQNXTDZ($A$1,$B96,AY$5,$B$1)</f>
        <v>0</v>
      </c>
      <c r="AZ96" s="55">
        <f>_xll.EQNXTDZ($A$1,$B96,AZ$5,$B$1)</f>
        <v>27.74</v>
      </c>
      <c r="BA96" s="55">
        <f>_xll.EQNXTDZ($A$1,$B96,BA$5,$B$1)</f>
        <v>0</v>
      </c>
      <c r="BB96" s="55">
        <f>_xll.EQNXTDZ($A$1,$B96,BB$5,$B$1)</f>
        <v>37.625999999999998</v>
      </c>
      <c r="BC96" s="55">
        <f>_xll.EQNXTDZ($A$1,$B96,BC$5,$B$1)</f>
        <v>0</v>
      </c>
      <c r="BD96" s="55">
        <f>_xll.EQNXTDZ($A$1,$B96,BD$5,$B$1)</f>
        <v>48.762999999999998</v>
      </c>
      <c r="BE96" s="55">
        <f>_xll.EQNXTDZ($A$1,$B96,BE$5,$B$1)</f>
        <v>0</v>
      </c>
      <c r="BF96" s="55">
        <f>_xll.EQNXTDZ($A$1,$B96,BF$5,$B$1)</f>
        <v>78.727000000000004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203.80199999999999</v>
      </c>
      <c r="E97" s="55">
        <f>_xll.EQNXTDZ($A$1,$B97,E$5,$B$1)</f>
        <v>0</v>
      </c>
      <c r="F97" s="55">
        <f>_xll.EQNXTDZ($A$1,$B97,F$5,$B$1)</f>
        <v>200.23</v>
      </c>
      <c r="G97" s="55">
        <f>_xll.EQNXTDZ($A$1,$B97,G$5,$B$1)</f>
        <v>0</v>
      </c>
      <c r="H97" s="55">
        <f>_xll.EQNXTDZ($A$1,$B97,H$5,$B$1)</f>
        <v>229.65600000000001</v>
      </c>
      <c r="I97" s="55">
        <f>_xll.EQNXTDZ($A$1,$B97,I$5,$B$1)</f>
        <v>0</v>
      </c>
      <c r="J97" s="55">
        <f>_xll.EQNXTDZ($A$1,$B97,J$5,$B$1)</f>
        <v>240.82400000000001</v>
      </c>
      <c r="K97" s="55">
        <f>_xll.EQNXTDZ($A$1,$B97,K$5,$B$1)</f>
        <v>0</v>
      </c>
      <c r="L97" s="55">
        <f>_xll.EQNXTDZ($A$1,$B97,L$5,$B$1)</f>
        <v>283.07600000000002</v>
      </c>
      <c r="M97" s="55">
        <f>_xll.EQNXTDZ($A$1,$B97,M$5,$B$1)</f>
        <v>0</v>
      </c>
      <c r="N97" s="55">
        <f>_xll.EQNXTDZ($A$1,$B97,N$5,$B$1)</f>
        <v>294.19200000000001</v>
      </c>
      <c r="O97" s="55">
        <f>_xll.EQNXTDZ($A$1,$B97,O$5,$B$1)</f>
        <v>0</v>
      </c>
      <c r="P97" s="55">
        <f>_xll.EQNXTDZ($A$1,$B97,P$5,$B$1)</f>
        <v>368.97399999999999</v>
      </c>
      <c r="Q97" s="55">
        <f>_xll.EQNXTDZ($A$1,$B97,Q$5,$B$1)</f>
        <v>0</v>
      </c>
      <c r="R97" s="55">
        <f>_xll.EQNXTDZ($A$1,$B97,R$5,$B$1)</f>
        <v>403.93599999999998</v>
      </c>
      <c r="S97" s="55">
        <f>_xll.EQNXTDZ($A$1,$B97,S$5,$B$1)</f>
        <v>0</v>
      </c>
      <c r="T97" s="55">
        <f>_xll.EQNXTDZ($A$1,$B97,T$5,$B$1)</f>
        <v>489.86</v>
      </c>
      <c r="U97" s="55">
        <f>_xll.EQNXTDZ($A$1,$B97,U$5,$B$1)</f>
        <v>0</v>
      </c>
      <c r="V97" s="55">
        <f>_xll.EQNXTDZ($A$1,$B97,V$5,$B$1)</f>
        <v>583.64</v>
      </c>
      <c r="W97" s="55">
        <f>_xll.EQNXTDZ($A$1,$B97,W$5,$B$1)</f>
        <v>0</v>
      </c>
      <c r="X97" s="55">
        <f>_xll.EQNXTDZ($A$1,$B97,X$5,$B$1)</f>
        <v>632.54899999999998</v>
      </c>
      <c r="Y97" s="55">
        <f>_xll.EQNXTDZ($A$1,$B97,Y$5,$B$1)</f>
        <v>0</v>
      </c>
      <c r="Z97" s="55">
        <f>_xll.EQNXTDZ($A$1,$B97,Z$5,$B$1)</f>
        <v>757.20299999999997</v>
      </c>
      <c r="AA97" s="55">
        <f>_xll.EQNXTDZ($A$1,$B97,AA$5,$B$1)</f>
        <v>0</v>
      </c>
      <c r="AB97" s="55">
        <f>_xll.EQNXTDZ($A$1,$B97,AB$5,$B$1)</f>
        <v>819.00699999999995</v>
      </c>
      <c r="AC97" s="55">
        <f>_xll.EQNXTDZ($A$1,$B97,AC$5,$B$1)</f>
        <v>0</v>
      </c>
      <c r="AD97" s="55">
        <f>_xll.EQNXTDZ($A$1,$B97,AD$5,$B$1)</f>
        <v>955.173</v>
      </c>
      <c r="AE97" s="55">
        <f>_xll.EQNXTDZ($A$1,$B97,AE$5,$B$1)</f>
        <v>0</v>
      </c>
      <c r="AF97" s="55">
        <f>_xll.EQNXTDZ($A$1,$B97,AF$5,$B$1)</f>
        <v>1017.316</v>
      </c>
      <c r="AG97" s="55">
        <f>_xll.EQNXTDZ($A$1,$B97,AG$5,$B$1)</f>
        <v>0</v>
      </c>
      <c r="AH97" s="55">
        <f>_xll.EQNXTDZ($A$1,$B97,AH$5,$B$1)</f>
        <v>1171.6089999999999</v>
      </c>
      <c r="AI97" s="55">
        <f>_xll.EQNXTDZ($A$1,$B97,AI$5,$B$1)</f>
        <v>0</v>
      </c>
      <c r="AJ97" s="55">
        <f>_xll.EQNXTDZ($A$1,$B97,AJ$5,$B$1)</f>
        <v>1216.175</v>
      </c>
      <c r="AK97" s="55">
        <f>_xll.EQNXTDZ($A$1,$B97,AK$5,$B$1)</f>
        <v>0</v>
      </c>
      <c r="AL97" s="55">
        <f>_xll.EQNXTDZ($A$1,$B97,AL$5,$B$1)</f>
        <v>1452.2270000000001</v>
      </c>
      <c r="AM97" s="55">
        <f>_xll.EQNXTDZ($A$1,$B97,AM$5,$B$1)</f>
        <v>0</v>
      </c>
      <c r="AN97" s="55">
        <f>_xll.EQNXTDZ($A$1,$B97,AN$5,$B$1)</f>
        <v>1417.9059999999999</v>
      </c>
      <c r="AO97" s="55">
        <f>_xll.EQNXTDZ($A$1,$B97,AO$5,$B$1)</f>
        <v>0</v>
      </c>
      <c r="AP97" s="55">
        <f>_xll.EQNXTDZ($A$1,$B97,AP$5,$B$1)</f>
        <v>1758.951</v>
      </c>
      <c r="AQ97" s="55">
        <f>_xll.EQNXTDZ($A$1,$B97,AQ$5,$B$1)</f>
        <v>0</v>
      </c>
      <c r="AR97" s="55">
        <f>_xll.EQNXTDZ($A$1,$B97,AR$5,$B$1)</f>
        <v>1897.68</v>
      </c>
      <c r="AS97" s="55">
        <f>_xll.EQNXTDZ($A$1,$B97,AS$5,$B$1)</f>
        <v>0</v>
      </c>
      <c r="AT97" s="55">
        <f>_xll.EQNXTDZ($A$1,$B97,AT$5,$B$1)</f>
        <v>2284.9479999999999</v>
      </c>
      <c r="AU97" s="55">
        <f>_xll.EQNXTDZ($A$1,$B97,AU$5,$B$1)</f>
        <v>0</v>
      </c>
      <c r="AV97" s="55">
        <f>_xll.EQNXTDZ($A$1,$B97,AV$5,$B$1)</f>
        <v>2351.8670000000002</v>
      </c>
      <c r="AW97" s="55">
        <f>_xll.EQNXTDZ($A$1,$B97,AW$5,$B$1)</f>
        <v>0</v>
      </c>
      <c r="AX97" s="55">
        <f>_xll.EQNXTDZ($A$1,$B97,AX$5,$B$1)</f>
        <v>2741.0439999999999</v>
      </c>
      <c r="AY97" s="55">
        <f>_xll.EQNXTDZ($A$1,$B97,AY$5,$B$1)</f>
        <v>0</v>
      </c>
      <c r="AZ97" s="55">
        <f>_xll.EQNXTDZ($A$1,$B97,AZ$5,$B$1)</f>
        <v>2702.6460000000002</v>
      </c>
      <c r="BA97" s="55">
        <f>_xll.EQNXTDZ($A$1,$B97,BA$5,$B$1)</f>
        <v>0</v>
      </c>
      <c r="BB97" s="55">
        <f>_xll.EQNXTDZ($A$1,$B97,BB$5,$B$1)</f>
        <v>3056.0360000000001</v>
      </c>
      <c r="BC97" s="55">
        <f>_xll.EQNXTDZ($A$1,$B97,BC$5,$B$1)</f>
        <v>0</v>
      </c>
      <c r="BD97" s="55">
        <f>_xll.EQNXTDZ($A$1,$B97,BD$5,$B$1)</f>
        <v>2876.5129999999999</v>
      </c>
      <c r="BE97" s="55">
        <f>_xll.EQNXTDZ($A$1,$B97,BE$5,$B$1)</f>
        <v>0</v>
      </c>
      <c r="BF97" s="55">
        <f>_xll.EQNXTDZ($A$1,$B97,BF$5,$B$1)</f>
        <v>3205.55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100408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Elxsi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136.74039999999999</v>
      </c>
      <c r="D6" s="100">
        <f>_xll.EQNXTDZ($A$1,$B6,D$1,$B$1)</f>
        <v>129.8064</v>
      </c>
      <c r="E6" s="100">
        <f>_xll.EQNXTDZ($A$1,$B6,E$1,$B$1)</f>
        <v>109.6041</v>
      </c>
      <c r="F6" s="100">
        <f>_xll.EQNXTDZ($A$1,$B6,F$1,$B$1)</f>
        <v>153.48050000000001</v>
      </c>
      <c r="G6" s="100">
        <f>_xll.EQNXTDZ($A$1,$B6,G$1,$B$1)</f>
        <v>185.774</v>
      </c>
      <c r="H6" s="100">
        <f>_xll.EQNXTDZ($A$1,$B6,H$1,$B$1)</f>
        <v>235.6318</v>
      </c>
      <c r="I6" s="100">
        <f>_xll.EQNXTDZ($A$1,$B6,I$1,$B$1)</f>
        <v>307.96300000000002</v>
      </c>
      <c r="J6" s="100">
        <f>_xll.EQNXTDZ($A$1,$B6,J$1,$B$1)</f>
        <v>402.01369999999997</v>
      </c>
      <c r="K6" s="100">
        <f>_xll.EQNXTDZ($A$1,$B6,K$1,$B$1)</f>
        <v>419.36149999999998</v>
      </c>
      <c r="L6" s="100">
        <f>_xll.EQNXTDZ($A$1,$B6,L$1,$B$1)</f>
        <v>388.17250000000001</v>
      </c>
      <c r="M6" s="100">
        <f>_xll.EQNXTDZ($A$1,$B6,M$1,$B$1)</f>
        <v>415.91120000000001</v>
      </c>
      <c r="N6" s="100">
        <f>_xll.EQNXTDZ($A$1,$B6,N$1,$B$1)</f>
        <v>538.70740000000001</v>
      </c>
      <c r="O6" s="100">
        <f>_xll.EQNXTDZ($A$1,$B6,O$1,$B$1)</f>
        <v>621.6712</v>
      </c>
      <c r="P6" s="100">
        <f>_xll.EQNXTDZ($A$1,$B6,P$1,$B$1)</f>
        <v>774.78570000000002</v>
      </c>
      <c r="Q6" s="100">
        <f>_xll.EQNXTDZ($A$1,$B6,Q$1,$B$1)</f>
        <v>849.40110000000004</v>
      </c>
      <c r="R6" s="100">
        <f>_xll.EQNXTDZ($A$1,$B6,R$1,$B$1)</f>
        <v>1075.2061000000001</v>
      </c>
      <c r="S6" s="100">
        <f>_xll.EQNXTDZ($A$1,$B6,S$1,$B$1)</f>
        <v>1237.3123000000001</v>
      </c>
      <c r="T6" s="100">
        <f>_xll.EQNXTDZ($A$1,$B6,T$1,$B$1)</f>
        <v>1386.2954999999999</v>
      </c>
      <c r="U6" s="100">
        <f>_xll.EQNXTDZ($A$1,$B6,U$1,$B$1)</f>
        <v>1596.9315999999999</v>
      </c>
      <c r="V6" s="100">
        <f>_xll.EQNXTDZ($A$1,$B6,V$1,$B$1)</f>
        <v>1609.8604</v>
      </c>
      <c r="W6" s="100">
        <f>_xll.EQNXTDZ($A$1,$B6,W$1,$B$1)</f>
        <v>1826.1596999999999</v>
      </c>
      <c r="X6" s="100">
        <f>_xll.EQNXTDZ($A$1,$B6,X$1,$B$1)</f>
        <v>2470.7991999999999</v>
      </c>
      <c r="Y6" s="100">
        <f>_xll.EQNXTDZ($A$1,$B6,Y$1,$B$1)</f>
        <v>3144.7224999999999</v>
      </c>
      <c r="Z6" s="100">
        <f>_xll.EQNXTDZ($A$1,$B6,Z$1,$B$1)</f>
        <v>3552.1457</v>
      </c>
      <c r="AA6" s="100">
        <f>_xll.EQNXTDZ($A$1,$B6,AA$1,$B$1)</f>
        <v>3729.0482999999999</v>
      </c>
      <c r="AB6" s="100">
        <f>_xll.EQNXTDZ($A$1,$B6,AB$1,$B$1)</f>
        <v>3757.4236999999998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136.74039999999999</v>
      </c>
      <c r="D10" s="100">
        <f>_xll.EQNXTDZ($A$1,$B10,D$1,$B$1)</f>
        <v>129.8064</v>
      </c>
      <c r="E10" s="100">
        <f>_xll.EQNXTDZ($A$1,$B10,E$1,$B$1)</f>
        <v>109.6041</v>
      </c>
      <c r="F10" s="100">
        <f>_xll.EQNXTDZ($A$1,$B10,F$1,$B$1)</f>
        <v>153.48050000000001</v>
      </c>
      <c r="G10" s="100">
        <f>_xll.EQNXTDZ($A$1,$B10,G$1,$B$1)</f>
        <v>185.774</v>
      </c>
      <c r="H10" s="100">
        <f>_xll.EQNXTDZ($A$1,$B10,H$1,$B$1)</f>
        <v>235.6318</v>
      </c>
      <c r="I10" s="100">
        <f>_xll.EQNXTDZ($A$1,$B10,I$1,$B$1)</f>
        <v>307.96300000000002</v>
      </c>
      <c r="J10" s="100">
        <f>_xll.EQNXTDZ($A$1,$B10,J$1,$B$1)</f>
        <v>402.01369999999997</v>
      </c>
      <c r="K10" s="100">
        <f>_xll.EQNXTDZ($A$1,$B10,K$1,$B$1)</f>
        <v>419.36149999999998</v>
      </c>
      <c r="L10" s="100">
        <f>_xll.EQNXTDZ($A$1,$B10,L$1,$B$1)</f>
        <v>388.17250000000001</v>
      </c>
      <c r="M10" s="100">
        <f>_xll.EQNXTDZ($A$1,$B10,M$1,$B$1)</f>
        <v>415.91120000000001</v>
      </c>
      <c r="N10" s="100">
        <f>_xll.EQNXTDZ($A$1,$B10,N$1,$B$1)</f>
        <v>538.70740000000001</v>
      </c>
      <c r="O10" s="100">
        <f>_xll.EQNXTDZ($A$1,$B10,O$1,$B$1)</f>
        <v>621.6712</v>
      </c>
      <c r="P10" s="100">
        <f>_xll.EQNXTDZ($A$1,$B10,P$1,$B$1)</f>
        <v>774.78570000000002</v>
      </c>
      <c r="Q10" s="100">
        <f>_xll.EQNXTDZ($A$1,$B10,Q$1,$B$1)</f>
        <v>849.40110000000004</v>
      </c>
      <c r="R10" s="100">
        <f>_xll.EQNXTDZ($A$1,$B10,R$1,$B$1)</f>
        <v>1075.2061000000001</v>
      </c>
      <c r="S10" s="100">
        <f>_xll.EQNXTDZ($A$1,$B10,S$1,$B$1)</f>
        <v>1237.3123000000001</v>
      </c>
      <c r="T10" s="100">
        <f>_xll.EQNXTDZ($A$1,$B10,T$1,$B$1)</f>
        <v>1386.2954999999999</v>
      </c>
      <c r="U10" s="100">
        <f>_xll.EQNXTDZ($A$1,$B10,U$1,$B$1)</f>
        <v>1596.9315999999999</v>
      </c>
      <c r="V10" s="100">
        <f>_xll.EQNXTDZ($A$1,$B10,V$1,$B$1)</f>
        <v>1609.8604</v>
      </c>
      <c r="W10" s="100">
        <f>_xll.EQNXTDZ($A$1,$B10,W$1,$B$1)</f>
        <v>1826.1596999999999</v>
      </c>
      <c r="X10" s="100">
        <f>_xll.EQNXTDZ($A$1,$B10,X$1,$B$1)</f>
        <v>2470.7991999999999</v>
      </c>
      <c r="Y10" s="100">
        <f>_xll.EQNXTDZ($A$1,$B10,Y$1,$B$1)</f>
        <v>3144.7224999999999</v>
      </c>
      <c r="Z10" s="100">
        <f>_xll.EQNXTDZ($A$1,$B10,Z$1,$B$1)</f>
        <v>3552.1457</v>
      </c>
      <c r="AA10" s="100">
        <f>_xll.EQNXTDZ($A$1,$B10,AA$1,$B$1)</f>
        <v>3729.0482999999999</v>
      </c>
      <c r="AB10" s="100">
        <f>_xll.EQNXTDZ($A$1,$B10,AB$1,$B$1)</f>
        <v>3757.4236999999998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-0.17</v>
      </c>
      <c r="D11" s="100">
        <f>_xll.EQNXTDZ($A$1,$B11,D$1,$B$1)</f>
        <v>0.77800000000000002</v>
      </c>
      <c r="E11" s="100">
        <f>_xll.EQNXTDZ($A$1,$B11,E$1,$B$1)</f>
        <v>0.68830000000000002</v>
      </c>
      <c r="F11" s="100">
        <f>_xll.EQNXTDZ($A$1,$B11,F$1,$B$1)</f>
        <v>0.219</v>
      </c>
      <c r="G11" s="100">
        <f>_xll.EQNXTDZ($A$1,$B11,G$1,$B$1)</f>
        <v>0.21909999999999999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-0.50870000000000004</v>
      </c>
      <c r="N11" s="100">
        <f>_xll.EQNXTDZ($A$1,$B11,N$1,$B$1)</f>
        <v>0.54979999999999996</v>
      </c>
      <c r="O11" s="100">
        <f>_xll.EQNXTDZ($A$1,$B11,O$1,$B$1)</f>
        <v>-0.29089999999999999</v>
      </c>
      <c r="P11" s="100">
        <f>_xll.EQNXTDZ($A$1,$B11,P$1,$B$1)</f>
        <v>0.31219999999999998</v>
      </c>
      <c r="Q11" s="100">
        <f>_xll.EQNXTDZ($A$1,$B11,Q$1,$B$1)</f>
        <v>-0.28899999999999998</v>
      </c>
      <c r="R11" s="100">
        <f>_xll.EQNXTDZ($A$1,$B11,R$1,$B$1)</f>
        <v>0.28899999999999998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-1.6623000000000001</v>
      </c>
      <c r="V11" s="100">
        <f>_xll.EQNXTDZ($A$1,$B11,V$1,$B$1)</f>
        <v>-4.9700000000000001E-2</v>
      </c>
      <c r="W11" s="100">
        <f>_xll.EQNXTDZ($A$1,$B11,W$1,$B$1)</f>
        <v>1.6491</v>
      </c>
      <c r="X11" s="100">
        <f>_xll.EQNXTDZ($A$1,$B11,X$1,$B$1)</f>
        <v>-0.50460000000000005</v>
      </c>
      <c r="Y11" s="100">
        <f>_xll.EQNXTDZ($A$1,$B11,Y$1,$B$1)</f>
        <v>0.18129999999999999</v>
      </c>
      <c r="Z11" s="100">
        <f>_xll.EQNXTDZ($A$1,$B11,Z$1,$B$1)</f>
        <v>-0.72089999999999999</v>
      </c>
      <c r="AA11" s="100">
        <f>_xll.EQNXTDZ($A$1,$B11,AA$1,$B$1)</f>
        <v>1.1071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60.078699999999998</v>
      </c>
      <c r="D12" s="100">
        <f>_xll.EQNXTDZ($A$1,$B12,D$1,$B$1)</f>
        <v>42.341799999999999</v>
      </c>
      <c r="E12" s="100">
        <f>_xll.EQNXTDZ($A$1,$B12,E$1,$B$1)</f>
        <v>14.739599999999999</v>
      </c>
      <c r="F12" s="100">
        <f>_xll.EQNXTDZ($A$1,$B12,F$1,$B$1)</f>
        <v>40.104999999999997</v>
      </c>
      <c r="G12" s="100">
        <f>_xll.EQNXTDZ($A$1,$B12,G$1,$B$1)</f>
        <v>26.4834</v>
      </c>
      <c r="H12" s="100">
        <f>_xll.EQNXTDZ($A$1,$B12,H$1,$B$1)</f>
        <v>32.117600000000003</v>
      </c>
      <c r="I12" s="100">
        <f>_xll.EQNXTDZ($A$1,$B12,I$1,$B$1)</f>
        <v>21.610299999999999</v>
      </c>
      <c r="J12" s="100">
        <f>_xll.EQNXTDZ($A$1,$B12,J$1,$B$1)</f>
        <v>31.388000000000002</v>
      </c>
      <c r="K12" s="100">
        <f>_xll.EQNXTDZ($A$1,$B12,K$1,$B$1)</f>
        <v>17.1404</v>
      </c>
      <c r="L12" s="100">
        <f>_xll.EQNXTDZ($A$1,$B12,L$1,$B$1)</f>
        <v>26.225300000000001</v>
      </c>
      <c r="M12" s="100">
        <f>_xll.EQNXTDZ($A$1,$B12,M$1,$B$1)</f>
        <v>22.592199999999998</v>
      </c>
      <c r="N12" s="100">
        <f>_xll.EQNXTDZ($A$1,$B12,N$1,$B$1)</f>
        <v>43.588900000000002</v>
      </c>
      <c r="O12" s="100">
        <f>_xll.EQNXTDZ($A$1,$B12,O$1,$B$1)</f>
        <v>30.002199999999998</v>
      </c>
      <c r="P12" s="100">
        <f>_xll.EQNXTDZ($A$1,$B12,P$1,$B$1)</f>
        <v>42.488100000000003</v>
      </c>
      <c r="Q12" s="100">
        <f>_xll.EQNXTDZ($A$1,$B12,Q$1,$B$1)</f>
        <v>24.637</v>
      </c>
      <c r="R12" s="100">
        <f>_xll.EQNXTDZ($A$1,$B12,R$1,$B$1)</f>
        <v>25.645900000000001</v>
      </c>
      <c r="S12" s="100">
        <f>_xll.EQNXTDZ($A$1,$B12,S$1,$B$1)</f>
        <v>22.852499999999999</v>
      </c>
      <c r="T12" s="100">
        <f>_xll.EQNXTDZ($A$1,$B12,T$1,$B$1)</f>
        <v>18.660399999999999</v>
      </c>
      <c r="U12" s="100">
        <f>_xll.EQNXTDZ($A$1,$B12,U$1,$B$1)</f>
        <v>14.7441</v>
      </c>
      <c r="V12" s="100">
        <f>_xll.EQNXTDZ($A$1,$B12,V$1,$B$1)</f>
        <v>12.576700000000001</v>
      </c>
      <c r="W12" s="100">
        <f>_xll.EQNXTDZ($A$1,$B12,W$1,$B$1)</f>
        <v>12.0375</v>
      </c>
      <c r="X12" s="100">
        <f>_xll.EQNXTDZ($A$1,$B12,X$1,$B$1)</f>
        <v>13.138299999999999</v>
      </c>
      <c r="Y12" s="100">
        <f>_xll.EQNXTDZ($A$1,$B12,Y$1,$B$1)</f>
        <v>21.031700000000001</v>
      </c>
      <c r="Z12" s="100">
        <f>_xll.EQNXTDZ($A$1,$B12,Z$1,$B$1)</f>
        <v>18.315899999999999</v>
      </c>
      <c r="AA12" s="100">
        <f>_xll.EQNXTDZ($A$1,$B12,AA$1,$B$1)</f>
        <v>23.675899999999999</v>
      </c>
      <c r="AB12" s="100">
        <f>_xll.EQNXTDZ($A$1,$B12,AB$1,$B$1)</f>
        <v>17.368200000000002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0.74860000000000004</v>
      </c>
      <c r="D13" s="100">
        <f>_xll.EQNXTDZ($A$1,$B13,D$1,$B$1)</f>
        <v>0.85509999999999997</v>
      </c>
      <c r="E13" s="100">
        <f>_xll.EQNXTDZ($A$1,$B13,E$1,$B$1)</f>
        <v>1.0044</v>
      </c>
      <c r="F13" s="100">
        <f>_xll.EQNXTDZ($A$1,$B13,F$1,$B$1)</f>
        <v>1.1838</v>
      </c>
      <c r="G13" s="100">
        <f>_xll.EQNXTDZ($A$1,$B13,G$1,$B$1)</f>
        <v>1.7032</v>
      </c>
      <c r="H13" s="100">
        <f>_xll.EQNXTDZ($A$1,$B13,H$1,$B$1)</f>
        <v>2.7069999999999999</v>
      </c>
      <c r="I13" s="100">
        <f>_xll.EQNXTDZ($A$1,$B13,I$1,$B$1)</f>
        <v>3.4929999999999999</v>
      </c>
      <c r="J13" s="100">
        <f>_xll.EQNXTDZ($A$1,$B13,J$1,$B$1)</f>
        <v>5.5614999999999997</v>
      </c>
      <c r="K13" s="100">
        <f>_xll.EQNXTDZ($A$1,$B13,K$1,$B$1)</f>
        <v>6.3975999999999997</v>
      </c>
      <c r="L13" s="100">
        <f>_xll.EQNXTDZ($A$1,$B13,L$1,$B$1)</f>
        <v>6.4099000000000004</v>
      </c>
      <c r="M13" s="100">
        <f>_xll.EQNXTDZ($A$1,$B13,M$1,$B$1)</f>
        <v>6.4214000000000002</v>
      </c>
      <c r="N13" s="100">
        <f>_xll.EQNXTDZ($A$1,$B13,N$1,$B$1)</f>
        <v>7.3738999999999999</v>
      </c>
      <c r="O13" s="100">
        <f>_xll.EQNXTDZ($A$1,$B13,O$1,$B$1)</f>
        <v>7.9004000000000003</v>
      </c>
      <c r="P13" s="100">
        <f>_xll.EQNXTDZ($A$1,$B13,P$1,$B$1)</f>
        <v>7.6943000000000001</v>
      </c>
      <c r="Q13" s="100">
        <f>_xll.EQNXTDZ($A$1,$B13,Q$1,$B$1)</f>
        <v>8.2020999999999997</v>
      </c>
      <c r="R13" s="100">
        <f>_xll.EQNXTDZ($A$1,$B13,R$1,$B$1)</f>
        <v>8.8564000000000007</v>
      </c>
      <c r="S13" s="100">
        <f>_xll.EQNXTDZ($A$1,$B13,S$1,$B$1)</f>
        <v>8.6511999999999993</v>
      </c>
      <c r="T13" s="100">
        <f>_xll.EQNXTDZ($A$1,$B13,T$1,$B$1)</f>
        <v>8.8285999999999998</v>
      </c>
      <c r="U13" s="100">
        <f>_xll.EQNXTDZ($A$1,$B13,U$1,$B$1)</f>
        <v>8.7139000000000006</v>
      </c>
      <c r="V13" s="100">
        <f>_xll.EQNXTDZ($A$1,$B13,V$1,$B$1)</f>
        <v>8.9633000000000003</v>
      </c>
      <c r="W13" s="100">
        <f>_xll.EQNXTDZ($A$1,$B13,W$1,$B$1)</f>
        <v>7.0583999999999998</v>
      </c>
      <c r="X13" s="100">
        <f>_xll.EQNXTDZ($A$1,$B13,X$1,$B$1)</f>
        <v>7.6524999999999999</v>
      </c>
      <c r="Y13" s="100">
        <f>_xll.EQNXTDZ($A$1,$B13,Y$1,$B$1)</f>
        <v>10.2525</v>
      </c>
      <c r="Z13" s="100">
        <f>_xll.EQNXTDZ($A$1,$B13,Z$1,$B$1)</f>
        <v>13.7835</v>
      </c>
      <c r="AA13" s="100">
        <f>_xll.EQNXTDZ($A$1,$B13,AA$1,$B$1)</f>
        <v>15.299899999999999</v>
      </c>
      <c r="AB13" s="100">
        <f>_xll.EQNXTDZ($A$1,$B13,AB$1,$B$1)</f>
        <v>13.886100000000001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31.931100000000001</v>
      </c>
      <c r="D14" s="100">
        <f>_xll.EQNXTDZ($A$1,$B14,D$1,$B$1)</f>
        <v>43.047699999999999</v>
      </c>
      <c r="E14" s="100">
        <f>_xll.EQNXTDZ($A$1,$B14,E$1,$B$1)</f>
        <v>49.988999999999997</v>
      </c>
      <c r="F14" s="100">
        <f>_xll.EQNXTDZ($A$1,$B14,F$1,$B$1)</f>
        <v>61.637900000000002</v>
      </c>
      <c r="G14" s="100">
        <f>_xll.EQNXTDZ($A$1,$B14,G$1,$B$1)</f>
        <v>92.073899999999995</v>
      </c>
      <c r="H14" s="100">
        <f>_xll.EQNXTDZ($A$1,$B14,H$1,$B$1)</f>
        <v>118.971</v>
      </c>
      <c r="I14" s="100">
        <f>_xll.EQNXTDZ($A$1,$B14,I$1,$B$1)</f>
        <v>148.49160000000001</v>
      </c>
      <c r="J14" s="100">
        <f>_xll.EQNXTDZ($A$1,$B14,J$1,$B$1)</f>
        <v>212.5214</v>
      </c>
      <c r="K14" s="100">
        <f>_xll.EQNXTDZ($A$1,$B14,K$1,$B$1)</f>
        <v>225.90260000000001</v>
      </c>
      <c r="L14" s="100">
        <f>_xll.EQNXTDZ($A$1,$B14,L$1,$B$1)</f>
        <v>198.49119999999999</v>
      </c>
      <c r="M14" s="100">
        <f>_xll.EQNXTDZ($A$1,$B14,M$1,$B$1)</f>
        <v>216.7028</v>
      </c>
      <c r="N14" s="100">
        <f>_xll.EQNXTDZ($A$1,$B14,N$1,$B$1)</f>
        <v>278.0729</v>
      </c>
      <c r="O14" s="100">
        <f>_xll.EQNXTDZ($A$1,$B14,O$1,$B$1)</f>
        <v>351.49270000000001</v>
      </c>
      <c r="P14" s="100">
        <f>_xll.EQNXTDZ($A$1,$B14,P$1,$B$1)</f>
        <v>402.95960000000002</v>
      </c>
      <c r="Q14" s="100">
        <f>_xll.EQNXTDZ($A$1,$B14,Q$1,$B$1)</f>
        <v>460.6112</v>
      </c>
      <c r="R14" s="100">
        <f>_xll.EQNXTDZ($A$1,$B14,R$1,$B$1)</f>
        <v>576.48739999999998</v>
      </c>
      <c r="S14" s="100">
        <f>_xll.EQNXTDZ($A$1,$B14,S$1,$B$1)</f>
        <v>665.6825</v>
      </c>
      <c r="T14" s="100">
        <f>_xll.EQNXTDZ($A$1,$B14,T$1,$B$1)</f>
        <v>748.74310000000003</v>
      </c>
      <c r="U14" s="100">
        <f>_xll.EQNXTDZ($A$1,$B14,U$1,$B$1)</f>
        <v>842.58079999999995</v>
      </c>
      <c r="V14" s="100">
        <f>_xll.EQNXTDZ($A$1,$B14,V$1,$B$1)</f>
        <v>950.86760000000004</v>
      </c>
      <c r="W14" s="100">
        <f>_xll.EQNXTDZ($A$1,$B14,W$1,$B$1)</f>
        <v>1024.5234</v>
      </c>
      <c r="X14" s="100">
        <f>_xll.EQNXTDZ($A$1,$B14,X$1,$B$1)</f>
        <v>1288.1056000000001</v>
      </c>
      <c r="Y14" s="100">
        <f>_xll.EQNXTDZ($A$1,$B14,Y$1,$B$1)</f>
        <v>1597.7748999999999</v>
      </c>
      <c r="Z14" s="100">
        <f>_xll.EQNXTDZ($A$1,$B14,Z$1,$B$1)</f>
        <v>1909.5956000000001</v>
      </c>
      <c r="AA14" s="100">
        <f>_xll.EQNXTDZ($A$1,$B14,AA$1,$B$1)</f>
        <v>2046.4269999999999</v>
      </c>
      <c r="AB14" s="100">
        <f>_xll.EQNXTDZ($A$1,$B14,AB$1,$B$1)</f>
        <v>2184.1804999999999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9.8292999999999999</v>
      </c>
      <c r="D15" s="100">
        <f>_xll.EQNXTDZ($A$1,$B15,D$1,$B$1)</f>
        <v>9.9550000000000001</v>
      </c>
      <c r="E15" s="100">
        <f>_xll.EQNXTDZ($A$1,$B15,E$1,$B$1)</f>
        <v>13.3263</v>
      </c>
      <c r="F15" s="100">
        <f>_xll.EQNXTDZ($A$1,$B15,F$1,$B$1)</f>
        <v>12.3727</v>
      </c>
      <c r="G15" s="100">
        <f>_xll.EQNXTDZ($A$1,$B15,G$1,$B$1)</f>
        <v>13.264799999999999</v>
      </c>
      <c r="H15" s="100">
        <f>_xll.EQNXTDZ($A$1,$B15,H$1,$B$1)</f>
        <v>14.6759</v>
      </c>
      <c r="I15" s="100">
        <f>_xll.EQNXTDZ($A$1,$B15,I$1,$B$1)</f>
        <v>34.002699999999997</v>
      </c>
      <c r="J15" s="100">
        <f>_xll.EQNXTDZ($A$1,$B15,J$1,$B$1)</f>
        <v>37.067799999999998</v>
      </c>
      <c r="K15" s="100">
        <f>_xll.EQNXTDZ($A$1,$B15,K$1,$B$1)</f>
        <v>52.633800000000001</v>
      </c>
      <c r="L15" s="100">
        <f>_xll.EQNXTDZ($A$1,$B15,L$1,$B$1)</f>
        <v>42.610199999999999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108.7396</v>
      </c>
      <c r="P15" s="100">
        <f>_xll.EQNXTDZ($A$1,$B15,P$1,$B$1)</f>
        <v>119.1789</v>
      </c>
      <c r="Q15" s="100">
        <f>_xll.EQNXTDZ($A$1,$B15,Q$1,$B$1)</f>
        <v>123.8235</v>
      </c>
      <c r="R15" s="100">
        <f>_xll.EQNXTDZ($A$1,$B15,R$1,$B$1)</f>
        <v>153.66470000000001</v>
      </c>
      <c r="S15" s="100">
        <f>_xll.EQNXTDZ($A$1,$B15,S$1,$B$1)</f>
        <v>177.26300000000001</v>
      </c>
      <c r="T15" s="100">
        <f>_xll.EQNXTDZ($A$1,$B15,T$1,$B$1)</f>
        <v>193.8595</v>
      </c>
      <c r="U15" s="100">
        <f>_xll.EQNXTDZ($A$1,$B15,U$1,$B$1)</f>
        <v>235.26140000000001</v>
      </c>
      <c r="V15" s="100">
        <f>_xll.EQNXTDZ($A$1,$B15,V$1,$B$1)</f>
        <v>230.27180000000001</v>
      </c>
      <c r="W15" s="100">
        <f>_xll.EQNXTDZ($A$1,$B15,W$1,$B$1)</f>
        <v>195.44820000000001</v>
      </c>
      <c r="X15" s="100">
        <f>_xll.EQNXTDZ($A$1,$B15,X$1,$B$1)</f>
        <v>315.85149999999999</v>
      </c>
      <c r="Y15" s="100">
        <f>_xll.EQNXTDZ($A$1,$B15,Y$1,$B$1)</f>
        <v>462.80180000000001</v>
      </c>
      <c r="Z15" s="100">
        <f>_xll.EQNXTDZ($A$1,$B15,Z$1,$B$1)</f>
        <v>463.59289999999999</v>
      </c>
      <c r="AA15" s="100">
        <f>_xll.EQNXTDZ($A$1,$B15,AA$1,$B$1)</f>
        <v>521.68389999999999</v>
      </c>
      <c r="AB15" s="100">
        <f>_xll.EQNXTDZ($A$1,$B15,AB$1,$B$1)</f>
        <v>552.05579999999998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9.5288000000000004</v>
      </c>
      <c r="D17" s="100">
        <f>_xll.EQNXTDZ($A$1,$B17,D$1,$B$1)</f>
        <v>8.3062000000000005</v>
      </c>
      <c r="E17" s="100">
        <f>_xll.EQNXTDZ($A$1,$B17,E$1,$B$1)</f>
        <v>8.7408000000000001</v>
      </c>
      <c r="F17" s="100">
        <f>_xll.EQNXTDZ($A$1,$B17,F$1,$B$1)</f>
        <v>9.4275000000000002</v>
      </c>
      <c r="G17" s="100">
        <f>_xll.EQNXTDZ($A$1,$B17,G$1,$B$1)</f>
        <v>12.9869</v>
      </c>
      <c r="H17" s="100">
        <f>_xll.EQNXTDZ($A$1,$B17,H$1,$B$1)</f>
        <v>16.089099999999998</v>
      </c>
      <c r="I17" s="100">
        <f>_xll.EQNXTDZ($A$1,$B17,I$1,$B$1)</f>
        <v>21.600100000000001</v>
      </c>
      <c r="J17" s="100">
        <f>_xll.EQNXTDZ($A$1,$B17,J$1,$B$1)</f>
        <v>28.9023</v>
      </c>
      <c r="K17" s="100">
        <f>_xll.EQNXTDZ($A$1,$B17,K$1,$B$1)</f>
        <v>23.5839</v>
      </c>
      <c r="L17" s="100">
        <f>_xll.EQNXTDZ($A$1,$B17,L$1,$B$1)</f>
        <v>32.184399999999997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43.146700000000003</v>
      </c>
      <c r="P17" s="100">
        <f>_xll.EQNXTDZ($A$1,$B17,P$1,$B$1)</f>
        <v>49.162199999999999</v>
      </c>
      <c r="Q17" s="100">
        <f>_xll.EQNXTDZ($A$1,$B17,Q$1,$B$1)</f>
        <v>46.741999999999997</v>
      </c>
      <c r="R17" s="100">
        <f>_xll.EQNXTDZ($A$1,$B17,R$1,$B$1)</f>
        <v>48.317399999999999</v>
      </c>
      <c r="S17" s="100">
        <f>_xll.EQNXTDZ($A$1,$B17,S$1,$B$1)</f>
        <v>51.758499999999998</v>
      </c>
      <c r="T17" s="100">
        <f>_xll.EQNXTDZ($A$1,$B17,T$1,$B$1)</f>
        <v>54.918799999999997</v>
      </c>
      <c r="U17" s="100">
        <f>_xll.EQNXTDZ($A$1,$B17,U$1,$B$1)</f>
        <v>58.8977</v>
      </c>
      <c r="V17" s="100">
        <f>_xll.EQNXTDZ($A$1,$B17,V$1,$B$1)</f>
        <v>40.96</v>
      </c>
      <c r="W17" s="100">
        <f>_xll.EQNXTDZ($A$1,$B17,W$1,$B$1)</f>
        <v>30.293500000000002</v>
      </c>
      <c r="X17" s="100">
        <f>_xll.EQNXTDZ($A$1,$B17,X$1,$B$1)</f>
        <v>39.700699999999998</v>
      </c>
      <c r="Y17" s="100">
        <f>_xll.EQNXTDZ($A$1,$B17,Y$1,$B$1)</f>
        <v>55.9163</v>
      </c>
      <c r="Z17" s="100">
        <f>_xll.EQNXTDZ($A$1,$B17,Z$1,$B$1)</f>
        <v>62.681199999999997</v>
      </c>
      <c r="AA17" s="100">
        <f>_xll.EQNXTDZ($A$1,$B17,AA$1,$B$1)</f>
        <v>75.666799999999995</v>
      </c>
      <c r="AB17" s="100">
        <f>_xll.EQNXTDZ($A$1,$B17,AB$1,$B$1)</f>
        <v>75.770899999999997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0.71509999999999996</v>
      </c>
      <c r="D18" s="100">
        <f>_xll.EQNXTDZ($A$1,$B18,D$1,$B$1)</f>
        <v>0.73839999999999995</v>
      </c>
      <c r="E18" s="100">
        <f>_xll.EQNXTDZ($A$1,$B18,E$1,$B$1)</f>
        <v>1.0150999999999999</v>
      </c>
      <c r="F18" s="100">
        <f>_xll.EQNXTDZ($A$1,$B18,F$1,$B$1)</f>
        <v>0.87529999999999997</v>
      </c>
      <c r="G18" s="100">
        <f>_xll.EQNXTDZ($A$1,$B18,G$1,$B$1)</f>
        <v>1.1807000000000001</v>
      </c>
      <c r="H18" s="100">
        <f>_xll.EQNXTDZ($A$1,$B18,H$1,$B$1)</f>
        <v>2.9462999999999999</v>
      </c>
      <c r="I18" s="100">
        <f>_xll.EQNXTDZ($A$1,$B18,I$1,$B$1)</f>
        <v>4.7529000000000003</v>
      </c>
      <c r="J18" s="100">
        <f>_xll.EQNXTDZ($A$1,$B18,J$1,$B$1)</f>
        <v>5.0582000000000003</v>
      </c>
      <c r="K18" s="100">
        <f>_xll.EQNXTDZ($A$1,$B18,K$1,$B$1)</f>
        <v>4.5156000000000001</v>
      </c>
      <c r="L18" s="100">
        <f>_xll.EQNXTDZ($A$1,$B18,L$1,$B$1)</f>
        <v>3.2088000000000001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5.4710999999999999</v>
      </c>
      <c r="P18" s="100">
        <f>_xll.EQNXTDZ($A$1,$B18,P$1,$B$1)</f>
        <v>6.2594000000000003</v>
      </c>
      <c r="Q18" s="100">
        <f>_xll.EQNXTDZ($A$1,$B18,Q$1,$B$1)</f>
        <v>6.1040000000000001</v>
      </c>
      <c r="R18" s="100">
        <f>_xll.EQNXTDZ($A$1,$B18,R$1,$B$1)</f>
        <v>8.0893999999999995</v>
      </c>
      <c r="S18" s="100">
        <f>_xll.EQNXTDZ($A$1,$B18,S$1,$B$1)</f>
        <v>8.9594000000000005</v>
      </c>
      <c r="T18" s="100">
        <f>_xll.EQNXTDZ($A$1,$B18,T$1,$B$1)</f>
        <v>9.8757999999999999</v>
      </c>
      <c r="U18" s="100">
        <f>_xll.EQNXTDZ($A$1,$B18,U$1,$B$1)</f>
        <v>14.5975</v>
      </c>
      <c r="V18" s="100">
        <f>_xll.EQNXTDZ($A$1,$B18,V$1,$B$1)</f>
        <v>12.565099999999999</v>
      </c>
      <c r="W18" s="100">
        <f>_xll.EQNXTDZ($A$1,$B18,W$1,$B$1)</f>
        <v>13.089</v>
      </c>
      <c r="X18" s="100">
        <f>_xll.EQNXTDZ($A$1,$B18,X$1,$B$1)</f>
        <v>21.0169</v>
      </c>
      <c r="Y18" s="100">
        <f>_xll.EQNXTDZ($A$1,$B18,Y$1,$B$1)</f>
        <v>24.772200000000002</v>
      </c>
      <c r="Z18" s="100">
        <f>_xll.EQNXTDZ($A$1,$B18,Z$1,$B$1)</f>
        <v>23.687899999999999</v>
      </c>
      <c r="AA18" s="100">
        <f>_xll.EQNXTDZ($A$1,$B18,AA$1,$B$1)</f>
        <v>28.005500000000001</v>
      </c>
      <c r="AB18" s="100">
        <f>_xll.EQNXTDZ($A$1,$B18,AB$1,$B$1)</f>
        <v>26.921099999999999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2.6282000000000001</v>
      </c>
      <c r="D19" s="100">
        <f>_xll.EQNXTDZ($A$1,$B19,D$1,$B$1)</f>
        <v>1.1299999999999999</v>
      </c>
      <c r="E19" s="100">
        <f>_xll.EQNXTDZ($A$1,$B19,E$1,$B$1)</f>
        <v>2.0977999999999999</v>
      </c>
      <c r="F19" s="100">
        <f>_xll.EQNXTDZ($A$1,$B19,F$1,$B$1)</f>
        <v>4.5462999999999996</v>
      </c>
      <c r="G19" s="100">
        <f>_xll.EQNXTDZ($A$1,$B19,G$1,$B$1)</f>
        <v>1.7335</v>
      </c>
      <c r="H19" s="100">
        <f>_xll.EQNXTDZ($A$1,$B19,H$1,$B$1)</f>
        <v>1.0578000000000001</v>
      </c>
      <c r="I19" s="100">
        <f>_xll.EQNXTDZ($A$1,$B19,I$1,$B$1)</f>
        <v>4.4576000000000002</v>
      </c>
      <c r="J19" s="100">
        <f>_xll.EQNXTDZ($A$1,$B19,J$1,$B$1)</f>
        <v>6.3125</v>
      </c>
      <c r="K19" s="100">
        <f>_xll.EQNXTDZ($A$1,$B19,K$1,$B$1)</f>
        <v>7.3262999999999998</v>
      </c>
      <c r="L19" s="100">
        <f>_xll.EQNXTDZ($A$1,$B19,L$1,$B$1)</f>
        <v>10.68</v>
      </c>
      <c r="M19" s="100">
        <f>_xll.EQNXTDZ($A$1,$B19,M$1,$B$1)</f>
        <v>16.409800000000001</v>
      </c>
      <c r="N19" s="100">
        <f>_xll.EQNXTDZ($A$1,$B19,N$1,$B$1)</f>
        <v>17.2117</v>
      </c>
      <c r="O19" s="100">
        <f>_xll.EQNXTDZ($A$1,$B19,O$1,$B$1)</f>
        <v>2.4123999999999999</v>
      </c>
      <c r="P19" s="100">
        <f>_xll.EQNXTDZ($A$1,$B19,P$1,$B$1)</f>
        <v>33.816200000000002</v>
      </c>
      <c r="Q19" s="100">
        <f>_xll.EQNXTDZ($A$1,$B19,Q$1,$B$1)</f>
        <v>10.9193</v>
      </c>
      <c r="R19" s="100">
        <f>_xll.EQNXTDZ($A$1,$B19,R$1,$B$1)</f>
        <v>6.1349999999999998</v>
      </c>
      <c r="S19" s="100">
        <f>_xll.EQNXTDZ($A$1,$B19,S$1,$B$1)</f>
        <v>28.555299999999999</v>
      </c>
      <c r="T19" s="100">
        <f>_xll.EQNXTDZ($A$1,$B19,T$1,$B$1)</f>
        <v>6.1822999999999997</v>
      </c>
      <c r="U19" s="100">
        <f>_xll.EQNXTDZ($A$1,$B19,U$1,$B$1)</f>
        <v>7.7274000000000003</v>
      </c>
      <c r="V19" s="100">
        <f>_xll.EQNXTDZ($A$1,$B19,V$1,$B$1)</f>
        <v>15.7628</v>
      </c>
      <c r="W19" s="100">
        <f>_xll.EQNXTDZ($A$1,$B19,W$1,$B$1)</f>
        <v>18.539899999999999</v>
      </c>
      <c r="X19" s="100">
        <f>_xll.EQNXTDZ($A$1,$B19,X$1,$B$1)</f>
        <v>19.099499999999999</v>
      </c>
      <c r="Y19" s="100">
        <f>_xll.EQNXTDZ($A$1,$B19,Y$1,$B$1)</f>
        <v>12.9392</v>
      </c>
      <c r="Z19" s="100">
        <f>_xll.EQNXTDZ($A$1,$B19,Z$1,$B$1)</f>
        <v>13.953099999999999</v>
      </c>
      <c r="AA19" s="100">
        <f>_xll.EQNXTDZ($A$1,$B19,AA$1,$B$1)</f>
        <v>43.792900000000003</v>
      </c>
      <c r="AB19" s="100">
        <f>_xll.EQNXTDZ($A$1,$B19,AB$1,$B$1)</f>
        <v>48.046500000000002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115.2898</v>
      </c>
      <c r="D21" s="100">
        <f>_xll.EQNXTDZ($A$1,$B21,D$1,$B$1)</f>
        <v>107.15219999999999</v>
      </c>
      <c r="E21" s="100">
        <f>_xll.EQNXTDZ($A$1,$B21,E$1,$B$1)</f>
        <v>91.601299999999995</v>
      </c>
      <c r="F21" s="100">
        <f>_xll.EQNXTDZ($A$1,$B21,F$1,$B$1)</f>
        <v>130.36750000000001</v>
      </c>
      <c r="G21" s="100">
        <f>_xll.EQNXTDZ($A$1,$B21,G$1,$B$1)</f>
        <v>149.6455</v>
      </c>
      <c r="H21" s="100">
        <f>_xll.EQNXTDZ($A$1,$B21,H$1,$B$1)</f>
        <v>188.56469999999999</v>
      </c>
      <c r="I21" s="100">
        <f>_xll.EQNXTDZ($A$1,$B21,I$1,$B$1)</f>
        <v>238.40819999999999</v>
      </c>
      <c r="J21" s="100">
        <f>_xll.EQNXTDZ($A$1,$B21,J$1,$B$1)</f>
        <v>326.81169999999997</v>
      </c>
      <c r="K21" s="100">
        <f>_xll.EQNXTDZ($A$1,$B21,K$1,$B$1)</f>
        <v>337.50020000000001</v>
      </c>
      <c r="L21" s="100">
        <f>_xll.EQNXTDZ($A$1,$B21,L$1,$B$1)</f>
        <v>319.8098</v>
      </c>
      <c r="M21" s="100">
        <f>_xll.EQNXTDZ($A$1,$B21,M$1,$B$1)</f>
        <v>368.24880000000002</v>
      </c>
      <c r="N21" s="100">
        <f>_xll.EQNXTDZ($A$1,$B21,N$1,$B$1)</f>
        <v>475.99880000000002</v>
      </c>
      <c r="O21" s="100">
        <f>_xll.EQNXTDZ($A$1,$B21,O$1,$B$1)</f>
        <v>548.87419999999997</v>
      </c>
      <c r="P21" s="100">
        <f>_xll.EQNXTDZ($A$1,$B21,P$1,$B$1)</f>
        <v>661.87090000000001</v>
      </c>
      <c r="Q21" s="100">
        <f>_xll.EQNXTDZ($A$1,$B21,Q$1,$B$1)</f>
        <v>680.75009999999997</v>
      </c>
      <c r="R21" s="100">
        <f>_xll.EQNXTDZ($A$1,$B21,R$1,$B$1)</f>
        <v>827.48519999999996</v>
      </c>
      <c r="S21" s="100">
        <f>_xll.EQNXTDZ($A$1,$B21,S$1,$B$1)</f>
        <v>963.72239999999999</v>
      </c>
      <c r="T21" s="100">
        <f>_xll.EQNXTDZ($A$1,$B21,T$1,$B$1)</f>
        <v>1041.0685000000001</v>
      </c>
      <c r="U21" s="100">
        <f>_xll.EQNXTDZ($A$1,$B21,U$1,$B$1)</f>
        <v>1180.8605</v>
      </c>
      <c r="V21" s="100">
        <f>_xll.EQNXTDZ($A$1,$B21,V$1,$B$1)</f>
        <v>1271.9176</v>
      </c>
      <c r="W21" s="100">
        <f>_xll.EQNXTDZ($A$1,$B21,W$1,$B$1)</f>
        <v>1302.6389999999999</v>
      </c>
      <c r="X21" s="100">
        <f>_xll.EQNXTDZ($A$1,$B21,X$1,$B$1)</f>
        <v>1704.0604000000001</v>
      </c>
      <c r="Y21" s="100">
        <f>_xll.EQNXTDZ($A$1,$B21,Y$1,$B$1)</f>
        <v>2185.6698999999999</v>
      </c>
      <c r="Z21" s="100">
        <f>_xll.EQNXTDZ($A$1,$B21,Z$1,$B$1)</f>
        <v>2504.8892000000001</v>
      </c>
      <c r="AA21" s="100">
        <f>_xll.EQNXTDZ($A$1,$B21,AA$1,$B$1)</f>
        <v>2755.6590000000001</v>
      </c>
      <c r="AB21" s="100">
        <f>_xll.EQNXTDZ($A$1,$B21,AB$1,$B$1)</f>
        <v>2918.2291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21.450600000000001</v>
      </c>
      <c r="D22" s="100">
        <f>_xll.EQNXTDZ($A$1,$B22,D$1,$B$1)</f>
        <v>22.654199999999999</v>
      </c>
      <c r="E22" s="100">
        <f>_xll.EQNXTDZ($A$1,$B22,E$1,$B$1)</f>
        <v>18.002800000000001</v>
      </c>
      <c r="F22" s="100">
        <f>_xll.EQNXTDZ($A$1,$B22,F$1,$B$1)</f>
        <v>23.113</v>
      </c>
      <c r="G22" s="100">
        <f>_xll.EQNXTDZ($A$1,$B22,G$1,$B$1)</f>
        <v>36.128500000000003</v>
      </c>
      <c r="H22" s="100">
        <f>_xll.EQNXTDZ($A$1,$B22,H$1,$B$1)</f>
        <v>47.067100000000003</v>
      </c>
      <c r="I22" s="100">
        <f>_xll.EQNXTDZ($A$1,$B22,I$1,$B$1)</f>
        <v>69.5548</v>
      </c>
      <c r="J22" s="100">
        <f>_xll.EQNXTDZ($A$1,$B22,J$1,$B$1)</f>
        <v>75.201999999999998</v>
      </c>
      <c r="K22" s="100">
        <f>_xll.EQNXTDZ($A$1,$B22,K$1,$B$1)</f>
        <v>81.8613</v>
      </c>
      <c r="L22" s="100">
        <f>_xll.EQNXTDZ($A$1,$B22,L$1,$B$1)</f>
        <v>68.362700000000004</v>
      </c>
      <c r="M22" s="100">
        <f>_xll.EQNXTDZ($A$1,$B22,M$1,$B$1)</f>
        <v>47.662400000000098</v>
      </c>
      <c r="N22" s="100">
        <f>_xll.EQNXTDZ($A$1,$B22,N$1,$B$1)</f>
        <v>62.708599999999997</v>
      </c>
      <c r="O22" s="100">
        <f>_xll.EQNXTDZ($A$1,$B22,O$1,$B$1)</f>
        <v>72.797000000000097</v>
      </c>
      <c r="P22" s="100">
        <f>_xll.EQNXTDZ($A$1,$B22,P$1,$B$1)</f>
        <v>112.9148</v>
      </c>
      <c r="Q22" s="100">
        <f>_xll.EQNXTDZ($A$1,$B22,Q$1,$B$1)</f>
        <v>168.65100000000001</v>
      </c>
      <c r="R22" s="100">
        <f>_xll.EQNXTDZ($A$1,$B22,R$1,$B$1)</f>
        <v>247.7209</v>
      </c>
      <c r="S22" s="100">
        <f>_xll.EQNXTDZ($A$1,$B22,S$1,$B$1)</f>
        <v>273.5899</v>
      </c>
      <c r="T22" s="100">
        <f>_xll.EQNXTDZ($A$1,$B22,T$1,$B$1)</f>
        <v>345.22699999999998</v>
      </c>
      <c r="U22" s="100">
        <f>_xll.EQNXTDZ($A$1,$B22,U$1,$B$1)</f>
        <v>416.0711</v>
      </c>
      <c r="V22" s="100">
        <f>_xll.EQNXTDZ($A$1,$B22,V$1,$B$1)</f>
        <v>337.94279999999998</v>
      </c>
      <c r="W22" s="100">
        <f>_xll.EQNXTDZ($A$1,$B22,W$1,$B$1)</f>
        <v>523.52070000000003</v>
      </c>
      <c r="X22" s="100">
        <f>_xll.EQNXTDZ($A$1,$B22,X$1,$B$1)</f>
        <v>766.73879999999997</v>
      </c>
      <c r="Y22" s="100">
        <f>_xll.EQNXTDZ($A$1,$B22,Y$1,$B$1)</f>
        <v>959.05259999999998</v>
      </c>
      <c r="Z22" s="100">
        <f>_xll.EQNXTDZ($A$1,$B22,Z$1,$B$1)</f>
        <v>1047.2565</v>
      </c>
      <c r="AA22" s="100">
        <f>_xll.EQNXTDZ($A$1,$B22,AA$1,$B$1)</f>
        <v>973.38930000000005</v>
      </c>
      <c r="AB22" s="100">
        <f>_xll.EQNXTDZ($A$1,$B22,AB$1,$B$1)</f>
        <v>839.19460000000004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1.1606000000000001</v>
      </c>
      <c r="D23" s="100">
        <f>_xll.EQNXTDZ($A$1,$B23,D$1,$B$1)</f>
        <v>2.1545000000000001</v>
      </c>
      <c r="E23" s="100">
        <f>_xll.EQNXTDZ($A$1,$B23,E$1,$B$1)</f>
        <v>1.6827000000000001</v>
      </c>
      <c r="F23" s="100">
        <f>_xll.EQNXTDZ($A$1,$B23,F$1,$B$1)</f>
        <v>1.5256000000000001</v>
      </c>
      <c r="G23" s="100">
        <f>_xll.EQNXTDZ($A$1,$B23,G$1,$B$1)</f>
        <v>1.0804</v>
      </c>
      <c r="H23" s="100">
        <f>_xll.EQNXTDZ($A$1,$B23,H$1,$B$1)</f>
        <v>0.68120000000000003</v>
      </c>
      <c r="I23" s="100">
        <f>_xll.EQNXTDZ($A$1,$B23,I$1,$B$1)</f>
        <v>0.4239</v>
      </c>
      <c r="J23" s="100">
        <f>_xll.EQNXTDZ($A$1,$B23,J$1,$B$1)</f>
        <v>2.2730999999999999</v>
      </c>
      <c r="K23" s="100">
        <f>_xll.EQNXTDZ($A$1,$B23,K$1,$B$1)</f>
        <v>0.15459999999999999</v>
      </c>
      <c r="L23" s="100">
        <f>_xll.EQNXTDZ($A$1,$B23,L$1,$B$1)</f>
        <v>0.94940000000000002</v>
      </c>
      <c r="M23" s="100">
        <f>_xll.EQNXTDZ($A$1,$B23,M$1,$B$1)</f>
        <v>3.8633999999999999</v>
      </c>
      <c r="N23" s="100">
        <f>_xll.EQNXTDZ($A$1,$B23,N$1,$B$1)</f>
        <v>16.205200000000001</v>
      </c>
      <c r="O23" s="100">
        <f>_xll.EQNXTDZ($A$1,$B23,O$1,$B$1)</f>
        <v>4.8444000000000003</v>
      </c>
      <c r="P23" s="100">
        <f>_xll.EQNXTDZ($A$1,$B23,P$1,$B$1)</f>
        <v>36.889499999999998</v>
      </c>
      <c r="Q23" s="100">
        <f>_xll.EQNXTDZ($A$1,$B23,Q$1,$B$1)</f>
        <v>12.678699999999999</v>
      </c>
      <c r="R23" s="100">
        <f>_xll.EQNXTDZ($A$1,$B23,R$1,$B$1)</f>
        <v>11.8591</v>
      </c>
      <c r="S23" s="100">
        <f>_xll.EQNXTDZ($A$1,$B23,S$1,$B$1)</f>
        <v>18.3475</v>
      </c>
      <c r="T23" s="100">
        <f>_xll.EQNXTDZ($A$1,$B23,T$1,$B$1)</f>
        <v>44.833100000000002</v>
      </c>
      <c r="U23" s="100">
        <f>_xll.EQNXTDZ($A$1,$B23,U$1,$B$1)</f>
        <v>43.461599999999997</v>
      </c>
      <c r="V23" s="100">
        <f>_xll.EQNXTDZ($A$1,$B23,V$1,$B$1)</f>
        <v>64.724900000000005</v>
      </c>
      <c r="W23" s="100">
        <f>_xll.EQNXTDZ($A$1,$B23,W$1,$B$1)</f>
        <v>39.779499999999999</v>
      </c>
      <c r="X23" s="100">
        <f>_xll.EQNXTDZ($A$1,$B23,X$1,$B$1)</f>
        <v>44.558100000000003</v>
      </c>
      <c r="Y23" s="100">
        <f>_xll.EQNXTDZ($A$1,$B23,Y$1,$B$1)</f>
        <v>77.124300000000005</v>
      </c>
      <c r="Z23" s="100">
        <f>_xll.EQNXTDZ($A$1,$B23,Z$1,$B$1)</f>
        <v>121.9842</v>
      </c>
      <c r="AA23" s="100">
        <f>_xll.EQNXTDZ($A$1,$B23,AA$1,$B$1)</f>
        <v>180.08750000000001</v>
      </c>
      <c r="AB23" s="100">
        <f>_xll.EQNXTDZ($A$1,$B23,AB$1,$B$1)</f>
        <v>193.2653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22.6112</v>
      </c>
      <c r="D24" s="100">
        <f>_xll.EQNXTDZ($A$1,$B24,D$1,$B$1)</f>
        <v>24.808700000000002</v>
      </c>
      <c r="E24" s="100">
        <f>_xll.EQNXTDZ($A$1,$B24,E$1,$B$1)</f>
        <v>19.685500000000001</v>
      </c>
      <c r="F24" s="100">
        <f>_xll.EQNXTDZ($A$1,$B24,F$1,$B$1)</f>
        <v>24.6386</v>
      </c>
      <c r="G24" s="100">
        <f>_xll.EQNXTDZ($A$1,$B24,G$1,$B$1)</f>
        <v>37.2089</v>
      </c>
      <c r="H24" s="100">
        <f>_xll.EQNXTDZ($A$1,$B24,H$1,$B$1)</f>
        <v>47.7483</v>
      </c>
      <c r="I24" s="100">
        <f>_xll.EQNXTDZ($A$1,$B24,I$1,$B$1)</f>
        <v>69.978700000000003</v>
      </c>
      <c r="J24" s="100">
        <f>_xll.EQNXTDZ($A$1,$B24,J$1,$B$1)</f>
        <v>77.475099999999998</v>
      </c>
      <c r="K24" s="100">
        <f>_xll.EQNXTDZ($A$1,$B24,K$1,$B$1)</f>
        <v>82.015900000000002</v>
      </c>
      <c r="L24" s="100">
        <f>_xll.EQNXTDZ($A$1,$B24,L$1,$B$1)</f>
        <v>69.312100000000001</v>
      </c>
      <c r="M24" s="100">
        <f>_xll.EQNXTDZ($A$1,$B24,M$1,$B$1)</f>
        <v>51.525799999999997</v>
      </c>
      <c r="N24" s="100">
        <f>_xll.EQNXTDZ($A$1,$B24,N$1,$B$1)</f>
        <v>78.913799999999995</v>
      </c>
      <c r="O24" s="100">
        <f>_xll.EQNXTDZ($A$1,$B24,O$1,$B$1)</f>
        <v>77.641400000000004</v>
      </c>
      <c r="P24" s="100">
        <f>_xll.EQNXTDZ($A$1,$B24,P$1,$B$1)</f>
        <v>149.80430000000001</v>
      </c>
      <c r="Q24" s="100">
        <f>_xll.EQNXTDZ($A$1,$B24,Q$1,$B$1)</f>
        <v>181.3297</v>
      </c>
      <c r="R24" s="100">
        <f>_xll.EQNXTDZ($A$1,$B24,R$1,$B$1)</f>
        <v>259.58</v>
      </c>
      <c r="S24" s="100">
        <f>_xll.EQNXTDZ($A$1,$B24,S$1,$B$1)</f>
        <v>291.93740000000003</v>
      </c>
      <c r="T24" s="100">
        <f>_xll.EQNXTDZ($A$1,$B24,T$1,$B$1)</f>
        <v>390.06009999999998</v>
      </c>
      <c r="U24" s="100">
        <f>_xll.EQNXTDZ($A$1,$B24,U$1,$B$1)</f>
        <v>459.53269999999998</v>
      </c>
      <c r="V24" s="100">
        <f>_xll.EQNXTDZ($A$1,$B24,V$1,$B$1)</f>
        <v>402.66770000000002</v>
      </c>
      <c r="W24" s="100">
        <f>_xll.EQNXTDZ($A$1,$B24,W$1,$B$1)</f>
        <v>563.30020000000002</v>
      </c>
      <c r="X24" s="100">
        <f>_xll.EQNXTDZ($A$1,$B24,X$1,$B$1)</f>
        <v>811.29690000000005</v>
      </c>
      <c r="Y24" s="100">
        <f>_xll.EQNXTDZ($A$1,$B24,Y$1,$B$1)</f>
        <v>1036.1768999999999</v>
      </c>
      <c r="Z24" s="100">
        <f>_xll.EQNXTDZ($A$1,$B24,Z$1,$B$1)</f>
        <v>1169.2407000000001</v>
      </c>
      <c r="AA24" s="100">
        <f>_xll.EQNXTDZ($A$1,$B24,AA$1,$B$1)</f>
        <v>1153.4767999999999</v>
      </c>
      <c r="AB24" s="100">
        <f>_xll.EQNXTDZ($A$1,$B24,AB$1,$B$1)</f>
        <v>1032.4599000000001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3.0680000000000001</v>
      </c>
      <c r="D25" s="100">
        <f>_xll.EQNXTDZ($A$1,$B25,D$1,$B$1)</f>
        <v>1.5358000000000001</v>
      </c>
      <c r="E25" s="100">
        <f>_xll.EQNXTDZ($A$1,$B25,E$1,$B$1)</f>
        <v>1.212</v>
      </c>
      <c r="F25" s="100">
        <f>_xll.EQNXTDZ($A$1,$B25,F$1,$B$1)</f>
        <v>0.44209999999999999</v>
      </c>
      <c r="G25" s="100">
        <f>_xll.EQNXTDZ($A$1,$B25,G$1,$B$1)</f>
        <v>0.45929999999999999</v>
      </c>
      <c r="H25" s="100">
        <f>_xll.EQNXTDZ($A$1,$B25,H$1,$B$1)</f>
        <v>0.61260000000000003</v>
      </c>
      <c r="I25" s="100">
        <f>_xll.EQNXTDZ($A$1,$B25,I$1,$B$1)</f>
        <v>0.75570000000000004</v>
      </c>
      <c r="J25" s="100">
        <f>_xll.EQNXTDZ($A$1,$B25,J$1,$B$1)</f>
        <v>2.4952000000000001</v>
      </c>
      <c r="K25" s="100">
        <f>_xll.EQNXTDZ($A$1,$B25,K$1,$B$1)</f>
        <v>4.13</v>
      </c>
      <c r="L25" s="100">
        <f>_xll.EQNXTDZ($A$1,$B25,L$1,$B$1)</f>
        <v>2.1143000000000001</v>
      </c>
      <c r="M25" s="100">
        <f>_xll.EQNXTDZ($A$1,$B25,M$1,$B$1)</f>
        <v>2.3489</v>
      </c>
      <c r="N25" s="100">
        <f>_xll.EQNXTDZ($A$1,$B25,N$1,$B$1)</f>
        <v>3.0337999999999998</v>
      </c>
      <c r="O25" s="100">
        <f>_xll.EQNXTDZ($A$1,$B25,O$1,$B$1)</f>
        <v>4.6525999999999996</v>
      </c>
      <c r="P25" s="100">
        <f>_xll.EQNXTDZ($A$1,$B25,P$1,$B$1)</f>
        <v>2.6316999999999999</v>
      </c>
      <c r="Q25" s="100">
        <f>_xll.EQNXTDZ($A$1,$B25,Q$1,$B$1)</f>
        <v>0.66979999999999995</v>
      </c>
      <c r="R25" s="100">
        <f>_xll.EQNXTDZ($A$1,$B25,R$1,$B$1)</f>
        <v>0.63270000000000004</v>
      </c>
      <c r="S25" s="100">
        <f>_xll.EQNXTDZ($A$1,$B25,S$1,$B$1)</f>
        <v>0.75890000000000002</v>
      </c>
      <c r="T25" s="100">
        <f>_xll.EQNXTDZ($A$1,$B25,T$1,$B$1)</f>
        <v>0.79900000000000004</v>
      </c>
      <c r="U25" s="100">
        <f>_xll.EQNXTDZ($A$1,$B25,U$1,$B$1)</f>
        <v>1.0375000000000001</v>
      </c>
      <c r="V25" s="100">
        <f>_xll.EQNXTDZ($A$1,$B25,V$1,$B$1)</f>
        <v>6.8139000000000003</v>
      </c>
      <c r="W25" s="100">
        <f>_xll.EQNXTDZ($A$1,$B25,W$1,$B$1)</f>
        <v>7.0526</v>
      </c>
      <c r="X25" s="100">
        <f>_xll.EQNXTDZ($A$1,$B25,X$1,$B$1)</f>
        <v>10.4724</v>
      </c>
      <c r="Y25" s="100">
        <f>_xll.EQNXTDZ($A$1,$B25,Y$1,$B$1)</f>
        <v>17.286799999999999</v>
      </c>
      <c r="Z25" s="100">
        <f>_xll.EQNXTDZ($A$1,$B25,Z$1,$B$1)</f>
        <v>21.115300000000001</v>
      </c>
      <c r="AA25" s="100">
        <f>_xll.EQNXTDZ($A$1,$B25,AA$1,$B$1)</f>
        <v>20.202000000000002</v>
      </c>
      <c r="AB25" s="100">
        <f>_xll.EQNXTDZ($A$1,$B25,AB$1,$B$1)</f>
        <v>17.862300000000001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19.543199999999999</v>
      </c>
      <c r="D26" s="100">
        <f>_xll.EQNXTDZ($A$1,$B26,D$1,$B$1)</f>
        <v>23.2729</v>
      </c>
      <c r="E26" s="100">
        <f>_xll.EQNXTDZ($A$1,$B26,E$1,$B$1)</f>
        <v>18.473500000000001</v>
      </c>
      <c r="F26" s="100">
        <f>_xll.EQNXTDZ($A$1,$B26,F$1,$B$1)</f>
        <v>24.1965</v>
      </c>
      <c r="G26" s="100">
        <f>_xll.EQNXTDZ($A$1,$B26,G$1,$B$1)</f>
        <v>36.749600000000001</v>
      </c>
      <c r="H26" s="100">
        <f>_xll.EQNXTDZ($A$1,$B26,H$1,$B$1)</f>
        <v>47.1357</v>
      </c>
      <c r="I26" s="100">
        <f>_xll.EQNXTDZ($A$1,$B26,I$1,$B$1)</f>
        <v>69.222999999999999</v>
      </c>
      <c r="J26" s="100">
        <f>_xll.EQNXTDZ($A$1,$B26,J$1,$B$1)</f>
        <v>74.979900000000001</v>
      </c>
      <c r="K26" s="100">
        <f>_xll.EQNXTDZ($A$1,$B26,K$1,$B$1)</f>
        <v>77.885900000000007</v>
      </c>
      <c r="L26" s="100">
        <f>_xll.EQNXTDZ($A$1,$B26,L$1,$B$1)</f>
        <v>67.197800000000001</v>
      </c>
      <c r="M26" s="100">
        <f>_xll.EQNXTDZ($A$1,$B26,M$1,$B$1)</f>
        <v>49.176900000000003</v>
      </c>
      <c r="N26" s="100">
        <f>_xll.EQNXTDZ($A$1,$B26,N$1,$B$1)</f>
        <v>75.88</v>
      </c>
      <c r="O26" s="100">
        <f>_xll.EQNXTDZ($A$1,$B26,O$1,$B$1)</f>
        <v>72.988799999999998</v>
      </c>
      <c r="P26" s="100">
        <f>_xll.EQNXTDZ($A$1,$B26,P$1,$B$1)</f>
        <v>147.17259999999999</v>
      </c>
      <c r="Q26" s="100">
        <f>_xll.EQNXTDZ($A$1,$B26,Q$1,$B$1)</f>
        <v>180.65989999999999</v>
      </c>
      <c r="R26" s="100">
        <f>_xll.EQNXTDZ($A$1,$B26,R$1,$B$1)</f>
        <v>258.94729999999998</v>
      </c>
      <c r="S26" s="100">
        <f>_xll.EQNXTDZ($A$1,$B26,S$1,$B$1)</f>
        <v>291.17849999999999</v>
      </c>
      <c r="T26" s="100">
        <f>_xll.EQNXTDZ($A$1,$B26,T$1,$B$1)</f>
        <v>389.2611</v>
      </c>
      <c r="U26" s="100">
        <f>_xll.EQNXTDZ($A$1,$B26,U$1,$B$1)</f>
        <v>458.49520000000001</v>
      </c>
      <c r="V26" s="100">
        <f>_xll.EQNXTDZ($A$1,$B26,V$1,$B$1)</f>
        <v>395.85379999999998</v>
      </c>
      <c r="W26" s="100">
        <f>_xll.EQNXTDZ($A$1,$B26,W$1,$B$1)</f>
        <v>556.24760000000003</v>
      </c>
      <c r="X26" s="100">
        <f>_xll.EQNXTDZ($A$1,$B26,X$1,$B$1)</f>
        <v>800.82449999999994</v>
      </c>
      <c r="Y26" s="100">
        <f>_xll.EQNXTDZ($A$1,$B26,Y$1,$B$1)</f>
        <v>1018.8901</v>
      </c>
      <c r="Z26" s="100">
        <f>_xll.EQNXTDZ($A$1,$B26,Z$1,$B$1)</f>
        <v>1148.1253999999999</v>
      </c>
      <c r="AA26" s="100">
        <f>_xll.EQNXTDZ($A$1,$B26,AA$1,$B$1)</f>
        <v>1133.2747999999999</v>
      </c>
      <c r="AB26" s="100">
        <f>_xll.EQNXTDZ($A$1,$B26,AB$1,$B$1)</f>
        <v>1014.5976000000001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4.5792000000000002</v>
      </c>
      <c r="D27" s="100">
        <f>_xll.EQNXTDZ($A$1,$B27,D$1,$B$1)</f>
        <v>3.0535000000000001</v>
      </c>
      <c r="E27" s="100">
        <f>_xll.EQNXTDZ($A$1,$B27,E$1,$B$1)</f>
        <v>3.4146000000000001</v>
      </c>
      <c r="F27" s="100">
        <f>_xll.EQNXTDZ($A$1,$B27,F$1,$B$1)</f>
        <v>4.0393999999999997</v>
      </c>
      <c r="G27" s="100">
        <f>_xll.EQNXTDZ($A$1,$B27,G$1,$B$1)</f>
        <v>5.0180999999999996</v>
      </c>
      <c r="H27" s="100">
        <f>_xll.EQNXTDZ($A$1,$B27,H$1,$B$1)</f>
        <v>6.7335000000000003</v>
      </c>
      <c r="I27" s="100">
        <f>_xll.EQNXTDZ($A$1,$B27,I$1,$B$1)</f>
        <v>8.6968999999999994</v>
      </c>
      <c r="J27" s="100">
        <f>_xll.EQNXTDZ($A$1,$B27,J$1,$B$1)</f>
        <v>13.4413</v>
      </c>
      <c r="K27" s="100">
        <f>_xll.EQNXTDZ($A$1,$B27,K$1,$B$1)</f>
        <v>15.9518</v>
      </c>
      <c r="L27" s="100">
        <f>_xll.EQNXTDZ($A$1,$B27,L$1,$B$1)</f>
        <v>16.582599999999999</v>
      </c>
      <c r="M27" s="100">
        <f>_xll.EQNXTDZ($A$1,$B27,M$1,$B$1)</f>
        <v>17.204699999999999</v>
      </c>
      <c r="N27" s="100">
        <f>_xll.EQNXTDZ($A$1,$B27,N$1,$B$1)</f>
        <v>20.519200000000001</v>
      </c>
      <c r="O27" s="100">
        <f>_xll.EQNXTDZ($A$1,$B27,O$1,$B$1)</f>
        <v>23.725300000000001</v>
      </c>
      <c r="P27" s="100">
        <f>_xll.EQNXTDZ($A$1,$B27,P$1,$B$1)</f>
        <v>34.986600000000003</v>
      </c>
      <c r="Q27" s="100">
        <f>_xll.EQNXTDZ($A$1,$B27,Q$1,$B$1)</f>
        <v>25.537700000000001</v>
      </c>
      <c r="R27" s="100">
        <f>_xll.EQNXTDZ($A$1,$B27,R$1,$B$1)</f>
        <v>22.604199999999999</v>
      </c>
      <c r="S27" s="100">
        <f>_xll.EQNXTDZ($A$1,$B27,S$1,$B$1)</f>
        <v>26.921299999999999</v>
      </c>
      <c r="T27" s="100">
        <f>_xll.EQNXTDZ($A$1,$B27,T$1,$B$1)</f>
        <v>25.354500000000002</v>
      </c>
      <c r="U27" s="100">
        <f>_xll.EQNXTDZ($A$1,$B27,U$1,$B$1)</f>
        <v>25.096499999999999</v>
      </c>
      <c r="V27" s="100">
        <f>_xll.EQNXTDZ($A$1,$B27,V$1,$B$1)</f>
        <v>43.413400000000003</v>
      </c>
      <c r="W27" s="100">
        <f>_xll.EQNXTDZ($A$1,$B27,W$1,$B$1)</f>
        <v>44.380899999999997</v>
      </c>
      <c r="X27" s="100">
        <f>_xll.EQNXTDZ($A$1,$B27,X$1,$B$1)</f>
        <v>55.335500000000003</v>
      </c>
      <c r="Y27" s="100">
        <f>_xll.EQNXTDZ($A$1,$B27,Y$1,$B$1)</f>
        <v>81.389799999999994</v>
      </c>
      <c r="Z27" s="100">
        <f>_xll.EQNXTDZ($A$1,$B27,Z$1,$B$1)</f>
        <v>99.449399999999997</v>
      </c>
      <c r="AA27" s="100">
        <f>_xll.EQNXTDZ($A$1,$B27,AA$1,$B$1)</f>
        <v>104.8708</v>
      </c>
      <c r="AB27" s="100">
        <f>_xll.EQNXTDZ($A$1,$B27,AB$1,$B$1)</f>
        <v>93.799700000000001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-15.8957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-95.688800000000001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1.1000000000000001</v>
      </c>
      <c r="D30" s="100">
        <f>_xll.EQNXTDZ($A$1,$B30,D$1,$B$1)</f>
        <v>3.47</v>
      </c>
      <c r="E30" s="100">
        <f>_xll.EQNXTDZ($A$1,$B30,E$1,$B$1)</f>
        <v>3.3725000000000001</v>
      </c>
      <c r="F30" s="100">
        <f>_xll.EQNXTDZ($A$1,$B30,F$1,$B$1)</f>
        <v>2.6113</v>
      </c>
      <c r="G30" s="100">
        <f>_xll.EQNXTDZ($A$1,$B30,G$1,$B$1)</f>
        <v>5.4401000000000002</v>
      </c>
      <c r="H30" s="100">
        <f>_xll.EQNXTDZ($A$1,$B30,H$1,$B$1)</f>
        <v>6.0738000000000003</v>
      </c>
      <c r="I30" s="100">
        <f>_xll.EQNXTDZ($A$1,$B30,I$1,$B$1)</f>
        <v>8.4092000000000002</v>
      </c>
      <c r="J30" s="100">
        <f>_xll.EQNXTDZ($A$1,$B30,J$1,$B$1)</f>
        <v>8.6928999999999998</v>
      </c>
      <c r="K30" s="100">
        <f>_xll.EQNXTDZ($A$1,$B30,K$1,$B$1)</f>
        <v>3.7749000000000001</v>
      </c>
      <c r="L30" s="100">
        <f>_xll.EQNXTDZ($A$1,$B30,L$1,$B$1)</f>
        <v>1.7981</v>
      </c>
      <c r="M30" s="100">
        <f>_xll.EQNXTDZ($A$1,$B30,M$1,$B$1)</f>
        <v>-0.54449999999999998</v>
      </c>
      <c r="N30" s="100">
        <f>_xll.EQNXTDZ($A$1,$B30,N$1,$B$1)</f>
        <v>16.655799999999999</v>
      </c>
      <c r="O30" s="100">
        <f>_xll.EQNXTDZ($A$1,$B30,O$1,$B$1)</f>
        <v>10.9941</v>
      </c>
      <c r="P30" s="100">
        <f>_xll.EQNXTDZ($A$1,$B30,P$1,$B$1)</f>
        <v>39.924100000000003</v>
      </c>
      <c r="Q30" s="100">
        <f>_xll.EQNXTDZ($A$1,$B30,Q$1,$B$1)</f>
        <v>53.101300000000002</v>
      </c>
      <c r="R30" s="100">
        <f>_xll.EQNXTDZ($A$1,$B30,R$1,$B$1)</f>
        <v>81.533000000000001</v>
      </c>
      <c r="S30" s="100">
        <f>_xll.EQNXTDZ($A$1,$B30,S$1,$B$1)</f>
        <v>89.4726</v>
      </c>
      <c r="T30" s="100">
        <f>_xll.EQNXTDZ($A$1,$B30,T$1,$B$1)</f>
        <v>123.8687</v>
      </c>
      <c r="U30" s="100">
        <f>_xll.EQNXTDZ($A$1,$B30,U$1,$B$1)</f>
        <v>143.4298</v>
      </c>
      <c r="V30" s="100">
        <f>_xll.EQNXTDZ($A$1,$B30,V$1,$B$1)</f>
        <v>96.340299999999999</v>
      </c>
      <c r="W30" s="100">
        <f>_xll.EQNXTDZ($A$1,$B30,W$1,$B$1)</f>
        <v>143.7448</v>
      </c>
      <c r="X30" s="100">
        <f>_xll.EQNXTDZ($A$1,$B30,X$1,$B$1)</f>
        <v>195.8175</v>
      </c>
      <c r="Y30" s="100">
        <f>_xll.EQNXTDZ($A$1,$B30,Y$1,$B$1)</f>
        <v>182.30709999999999</v>
      </c>
      <c r="Z30" s="100">
        <f>_xll.EQNXTDZ($A$1,$B30,Z$1,$B$1)</f>
        <v>256.43810000000002</v>
      </c>
      <c r="AA30" s="100">
        <f>_xll.EQNXTDZ($A$1,$B30,AA$1,$B$1)</f>
        <v>243.46719999999999</v>
      </c>
      <c r="AB30" s="100">
        <f>_xll.EQNXTDZ($A$1,$B30,AB$1,$B$1)</f>
        <v>196.6788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-4.1174999999999997</v>
      </c>
      <c r="O33" s="100">
        <f>_xll.EQNXTDZ($A$1,$B33,O$1,$B$1)</f>
        <v>-1.0654999999999999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13.864000000000001</v>
      </c>
      <c r="D35" s="100">
        <f>_xll.EQNXTDZ($A$1,$B35,D$1,$B$1)</f>
        <v>16.749400000000001</v>
      </c>
      <c r="E35" s="100">
        <f>_xll.EQNXTDZ($A$1,$B35,E$1,$B$1)</f>
        <v>11.686400000000001</v>
      </c>
      <c r="F35" s="100">
        <f>_xll.EQNXTDZ($A$1,$B35,F$1,$B$1)</f>
        <v>17.5458</v>
      </c>
      <c r="G35" s="100">
        <f>_xll.EQNXTDZ($A$1,$B35,G$1,$B$1)</f>
        <v>26.291399999999999</v>
      </c>
      <c r="H35" s="100">
        <f>_xll.EQNXTDZ($A$1,$B35,H$1,$B$1)</f>
        <v>34.328400000000002</v>
      </c>
      <c r="I35" s="100">
        <f>_xll.EQNXTDZ($A$1,$B35,I$1,$B$1)</f>
        <v>52.116900000000001</v>
      </c>
      <c r="J35" s="100">
        <f>_xll.EQNXTDZ($A$1,$B35,J$1,$B$1)</f>
        <v>52.845700000000001</v>
      </c>
      <c r="K35" s="100">
        <f>_xll.EQNXTDZ($A$1,$B35,K$1,$B$1)</f>
        <v>58.159199999999998</v>
      </c>
      <c r="L35" s="100">
        <f>_xll.EQNXTDZ($A$1,$B35,L$1,$B$1)</f>
        <v>48.817100000000003</v>
      </c>
      <c r="M35" s="100">
        <f>_xll.EQNXTDZ($A$1,$B35,M$1,$B$1)</f>
        <v>32.5167</v>
      </c>
      <c r="N35" s="100">
        <f>_xll.EQNXTDZ($A$1,$B35,N$1,$B$1)</f>
        <v>34.587499999999999</v>
      </c>
      <c r="O35" s="100">
        <f>_xll.EQNXTDZ($A$1,$B35,O$1,$B$1)</f>
        <v>21.308199999999999</v>
      </c>
      <c r="P35" s="100">
        <f>_xll.EQNXTDZ($A$1,$B35,P$1,$B$1)</f>
        <v>72.261899999999997</v>
      </c>
      <c r="Q35" s="100">
        <f>_xll.EQNXTDZ($A$1,$B35,Q$1,$B$1)</f>
        <v>102.0209</v>
      </c>
      <c r="R35" s="100">
        <f>_xll.EQNXTDZ($A$1,$B35,R$1,$B$1)</f>
        <v>154.81010000000001</v>
      </c>
      <c r="S35" s="100">
        <f>_xll.EQNXTDZ($A$1,$B35,S$1,$B$1)</f>
        <v>174.78460000000001</v>
      </c>
      <c r="T35" s="100">
        <f>_xll.EQNXTDZ($A$1,$B35,T$1,$B$1)</f>
        <v>240.03790000000001</v>
      </c>
      <c r="U35" s="100">
        <f>_xll.EQNXTDZ($A$1,$B35,U$1,$B$1)</f>
        <v>289.96890000000002</v>
      </c>
      <c r="V35" s="100">
        <f>_xll.EQNXTDZ($A$1,$B35,V$1,$B$1)</f>
        <v>256.1001</v>
      </c>
      <c r="W35" s="100">
        <f>_xll.EQNXTDZ($A$1,$B35,W$1,$B$1)</f>
        <v>368.12189999999998</v>
      </c>
      <c r="X35" s="100">
        <f>_xll.EQNXTDZ($A$1,$B35,X$1,$B$1)</f>
        <v>549.67150000000004</v>
      </c>
      <c r="Y35" s="100">
        <f>_xll.EQNXTDZ($A$1,$B35,Y$1,$B$1)</f>
        <v>755.19320000000005</v>
      </c>
      <c r="Z35" s="100">
        <f>_xll.EQNXTDZ($A$1,$B35,Z$1,$B$1)</f>
        <v>792.23789999999997</v>
      </c>
      <c r="AA35" s="100">
        <f>_xll.EQNXTDZ($A$1,$B35,AA$1,$B$1)</f>
        <v>784.93679999999995</v>
      </c>
      <c r="AB35" s="100">
        <f>_xll.EQNXTDZ($A$1,$B35,AB$1,$B$1)</f>
        <v>628.43029999999999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31.138200000000001</v>
      </c>
      <c r="D41" s="55">
        <f>_xll.EQNXTDZ($A$1,$B41,D$1,$B$1)</f>
        <v>31.138200000000001</v>
      </c>
      <c r="E41" s="55">
        <f>_xll.EQNXTDZ($A$1,$B41,E$1,$B$1)</f>
        <v>31.138200000000001</v>
      </c>
      <c r="F41" s="55">
        <f>_xll.EQNXTDZ($A$1,$B41,F$1,$B$1)</f>
        <v>31.138200000000001</v>
      </c>
      <c r="G41" s="55">
        <f>_xll.EQNXTDZ($A$1,$B41,G$1,$B$1)</f>
        <v>31.138200000000001</v>
      </c>
      <c r="H41" s="55">
        <f>_xll.EQNXTDZ($A$1,$B41,H$1,$B$1)</f>
        <v>31.138200000000001</v>
      </c>
      <c r="I41" s="55">
        <f>_xll.EQNXTDZ($A$1,$B41,I$1,$B$1)</f>
        <v>31.138200000000001</v>
      </c>
      <c r="J41" s="55">
        <f>_xll.EQNXTDZ($A$1,$B41,J$1,$B$1)</f>
        <v>31.138200000000001</v>
      </c>
      <c r="K41" s="55">
        <f>_xll.EQNXTDZ($A$1,$B41,K$1,$B$1)</f>
        <v>31.138200000000001</v>
      </c>
      <c r="L41" s="55">
        <f>_xll.EQNXTDZ($A$1,$B41,L$1,$B$1)</f>
        <v>31.138200000000001</v>
      </c>
      <c r="M41" s="55">
        <f>_xll.EQNXTDZ($A$1,$B41,M$1,$B$1)</f>
        <v>31.138200000000001</v>
      </c>
      <c r="N41" s="55">
        <f>_xll.EQNXTDZ($A$1,$B41,N$1,$B$1)</f>
        <v>31.138200000000001</v>
      </c>
      <c r="O41" s="55">
        <f>_xll.EQNXTDZ($A$1,$B41,O$1,$B$1)</f>
        <v>31.138200000000001</v>
      </c>
      <c r="P41" s="55">
        <f>_xll.EQNXTDZ($A$1,$B41,P$1,$B$1)</f>
        <v>31.138200000000001</v>
      </c>
      <c r="Q41" s="55">
        <f>_xll.EQNXTDZ($A$1,$B41,Q$1,$B$1)</f>
        <v>31.138200000000001</v>
      </c>
      <c r="R41" s="55">
        <f>_xll.EQNXTDZ($A$1,$B41,R$1,$B$1)</f>
        <v>31.138200000000001</v>
      </c>
      <c r="S41" s="55">
        <f>_xll.EQNXTDZ($A$1,$B41,S$1,$B$1)</f>
        <v>31.138200000000001</v>
      </c>
      <c r="T41" s="55">
        <f>_xll.EQNXTDZ($A$1,$B41,T$1,$B$1)</f>
        <v>62.276400000000002</v>
      </c>
      <c r="U41" s="55">
        <f>_xll.EQNXTDZ($A$1,$B41,U$1,$B$1)</f>
        <v>62.276400000000002</v>
      </c>
      <c r="V41" s="55">
        <f>_xll.EQNXTDZ($A$1,$B41,V$1,$B$1)</f>
        <v>62.276400000000002</v>
      </c>
      <c r="W41" s="55">
        <f>_xll.EQNXTDZ($A$1,$B41,W$1,$B$1)</f>
        <v>62.276400000000002</v>
      </c>
      <c r="X41" s="55">
        <f>_xll.EQNXTDZ($A$1,$B41,X$1,$B$1)</f>
        <v>62.276400000000002</v>
      </c>
      <c r="Y41" s="55">
        <f>_xll.EQNXTDZ($A$1,$B41,Y$1,$B$1)</f>
        <v>62.276400000000002</v>
      </c>
      <c r="Z41" s="55">
        <f>_xll.EQNXTDZ($A$1,$B41,Z$1,$B$1)</f>
        <v>62.276400000000002</v>
      </c>
      <c r="AA41" s="55">
        <f>_xll.EQNXTDZ($A$1,$B41,AA$1,$B$1)</f>
        <v>62.284100000000002</v>
      </c>
      <c r="AB41" s="55">
        <f>_xll.EQNXTDZ($A$1,$B41,AB$1,$B$1)</f>
        <v>62.296700000000001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15.023099999999999</v>
      </c>
      <c r="AA42" s="55">
        <f>_xll.EQNXTDZ($A$1,$B42,AA$1,$B$1)</f>
        <v>19.3703</v>
      </c>
      <c r="AB42" s="55">
        <f>_xll.EQNXTDZ($A$1,$B42,AB$1,$B$1)</f>
        <v>23.833600000000001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7.0793999999999997</v>
      </c>
      <c r="D43" s="55">
        <f>_xll.EQNXTDZ($A$1,$B43,D$1,$B$1)</f>
        <v>10.71</v>
      </c>
      <c r="E43" s="55">
        <f>_xll.EQNXTDZ($A$1,$B43,E$1,$B$1)</f>
        <v>13.614599999999999</v>
      </c>
      <c r="F43" s="55">
        <f>_xll.EQNXTDZ($A$1,$B43,F$1,$B$1)</f>
        <v>17.1096</v>
      </c>
      <c r="G43" s="55">
        <f>_xll.EQNXTDZ($A$1,$B43,G$1,$B$1)</f>
        <v>23.5566</v>
      </c>
      <c r="H43" s="55">
        <f>_xll.EQNXTDZ($A$1,$B43,H$1,$B$1)</f>
        <v>34.802300000000002</v>
      </c>
      <c r="I43" s="55">
        <f>_xll.EQNXTDZ($A$1,$B43,I$1,$B$1)</f>
        <v>61.417999999999999</v>
      </c>
      <c r="J43" s="55">
        <f>_xll.EQNXTDZ($A$1,$B43,J$1,$B$1)</f>
        <v>88.009299999999996</v>
      </c>
      <c r="K43" s="55">
        <f>_xll.EQNXTDZ($A$1,$B43,K$1,$B$1)</f>
        <v>120.6922</v>
      </c>
      <c r="L43" s="55">
        <f>_xll.EQNXTDZ($A$1,$B43,L$1,$B$1)</f>
        <v>143.98869999999999</v>
      </c>
      <c r="M43" s="55">
        <f>_xll.EQNXTDZ($A$1,$B43,M$1,$B$1)</f>
        <v>151.22890000000001</v>
      </c>
      <c r="N43" s="55">
        <f>_xll.EQNXTDZ($A$1,$B43,N$1,$B$1)</f>
        <v>160.84139999999999</v>
      </c>
      <c r="O43" s="55">
        <f>_xll.EQNXTDZ($A$1,$B43,O$1,$B$1)</f>
        <v>164.035</v>
      </c>
      <c r="P43" s="55">
        <f>_xll.EQNXTDZ($A$1,$B43,P$1,$B$1)</f>
        <v>204.5727</v>
      </c>
      <c r="Q43" s="55">
        <f>_xll.EQNXTDZ($A$1,$B43,Q$1,$B$1)</f>
        <v>252.2893</v>
      </c>
      <c r="R43" s="55">
        <f>_xll.EQNXTDZ($A$1,$B43,R$1,$B$1)</f>
        <v>354.5548</v>
      </c>
      <c r="S43" s="55">
        <f>_xll.EQNXTDZ($A$1,$B43,S$1,$B$1)</f>
        <v>526.53099999999995</v>
      </c>
      <c r="T43" s="55">
        <f>_xll.EQNXTDZ($A$1,$B43,T$1,$B$1)</f>
        <v>676.07489999999996</v>
      </c>
      <c r="U43" s="55">
        <f>_xll.EQNXTDZ($A$1,$B43,U$1,$B$1)</f>
        <v>880.47630000000004</v>
      </c>
      <c r="V43" s="55">
        <f>_xll.EQNXTDZ($A$1,$B43,V$1,$B$1)</f>
        <v>1027.7589</v>
      </c>
      <c r="W43" s="55">
        <f>_xll.EQNXTDZ($A$1,$B43,W$1,$B$1)</f>
        <v>1289.8951</v>
      </c>
      <c r="X43" s="55">
        <f>_xll.EQNXTDZ($A$1,$B43,X$1,$B$1)</f>
        <v>1538.6265000000001</v>
      </c>
      <c r="Y43" s="55">
        <f>_xll.EQNXTDZ($A$1,$B43,Y$1,$B$1)</f>
        <v>2023.4907000000001</v>
      </c>
      <c r="Z43" s="55">
        <f>_xll.EQNXTDZ($A$1,$B43,Z$1,$B$1)</f>
        <v>2428.3568</v>
      </c>
      <c r="AA43" s="55">
        <f>_xll.EQNXTDZ($A$1,$B43,AA$1,$B$1)</f>
        <v>2778.3145</v>
      </c>
      <c r="AB43" s="55">
        <f>_xll.EQNXTDZ($A$1,$B43,AB$1,$B$1)</f>
        <v>2955.2114000000001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38.217599999999997</v>
      </c>
      <c r="D44" s="55">
        <f>_xll.EQNXTDZ($A$1,$B44,D$1,$B$1)</f>
        <v>41.848199999999999</v>
      </c>
      <c r="E44" s="55">
        <f>_xll.EQNXTDZ($A$1,$B44,E$1,$B$1)</f>
        <v>44.752800000000001</v>
      </c>
      <c r="F44" s="55">
        <f>_xll.EQNXTDZ($A$1,$B44,F$1,$B$1)</f>
        <v>48.247799999999998</v>
      </c>
      <c r="G44" s="55">
        <f>_xll.EQNXTDZ($A$1,$B44,G$1,$B$1)</f>
        <v>54.694800000000001</v>
      </c>
      <c r="H44" s="55">
        <f>_xll.EQNXTDZ($A$1,$B44,H$1,$B$1)</f>
        <v>65.9405</v>
      </c>
      <c r="I44" s="55">
        <f>_xll.EQNXTDZ($A$1,$B44,I$1,$B$1)</f>
        <v>92.556200000000004</v>
      </c>
      <c r="J44" s="55">
        <f>_xll.EQNXTDZ($A$1,$B44,J$1,$B$1)</f>
        <v>119.14749999999999</v>
      </c>
      <c r="K44" s="55">
        <f>_xll.EQNXTDZ($A$1,$B44,K$1,$B$1)</f>
        <v>151.8304</v>
      </c>
      <c r="L44" s="55">
        <f>_xll.EQNXTDZ($A$1,$B44,L$1,$B$1)</f>
        <v>175.12690000000001</v>
      </c>
      <c r="M44" s="55">
        <f>_xll.EQNXTDZ($A$1,$B44,M$1,$B$1)</f>
        <v>182.36709999999999</v>
      </c>
      <c r="N44" s="55">
        <f>_xll.EQNXTDZ($A$1,$B44,N$1,$B$1)</f>
        <v>191.9796</v>
      </c>
      <c r="O44" s="55">
        <f>_xll.EQNXTDZ($A$1,$B44,O$1,$B$1)</f>
        <v>195.17320000000001</v>
      </c>
      <c r="P44" s="55">
        <f>_xll.EQNXTDZ($A$1,$B44,P$1,$B$1)</f>
        <v>235.71090000000001</v>
      </c>
      <c r="Q44" s="55">
        <f>_xll.EQNXTDZ($A$1,$B44,Q$1,$B$1)</f>
        <v>283.42750000000001</v>
      </c>
      <c r="R44" s="55">
        <f>_xll.EQNXTDZ($A$1,$B44,R$1,$B$1)</f>
        <v>385.69299999999998</v>
      </c>
      <c r="S44" s="55">
        <f>_xll.EQNXTDZ($A$1,$B44,S$1,$B$1)</f>
        <v>557.66920000000005</v>
      </c>
      <c r="T44" s="55">
        <f>_xll.EQNXTDZ($A$1,$B44,T$1,$B$1)</f>
        <v>738.35130000000004</v>
      </c>
      <c r="U44" s="55">
        <f>_xll.EQNXTDZ($A$1,$B44,U$1,$B$1)</f>
        <v>942.7527</v>
      </c>
      <c r="V44" s="55">
        <f>_xll.EQNXTDZ($A$1,$B44,V$1,$B$1)</f>
        <v>1090.0353</v>
      </c>
      <c r="W44" s="55">
        <f>_xll.EQNXTDZ($A$1,$B44,W$1,$B$1)</f>
        <v>1352.1714999999999</v>
      </c>
      <c r="X44" s="55">
        <f>_xll.EQNXTDZ($A$1,$B44,X$1,$B$1)</f>
        <v>1600.9029</v>
      </c>
      <c r="Y44" s="55">
        <f>_xll.EQNXTDZ($A$1,$B44,Y$1,$B$1)</f>
        <v>2085.7671</v>
      </c>
      <c r="Z44" s="55">
        <f>_xll.EQNXTDZ($A$1,$B44,Z$1,$B$1)</f>
        <v>2505.6563000000001</v>
      </c>
      <c r="AA44" s="55">
        <f>_xll.EQNXTDZ($A$1,$B44,AA$1,$B$1)</f>
        <v>2859.9688999999998</v>
      </c>
      <c r="AB44" s="55">
        <f>_xll.EQNXTDZ($A$1,$B44,AB$1,$B$1)</f>
        <v>3041.3416999999999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16.7241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55.326300000000003</v>
      </c>
      <c r="K47" s="55">
        <f>_xll.EQNXTDZ($A$1,$B47,K$1,$B$1)</f>
        <v>13.0793</v>
      </c>
      <c r="L47" s="55">
        <f>_xll.EQNXTDZ($A$1,$B47,L$1,$B$1)</f>
        <v>5.0555000000000003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2.2528999999999999</v>
      </c>
      <c r="D48" s="55">
        <f>_xll.EQNXTDZ($A$1,$B48,D$1,$B$1)</f>
        <v>2.0596000000000001</v>
      </c>
      <c r="E48" s="55">
        <f>_xll.EQNXTDZ($A$1,$B48,E$1,$B$1)</f>
        <v>2.2898000000000001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28.913799999999998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2.5903999999999998</v>
      </c>
      <c r="E49" s="55">
        <f>_xll.EQNXTDZ($A$1,$B49,E$1,$B$1)</f>
        <v>2.9502000000000002</v>
      </c>
      <c r="F49" s="55">
        <f>_xll.EQNXTDZ($A$1,$B49,F$1,$B$1)</f>
        <v>1.8414999999999999</v>
      </c>
      <c r="G49" s="55">
        <f>_xll.EQNXTDZ($A$1,$B49,G$1,$B$1)</f>
        <v>2.3018000000000001</v>
      </c>
      <c r="H49" s="55">
        <f>_xll.EQNXTDZ($A$1,$B49,H$1,$B$1)</f>
        <v>3.4756</v>
      </c>
      <c r="I49" s="55">
        <f>_xll.EQNXTDZ($A$1,$B49,I$1,$B$1)</f>
        <v>3.8148</v>
      </c>
      <c r="J49" s="55">
        <f>_xll.EQNXTDZ($A$1,$B49,J$1,$B$1)</f>
        <v>5.2190000000000003</v>
      </c>
      <c r="K49" s="55">
        <f>_xll.EQNXTDZ($A$1,$B49,K$1,$B$1)</f>
        <v>4.9000000000000004</v>
      </c>
      <c r="L49" s="55">
        <f>_xll.EQNXTDZ($A$1,$B49,L$1,$B$1)</f>
        <v>5.2149999999999999</v>
      </c>
      <c r="M49" s="55">
        <f>_xll.EQNXTDZ($A$1,$B49,M$1,$B$1)</f>
        <v>1.5</v>
      </c>
      <c r="N49" s="55">
        <f>_xll.EQNXTDZ($A$1,$B49,N$1,$B$1)</f>
        <v>3.72</v>
      </c>
      <c r="O49" s="55">
        <f>_xll.EQNXTDZ($A$1,$B49,O$1,$B$1)</f>
        <v>4.47</v>
      </c>
      <c r="P49" s="55">
        <f>_xll.EQNXTDZ($A$1,$B49,P$1,$B$1)</f>
        <v>6.84</v>
      </c>
      <c r="Q49" s="55">
        <f>_xll.EQNXTDZ($A$1,$B49,Q$1,$B$1)</f>
        <v>-0.43640000000000001</v>
      </c>
      <c r="R49" s="55">
        <f>_xll.EQNXTDZ($A$1,$B49,R$1,$B$1)</f>
        <v>-1.2664</v>
      </c>
      <c r="S49" s="55">
        <f>_xll.EQNXTDZ($A$1,$B49,S$1,$B$1)</f>
        <v>-3.23</v>
      </c>
      <c r="T49" s="55">
        <f>_xll.EQNXTDZ($A$1,$B49,T$1,$B$1)</f>
        <v>-4.12</v>
      </c>
      <c r="U49" s="55">
        <f>_xll.EQNXTDZ($A$1,$B49,U$1,$B$1)</f>
        <v>-5.97</v>
      </c>
      <c r="V49" s="55">
        <f>_xll.EQNXTDZ($A$1,$B49,V$1,$B$1)</f>
        <v>-8.7683</v>
      </c>
      <c r="W49" s="55">
        <f>_xll.EQNXTDZ($A$1,$B49,W$1,$B$1)</f>
        <v>-9.9582999999999995</v>
      </c>
      <c r="X49" s="55">
        <f>_xll.EQNXTDZ($A$1,$B49,X$1,$B$1)</f>
        <v>-8.9682999999999993</v>
      </c>
      <c r="Y49" s="55">
        <f>_xll.EQNXTDZ($A$1,$B49,Y$1,$B$1)</f>
        <v>-12.888299999999999</v>
      </c>
      <c r="Z49" s="55">
        <f>_xll.EQNXTDZ($A$1,$B49,Z$1,$B$1)</f>
        <v>-23.869</v>
      </c>
      <c r="AA49" s="55">
        <f>_xll.EQNXTDZ($A$1,$B49,AA$1,$B$1)</f>
        <v>-37.626199999999997</v>
      </c>
      <c r="AB49" s="55">
        <f>_xll.EQNXTDZ($A$1,$B49,AB$1,$B$1)</f>
        <v>-78.726699999999994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45.0139</v>
      </c>
      <c r="W50" s="55">
        <f>_xll.EQNXTDZ($A$1,$B50,W$1,$B$1)</f>
        <v>60.456899999999997</v>
      </c>
      <c r="X50" s="55">
        <f>_xll.EQNXTDZ($A$1,$B50,X$1,$B$1)</f>
        <v>118.286</v>
      </c>
      <c r="Y50" s="55">
        <f>_xll.EQNXTDZ($A$1,$B50,Y$1,$B$1)</f>
        <v>153.7268</v>
      </c>
      <c r="Z50" s="55">
        <f>_xll.EQNXTDZ($A$1,$B50,Z$1,$B$1)</f>
        <v>181.18899999999999</v>
      </c>
      <c r="AA50" s="55">
        <f>_xll.EQNXTDZ($A$1,$B50,AA$1,$B$1)</f>
        <v>139.3126</v>
      </c>
      <c r="AB50" s="55">
        <f>_xll.EQNXTDZ($A$1,$B50,AB$1,$B$1)</f>
        <v>103.7197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6.8635000000000002</v>
      </c>
      <c r="N52" s="55">
        <f>_xll.EQNXTDZ($A$1,$B52,N$1,$B$1)</f>
        <v>6.8874000000000004</v>
      </c>
      <c r="O52" s="55">
        <f>_xll.EQNXTDZ($A$1,$B52,O$1,$B$1)</f>
        <v>5.0576999999999996</v>
      </c>
      <c r="P52" s="55">
        <f>_xll.EQNXTDZ($A$1,$B52,P$1,$B$1)</f>
        <v>75.690399999999997</v>
      </c>
      <c r="Q52" s="55">
        <f>_xll.EQNXTDZ($A$1,$B52,Q$1,$B$1)</f>
        <v>95.500299999999996</v>
      </c>
      <c r="R52" s="55">
        <f>_xll.EQNXTDZ($A$1,$B52,R$1,$B$1)</f>
        <v>148.09899999999999</v>
      </c>
      <c r="S52" s="55">
        <f>_xll.EQNXTDZ($A$1,$B52,S$1,$B$1)</f>
        <v>25.971399999999999</v>
      </c>
      <c r="T52" s="55">
        <f>_xll.EQNXTDZ($A$1,$B52,T$1,$B$1)</f>
        <v>18.851700000000001</v>
      </c>
      <c r="U52" s="55">
        <f>_xll.EQNXTDZ($A$1,$B52,U$1,$B$1)</f>
        <v>12.421200000000001</v>
      </c>
      <c r="V52" s="55">
        <f>_xll.EQNXTDZ($A$1,$B52,V$1,$B$1)</f>
        <v>36.559800000000003</v>
      </c>
      <c r="W52" s="55">
        <f>_xll.EQNXTDZ($A$1,$B52,W$1,$B$1)</f>
        <v>39.6</v>
      </c>
      <c r="X52" s="55">
        <f>_xll.EQNXTDZ($A$1,$B52,X$1,$B$1)</f>
        <v>39.761699999999998</v>
      </c>
      <c r="Y52" s="55">
        <f>_xll.EQNXTDZ($A$1,$B52,Y$1,$B$1)</f>
        <v>45.453200000000002</v>
      </c>
      <c r="Z52" s="55">
        <f>_xll.EQNXTDZ($A$1,$B52,Z$1,$B$1)</f>
        <v>54.1999</v>
      </c>
      <c r="AA52" s="55">
        <f>_xll.EQNXTDZ($A$1,$B52,AA$1,$B$1)</f>
        <v>56.753100000000003</v>
      </c>
      <c r="AB52" s="55">
        <f>_xll.EQNXTDZ($A$1,$B52,AB$1,$B$1)</f>
        <v>60.486699999999999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18.977</v>
      </c>
      <c r="D53" s="55">
        <f>_xll.EQNXTDZ($A$1,$B53,D$1,$B$1)</f>
        <v>4.6500000000000004</v>
      </c>
      <c r="E53" s="55">
        <f>_xll.EQNXTDZ($A$1,$B53,E$1,$B$1)</f>
        <v>5.24</v>
      </c>
      <c r="F53" s="55">
        <f>_xll.EQNXTDZ($A$1,$B53,F$1,$B$1)</f>
        <v>1.8414999999999999</v>
      </c>
      <c r="G53" s="55">
        <f>_xll.EQNXTDZ($A$1,$B53,G$1,$B$1)</f>
        <v>2.3018000000000001</v>
      </c>
      <c r="H53" s="55">
        <f>_xll.EQNXTDZ($A$1,$B53,H$1,$B$1)</f>
        <v>3.4756</v>
      </c>
      <c r="I53" s="55">
        <f>_xll.EQNXTDZ($A$1,$B53,I$1,$B$1)</f>
        <v>3.8148</v>
      </c>
      <c r="J53" s="55">
        <f>_xll.EQNXTDZ($A$1,$B53,J$1,$B$1)</f>
        <v>60.545299999999997</v>
      </c>
      <c r="K53" s="55">
        <f>_xll.EQNXTDZ($A$1,$B53,K$1,$B$1)</f>
        <v>17.979299999999999</v>
      </c>
      <c r="L53" s="55">
        <f>_xll.EQNXTDZ($A$1,$B53,L$1,$B$1)</f>
        <v>39.1843</v>
      </c>
      <c r="M53" s="55">
        <f>_xll.EQNXTDZ($A$1,$B53,M$1,$B$1)</f>
        <v>8.3635000000000002</v>
      </c>
      <c r="N53" s="55">
        <f>_xll.EQNXTDZ($A$1,$B53,N$1,$B$1)</f>
        <v>10.6074</v>
      </c>
      <c r="O53" s="55">
        <f>_xll.EQNXTDZ($A$1,$B53,O$1,$B$1)</f>
        <v>9.5276999999999994</v>
      </c>
      <c r="P53" s="55">
        <f>_xll.EQNXTDZ($A$1,$B53,P$1,$B$1)</f>
        <v>82.5304</v>
      </c>
      <c r="Q53" s="55">
        <f>_xll.EQNXTDZ($A$1,$B53,Q$1,$B$1)</f>
        <v>95.063900000000004</v>
      </c>
      <c r="R53" s="55">
        <f>_xll.EQNXTDZ($A$1,$B53,R$1,$B$1)</f>
        <v>146.83260000000001</v>
      </c>
      <c r="S53" s="55">
        <f>_xll.EQNXTDZ($A$1,$B53,S$1,$B$1)</f>
        <v>22.741399999999999</v>
      </c>
      <c r="T53" s="55">
        <f>_xll.EQNXTDZ($A$1,$B53,T$1,$B$1)</f>
        <v>14.7317</v>
      </c>
      <c r="U53" s="55">
        <f>_xll.EQNXTDZ($A$1,$B53,U$1,$B$1)</f>
        <v>6.4512</v>
      </c>
      <c r="V53" s="55">
        <f>_xll.EQNXTDZ($A$1,$B53,V$1,$B$1)</f>
        <v>72.805400000000006</v>
      </c>
      <c r="W53" s="55">
        <f>_xll.EQNXTDZ($A$1,$B53,W$1,$B$1)</f>
        <v>90.098600000000005</v>
      </c>
      <c r="X53" s="55">
        <f>_xll.EQNXTDZ($A$1,$B53,X$1,$B$1)</f>
        <v>149.07939999999999</v>
      </c>
      <c r="Y53" s="55">
        <f>_xll.EQNXTDZ($A$1,$B53,Y$1,$B$1)</f>
        <v>186.29169999999999</v>
      </c>
      <c r="Z53" s="55">
        <f>_xll.EQNXTDZ($A$1,$B53,Z$1,$B$1)</f>
        <v>211.51990000000001</v>
      </c>
      <c r="AA53" s="55">
        <f>_xll.EQNXTDZ($A$1,$B53,AA$1,$B$1)</f>
        <v>158.43950000000001</v>
      </c>
      <c r="AB53" s="55">
        <f>_xll.EQNXTDZ($A$1,$B53,AB$1,$B$1)</f>
        <v>85.479699999999994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18.534199999999998</v>
      </c>
      <c r="D54" s="55">
        <f>_xll.EQNXTDZ($A$1,$B54,D$1,$B$1)</f>
        <v>18.8398</v>
      </c>
      <c r="E54" s="55">
        <f>_xll.EQNXTDZ($A$1,$B54,E$1,$B$1)</f>
        <v>8.3466000000000005</v>
      </c>
      <c r="F54" s="55">
        <f>_xll.EQNXTDZ($A$1,$B54,F$1,$B$1)</f>
        <v>17.262799999999999</v>
      </c>
      <c r="G54" s="55">
        <f>_xll.EQNXTDZ($A$1,$B54,G$1,$B$1)</f>
        <v>19.7395</v>
      </c>
      <c r="H54" s="55">
        <f>_xll.EQNXTDZ($A$1,$B54,H$1,$B$1)</f>
        <v>31.522500000000001</v>
      </c>
      <c r="I54" s="55">
        <f>_xll.EQNXTDZ($A$1,$B54,I$1,$B$1)</f>
        <v>34.316800000000001</v>
      </c>
      <c r="J54" s="55">
        <f>_xll.EQNXTDZ($A$1,$B54,J$1,$B$1)</f>
        <v>34.3977</v>
      </c>
      <c r="K54" s="55">
        <f>_xll.EQNXTDZ($A$1,$B54,K$1,$B$1)</f>
        <v>34.81</v>
      </c>
      <c r="L54" s="55">
        <f>_xll.EQNXTDZ($A$1,$B54,L$1,$B$1)</f>
        <v>39.432499999999997</v>
      </c>
      <c r="M54" s="55">
        <f>_xll.EQNXTDZ($A$1,$B54,M$1,$B$1)</f>
        <v>41.029400000000003</v>
      </c>
      <c r="N54" s="55">
        <f>_xll.EQNXTDZ($A$1,$B54,N$1,$B$1)</f>
        <v>46.581499999999998</v>
      </c>
      <c r="O54" s="55">
        <f>_xll.EQNXTDZ($A$1,$B54,O$1,$B$1)</f>
        <v>53.188699999999997</v>
      </c>
      <c r="P54" s="55">
        <f>_xll.EQNXTDZ($A$1,$B54,P$1,$B$1)</f>
        <v>64.224199999999996</v>
      </c>
      <c r="Q54" s="55">
        <f>_xll.EQNXTDZ($A$1,$B54,Q$1,$B$1)</f>
        <v>66.151300000000006</v>
      </c>
      <c r="R54" s="55">
        <f>_xll.EQNXTDZ($A$1,$B54,R$1,$B$1)</f>
        <v>76.529200000000003</v>
      </c>
      <c r="S54" s="55">
        <f>_xll.EQNXTDZ($A$1,$B54,S$1,$B$1)</f>
        <v>46.4771</v>
      </c>
      <c r="T54" s="55">
        <f>_xll.EQNXTDZ($A$1,$B54,T$1,$B$1)</f>
        <v>44.9893</v>
      </c>
      <c r="U54" s="55">
        <f>_xll.EQNXTDZ($A$1,$B54,U$1,$B$1)</f>
        <v>55.4953</v>
      </c>
      <c r="V54" s="55">
        <f>_xll.EQNXTDZ($A$1,$B54,V$1,$B$1)</f>
        <v>47.131999999999998</v>
      </c>
      <c r="W54" s="55">
        <f>_xll.EQNXTDZ($A$1,$B54,W$1,$B$1)</f>
        <v>56.130699999999997</v>
      </c>
      <c r="X54" s="55">
        <f>_xll.EQNXTDZ($A$1,$B54,X$1,$B$1)</f>
        <v>84.296700000000001</v>
      </c>
      <c r="Y54" s="55">
        <f>_xll.EQNXTDZ($A$1,$B54,Y$1,$B$1)</f>
        <v>103.1703</v>
      </c>
      <c r="Z54" s="55">
        <f>_xll.EQNXTDZ($A$1,$B54,Z$1,$B$1)</f>
        <v>85.638999999999996</v>
      </c>
      <c r="AA54" s="55">
        <f>_xll.EQNXTDZ($A$1,$B54,AA$1,$B$1)</f>
        <v>123.00920000000001</v>
      </c>
      <c r="AB54" s="55">
        <f>_xll.EQNXTDZ($A$1,$B54,AB$1,$B$1)</f>
        <v>120.3477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4.1201999999999996</v>
      </c>
      <c r="D55" s="55">
        <f>_xll.EQNXTDZ($A$1,$B55,D$1,$B$1)</f>
        <v>3.6358999999999999</v>
      </c>
      <c r="E55" s="55">
        <f>_xll.EQNXTDZ($A$1,$B55,E$1,$B$1)</f>
        <v>1.728</v>
      </c>
      <c r="F55" s="55">
        <f>_xll.EQNXTDZ($A$1,$B55,F$1,$B$1)</f>
        <v>2.9559000000000002</v>
      </c>
      <c r="G55" s="55">
        <f>_xll.EQNXTDZ($A$1,$B55,G$1,$B$1)</f>
        <v>6.3772000000000002</v>
      </c>
      <c r="H55" s="55">
        <f>_xll.EQNXTDZ($A$1,$B55,H$1,$B$1)</f>
        <v>5.9389000000000003</v>
      </c>
      <c r="I55" s="55">
        <f>_xll.EQNXTDZ($A$1,$B55,I$1,$B$1)</f>
        <v>14.414400000000001</v>
      </c>
      <c r="J55" s="55">
        <f>_xll.EQNXTDZ($A$1,$B55,J$1,$B$1)</f>
        <v>10.367599999999999</v>
      </c>
      <c r="K55" s="55">
        <f>_xll.EQNXTDZ($A$1,$B55,K$1,$B$1)</f>
        <v>10.054399999999999</v>
      </c>
      <c r="L55" s="55">
        <f>_xll.EQNXTDZ($A$1,$B55,L$1,$B$1)</f>
        <v>9.3734999999999999</v>
      </c>
      <c r="M55" s="55">
        <f>_xll.EQNXTDZ($A$1,$B55,M$1,$B$1)</f>
        <v>18.9648</v>
      </c>
      <c r="N55" s="55">
        <f>_xll.EQNXTDZ($A$1,$B55,N$1,$B$1)</f>
        <v>25.2807</v>
      </c>
      <c r="O55" s="55">
        <f>_xll.EQNXTDZ($A$1,$B55,O$1,$B$1)</f>
        <v>29.845600000000001</v>
      </c>
      <c r="P55" s="55">
        <f>_xll.EQNXTDZ($A$1,$B55,P$1,$B$1)</f>
        <v>35.207799999999999</v>
      </c>
      <c r="Q55" s="55">
        <f>_xll.EQNXTDZ($A$1,$B55,Q$1,$B$1)</f>
        <v>47.784999999999997</v>
      </c>
      <c r="R55" s="55">
        <f>_xll.EQNXTDZ($A$1,$B55,R$1,$B$1)</f>
        <v>48.5184</v>
      </c>
      <c r="S55" s="55">
        <f>_xll.EQNXTDZ($A$1,$B55,S$1,$B$1)</f>
        <v>68.8934</v>
      </c>
      <c r="T55" s="55">
        <f>_xll.EQNXTDZ($A$1,$B55,T$1,$B$1)</f>
        <v>115.67140000000001</v>
      </c>
      <c r="U55" s="55">
        <f>_xll.EQNXTDZ($A$1,$B55,U$1,$B$1)</f>
        <v>106.80710000000001</v>
      </c>
      <c r="V55" s="55">
        <f>_xll.EQNXTDZ($A$1,$B55,V$1,$B$1)</f>
        <v>136.4494</v>
      </c>
      <c r="W55" s="55">
        <f>_xll.EQNXTDZ($A$1,$B55,W$1,$B$1)</f>
        <v>149.40450000000001</v>
      </c>
      <c r="X55" s="55">
        <f>_xll.EQNXTDZ($A$1,$B55,X$1,$B$1)</f>
        <v>277.96080000000001</v>
      </c>
      <c r="Y55" s="55">
        <f>_xll.EQNXTDZ($A$1,$B55,Y$1,$B$1)</f>
        <v>304.29669999999999</v>
      </c>
      <c r="Z55" s="55">
        <f>_xll.EQNXTDZ($A$1,$B55,Z$1,$B$1)</f>
        <v>267.13010000000003</v>
      </c>
      <c r="AA55" s="55">
        <f>_xll.EQNXTDZ($A$1,$B55,AA$1,$B$1)</f>
        <v>270.71890000000002</v>
      </c>
      <c r="AB55" s="55">
        <f>_xll.EQNXTDZ($A$1,$B55,AB$1,$B$1)</f>
        <v>376.91989999999998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25.4316</v>
      </c>
      <c r="N56" s="55">
        <f>_xll.EQNXTDZ($A$1,$B56,N$1,$B$1)</f>
        <v>34.155999999999999</v>
      </c>
      <c r="O56" s="55">
        <f>_xll.EQNXTDZ($A$1,$B56,O$1,$B$1)</f>
        <v>58.506500000000003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11.848100000000001</v>
      </c>
      <c r="D57" s="55">
        <f>_xll.EQNXTDZ($A$1,$B57,D$1,$B$1)</f>
        <v>16.485099999999999</v>
      </c>
      <c r="E57" s="55">
        <f>_xll.EQNXTDZ($A$1,$B57,E$1,$B$1)</f>
        <v>17.636099999999999</v>
      </c>
      <c r="F57" s="55">
        <f>_xll.EQNXTDZ($A$1,$B57,F$1,$B$1)</f>
        <v>26.659700000000001</v>
      </c>
      <c r="G57" s="55">
        <f>_xll.EQNXTDZ($A$1,$B57,G$1,$B$1)</f>
        <v>36.482799999999997</v>
      </c>
      <c r="H57" s="55">
        <f>_xll.EQNXTDZ($A$1,$B57,H$1,$B$1)</f>
        <v>38.660899999999998</v>
      </c>
      <c r="I57" s="55">
        <f>_xll.EQNXTDZ($A$1,$B57,I$1,$B$1)</f>
        <v>30.624600000000001</v>
      </c>
      <c r="J57" s="55">
        <f>_xll.EQNXTDZ($A$1,$B57,J$1,$B$1)</f>
        <v>34.444400000000002</v>
      </c>
      <c r="K57" s="55">
        <f>_xll.EQNXTDZ($A$1,$B57,K$1,$B$1)</f>
        <v>32.158099999999997</v>
      </c>
      <c r="L57" s="55">
        <f>_xll.EQNXTDZ($A$1,$B57,L$1,$B$1)</f>
        <v>33.290100000000002</v>
      </c>
      <c r="M57" s="55">
        <f>_xll.EQNXTDZ($A$1,$B57,M$1,$B$1)</f>
        <v>25.518899999999999</v>
      </c>
      <c r="N57" s="55">
        <f>_xll.EQNXTDZ($A$1,$B57,N$1,$B$1)</f>
        <v>26.012699999999999</v>
      </c>
      <c r="O57" s="55">
        <f>_xll.EQNXTDZ($A$1,$B57,O$1,$B$1)</f>
        <v>19.012899999999998</v>
      </c>
      <c r="P57" s="55">
        <f>_xll.EQNXTDZ($A$1,$B57,P$1,$B$1)</f>
        <v>56.935299999999998</v>
      </c>
      <c r="Q57" s="55">
        <f>_xll.EQNXTDZ($A$1,$B57,Q$1,$B$1)</f>
        <v>97.417199999999994</v>
      </c>
      <c r="R57" s="55">
        <f>_xll.EQNXTDZ($A$1,$B57,R$1,$B$1)</f>
        <v>140.47579999999999</v>
      </c>
      <c r="S57" s="55">
        <f>_xll.EQNXTDZ($A$1,$B57,S$1,$B$1)</f>
        <v>16.386700000000001</v>
      </c>
      <c r="T57" s="55">
        <f>_xll.EQNXTDZ($A$1,$B57,T$1,$B$1)</f>
        <v>27.029</v>
      </c>
      <c r="U57" s="55">
        <f>_xll.EQNXTDZ($A$1,$B57,U$1,$B$1)</f>
        <v>25.912500000000001</v>
      </c>
      <c r="V57" s="55">
        <f>_xll.EQNXTDZ($A$1,$B57,V$1,$B$1)</f>
        <v>33.790999999999997</v>
      </c>
      <c r="W57" s="55">
        <f>_xll.EQNXTDZ($A$1,$B57,W$1,$B$1)</f>
        <v>58.929000000000002</v>
      </c>
      <c r="X57" s="55">
        <f>_xll.EQNXTDZ($A$1,$B57,X$1,$B$1)</f>
        <v>47.965200000000003</v>
      </c>
      <c r="Y57" s="55">
        <f>_xll.EQNXTDZ($A$1,$B57,Y$1,$B$1)</f>
        <v>71.088499999999996</v>
      </c>
      <c r="Z57" s="55">
        <f>_xll.EQNXTDZ($A$1,$B57,Z$1,$B$1)</f>
        <v>93.167299999999997</v>
      </c>
      <c r="AA57" s="55">
        <f>_xll.EQNXTDZ($A$1,$B57,AA$1,$B$1)</f>
        <v>135.95490000000001</v>
      </c>
      <c r="AB57" s="55">
        <f>_xll.EQNXTDZ($A$1,$B57,AB$1,$B$1)</f>
        <v>259.72430000000003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34.502499999999998</v>
      </c>
      <c r="D59" s="55">
        <f>_xll.EQNXTDZ($A$1,$B59,D$1,$B$1)</f>
        <v>38.960799999999999</v>
      </c>
      <c r="E59" s="55">
        <f>_xll.EQNXTDZ($A$1,$B59,E$1,$B$1)</f>
        <v>27.710699999999999</v>
      </c>
      <c r="F59" s="55">
        <f>_xll.EQNXTDZ($A$1,$B59,F$1,$B$1)</f>
        <v>46.878399999999999</v>
      </c>
      <c r="G59" s="55">
        <f>_xll.EQNXTDZ($A$1,$B59,G$1,$B$1)</f>
        <v>62.599499999999999</v>
      </c>
      <c r="H59" s="55">
        <f>_xll.EQNXTDZ($A$1,$B59,H$1,$B$1)</f>
        <v>76.122299999999996</v>
      </c>
      <c r="I59" s="55">
        <f>_xll.EQNXTDZ($A$1,$B59,I$1,$B$1)</f>
        <v>79.355800000000002</v>
      </c>
      <c r="J59" s="55">
        <f>_xll.EQNXTDZ($A$1,$B59,J$1,$B$1)</f>
        <v>79.209699999999998</v>
      </c>
      <c r="K59" s="55">
        <f>_xll.EQNXTDZ($A$1,$B59,K$1,$B$1)</f>
        <v>77.022499999999994</v>
      </c>
      <c r="L59" s="55">
        <f>_xll.EQNXTDZ($A$1,$B59,L$1,$B$1)</f>
        <v>82.096100000000007</v>
      </c>
      <c r="M59" s="55">
        <f>_xll.EQNXTDZ($A$1,$B59,M$1,$B$1)</f>
        <v>110.9447</v>
      </c>
      <c r="N59" s="55">
        <f>_xll.EQNXTDZ($A$1,$B59,N$1,$B$1)</f>
        <v>132.0309</v>
      </c>
      <c r="O59" s="55">
        <f>_xll.EQNXTDZ($A$1,$B59,O$1,$B$1)</f>
        <v>160.55369999999999</v>
      </c>
      <c r="P59" s="55">
        <f>_xll.EQNXTDZ($A$1,$B59,P$1,$B$1)</f>
        <v>156.3673</v>
      </c>
      <c r="Q59" s="55">
        <f>_xll.EQNXTDZ($A$1,$B59,Q$1,$B$1)</f>
        <v>211.3535</v>
      </c>
      <c r="R59" s="55">
        <f>_xll.EQNXTDZ($A$1,$B59,R$1,$B$1)</f>
        <v>265.52339999999998</v>
      </c>
      <c r="S59" s="55">
        <f>_xll.EQNXTDZ($A$1,$B59,S$1,$B$1)</f>
        <v>131.75720000000001</v>
      </c>
      <c r="T59" s="55">
        <f>_xll.EQNXTDZ($A$1,$B59,T$1,$B$1)</f>
        <v>187.68969999999999</v>
      </c>
      <c r="U59" s="55">
        <f>_xll.EQNXTDZ($A$1,$B59,U$1,$B$1)</f>
        <v>188.2149</v>
      </c>
      <c r="V59" s="55">
        <f>_xll.EQNXTDZ($A$1,$B59,V$1,$B$1)</f>
        <v>217.3724</v>
      </c>
      <c r="W59" s="55">
        <f>_xll.EQNXTDZ($A$1,$B59,W$1,$B$1)</f>
        <v>264.46420000000001</v>
      </c>
      <c r="X59" s="55">
        <f>_xll.EQNXTDZ($A$1,$B59,X$1,$B$1)</f>
        <v>410.22269999999997</v>
      </c>
      <c r="Y59" s="55">
        <f>_xll.EQNXTDZ($A$1,$B59,Y$1,$B$1)</f>
        <v>478.55549999999999</v>
      </c>
      <c r="Z59" s="55">
        <f>_xll.EQNXTDZ($A$1,$B59,Z$1,$B$1)</f>
        <v>445.93639999999999</v>
      </c>
      <c r="AA59" s="55">
        <f>_xll.EQNXTDZ($A$1,$B59,AA$1,$B$1)</f>
        <v>529.68299999999999</v>
      </c>
      <c r="AB59" s="55">
        <f>_xll.EQNXTDZ($A$1,$B59,AB$1,$B$1)</f>
        <v>756.99189999999999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91.697100000000006</v>
      </c>
      <c r="D60" s="55">
        <f>_xll.EQNXTDZ($A$1,$B60,D$1,$B$1)</f>
        <v>85.459000000000003</v>
      </c>
      <c r="E60" s="55">
        <f>_xll.EQNXTDZ($A$1,$B60,E$1,$B$1)</f>
        <v>77.703500000000005</v>
      </c>
      <c r="F60" s="55">
        <f>_xll.EQNXTDZ($A$1,$B60,F$1,$B$1)</f>
        <v>96.967699999999994</v>
      </c>
      <c r="G60" s="55">
        <f>_xll.EQNXTDZ($A$1,$B60,G$1,$B$1)</f>
        <v>119.59610000000001</v>
      </c>
      <c r="H60" s="55">
        <f>_xll.EQNXTDZ($A$1,$B60,H$1,$B$1)</f>
        <v>145.5384</v>
      </c>
      <c r="I60" s="55">
        <f>_xll.EQNXTDZ($A$1,$B60,I$1,$B$1)</f>
        <v>175.7268</v>
      </c>
      <c r="J60" s="55">
        <f>_xll.EQNXTDZ($A$1,$B60,J$1,$B$1)</f>
        <v>258.90249999999997</v>
      </c>
      <c r="K60" s="55">
        <f>_xll.EQNXTDZ($A$1,$B60,K$1,$B$1)</f>
        <v>246.8322</v>
      </c>
      <c r="L60" s="55">
        <f>_xll.EQNXTDZ($A$1,$B60,L$1,$B$1)</f>
        <v>296.40730000000002</v>
      </c>
      <c r="M60" s="55">
        <f>_xll.EQNXTDZ($A$1,$B60,M$1,$B$1)</f>
        <v>301.67529999999999</v>
      </c>
      <c r="N60" s="55">
        <f>_xll.EQNXTDZ($A$1,$B60,N$1,$B$1)</f>
        <v>334.61790000000002</v>
      </c>
      <c r="O60" s="55">
        <f>_xll.EQNXTDZ($A$1,$B60,O$1,$B$1)</f>
        <v>365.25459999999998</v>
      </c>
      <c r="P60" s="55">
        <f>_xll.EQNXTDZ($A$1,$B60,P$1,$B$1)</f>
        <v>474.60860000000002</v>
      </c>
      <c r="Q60" s="55">
        <f>_xll.EQNXTDZ($A$1,$B60,Q$1,$B$1)</f>
        <v>589.84490000000005</v>
      </c>
      <c r="R60" s="55">
        <f>_xll.EQNXTDZ($A$1,$B60,R$1,$B$1)</f>
        <v>798.04899999999998</v>
      </c>
      <c r="S60" s="55">
        <f>_xll.EQNXTDZ($A$1,$B60,S$1,$B$1)</f>
        <v>712.16780000000006</v>
      </c>
      <c r="T60" s="55">
        <f>_xll.EQNXTDZ($A$1,$B60,T$1,$B$1)</f>
        <v>940.77269999999999</v>
      </c>
      <c r="U60" s="55">
        <f>_xll.EQNXTDZ($A$1,$B60,U$1,$B$1)</f>
        <v>1137.4187999999999</v>
      </c>
      <c r="V60" s="55">
        <f>_xll.EQNXTDZ($A$1,$B60,V$1,$B$1)</f>
        <v>1380.2130999999999</v>
      </c>
      <c r="W60" s="55">
        <f>_xll.EQNXTDZ($A$1,$B60,W$1,$B$1)</f>
        <v>1706.7343000000001</v>
      </c>
      <c r="X60" s="55">
        <f>_xll.EQNXTDZ($A$1,$B60,X$1,$B$1)</f>
        <v>2160.2049999999999</v>
      </c>
      <c r="Y60" s="55">
        <f>_xll.EQNXTDZ($A$1,$B60,Y$1,$B$1)</f>
        <v>2750.6143000000002</v>
      </c>
      <c r="Z60" s="55">
        <f>_xll.EQNXTDZ($A$1,$B60,Z$1,$B$1)</f>
        <v>3163.1125999999999</v>
      </c>
      <c r="AA60" s="55">
        <f>_xll.EQNXTDZ($A$1,$B60,AA$1,$B$1)</f>
        <v>3548.0913999999998</v>
      </c>
      <c r="AB60" s="55">
        <f>_xll.EQNXTDZ($A$1,$B60,AB$1,$B$1)</f>
        <v>3883.8132999999998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28.3125</v>
      </c>
      <c r="D62" s="55">
        <f>_xll.EQNXTDZ($A$1,$B62,D$1,$B$1)</f>
        <v>31.391500000000001</v>
      </c>
      <c r="E62" s="55">
        <f>_xll.EQNXTDZ($A$1,$B62,E$1,$B$1)</f>
        <v>37.333399999999997</v>
      </c>
      <c r="F62" s="55">
        <f>_xll.EQNXTDZ($A$1,$B62,F$1,$B$1)</f>
        <v>44.127499999999998</v>
      </c>
      <c r="G62" s="55">
        <f>_xll.EQNXTDZ($A$1,$B62,G$1,$B$1)</f>
        <v>60.4392</v>
      </c>
      <c r="H62" s="55">
        <f>_xll.EQNXTDZ($A$1,$B62,H$1,$B$1)</f>
        <v>77.6875</v>
      </c>
      <c r="I62" s="55">
        <f>_xll.EQNXTDZ($A$1,$B62,I$1,$B$1)</f>
        <v>104.11839999999999</v>
      </c>
      <c r="J62" s="55">
        <f>_xll.EQNXTDZ($A$1,$B62,J$1,$B$1)</f>
        <v>153.0326</v>
      </c>
      <c r="K62" s="55">
        <f>_xll.EQNXTDZ($A$1,$B62,K$1,$B$1)</f>
        <v>167.46369999999999</v>
      </c>
      <c r="L62" s="55">
        <f>_xll.EQNXTDZ($A$1,$B62,L$1,$B$1)</f>
        <v>150.05699999999999</v>
      </c>
      <c r="M62" s="55">
        <f>_xll.EQNXTDZ($A$1,$B62,M$1,$B$1)</f>
        <v>167.5446</v>
      </c>
      <c r="N62" s="55">
        <f>_xll.EQNXTDZ($A$1,$B62,N$1,$B$1)</f>
        <v>196.28229999999999</v>
      </c>
      <c r="O62" s="55">
        <f>_xll.EQNXTDZ($A$1,$B62,O$1,$B$1)</f>
        <v>218.9778</v>
      </c>
      <c r="P62" s="55">
        <f>_xll.EQNXTDZ($A$1,$B62,P$1,$B$1)</f>
        <v>182.10069999999999</v>
      </c>
      <c r="Q62" s="55">
        <f>_xll.EQNXTDZ($A$1,$B62,Q$1,$B$1)</f>
        <v>229.26679999999999</v>
      </c>
      <c r="R62" s="55">
        <f>_xll.EQNXTDZ($A$1,$B62,R$1,$B$1)</f>
        <v>260.34530000000001</v>
      </c>
      <c r="S62" s="55">
        <f>_xll.EQNXTDZ($A$1,$B62,S$1,$B$1)</f>
        <v>130.184</v>
      </c>
      <c r="T62" s="55">
        <f>_xll.EQNXTDZ($A$1,$B62,T$1,$B$1)</f>
        <v>146.1046</v>
      </c>
      <c r="U62" s="55">
        <f>_xll.EQNXTDZ($A$1,$B62,U$1,$B$1)</f>
        <v>178.0624</v>
      </c>
      <c r="V62" s="55">
        <f>_xll.EQNXTDZ($A$1,$B62,V$1,$B$1)</f>
        <v>248.45230000000001</v>
      </c>
      <c r="W62" s="55">
        <f>_xll.EQNXTDZ($A$1,$B62,W$1,$B$1)</f>
        <v>295.81889999999999</v>
      </c>
      <c r="X62" s="55">
        <f>_xll.EQNXTDZ($A$1,$B62,X$1,$B$1)</f>
        <v>460.35239999999999</v>
      </c>
      <c r="Y62" s="55">
        <f>_xll.EQNXTDZ($A$1,$B62,Y$1,$B$1)</f>
        <v>581.89949999999999</v>
      </c>
      <c r="Z62" s="55">
        <f>_xll.EQNXTDZ($A$1,$B62,Z$1,$B$1)</f>
        <v>683.66120000000001</v>
      </c>
      <c r="AA62" s="55">
        <f>_xll.EQNXTDZ($A$1,$B62,AA$1,$B$1)</f>
        <v>704.61109999999996</v>
      </c>
      <c r="AB62" s="55">
        <f>_xll.EQNXTDZ($A$1,$B62,AB$1,$B$1)</f>
        <v>708.43489999999997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9.8829999999999991</v>
      </c>
      <c r="D63" s="55">
        <f>_xll.EQNXTDZ($A$1,$B63,D$1,$B$1)</f>
        <v>12.456300000000001</v>
      </c>
      <c r="E63" s="55">
        <f>_xll.EQNXTDZ($A$1,$B63,E$1,$B$1)</f>
        <v>15.8362</v>
      </c>
      <c r="F63" s="55">
        <f>_xll.EQNXTDZ($A$1,$B63,F$1,$B$1)</f>
        <v>19.871200000000002</v>
      </c>
      <c r="G63" s="55">
        <f>_xll.EQNXTDZ($A$1,$B63,G$1,$B$1)</f>
        <v>24.849499999999999</v>
      </c>
      <c r="H63" s="55">
        <f>_xll.EQNXTDZ($A$1,$B63,H$1,$B$1)</f>
        <v>31.575800000000001</v>
      </c>
      <c r="I63" s="55">
        <f>_xll.EQNXTDZ($A$1,$B63,I$1,$B$1)</f>
        <v>40.126899999999999</v>
      </c>
      <c r="J63" s="55">
        <f>_xll.EQNXTDZ($A$1,$B63,J$1,$B$1)</f>
        <v>53.394799999999996</v>
      </c>
      <c r="K63" s="55">
        <f>_xll.EQNXTDZ($A$1,$B63,K$1,$B$1)</f>
        <v>70.156700000000001</v>
      </c>
      <c r="L63" s="55">
        <f>_xll.EQNXTDZ($A$1,$B63,L$1,$B$1)</f>
        <v>60.044699999999999</v>
      </c>
      <c r="M63" s="55">
        <f>_xll.EQNXTDZ($A$1,$B63,M$1,$B$1)</f>
        <v>76.783100000000005</v>
      </c>
      <c r="N63" s="55">
        <f>_xll.EQNXTDZ($A$1,$B63,N$1,$B$1)</f>
        <v>96.407899999999998</v>
      </c>
      <c r="O63" s="55">
        <f>_xll.EQNXTDZ($A$1,$B63,O$1,$B$1)</f>
        <v>119.8378</v>
      </c>
      <c r="P63" s="55">
        <f>_xll.EQNXTDZ($A$1,$B63,P$1,$B$1)</f>
        <v>79.441400000000002</v>
      </c>
      <c r="Q63" s="55">
        <f>_xll.EQNXTDZ($A$1,$B63,Q$1,$B$1)</f>
        <v>129.9693</v>
      </c>
      <c r="R63" s="55">
        <f>_xll.EQNXTDZ($A$1,$B63,R$1,$B$1)</f>
        <v>153.38</v>
      </c>
      <c r="S63" s="55">
        <f>_xll.EQNXTDZ($A$1,$B63,S$1,$B$1)</f>
        <v>22.379200000000001</v>
      </c>
      <c r="T63" s="55">
        <f>_xll.EQNXTDZ($A$1,$B63,T$1,$B$1)</f>
        <v>51.828800000000001</v>
      </c>
      <c r="U63" s="55">
        <f>_xll.EQNXTDZ($A$1,$B63,U$1,$B$1)</f>
        <v>76.875200000000007</v>
      </c>
      <c r="V63" s="55">
        <f>_xll.EQNXTDZ($A$1,$B63,V$1,$B$1)</f>
        <v>101.3922</v>
      </c>
      <c r="W63" s="55">
        <f>_xll.EQNXTDZ($A$1,$B63,W$1,$B$1)</f>
        <v>126.1666</v>
      </c>
      <c r="X63" s="55">
        <f>_xll.EQNXTDZ($A$1,$B63,X$1,$B$1)</f>
        <v>188.84690000000001</v>
      </c>
      <c r="Y63" s="55">
        <f>_xll.EQNXTDZ($A$1,$B63,Y$1,$B$1)</f>
        <v>248.30510000000001</v>
      </c>
      <c r="Z63" s="55">
        <f>_xll.EQNXTDZ($A$1,$B63,Z$1,$B$1)</f>
        <v>287.68450000000001</v>
      </c>
      <c r="AA63" s="55">
        <f>_xll.EQNXTDZ($A$1,$B63,AA$1,$B$1)</f>
        <v>386.57220000000001</v>
      </c>
      <c r="AB63" s="55">
        <f>_xll.EQNXTDZ($A$1,$B63,AB$1,$B$1)</f>
        <v>449.18200000000002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0.81859999999999999</v>
      </c>
      <c r="H64" s="55">
        <f>_xll.EQNXTDZ($A$1,$B64,H$1,$B$1)</f>
        <v>0.81859999999999999</v>
      </c>
      <c r="I64" s="55">
        <f>_xll.EQNXTDZ($A$1,$B64,I$1,$B$1)</f>
        <v>0.81859999999999999</v>
      </c>
      <c r="J64" s="55">
        <f>_xll.EQNXTDZ($A$1,$B64,J$1,$B$1)</f>
        <v>0.81859999999999999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5.8284000000000002</v>
      </c>
      <c r="Q64" s="55">
        <f>_xll.EQNXTDZ($A$1,$B64,Q$1,$B$1)</f>
        <v>0.80959999999999999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18.429500000000001</v>
      </c>
      <c r="D65" s="55">
        <f>_xll.EQNXTDZ($A$1,$B65,D$1,$B$1)</f>
        <v>18.935199999999998</v>
      </c>
      <c r="E65" s="55">
        <f>_xll.EQNXTDZ($A$1,$B65,E$1,$B$1)</f>
        <v>21.497199999999999</v>
      </c>
      <c r="F65" s="55">
        <f>_xll.EQNXTDZ($A$1,$B65,F$1,$B$1)</f>
        <v>24.2563</v>
      </c>
      <c r="G65" s="55">
        <f>_xll.EQNXTDZ($A$1,$B65,G$1,$B$1)</f>
        <v>34.771099999999997</v>
      </c>
      <c r="H65" s="55">
        <f>_xll.EQNXTDZ($A$1,$B65,H$1,$B$1)</f>
        <v>45.293100000000003</v>
      </c>
      <c r="I65" s="55">
        <f>_xll.EQNXTDZ($A$1,$B65,I$1,$B$1)</f>
        <v>63.172899999999998</v>
      </c>
      <c r="J65" s="55">
        <f>_xll.EQNXTDZ($A$1,$B65,J$1,$B$1)</f>
        <v>98.819199999999995</v>
      </c>
      <c r="K65" s="55">
        <f>_xll.EQNXTDZ($A$1,$B65,K$1,$B$1)</f>
        <v>97.307000000000002</v>
      </c>
      <c r="L65" s="55">
        <f>_xll.EQNXTDZ($A$1,$B65,L$1,$B$1)</f>
        <v>90.012299999999996</v>
      </c>
      <c r="M65" s="55">
        <f>_xll.EQNXTDZ($A$1,$B65,M$1,$B$1)</f>
        <v>90.761499999999998</v>
      </c>
      <c r="N65" s="55">
        <f>_xll.EQNXTDZ($A$1,$B65,N$1,$B$1)</f>
        <v>99.874399999999994</v>
      </c>
      <c r="O65" s="55">
        <f>_xll.EQNXTDZ($A$1,$B65,O$1,$B$1)</f>
        <v>99.14</v>
      </c>
      <c r="P65" s="55">
        <f>_xll.EQNXTDZ($A$1,$B65,P$1,$B$1)</f>
        <v>96.8309</v>
      </c>
      <c r="Q65" s="55">
        <f>_xll.EQNXTDZ($A$1,$B65,Q$1,$B$1)</f>
        <v>98.487899999999996</v>
      </c>
      <c r="R65" s="55">
        <f>_xll.EQNXTDZ($A$1,$B65,R$1,$B$1)</f>
        <v>106.9653</v>
      </c>
      <c r="S65" s="55">
        <f>_xll.EQNXTDZ($A$1,$B65,S$1,$B$1)</f>
        <v>107.8048</v>
      </c>
      <c r="T65" s="55">
        <f>_xll.EQNXTDZ($A$1,$B65,T$1,$B$1)</f>
        <v>94.275800000000004</v>
      </c>
      <c r="U65" s="55">
        <f>_xll.EQNXTDZ($A$1,$B65,U$1,$B$1)</f>
        <v>101.1872</v>
      </c>
      <c r="V65" s="55">
        <f>_xll.EQNXTDZ($A$1,$B65,V$1,$B$1)</f>
        <v>147.06010000000001</v>
      </c>
      <c r="W65" s="55">
        <f>_xll.EQNXTDZ($A$1,$B65,W$1,$B$1)</f>
        <v>169.6523</v>
      </c>
      <c r="X65" s="55">
        <f>_xll.EQNXTDZ($A$1,$B65,X$1,$B$1)</f>
        <v>271.50549999999998</v>
      </c>
      <c r="Y65" s="55">
        <f>_xll.EQNXTDZ($A$1,$B65,Y$1,$B$1)</f>
        <v>333.59440000000001</v>
      </c>
      <c r="Z65" s="55">
        <f>_xll.EQNXTDZ($A$1,$B65,Z$1,$B$1)</f>
        <v>395.97669999999999</v>
      </c>
      <c r="AA65" s="55">
        <f>_xll.EQNXTDZ($A$1,$B65,AA$1,$B$1)</f>
        <v>318.03890000000001</v>
      </c>
      <c r="AB65" s="55">
        <f>_xll.EQNXTDZ($A$1,$B65,AB$1,$B$1)</f>
        <v>259.25290000000001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0.1376</v>
      </c>
      <c r="D67" s="55">
        <f>_xll.EQNXTDZ($A$1,$B67,D$1,$B$1)</f>
        <v>0.45939999999999998</v>
      </c>
      <c r="E67" s="55">
        <f>_xll.EQNXTDZ($A$1,$B67,E$1,$B$1)</f>
        <v>0.18679999999999999</v>
      </c>
      <c r="F67" s="55">
        <f>_xll.EQNXTDZ($A$1,$B67,F$1,$B$1)</f>
        <v>0.27450000000000002</v>
      </c>
      <c r="G67" s="55">
        <f>_xll.EQNXTDZ($A$1,$B67,G$1,$B$1)</f>
        <v>1.0880000000000001</v>
      </c>
      <c r="H67" s="55">
        <f>_xll.EQNXTDZ($A$1,$B67,H$1,$B$1)</f>
        <v>3.1459000000000001</v>
      </c>
      <c r="I67" s="55">
        <f>_xll.EQNXTDZ($A$1,$B67,I$1,$B$1)</f>
        <v>9.4732000000000003</v>
      </c>
      <c r="J67" s="55">
        <f>_xll.EQNXTDZ($A$1,$B67,J$1,$B$1)</f>
        <v>1.6781999999999999</v>
      </c>
      <c r="K67" s="55">
        <f>_xll.EQNXTDZ($A$1,$B67,K$1,$B$1)</f>
        <v>1.0598000000000001</v>
      </c>
      <c r="L67" s="55">
        <f>_xll.EQNXTDZ($A$1,$B67,L$1,$B$1)</f>
        <v>0.41070000000000001</v>
      </c>
      <c r="M67" s="55">
        <f>_xll.EQNXTDZ($A$1,$B67,M$1,$B$1)</f>
        <v>4.1961000000000004</v>
      </c>
      <c r="N67" s="55">
        <f>_xll.EQNXTDZ($A$1,$B67,N$1,$B$1)</f>
        <v>1.0597000000000001</v>
      </c>
      <c r="O67" s="55">
        <f>_xll.EQNXTDZ($A$1,$B67,O$1,$B$1)</f>
        <v>4.4706999999999999</v>
      </c>
      <c r="P67" s="55">
        <f>_xll.EQNXTDZ($A$1,$B67,P$1,$B$1)</f>
        <v>9.5975000000000001</v>
      </c>
      <c r="Q67" s="55">
        <f>_xll.EQNXTDZ($A$1,$B67,Q$1,$B$1)</f>
        <v>2.2271000000000001</v>
      </c>
      <c r="R67" s="55">
        <f>_xll.EQNXTDZ($A$1,$B67,R$1,$B$1)</f>
        <v>1.8783000000000001</v>
      </c>
      <c r="S67" s="55">
        <f>_xll.EQNXTDZ($A$1,$B67,S$1,$B$1)</f>
        <v>1.0336000000000001</v>
      </c>
      <c r="T67" s="55">
        <f>_xll.EQNXTDZ($A$1,$B67,T$1,$B$1)</f>
        <v>2.1263999999999998</v>
      </c>
      <c r="U67" s="55">
        <f>_xll.EQNXTDZ($A$1,$B67,U$1,$B$1)</f>
        <v>0.44750000000000001</v>
      </c>
      <c r="V67" s="55">
        <f>_xll.EQNXTDZ($A$1,$B67,V$1,$B$1)</f>
        <v>0.91310000000000002</v>
      </c>
      <c r="W67" s="55">
        <f>_xll.EQNXTDZ($A$1,$B67,W$1,$B$1)</f>
        <v>7.2672999999999996</v>
      </c>
      <c r="X67" s="55">
        <f>_xll.EQNXTDZ($A$1,$B67,X$1,$B$1)</f>
        <v>22.089200000000002</v>
      </c>
      <c r="Y67" s="55">
        <f>_xll.EQNXTDZ($A$1,$B67,Y$1,$B$1)</f>
        <v>6.9793000000000003</v>
      </c>
      <c r="Z67" s="55">
        <f>_xll.EQNXTDZ($A$1,$B67,Z$1,$B$1)</f>
        <v>2.1543000000000001</v>
      </c>
      <c r="AA67" s="55">
        <f>_xll.EQNXTDZ($A$1,$B67,AA$1,$B$1)</f>
        <v>1.6173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7.6391999999999998</v>
      </c>
      <c r="N68" s="55">
        <f>_xll.EQNXTDZ($A$1,$B68,N$1,$B$1)</f>
        <v>9.4015000000000004</v>
      </c>
      <c r="O68" s="55">
        <f>_xll.EQNXTDZ($A$1,$B68,O$1,$B$1)</f>
        <v>16.7925</v>
      </c>
      <c r="P68" s="55">
        <f>_xll.EQNXTDZ($A$1,$B68,P$1,$B$1)</f>
        <v>3.0240999999999998</v>
      </c>
      <c r="Q68" s="55">
        <f>_xll.EQNXTDZ($A$1,$B68,Q$1,$B$1)</f>
        <v>0.35920000000000002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49.800699999999999</v>
      </c>
      <c r="N72" s="55">
        <f>_xll.EQNXTDZ($A$1,$B72,N$1,$B$1)</f>
        <v>50.2517</v>
      </c>
      <c r="O72" s="55">
        <f>_xll.EQNXTDZ($A$1,$B72,O$1,$B$1)</f>
        <v>54.352600000000002</v>
      </c>
      <c r="P72" s="55">
        <f>_xll.EQNXTDZ($A$1,$B72,P$1,$B$1)</f>
        <v>110.9508</v>
      </c>
      <c r="Q72" s="55">
        <f>_xll.EQNXTDZ($A$1,$B72,Q$1,$B$1)</f>
        <v>120.17610000000001</v>
      </c>
      <c r="R72" s="55">
        <f>_xll.EQNXTDZ($A$1,$B72,R$1,$B$1)</f>
        <v>165.05109999999999</v>
      </c>
      <c r="S72" s="55">
        <f>_xll.EQNXTDZ($A$1,$B72,S$1,$B$1)</f>
        <v>35.750799999999998</v>
      </c>
      <c r="T72" s="55">
        <f>_xll.EQNXTDZ($A$1,$B72,T$1,$B$1)</f>
        <v>37.072400000000002</v>
      </c>
      <c r="U72" s="55">
        <f>_xll.EQNXTDZ($A$1,$B72,U$1,$B$1)</f>
        <v>25.232099999999999</v>
      </c>
      <c r="V72" s="55">
        <f>_xll.EQNXTDZ($A$1,$B72,V$1,$B$1)</f>
        <v>28.697800000000001</v>
      </c>
      <c r="W72" s="55">
        <f>_xll.EQNXTDZ($A$1,$B72,W$1,$B$1)</f>
        <v>34.354100000000003</v>
      </c>
      <c r="X72" s="55">
        <f>_xll.EQNXTDZ($A$1,$B72,X$1,$B$1)</f>
        <v>54.158099999999997</v>
      </c>
      <c r="Y72" s="55">
        <f>_xll.EQNXTDZ($A$1,$B72,Y$1,$B$1)</f>
        <v>52.965600000000002</v>
      </c>
      <c r="Z72" s="55">
        <f>_xll.EQNXTDZ($A$1,$B72,Z$1,$B$1)</f>
        <v>67.627099999999999</v>
      </c>
      <c r="AA72" s="55">
        <f>_xll.EQNXTDZ($A$1,$B72,AA$1,$B$1)</f>
        <v>71.849800000000002</v>
      </c>
      <c r="AB72" s="55">
        <f>_xll.EQNXTDZ($A$1,$B72,AB$1,$B$1)</f>
        <v>97.7684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0.18540000000000001</v>
      </c>
      <c r="O73" s="55">
        <f>_xll.EQNXTDZ($A$1,$B73,O$1,$B$1)</f>
        <v>8.6999999999999994E-2</v>
      </c>
      <c r="P73" s="55">
        <f>_xll.EQNXTDZ($A$1,$B73,P$1,$B$1)</f>
        <v>0.30430000000000001</v>
      </c>
      <c r="Q73" s="55">
        <f>_xll.EQNXTDZ($A$1,$B73,Q$1,$B$1)</f>
        <v>0.31940000000000002</v>
      </c>
      <c r="R73" s="55">
        <f>_xll.EQNXTDZ($A$1,$B73,R$1,$B$1)</f>
        <v>0.58589999999999998</v>
      </c>
      <c r="S73" s="55">
        <f>_xll.EQNXTDZ($A$1,$B73,S$1,$B$1)</f>
        <v>1.0597000000000001</v>
      </c>
      <c r="T73" s="55">
        <f>_xll.EQNXTDZ($A$1,$B73,T$1,$B$1)</f>
        <v>2.2323</v>
      </c>
      <c r="U73" s="55">
        <f>_xll.EQNXTDZ($A$1,$B73,U$1,$B$1)</f>
        <v>2.5468000000000002</v>
      </c>
      <c r="V73" s="55">
        <f>_xll.EQNXTDZ($A$1,$B73,V$1,$B$1)</f>
        <v>2.3395000000000001</v>
      </c>
      <c r="W73" s="55">
        <f>_xll.EQNXTDZ($A$1,$B73,W$1,$B$1)</f>
        <v>104.0913</v>
      </c>
      <c r="X73" s="55">
        <f>_xll.EQNXTDZ($A$1,$B73,X$1,$B$1)</f>
        <v>116.7508</v>
      </c>
      <c r="Y73" s="55">
        <f>_xll.EQNXTDZ($A$1,$B73,Y$1,$B$1)</f>
        <v>43.5854</v>
      </c>
      <c r="Z73" s="55">
        <f>_xll.EQNXTDZ($A$1,$B73,Z$1,$B$1)</f>
        <v>160.6337</v>
      </c>
      <c r="AA73" s="55">
        <f>_xll.EQNXTDZ($A$1,$B73,AA$1,$B$1)</f>
        <v>359.0872</v>
      </c>
      <c r="AB73" s="55">
        <f>_xll.EQNXTDZ($A$1,$B73,AB$1,$B$1)</f>
        <v>558.64359999999999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18.5671</v>
      </c>
      <c r="D74" s="55">
        <f>_xll.EQNXTDZ($A$1,$B74,D$1,$B$1)</f>
        <v>19.394600000000001</v>
      </c>
      <c r="E74" s="55">
        <f>_xll.EQNXTDZ($A$1,$B74,E$1,$B$1)</f>
        <v>21.684000000000001</v>
      </c>
      <c r="F74" s="55">
        <f>_xll.EQNXTDZ($A$1,$B74,F$1,$B$1)</f>
        <v>24.530799999999999</v>
      </c>
      <c r="G74" s="55">
        <f>_xll.EQNXTDZ($A$1,$B74,G$1,$B$1)</f>
        <v>35.859099999999998</v>
      </c>
      <c r="H74" s="55">
        <f>_xll.EQNXTDZ($A$1,$B74,H$1,$B$1)</f>
        <v>48.439</v>
      </c>
      <c r="I74" s="55">
        <f>_xll.EQNXTDZ($A$1,$B74,I$1,$B$1)</f>
        <v>72.646100000000004</v>
      </c>
      <c r="J74" s="55">
        <f>_xll.EQNXTDZ($A$1,$B74,J$1,$B$1)</f>
        <v>100.4974</v>
      </c>
      <c r="K74" s="55">
        <f>_xll.EQNXTDZ($A$1,$B74,K$1,$B$1)</f>
        <v>98.366799999999998</v>
      </c>
      <c r="L74" s="55">
        <f>_xll.EQNXTDZ($A$1,$B74,L$1,$B$1)</f>
        <v>90.423000000000002</v>
      </c>
      <c r="M74" s="55">
        <f>_xll.EQNXTDZ($A$1,$B74,M$1,$B$1)</f>
        <v>152.39750000000001</v>
      </c>
      <c r="N74" s="55">
        <f>_xll.EQNXTDZ($A$1,$B74,N$1,$B$1)</f>
        <v>160.77269999999999</v>
      </c>
      <c r="O74" s="55">
        <f>_xll.EQNXTDZ($A$1,$B74,O$1,$B$1)</f>
        <v>174.84280000000001</v>
      </c>
      <c r="P74" s="55">
        <f>_xll.EQNXTDZ($A$1,$B74,P$1,$B$1)</f>
        <v>220.70760000000001</v>
      </c>
      <c r="Q74" s="55">
        <f>_xll.EQNXTDZ($A$1,$B74,Q$1,$B$1)</f>
        <v>221.56970000000001</v>
      </c>
      <c r="R74" s="55">
        <f>_xll.EQNXTDZ($A$1,$B74,R$1,$B$1)</f>
        <v>274.48059999999998</v>
      </c>
      <c r="S74" s="55">
        <f>_xll.EQNXTDZ($A$1,$B74,S$1,$B$1)</f>
        <v>145.6489</v>
      </c>
      <c r="T74" s="55">
        <f>_xll.EQNXTDZ($A$1,$B74,T$1,$B$1)</f>
        <v>135.70689999999999</v>
      </c>
      <c r="U74" s="55">
        <f>_xll.EQNXTDZ($A$1,$B74,U$1,$B$1)</f>
        <v>129.4136</v>
      </c>
      <c r="V74" s="55">
        <f>_xll.EQNXTDZ($A$1,$B74,V$1,$B$1)</f>
        <v>179.01050000000001</v>
      </c>
      <c r="W74" s="55">
        <f>_xll.EQNXTDZ($A$1,$B74,W$1,$B$1)</f>
        <v>315.36500000000001</v>
      </c>
      <c r="X74" s="55">
        <f>_xll.EQNXTDZ($A$1,$B74,X$1,$B$1)</f>
        <v>464.50360000000001</v>
      </c>
      <c r="Y74" s="55">
        <f>_xll.EQNXTDZ($A$1,$B74,Y$1,$B$1)</f>
        <v>437.12470000000002</v>
      </c>
      <c r="Z74" s="55">
        <f>_xll.EQNXTDZ($A$1,$B74,Z$1,$B$1)</f>
        <v>626.39179999999999</v>
      </c>
      <c r="AA74" s="55">
        <f>_xll.EQNXTDZ($A$1,$B74,AA$1,$B$1)</f>
        <v>750.59320000000002</v>
      </c>
      <c r="AB74" s="55">
        <f>_xll.EQNXTDZ($A$1,$B74,AB$1,$B$1)</f>
        <v>915.66489999999999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5.1361999999999997</v>
      </c>
      <c r="D76" s="55">
        <f>_xll.EQNXTDZ($A$1,$B76,D$1,$B$1)</f>
        <v>3.5148000000000001</v>
      </c>
      <c r="E76" s="55">
        <f>_xll.EQNXTDZ($A$1,$B76,E$1,$B$1)</f>
        <v>1.7990999999999999</v>
      </c>
      <c r="F76" s="55">
        <f>_xll.EQNXTDZ($A$1,$B76,F$1,$B$1)</f>
        <v>0.73819999999999997</v>
      </c>
      <c r="G76" s="55">
        <f>_xll.EQNXTDZ($A$1,$B76,G$1,$B$1)</f>
        <v>0.31069999999999998</v>
      </c>
      <c r="H76" s="55">
        <f>_xll.EQNXTDZ($A$1,$B76,H$1,$B$1)</f>
        <v>0.13780000000000001</v>
      </c>
      <c r="I76" s="55">
        <f>_xll.EQNXTDZ($A$1,$B76,I$1,$B$1)</f>
        <v>0.37419999999999998</v>
      </c>
      <c r="J76" s="55">
        <f>_xll.EQNXTDZ($A$1,$B76,J$1,$B$1)</f>
        <v>0.16600000000000001</v>
      </c>
      <c r="K76" s="55">
        <f>_xll.EQNXTDZ($A$1,$B76,K$1,$B$1)</f>
        <v>0</v>
      </c>
      <c r="L76" s="55">
        <f>_xll.EQNXTDZ($A$1,$B76,L$1,$B$1)</f>
        <v>6.2399999999999997E-2</v>
      </c>
      <c r="M76" s="55">
        <f>_xll.EQNXTDZ($A$1,$B76,M$1,$B$1)</f>
        <v>0.57110000000000005</v>
      </c>
      <c r="N76" s="55">
        <f>_xll.EQNXTDZ($A$1,$B76,N$1,$B$1)</f>
        <v>2.1299999999999999E-2</v>
      </c>
      <c r="O76" s="55">
        <f>_xll.EQNXTDZ($A$1,$B76,O$1,$B$1)</f>
        <v>0.31219999999999998</v>
      </c>
      <c r="P76" s="55">
        <f>_xll.EQNXTDZ($A$1,$B76,P$1,$B$1)</f>
        <v>0</v>
      </c>
      <c r="Q76" s="55">
        <f>_xll.EQNXTDZ($A$1,$B76,Q$1,$B$1)</f>
        <v>0.28899999999999998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1.6623000000000001</v>
      </c>
      <c r="V76" s="55">
        <f>_xll.EQNXTDZ($A$1,$B76,V$1,$B$1)</f>
        <v>1.712</v>
      </c>
      <c r="W76" s="55">
        <f>_xll.EQNXTDZ($A$1,$B76,W$1,$B$1)</f>
        <v>6.2899999999999998E-2</v>
      </c>
      <c r="X76" s="55">
        <f>_xll.EQNXTDZ($A$1,$B76,X$1,$B$1)</f>
        <v>0.5675</v>
      </c>
      <c r="Y76" s="55">
        <f>_xll.EQNXTDZ($A$1,$B76,Y$1,$B$1)</f>
        <v>0.38619999999999999</v>
      </c>
      <c r="Z76" s="55">
        <f>_xll.EQNXTDZ($A$1,$B76,Z$1,$B$1)</f>
        <v>1.1071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45.648499999999999</v>
      </c>
      <c r="D77" s="55">
        <f>_xll.EQNXTDZ($A$1,$B77,D$1,$B$1)</f>
        <v>40.6355</v>
      </c>
      <c r="E77" s="55">
        <f>_xll.EQNXTDZ($A$1,$B77,E$1,$B$1)</f>
        <v>32.595599999999997</v>
      </c>
      <c r="F77" s="55">
        <f>_xll.EQNXTDZ($A$1,$B77,F$1,$B$1)</f>
        <v>31.526900000000001</v>
      </c>
      <c r="G77" s="55">
        <f>_xll.EQNXTDZ($A$1,$B77,G$1,$B$1)</f>
        <v>41.136099999999999</v>
      </c>
      <c r="H77" s="55">
        <f>_xll.EQNXTDZ($A$1,$B77,H$1,$B$1)</f>
        <v>46.639400000000002</v>
      </c>
      <c r="I77" s="55">
        <f>_xll.EQNXTDZ($A$1,$B77,I$1,$B$1)</f>
        <v>60.180799999999998</v>
      </c>
      <c r="J77" s="55">
        <f>_xll.EQNXTDZ($A$1,$B77,J$1,$B$1)</f>
        <v>104.5954</v>
      </c>
      <c r="K77" s="55">
        <f>_xll.EQNXTDZ($A$1,$B77,K$1,$B$1)</f>
        <v>91.871200000000002</v>
      </c>
      <c r="L77" s="55">
        <f>_xll.EQNXTDZ($A$1,$B77,L$1,$B$1)</f>
        <v>130.54320000000001</v>
      </c>
      <c r="M77" s="55">
        <f>_xll.EQNXTDZ($A$1,$B77,M$1,$B$1)</f>
        <v>107.2192</v>
      </c>
      <c r="N77" s="55">
        <f>_xll.EQNXTDZ($A$1,$B77,N$1,$B$1)</f>
        <v>125.6554</v>
      </c>
      <c r="O77" s="55">
        <f>_xll.EQNXTDZ($A$1,$B77,O$1,$B$1)</f>
        <v>140.9751</v>
      </c>
      <c r="P77" s="55">
        <f>_xll.EQNXTDZ($A$1,$B77,P$1,$B$1)</f>
        <v>155.61109999999999</v>
      </c>
      <c r="Q77" s="55">
        <f>_xll.EQNXTDZ($A$1,$B77,Q$1,$B$1)</f>
        <v>154.08170000000001</v>
      </c>
      <c r="R77" s="55">
        <f>_xll.EQNXTDZ($A$1,$B77,R$1,$B$1)</f>
        <v>215.21090000000001</v>
      </c>
      <c r="S77" s="55">
        <f>_xll.EQNXTDZ($A$1,$B77,S$1,$B$1)</f>
        <v>244.8108</v>
      </c>
      <c r="T77" s="55">
        <f>_xll.EQNXTDZ($A$1,$B77,T$1,$B$1)</f>
        <v>306.66640000000001</v>
      </c>
      <c r="U77" s="55">
        <f>_xll.EQNXTDZ($A$1,$B77,U$1,$B$1)</f>
        <v>356.5412</v>
      </c>
      <c r="V77" s="55">
        <f>_xll.EQNXTDZ($A$1,$B77,V$1,$B$1)</f>
        <v>392.38069999999999</v>
      </c>
      <c r="W77" s="55">
        <f>_xll.EQNXTDZ($A$1,$B77,W$1,$B$1)</f>
        <v>489.37299999999999</v>
      </c>
      <c r="X77" s="55">
        <f>_xll.EQNXTDZ($A$1,$B77,X$1,$B$1)</f>
        <v>672.78800000000001</v>
      </c>
      <c r="Y77" s="55">
        <f>_xll.EQNXTDZ($A$1,$B77,Y$1,$B$1)</f>
        <v>976.37549999999999</v>
      </c>
      <c r="Z77" s="55">
        <f>_xll.EQNXTDZ($A$1,$B77,Z$1,$B$1)</f>
        <v>971.58839999999998</v>
      </c>
      <c r="AA77" s="55">
        <f>_xll.EQNXTDZ($A$1,$B77,AA$1,$B$1)</f>
        <v>971.5258</v>
      </c>
      <c r="AB77" s="55">
        <f>_xll.EQNXTDZ($A$1,$B77,AB$1,$B$1)</f>
        <v>1079.3657000000001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10.064500000000001</v>
      </c>
      <c r="D78" s="55">
        <f>_xll.EQNXTDZ($A$1,$B78,D$1,$B$1)</f>
        <v>7.3799000000000001</v>
      </c>
      <c r="E78" s="55">
        <f>_xll.EQNXTDZ($A$1,$B78,E$1,$B$1)</f>
        <v>4.1071999999999997</v>
      </c>
      <c r="F78" s="55">
        <f>_xll.EQNXTDZ($A$1,$B78,F$1,$B$1)</f>
        <v>17.401199999999999</v>
      </c>
      <c r="G78" s="55">
        <f>_xll.EQNXTDZ($A$1,$B78,G$1,$B$1)</f>
        <v>14.1073</v>
      </c>
      <c r="H78" s="55">
        <f>_xll.EQNXTDZ($A$1,$B78,H$1,$B$1)</f>
        <v>14.5524</v>
      </c>
      <c r="I78" s="55">
        <f>_xll.EQNXTDZ($A$1,$B78,I$1,$B$1)</f>
        <v>20.100999999999999</v>
      </c>
      <c r="J78" s="55">
        <f>_xll.EQNXTDZ($A$1,$B78,J$1,$B$1)</f>
        <v>21.487500000000001</v>
      </c>
      <c r="K78" s="55">
        <f>_xll.EQNXTDZ($A$1,$B78,K$1,$B$1)</f>
        <v>16.333300000000001</v>
      </c>
      <c r="L78" s="55">
        <f>_xll.EQNXTDZ($A$1,$B78,L$1,$B$1)</f>
        <v>14.285</v>
      </c>
      <c r="M78" s="55">
        <f>_xll.EQNXTDZ($A$1,$B78,M$1,$B$1)</f>
        <v>20.7959</v>
      </c>
      <c r="N78" s="55">
        <f>_xll.EQNXTDZ($A$1,$B78,N$1,$B$1)</f>
        <v>26.717400000000001</v>
      </c>
      <c r="O78" s="55">
        <f>_xll.EQNXTDZ($A$1,$B78,O$1,$B$1)</f>
        <v>23.299299999999999</v>
      </c>
      <c r="P78" s="55">
        <f>_xll.EQNXTDZ($A$1,$B78,P$1,$B$1)</f>
        <v>51.459499999999998</v>
      </c>
      <c r="Q78" s="55">
        <f>_xll.EQNXTDZ($A$1,$B78,Q$1,$B$1)</f>
        <v>133.25659999999999</v>
      </c>
      <c r="R78" s="55">
        <f>_xll.EQNXTDZ($A$1,$B78,R$1,$B$1)</f>
        <v>182.4545</v>
      </c>
      <c r="S78" s="55">
        <f>_xll.EQNXTDZ($A$1,$B78,S$1,$B$1)</f>
        <v>251.5249</v>
      </c>
      <c r="T78" s="55">
        <f>_xll.EQNXTDZ($A$1,$B78,T$1,$B$1)</f>
        <v>394.34460000000001</v>
      </c>
      <c r="U78" s="55">
        <f>_xll.EQNXTDZ($A$1,$B78,U$1,$B$1)</f>
        <v>515.81460000000004</v>
      </c>
      <c r="V78" s="55">
        <f>_xll.EQNXTDZ($A$1,$B78,V$1,$B$1)</f>
        <v>664.22469999999998</v>
      </c>
      <c r="W78" s="55">
        <f>_xll.EQNXTDZ($A$1,$B78,W$1,$B$1)</f>
        <v>859.61980000000005</v>
      </c>
      <c r="X78" s="55">
        <f>_xll.EQNXTDZ($A$1,$B78,X$1,$B$1)</f>
        <v>965.20899999999995</v>
      </c>
      <c r="Y78" s="55">
        <f>_xll.EQNXTDZ($A$1,$B78,Y$1,$B$1)</f>
        <v>1191.5528999999999</v>
      </c>
      <c r="Z78" s="55">
        <f>_xll.EQNXTDZ($A$1,$B78,Z$1,$B$1)</f>
        <v>1392.4709</v>
      </c>
      <c r="AA78" s="55">
        <f>_xll.EQNXTDZ($A$1,$B78,AA$1,$B$1)</f>
        <v>1606.3933</v>
      </c>
      <c r="AB78" s="55">
        <f>_xll.EQNXTDZ($A$1,$B78,AB$1,$B$1)</f>
        <v>1668.6351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2.0270000000000001</v>
      </c>
      <c r="J79" s="55">
        <f>_xll.EQNXTDZ($A$1,$B79,J$1,$B$1)</f>
        <v>3.7869000000000002</v>
      </c>
      <c r="K79" s="55">
        <f>_xll.EQNXTDZ($A$1,$B79,K$1,$B$1)</f>
        <v>3.8317000000000001</v>
      </c>
      <c r="L79" s="55">
        <f>_xll.EQNXTDZ($A$1,$B79,L$1,$B$1)</f>
        <v>10.742000000000001</v>
      </c>
      <c r="M79" s="55">
        <f>_xll.EQNXTDZ($A$1,$B79,M$1,$B$1)</f>
        <v>3.464</v>
      </c>
      <c r="N79" s="55">
        <f>_xll.EQNXTDZ($A$1,$B79,N$1,$B$1)</f>
        <v>5.6702000000000004</v>
      </c>
      <c r="O79" s="55">
        <f>_xll.EQNXTDZ($A$1,$B79,O$1,$B$1)</f>
        <v>5.1726999999999999</v>
      </c>
      <c r="P79" s="55">
        <f>_xll.EQNXTDZ($A$1,$B79,P$1,$B$1)</f>
        <v>6.2641999999999998</v>
      </c>
      <c r="Q79" s="55">
        <f>_xll.EQNXTDZ($A$1,$B79,Q$1,$B$1)</f>
        <v>8.6922999999999995</v>
      </c>
      <c r="R79" s="55">
        <f>_xll.EQNXTDZ($A$1,$B79,R$1,$B$1)</f>
        <v>11.1143</v>
      </c>
      <c r="S79" s="55">
        <f>_xll.EQNXTDZ($A$1,$B79,S$1,$B$1)</f>
        <v>16.449300000000001</v>
      </c>
      <c r="T79" s="55">
        <f>_xll.EQNXTDZ($A$1,$B79,T$1,$B$1)</f>
        <v>25.165500000000002</v>
      </c>
      <c r="U79" s="55">
        <f>_xll.EQNXTDZ($A$1,$B79,U$1,$B$1)</f>
        <v>37.096899999999998</v>
      </c>
      <c r="V79" s="55">
        <f>_xll.EQNXTDZ($A$1,$B79,V$1,$B$1)</f>
        <v>36.2926</v>
      </c>
      <c r="W79" s="55">
        <f>_xll.EQNXTDZ($A$1,$B79,W$1,$B$1)</f>
        <v>31.449100000000001</v>
      </c>
      <c r="X79" s="55">
        <f>_xll.EQNXTDZ($A$1,$B79,X$1,$B$1)</f>
        <v>42.221699999999998</v>
      </c>
      <c r="Y79" s="55">
        <f>_xll.EQNXTDZ($A$1,$B79,Y$1,$B$1)</f>
        <v>70.370400000000004</v>
      </c>
      <c r="Z79" s="55">
        <f>_xll.EQNXTDZ($A$1,$B79,Z$1,$B$1)</f>
        <v>49.3386</v>
      </c>
      <c r="AA79" s="55">
        <f>_xll.EQNXTDZ($A$1,$B79,AA$1,$B$1)</f>
        <v>83.1006</v>
      </c>
      <c r="AB79" s="55">
        <f>_xll.EQNXTDZ($A$1,$B79,AB$1,$B$1)</f>
        <v>53.772599999999997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12.280799999999999</v>
      </c>
      <c r="D80" s="55">
        <f>_xll.EQNXTDZ($A$1,$B80,D$1,$B$1)</f>
        <v>14.5342</v>
      </c>
      <c r="E80" s="55">
        <f>_xll.EQNXTDZ($A$1,$B80,E$1,$B$1)</f>
        <v>17.517600000000002</v>
      </c>
      <c r="F80" s="55">
        <f>_xll.EQNXTDZ($A$1,$B80,F$1,$B$1)</f>
        <v>22.770600000000002</v>
      </c>
      <c r="G80" s="55">
        <f>_xll.EQNXTDZ($A$1,$B80,G$1,$B$1)</f>
        <v>28.1829</v>
      </c>
      <c r="H80" s="55">
        <f>_xll.EQNXTDZ($A$1,$B80,H$1,$B$1)</f>
        <v>35.769799999999996</v>
      </c>
      <c r="I80" s="55">
        <f>_xll.EQNXTDZ($A$1,$B80,I$1,$B$1)</f>
        <v>20.3977</v>
      </c>
      <c r="J80" s="55">
        <f>_xll.EQNXTDZ($A$1,$B80,J$1,$B$1)</f>
        <v>28.369299999999999</v>
      </c>
      <c r="K80" s="55">
        <f>_xll.EQNXTDZ($A$1,$B80,K$1,$B$1)</f>
        <v>36.429200000000002</v>
      </c>
      <c r="L80" s="55">
        <f>_xll.EQNXTDZ($A$1,$B80,L$1,$B$1)</f>
        <v>50.351700000000001</v>
      </c>
      <c r="M80" s="55">
        <f>_xll.EQNXTDZ($A$1,$B80,M$1,$B$1)</f>
        <v>17.227599999999999</v>
      </c>
      <c r="N80" s="55">
        <f>_xll.EQNXTDZ($A$1,$B80,N$1,$B$1)</f>
        <v>15.780900000000001</v>
      </c>
      <c r="O80" s="55">
        <f>_xll.EQNXTDZ($A$1,$B80,O$1,$B$1)</f>
        <v>20.6525</v>
      </c>
      <c r="P80" s="55">
        <f>_xll.EQNXTDZ($A$1,$B80,P$1,$B$1)</f>
        <v>40.566200000000002</v>
      </c>
      <c r="Q80" s="55">
        <f>_xll.EQNXTDZ($A$1,$B80,Q$1,$B$1)</f>
        <v>71.955600000000004</v>
      </c>
      <c r="R80" s="55">
        <f>_xll.EQNXTDZ($A$1,$B80,R$1,$B$1)</f>
        <v>114.78870000000001</v>
      </c>
      <c r="S80" s="55">
        <f>_xll.EQNXTDZ($A$1,$B80,S$1,$B$1)</f>
        <v>53.733899999999998</v>
      </c>
      <c r="T80" s="55">
        <f>_xll.EQNXTDZ($A$1,$B80,T$1,$B$1)</f>
        <v>78.889300000000006</v>
      </c>
      <c r="U80" s="55">
        <f>_xll.EQNXTDZ($A$1,$B80,U$1,$B$1)</f>
        <v>96.890199999999993</v>
      </c>
      <c r="V80" s="55">
        <f>_xll.EQNXTDZ($A$1,$B80,V$1,$B$1)</f>
        <v>106.5926</v>
      </c>
      <c r="W80" s="55">
        <f>_xll.EQNXTDZ($A$1,$B80,W$1,$B$1)</f>
        <v>10.8645</v>
      </c>
      <c r="X80" s="55">
        <f>_xll.EQNXTDZ($A$1,$B80,X$1,$B$1)</f>
        <v>14.9152</v>
      </c>
      <c r="Y80" s="55">
        <f>_xll.EQNXTDZ($A$1,$B80,Y$1,$B$1)</f>
        <v>74.804599999999994</v>
      </c>
      <c r="Z80" s="55">
        <f>_xll.EQNXTDZ($A$1,$B80,Z$1,$B$1)</f>
        <v>122.2158</v>
      </c>
      <c r="AA80" s="55">
        <f>_xll.EQNXTDZ($A$1,$B80,AA$1,$B$1)</f>
        <v>136.4785</v>
      </c>
      <c r="AB80" s="55">
        <f>_xll.EQNXTDZ($A$1,$B80,AB$1,$B$1)</f>
        <v>166.375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73.13</v>
      </c>
      <c r="D82" s="55">
        <f>_xll.EQNXTDZ($A$1,$B82,D$1,$B$1)</f>
        <v>66.064400000000006</v>
      </c>
      <c r="E82" s="55">
        <f>_xll.EQNXTDZ($A$1,$B82,E$1,$B$1)</f>
        <v>56.019500000000001</v>
      </c>
      <c r="F82" s="55">
        <f>_xll.EQNXTDZ($A$1,$B82,F$1,$B$1)</f>
        <v>72.436899999999994</v>
      </c>
      <c r="G82" s="55">
        <f>_xll.EQNXTDZ($A$1,$B82,G$1,$B$1)</f>
        <v>83.736999999999995</v>
      </c>
      <c r="H82" s="55">
        <f>_xll.EQNXTDZ($A$1,$B82,H$1,$B$1)</f>
        <v>97.099400000000003</v>
      </c>
      <c r="I82" s="55">
        <f>_xll.EQNXTDZ($A$1,$B82,I$1,$B$1)</f>
        <v>103.08069999999999</v>
      </c>
      <c r="J82" s="55">
        <f>_xll.EQNXTDZ($A$1,$B82,J$1,$B$1)</f>
        <v>158.4051</v>
      </c>
      <c r="K82" s="55">
        <f>_xll.EQNXTDZ($A$1,$B82,K$1,$B$1)</f>
        <v>148.46539999999999</v>
      </c>
      <c r="L82" s="55">
        <f>_xll.EQNXTDZ($A$1,$B82,L$1,$B$1)</f>
        <v>205.98429999999999</v>
      </c>
      <c r="M82" s="55">
        <f>_xll.EQNXTDZ($A$1,$B82,M$1,$B$1)</f>
        <v>149.27780000000001</v>
      </c>
      <c r="N82" s="55">
        <f>_xll.EQNXTDZ($A$1,$B82,N$1,$B$1)</f>
        <v>173.84520000000001</v>
      </c>
      <c r="O82" s="55">
        <f>_xll.EQNXTDZ($A$1,$B82,O$1,$B$1)</f>
        <v>190.4118</v>
      </c>
      <c r="P82" s="55">
        <f>_xll.EQNXTDZ($A$1,$B82,P$1,$B$1)</f>
        <v>253.90100000000001</v>
      </c>
      <c r="Q82" s="55">
        <f>_xll.EQNXTDZ($A$1,$B82,Q$1,$B$1)</f>
        <v>368.27519999999998</v>
      </c>
      <c r="R82" s="55">
        <f>_xll.EQNXTDZ($A$1,$B82,R$1,$B$1)</f>
        <v>523.5684</v>
      </c>
      <c r="S82" s="55">
        <f>_xll.EQNXTDZ($A$1,$B82,S$1,$B$1)</f>
        <v>566.51890000000003</v>
      </c>
      <c r="T82" s="55">
        <f>_xll.EQNXTDZ($A$1,$B82,T$1,$B$1)</f>
        <v>805.06579999999997</v>
      </c>
      <c r="U82" s="55">
        <f>_xll.EQNXTDZ($A$1,$B82,U$1,$B$1)</f>
        <v>1008.0051999999999</v>
      </c>
      <c r="V82" s="55">
        <f>_xll.EQNXTDZ($A$1,$B82,V$1,$B$1)</f>
        <v>1201.2026000000001</v>
      </c>
      <c r="W82" s="55">
        <f>_xll.EQNXTDZ($A$1,$B82,W$1,$B$1)</f>
        <v>1391.3693000000001</v>
      </c>
      <c r="X82" s="55">
        <f>_xll.EQNXTDZ($A$1,$B82,X$1,$B$1)</f>
        <v>1695.7013999999999</v>
      </c>
      <c r="Y82" s="55">
        <f>_xll.EQNXTDZ($A$1,$B82,Y$1,$B$1)</f>
        <v>2313.4895999999999</v>
      </c>
      <c r="Z82" s="55">
        <f>_xll.EQNXTDZ($A$1,$B82,Z$1,$B$1)</f>
        <v>2536.7208000000001</v>
      </c>
      <c r="AA82" s="55">
        <f>_xll.EQNXTDZ($A$1,$B82,AA$1,$B$1)</f>
        <v>2797.4982</v>
      </c>
      <c r="AB82" s="55">
        <f>_xll.EQNXTDZ($A$1,$B82,AB$1,$B$1)</f>
        <v>2968.1484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91.697100000000006</v>
      </c>
      <c r="D84" s="55">
        <f>_xll.EQNXTDZ($A$1,$B84,D$1,$B$1)</f>
        <v>85.459000000000003</v>
      </c>
      <c r="E84" s="55">
        <f>_xll.EQNXTDZ($A$1,$B84,E$1,$B$1)</f>
        <v>77.703500000000005</v>
      </c>
      <c r="F84" s="55">
        <f>_xll.EQNXTDZ($A$1,$B84,F$1,$B$1)</f>
        <v>96.967699999999994</v>
      </c>
      <c r="G84" s="55">
        <f>_xll.EQNXTDZ($A$1,$B84,G$1,$B$1)</f>
        <v>119.59610000000001</v>
      </c>
      <c r="H84" s="55">
        <f>_xll.EQNXTDZ($A$1,$B84,H$1,$B$1)</f>
        <v>145.5384</v>
      </c>
      <c r="I84" s="55">
        <f>_xll.EQNXTDZ($A$1,$B84,I$1,$B$1)</f>
        <v>175.7268</v>
      </c>
      <c r="J84" s="55">
        <f>_xll.EQNXTDZ($A$1,$B84,J$1,$B$1)</f>
        <v>258.90249999999997</v>
      </c>
      <c r="K84" s="55">
        <f>_xll.EQNXTDZ($A$1,$B84,K$1,$B$1)</f>
        <v>246.8322</v>
      </c>
      <c r="L84" s="55">
        <f>_xll.EQNXTDZ($A$1,$B84,L$1,$B$1)</f>
        <v>296.40730000000002</v>
      </c>
      <c r="M84" s="55">
        <f>_xll.EQNXTDZ($A$1,$B84,M$1,$B$1)</f>
        <v>301.67529999999999</v>
      </c>
      <c r="N84" s="55">
        <f>_xll.EQNXTDZ($A$1,$B84,N$1,$B$1)</f>
        <v>334.61790000000002</v>
      </c>
      <c r="O84" s="55">
        <f>_xll.EQNXTDZ($A$1,$B84,O$1,$B$1)</f>
        <v>365.25459999999998</v>
      </c>
      <c r="P84" s="55">
        <f>_xll.EQNXTDZ($A$1,$B84,P$1,$B$1)</f>
        <v>474.60860000000002</v>
      </c>
      <c r="Q84" s="55">
        <f>_xll.EQNXTDZ($A$1,$B84,Q$1,$B$1)</f>
        <v>589.84490000000005</v>
      </c>
      <c r="R84" s="55">
        <f>_xll.EQNXTDZ($A$1,$B84,R$1,$B$1)</f>
        <v>798.04899999999998</v>
      </c>
      <c r="S84" s="55">
        <f>_xll.EQNXTDZ($A$1,$B84,S$1,$B$1)</f>
        <v>712.16780000000006</v>
      </c>
      <c r="T84" s="55">
        <f>_xll.EQNXTDZ($A$1,$B84,T$1,$B$1)</f>
        <v>940.77269999999999</v>
      </c>
      <c r="U84" s="55">
        <f>_xll.EQNXTDZ($A$1,$B84,U$1,$B$1)</f>
        <v>1137.4187999999999</v>
      </c>
      <c r="V84" s="55">
        <f>_xll.EQNXTDZ($A$1,$B84,V$1,$B$1)</f>
        <v>1380.2130999999999</v>
      </c>
      <c r="W84" s="55">
        <f>_xll.EQNXTDZ($A$1,$B84,W$1,$B$1)</f>
        <v>1706.7343000000001</v>
      </c>
      <c r="X84" s="55">
        <f>_xll.EQNXTDZ($A$1,$B84,X$1,$B$1)</f>
        <v>2160.2049999999999</v>
      </c>
      <c r="Y84" s="55">
        <f>_xll.EQNXTDZ($A$1,$B84,Y$1,$B$1)</f>
        <v>2750.6143000000002</v>
      </c>
      <c r="Z84" s="55">
        <f>_xll.EQNXTDZ($A$1,$B84,Z$1,$B$1)</f>
        <v>3163.1125999999999</v>
      </c>
      <c r="AA84" s="55">
        <f>_xll.EQNXTDZ($A$1,$B84,AA$1,$B$1)</f>
        <v>3548.0913999999998</v>
      </c>
      <c r="AB84" s="55">
        <f>_xll.EQNXTDZ($A$1,$B84,AB$1,$B$1)</f>
        <v>3883.8132999999998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9.0119000000000007</v>
      </c>
      <c r="D85" s="55">
        <f>_xll.EQNXTDZ($A$1,$B85,D$1,$B$1)</f>
        <v>13.9491</v>
      </c>
      <c r="E85" s="55">
        <f>_xll.EQNXTDZ($A$1,$B85,E$1,$B$1)</f>
        <v>13.931900000000001</v>
      </c>
      <c r="F85" s="55">
        <f>_xll.EQNXTDZ($A$1,$B85,F$1,$B$1)</f>
        <v>17.5656</v>
      </c>
      <c r="G85" s="55">
        <f>_xll.EQNXTDZ($A$1,$B85,G$1,$B$1)</f>
        <v>9.7157</v>
      </c>
      <c r="H85" s="55">
        <f>_xll.EQNXTDZ($A$1,$B85,H$1,$B$1)</f>
        <v>13.6753</v>
      </c>
      <c r="I85" s="55">
        <f>_xll.EQNXTDZ($A$1,$B85,I$1,$B$1)</f>
        <v>6.6646999999999998</v>
      </c>
      <c r="J85" s="55">
        <f>_xll.EQNXTDZ($A$1,$B85,J$1,$B$1)</f>
        <v>7.6261999999999999</v>
      </c>
      <c r="K85" s="55">
        <f>_xll.EQNXTDZ($A$1,$B85,K$1,$B$1)</f>
        <v>17.942599999999999</v>
      </c>
      <c r="L85" s="55">
        <f>_xll.EQNXTDZ($A$1,$B85,L$1,$B$1)</f>
        <v>10.8293</v>
      </c>
      <c r="M85" s="55">
        <f>_xll.EQNXTDZ($A$1,$B85,M$1,$B$1)</f>
        <v>20.398900000000001</v>
      </c>
      <c r="N85" s="55">
        <f>_xll.EQNXTDZ($A$1,$B85,N$1,$B$1)</f>
        <v>55.793799999999997</v>
      </c>
      <c r="O85" s="55">
        <f>_xll.EQNXTDZ($A$1,$B85,O$1,$B$1)</f>
        <v>25.860800000000001</v>
      </c>
      <c r="P85" s="55">
        <f>_xll.EQNXTDZ($A$1,$B85,P$1,$B$1)</f>
        <v>22.874700000000001</v>
      </c>
      <c r="Q85" s="55">
        <f>_xll.EQNXTDZ($A$1,$B85,Q$1,$B$1)</f>
        <v>22.521999999999998</v>
      </c>
      <c r="R85" s="55">
        <f>_xll.EQNXTDZ($A$1,$B85,R$1,$B$1)</f>
        <v>24.5425</v>
      </c>
      <c r="S85" s="55">
        <f>_xll.EQNXTDZ($A$1,$B85,S$1,$B$1)</f>
        <v>28.158200000000001</v>
      </c>
      <c r="T85" s="55">
        <f>_xll.EQNXTDZ($A$1,$B85,T$1,$B$1)</f>
        <v>28.158200000000001</v>
      </c>
      <c r="U85" s="55">
        <f>_xll.EQNXTDZ($A$1,$B85,U$1,$B$1)</f>
        <v>10.530099999999999</v>
      </c>
      <c r="V85" s="55">
        <f>_xll.EQNXTDZ($A$1,$B85,V$1,$B$1)</f>
        <v>31.072199999999999</v>
      </c>
      <c r="W85" s="55">
        <f>_xll.EQNXTDZ($A$1,$B85,W$1,$B$1)</f>
        <v>29.9742</v>
      </c>
      <c r="X85" s="55">
        <f>_xll.EQNXTDZ($A$1,$B85,X$1,$B$1)</f>
        <v>29.9742</v>
      </c>
      <c r="Y85" s="55">
        <f>_xll.EQNXTDZ($A$1,$B85,Y$1,$B$1)</f>
        <v>0.67290000000000005</v>
      </c>
      <c r="Z85" s="55">
        <f>_xll.EQNXTDZ($A$1,$B85,Z$1,$B$1)</f>
        <v>0.67290000000000005</v>
      </c>
      <c r="AA85" s="55">
        <f>_xll.EQNXTDZ($A$1,$B85,AA$1,$B$1)</f>
        <v>0.67290000000000005</v>
      </c>
      <c r="AB85" s="55">
        <f>_xll.EQNXTDZ($A$1,$B85,AB$1,$B$1)</f>
        <v>0.67290000000000005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0.30680000000000002</v>
      </c>
      <c r="E93" s="55">
        <f>_xll.EQNXTDZ($A$1,$B93,E$1,$B$1)</f>
        <v>2.1331000000000002</v>
      </c>
      <c r="F93" s="55">
        <f>_xll.EQNXTDZ($A$1,$B93,F$1,$B$1)</f>
        <v>2.84</v>
      </c>
      <c r="G93" s="55">
        <f>_xll.EQNXTDZ($A$1,$B93,G$1,$B$1)</f>
        <v>2.0232999999999999</v>
      </c>
      <c r="H93" s="55">
        <f>_xll.EQNXTDZ($A$1,$B93,H$1,$B$1)</f>
        <v>3.1316000000000002</v>
      </c>
      <c r="I93" s="55">
        <f>_xll.EQNXTDZ($A$1,$B93,I$1,$B$1)</f>
        <v>3.9102999999999999</v>
      </c>
      <c r="J93" s="55">
        <f>_xll.EQNXTDZ($A$1,$B93,J$1,$B$1)</f>
        <v>5.3483000000000001</v>
      </c>
      <c r="K93" s="55">
        <f>_xll.EQNXTDZ($A$1,$B93,K$1,$B$1)</f>
        <v>7.1337999999999999</v>
      </c>
      <c r="L93" s="55">
        <f>_xll.EQNXTDZ($A$1,$B93,L$1,$B$1)</f>
        <v>9.4789999999999992</v>
      </c>
      <c r="M93" s="55">
        <f>_xll.EQNXTDZ($A$1,$B93,M$1,$B$1)</f>
        <v>19.170200000000001</v>
      </c>
      <c r="N93" s="55">
        <f>_xll.EQNXTDZ($A$1,$B93,N$1,$B$1)</f>
        <v>28.555399999999999</v>
      </c>
      <c r="O93" s="55">
        <f>_xll.EQNXTDZ($A$1,$B93,O$1,$B$1)</f>
        <v>25.121200000000002</v>
      </c>
      <c r="P93" s="55">
        <f>_xll.EQNXTDZ($A$1,$B93,P$1,$B$1)</f>
        <v>22.356200000000001</v>
      </c>
      <c r="Q93" s="55">
        <f>_xll.EQNXTDZ($A$1,$B93,Q$1,$B$1)</f>
        <v>22.151399999999999</v>
      </c>
      <c r="R93" s="55">
        <f>_xll.EQNXTDZ($A$1,$B93,R$1,$B$1)</f>
        <v>24.243400000000001</v>
      </c>
      <c r="S93" s="55">
        <f>_xll.EQNXTDZ($A$1,$B93,S$1,$B$1)</f>
        <v>28.158200000000001</v>
      </c>
      <c r="T93" s="55">
        <f>_xll.EQNXTDZ($A$1,$B93,T$1,$B$1)</f>
        <v>28.158200000000001</v>
      </c>
      <c r="U93" s="55">
        <f>_xll.EQNXTDZ($A$1,$B93,U$1,$B$1)</f>
        <v>10.530099999999999</v>
      </c>
      <c r="V93" s="55">
        <f>_xll.EQNXTDZ($A$1,$B93,V$1,$B$1)</f>
        <v>31.072199999999999</v>
      </c>
      <c r="W93" s="55">
        <f>_xll.EQNXTDZ($A$1,$B93,W$1,$B$1)</f>
        <v>29.9742</v>
      </c>
      <c r="X93" s="55">
        <f>_xll.EQNXTDZ($A$1,$B93,X$1,$B$1)</f>
        <v>29.9742</v>
      </c>
      <c r="Y93" s="55">
        <f>_xll.EQNXTDZ($A$1,$B93,Y$1,$B$1)</f>
        <v>0.67290000000000005</v>
      </c>
      <c r="Z93" s="55">
        <f>_xll.EQNXTDZ($A$1,$B93,Z$1,$B$1)</f>
        <v>0.67290000000000005</v>
      </c>
      <c r="AA93" s="55">
        <f>_xll.EQNXTDZ($A$1,$B93,AA$1,$B$1)</f>
        <v>0.67290000000000005</v>
      </c>
      <c r="AB93" s="55">
        <f>_xll.EQNXTDZ($A$1,$B93,AB$1,$B$1)</f>
        <v>0.67290000000000005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9.0119000000000007</v>
      </c>
      <c r="D95" s="55">
        <f>_xll.EQNXTDZ($A$1,$B95,D$1,$B$1)</f>
        <v>9.1795000000000009</v>
      </c>
      <c r="E95" s="55">
        <f>_xll.EQNXTDZ($A$1,$B95,E$1,$B$1)</f>
        <v>8.5662000000000003</v>
      </c>
      <c r="F95" s="55">
        <f>_xll.EQNXTDZ($A$1,$B95,F$1,$B$1)</f>
        <v>8.9648000000000003</v>
      </c>
      <c r="G95" s="55">
        <f>_xll.EQNXTDZ($A$1,$B95,G$1,$B$1)</f>
        <v>7.6924000000000001</v>
      </c>
      <c r="H95" s="55">
        <f>_xll.EQNXTDZ($A$1,$B95,H$1,$B$1)</f>
        <v>10.543699999999999</v>
      </c>
      <c r="I95" s="55">
        <f>_xll.EQNXTDZ($A$1,$B95,I$1,$B$1)</f>
        <v>2.7544</v>
      </c>
      <c r="J95" s="55">
        <f>_xll.EQNXTDZ($A$1,$B95,J$1,$B$1)</f>
        <v>2.2778999999999998</v>
      </c>
      <c r="K95" s="55">
        <f>_xll.EQNXTDZ($A$1,$B95,K$1,$B$1)</f>
        <v>1.5287999999999999</v>
      </c>
      <c r="L95" s="55">
        <f>_xll.EQNXTDZ($A$1,$B95,L$1,$B$1)</f>
        <v>1.3503000000000001</v>
      </c>
      <c r="M95" s="55">
        <f>_xll.EQNXTDZ($A$1,$B95,M$1,$B$1)</f>
        <v>1.2286999999999999</v>
      </c>
      <c r="N95" s="55">
        <f>_xll.EQNXTDZ($A$1,$B95,N$1,$B$1)</f>
        <v>27.238399999999999</v>
      </c>
      <c r="O95" s="55">
        <f>_xll.EQNXTDZ($A$1,$B95,O$1,$B$1)</f>
        <v>0.73960000000000004</v>
      </c>
      <c r="P95" s="55">
        <f>_xll.EQNXTDZ($A$1,$B95,P$1,$B$1)</f>
        <v>0.51849999999999996</v>
      </c>
      <c r="Q95" s="55">
        <f>_xll.EQNXTDZ($A$1,$B95,Q$1,$B$1)</f>
        <v>0.37059999999999998</v>
      </c>
      <c r="R95" s="55">
        <f>_xll.EQNXTDZ($A$1,$B95,R$1,$B$1)</f>
        <v>0.29909999999999998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4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9.2799999999999994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4.4627999999999997</v>
      </c>
      <c r="E98" s="55">
        <f>_xll.EQNXTDZ($A$1,$B98,E$1,$B$1)</f>
        <v>3.2326000000000001</v>
      </c>
      <c r="F98" s="55">
        <f>_xll.EQNXTDZ($A$1,$B98,F$1,$B$1)</f>
        <v>1.7607999999999999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31.138200000000001</v>
      </c>
      <c r="D104" s="55">
        <f>_xll.EQNXTDZ($A$1,$B104,D$1,$B$1)</f>
        <v>31.138200000000001</v>
      </c>
      <c r="E104" s="55">
        <f>_xll.EQNXTDZ($A$1,$B104,E$1,$B$1)</f>
        <v>31.138200000000001</v>
      </c>
      <c r="F104" s="55">
        <f>_xll.EQNXTDZ($A$1,$B104,F$1,$B$1)</f>
        <v>31.138200000000001</v>
      </c>
      <c r="G104" s="55">
        <f>_xll.EQNXTDZ($A$1,$B104,G$1,$B$1)</f>
        <v>31.138200000000001</v>
      </c>
      <c r="H104" s="55">
        <f>_xll.EQNXTDZ($A$1,$B104,H$1,$B$1)</f>
        <v>31.138200000000001</v>
      </c>
      <c r="I104" s="55">
        <f>_xll.EQNXTDZ($A$1,$B104,I$1,$B$1)</f>
        <v>31.138200000000001</v>
      </c>
      <c r="J104" s="55">
        <f>_xll.EQNXTDZ($A$1,$B104,J$1,$B$1)</f>
        <v>31.138200000000001</v>
      </c>
      <c r="K104" s="55">
        <f>_xll.EQNXTDZ($A$1,$B104,K$1,$B$1)</f>
        <v>31.138200000000001</v>
      </c>
      <c r="L104" s="55">
        <f>_xll.EQNXTDZ($A$1,$B104,L$1,$B$1)</f>
        <v>31.138200000000001</v>
      </c>
      <c r="M104" s="55">
        <f>_xll.EQNXTDZ($A$1,$B104,M$1,$B$1)</f>
        <v>31.138200000000001</v>
      </c>
      <c r="N104" s="55">
        <f>_xll.EQNXTDZ($A$1,$B104,N$1,$B$1)</f>
        <v>31.138200000000001</v>
      </c>
      <c r="O104" s="55">
        <f>_xll.EQNXTDZ($A$1,$B104,O$1,$B$1)</f>
        <v>31.138200000000001</v>
      </c>
      <c r="P104" s="55">
        <f>_xll.EQNXTDZ($A$1,$B104,P$1,$B$1)</f>
        <v>31.138200000000001</v>
      </c>
      <c r="Q104" s="55">
        <f>_xll.EQNXTDZ($A$1,$B104,Q$1,$B$1)</f>
        <v>31.138200000000001</v>
      </c>
      <c r="R104" s="55">
        <f>_xll.EQNXTDZ($A$1,$B104,R$1,$B$1)</f>
        <v>31.138200000000001</v>
      </c>
      <c r="S104" s="55">
        <f>_xll.EQNXTDZ($A$1,$B104,S$1,$B$1)</f>
        <v>31.138200000000001</v>
      </c>
      <c r="T104" s="55">
        <f>_xll.EQNXTDZ($A$1,$B104,T$1,$B$1)</f>
        <v>62.276400000000002</v>
      </c>
      <c r="U104" s="55">
        <f>_xll.EQNXTDZ($A$1,$B104,U$1,$B$1)</f>
        <v>62.276400000000002</v>
      </c>
      <c r="V104" s="55">
        <f>_xll.EQNXTDZ($A$1,$B104,V$1,$B$1)</f>
        <v>62.276400000000002</v>
      </c>
      <c r="W104" s="55">
        <f>_xll.EQNXTDZ($A$1,$B104,W$1,$B$1)</f>
        <v>62.276400000000002</v>
      </c>
      <c r="X104" s="55">
        <f>_xll.EQNXTDZ($A$1,$B104,X$1,$B$1)</f>
        <v>62.276400000000002</v>
      </c>
      <c r="Y104" s="55">
        <f>_xll.EQNXTDZ($A$1,$B104,Y$1,$B$1)</f>
        <v>62.276400000000002</v>
      </c>
      <c r="Z104" s="55">
        <f>_xll.EQNXTDZ($A$1,$B104,Z$1,$B$1)</f>
        <v>62.276400000000002</v>
      </c>
      <c r="AA104" s="55">
        <f>_xll.EQNXTDZ($A$1,$B104,AA$1,$B$1)</f>
        <v>62.284100000000002</v>
      </c>
      <c r="AB104" s="55">
        <f>_xll.EQNXTDZ($A$1,$B104,AB$1,$B$1)</f>
        <v>62.296700000000001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34.975000000000001</v>
      </c>
      <c r="D106" s="55">
        <f>_xll.EQNXTDZ($A$1,$B106,D$1,$B$1)</f>
        <v>38.424999999999997</v>
      </c>
      <c r="E106" s="55">
        <f>_xll.EQNXTDZ($A$1,$B106,E$1,$B$1)</f>
        <v>32.774999999999999</v>
      </c>
      <c r="F106" s="55">
        <f>_xll.EQNXTDZ($A$1,$B106,F$1,$B$1)</f>
        <v>39.799999999999997</v>
      </c>
      <c r="G106" s="55">
        <f>_xll.EQNXTDZ($A$1,$B106,G$1,$B$1)</f>
        <v>92.224999999999994</v>
      </c>
      <c r="H106" s="55">
        <f>_xll.EQNXTDZ($A$1,$B106,H$1,$B$1)</f>
        <v>97.174999999999997</v>
      </c>
      <c r="I106" s="55">
        <f>_xll.EQNXTDZ($A$1,$B106,I$1,$B$1)</f>
        <v>144.125</v>
      </c>
      <c r="J106" s="55">
        <f>_xll.EQNXTDZ($A$1,$B106,J$1,$B$1)</f>
        <v>78.849999999999994</v>
      </c>
      <c r="K106" s="55">
        <f>_xll.EQNXTDZ($A$1,$B106,K$1,$B$1)</f>
        <v>41.125</v>
      </c>
      <c r="L106" s="55">
        <f>_xll.EQNXTDZ($A$1,$B106,L$1,$B$1)</f>
        <v>159.94999999999999</v>
      </c>
      <c r="M106" s="55">
        <f>_xll.EQNXTDZ($A$1,$B106,M$1,$B$1)</f>
        <v>127.05</v>
      </c>
      <c r="N106" s="55">
        <f>_xll.EQNXTDZ($A$1,$B106,N$1,$B$1)</f>
        <v>97.95</v>
      </c>
      <c r="O106" s="55">
        <f>_xll.EQNXTDZ($A$1,$B106,O$1,$B$1)</f>
        <v>95.575000000000003</v>
      </c>
      <c r="P106" s="55">
        <f>_xll.EQNXTDZ($A$1,$B106,P$1,$B$1)</f>
        <v>272.2</v>
      </c>
      <c r="Q106" s="55">
        <f>_xll.EQNXTDZ($A$1,$B106,Q$1,$B$1)</f>
        <v>579.07500000000005</v>
      </c>
      <c r="R106" s="55">
        <f>_xll.EQNXTDZ($A$1,$B106,R$1,$B$1)</f>
        <v>940.27499999999998</v>
      </c>
      <c r="S106" s="55">
        <f>_xll.EQNXTDZ($A$1,$B106,S$1,$B$1)</f>
        <v>731.57500000000005</v>
      </c>
      <c r="T106" s="55">
        <f>_xll.EQNXTDZ($A$1,$B106,T$1,$B$1)</f>
        <v>985.15</v>
      </c>
      <c r="U106" s="55">
        <f>_xll.EQNXTDZ($A$1,$B106,U$1,$B$1)</f>
        <v>963.25</v>
      </c>
      <c r="V106" s="55">
        <f>_xll.EQNXTDZ($A$1,$B106,V$1,$B$1)</f>
        <v>629.79999999999995</v>
      </c>
      <c r="W106" s="55">
        <f>_xll.EQNXTDZ($A$1,$B106,W$1,$B$1)</f>
        <v>2693.4</v>
      </c>
      <c r="X106" s="55">
        <f>_xll.EQNXTDZ($A$1,$B106,X$1,$B$1)</f>
        <v>8840.25</v>
      </c>
      <c r="Y106" s="55">
        <f>_xll.EQNXTDZ($A$1,$B106,Y$1,$B$1)</f>
        <v>5961.5</v>
      </c>
      <c r="Z106" s="55">
        <f>_xll.EQNXTDZ($A$1,$B106,Z$1,$B$1)</f>
        <v>7779.6</v>
      </c>
      <c r="AA106" s="55">
        <f>_xll.EQNXTDZ($A$1,$B106,AA$1,$B$1)</f>
        <v>5216.3</v>
      </c>
      <c r="AB106" s="55">
        <f>_xll.EQNXTDZ($A$1,$B106,AB$1,$B$1)</f>
        <v>3977.25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79.5</v>
      </c>
      <c r="D107" s="55">
        <f>_xll.EQNXTDZ($A$1,$B107,D$1,$B$1)</f>
        <v>48.9</v>
      </c>
      <c r="E107" s="55">
        <f>_xll.EQNXTDZ($A$1,$B107,E$1,$B$1)</f>
        <v>70</v>
      </c>
      <c r="F107" s="55">
        <f>_xll.EQNXTDZ($A$1,$B107,F$1,$B$1)</f>
        <v>66.5</v>
      </c>
      <c r="G107" s="55">
        <f>_xll.EQNXTDZ($A$1,$B107,G$1,$B$1)</f>
        <v>95.625</v>
      </c>
      <c r="H107" s="55">
        <f>_xll.EQNXTDZ($A$1,$B107,H$1,$B$1)</f>
        <v>116</v>
      </c>
      <c r="I107" s="55">
        <f>_xll.EQNXTDZ($A$1,$B107,I$1,$B$1)</f>
        <v>160</v>
      </c>
      <c r="J107" s="55">
        <f>_xll.EQNXTDZ($A$1,$B107,J$1,$B$1)</f>
        <v>182.35</v>
      </c>
      <c r="K107" s="55">
        <f>_xll.EQNXTDZ($A$1,$B107,K$1,$B$1)</f>
        <v>111.95</v>
      </c>
      <c r="L107" s="55">
        <f>_xll.EQNXTDZ($A$1,$B107,L$1,$B$1)</f>
        <v>173.72499999999999</v>
      </c>
      <c r="M107" s="55">
        <f>_xll.EQNXTDZ($A$1,$B107,M$1,$B$1)</f>
        <v>170.45</v>
      </c>
      <c r="N107" s="55">
        <f>_xll.EQNXTDZ($A$1,$B107,N$1,$B$1)</f>
        <v>140.67500000000001</v>
      </c>
      <c r="O107" s="55">
        <f>_xll.EQNXTDZ($A$1,$B107,O$1,$B$1)</f>
        <v>127.05</v>
      </c>
      <c r="P107" s="55">
        <f>_xll.EQNXTDZ($A$1,$B107,P$1,$B$1)</f>
        <v>334.3</v>
      </c>
      <c r="Q107" s="55">
        <f>_xll.EQNXTDZ($A$1,$B107,Q$1,$B$1)</f>
        <v>743.75</v>
      </c>
      <c r="R107" s="55">
        <f>_xll.EQNXTDZ($A$1,$B107,R$1,$B$1)</f>
        <v>1198</v>
      </c>
      <c r="S107" s="55">
        <f>_xll.EQNXTDZ($A$1,$B107,S$1,$B$1)</f>
        <v>1032</v>
      </c>
      <c r="T107" s="55">
        <f>_xll.EQNXTDZ($A$1,$B107,T$1,$B$1)</f>
        <v>1123.05</v>
      </c>
      <c r="U107" s="55">
        <f>_xll.EQNXTDZ($A$1,$B107,U$1,$B$1)</f>
        <v>1491.75</v>
      </c>
      <c r="V107" s="55">
        <f>_xll.EQNXTDZ($A$1,$B107,V$1,$B$1)</f>
        <v>1098.75</v>
      </c>
      <c r="W107" s="55">
        <f>_xll.EQNXTDZ($A$1,$B107,W$1,$B$1)</f>
        <v>3050</v>
      </c>
      <c r="X107" s="55">
        <f>_xll.EQNXTDZ($A$1,$B107,X$1,$B$1)</f>
        <v>9420</v>
      </c>
      <c r="Y107" s="55">
        <f>_xll.EQNXTDZ($A$1,$B107,Y$1,$B$1)</f>
        <v>10760.4</v>
      </c>
      <c r="Z107" s="55">
        <f>_xll.EQNXTDZ($A$1,$B107,Z$1,$B$1)</f>
        <v>9191.1</v>
      </c>
      <c r="AA107" s="55">
        <f>_xll.EQNXTDZ($A$1,$B107,AA$1,$B$1)</f>
        <v>9082.9</v>
      </c>
      <c r="AB107" s="55">
        <f>_xll.EQNXTDZ($A$1,$B107,AB$1,$B$1)</f>
        <v>6733.5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30.05</v>
      </c>
      <c r="D108" s="55">
        <f>_xll.EQNXTDZ($A$1,$B108,D$1,$B$1)</f>
        <v>15.75</v>
      </c>
      <c r="E108" s="55">
        <f>_xll.EQNXTDZ($A$1,$B108,E$1,$B$1)</f>
        <v>32.125</v>
      </c>
      <c r="F108" s="55">
        <f>_xll.EQNXTDZ($A$1,$B108,F$1,$B$1)</f>
        <v>32.4</v>
      </c>
      <c r="G108" s="55">
        <f>_xll.EQNXTDZ($A$1,$B108,G$1,$B$1)</f>
        <v>37.5</v>
      </c>
      <c r="H108" s="55">
        <f>_xll.EQNXTDZ($A$1,$B108,H$1,$B$1)</f>
        <v>83.1</v>
      </c>
      <c r="I108" s="55">
        <f>_xll.EQNXTDZ($A$1,$B108,I$1,$B$1)</f>
        <v>73.5</v>
      </c>
      <c r="J108" s="55">
        <f>_xll.EQNXTDZ($A$1,$B108,J$1,$B$1)</f>
        <v>69</v>
      </c>
      <c r="K108" s="55">
        <f>_xll.EQNXTDZ($A$1,$B108,K$1,$B$1)</f>
        <v>37.5</v>
      </c>
      <c r="L108" s="55">
        <f>_xll.EQNXTDZ($A$1,$B108,L$1,$B$1)</f>
        <v>40.9</v>
      </c>
      <c r="M108" s="55">
        <f>_xll.EQNXTDZ($A$1,$B108,M$1,$B$1)</f>
        <v>112</v>
      </c>
      <c r="N108" s="55">
        <f>_xll.EQNXTDZ($A$1,$B108,N$1,$B$1)</f>
        <v>83.55</v>
      </c>
      <c r="O108" s="55">
        <f>_xll.EQNXTDZ($A$1,$B108,O$1,$B$1)</f>
        <v>91.45</v>
      </c>
      <c r="P108" s="55">
        <f>_xll.EQNXTDZ($A$1,$B108,P$1,$B$1)</f>
        <v>78.05</v>
      </c>
      <c r="Q108" s="55">
        <f>_xll.EQNXTDZ($A$1,$B108,Q$1,$B$1)</f>
        <v>236</v>
      </c>
      <c r="R108" s="55">
        <f>_xll.EQNXTDZ($A$1,$B108,R$1,$B$1)</f>
        <v>489</v>
      </c>
      <c r="S108" s="55">
        <f>_xll.EQNXTDZ($A$1,$B108,S$1,$B$1)</f>
        <v>510.82499999999999</v>
      </c>
      <c r="T108" s="55">
        <f>_xll.EQNXTDZ($A$1,$B108,T$1,$B$1)</f>
        <v>643.75</v>
      </c>
      <c r="U108" s="55">
        <f>_xll.EQNXTDZ($A$1,$B108,U$1,$B$1)</f>
        <v>826</v>
      </c>
      <c r="V108" s="55">
        <f>_xll.EQNXTDZ($A$1,$B108,V$1,$B$1)</f>
        <v>501</v>
      </c>
      <c r="W108" s="55">
        <f>_xll.EQNXTDZ($A$1,$B108,W$1,$B$1)</f>
        <v>590</v>
      </c>
      <c r="X108" s="55">
        <f>_xll.EQNXTDZ($A$1,$B108,X$1,$B$1)</f>
        <v>2700</v>
      </c>
      <c r="Y108" s="55">
        <f>_xll.EQNXTDZ($A$1,$B108,Y$1,$B$1)</f>
        <v>5708.1</v>
      </c>
      <c r="Z108" s="55">
        <f>_xll.EQNXTDZ($A$1,$B108,Z$1,$B$1)</f>
        <v>5976.05</v>
      </c>
      <c r="AA108" s="55">
        <f>_xll.EQNXTDZ($A$1,$B108,AA$1,$B$1)</f>
        <v>5160</v>
      </c>
      <c r="AB108" s="55">
        <f>_xll.EQNXTDZ($A$1,$B108,AB$1,$B$1)</f>
        <v>3970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217.81170900000001</v>
      </c>
      <c r="D109" s="55">
        <f>_xll.EQNXTDZ($A$1,$B109,D$1,$B$1)</f>
        <v>239.297067</v>
      </c>
      <c r="E109" s="55">
        <f>_xll.EQNXTDZ($A$1,$B109,E$1,$B$1)</f>
        <v>204.11090100000001</v>
      </c>
      <c r="F109" s="55">
        <f>_xll.EQNXTDZ($A$1,$B109,F$1,$B$1)</f>
        <v>247.860072</v>
      </c>
      <c r="G109" s="55">
        <f>_xll.EQNXTDZ($A$1,$B109,G$1,$B$1)</f>
        <v>574.34409900000003</v>
      </c>
      <c r="H109" s="55">
        <f>_xll.EQNXTDZ($A$1,$B109,H$1,$B$1)</f>
        <v>605.17091700000003</v>
      </c>
      <c r="I109" s="55">
        <f>_xll.EQNXTDZ($A$1,$B109,I$1,$B$1)</f>
        <v>897.55861500000003</v>
      </c>
      <c r="J109" s="55">
        <f>_xll.EQNXTDZ($A$1,$B109,J$1,$B$1)</f>
        <v>491.04941400000001</v>
      </c>
      <c r="K109" s="55">
        <f>_xll.EQNXTDZ($A$1,$B109,K$1,$B$1)</f>
        <v>256.111695</v>
      </c>
      <c r="L109" s="55">
        <f>_xll.EQNXTDZ($A$1,$B109,L$1,$B$1)</f>
        <v>996.11101799999994</v>
      </c>
      <c r="M109" s="55">
        <f>_xll.EQNXTDZ($A$1,$B109,M$1,$B$1)</f>
        <v>791.22166200000004</v>
      </c>
      <c r="N109" s="55">
        <f>_xll.EQNXTDZ($A$1,$B109,N$1,$B$1)</f>
        <v>609.99733800000001</v>
      </c>
      <c r="O109" s="55">
        <f>_xll.EQNXTDZ($A$1,$B109,O$1,$B$1)</f>
        <v>595.20669299999997</v>
      </c>
      <c r="P109" s="55">
        <f>_xll.EQNXTDZ($A$1,$B109,P$1,$B$1)</f>
        <v>1695.1636080000001</v>
      </c>
      <c r="Q109" s="55">
        <f>_xll.EQNXTDZ($A$1,$B109,Q$1,$B$1)</f>
        <v>3606.2706330000001</v>
      </c>
      <c r="R109" s="55">
        <f>_xll.EQNXTDZ($A$1,$B109,R$1,$B$1)</f>
        <v>5855.6942010000002</v>
      </c>
      <c r="S109" s="55">
        <f>_xll.EQNXTDZ($A$1,$B109,S$1,$B$1)</f>
        <v>4555.9857330000004</v>
      </c>
      <c r="T109" s="55">
        <f>_xll.EQNXTDZ($A$1,$B109,T$1,$B$1)</f>
        <v>6135.1595459999999</v>
      </c>
      <c r="U109" s="55">
        <f>_xll.EQNXTDZ($A$1,$B109,U$1,$B$1)</f>
        <v>5998.77423</v>
      </c>
      <c r="V109" s="55">
        <f>_xll.EQNXTDZ($A$1,$B109,V$1,$B$1)</f>
        <v>3922.167672</v>
      </c>
      <c r="W109" s="55">
        <f>_xll.EQNXTDZ($A$1,$B109,W$1,$B$1)</f>
        <v>16773.525576</v>
      </c>
      <c r="X109" s="55">
        <f>_xll.EQNXTDZ($A$1,$B109,X$1,$B$1)</f>
        <v>55053.894509999998</v>
      </c>
      <c r="Y109" s="55">
        <f>_xll.EQNXTDZ($A$1,$B109,Y$1,$B$1)</f>
        <v>37126.075859999997</v>
      </c>
      <c r="Z109" s="55">
        <f>_xll.EQNXTDZ($A$1,$B109,Z$1,$B$1)</f>
        <v>48448.548144</v>
      </c>
      <c r="AA109" s="55">
        <f>_xll.EQNXTDZ($A$1,$B109,AA$1,$B$1)</f>
        <v>32489.255083</v>
      </c>
      <c r="AB109" s="55">
        <f>_xll.EQNXTDZ($A$1,$B109,AB$1,$B$1)</f>
        <v>24776.955007500001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1.25</v>
      </c>
      <c r="D110" s="55">
        <f>_xll.EQNXTDZ($A$1,$B110,D$1,$B$1)</f>
        <v>1.75</v>
      </c>
      <c r="E110" s="55">
        <f>_xll.EQNXTDZ($A$1,$B110,E$1,$B$1)</f>
        <v>1.25</v>
      </c>
      <c r="F110" s="55">
        <f>_xll.EQNXTDZ($A$1,$B110,F$1,$B$1)</f>
        <v>2</v>
      </c>
      <c r="G110" s="55">
        <f>_xll.EQNXTDZ($A$1,$B110,G$1,$B$1)</f>
        <v>2.75</v>
      </c>
      <c r="H110" s="55">
        <f>_xll.EQNXTDZ($A$1,$B110,H$1,$B$1)</f>
        <v>3.25</v>
      </c>
      <c r="I110" s="55">
        <f>_xll.EQNXTDZ($A$1,$B110,I$1,$B$1)</f>
        <v>3.5</v>
      </c>
      <c r="J110" s="55">
        <f>_xll.EQNXTDZ($A$1,$B110,J$1,$B$1)</f>
        <v>3.5</v>
      </c>
      <c r="K110" s="55">
        <f>_xll.EQNXTDZ($A$1,$B110,K$1,$B$1)</f>
        <v>3.5</v>
      </c>
      <c r="L110" s="55">
        <f>_xll.EQNXTDZ($A$1,$B110,L$1,$B$1)</f>
        <v>3.5</v>
      </c>
      <c r="M110" s="55">
        <f>_xll.EQNXTDZ($A$1,$B110,M$1,$B$1)</f>
        <v>3.5</v>
      </c>
      <c r="N110" s="55">
        <f>_xll.EQNXTDZ($A$1,$B110,N$1,$B$1)</f>
        <v>3.5</v>
      </c>
      <c r="O110" s="55">
        <f>_xll.EQNXTDZ($A$1,$B110,O$1,$B$1)</f>
        <v>2.5</v>
      </c>
      <c r="P110" s="55">
        <f>_xll.EQNXTDZ($A$1,$B110,P$1,$B$1)</f>
        <v>4.5</v>
      </c>
      <c r="Q110" s="55">
        <f>_xll.EQNXTDZ($A$1,$B110,Q$1,$B$1)</f>
        <v>5.5</v>
      </c>
      <c r="R110" s="55">
        <f>_xll.EQNXTDZ($A$1,$B110,R$1,$B$1)</f>
        <v>7</v>
      </c>
      <c r="S110" s="55">
        <f>_xll.EQNXTDZ($A$1,$B110,S$1,$B$1)</f>
        <v>8</v>
      </c>
      <c r="T110" s="55">
        <f>_xll.EQNXTDZ($A$1,$B110,T$1,$B$1)</f>
        <v>11</v>
      </c>
      <c r="U110" s="55">
        <f>_xll.EQNXTDZ($A$1,$B110,U$1,$B$1)</f>
        <v>13.5</v>
      </c>
      <c r="V110" s="55">
        <f>_xll.EQNXTDZ($A$1,$B110,V$1,$B$1)</f>
        <v>16.5</v>
      </c>
      <c r="W110" s="55">
        <f>_xll.EQNXTDZ($A$1,$B110,W$1,$B$1)</f>
        <v>48</v>
      </c>
      <c r="X110" s="55">
        <f>_xll.EQNXTDZ($A$1,$B110,X$1,$B$1)</f>
        <v>42.5</v>
      </c>
      <c r="Y110" s="55">
        <f>_xll.EQNXTDZ($A$1,$B110,Y$1,$B$1)</f>
        <v>60.6</v>
      </c>
      <c r="Z110" s="55">
        <f>_xll.EQNXTDZ($A$1,$B110,Z$1,$B$1)</f>
        <v>70</v>
      </c>
      <c r="AA110" s="55">
        <f>_xll.EQNXTDZ($A$1,$B110,AA$1,$B$1)</f>
        <v>75</v>
      </c>
      <c r="AB110" s="55">
        <f>_xll.EQNXTDZ($A$1,$B110,AB$1,$B$1)</f>
        <v>75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38.15</v>
      </c>
      <c r="D112" s="56">
        <f>_xll.EQNXTDZ($A$1,$B112,D$5)</f>
        <v>38.15</v>
      </c>
      <c r="E112" s="56">
        <f>_xll.EQNXTDZ($A$1,$B112,E$5)</f>
        <v>38.15</v>
      </c>
      <c r="F112" s="56">
        <f>_xll.EQNXTDZ($A$1,$B112,F$5)</f>
        <v>38.15</v>
      </c>
      <c r="G112" s="56">
        <f>_xll.EQNXTDZ($A$1,$B112,G$5)</f>
        <v>38.15</v>
      </c>
      <c r="H112" s="56">
        <f>_xll.EQNXTDZ($A$1,$B112,H$5)</f>
        <v>38.15</v>
      </c>
      <c r="I112" s="56">
        <f>_xll.EQNXTDZ($A$1,$B112,I$5)</f>
        <v>38.15</v>
      </c>
      <c r="J112" s="56">
        <f>_xll.EQNXTDZ($A$1,$B112,J$5)</f>
        <v>43.49</v>
      </c>
      <c r="K112" s="56">
        <f>_xll.EQNXTDZ($A$1,$B112,K$5)</f>
        <v>44.26</v>
      </c>
      <c r="L112" s="56">
        <f>_xll.EQNXTDZ($A$1,$B112,L$5)</f>
        <v>44.55</v>
      </c>
      <c r="M112" s="56">
        <f>_xll.EQNXTDZ($A$1,$B112,M$5)</f>
        <v>45.11</v>
      </c>
      <c r="N112" s="56">
        <f>_xll.EQNXTDZ($A$1,$B112,N$5)</f>
        <v>45.11</v>
      </c>
      <c r="O112" s="56">
        <f>_xll.EQNXTDZ($A$1,$B112,O$5)</f>
        <v>45.11</v>
      </c>
      <c r="P112" s="56">
        <f>_xll.EQNXTDZ($A$1,$B112,P$5)</f>
        <v>45.11</v>
      </c>
      <c r="Q112" s="56">
        <f>_xll.EQNXTDZ($A$1,$B112,Q$5)</f>
        <v>44.95</v>
      </c>
      <c r="R112" s="56">
        <f>_xll.EQNXTDZ($A$1,$B112,R$5)</f>
        <v>44.79</v>
      </c>
      <c r="S112" s="56">
        <f>_xll.EQNXTDZ($A$1,$B112,S$5)</f>
        <v>44.63</v>
      </c>
      <c r="T112" s="56">
        <f>_xll.EQNXTDZ($A$1,$B112,T$5)</f>
        <v>44.57</v>
      </c>
      <c r="U112" s="56">
        <f>_xll.EQNXTDZ($A$1,$B112,U$5)</f>
        <v>44.53</v>
      </c>
      <c r="V112" s="56">
        <f>_xll.EQNXTDZ($A$1,$B112,V$5)</f>
        <v>44.53</v>
      </c>
      <c r="W112" s="56">
        <f>_xll.EQNXTDZ($A$1,$B112,W$5)</f>
        <v>44.53</v>
      </c>
      <c r="X112" s="56">
        <f>_xll.EQNXTDZ($A$1,$B112,X$5)</f>
        <v>44.08</v>
      </c>
      <c r="Y112" s="56">
        <f>_xll.EQNXTDZ($A$1,$B112,Y$5)</f>
        <v>43.92</v>
      </c>
      <c r="Z112" s="56">
        <f>_xll.EQNXTDZ($A$1,$B112,Z$5)</f>
        <v>43.92</v>
      </c>
      <c r="AA112" s="56">
        <f>_xll.EQNXTDZ($A$1,$B112,AA$5)</f>
        <v>43.91</v>
      </c>
      <c r="AB112" s="56">
        <f>_xll.EQNXTDZ($A$1,$B112,AB$5)</f>
        <v>43.9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100408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102.77500000000001</v>
      </c>
      <c r="D6" cm="1">
        <f t="array" ref="D6">_xll.EQNXTDZ($A$1,$B6,D$1)</f>
        <v>110.47499999999999</v>
      </c>
      <c r="E6" cm="1">
        <f t="array" ref="E6">_xll.EQNXTDZ($A$1,$B6,E$1)</f>
        <v>107.02500000000001</v>
      </c>
      <c r="F6" cm="1">
        <f t="array" ref="F6">_xll.EQNXTDZ($A$1,$B6,F$1)</f>
        <v>106.5</v>
      </c>
      <c r="G6" cm="1">
        <f t="array" ref="G6">_xll.EQNXTDZ($A$1,$B6,G$1)</f>
        <v>111.25</v>
      </c>
      <c r="H6" cm="1">
        <f t="array" ref="H6">_xll.EQNXTDZ($A$1,$B6,H$1)</f>
        <v>109</v>
      </c>
      <c r="I6" cm="1">
        <f t="array" ref="I6">_xll.EQNXTDZ($A$1,$B6,I$1)</f>
        <v>116.5</v>
      </c>
      <c r="J6" cm="1">
        <f t="array" ref="J6">_xll.EQNXTDZ($A$1,$B6,J$1)</f>
        <v>115.125</v>
      </c>
      <c r="K6" cm="1">
        <f t="array" ref="K6">_xll.EQNXTDZ($A$1,$B6,K$1)</f>
        <v>111.2</v>
      </c>
      <c r="L6" cm="1">
        <f t="array" ref="L6">_xll.EQNXTDZ($A$1,$B6,L$1)</f>
        <v>98.25</v>
      </c>
      <c r="M6" cm="1">
        <f t="array" ref="M6">_xll.EQNXTDZ($A$1,$B6,M$1)</f>
        <v>96.8</v>
      </c>
      <c r="N6" cm="1">
        <f t="array" ref="N6">_xll.EQNXTDZ($A$1,$B6,N$1)</f>
        <v>103.45</v>
      </c>
      <c r="O6" cm="1">
        <f t="array" ref="O6">_xll.EQNXTDZ($A$1,$B6,O$1)</f>
        <v>93.55</v>
      </c>
      <c r="P6" cm="1">
        <f t="array" ref="P6">_xll.EQNXTDZ($A$1,$B6,P$1)</f>
        <v>89.525000000000006</v>
      </c>
      <c r="Q6" cm="1">
        <f t="array" ref="Q6">_xll.EQNXTDZ($A$1,$B6,Q$1)</f>
        <v>92.55</v>
      </c>
      <c r="R6" cm="1">
        <f t="array" ref="R6">_xll.EQNXTDZ($A$1,$B6,R$1)</f>
        <v>86.174999999999997</v>
      </c>
      <c r="S6" cm="1">
        <f t="array" ref="S6">_xll.EQNXTDZ($A$1,$B6,S$1)</f>
        <v>92.075000000000003</v>
      </c>
      <c r="T6" cm="1">
        <f t="array" ref="T6">_xll.EQNXTDZ($A$1,$B6,T$1)</f>
        <v>109.47499999999999</v>
      </c>
      <c r="U6" cm="1">
        <f t="array" ref="U6">_xll.EQNXTDZ($A$1,$B6,U$1)</f>
        <v>150.5</v>
      </c>
      <c r="V6" cm="1">
        <f t="array" ref="V6">_xll.EQNXTDZ($A$1,$B6,V$1)</f>
        <v>209.2</v>
      </c>
      <c r="W6" cm="1">
        <f t="array" ref="W6">_xll.EQNXTDZ($A$1,$B6,W$1)</f>
        <v>207.7</v>
      </c>
      <c r="X6" cm="1">
        <f t="array" ref="X6">_xll.EQNXTDZ($A$1,$B6,X$1)</f>
        <v>295</v>
      </c>
      <c r="Y6" cm="1">
        <f t="array" ref="Y6">_xll.EQNXTDZ($A$1,$B6,Y$1)</f>
        <v>273.125</v>
      </c>
      <c r="Z6" cm="1">
        <f t="array" ref="Z6">_xll.EQNXTDZ($A$1,$B6,Z$1)</f>
        <v>277.2</v>
      </c>
      <c r="AA6" cm="1">
        <f t="array" ref="AA6">_xll.EQNXTDZ($A$1,$B6,AA$1)</f>
        <v>256.32499999999999</v>
      </c>
      <c r="AB6" cm="1">
        <f t="array" ref="AB6">_xll.EQNXTDZ($A$1,$B6,AB$1)</f>
        <v>309.7</v>
      </c>
      <c r="AC6" cm="1">
        <f t="array" ref="AC6">_xll.EQNXTDZ($A$1,$B6,AC$1)</f>
        <v>292.85000000000002</v>
      </c>
      <c r="AD6" cm="1">
        <f t="array" ref="AD6">_xll.EQNXTDZ($A$1,$B6,AD$1)</f>
        <v>307.45</v>
      </c>
      <c r="AE6" cm="1">
        <f t="array" ref="AE6">_xll.EQNXTDZ($A$1,$B6,AE$1)</f>
        <v>324.2</v>
      </c>
      <c r="AF6" cm="1">
        <f t="array" ref="AF6">_xll.EQNXTDZ($A$1,$B6,AF$1)</f>
        <v>311.5</v>
      </c>
      <c r="AG6" cm="1">
        <f t="array" ref="AG6">_xll.EQNXTDZ($A$1,$B6,AG$1)</f>
        <v>308.02499999999998</v>
      </c>
      <c r="AH6" cm="1">
        <f t="array" ref="AH6">_xll.EQNXTDZ($A$1,$B6,AH$1)</f>
        <v>298.5</v>
      </c>
      <c r="AI6" cm="1">
        <f t="array" ref="AI6">_xll.EQNXTDZ($A$1,$B6,AI$1)</f>
        <v>377.55</v>
      </c>
      <c r="AJ6" cm="1">
        <f t="array" ref="AJ6">_xll.EQNXTDZ($A$1,$B6,AJ$1)</f>
        <v>557.5</v>
      </c>
      <c r="AK6" cm="1">
        <f t="array" ref="AK6">_xll.EQNXTDZ($A$1,$B6,AK$1)</f>
        <v>580.85</v>
      </c>
      <c r="AL6" cm="1">
        <f t="array" ref="AL6">_xll.EQNXTDZ($A$1,$B6,AL$1)</f>
        <v>557.95000000000005</v>
      </c>
      <c r="AM6" cm="1">
        <f t="array" ref="AM6">_xll.EQNXTDZ($A$1,$B6,AM$1)</f>
        <v>634.95000000000005</v>
      </c>
      <c r="AN6" cm="1">
        <f t="array" ref="AN6">_xll.EQNXTDZ($A$1,$B6,AN$1)</f>
        <v>602.5</v>
      </c>
      <c r="AO6" cm="1">
        <f t="array" ref="AO6">_xll.EQNXTDZ($A$1,$B6,AO$1)</f>
        <v>852.5</v>
      </c>
      <c r="AP6" cm="1">
        <f t="array" ref="AP6">_xll.EQNXTDZ($A$1,$B6,AP$1)</f>
        <v>902.5</v>
      </c>
      <c r="AQ6" cm="1">
        <f t="array" ref="AQ6">_xll.EQNXTDZ($A$1,$B6,AQ$1)</f>
        <v>947.5</v>
      </c>
      <c r="AR6" cm="1">
        <f t="array" ref="AR6">_xll.EQNXTDZ($A$1,$B6,AR$1)</f>
        <v>915</v>
      </c>
      <c r="AS6" cm="1">
        <f t="array" ref="AS6">_xll.EQNXTDZ($A$1,$B6,AS$1)</f>
        <v>1018</v>
      </c>
      <c r="AT6" cm="1">
        <f t="array" ref="AT6">_xll.EQNXTDZ($A$1,$B6,AT$1)</f>
        <v>1126</v>
      </c>
      <c r="AU6" cm="1">
        <f t="array" ref="AU6">_xll.EQNXTDZ($A$1,$B6,AU$1)</f>
        <v>1047.55</v>
      </c>
      <c r="AV6" cm="1">
        <f t="array" ref="AV6">_xll.EQNXTDZ($A$1,$B6,AV$1)</f>
        <v>855</v>
      </c>
      <c r="AW6" cm="1">
        <f t="array" ref="AW6">_xll.EQNXTDZ($A$1,$B6,AW$1)</f>
        <v>941.85</v>
      </c>
      <c r="AX6" cm="1">
        <f t="array" ref="AX6">_xll.EQNXTDZ($A$1,$B6,AX$1)</f>
        <v>947.5</v>
      </c>
      <c r="AY6" cm="1">
        <f t="array" ref="AY6">_xll.EQNXTDZ($A$1,$B6,AY$1)</f>
        <v>899</v>
      </c>
      <c r="AZ6" cm="1">
        <f t="array" ref="AZ6">_xll.EQNXTDZ($A$1,$B6,AZ$1)</f>
        <v>852.77499999999998</v>
      </c>
      <c r="BA6" cm="1">
        <f t="array" ref="BA6">_xll.EQNXTDZ($A$1,$B6,BA$1)</f>
        <v>825.47500000000002</v>
      </c>
      <c r="BB6" cm="1">
        <f t="array" ref="BB6">_xll.EQNXTDZ($A$1,$B6,BB$1)</f>
        <v>788.75</v>
      </c>
      <c r="BC6" cm="1">
        <f t="array" ref="BC6">_xll.EQNXTDZ($A$1,$B6,BC$1)</f>
        <v>703.4</v>
      </c>
      <c r="BD6" cm="1">
        <f t="array" ref="BD6">_xll.EQNXTDZ($A$1,$B6,BD$1)</f>
        <v>652.17499999999995</v>
      </c>
      <c r="BE6" cm="1">
        <f t="array" ref="BE6">_xll.EQNXTDZ($A$1,$B6,BE$1)</f>
        <v>639.5</v>
      </c>
      <c r="BF6" cm="1">
        <f t="array" ref="BF6">_xll.EQNXTDZ($A$1,$B6,BF$1)</f>
        <v>703.45</v>
      </c>
      <c r="BG6" cm="1">
        <f t="array" ref="BG6">_xll.EQNXTDZ($A$1,$B6,BG$1)</f>
        <v>705.05</v>
      </c>
      <c r="BH6" cm="1">
        <f t="array" ref="BH6">_xll.EQNXTDZ($A$1,$B6,BH$1)</f>
        <v>752</v>
      </c>
      <c r="BI6" cm="1">
        <f t="array" ref="BI6">_xll.EQNXTDZ($A$1,$B6,BI$1)</f>
        <v>735.02499999999998</v>
      </c>
      <c r="BJ6" cm="1">
        <f t="array" ref="BJ6">_xll.EQNXTDZ($A$1,$B6,BJ$1)</f>
        <v>758.75</v>
      </c>
      <c r="BK6" cm="1">
        <f t="array" ref="BK6">_xll.EQNXTDZ($A$1,$B6,BK$1)</f>
        <v>669.5</v>
      </c>
      <c r="BL6" cm="1">
        <f t="array" ref="BL6">_xll.EQNXTDZ($A$1,$B6,BL$1)</f>
        <v>793.47500000000002</v>
      </c>
      <c r="BM6" cm="1">
        <f t="array" ref="BM6">_xll.EQNXTDZ($A$1,$B6,BM$1)</f>
        <v>879</v>
      </c>
      <c r="BN6" cm="1">
        <f t="array" ref="BN6">_xll.EQNXTDZ($A$1,$B6,BN$1)</f>
        <v>821.9</v>
      </c>
      <c r="BO6" cm="1">
        <f t="array" ref="BO6">_xll.EQNXTDZ($A$1,$B6,BO$1)</f>
        <v>824</v>
      </c>
      <c r="BP6" cm="1">
        <f t="array" ref="BP6">_xll.EQNXTDZ($A$1,$B6,BP$1)</f>
        <v>844.05</v>
      </c>
      <c r="BQ6" cm="1">
        <f t="array" ref="BQ6">_xll.EQNXTDZ($A$1,$B6,BQ$1)</f>
        <v>945</v>
      </c>
      <c r="BR6" cm="1">
        <f t="array" ref="BR6">_xll.EQNXTDZ($A$1,$B6,BR$1)</f>
        <v>977.95</v>
      </c>
      <c r="BS6" cm="1">
        <f t="array" ref="BS6">_xll.EQNXTDZ($A$1,$B6,BS$1)</f>
        <v>1064.5</v>
      </c>
      <c r="BT6" cm="1">
        <f t="array" ref="BT6">_xll.EQNXTDZ($A$1,$B6,BT$1)</f>
        <v>1052.5</v>
      </c>
      <c r="BU6" cm="1">
        <f t="array" ref="BU6">_xll.EQNXTDZ($A$1,$B6,BU$1)</f>
        <v>991</v>
      </c>
      <c r="BV6" cm="1">
        <f t="array" ref="BV6">_xll.EQNXTDZ($A$1,$B6,BV$1)</f>
        <v>1239</v>
      </c>
      <c r="BW6" cm="1">
        <f t="array" ref="BW6">_xll.EQNXTDZ($A$1,$B6,BW$1)</f>
        <v>1238.3499999999999</v>
      </c>
      <c r="BX6" cm="1">
        <f t="array" ref="BX6">_xll.EQNXTDZ($A$1,$B6,BX$1)</f>
        <v>1340</v>
      </c>
      <c r="BY6" cm="1">
        <f t="array" ref="BY6">_xll.EQNXTDZ($A$1,$B6,BY$1)</f>
        <v>1426.5</v>
      </c>
      <c r="BZ6" cm="1">
        <f t="array" ref="BZ6">_xll.EQNXTDZ($A$1,$B6,BZ$1)</f>
        <v>1440</v>
      </c>
      <c r="CA6" cm="1">
        <f t="array" ref="CA6">_xll.EQNXTDZ($A$1,$B6,CA$1)</f>
        <v>1152.25</v>
      </c>
      <c r="CB6" cm="1">
        <f t="array" ref="CB6">_xll.EQNXTDZ($A$1,$B6,CB$1)</f>
        <v>1043.95</v>
      </c>
      <c r="CC6" cm="1">
        <f t="array" ref="CC6">_xll.EQNXTDZ($A$1,$B6,CC$1)</f>
        <v>1035</v>
      </c>
      <c r="CD6" cm="1">
        <f t="array" ref="CD6">_xll.EQNXTDZ($A$1,$B6,CD$1)</f>
        <v>1024.45</v>
      </c>
      <c r="CE6" cm="1">
        <f t="array" ref="CE6">_xll.EQNXTDZ($A$1,$B6,CE$1)</f>
        <v>877.6</v>
      </c>
      <c r="CF6" cm="1">
        <f t="array" ref="CF6">_xll.EQNXTDZ($A$1,$B6,CF$1)</f>
        <v>890</v>
      </c>
      <c r="CG6" cm="1">
        <f t="array" ref="CG6">_xll.EQNXTDZ($A$1,$B6,CG$1)</f>
        <v>965.1</v>
      </c>
      <c r="CH6" cm="1">
        <f t="array" ref="CH6">_xll.EQNXTDZ($A$1,$B6,CH$1)</f>
        <v>932.7</v>
      </c>
      <c r="CI6" cm="1">
        <f t="array" ref="CI6">_xll.EQNXTDZ($A$1,$B6,CI$1)</f>
        <v>874</v>
      </c>
      <c r="CJ6" cm="1">
        <f t="array" ref="CJ6">_xll.EQNXTDZ($A$1,$B6,CJ$1)</f>
        <v>890.1</v>
      </c>
      <c r="CK6" cm="1">
        <f t="array" ref="CK6">_xll.EQNXTDZ($A$1,$B6,CK$1)</f>
        <v>634</v>
      </c>
      <c r="CL6" cm="1">
        <f t="array" ref="CL6">_xll.EQNXTDZ($A$1,$B6,CL$1)</f>
        <v>632</v>
      </c>
      <c r="CM6" cm="1">
        <f t="array" ref="CM6">_xll.EQNXTDZ($A$1,$B6,CM$1)</f>
        <v>681</v>
      </c>
      <c r="CN6" cm="1">
        <f t="array" ref="CN6">_xll.EQNXTDZ($A$1,$B6,CN$1)</f>
        <v>818.5</v>
      </c>
      <c r="CO6" cm="1">
        <f t="array" ref="CO6">_xll.EQNXTDZ($A$1,$B6,CO$1)</f>
        <v>810.8</v>
      </c>
      <c r="CP6" cm="1">
        <f t="array" ref="CP6">_xll.EQNXTDZ($A$1,$B6,CP$1)</f>
        <v>827.9</v>
      </c>
      <c r="CQ6" cm="1">
        <f t="array" ref="CQ6">_xll.EQNXTDZ($A$1,$B6,CQ$1)</f>
        <v>944</v>
      </c>
      <c r="CR6" cm="1">
        <f t="array" ref="CR6">_xll.EQNXTDZ($A$1,$B6,CR$1)</f>
        <v>887</v>
      </c>
      <c r="CS6" cm="1">
        <f t="array" ref="CS6">_xll.EQNXTDZ($A$1,$B6,CS$1)</f>
        <v>636</v>
      </c>
      <c r="CT6" cm="1">
        <f t="array" ref="CT6">_xll.EQNXTDZ($A$1,$B6,CT$1)</f>
        <v>780</v>
      </c>
      <c r="CU6" cm="1">
        <f t="array" ref="CU6">_xll.EQNXTDZ($A$1,$B6,CU$1)</f>
        <v>775</v>
      </c>
      <c r="CV6" cm="1">
        <f t="array" ref="CV6">_xll.EQNXTDZ($A$1,$B6,CV$1)</f>
        <v>904</v>
      </c>
      <c r="CW6" cm="1">
        <f t="array" ref="CW6">_xll.EQNXTDZ($A$1,$B6,CW$1)</f>
        <v>940</v>
      </c>
      <c r="CX6" cm="1">
        <f t="array" ref="CX6">_xll.EQNXTDZ($A$1,$B6,CX$1)</f>
        <v>1074.8</v>
      </c>
      <c r="CY6" cm="1">
        <f t="array" ref="CY6">_xll.EQNXTDZ($A$1,$B6,CY$1)</f>
        <v>1295</v>
      </c>
      <c r="CZ6" cm="1">
        <f t="array" ref="CZ6">_xll.EQNXTDZ($A$1,$B6,CZ$1)</f>
        <v>1526.85</v>
      </c>
      <c r="DA6" cm="1">
        <f t="array" ref="DA6">_xll.EQNXTDZ($A$1,$B6,DA$1)</f>
        <v>1612</v>
      </c>
      <c r="DB6" cm="1">
        <f t="array" ref="DB6">_xll.EQNXTDZ($A$1,$B6,DB$1)</f>
        <v>1843</v>
      </c>
      <c r="DC6" cm="1">
        <f t="array" ref="DC6">_xll.EQNXTDZ($A$1,$B6,DC$1)</f>
        <v>2711.75</v>
      </c>
      <c r="DD6" cm="1">
        <f t="array" ref="DD6">_xll.EQNXTDZ($A$1,$B6,DD$1)</f>
        <v>2681.8</v>
      </c>
      <c r="DE6" cm="1">
        <f t="array" ref="DE6">_xll.EQNXTDZ($A$1,$B6,DE$1)</f>
        <v>2707</v>
      </c>
      <c r="DF6" cm="1">
        <f t="array" ref="DF6">_xll.EQNXTDZ($A$1,$B6,DF$1)</f>
        <v>3475</v>
      </c>
      <c r="DG6" cm="1">
        <f t="array" ref="DG6">_xll.EQNXTDZ($A$1,$B6,DG$1)</f>
        <v>3669</v>
      </c>
      <c r="DH6" cm="1">
        <f t="array" ref="DH6">_xll.EQNXTDZ($A$1,$B6,DH$1)</f>
        <v>4375.3</v>
      </c>
      <c r="DI6" cm="1">
        <f t="array" ref="DI6">_xll.EQNXTDZ($A$1,$B6,DI$1)</f>
        <v>4264</v>
      </c>
      <c r="DJ6" cm="1">
        <f t="array" ref="DJ6">_xll.EQNXTDZ($A$1,$B6,DJ$1)</f>
        <v>4800</v>
      </c>
      <c r="DK6" cm="1">
        <f t="array" ref="DK6">_xll.EQNXTDZ($A$1,$B6,DK$1)</f>
        <v>5594</v>
      </c>
      <c r="DL6" cm="1">
        <f t="array" ref="DL6">_xll.EQNXTDZ($A$1,$B6,DL$1)</f>
        <v>5900</v>
      </c>
      <c r="DM6" cm="1">
        <f t="array" ref="DM6">_xll.EQNXTDZ($A$1,$B6,DM$1)</f>
        <v>5781.65</v>
      </c>
      <c r="DN6" cm="1">
        <f t="array" ref="DN6">_xll.EQNXTDZ($A$1,$B6,DN$1)</f>
        <v>5888</v>
      </c>
      <c r="DO6" cm="1">
        <f t="array" ref="DO6">_xll.EQNXTDZ($A$1,$B6,DO$1)</f>
        <v>7779</v>
      </c>
      <c r="DP6" cm="1">
        <f t="array" ref="DP6">_xll.EQNXTDZ($A$1,$B6,DP$1)</f>
        <v>6374</v>
      </c>
      <c r="DQ6" cm="1">
        <f t="array" ref="DQ6">_xll.EQNXTDZ($A$1,$B6,DQ$1)</f>
        <v>8884</v>
      </c>
      <c r="DR6" cm="1">
        <f t="array" ref="DR6">_xll.EQNXTDZ($A$1,$B6,DR$1)</f>
        <v>7690</v>
      </c>
      <c r="DS6" cm="1">
        <f t="array" ref="DS6">_xll.EQNXTDZ($A$1,$B6,DS$1)</f>
        <v>8612</v>
      </c>
      <c r="DT6" cm="1">
        <f t="array" ref="DT6">_xll.EQNXTDZ($A$1,$B6,DT$1)</f>
        <v>8170.55</v>
      </c>
      <c r="DU6" cm="1">
        <f t="array" ref="DU6">_xll.EQNXTDZ($A$1,$B6,DU$1)</f>
        <v>8724</v>
      </c>
      <c r="DV6" cm="1">
        <f t="array" ref="DV6">_xll.EQNXTDZ($A$1,$B6,DV$1)</f>
        <v>8964</v>
      </c>
      <c r="DW6" cm="1">
        <f t="array" ref="DW6">_xll.EQNXTDZ($A$1,$B6,DW$1)</f>
        <v>8480</v>
      </c>
      <c r="DX6" cm="1">
        <f t="array" ref="DX6">_xll.EQNXTDZ($A$1,$B6,DX$1)</f>
        <v>7060</v>
      </c>
      <c r="DY6" cm="1">
        <f t="array" ref="DY6">_xll.EQNXTDZ($A$1,$B6,DY$1)</f>
        <v>7089.8</v>
      </c>
      <c r="DZ6" cm="1">
        <f t="array" ref="DZ6">_xll.EQNXTDZ($A$1,$B6,DZ$1)</f>
        <v>6317.35</v>
      </c>
      <c r="EA6" cm="1">
        <f t="array" ref="EA6">_xll.EQNXTDZ($A$1,$B6,EA$1)</f>
        <v>6666</v>
      </c>
      <c r="EB6" cm="1">
        <f t="array" ref="EB6">_xll.EQNXTDZ($A$1,$B6,EB$1)</f>
        <v>6128.85</v>
      </c>
      <c r="EC6" cm="1">
        <f t="array" ref="EC6">_xll.EQNXTDZ($A$1,$B6,EC$1)</f>
        <v>6070</v>
      </c>
      <c r="ED6" cm="1">
        <f t="array" ref="ED6">_xll.EQNXTDZ($A$1,$B6,ED$1)</f>
        <v>6650</v>
      </c>
      <c r="EE6" cm="1">
        <f t="array" ref="EE6">_xll.EQNXTDZ($A$1,$B6,EE$1)</f>
        <v>7478.8</v>
      </c>
      <c r="EF6" cm="1">
        <f t="array" ref="EF6">_xll.EQNXTDZ($A$1,$B6,EF$1)</f>
        <v>7618.05</v>
      </c>
      <c r="EG6" cm="1">
        <f t="array" ref="EG6">_xll.EQNXTDZ($A$1,$B6,EG$1)</f>
        <v>7240</v>
      </c>
      <c r="EH6" cm="1">
        <f t="array" ref="EH6">_xll.EQNXTDZ($A$1,$B6,EH$1)</f>
        <v>7300</v>
      </c>
      <c r="EI6" cm="1">
        <f t="array" ref="EI6">_xll.EQNXTDZ($A$1,$B6,EI$1)</f>
        <v>7260</v>
      </c>
      <c r="EJ6" cm="1">
        <f t="array" ref="EJ6">_xll.EQNXTDZ($A$1,$B6,EJ$1)</f>
        <v>7650</v>
      </c>
      <c r="EK6" cm="1">
        <f t="array" ref="EK6">_xll.EQNXTDZ($A$1,$B6,EK$1)</f>
        <v>8333.25</v>
      </c>
      <c r="EL6" cm="1">
        <f t="array" ref="EL6">_xll.EQNXTDZ($A$1,$B6,EL$1)</f>
        <v>8793</v>
      </c>
      <c r="EM6" cm="1">
        <f t="array" ref="EM6">_xll.EQNXTDZ($A$1,$B6,EM$1)</f>
        <v>7610</v>
      </c>
      <c r="EN6" cm="1">
        <f t="array" ref="EN6">_xll.EQNXTDZ($A$1,$B6,EN$1)</f>
        <v>7900</v>
      </c>
      <c r="EO6" cm="1">
        <f t="array" ref="EO6">_xll.EQNXTDZ($A$1,$B6,EO$1)</f>
        <v>7845</v>
      </c>
      <c r="EP6" cm="1">
        <f t="array" ref="EP6">_xll.EQNXTDZ($A$1,$B6,EP$1)</f>
        <v>7098</v>
      </c>
      <c r="EQ6" cm="1">
        <f t="array" ref="EQ6">_xll.EQNXTDZ($A$1,$B6,EQ$1)</f>
        <v>7148</v>
      </c>
      <c r="ER6" cm="1">
        <f t="array" ref="ER6">_xll.EQNXTDZ($A$1,$B6,ER$1)</f>
        <v>7001.4</v>
      </c>
      <c r="ES6" cm="1">
        <f t="array" ref="ES6">_xll.EQNXTDZ($A$1,$B6,ES$1)</f>
        <v>7000</v>
      </c>
      <c r="ET6" cm="1">
        <f t="array" ref="ET6">_xll.EQNXTDZ($A$1,$B6,ET$1)</f>
        <v>8009</v>
      </c>
      <c r="EU6" cm="1">
        <f t="array" ref="EU6">_xll.EQNXTDZ($A$1,$B6,EU$1)</f>
        <v>7725</v>
      </c>
      <c r="EV6" cm="1">
        <f t="array" ref="EV6">_xll.EQNXTDZ($A$1,$B6,EV$1)</f>
        <v>7069</v>
      </c>
      <c r="EW6" cm="1">
        <f t="array" ref="EW6">_xll.EQNXTDZ($A$1,$B6,EW$1)</f>
        <v>6670.75</v>
      </c>
      <c r="EX6" cm="1">
        <f t="array" ref="EX6">_xll.EQNXTDZ($A$1,$B6,EX$1)</f>
        <v>6810.5</v>
      </c>
      <c r="EY6" cm="1">
        <f t="array" ref="EY6">_xll.EQNXTDZ($A$1,$B6,EY$1)</f>
        <v>6370</v>
      </c>
      <c r="EZ6" cm="1">
        <f t="array" ref="EZ6">_xll.EQNXTDZ($A$1,$B6,EZ$1)</f>
        <v>5416.05</v>
      </c>
      <c r="FA6" cm="1">
        <f t="array" ref="FA6">_xll.EQNXTDZ($A$1,$B6,FA$1)</f>
        <v>5195.6000000000004</v>
      </c>
      <c r="FB6" cm="1">
        <f t="array" ref="FB6">_xll.EQNXTDZ($A$1,$B6,FB$1)</f>
        <v>5750</v>
      </c>
      <c r="FC6" cm="1">
        <f t="array" ref="FC6">_xll.EQNXTDZ($A$1,$B6,FC$1)</f>
        <v>6412.5</v>
      </c>
      <c r="FD6" cm="1">
        <f t="array" ref="FD6">_xll.EQNXTDZ($A$1,$B6,FD$1)</f>
        <v>6330</v>
      </c>
      <c r="FE6" cm="1">
        <f t="array" ref="FE6">_xll.EQNXTDZ($A$1,$B6,FE$1)</f>
        <v>6087.5</v>
      </c>
      <c r="FF6" cm="1">
        <f t="array" ref="FF6">_xll.EQNXTDZ($A$1,$B6,FF$1)</f>
        <v>5274.5</v>
      </c>
      <c r="FG6" cm="1">
        <f t="array" ref="FG6">_xll.EQNXTDZ($A$1,$B6,FG$1)</f>
        <v>5266.5</v>
      </c>
      <c r="FH6" cm="1">
        <f t="array" ref="FH6">_xll.EQNXTDZ($A$1,$B6,FH$1)</f>
        <v>5453</v>
      </c>
      <c r="FI6" cm="1">
        <f t="array" ref="FI6">_xll.EQNXTDZ($A$1,$B6,FI$1)</f>
        <v>5183.5</v>
      </c>
      <c r="FJ6" cm="1">
        <f t="array" ref="FJ6">_xll.EQNXTDZ($A$1,$B6,FJ$1)</f>
        <v>5250</v>
      </c>
      <c r="FK6" cm="1">
        <f t="array" ref="FK6">_xll.EQNXTDZ($A$1,$B6,FK$1)</f>
        <v>5317.5</v>
      </c>
      <c r="FL6" cm="1">
        <f t="array" ref="FL6">_xll.EQNXTDZ($A$1,$B6,FL$1)</f>
        <v>4317.7</v>
      </c>
      <c r="FM6" cm="1">
        <f t="array" ref="FM6">_xll.EQNXTDZ($A$1,$B6,FM$1)</f>
        <v>4109.3</v>
      </c>
      <c r="FN6" cm="1">
        <f t="array" ref="FN6">_xll.EQNXTDZ($A$1,$B6,FN$1)</f>
        <v>4150</v>
      </c>
      <c r="FO6" cm="1">
        <f t="array" ref="FO6">_xll.EQNXTDZ($A$1,$B6,FO$1)</f>
        <v>4306.8999999999996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112.2</v>
      </c>
      <c r="D7" s="116" cm="1">
        <f t="array" ref="D7">_xll.EQNXTDZ($A$1,$B7,D$1)</f>
        <v>126.85</v>
      </c>
      <c r="E7" s="116" cm="1">
        <f t="array" ref="E7">_xll.EQNXTDZ($A$1,$B7,E$1)</f>
        <v>115.75</v>
      </c>
      <c r="F7" s="116" cm="1">
        <f t="array" ref="F7">_xll.EQNXTDZ($A$1,$B7,F$1)</f>
        <v>121.9</v>
      </c>
      <c r="G7" s="116" cm="1">
        <f t="array" ref="G7">_xll.EQNXTDZ($A$1,$B7,G$1)</f>
        <v>119</v>
      </c>
      <c r="H7" s="116" cm="1">
        <f t="array" ref="H7">_xll.EQNXTDZ($A$1,$B7,H$1)</f>
        <v>126.5</v>
      </c>
      <c r="I7" s="116" cm="1">
        <f t="array" ref="I7">_xll.EQNXTDZ($A$1,$B7,I$1)</f>
        <v>122.35</v>
      </c>
      <c r="J7" s="116" cm="1">
        <f t="array" ref="J7">_xll.EQNXTDZ($A$1,$B7,J$1)</f>
        <v>123.5</v>
      </c>
      <c r="K7" s="116" cm="1">
        <f t="array" ref="K7">_xll.EQNXTDZ($A$1,$B7,K$1)</f>
        <v>112</v>
      </c>
      <c r="L7" s="116" cm="1">
        <f t="array" ref="L7">_xll.EQNXTDZ($A$1,$B7,L$1)</f>
        <v>113.95</v>
      </c>
      <c r="M7" s="116" cm="1">
        <f t="array" ref="M7">_xll.EQNXTDZ($A$1,$B7,M$1)</f>
        <v>103.45</v>
      </c>
      <c r="N7" s="116" cm="1">
        <f t="array" ref="N7">_xll.EQNXTDZ($A$1,$B7,N$1)</f>
        <v>104.22499999999999</v>
      </c>
      <c r="O7" s="116" cm="1">
        <f t="array" ref="O7">_xll.EQNXTDZ($A$1,$B7,O$1)</f>
        <v>96.5</v>
      </c>
      <c r="P7" s="116" cm="1">
        <f t="array" ref="P7">_xll.EQNXTDZ($A$1,$B7,P$1)</f>
        <v>110.425</v>
      </c>
      <c r="Q7" s="116" cm="1">
        <f t="array" ref="Q7">_xll.EQNXTDZ($A$1,$B7,Q$1)</f>
        <v>96.55</v>
      </c>
      <c r="R7" s="116" cm="1">
        <f t="array" ref="R7">_xll.EQNXTDZ($A$1,$B7,R$1)</f>
        <v>98.9</v>
      </c>
      <c r="S7" s="116" cm="1">
        <f t="array" ref="S7">_xll.EQNXTDZ($A$1,$B7,S$1)</f>
        <v>115.7</v>
      </c>
      <c r="T7" s="116" cm="1">
        <f t="array" ref="T7">_xll.EQNXTDZ($A$1,$B7,T$1)</f>
        <v>153.44999999999999</v>
      </c>
      <c r="U7" s="116" cm="1">
        <f t="array" ref="U7">_xll.EQNXTDZ($A$1,$B7,U$1)</f>
        <v>213.9</v>
      </c>
      <c r="V7" s="116" cm="1">
        <f t="array" ref="V7">_xll.EQNXTDZ($A$1,$B7,V$1)</f>
        <v>212.42500000000001</v>
      </c>
      <c r="W7" s="116" cm="1">
        <f t="array" ref="W7">_xll.EQNXTDZ($A$1,$B7,W$1)</f>
        <v>297</v>
      </c>
      <c r="X7" s="116" cm="1">
        <f t="array" ref="X7">_xll.EQNXTDZ($A$1,$B7,X$1)</f>
        <v>333.9</v>
      </c>
      <c r="Y7" s="116" cm="1">
        <f t="array" ref="Y7">_xll.EQNXTDZ($A$1,$B7,Y$1)</f>
        <v>299.39999999999998</v>
      </c>
      <c r="Z7" s="116" cm="1">
        <f t="array" ref="Z7">_xll.EQNXTDZ($A$1,$B7,Z$1)</f>
        <v>281.5</v>
      </c>
      <c r="AA7" s="116" cm="1">
        <f t="array" ref="AA7">_xll.EQNXTDZ($A$1,$B7,AA$1)</f>
        <v>314.89999999999998</v>
      </c>
      <c r="AB7" s="116" cm="1">
        <f t="array" ref="AB7">_xll.EQNXTDZ($A$1,$B7,AB$1)</f>
        <v>335.5</v>
      </c>
      <c r="AC7" s="116" cm="1">
        <f t="array" ref="AC7">_xll.EQNXTDZ($A$1,$B7,AC$1)</f>
        <v>314.7</v>
      </c>
      <c r="AD7" s="116" cm="1">
        <f t="array" ref="AD7">_xll.EQNXTDZ($A$1,$B7,AD$1)</f>
        <v>349.9</v>
      </c>
      <c r="AE7" s="116" cm="1">
        <f t="array" ref="AE7">_xll.EQNXTDZ($A$1,$B7,AE$1)</f>
        <v>331.92500000000001</v>
      </c>
      <c r="AF7" s="116" cm="1">
        <f t="array" ref="AF7">_xll.EQNXTDZ($A$1,$B7,AF$1)</f>
        <v>320.92500000000001</v>
      </c>
      <c r="AG7" s="116" cm="1">
        <f t="array" ref="AG7">_xll.EQNXTDZ($A$1,$B7,AG$1)</f>
        <v>326.82499999999999</v>
      </c>
      <c r="AH7" s="116" cm="1">
        <f t="array" ref="AH7">_xll.EQNXTDZ($A$1,$B7,AH$1)</f>
        <v>408.6</v>
      </c>
      <c r="AI7" s="116" cm="1">
        <f t="array" ref="AI7">_xll.EQNXTDZ($A$1,$B7,AI$1)</f>
        <v>562.5</v>
      </c>
      <c r="AJ7" s="116" cm="1">
        <f t="array" ref="AJ7">_xll.EQNXTDZ($A$1,$B7,AJ$1)</f>
        <v>742.5</v>
      </c>
      <c r="AK7" s="116" cm="1">
        <f t="array" ref="AK7">_xll.EQNXTDZ($A$1,$B7,AK$1)</f>
        <v>702.5</v>
      </c>
      <c r="AL7" s="116" cm="1">
        <f t="array" ref="AL7">_xll.EQNXTDZ($A$1,$B7,AL$1)</f>
        <v>648</v>
      </c>
      <c r="AM7" s="116" cm="1">
        <f t="array" ref="AM7">_xll.EQNXTDZ($A$1,$B7,AM$1)</f>
        <v>646</v>
      </c>
      <c r="AN7" s="116" cm="1">
        <f t="array" ref="AN7">_xll.EQNXTDZ($A$1,$B7,AN$1)</f>
        <v>879.75</v>
      </c>
      <c r="AO7" s="116" cm="1">
        <f t="array" ref="AO7">_xll.EQNXTDZ($A$1,$B7,AO$1)</f>
        <v>1158.7</v>
      </c>
      <c r="AP7" s="116" cm="1">
        <f t="array" ref="AP7">_xll.EQNXTDZ($A$1,$B7,AP$1)</f>
        <v>1012</v>
      </c>
      <c r="AQ7" s="116" cm="1">
        <f t="array" ref="AQ7">_xll.EQNXTDZ($A$1,$B7,AQ$1)</f>
        <v>994.42499999999995</v>
      </c>
      <c r="AR7" s="116" cm="1">
        <f t="array" ref="AR7">_xll.EQNXTDZ($A$1,$B7,AR$1)</f>
        <v>1029.0250000000001</v>
      </c>
      <c r="AS7" s="116" cm="1">
        <f t="array" ref="AS7">_xll.EQNXTDZ($A$1,$B7,AS$1)</f>
        <v>1164.95</v>
      </c>
      <c r="AT7" s="116" cm="1">
        <f t="array" ref="AT7">_xll.EQNXTDZ($A$1,$B7,AT$1)</f>
        <v>1140.5999999999999</v>
      </c>
      <c r="AU7" s="116" cm="1">
        <f t="array" ref="AU7">_xll.EQNXTDZ($A$1,$B7,AU$1)</f>
        <v>1201.5</v>
      </c>
      <c r="AV7" s="116" cm="1">
        <f t="array" ref="AV7">_xll.EQNXTDZ($A$1,$B7,AV$1)</f>
        <v>1006</v>
      </c>
      <c r="AW7" s="116" cm="1">
        <f t="array" ref="AW7">_xll.EQNXTDZ($A$1,$B7,AW$1)</f>
        <v>1032.5</v>
      </c>
      <c r="AX7" s="116" cm="1">
        <f t="array" ref="AX7">_xll.EQNXTDZ($A$1,$B7,AX$1)</f>
        <v>970.875</v>
      </c>
      <c r="AY7" s="116" cm="1">
        <f t="array" ref="AY7">_xll.EQNXTDZ($A$1,$B7,AY$1)</f>
        <v>917.72500000000002</v>
      </c>
      <c r="AZ7" s="116" cm="1">
        <f t="array" ref="AZ7">_xll.EQNXTDZ($A$1,$B7,AZ$1)</f>
        <v>890.95</v>
      </c>
      <c r="BA7" s="116" cm="1">
        <f t="array" ref="BA7">_xll.EQNXTDZ($A$1,$B7,BA$1)</f>
        <v>878.9</v>
      </c>
      <c r="BB7" s="116" cm="1">
        <f t="array" ref="BB7">_xll.EQNXTDZ($A$1,$B7,BB$1)</f>
        <v>794.85</v>
      </c>
      <c r="BC7" s="116" cm="1">
        <f t="array" ref="BC7">_xll.EQNXTDZ($A$1,$B7,BC$1)</f>
        <v>717.5</v>
      </c>
      <c r="BD7" s="116" cm="1">
        <f t="array" ref="BD7">_xll.EQNXTDZ($A$1,$B7,BD$1)</f>
        <v>677.45</v>
      </c>
      <c r="BE7" s="116" cm="1">
        <f t="array" ref="BE7">_xll.EQNXTDZ($A$1,$B7,BE$1)</f>
        <v>749</v>
      </c>
      <c r="BF7" s="116" cm="1">
        <f t="array" ref="BF7">_xll.EQNXTDZ($A$1,$B7,BF$1)</f>
        <v>777.5</v>
      </c>
      <c r="BG7" s="116" cm="1">
        <f t="array" ref="BG7">_xll.EQNXTDZ($A$1,$B7,BG$1)</f>
        <v>766.5</v>
      </c>
      <c r="BH7" s="116" cm="1">
        <f t="array" ref="BH7">_xll.EQNXTDZ($A$1,$B7,BH$1)</f>
        <v>772.1</v>
      </c>
      <c r="BI7" s="116" cm="1">
        <f t="array" ref="BI7">_xll.EQNXTDZ($A$1,$B7,BI$1)</f>
        <v>802.5</v>
      </c>
      <c r="BJ7" s="116" cm="1">
        <f t="array" ref="BJ7">_xll.EQNXTDZ($A$1,$B7,BJ$1)</f>
        <v>797</v>
      </c>
      <c r="BK7" s="116" cm="1">
        <f t="array" ref="BK7">_xll.EQNXTDZ($A$1,$B7,BK$1)</f>
        <v>831.9</v>
      </c>
      <c r="BL7" s="116" cm="1">
        <f t="array" ref="BL7">_xll.EQNXTDZ($A$1,$B7,BL$1)</f>
        <v>888.67499999999995</v>
      </c>
      <c r="BM7" s="116" cm="1">
        <f t="array" ref="BM7">_xll.EQNXTDZ($A$1,$B7,BM$1)</f>
        <v>879.875</v>
      </c>
      <c r="BN7" s="116" cm="1">
        <f t="array" ref="BN7">_xll.EQNXTDZ($A$1,$B7,BN$1)</f>
        <v>921.7</v>
      </c>
      <c r="BO7" s="116" cm="1">
        <f t="array" ref="BO7">_xll.EQNXTDZ($A$1,$B7,BO$1)</f>
        <v>888</v>
      </c>
      <c r="BP7" s="116" cm="1">
        <f t="array" ref="BP7">_xll.EQNXTDZ($A$1,$B7,BP$1)</f>
        <v>975.75</v>
      </c>
      <c r="BQ7" s="116" cm="1">
        <f t="array" ref="BQ7">_xll.EQNXTDZ($A$1,$B7,BQ$1)</f>
        <v>984.85</v>
      </c>
      <c r="BR7" s="116" cm="1">
        <f t="array" ref="BR7">_xll.EQNXTDZ($A$1,$B7,BR$1)</f>
        <v>1123.25</v>
      </c>
      <c r="BS7" s="116" cm="1">
        <f t="array" ref="BS7">_xll.EQNXTDZ($A$1,$B7,BS$1)</f>
        <v>1076.45</v>
      </c>
      <c r="BT7" s="116" cm="1">
        <f t="array" ref="BT7">_xll.EQNXTDZ($A$1,$B7,BT$1)</f>
        <v>1067.3</v>
      </c>
      <c r="BU7" s="116" cm="1">
        <f t="array" ref="BU7">_xll.EQNXTDZ($A$1,$B7,BU$1)</f>
        <v>1259.9000000000001</v>
      </c>
      <c r="BV7" s="116" cm="1">
        <f t="array" ref="BV7">_xll.EQNXTDZ($A$1,$B7,BV$1)</f>
        <v>1256.9000000000001</v>
      </c>
      <c r="BW7" s="116" cm="1">
        <f t="array" ref="BW7">_xll.EQNXTDZ($A$1,$B7,BW$1)</f>
        <v>1358.35</v>
      </c>
      <c r="BX7" s="116" cm="1">
        <f t="array" ref="BX7">_xll.EQNXTDZ($A$1,$B7,BX$1)</f>
        <v>1490.9</v>
      </c>
      <c r="BY7" s="116" cm="1">
        <f t="array" ref="BY7">_xll.EQNXTDZ($A$1,$B7,BY$1)</f>
        <v>1462</v>
      </c>
      <c r="BZ7" s="116" cm="1">
        <f t="array" ref="BZ7">_xll.EQNXTDZ($A$1,$B7,BZ$1)</f>
        <v>1470</v>
      </c>
      <c r="CA7" s="116" cm="1">
        <f t="array" ref="CA7">_xll.EQNXTDZ($A$1,$B7,CA$1)</f>
        <v>1211.4000000000001</v>
      </c>
      <c r="CB7" s="116" cm="1">
        <f t="array" ref="CB7">_xll.EQNXTDZ($A$1,$B7,CB$1)</f>
        <v>1090</v>
      </c>
      <c r="CC7" s="116" cm="1">
        <f t="array" ref="CC7">_xll.EQNXTDZ($A$1,$B7,CC$1)</f>
        <v>1056</v>
      </c>
      <c r="CD7" s="116" cm="1">
        <f t="array" ref="CD7">_xll.EQNXTDZ($A$1,$B7,CD$1)</f>
        <v>1042</v>
      </c>
      <c r="CE7" s="116" cm="1">
        <f t="array" ref="CE7">_xll.EQNXTDZ($A$1,$B7,CE$1)</f>
        <v>929.9</v>
      </c>
      <c r="CF7" s="116" cm="1">
        <f t="array" ref="CF7">_xll.EQNXTDZ($A$1,$B7,CF$1)</f>
        <v>1010.95</v>
      </c>
      <c r="CG7" s="116" cm="1">
        <f t="array" ref="CG7">_xll.EQNXTDZ($A$1,$B7,CG$1)</f>
        <v>1000.7</v>
      </c>
      <c r="CH7" s="116" cm="1">
        <f t="array" ref="CH7">_xll.EQNXTDZ($A$1,$B7,CH$1)</f>
        <v>932.7</v>
      </c>
      <c r="CI7" s="116" cm="1">
        <f t="array" ref="CI7">_xll.EQNXTDZ($A$1,$B7,CI$1)</f>
        <v>892.5</v>
      </c>
      <c r="CJ7" s="116" cm="1">
        <f t="array" ref="CJ7">_xll.EQNXTDZ($A$1,$B7,CJ$1)</f>
        <v>924.95</v>
      </c>
      <c r="CK7" s="116" cm="1">
        <f t="array" ref="CK7">_xll.EQNXTDZ($A$1,$B7,CK$1)</f>
        <v>669</v>
      </c>
      <c r="CL7" s="116" cm="1">
        <f t="array" ref="CL7">_xll.EQNXTDZ($A$1,$B7,CL$1)</f>
        <v>701.2</v>
      </c>
      <c r="CM7" s="116" cm="1">
        <f t="array" ref="CM7">_xll.EQNXTDZ($A$1,$B7,CM$1)</f>
        <v>831</v>
      </c>
      <c r="CN7" s="116" cm="1">
        <f t="array" ref="CN7">_xll.EQNXTDZ($A$1,$B7,CN$1)</f>
        <v>841.4</v>
      </c>
      <c r="CO7" s="116" cm="1">
        <f t="array" ref="CO7">_xll.EQNXTDZ($A$1,$B7,CO$1)</f>
        <v>899</v>
      </c>
      <c r="CP7" s="116" cm="1">
        <f t="array" ref="CP7">_xll.EQNXTDZ($A$1,$B7,CP$1)</f>
        <v>979</v>
      </c>
      <c r="CQ7" s="116" cm="1">
        <f t="array" ref="CQ7">_xll.EQNXTDZ($A$1,$B7,CQ$1)</f>
        <v>1098.4000000000001</v>
      </c>
      <c r="CR7" s="116" cm="1">
        <f t="array" ref="CR7">_xll.EQNXTDZ($A$1,$B7,CR$1)</f>
        <v>1071.25</v>
      </c>
      <c r="CS7" s="116" cm="1">
        <f t="array" ref="CS7">_xll.EQNXTDZ($A$1,$B7,CS$1)</f>
        <v>860</v>
      </c>
      <c r="CT7" s="116" cm="1">
        <f t="array" ref="CT7">_xll.EQNXTDZ($A$1,$B7,CT$1)</f>
        <v>818.8</v>
      </c>
      <c r="CU7" s="116" cm="1">
        <f t="array" ref="CU7">_xll.EQNXTDZ($A$1,$B7,CU$1)</f>
        <v>943</v>
      </c>
      <c r="CV7" s="116" cm="1">
        <f t="array" ref="CV7">_xll.EQNXTDZ($A$1,$B7,CV$1)</f>
        <v>977.95</v>
      </c>
      <c r="CW7" s="116" cm="1">
        <f t="array" ref="CW7">_xll.EQNXTDZ($A$1,$B7,CW$1)</f>
        <v>1208.5999999999999</v>
      </c>
      <c r="CX7" s="116" cm="1">
        <f t="array" ref="CX7">_xll.EQNXTDZ($A$1,$B7,CX$1)</f>
        <v>1331</v>
      </c>
      <c r="CY7" s="116" cm="1">
        <f t="array" ref="CY7">_xll.EQNXTDZ($A$1,$B7,CY$1)</f>
        <v>1710</v>
      </c>
      <c r="CZ7" s="116" cm="1">
        <f t="array" ref="CZ7">_xll.EQNXTDZ($A$1,$B7,CZ$1)</f>
        <v>1609</v>
      </c>
      <c r="DA7" s="116" cm="1">
        <f t="array" ref="DA7">_xll.EQNXTDZ($A$1,$B7,DA$1)</f>
        <v>1888</v>
      </c>
      <c r="DB7" s="116" cm="1">
        <f t="array" ref="DB7">_xll.EQNXTDZ($A$1,$B7,DB$1)</f>
        <v>2849</v>
      </c>
      <c r="DC7" s="116" cm="1">
        <f t="array" ref="DC7">_xll.EQNXTDZ($A$1,$B7,DC$1)</f>
        <v>3050</v>
      </c>
      <c r="DD7" s="116" cm="1">
        <f t="array" ref="DD7">_xll.EQNXTDZ($A$1,$B7,DD$1)</f>
        <v>2837.5</v>
      </c>
      <c r="DE7" s="116" cm="1">
        <f t="array" ref="DE7">_xll.EQNXTDZ($A$1,$B7,DE$1)</f>
        <v>3519.6</v>
      </c>
      <c r="DF7" s="116" cm="1">
        <f t="array" ref="DF7">_xll.EQNXTDZ($A$1,$B7,DF$1)</f>
        <v>4090</v>
      </c>
      <c r="DG7" s="116" cm="1">
        <f t="array" ref="DG7">_xll.EQNXTDZ($A$1,$B7,DG$1)</f>
        <v>4350</v>
      </c>
      <c r="DH7" s="116" cm="1">
        <f t="array" ref="DH7">_xll.EQNXTDZ($A$1,$B7,DH$1)</f>
        <v>4575</v>
      </c>
      <c r="DI7" s="116" cm="1">
        <f t="array" ref="DI7">_xll.EQNXTDZ($A$1,$B7,DI$1)</f>
        <v>4949</v>
      </c>
      <c r="DJ7" s="116" cm="1">
        <f t="array" ref="DJ7">_xll.EQNXTDZ($A$1,$B7,DJ$1)</f>
        <v>5971.9</v>
      </c>
      <c r="DK7" s="116" cm="1">
        <f t="array" ref="DK7">_xll.EQNXTDZ($A$1,$B7,DK$1)</f>
        <v>6610</v>
      </c>
      <c r="DL7" s="116" cm="1">
        <f t="array" ref="DL7">_xll.EQNXTDZ($A$1,$B7,DL$1)</f>
        <v>6730</v>
      </c>
      <c r="DM7" s="116" cm="1">
        <f t="array" ref="DM7">_xll.EQNXTDZ($A$1,$B7,DM$1)</f>
        <v>6099</v>
      </c>
      <c r="DN7" s="116" cm="1">
        <f t="array" ref="DN7">_xll.EQNXTDZ($A$1,$B7,DN$1)</f>
        <v>7800</v>
      </c>
      <c r="DO7" s="116" cm="1">
        <f t="array" ref="DO7">_xll.EQNXTDZ($A$1,$B7,DO$1)</f>
        <v>7964.4</v>
      </c>
      <c r="DP7" s="116" cm="1">
        <f t="array" ref="DP7">_xll.EQNXTDZ($A$1,$B7,DP$1)</f>
        <v>9420</v>
      </c>
      <c r="DQ7" s="116" cm="1">
        <f t="array" ref="DQ7">_xll.EQNXTDZ($A$1,$B7,DQ$1)</f>
        <v>9164.4</v>
      </c>
      <c r="DR7" s="116" cm="1">
        <f t="array" ref="DR7">_xll.EQNXTDZ($A$1,$B7,DR$1)</f>
        <v>8820</v>
      </c>
      <c r="DS7" s="116" cm="1">
        <f t="array" ref="DS7">_xll.EQNXTDZ($A$1,$B7,DS$1)</f>
        <v>8821.9500000000007</v>
      </c>
      <c r="DT7" s="116" cm="1">
        <f t="array" ref="DT7">_xll.EQNXTDZ($A$1,$B7,DT$1)</f>
        <v>8700</v>
      </c>
      <c r="DU7" s="116" cm="1">
        <f t="array" ref="DU7">_xll.EQNXTDZ($A$1,$B7,DU$1)</f>
        <v>10760</v>
      </c>
      <c r="DV7" s="116" cm="1">
        <f t="array" ref="DV7">_xll.EQNXTDZ($A$1,$B7,DV$1)</f>
        <v>9270</v>
      </c>
      <c r="DW7" s="116" cm="1">
        <f t="array" ref="DW7">_xll.EQNXTDZ($A$1,$B7,DW$1)</f>
        <v>8685</v>
      </c>
      <c r="DX7" s="116" cm="1">
        <f t="array" ref="DX7">_xll.EQNXTDZ($A$1,$B7,DX$1)</f>
        <v>7095.7</v>
      </c>
      <c r="DY7" s="116" cm="1">
        <f t="array" ref="DY7">_xll.EQNXTDZ($A$1,$B7,DY$1)</f>
        <v>7195</v>
      </c>
      <c r="DZ7" s="116" cm="1">
        <f t="array" ref="DZ7">_xll.EQNXTDZ($A$1,$B7,DZ$1)</f>
        <v>6819.95</v>
      </c>
      <c r="EA7" s="116" cm="1">
        <f t="array" ref="EA7">_xll.EQNXTDZ($A$1,$B7,EA$1)</f>
        <v>6824.9</v>
      </c>
      <c r="EB7" s="116" cm="1">
        <f t="array" ref="EB7">_xll.EQNXTDZ($A$1,$B7,EB$1)</f>
        <v>6379.95</v>
      </c>
      <c r="EC7" s="116" cm="1">
        <f t="array" ref="EC7">_xll.EQNXTDZ($A$1,$B7,EC$1)</f>
        <v>6687</v>
      </c>
      <c r="ED7" s="116" cm="1">
        <f t="array" ref="ED7">_xll.EQNXTDZ($A$1,$B7,ED$1)</f>
        <v>7619.95</v>
      </c>
      <c r="EE7" s="116" cm="1">
        <f t="array" ref="EE7">_xll.EQNXTDZ($A$1,$B7,EE$1)</f>
        <v>7947</v>
      </c>
      <c r="EF7" s="116" cm="1">
        <f t="array" ref="EF7">_xll.EQNXTDZ($A$1,$B7,EF$1)</f>
        <v>7846.5</v>
      </c>
      <c r="EG7" s="116" cm="1">
        <f t="array" ref="EG7">_xll.EQNXTDZ($A$1,$B7,EG$1)</f>
        <v>7424</v>
      </c>
      <c r="EH7" s="116" cm="1">
        <f t="array" ref="EH7">_xll.EQNXTDZ($A$1,$B7,EH$1)</f>
        <v>7465</v>
      </c>
      <c r="EI7" s="116" cm="1">
        <f t="array" ref="EI7">_xll.EQNXTDZ($A$1,$B7,EI$1)</f>
        <v>7758.9</v>
      </c>
      <c r="EJ7" s="116" cm="1">
        <f t="array" ref="EJ7">_xll.EQNXTDZ($A$1,$B7,EJ$1)</f>
        <v>8576.0499999999993</v>
      </c>
      <c r="EK7" s="116" cm="1">
        <f t="array" ref="EK7">_xll.EQNXTDZ($A$1,$B7,EK$1)</f>
        <v>9200</v>
      </c>
      <c r="EL7" s="116" cm="1">
        <f t="array" ref="EL7">_xll.EQNXTDZ($A$1,$B7,EL$1)</f>
        <v>8949</v>
      </c>
      <c r="EM7" s="116" cm="1">
        <f t="array" ref="EM7">_xll.EQNXTDZ($A$1,$B7,EM$1)</f>
        <v>7995</v>
      </c>
      <c r="EN7" s="116" cm="1">
        <f t="array" ref="EN7">_xll.EQNXTDZ($A$1,$B7,EN$1)</f>
        <v>7993.2</v>
      </c>
      <c r="EO7" s="116" cm="1">
        <f t="array" ref="EO7">_xll.EQNXTDZ($A$1,$B7,EO$1)</f>
        <v>8195</v>
      </c>
      <c r="EP7" s="116" cm="1">
        <f t="array" ref="EP7">_xll.EQNXTDZ($A$1,$B7,EP$1)</f>
        <v>7559</v>
      </c>
      <c r="EQ7" s="116" cm="1">
        <f t="array" ref="EQ7">_xll.EQNXTDZ($A$1,$B7,EQ$1)</f>
        <v>7375</v>
      </c>
      <c r="ER7" s="116" cm="1">
        <f t="array" ref="ER7">_xll.EQNXTDZ($A$1,$B7,ER$1)</f>
        <v>7175</v>
      </c>
      <c r="ES7" s="116" cm="1">
        <f t="array" ref="ES7">_xll.EQNXTDZ($A$1,$B7,ES$1)</f>
        <v>9080</v>
      </c>
      <c r="ET7" s="116" cm="1">
        <f t="array" ref="ET7">_xll.EQNXTDZ($A$1,$B7,ET$1)</f>
        <v>8142.15</v>
      </c>
      <c r="EU7" s="116" cm="1">
        <f t="array" ref="EU7">_xll.EQNXTDZ($A$1,$B7,EU$1)</f>
        <v>8027</v>
      </c>
      <c r="EV7" s="116" cm="1">
        <f t="array" ref="EV7">_xll.EQNXTDZ($A$1,$B7,EV$1)</f>
        <v>7390</v>
      </c>
      <c r="EW7" s="116" cm="1">
        <f t="array" ref="EW7">_xll.EQNXTDZ($A$1,$B7,EW$1)</f>
        <v>7474</v>
      </c>
      <c r="EX7" s="116" cm="1">
        <f t="array" ref="EX7">_xll.EQNXTDZ($A$1,$B7,EX$1)</f>
        <v>6840</v>
      </c>
      <c r="EY7" s="116" cm="1">
        <f t="array" ref="EY7">_xll.EQNXTDZ($A$1,$B7,EY$1)</f>
        <v>6478.15</v>
      </c>
      <c r="EZ7" s="116" cm="1">
        <f t="array" ref="EZ7">_xll.EQNXTDZ($A$1,$B7,EZ$1)</f>
        <v>5742.95</v>
      </c>
      <c r="FA7" s="116" cm="1">
        <f t="array" ref="FA7">_xll.EQNXTDZ($A$1,$B7,FA$1)</f>
        <v>5958</v>
      </c>
      <c r="FB7" s="116" cm="1">
        <f t="array" ref="FB7">_xll.EQNXTDZ($A$1,$B7,FB$1)</f>
        <v>6535</v>
      </c>
      <c r="FC7" s="116" cm="1">
        <f t="array" ref="FC7">_xll.EQNXTDZ($A$1,$B7,FC$1)</f>
        <v>6735</v>
      </c>
      <c r="FD7" s="116" cm="1">
        <f t="array" ref="FD7">_xll.EQNXTDZ($A$1,$B7,FD$1)</f>
        <v>6439.5</v>
      </c>
      <c r="FE7" s="116" cm="1">
        <f t="array" ref="FE7">_xll.EQNXTDZ($A$1,$B7,FE$1)</f>
        <v>6087.5</v>
      </c>
      <c r="FF7" s="116" cm="1">
        <f t="array" ref="FF7">_xll.EQNXTDZ($A$1,$B7,FF$1)</f>
        <v>5860</v>
      </c>
      <c r="FG7" s="116" cm="1">
        <f t="array" ref="FG7">_xll.EQNXTDZ($A$1,$B7,FG$1)</f>
        <v>5625</v>
      </c>
      <c r="FH7" s="116" cm="1">
        <f t="array" ref="FH7">_xll.EQNXTDZ($A$1,$B7,FH$1)</f>
        <v>5480</v>
      </c>
      <c r="FI7" s="116" cm="1">
        <f t="array" ref="FI7">_xll.EQNXTDZ($A$1,$B7,FI$1)</f>
        <v>5506.5</v>
      </c>
      <c r="FJ7" s="116" cm="1">
        <f t="array" ref="FJ7">_xll.EQNXTDZ($A$1,$B7,FJ$1)</f>
        <v>5950</v>
      </c>
      <c r="FK7" s="116" cm="1">
        <f t="array" ref="FK7">_xll.EQNXTDZ($A$1,$B7,FK$1)</f>
        <v>5636.5</v>
      </c>
      <c r="FL7" s="116" cm="1">
        <f t="array" ref="FL7">_xll.EQNXTDZ($A$1,$B7,FL$1)</f>
        <v>4529</v>
      </c>
      <c r="FM7" s="116" cm="1">
        <f t="array" ref="FM7">_xll.EQNXTDZ($A$1,$B7,FM$1)</f>
        <v>4753.6000000000004</v>
      </c>
      <c r="FN7" s="116" cm="1">
        <f t="array" ref="FN7">_xll.EQNXTDZ($A$1,$B7,FN$1)</f>
        <v>4424.6000000000004</v>
      </c>
      <c r="FO7" s="116" cm="1">
        <f t="array" ref="FO7">_xll.EQNXTDZ($A$1,$B7,FO$1)</f>
        <v>4542.8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126.85</v>
      </c>
      <c r="HQ7" s="116">
        <f>+MAX(G7:I7)</f>
        <v>126.5</v>
      </c>
      <c r="HR7" s="116">
        <f>+MAX(J7:L7)</f>
        <v>123.5</v>
      </c>
      <c r="HS7" s="116">
        <f>+MAX(M7:O7)</f>
        <v>104.22499999999999</v>
      </c>
      <c r="HT7" s="116">
        <f>+MAX(P7:R7)</f>
        <v>110.425</v>
      </c>
      <c r="HU7" s="116">
        <f>+MAX(S7:U7)</f>
        <v>213.9</v>
      </c>
      <c r="HV7" s="116">
        <f>+MAX(V7:X7)</f>
        <v>333.9</v>
      </c>
      <c r="HW7" s="116">
        <f>+MAX(Y7:AA7)</f>
        <v>314.89999999999998</v>
      </c>
      <c r="HX7" s="116">
        <f>+MAX(AB7:AD7)</f>
        <v>349.9</v>
      </c>
      <c r="HY7" s="116">
        <f>+MAX(AE7:AG7)</f>
        <v>331.92500000000001</v>
      </c>
      <c r="HZ7" s="116">
        <f>+MAX(AH7:AJ7)</f>
        <v>742.5</v>
      </c>
      <c r="IA7" s="116">
        <f>+MAX(AK7:AM7)</f>
        <v>702.5</v>
      </c>
      <c r="IB7" s="116">
        <f>+MAX(AN7:AP7)</f>
        <v>1158.7</v>
      </c>
      <c r="IC7" s="116">
        <f>+MAX(AQ7:AS7)</f>
        <v>1164.95</v>
      </c>
      <c r="ID7" s="116">
        <f>+MAX(AT7:AV7)</f>
        <v>1201.5</v>
      </c>
      <c r="IE7" s="116">
        <f>+MAX(AW7:AY7)</f>
        <v>1032.5</v>
      </c>
      <c r="IF7" s="116">
        <f>+MAX(AZ7:BB7)</f>
        <v>890.95</v>
      </c>
      <c r="IG7" s="116">
        <f>+MAX(BC7:BE7)</f>
        <v>749</v>
      </c>
      <c r="IH7" s="116">
        <f>+MAX(BF7:BH7)</f>
        <v>777.5</v>
      </c>
      <c r="II7" s="116">
        <f>+MAX(BI7:BK7)</f>
        <v>831.9</v>
      </c>
      <c r="IJ7" s="116">
        <f>+MAX(BL7:BN7)</f>
        <v>921.7</v>
      </c>
      <c r="IK7" s="116">
        <f>+MAX(BO7:BQ7)</f>
        <v>984.85</v>
      </c>
      <c r="IL7" s="116">
        <f>+MAX(BR7:BT7)</f>
        <v>1123.25</v>
      </c>
      <c r="IM7" s="116">
        <f>+MAX(BU7:BW7)</f>
        <v>1358.35</v>
      </c>
      <c r="IN7" s="116">
        <f>+MAX(BX7:BZ7)</f>
        <v>1490.9</v>
      </c>
      <c r="IO7" s="116">
        <f>+MAX(CA7:CC7)</f>
        <v>1211.4000000000001</v>
      </c>
      <c r="IP7" s="116">
        <f>+MAX(CD7:CF7)</f>
        <v>1042</v>
      </c>
      <c r="IQ7" s="116">
        <f>+MAX(CG7:CI7)</f>
        <v>1000.7</v>
      </c>
      <c r="IR7" s="116">
        <f>+MAX(CJ7:CL7)</f>
        <v>924.95</v>
      </c>
      <c r="IS7" s="116">
        <f>+MAX(CM7:CO7)</f>
        <v>899</v>
      </c>
      <c r="IT7" s="116">
        <f>+MAX(CP7:CR7)</f>
        <v>1098.4000000000001</v>
      </c>
      <c r="IU7" s="116">
        <f>+MAX(CS7:CU7)</f>
        <v>943</v>
      </c>
      <c r="IV7" s="116">
        <f>+MAX(CV7:CX7)</f>
        <v>1331</v>
      </c>
      <c r="IW7" s="116">
        <f>+MAX(CY7:DA7)</f>
        <v>1888</v>
      </c>
      <c r="IX7" s="116">
        <f>+MAX(DB7:DD7)</f>
        <v>3050</v>
      </c>
      <c r="IY7" s="116">
        <f>+MAX(DE7:DG7)</f>
        <v>4350</v>
      </c>
      <c r="IZ7" s="116">
        <f>+MAX(DH7:DJ7)</f>
        <v>5971.9</v>
      </c>
      <c r="JA7" s="116">
        <f>+MAX(DK7:DM7)</f>
        <v>6730</v>
      </c>
      <c r="JB7" s="116">
        <f>+MAX(DN7:DP7)</f>
        <v>9420</v>
      </c>
      <c r="JC7" s="116">
        <f>+MAX(DQ7:DS7)</f>
        <v>9164.4</v>
      </c>
      <c r="JD7" s="116">
        <f>+MAX(DT7:DV7)</f>
        <v>10760</v>
      </c>
      <c r="JE7" s="116">
        <f>+MAX(DW7:DY7)</f>
        <v>8685</v>
      </c>
      <c r="JF7" s="116">
        <f>+MAX(DZ7:EB7)</f>
        <v>6824.9</v>
      </c>
      <c r="JG7" s="116">
        <f>+MAX(EC7:EE7)</f>
        <v>7947</v>
      </c>
      <c r="JH7" s="116">
        <f>+MAX(EF7:EH7)</f>
        <v>7846.5</v>
      </c>
      <c r="JI7" s="116">
        <f>+MAX(EI7:EK7)</f>
        <v>9200</v>
      </c>
      <c r="JJ7" s="116">
        <f>+MAX(EL7:EN7)</f>
        <v>8949</v>
      </c>
      <c r="JK7" s="116">
        <f>MAX(EO7:EQ7)</f>
        <v>8195</v>
      </c>
      <c r="JL7" s="116">
        <f>MAX(ER7:ET7)</f>
        <v>9080</v>
      </c>
      <c r="JM7" s="116">
        <f>MAX(EU7:EW7)</f>
        <v>8027</v>
      </c>
      <c r="JN7" s="116">
        <f>MAX(EX7:EZ7)</f>
        <v>6840</v>
      </c>
      <c r="JO7" s="116">
        <f>MAX(FA7:FC7)</f>
        <v>6735</v>
      </c>
      <c r="JP7" s="116">
        <f>MAX(FD7:FF7)</f>
        <v>6439.5</v>
      </c>
      <c r="JQ7" s="116">
        <f>MAX(FG7:FI7)</f>
        <v>5625</v>
      </c>
      <c r="JR7" s="116">
        <f>MAX(FJ7:FL7)</f>
        <v>5950</v>
      </c>
      <c r="JS7" s="116">
        <f>MAX(FM7:FO7)</f>
        <v>4753.6000000000004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102.02500000000001</v>
      </c>
      <c r="D8" s="116" cm="1">
        <f t="array" ref="D8">_xll.EQNXTDZ($A$1,$B8,D$1)</f>
        <v>102.52500000000001</v>
      </c>
      <c r="E8" s="116" cm="1">
        <f t="array" ref="E8">_xll.EQNXTDZ($A$1,$B8,E$1)</f>
        <v>105.8</v>
      </c>
      <c r="F8" s="116" cm="1">
        <f t="array" ref="F8">_xll.EQNXTDZ($A$1,$B8,F$1)</f>
        <v>104.75</v>
      </c>
      <c r="G8" s="116" cm="1">
        <f t="array" ref="G8">_xll.EQNXTDZ($A$1,$B8,G$1)</f>
        <v>108.05</v>
      </c>
      <c r="H8" s="116" cm="1">
        <f t="array" ref="H8">_xll.EQNXTDZ($A$1,$B8,H$1)</f>
        <v>105.55</v>
      </c>
      <c r="I8" s="116" cm="1">
        <f t="array" ref="I8">_xll.EQNXTDZ($A$1,$B8,I$1)</f>
        <v>110.55</v>
      </c>
      <c r="J8" s="116" cm="1">
        <f t="array" ref="J8">_xll.EQNXTDZ($A$1,$B8,J$1)</f>
        <v>107.8</v>
      </c>
      <c r="K8" s="116" cm="1">
        <f t="array" ref="K8">_xll.EQNXTDZ($A$1,$B8,K$1)</f>
        <v>96.05</v>
      </c>
      <c r="L8" s="116" cm="1">
        <f t="array" ref="L8">_xll.EQNXTDZ($A$1,$B8,L$1)</f>
        <v>90</v>
      </c>
      <c r="M8" s="116" cm="1">
        <f t="array" ref="M8">_xll.EQNXTDZ($A$1,$B8,M$1)</f>
        <v>93.3</v>
      </c>
      <c r="N8" s="116" cm="1">
        <f t="array" ref="N8">_xll.EQNXTDZ($A$1,$B8,N$1)</f>
        <v>92.5</v>
      </c>
      <c r="O8" s="116" cm="1">
        <f t="array" ref="O8">_xll.EQNXTDZ($A$1,$B8,O$1)</f>
        <v>85.5</v>
      </c>
      <c r="P8" s="116" cm="1">
        <f t="array" ref="P8">_xll.EQNXTDZ($A$1,$B8,P$1)</f>
        <v>89.525000000000006</v>
      </c>
      <c r="Q8" s="116" cm="1">
        <f t="array" ref="Q8">_xll.EQNXTDZ($A$1,$B8,Q$1)</f>
        <v>78.275000000000006</v>
      </c>
      <c r="R8" s="116" cm="1">
        <f t="array" ref="R8">_xll.EQNXTDZ($A$1,$B8,R$1)</f>
        <v>84.075000000000003</v>
      </c>
      <c r="S8" s="116" cm="1">
        <f t="array" ref="S8">_xll.EQNXTDZ($A$1,$B8,S$1)</f>
        <v>89.65</v>
      </c>
      <c r="T8" s="116" cm="1">
        <f t="array" ref="T8">_xll.EQNXTDZ($A$1,$B8,T$1)</f>
        <v>108.5</v>
      </c>
      <c r="U8" s="116" cm="1">
        <f t="array" ref="U8">_xll.EQNXTDZ($A$1,$B8,U$1)</f>
        <v>144.30000000000001</v>
      </c>
      <c r="V8" s="116" cm="1">
        <f t="array" ref="V8">_xll.EQNXTDZ($A$1,$B8,V$1)</f>
        <v>173.5</v>
      </c>
      <c r="W8" s="116" cm="1">
        <f t="array" ref="W8">_xll.EQNXTDZ($A$1,$B8,W$1)</f>
        <v>195.85</v>
      </c>
      <c r="X8" s="116" cm="1">
        <f t="array" ref="X8">_xll.EQNXTDZ($A$1,$B8,X$1)</f>
        <v>264</v>
      </c>
      <c r="Y8" s="116" cm="1">
        <f t="array" ref="Y8">_xll.EQNXTDZ($A$1,$B8,Y$1)</f>
        <v>267.5</v>
      </c>
      <c r="Z8" s="116" cm="1">
        <f t="array" ref="Z8">_xll.EQNXTDZ($A$1,$B8,Z$1)</f>
        <v>235.52500000000001</v>
      </c>
      <c r="AA8" s="116" cm="1">
        <f t="array" ref="AA8">_xll.EQNXTDZ($A$1,$B8,AA$1)</f>
        <v>248.1</v>
      </c>
      <c r="AB8" s="116" cm="1">
        <f t="array" ref="AB8">_xll.EQNXTDZ($A$1,$B8,AB$1)</f>
        <v>285</v>
      </c>
      <c r="AC8" s="116" cm="1">
        <f t="array" ref="AC8">_xll.EQNXTDZ($A$1,$B8,AC$1)</f>
        <v>279.52499999999998</v>
      </c>
      <c r="AD8" s="116" cm="1">
        <f t="array" ref="AD8">_xll.EQNXTDZ($A$1,$B8,AD$1)</f>
        <v>290.5</v>
      </c>
      <c r="AE8" s="116" cm="1">
        <f t="array" ref="AE8">_xll.EQNXTDZ($A$1,$B8,AE$1)</f>
        <v>250</v>
      </c>
      <c r="AF8" s="116" cm="1">
        <f t="array" ref="AF8">_xll.EQNXTDZ($A$1,$B8,AF$1)</f>
        <v>295</v>
      </c>
      <c r="AG8" s="116" cm="1">
        <f t="array" ref="AG8">_xll.EQNXTDZ($A$1,$B8,AG$1)</f>
        <v>270.05</v>
      </c>
      <c r="AH8" s="116" cm="1">
        <f t="array" ref="AH8">_xll.EQNXTDZ($A$1,$B8,AH$1)</f>
        <v>298</v>
      </c>
      <c r="AI8" s="116" cm="1">
        <f t="array" ref="AI8">_xll.EQNXTDZ($A$1,$B8,AI$1)</f>
        <v>374.8</v>
      </c>
      <c r="AJ8" s="116" cm="1">
        <f t="array" ref="AJ8">_xll.EQNXTDZ($A$1,$B8,AJ$1)</f>
        <v>518.1</v>
      </c>
      <c r="AK8" s="116" cm="1">
        <f t="array" ref="AK8">_xll.EQNXTDZ($A$1,$B8,AK$1)</f>
        <v>487.5</v>
      </c>
      <c r="AL8" s="116" cm="1">
        <f t="array" ref="AL8">_xll.EQNXTDZ($A$1,$B8,AL$1)</f>
        <v>531.54999999999995</v>
      </c>
      <c r="AM8" s="116" cm="1">
        <f t="array" ref="AM8">_xll.EQNXTDZ($A$1,$B8,AM$1)</f>
        <v>522.57500000000005</v>
      </c>
      <c r="AN8" s="116" cm="1">
        <f t="array" ref="AN8">_xll.EQNXTDZ($A$1,$B8,AN$1)</f>
        <v>592</v>
      </c>
      <c r="AO8" s="116" cm="1">
        <f t="array" ref="AO8">_xll.EQNXTDZ($A$1,$B8,AO$1)</f>
        <v>777.5</v>
      </c>
      <c r="AP8" s="116" cm="1">
        <f t="array" ref="AP8">_xll.EQNXTDZ($A$1,$B8,AP$1)</f>
        <v>856.5</v>
      </c>
      <c r="AQ8" s="116" cm="1">
        <f t="array" ref="AQ8">_xll.EQNXTDZ($A$1,$B8,AQ$1)</f>
        <v>876</v>
      </c>
      <c r="AR8" s="116" cm="1">
        <f t="array" ref="AR8">_xll.EQNXTDZ($A$1,$B8,AR$1)</f>
        <v>839.4</v>
      </c>
      <c r="AS8" s="116" cm="1">
        <f t="array" ref="AS8">_xll.EQNXTDZ($A$1,$B8,AS$1)</f>
        <v>911.32500000000005</v>
      </c>
      <c r="AT8" s="116" cm="1">
        <f t="array" ref="AT8">_xll.EQNXTDZ($A$1,$B8,AT$1)</f>
        <v>818.32500000000005</v>
      </c>
      <c r="AU8" s="116" cm="1">
        <f t="array" ref="AU8">_xll.EQNXTDZ($A$1,$B8,AU$1)</f>
        <v>797.5</v>
      </c>
      <c r="AV8" s="116" cm="1">
        <f t="array" ref="AV8">_xll.EQNXTDZ($A$1,$B8,AV$1)</f>
        <v>850</v>
      </c>
      <c r="AW8" s="116" cm="1">
        <f t="array" ref="AW8">_xll.EQNXTDZ($A$1,$B8,AW$1)</f>
        <v>927.6</v>
      </c>
      <c r="AX8" s="116" cm="1">
        <f t="array" ref="AX8">_xll.EQNXTDZ($A$1,$B8,AX$1)</f>
        <v>888.07500000000005</v>
      </c>
      <c r="AY8" s="116" cm="1">
        <f t="array" ref="AY8">_xll.EQNXTDZ($A$1,$B8,AY$1)</f>
        <v>805.72500000000002</v>
      </c>
      <c r="AZ8" s="116" cm="1">
        <f t="array" ref="AZ8">_xll.EQNXTDZ($A$1,$B8,AZ$1)</f>
        <v>797.5</v>
      </c>
      <c r="BA8" s="116" cm="1">
        <f t="array" ref="BA8">_xll.EQNXTDZ($A$1,$B8,BA$1)</f>
        <v>769</v>
      </c>
      <c r="BB8" s="116" cm="1">
        <f t="array" ref="BB8">_xll.EQNXTDZ($A$1,$B8,BB$1)</f>
        <v>684</v>
      </c>
      <c r="BC8" s="116" cm="1">
        <f t="array" ref="BC8">_xll.EQNXTDZ($A$1,$B8,BC$1)</f>
        <v>611.02499999999998</v>
      </c>
      <c r="BD8" s="116" cm="1">
        <f t="array" ref="BD8">_xll.EQNXTDZ($A$1,$B8,BD$1)</f>
        <v>510.625</v>
      </c>
      <c r="BE8" s="116" cm="1">
        <f t="array" ref="BE8">_xll.EQNXTDZ($A$1,$B8,BE$1)</f>
        <v>631.54999999999995</v>
      </c>
      <c r="BF8" s="116" cm="1">
        <f t="array" ref="BF8">_xll.EQNXTDZ($A$1,$B8,BF$1)</f>
        <v>686.1</v>
      </c>
      <c r="BG8" s="116" cm="1">
        <f t="array" ref="BG8">_xll.EQNXTDZ($A$1,$B8,BG$1)</f>
        <v>697.02499999999998</v>
      </c>
      <c r="BH8" s="116" cm="1">
        <f t="array" ref="BH8">_xll.EQNXTDZ($A$1,$B8,BH$1)</f>
        <v>713</v>
      </c>
      <c r="BI8" s="116" cm="1">
        <f t="array" ref="BI8">_xll.EQNXTDZ($A$1,$B8,BI$1)</f>
        <v>735.02499999999998</v>
      </c>
      <c r="BJ8" s="116" cm="1">
        <f t="array" ref="BJ8">_xll.EQNXTDZ($A$1,$B8,BJ$1)</f>
        <v>641.17499999999995</v>
      </c>
      <c r="BK8" s="116" cm="1">
        <f t="array" ref="BK8">_xll.EQNXTDZ($A$1,$B8,BK$1)</f>
        <v>665</v>
      </c>
      <c r="BL8" s="116" cm="1">
        <f t="array" ref="BL8">_xll.EQNXTDZ($A$1,$B8,BL$1)</f>
        <v>792.65</v>
      </c>
      <c r="BM8" s="116" cm="1">
        <f t="array" ref="BM8">_xll.EQNXTDZ($A$1,$B8,BM$1)</f>
        <v>791.32500000000005</v>
      </c>
      <c r="BN8" s="116" cm="1">
        <f t="array" ref="BN8">_xll.EQNXTDZ($A$1,$B8,BN$1)</f>
        <v>792.3</v>
      </c>
      <c r="BO8" s="116" cm="1">
        <f t="array" ref="BO8">_xll.EQNXTDZ($A$1,$B8,BO$1)</f>
        <v>795.05</v>
      </c>
      <c r="BP8" s="116" cm="1">
        <f t="array" ref="BP8">_xll.EQNXTDZ($A$1,$B8,BP$1)</f>
        <v>839.7</v>
      </c>
      <c r="BQ8" s="116" cm="1">
        <f t="array" ref="BQ8">_xll.EQNXTDZ($A$1,$B8,BQ$1)</f>
        <v>882.4</v>
      </c>
      <c r="BR8" s="116" cm="1">
        <f t="array" ref="BR8">_xll.EQNXTDZ($A$1,$B8,BR$1)</f>
        <v>950.15</v>
      </c>
      <c r="BS8" s="116" cm="1">
        <f t="array" ref="BS8">_xll.EQNXTDZ($A$1,$B8,BS$1)</f>
        <v>923.25</v>
      </c>
      <c r="BT8" s="116" cm="1">
        <f t="array" ref="BT8">_xll.EQNXTDZ($A$1,$B8,BT$1)</f>
        <v>955.85</v>
      </c>
      <c r="BU8" s="116" cm="1">
        <f t="array" ref="BU8">_xll.EQNXTDZ($A$1,$B8,BU$1)</f>
        <v>986.55</v>
      </c>
      <c r="BV8" s="116" cm="1">
        <f t="array" ref="BV8">_xll.EQNXTDZ($A$1,$B8,BV$1)</f>
        <v>1118.8</v>
      </c>
      <c r="BW8" s="116" cm="1">
        <f t="array" ref="BW8">_xll.EQNXTDZ($A$1,$B8,BW$1)</f>
        <v>1137.3</v>
      </c>
      <c r="BX8" s="116" cm="1">
        <f t="array" ref="BX8">_xll.EQNXTDZ($A$1,$B8,BX$1)</f>
        <v>1321.85</v>
      </c>
      <c r="BY8" s="116" cm="1">
        <f t="array" ref="BY8">_xll.EQNXTDZ($A$1,$B8,BY$1)</f>
        <v>1375.05</v>
      </c>
      <c r="BZ8" s="116" cm="1">
        <f t="array" ref="BZ8">_xll.EQNXTDZ($A$1,$B8,BZ$1)</f>
        <v>1131.0999999999999</v>
      </c>
      <c r="CA8" s="116" cm="1">
        <f t="array" ref="CA8">_xll.EQNXTDZ($A$1,$B8,CA$1)</f>
        <v>922</v>
      </c>
      <c r="CB8" s="116" cm="1">
        <f t="array" ref="CB8">_xll.EQNXTDZ($A$1,$B8,CB$1)</f>
        <v>952.7</v>
      </c>
      <c r="CC8" s="116" cm="1">
        <f t="array" ref="CC8">_xll.EQNXTDZ($A$1,$B8,CC$1)</f>
        <v>952.55</v>
      </c>
      <c r="CD8" s="116" cm="1">
        <f t="array" ref="CD8">_xll.EQNXTDZ($A$1,$B8,CD$1)</f>
        <v>866</v>
      </c>
      <c r="CE8" s="116" cm="1">
        <f t="array" ref="CE8">_xll.EQNXTDZ($A$1,$B8,CE$1)</f>
        <v>830.1</v>
      </c>
      <c r="CF8" s="116" cm="1">
        <f t="array" ref="CF8">_xll.EQNXTDZ($A$1,$B8,CF$1)</f>
        <v>886</v>
      </c>
      <c r="CG8" s="116" cm="1">
        <f t="array" ref="CG8">_xll.EQNXTDZ($A$1,$B8,CG$1)</f>
        <v>915.9</v>
      </c>
      <c r="CH8" s="116" cm="1">
        <f t="array" ref="CH8">_xll.EQNXTDZ($A$1,$B8,CH$1)</f>
        <v>822.1</v>
      </c>
      <c r="CI8" s="116" cm="1">
        <f t="array" ref="CI8">_xll.EQNXTDZ($A$1,$B8,CI$1)</f>
        <v>834</v>
      </c>
      <c r="CJ8" s="116" cm="1">
        <f t="array" ref="CJ8">_xll.EQNXTDZ($A$1,$B8,CJ$1)</f>
        <v>608.5</v>
      </c>
      <c r="CK8" s="116" cm="1">
        <f t="array" ref="CK8">_xll.EQNXTDZ($A$1,$B8,CK$1)</f>
        <v>592.25</v>
      </c>
      <c r="CL8" s="116" cm="1">
        <f t="array" ref="CL8">_xll.EQNXTDZ($A$1,$B8,CL$1)</f>
        <v>606</v>
      </c>
      <c r="CM8" s="116" cm="1">
        <f t="array" ref="CM8">_xll.EQNXTDZ($A$1,$B8,CM$1)</f>
        <v>610</v>
      </c>
      <c r="CN8" s="116" cm="1">
        <f t="array" ref="CN8">_xll.EQNXTDZ($A$1,$B8,CN$1)</f>
        <v>782.45</v>
      </c>
      <c r="CO8" s="116" cm="1">
        <f t="array" ref="CO8">_xll.EQNXTDZ($A$1,$B8,CO$1)</f>
        <v>778</v>
      </c>
      <c r="CP8" s="116" cm="1">
        <f t="array" ref="CP8">_xll.EQNXTDZ($A$1,$B8,CP$1)</f>
        <v>812.6</v>
      </c>
      <c r="CQ8" s="116" cm="1">
        <f t="array" ref="CQ8">_xll.EQNXTDZ($A$1,$B8,CQ$1)</f>
        <v>855.1</v>
      </c>
      <c r="CR8" s="116" cm="1">
        <f t="array" ref="CR8">_xll.EQNXTDZ($A$1,$B8,CR$1)</f>
        <v>499.95</v>
      </c>
      <c r="CS8" s="116" cm="1">
        <f t="array" ref="CS8">_xll.EQNXTDZ($A$1,$B8,CS$1)</f>
        <v>590.04999999999995</v>
      </c>
      <c r="CT8" s="116" cm="1">
        <f t="array" ref="CT8">_xll.EQNXTDZ($A$1,$B8,CT$1)</f>
        <v>740.1</v>
      </c>
      <c r="CU8" s="116" cm="1">
        <f t="array" ref="CU8">_xll.EQNXTDZ($A$1,$B8,CU$1)</f>
        <v>767.35</v>
      </c>
      <c r="CV8" s="116" cm="1">
        <f t="array" ref="CV8">_xll.EQNXTDZ($A$1,$B8,CV$1)</f>
        <v>876</v>
      </c>
      <c r="CW8" s="116" cm="1">
        <f t="array" ref="CW8">_xll.EQNXTDZ($A$1,$B8,CW$1)</f>
        <v>932.55</v>
      </c>
      <c r="CX8" s="116" cm="1">
        <f t="array" ref="CX8">_xll.EQNXTDZ($A$1,$B8,CX$1)</f>
        <v>1060.45</v>
      </c>
      <c r="CY8" s="116" cm="1">
        <f t="array" ref="CY8">_xll.EQNXTDZ($A$1,$B8,CY$1)</f>
        <v>1270.1500000000001</v>
      </c>
      <c r="CZ8" s="116" cm="1">
        <f t="array" ref="CZ8">_xll.EQNXTDZ($A$1,$B8,CZ$1)</f>
        <v>1455</v>
      </c>
      <c r="DA8" s="116" cm="1">
        <f t="array" ref="DA8">_xll.EQNXTDZ($A$1,$B8,DA$1)</f>
        <v>1468</v>
      </c>
      <c r="DB8" s="116" cm="1">
        <f t="array" ref="DB8">_xll.EQNXTDZ($A$1,$B8,DB$1)</f>
        <v>1837</v>
      </c>
      <c r="DC8" s="116" cm="1">
        <f t="array" ref="DC8">_xll.EQNXTDZ($A$1,$B8,DC$1)</f>
        <v>2607</v>
      </c>
      <c r="DD8" s="116" cm="1">
        <f t="array" ref="DD8">_xll.EQNXTDZ($A$1,$B8,DD$1)</f>
        <v>2541.1</v>
      </c>
      <c r="DE8" s="116" cm="1">
        <f t="array" ref="DE8">_xll.EQNXTDZ($A$1,$B8,DE$1)</f>
        <v>2705</v>
      </c>
      <c r="DF8" s="116" cm="1">
        <f t="array" ref="DF8">_xll.EQNXTDZ($A$1,$B8,DF$1)</f>
        <v>3390.15</v>
      </c>
      <c r="DG8" s="116" cm="1">
        <f t="array" ref="DG8">_xll.EQNXTDZ($A$1,$B8,DG$1)</f>
        <v>3555</v>
      </c>
      <c r="DH8" s="116" cm="1">
        <f t="array" ref="DH8">_xll.EQNXTDZ($A$1,$B8,DH$1)</f>
        <v>4107.05</v>
      </c>
      <c r="DI8" s="116" cm="1">
        <f t="array" ref="DI8">_xll.EQNXTDZ($A$1,$B8,DI$1)</f>
        <v>4110</v>
      </c>
      <c r="DJ8" s="116" cm="1">
        <f t="array" ref="DJ8">_xll.EQNXTDZ($A$1,$B8,DJ$1)</f>
        <v>4800</v>
      </c>
      <c r="DK8" s="116" cm="1">
        <f t="array" ref="DK8">_xll.EQNXTDZ($A$1,$B8,DK$1)</f>
        <v>5594</v>
      </c>
      <c r="DL8" s="116" cm="1">
        <f t="array" ref="DL8">_xll.EQNXTDZ($A$1,$B8,DL$1)</f>
        <v>5263.4</v>
      </c>
      <c r="DM8" s="116" cm="1">
        <f t="array" ref="DM8">_xll.EQNXTDZ($A$1,$B8,DM$1)</f>
        <v>5340</v>
      </c>
      <c r="DN8" s="116" cm="1">
        <f t="array" ref="DN8">_xll.EQNXTDZ($A$1,$B8,DN$1)</f>
        <v>5782</v>
      </c>
      <c r="DO8" s="116" cm="1">
        <f t="array" ref="DO8">_xll.EQNXTDZ($A$1,$B8,DO$1)</f>
        <v>5990</v>
      </c>
      <c r="DP8" s="116" cm="1">
        <f t="array" ref="DP8">_xll.EQNXTDZ($A$1,$B8,DP$1)</f>
        <v>6340.05</v>
      </c>
      <c r="DQ8" s="116" cm="1">
        <f t="array" ref="DQ8">_xll.EQNXTDZ($A$1,$B8,DQ$1)</f>
        <v>7461</v>
      </c>
      <c r="DR8" s="116" cm="1">
        <f t="array" ref="DR8">_xll.EQNXTDZ($A$1,$B8,DR$1)</f>
        <v>6432</v>
      </c>
      <c r="DS8" s="116" cm="1">
        <f t="array" ref="DS8">_xll.EQNXTDZ($A$1,$B8,DS$1)</f>
        <v>7123</v>
      </c>
      <c r="DT8" s="116" cm="1">
        <f t="array" ref="DT8">_xll.EQNXTDZ($A$1,$B8,DT$1)</f>
        <v>7636</v>
      </c>
      <c r="DU8" s="116" cm="1">
        <f t="array" ref="DU8">_xll.EQNXTDZ($A$1,$B8,DU$1)</f>
        <v>8590.1</v>
      </c>
      <c r="DV8" s="116" cm="1">
        <f t="array" ref="DV8">_xll.EQNXTDZ($A$1,$B8,DV$1)</f>
        <v>8220</v>
      </c>
      <c r="DW8" s="116" cm="1">
        <f t="array" ref="DW8">_xll.EQNXTDZ($A$1,$B8,DW$1)</f>
        <v>6840</v>
      </c>
      <c r="DX8" s="116" cm="1">
        <f t="array" ref="DX8">_xll.EQNXTDZ($A$1,$B8,DX$1)</f>
        <v>6601</v>
      </c>
      <c r="DY8" s="116" cm="1">
        <f t="array" ref="DY8">_xll.EQNXTDZ($A$1,$B8,DY$1)</f>
        <v>5709.05</v>
      </c>
      <c r="DZ8" s="116" cm="1">
        <f t="array" ref="DZ8">_xll.EQNXTDZ($A$1,$B8,DZ$1)</f>
        <v>6131.75</v>
      </c>
      <c r="EA8" s="116" cm="1">
        <f t="array" ref="EA8">_xll.EQNXTDZ($A$1,$B8,EA$1)</f>
        <v>6089</v>
      </c>
      <c r="EB8" s="116" cm="1">
        <f t="array" ref="EB8">_xll.EQNXTDZ($A$1,$B8,EB$1)</f>
        <v>5882.55</v>
      </c>
      <c r="EC8" s="116" cm="1">
        <f t="array" ref="EC8">_xll.EQNXTDZ($A$1,$B8,EC$1)</f>
        <v>5975.25</v>
      </c>
      <c r="ED8" s="116" cm="1">
        <f t="array" ref="ED8">_xll.EQNXTDZ($A$1,$B8,ED$1)</f>
        <v>6555.7</v>
      </c>
      <c r="EE8" s="116" cm="1">
        <f t="array" ref="EE8">_xll.EQNXTDZ($A$1,$B8,EE$1)</f>
        <v>7450.1</v>
      </c>
      <c r="EF8" s="116" cm="1">
        <f t="array" ref="EF8">_xll.EQNXTDZ($A$1,$B8,EF$1)</f>
        <v>7140</v>
      </c>
      <c r="EG8" s="116" cm="1">
        <f t="array" ref="EG8">_xll.EQNXTDZ($A$1,$B8,EG$1)</f>
        <v>6992.05</v>
      </c>
      <c r="EH8" s="116" cm="1">
        <f t="array" ref="EH8">_xll.EQNXTDZ($A$1,$B8,EH$1)</f>
        <v>7201.05</v>
      </c>
      <c r="EI8" s="116" cm="1">
        <f t="array" ref="EI8">_xll.EQNXTDZ($A$1,$B8,EI$1)</f>
        <v>7172</v>
      </c>
      <c r="EJ8" s="116" cm="1">
        <f t="array" ref="EJ8">_xll.EQNXTDZ($A$1,$B8,EJ$1)</f>
        <v>7413.7</v>
      </c>
      <c r="EK8" s="116" cm="1">
        <f t="array" ref="EK8">_xll.EQNXTDZ($A$1,$B8,EK$1)</f>
        <v>8300</v>
      </c>
      <c r="EL8" s="116" cm="1">
        <f t="array" ref="EL8">_xll.EQNXTDZ($A$1,$B8,EL$1)</f>
        <v>7564.2</v>
      </c>
      <c r="EM8" s="116" cm="1">
        <f t="array" ref="EM8">_xll.EQNXTDZ($A$1,$B8,EM$1)</f>
        <v>7350</v>
      </c>
      <c r="EN8" s="116" cm="1">
        <f t="array" ref="EN8">_xll.EQNXTDZ($A$1,$B8,EN$1)</f>
        <v>7335</v>
      </c>
      <c r="EO8" s="116" cm="1">
        <f t="array" ref="EO8">_xll.EQNXTDZ($A$1,$B8,EO$1)</f>
        <v>7000</v>
      </c>
      <c r="EP8" s="116" cm="1">
        <f t="array" ref="EP8">_xll.EQNXTDZ($A$1,$B8,EP$1)</f>
        <v>6903</v>
      </c>
      <c r="EQ8" s="116" cm="1">
        <f t="array" ref="EQ8">_xll.EQNXTDZ($A$1,$B8,EQ$1)</f>
        <v>6411.2</v>
      </c>
      <c r="ER8" s="116" cm="1">
        <f t="array" ref="ER8">_xll.EQNXTDZ($A$1,$B8,ER$1)</f>
        <v>6852</v>
      </c>
      <c r="ES8" s="116" cm="1">
        <f t="array" ref="ES8">_xll.EQNXTDZ($A$1,$B8,ES$1)</f>
        <v>6666</v>
      </c>
      <c r="ET8" s="116" cm="1">
        <f t="array" ref="ET8">_xll.EQNXTDZ($A$1,$B8,ET$1)</f>
        <v>7490</v>
      </c>
      <c r="EU8" s="116" cm="1">
        <f t="array" ref="EU8">_xll.EQNXTDZ($A$1,$B8,EU$1)</f>
        <v>6870.6</v>
      </c>
      <c r="EV8" s="116" cm="1">
        <f t="array" ref="EV8">_xll.EQNXTDZ($A$1,$B8,EV$1)</f>
        <v>6286</v>
      </c>
      <c r="EW8" s="116" cm="1">
        <f t="array" ref="EW8">_xll.EQNXTDZ($A$1,$B8,EW$1)</f>
        <v>6613</v>
      </c>
      <c r="EX8" s="116" cm="1">
        <f t="array" ref="EX8">_xll.EQNXTDZ($A$1,$B8,EX$1)</f>
        <v>5920</v>
      </c>
      <c r="EY8" s="116" cm="1">
        <f t="array" ref="EY8">_xll.EQNXTDZ($A$1,$B8,EY$1)</f>
        <v>5302.55</v>
      </c>
      <c r="EZ8" s="116" cm="1">
        <f t="array" ref="EZ8">_xll.EQNXTDZ($A$1,$B8,EZ$1)</f>
        <v>5157.7</v>
      </c>
      <c r="FA8" s="116" cm="1">
        <f t="array" ref="FA8">_xll.EQNXTDZ($A$1,$B8,FA$1)</f>
        <v>4700</v>
      </c>
      <c r="FB8" s="116" cm="1">
        <f t="array" ref="FB8">_xll.EQNXTDZ($A$1,$B8,FB$1)</f>
        <v>5400</v>
      </c>
      <c r="FC8" s="116" cm="1">
        <f t="array" ref="FC8">_xll.EQNXTDZ($A$1,$B8,FC$1)</f>
        <v>6164.5</v>
      </c>
      <c r="FD8" s="116" cm="1">
        <f t="array" ref="FD8">_xll.EQNXTDZ($A$1,$B8,FD$1)</f>
        <v>5660</v>
      </c>
      <c r="FE8" s="116" cm="1">
        <f t="array" ref="FE8">_xll.EQNXTDZ($A$1,$B8,FE$1)</f>
        <v>5221</v>
      </c>
      <c r="FF8" s="116" cm="1">
        <f t="array" ref="FF8">_xll.EQNXTDZ($A$1,$B8,FF$1)</f>
        <v>5210</v>
      </c>
      <c r="FG8" s="116" cm="1">
        <f t="array" ref="FG8">_xll.EQNXTDZ($A$1,$B8,FG$1)</f>
        <v>5176</v>
      </c>
      <c r="FH8" s="116" cm="1">
        <f t="array" ref="FH8">_xll.EQNXTDZ($A$1,$B8,FH$1)</f>
        <v>5125</v>
      </c>
      <c r="FI8" s="116" cm="1">
        <f t="array" ref="FI8">_xll.EQNXTDZ($A$1,$B8,FI$1)</f>
        <v>4855</v>
      </c>
      <c r="FJ8" s="116" cm="1">
        <f t="array" ref="FJ8">_xll.EQNXTDZ($A$1,$B8,FJ$1)</f>
        <v>5185</v>
      </c>
      <c r="FK8" s="116" cm="1">
        <f t="array" ref="FK8">_xll.EQNXTDZ($A$1,$B8,FK$1)</f>
        <v>4455</v>
      </c>
      <c r="FL8" s="116" cm="1">
        <f t="array" ref="FL8">_xll.EQNXTDZ($A$1,$B8,FL$1)</f>
        <v>3966.2</v>
      </c>
      <c r="FM8" s="116" cm="1">
        <f t="array" ref="FM8">_xll.EQNXTDZ($A$1,$B8,FM$1)</f>
        <v>4023.6</v>
      </c>
      <c r="FN8" s="116" cm="1">
        <f t="array" ref="FN8">_xll.EQNXTDZ($A$1,$B8,FN$1)</f>
        <v>3945</v>
      </c>
      <c r="FO8" s="116" cm="1">
        <f t="array" ref="FO8">_xll.EQNXTDZ($A$1,$B8,FO$1)</f>
        <v>3981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102.52500000000001</v>
      </c>
      <c r="HQ8" s="116">
        <f>+MIN(G8:I8)</f>
        <v>105.55</v>
      </c>
      <c r="HR8" s="116">
        <f>+MIN(J8:L8)</f>
        <v>90</v>
      </c>
      <c r="HS8" s="116">
        <f>+MIN(M8:O8)</f>
        <v>85.5</v>
      </c>
      <c r="HT8" s="116">
        <f>+MIN(P8:R8)</f>
        <v>78.275000000000006</v>
      </c>
      <c r="HU8" s="116">
        <f>+MIN(S8:U8)</f>
        <v>89.65</v>
      </c>
      <c r="HV8" s="116">
        <f>+MIN(V8:X8)</f>
        <v>173.5</v>
      </c>
      <c r="HW8" s="116">
        <f>+MIN(Y8:AA8)</f>
        <v>235.52500000000001</v>
      </c>
      <c r="HX8" s="116">
        <f>+MIN(AB8:AD8)</f>
        <v>279.52499999999998</v>
      </c>
      <c r="HY8" s="116">
        <f>+MIN(AE8:AG8)</f>
        <v>250</v>
      </c>
      <c r="HZ8" s="116">
        <f>+MIN(AH8:AJ8)</f>
        <v>298</v>
      </c>
      <c r="IA8" s="116">
        <f>+MIN(AK8:AM8)</f>
        <v>487.5</v>
      </c>
      <c r="IB8" s="116">
        <f>+MIN(AN8:AP8)</f>
        <v>592</v>
      </c>
      <c r="IC8" s="116">
        <f>+MIN(AQ8:AS8)</f>
        <v>839.4</v>
      </c>
      <c r="ID8" s="116">
        <f>+MIN(AT8:AV8)</f>
        <v>797.5</v>
      </c>
      <c r="IE8" s="116">
        <f>+MIN(AW8:AY8)</f>
        <v>805.72500000000002</v>
      </c>
      <c r="IF8" s="116">
        <f>+MIN(AZ8:BB8)</f>
        <v>684</v>
      </c>
      <c r="IG8" s="116">
        <f>+MIN(BC8:BE8)</f>
        <v>510.625</v>
      </c>
      <c r="IH8" s="116">
        <f>+MIN(BF8:BH8)</f>
        <v>686.1</v>
      </c>
      <c r="II8" s="116">
        <f>+MIN(BI8:BK8)</f>
        <v>641.17499999999995</v>
      </c>
      <c r="IJ8" s="116">
        <f>+MIN(BL8:BN8)</f>
        <v>791.32500000000005</v>
      </c>
      <c r="IK8" s="116">
        <f>+MIN(BO8:BQ8)</f>
        <v>795.05</v>
      </c>
      <c r="IL8" s="116">
        <f>+MIN(BR8:BT8)</f>
        <v>923.25</v>
      </c>
      <c r="IM8" s="116">
        <f>+MIN(BU8:BW8)</f>
        <v>986.55</v>
      </c>
      <c r="IN8" s="116">
        <f>+MIN(BX8:BZ8)</f>
        <v>1131.0999999999999</v>
      </c>
      <c r="IO8" s="116">
        <f>+MIN(CA8:CC8)</f>
        <v>922</v>
      </c>
      <c r="IP8" s="116">
        <f>+MIN(CD8:CF8)</f>
        <v>830.1</v>
      </c>
      <c r="IQ8" s="116">
        <f>+MIN(CG8:CI8)</f>
        <v>822.1</v>
      </c>
      <c r="IR8" s="116">
        <f>+MIN(CJ8:CL8)</f>
        <v>592.25</v>
      </c>
      <c r="IS8" s="116">
        <f>+MIN(CM8:CO8)</f>
        <v>610</v>
      </c>
      <c r="IT8" s="116">
        <f>+MIN(CP8:CR8)</f>
        <v>499.95</v>
      </c>
      <c r="IU8" s="116">
        <f>+MIN(CS8:CU8)</f>
        <v>590.04999999999995</v>
      </c>
      <c r="IV8" s="116">
        <f>+MIN(CV8:CX8)</f>
        <v>876</v>
      </c>
      <c r="IW8" s="116">
        <f>+MIN(CY8:DA8)</f>
        <v>1270.1500000000001</v>
      </c>
      <c r="IX8" s="116">
        <f>+MIN(DB8:DD8)</f>
        <v>1837</v>
      </c>
      <c r="IY8" s="116">
        <f>+MIN(DE8:DG8)</f>
        <v>2705</v>
      </c>
      <c r="IZ8" s="116">
        <f>+MIN(DH8:DJ8)</f>
        <v>4107.05</v>
      </c>
      <c r="JA8" s="116">
        <f>+MIN(DK8:DM8)</f>
        <v>5263.4</v>
      </c>
      <c r="JB8" s="116">
        <f>+MIN(DN8:DP8)</f>
        <v>5782</v>
      </c>
      <c r="JC8" s="116">
        <f>+MIN(DQ8:DS8)</f>
        <v>6432</v>
      </c>
      <c r="JD8" s="116">
        <f>+MIN(DT8:DV8)</f>
        <v>7636</v>
      </c>
      <c r="JE8" s="116">
        <f>+MIN(DW8:DY8)</f>
        <v>5709.05</v>
      </c>
      <c r="JF8" s="116">
        <f>+MIN(DZ8:EB8)</f>
        <v>5882.55</v>
      </c>
      <c r="JG8" s="116">
        <f>+MIN(EC8:EE8)</f>
        <v>5975.25</v>
      </c>
      <c r="JH8" s="116">
        <f>+MIN(EF8:EH8)</f>
        <v>6992.05</v>
      </c>
      <c r="JI8" s="116">
        <f>+MIN(EI8:EK8)</f>
        <v>7172</v>
      </c>
      <c r="JJ8" s="116">
        <f>+MIN(EL8:EN8)</f>
        <v>7335</v>
      </c>
      <c r="JK8" s="116">
        <f>MIN(EO8:EQ8)</f>
        <v>6411.2</v>
      </c>
      <c r="JL8" s="116">
        <f>MIN(ER8:ET8)</f>
        <v>6666</v>
      </c>
      <c r="JM8" s="116">
        <f>MIN(EU8:EW8)</f>
        <v>6286</v>
      </c>
      <c r="JN8" s="116">
        <f>MIN(EX8:EZ8)</f>
        <v>5157.7</v>
      </c>
      <c r="JO8" s="116">
        <f>MIN(FA8:FC8)</f>
        <v>4700</v>
      </c>
      <c r="JP8" s="116">
        <f>MIN(FD8:FF8)</f>
        <v>5210</v>
      </c>
      <c r="JQ8" s="116">
        <f>MIN(FG8:FI8)</f>
        <v>4855</v>
      </c>
      <c r="JR8" s="116">
        <f>MIN(FJ8:FL8)</f>
        <v>3966.2</v>
      </c>
      <c r="JS8" s="116">
        <f>MIN(FM8:FO8)</f>
        <v>3945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110.15</v>
      </c>
      <c r="D9" s="116" cm="1">
        <f t="array" ref="D9">_xll.EQNXTDZ($A$1,$B9,D$1)</f>
        <v>108.425</v>
      </c>
      <c r="E9" s="116" cm="1">
        <f t="array" ref="E9">_xll.EQNXTDZ($A$1,$B9,E$1)</f>
        <v>107.27500000000001</v>
      </c>
      <c r="F9" s="116" cm="1">
        <f t="array" ref="F9">_xll.EQNXTDZ($A$1,$B9,F$1)</f>
        <v>112.35</v>
      </c>
      <c r="G9" s="116" cm="1">
        <f t="array" ref="G9">_xll.EQNXTDZ($A$1,$B9,G$1)</f>
        <v>108.85</v>
      </c>
      <c r="H9" s="116" cm="1">
        <f t="array" ref="H9">_xll.EQNXTDZ($A$1,$B9,H$1)</f>
        <v>121.325</v>
      </c>
      <c r="I9" s="116" cm="1">
        <f t="array" ref="I9">_xll.EQNXTDZ($A$1,$B9,I$1)</f>
        <v>114.65</v>
      </c>
      <c r="J9" s="116" cm="1">
        <f t="array" ref="J9">_xll.EQNXTDZ($A$1,$B9,J$1)</f>
        <v>110.875</v>
      </c>
      <c r="K9" s="116" cm="1">
        <f t="array" ref="K9">_xll.EQNXTDZ($A$1,$B9,K$1)</f>
        <v>97.775000000000006</v>
      </c>
      <c r="L9" s="116" cm="1">
        <f t="array" ref="L9">_xll.EQNXTDZ($A$1,$B9,L$1)</f>
        <v>95.5</v>
      </c>
      <c r="M9" s="116" cm="1">
        <f t="array" ref="M9">_xll.EQNXTDZ($A$1,$B9,M$1)</f>
        <v>101.375</v>
      </c>
      <c r="N9" s="116" cm="1">
        <f t="array" ref="N9">_xll.EQNXTDZ($A$1,$B9,N$1)</f>
        <v>93.55</v>
      </c>
      <c r="O9" s="116" cm="1">
        <f t="array" ref="O9">_xll.EQNXTDZ($A$1,$B9,O$1)</f>
        <v>90.625</v>
      </c>
      <c r="P9" s="116" cm="1">
        <f t="array" ref="P9">_xll.EQNXTDZ($A$1,$B9,P$1)</f>
        <v>92.825000000000003</v>
      </c>
      <c r="Q9" s="116" cm="1">
        <f t="array" ref="Q9">_xll.EQNXTDZ($A$1,$B9,Q$1)</f>
        <v>85.5</v>
      </c>
      <c r="R9" s="116" cm="1">
        <f t="array" ref="R9">_xll.EQNXTDZ($A$1,$B9,R$1)</f>
        <v>92.174999999999997</v>
      </c>
      <c r="S9" s="116" cm="1">
        <f t="array" ref="S9">_xll.EQNXTDZ($A$1,$B9,S$1)</f>
        <v>108.77500000000001</v>
      </c>
      <c r="T9" s="116" cm="1">
        <f t="array" ref="T9">_xll.EQNXTDZ($A$1,$B9,T$1)</f>
        <v>149.82499999999999</v>
      </c>
      <c r="U9" s="116" cm="1">
        <f t="array" ref="U9">_xll.EQNXTDZ($A$1,$B9,U$1)</f>
        <v>208.52500000000001</v>
      </c>
      <c r="V9" s="116" cm="1">
        <f t="array" ref="V9">_xll.EQNXTDZ($A$1,$B9,V$1)</f>
        <v>207.52500000000001</v>
      </c>
      <c r="W9" s="116" cm="1">
        <f t="array" ref="W9">_xll.EQNXTDZ($A$1,$B9,W$1)</f>
        <v>293.10000000000002</v>
      </c>
      <c r="X9" s="116" cm="1">
        <f t="array" ref="X9">_xll.EQNXTDZ($A$1,$B9,X$1)</f>
        <v>272.47500000000002</v>
      </c>
      <c r="Y9" s="116" cm="1">
        <f t="array" ref="Y9">_xll.EQNXTDZ($A$1,$B9,Y$1)</f>
        <v>275</v>
      </c>
      <c r="Z9" s="116" cm="1">
        <f t="array" ref="Z9">_xll.EQNXTDZ($A$1,$B9,Z$1)</f>
        <v>254.7</v>
      </c>
      <c r="AA9" s="116" cm="1">
        <f t="array" ref="AA9">_xll.EQNXTDZ($A$1,$B9,AA$1)</f>
        <v>308.95</v>
      </c>
      <c r="AB9" s="116" cm="1">
        <f t="array" ref="AB9">_xll.EQNXTDZ($A$1,$B9,AB$1)</f>
        <v>295.82499999999999</v>
      </c>
      <c r="AC9" s="116" cm="1">
        <f t="array" ref="AC9">_xll.EQNXTDZ($A$1,$B9,AC$1)</f>
        <v>305.57499999999999</v>
      </c>
      <c r="AD9" s="116" cm="1">
        <f t="array" ref="AD9">_xll.EQNXTDZ($A$1,$B9,AD$1)</f>
        <v>322.22500000000002</v>
      </c>
      <c r="AE9" s="116" cm="1">
        <f t="array" ref="AE9">_xll.EQNXTDZ($A$1,$B9,AE$1)</f>
        <v>310.47500000000002</v>
      </c>
      <c r="AF9" s="116" cm="1">
        <f t="array" ref="AF9">_xll.EQNXTDZ($A$1,$B9,AF$1)</f>
        <v>306.47500000000002</v>
      </c>
      <c r="AG9" s="116" cm="1">
        <f t="array" ref="AG9">_xll.EQNXTDZ($A$1,$B9,AG$1)</f>
        <v>298.27499999999998</v>
      </c>
      <c r="AH9" s="116" cm="1">
        <f t="array" ref="AH9">_xll.EQNXTDZ($A$1,$B9,AH$1)</f>
        <v>381.92500000000001</v>
      </c>
      <c r="AI9" s="116" cm="1">
        <f t="array" ref="AI9">_xll.EQNXTDZ($A$1,$B9,AI$1)</f>
        <v>556.5</v>
      </c>
      <c r="AJ9" s="116" cm="1">
        <f t="array" ref="AJ9">_xll.EQNXTDZ($A$1,$B9,AJ$1)</f>
        <v>578.625</v>
      </c>
      <c r="AK9" s="116" cm="1">
        <f t="array" ref="AK9">_xll.EQNXTDZ($A$1,$B9,AK$1)</f>
        <v>554.02499999999998</v>
      </c>
      <c r="AL9" s="116" cm="1">
        <f t="array" ref="AL9">_xll.EQNXTDZ($A$1,$B9,AL$1)</f>
        <v>632.5</v>
      </c>
      <c r="AM9" s="116" cm="1">
        <f t="array" ref="AM9">_xll.EQNXTDZ($A$1,$B9,AM$1)</f>
        <v>601.375</v>
      </c>
      <c r="AN9" s="116" cm="1">
        <f t="array" ref="AN9">_xll.EQNXTDZ($A$1,$B9,AN$1)</f>
        <v>852.6</v>
      </c>
      <c r="AO9" s="116" cm="1">
        <f t="array" ref="AO9">_xll.EQNXTDZ($A$1,$B9,AO$1)</f>
        <v>919.22500000000002</v>
      </c>
      <c r="AP9" s="116" cm="1">
        <f t="array" ref="AP9">_xll.EQNXTDZ($A$1,$B9,AP$1)</f>
        <v>939.97500000000002</v>
      </c>
      <c r="AQ9" s="116" cm="1">
        <f t="array" ref="AQ9">_xll.EQNXTDZ($A$1,$B9,AQ$1)</f>
        <v>913.25</v>
      </c>
      <c r="AR9" s="116" cm="1">
        <f t="array" ref="AR9">_xll.EQNXTDZ($A$1,$B9,AR$1)</f>
        <v>1015.85</v>
      </c>
      <c r="AS9" s="116" cm="1">
        <f t="array" ref="AS9">_xll.EQNXTDZ($A$1,$B9,AS$1)</f>
        <v>1122.0250000000001</v>
      </c>
      <c r="AT9" s="116" cm="1">
        <f t="array" ref="AT9">_xll.EQNXTDZ($A$1,$B9,AT$1)</f>
        <v>1041.3</v>
      </c>
      <c r="AU9" s="116" cm="1">
        <f t="array" ref="AU9">_xll.EQNXTDZ($A$1,$B9,AU$1)</f>
        <v>847.125</v>
      </c>
      <c r="AV9" s="116" cm="1">
        <f t="array" ref="AV9">_xll.EQNXTDZ($A$1,$B9,AV$1)</f>
        <v>941.92499999999995</v>
      </c>
      <c r="AW9" s="116" cm="1">
        <f t="array" ref="AW9">_xll.EQNXTDZ($A$1,$B9,AW$1)</f>
        <v>954.7</v>
      </c>
      <c r="AX9" s="116" cm="1">
        <f t="array" ref="AX9">_xll.EQNXTDZ($A$1,$B9,AX$1)</f>
        <v>900.3</v>
      </c>
      <c r="AY9" s="116" cm="1">
        <f t="array" ref="AY9">_xll.EQNXTDZ($A$1,$B9,AY$1)</f>
        <v>848.5</v>
      </c>
      <c r="AZ9" s="116" cm="1">
        <f t="array" ref="AZ9">_xll.EQNXTDZ($A$1,$B9,AZ$1)</f>
        <v>825.47500000000002</v>
      </c>
      <c r="BA9" s="116" cm="1">
        <f t="array" ref="BA9">_xll.EQNXTDZ($A$1,$B9,BA$1)</f>
        <v>789.77499999999998</v>
      </c>
      <c r="BB9" s="116" cm="1">
        <f t="array" ref="BB9">_xll.EQNXTDZ($A$1,$B9,BB$1)</f>
        <v>696.125</v>
      </c>
      <c r="BC9" s="116" cm="1">
        <f t="array" ref="BC9">_xll.EQNXTDZ($A$1,$B9,BC$1)</f>
        <v>648.70000000000005</v>
      </c>
      <c r="BD9" s="116" cm="1">
        <f t="array" ref="BD9">_xll.EQNXTDZ($A$1,$B9,BD$1)</f>
        <v>634.5</v>
      </c>
      <c r="BE9" s="116" cm="1">
        <f t="array" ref="BE9">_xll.EQNXTDZ($A$1,$B9,BE$1)</f>
        <v>702.6</v>
      </c>
      <c r="BF9" s="116" cm="1">
        <f t="array" ref="BF9">_xll.EQNXTDZ($A$1,$B9,BF$1)</f>
        <v>711.67499999999995</v>
      </c>
      <c r="BG9" s="116" cm="1">
        <f t="array" ref="BG9">_xll.EQNXTDZ($A$1,$B9,BG$1)</f>
        <v>751.9</v>
      </c>
      <c r="BH9" s="116" cm="1">
        <f t="array" ref="BH9">_xll.EQNXTDZ($A$1,$B9,BH$1)</f>
        <v>732.45</v>
      </c>
      <c r="BI9" s="116" cm="1">
        <f t="array" ref="BI9">_xll.EQNXTDZ($A$1,$B9,BI$1)</f>
        <v>756.02499999999998</v>
      </c>
      <c r="BJ9" s="116" cm="1">
        <f t="array" ref="BJ9">_xll.EQNXTDZ($A$1,$B9,BJ$1)</f>
        <v>667.125</v>
      </c>
      <c r="BK9" s="116" cm="1">
        <f t="array" ref="BK9">_xll.EQNXTDZ($A$1,$B9,BK$1)</f>
        <v>792.35</v>
      </c>
      <c r="BL9" s="116" cm="1">
        <f t="array" ref="BL9">_xll.EQNXTDZ($A$1,$B9,BL$1)</f>
        <v>876.57500000000005</v>
      </c>
      <c r="BM9" s="116" cm="1">
        <f t="array" ref="BM9">_xll.EQNXTDZ($A$1,$B9,BM$1)</f>
        <v>819.92499999999995</v>
      </c>
      <c r="BN9" s="116" cm="1">
        <f t="array" ref="BN9">_xll.EQNXTDZ($A$1,$B9,BN$1)</f>
        <v>813.3</v>
      </c>
      <c r="BO9" s="116" cm="1">
        <f t="array" ref="BO9">_xll.EQNXTDZ($A$1,$B9,BO$1)</f>
        <v>839.65</v>
      </c>
      <c r="BP9" s="116" cm="1">
        <f t="array" ref="BP9">_xll.EQNXTDZ($A$1,$B9,BP$1)</f>
        <v>942.8</v>
      </c>
      <c r="BQ9" s="116" cm="1">
        <f t="array" ref="BQ9">_xll.EQNXTDZ($A$1,$B9,BQ$1)</f>
        <v>977.15</v>
      </c>
      <c r="BR9" s="116" cm="1">
        <f t="array" ref="BR9">_xll.EQNXTDZ($A$1,$B9,BR$1)</f>
        <v>1059.8</v>
      </c>
      <c r="BS9" s="116" cm="1">
        <f t="array" ref="BS9">_xll.EQNXTDZ($A$1,$B9,BS$1)</f>
        <v>1053.25</v>
      </c>
      <c r="BT9" s="116" cm="1">
        <f t="array" ref="BT9">_xll.EQNXTDZ($A$1,$B9,BT$1)</f>
        <v>985.35</v>
      </c>
      <c r="BU9" s="116" cm="1">
        <f t="array" ref="BU9">_xll.EQNXTDZ($A$1,$B9,BU$1)</f>
        <v>1237.8</v>
      </c>
      <c r="BV9" s="116" cm="1">
        <f t="array" ref="BV9">_xll.EQNXTDZ($A$1,$B9,BV$1)</f>
        <v>1237.0999999999999</v>
      </c>
      <c r="BW9" s="116" cm="1">
        <f t="array" ref="BW9">_xll.EQNXTDZ($A$1,$B9,BW$1)</f>
        <v>1334.7</v>
      </c>
      <c r="BX9" s="116" cm="1">
        <f t="array" ref="BX9">_xll.EQNXTDZ($A$1,$B9,BX$1)</f>
        <v>1428.2</v>
      </c>
      <c r="BY9" s="116" cm="1">
        <f t="array" ref="BY9">_xll.EQNXTDZ($A$1,$B9,BY$1)</f>
        <v>1435.85</v>
      </c>
      <c r="BZ9" s="116" cm="1">
        <f t="array" ref="BZ9">_xll.EQNXTDZ($A$1,$B9,BZ$1)</f>
        <v>1156</v>
      </c>
      <c r="CA9" s="116" cm="1">
        <f t="array" ref="CA9">_xll.EQNXTDZ($A$1,$B9,CA$1)</f>
        <v>1034.95</v>
      </c>
      <c r="CB9" s="116" cm="1">
        <f t="array" ref="CB9">_xll.EQNXTDZ($A$1,$B9,CB$1)</f>
        <v>1024.05</v>
      </c>
      <c r="CC9" s="116" cm="1">
        <f t="array" ref="CC9">_xll.EQNXTDZ($A$1,$B9,CC$1)</f>
        <v>1020.4</v>
      </c>
      <c r="CD9" s="116" cm="1">
        <f t="array" ref="CD9">_xll.EQNXTDZ($A$1,$B9,CD$1)</f>
        <v>874</v>
      </c>
      <c r="CE9" s="116" cm="1">
        <f t="array" ref="CE9">_xll.EQNXTDZ($A$1,$B9,CE$1)</f>
        <v>884.85</v>
      </c>
      <c r="CF9" s="116" cm="1">
        <f t="array" ref="CF9">_xll.EQNXTDZ($A$1,$B9,CF$1)</f>
        <v>963.1</v>
      </c>
      <c r="CG9" s="116" cm="1">
        <f t="array" ref="CG9">_xll.EQNXTDZ($A$1,$B9,CG$1)</f>
        <v>930.4</v>
      </c>
      <c r="CH9" s="116" cm="1">
        <f t="array" ref="CH9">_xll.EQNXTDZ($A$1,$B9,CH$1)</f>
        <v>871.6</v>
      </c>
      <c r="CI9" s="116" cm="1">
        <f t="array" ref="CI9">_xll.EQNXTDZ($A$1,$B9,CI$1)</f>
        <v>884.9</v>
      </c>
      <c r="CJ9" s="116" cm="1">
        <f t="array" ref="CJ9">_xll.EQNXTDZ($A$1,$B9,CJ$1)</f>
        <v>636.85</v>
      </c>
      <c r="CK9" s="116" cm="1">
        <f t="array" ref="CK9">_xll.EQNXTDZ($A$1,$B9,CK$1)</f>
        <v>632.25</v>
      </c>
      <c r="CL9" s="116" cm="1">
        <f t="array" ref="CL9">_xll.EQNXTDZ($A$1,$B9,CL$1)</f>
        <v>677.25</v>
      </c>
      <c r="CM9" s="116" cm="1">
        <f t="array" ref="CM9">_xll.EQNXTDZ($A$1,$B9,CM$1)</f>
        <v>818.95</v>
      </c>
      <c r="CN9" s="116" cm="1">
        <f t="array" ref="CN9">_xll.EQNXTDZ($A$1,$B9,CN$1)</f>
        <v>806.95</v>
      </c>
      <c r="CO9" s="116" cm="1">
        <f t="array" ref="CO9">_xll.EQNXTDZ($A$1,$B9,CO$1)</f>
        <v>825.95</v>
      </c>
      <c r="CP9" s="116" cm="1">
        <f t="array" ref="CP9">_xll.EQNXTDZ($A$1,$B9,CP$1)</f>
        <v>949.2</v>
      </c>
      <c r="CQ9" s="116" cm="1">
        <f t="array" ref="CQ9">_xll.EQNXTDZ($A$1,$B9,CQ$1)</f>
        <v>882.75</v>
      </c>
      <c r="CR9" s="116" cm="1">
        <f t="array" ref="CR9">_xll.EQNXTDZ($A$1,$B9,CR$1)</f>
        <v>629.1</v>
      </c>
      <c r="CS9" s="116" cm="1">
        <f t="array" ref="CS9">_xll.EQNXTDZ($A$1,$B9,CS$1)</f>
        <v>802.85</v>
      </c>
      <c r="CT9" s="116" cm="1">
        <f t="array" ref="CT9">_xll.EQNXTDZ($A$1,$B9,CT$1)</f>
        <v>764.9</v>
      </c>
      <c r="CU9" s="116" cm="1">
        <f t="array" ref="CU9">_xll.EQNXTDZ($A$1,$B9,CU$1)</f>
        <v>897.3</v>
      </c>
      <c r="CV9" s="116" cm="1">
        <f t="array" ref="CV9">_xll.EQNXTDZ($A$1,$B9,CV$1)</f>
        <v>940</v>
      </c>
      <c r="CW9" s="116" cm="1">
        <f t="array" ref="CW9">_xll.EQNXTDZ($A$1,$B9,CW$1)</f>
        <v>1074.8</v>
      </c>
      <c r="CX9" s="116" cm="1">
        <f t="array" ref="CX9">_xll.EQNXTDZ($A$1,$B9,CX$1)</f>
        <v>1287</v>
      </c>
      <c r="CY9" s="116" cm="1">
        <f t="array" ref="CY9">_xll.EQNXTDZ($A$1,$B9,CY$1)</f>
        <v>1534.1</v>
      </c>
      <c r="CZ9" s="116" cm="1">
        <f t="array" ref="CZ9">_xll.EQNXTDZ($A$1,$B9,CZ$1)</f>
        <v>1588.25</v>
      </c>
      <c r="DA9" s="116" cm="1">
        <f t="array" ref="DA9">_xll.EQNXTDZ($A$1,$B9,DA$1)</f>
        <v>1835.3</v>
      </c>
      <c r="DB9" s="116" cm="1">
        <f t="array" ref="DB9">_xll.EQNXTDZ($A$1,$B9,DB$1)</f>
        <v>2690.6</v>
      </c>
      <c r="DC9" s="116" cm="1">
        <f t="array" ref="DC9">_xll.EQNXTDZ($A$1,$B9,DC$1)</f>
        <v>2657.85</v>
      </c>
      <c r="DD9" s="116" cm="1">
        <f t="array" ref="DD9">_xll.EQNXTDZ($A$1,$B9,DD$1)</f>
        <v>2692.9</v>
      </c>
      <c r="DE9" s="116" cm="1">
        <f t="array" ref="DE9">_xll.EQNXTDZ($A$1,$B9,DE$1)</f>
        <v>3480.1</v>
      </c>
      <c r="DF9" s="116" cm="1">
        <f t="array" ref="DF9">_xll.EQNXTDZ($A$1,$B9,DF$1)</f>
        <v>3643.55</v>
      </c>
      <c r="DG9" s="116" cm="1">
        <f t="array" ref="DG9">_xll.EQNXTDZ($A$1,$B9,DG$1)</f>
        <v>4304.3</v>
      </c>
      <c r="DH9" s="116" cm="1">
        <f t="array" ref="DH9">_xll.EQNXTDZ($A$1,$B9,DH$1)</f>
        <v>4225.8999999999996</v>
      </c>
      <c r="DI9" s="116" cm="1">
        <f t="array" ref="DI9">_xll.EQNXTDZ($A$1,$B9,DI$1)</f>
        <v>4770.95</v>
      </c>
      <c r="DJ9" s="116" cm="1">
        <f t="array" ref="DJ9">_xll.EQNXTDZ($A$1,$B9,DJ$1)</f>
        <v>5594.05</v>
      </c>
      <c r="DK9" s="116" cm="1">
        <f t="array" ref="DK9">_xll.EQNXTDZ($A$1,$B9,DK$1)</f>
        <v>5872.3</v>
      </c>
      <c r="DL9" s="116" cm="1">
        <f t="array" ref="DL9">_xll.EQNXTDZ($A$1,$B9,DL$1)</f>
        <v>5781.65</v>
      </c>
      <c r="DM9" s="116" cm="1">
        <f t="array" ref="DM9">_xll.EQNXTDZ($A$1,$B9,DM$1)</f>
        <v>5868</v>
      </c>
      <c r="DN9" s="116" cm="1">
        <f t="array" ref="DN9">_xll.EQNXTDZ($A$1,$B9,DN$1)</f>
        <v>7607.35</v>
      </c>
      <c r="DO9" s="116" cm="1">
        <f t="array" ref="DO9">_xll.EQNXTDZ($A$1,$B9,DO$1)</f>
        <v>6431.85</v>
      </c>
      <c r="DP9" s="116" cm="1">
        <f t="array" ref="DP9">_xll.EQNXTDZ($A$1,$B9,DP$1)</f>
        <v>8840.15</v>
      </c>
      <c r="DQ9" s="116" cm="1">
        <f t="array" ref="DQ9">_xll.EQNXTDZ($A$1,$B9,DQ$1)</f>
        <v>7746</v>
      </c>
      <c r="DR9" s="116" cm="1">
        <f t="array" ref="DR9">_xll.EQNXTDZ($A$1,$B9,DR$1)</f>
        <v>8381.1</v>
      </c>
      <c r="DS9" s="116" cm="1">
        <f t="array" ref="DS9">_xll.EQNXTDZ($A$1,$B9,DS$1)</f>
        <v>8170.55</v>
      </c>
      <c r="DT9" s="116" cm="1">
        <f t="array" ref="DT9">_xll.EQNXTDZ($A$1,$B9,DT$1)</f>
        <v>8690.0499999999993</v>
      </c>
      <c r="DU9" s="116" cm="1">
        <f t="array" ref="DU9">_xll.EQNXTDZ($A$1,$B9,DU$1)</f>
        <v>9019.25</v>
      </c>
      <c r="DV9" s="116" cm="1">
        <f t="array" ref="DV9">_xll.EQNXTDZ($A$1,$B9,DV$1)</f>
        <v>8556.4500000000007</v>
      </c>
      <c r="DW9" s="116" cm="1">
        <f t="array" ref="DW9">_xll.EQNXTDZ($A$1,$B9,DW$1)</f>
        <v>6995.85</v>
      </c>
      <c r="DX9" s="116" cm="1">
        <f t="array" ref="DX9">_xll.EQNXTDZ($A$1,$B9,DX$1)</f>
        <v>7010.25</v>
      </c>
      <c r="DY9" s="116" cm="1">
        <f t="array" ref="DY9">_xll.EQNXTDZ($A$1,$B9,DY$1)</f>
        <v>6285.9</v>
      </c>
      <c r="DZ9" s="116" cm="1">
        <f t="array" ref="DZ9">_xll.EQNXTDZ($A$1,$B9,DZ$1)</f>
        <v>6632.7</v>
      </c>
      <c r="EA9" s="116" cm="1">
        <f t="array" ref="EA9">_xll.EQNXTDZ($A$1,$B9,EA$1)</f>
        <v>6129.25</v>
      </c>
      <c r="EB9" s="116" cm="1">
        <f t="array" ref="EB9">_xll.EQNXTDZ($A$1,$B9,EB$1)</f>
        <v>5959.1</v>
      </c>
      <c r="EC9" s="116" cm="1">
        <f t="array" ref="EC9">_xll.EQNXTDZ($A$1,$B9,EC$1)</f>
        <v>6643.6</v>
      </c>
      <c r="ED9" s="116" cm="1">
        <f t="array" ref="ED9">_xll.EQNXTDZ($A$1,$B9,ED$1)</f>
        <v>7421.55</v>
      </c>
      <c r="EE9" s="116" cm="1">
        <f t="array" ref="EE9">_xll.EQNXTDZ($A$1,$B9,EE$1)</f>
        <v>7588.5</v>
      </c>
      <c r="EF9" s="116" cm="1">
        <f t="array" ref="EF9">_xll.EQNXTDZ($A$1,$B9,EF$1)</f>
        <v>7159.4</v>
      </c>
      <c r="EG9" s="116" cm="1">
        <f t="array" ref="EG9">_xll.EQNXTDZ($A$1,$B9,EG$1)</f>
        <v>7247.1</v>
      </c>
      <c r="EH9" s="116" cm="1">
        <f t="array" ref="EH9">_xll.EQNXTDZ($A$1,$B9,EH$1)</f>
        <v>7227.15</v>
      </c>
      <c r="EI9" s="116" cm="1">
        <f t="array" ref="EI9">_xll.EQNXTDZ($A$1,$B9,EI$1)</f>
        <v>7625.2</v>
      </c>
      <c r="EJ9" s="116" cm="1">
        <f t="array" ref="EJ9">_xll.EQNXTDZ($A$1,$B9,EJ$1)</f>
        <v>8252.7999999999993</v>
      </c>
      <c r="EK9" s="116" cm="1">
        <f t="array" ref="EK9">_xll.EQNXTDZ($A$1,$B9,EK$1)</f>
        <v>8753.4500000000007</v>
      </c>
      <c r="EL9" s="116" cm="1">
        <f t="array" ref="EL9">_xll.EQNXTDZ($A$1,$B9,EL$1)</f>
        <v>7605.15</v>
      </c>
      <c r="EM9" s="116" cm="1">
        <f t="array" ref="EM9">_xll.EQNXTDZ($A$1,$B9,EM$1)</f>
        <v>7811.05</v>
      </c>
      <c r="EN9" s="116" cm="1">
        <f t="array" ref="EN9">_xll.EQNXTDZ($A$1,$B9,EN$1)</f>
        <v>7785.15</v>
      </c>
      <c r="EO9" s="116" cm="1">
        <f t="array" ref="EO9">_xll.EQNXTDZ($A$1,$B9,EO$1)</f>
        <v>7051.9</v>
      </c>
      <c r="EP9" s="116" cm="1">
        <f t="array" ref="EP9">_xll.EQNXTDZ($A$1,$B9,EP$1)</f>
        <v>6944.35</v>
      </c>
      <c r="EQ9" s="116" cm="1">
        <f t="array" ref="EQ9">_xll.EQNXTDZ($A$1,$B9,EQ$1)</f>
        <v>7001.4</v>
      </c>
      <c r="ER9" s="116" cm="1">
        <f t="array" ref="ER9">_xll.EQNXTDZ($A$1,$B9,ER$1)</f>
        <v>6984.5</v>
      </c>
      <c r="ES9" s="116" cm="1">
        <f t="array" ref="ES9">_xll.EQNXTDZ($A$1,$B9,ES$1)</f>
        <v>8000.7</v>
      </c>
      <c r="ET9" s="116" cm="1">
        <f t="array" ref="ET9">_xll.EQNXTDZ($A$1,$B9,ET$1)</f>
        <v>7724.45</v>
      </c>
      <c r="EU9" s="116" cm="1">
        <f t="array" ref="EU9">_xll.EQNXTDZ($A$1,$B9,EU$1)</f>
        <v>7021.85</v>
      </c>
      <c r="EV9" s="116" cm="1">
        <f t="array" ref="EV9">_xll.EQNXTDZ($A$1,$B9,EV$1)</f>
        <v>6670.75</v>
      </c>
      <c r="EW9" s="116" cm="1">
        <f t="array" ref="EW9">_xll.EQNXTDZ($A$1,$B9,EW$1)</f>
        <v>6796.55</v>
      </c>
      <c r="EX9" s="116" cm="1">
        <f t="array" ref="EX9">_xll.EQNXTDZ($A$1,$B9,EX$1)</f>
        <v>6336</v>
      </c>
      <c r="EY9" s="116" cm="1">
        <f t="array" ref="EY9">_xll.EQNXTDZ($A$1,$B9,EY$1)</f>
        <v>5411.1</v>
      </c>
      <c r="EZ9" s="116" cm="1">
        <f t="array" ref="EZ9">_xll.EQNXTDZ($A$1,$B9,EZ$1)</f>
        <v>5214.6000000000004</v>
      </c>
      <c r="FA9" s="116" cm="1">
        <f t="array" ref="FA9">_xll.EQNXTDZ($A$1,$B9,FA$1)</f>
        <v>5766</v>
      </c>
      <c r="FB9" s="116" cm="1">
        <f t="array" ref="FB9">_xll.EQNXTDZ($A$1,$B9,FB$1)</f>
        <v>6439.5</v>
      </c>
      <c r="FC9" s="116" cm="1">
        <f t="array" ref="FC9">_xll.EQNXTDZ($A$1,$B9,FC$1)</f>
        <v>6310</v>
      </c>
      <c r="FD9" s="116" cm="1">
        <f t="array" ref="FD9">_xll.EQNXTDZ($A$1,$B9,FD$1)</f>
        <v>6093.5</v>
      </c>
      <c r="FE9" s="116" cm="1">
        <f t="array" ref="FE9">_xll.EQNXTDZ($A$1,$B9,FE$1)</f>
        <v>5234</v>
      </c>
      <c r="FF9" s="116" cm="1">
        <f t="array" ref="FF9">_xll.EQNXTDZ($A$1,$B9,FF$1)</f>
        <v>5227</v>
      </c>
      <c r="FG9" s="116" cm="1">
        <f t="array" ref="FG9">_xll.EQNXTDZ($A$1,$B9,FG$1)</f>
        <v>5454.5</v>
      </c>
      <c r="FH9" s="116" cm="1">
        <f t="array" ref="FH9">_xll.EQNXTDZ($A$1,$B9,FH$1)</f>
        <v>5158.5</v>
      </c>
      <c r="FI9" s="116" cm="1">
        <f t="array" ref="FI9">_xll.EQNXTDZ($A$1,$B9,FI$1)</f>
        <v>5240.5</v>
      </c>
      <c r="FJ9" s="116" cm="1">
        <f t="array" ref="FJ9">_xll.EQNXTDZ($A$1,$B9,FJ$1)</f>
        <v>5323.5</v>
      </c>
      <c r="FK9" s="116" cm="1">
        <f t="array" ref="FK9">_xll.EQNXTDZ($A$1,$B9,FK$1)</f>
        <v>4513</v>
      </c>
      <c r="FL9" s="116" cm="1">
        <f t="array" ref="FL9">_xll.EQNXTDZ($A$1,$B9,FL$1)</f>
        <v>3976.6</v>
      </c>
      <c r="FM9" s="116" cm="1">
        <f t="array" ref="FM9">_xll.EQNXTDZ($A$1,$B9,FM$1)</f>
        <v>4129.8999999999996</v>
      </c>
      <c r="FN9" s="116" cm="1">
        <f t="array" ref="FN9">_xll.EQNXTDZ($A$1,$B9,FN$1)</f>
        <v>4285.3999999999996</v>
      </c>
      <c r="FO9" s="116" cm="1">
        <f t="array" ref="FO9">_xll.EQNXTDZ($A$1,$B9,FO$1)</f>
        <v>4119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112.35</v>
      </c>
      <c r="HQ9" s="116">
        <f>+I9</f>
        <v>114.65</v>
      </c>
      <c r="HR9" s="116">
        <f>+L9</f>
        <v>95.5</v>
      </c>
      <c r="HS9" s="116">
        <f>+O9</f>
        <v>90.625</v>
      </c>
      <c r="HT9" s="116">
        <f>+R9</f>
        <v>92.174999999999997</v>
      </c>
      <c r="HU9" s="116">
        <f>+U9</f>
        <v>208.52500000000001</v>
      </c>
      <c r="HV9" s="116">
        <f>+X9</f>
        <v>272.47500000000002</v>
      </c>
      <c r="HW9" s="116">
        <f>+AA9</f>
        <v>308.95</v>
      </c>
      <c r="HX9" s="116">
        <f>+AD9</f>
        <v>322.22500000000002</v>
      </c>
      <c r="HY9" s="116">
        <f>+AG9</f>
        <v>298.27499999999998</v>
      </c>
      <c r="HZ9" s="116">
        <f>+AJ9</f>
        <v>578.625</v>
      </c>
      <c r="IA9" s="116">
        <f>+AM9</f>
        <v>601.375</v>
      </c>
      <c r="IB9" s="116">
        <f>+AP9</f>
        <v>939.97500000000002</v>
      </c>
      <c r="IC9" s="116">
        <f>+AS9</f>
        <v>1122.0250000000001</v>
      </c>
      <c r="ID9" s="116">
        <f>+AV9</f>
        <v>941.92499999999995</v>
      </c>
      <c r="IE9" s="116">
        <f>+AY9</f>
        <v>848.5</v>
      </c>
      <c r="IF9" s="116">
        <f>+BB9</f>
        <v>696.125</v>
      </c>
      <c r="IG9" s="116">
        <f>+BE9</f>
        <v>702.6</v>
      </c>
      <c r="IH9" s="116">
        <f>+BH9</f>
        <v>732.45</v>
      </c>
      <c r="II9" s="116">
        <f>+BK9</f>
        <v>792.35</v>
      </c>
      <c r="IJ9" s="116">
        <f>+BN9</f>
        <v>813.3</v>
      </c>
      <c r="IK9" s="116">
        <f>+BQ9</f>
        <v>977.15</v>
      </c>
      <c r="IL9" s="116">
        <f>+BT9</f>
        <v>985.35</v>
      </c>
      <c r="IM9" s="116">
        <f>+BW9</f>
        <v>1334.7</v>
      </c>
      <c r="IN9" s="116">
        <f>+BZ9</f>
        <v>1156</v>
      </c>
      <c r="IO9" s="116">
        <f>+CC9</f>
        <v>1020.4</v>
      </c>
      <c r="IP9" s="116">
        <f>+CF9</f>
        <v>963.1</v>
      </c>
      <c r="IQ9" s="116">
        <f>+CI9</f>
        <v>884.9</v>
      </c>
      <c r="IR9" s="116">
        <f>+CL9</f>
        <v>677.25</v>
      </c>
      <c r="IS9" s="116">
        <f>+CO9</f>
        <v>825.95</v>
      </c>
      <c r="IT9" s="116">
        <f>+CR9</f>
        <v>629.1</v>
      </c>
      <c r="IU9" s="116">
        <f>+CU9</f>
        <v>897.3</v>
      </c>
      <c r="IV9" s="116">
        <f>+CX9</f>
        <v>1287</v>
      </c>
      <c r="IW9" s="116">
        <f>+DA9</f>
        <v>1835.3</v>
      </c>
      <c r="IX9" s="116">
        <f>+DD9</f>
        <v>2692.9</v>
      </c>
      <c r="IY9" s="116">
        <f>+DG9</f>
        <v>4304.3</v>
      </c>
      <c r="IZ9" s="116">
        <f>+DJ9</f>
        <v>5594.05</v>
      </c>
      <c r="JA9" s="116">
        <f>+DM9</f>
        <v>5868</v>
      </c>
      <c r="JB9" s="116">
        <f>+DP9</f>
        <v>8840.15</v>
      </c>
      <c r="JC9" s="116">
        <f>+DS9</f>
        <v>8170.55</v>
      </c>
      <c r="JD9" s="116">
        <f>+DV9</f>
        <v>8556.4500000000007</v>
      </c>
      <c r="JE9" s="116">
        <f>+DY9</f>
        <v>6285.9</v>
      </c>
      <c r="JF9" s="116">
        <f>+EB9</f>
        <v>5959.1</v>
      </c>
      <c r="JG9" s="116">
        <f>+EE9</f>
        <v>7588.5</v>
      </c>
      <c r="JH9" s="116">
        <f>+EH9</f>
        <v>7227.15</v>
      </c>
      <c r="JI9" s="116">
        <f>+EK9</f>
        <v>8753.4500000000007</v>
      </c>
      <c r="JJ9" s="116">
        <f>+EN9</f>
        <v>7785.15</v>
      </c>
      <c r="JK9" s="116">
        <f>EQ9</f>
        <v>7001.4</v>
      </c>
      <c r="JL9" s="116">
        <f>ET9</f>
        <v>7724.45</v>
      </c>
      <c r="JM9" s="116">
        <f>EW9</f>
        <v>6796.55</v>
      </c>
      <c r="JN9" s="116">
        <f>EZ9</f>
        <v>5214.6000000000004</v>
      </c>
      <c r="JO9" s="116">
        <f>FC9</f>
        <v>6310</v>
      </c>
      <c r="JP9" s="116">
        <f>FF9</f>
        <v>5227</v>
      </c>
      <c r="JQ9" s="116">
        <f>FI9</f>
        <v>5240.5</v>
      </c>
      <c r="JR9" s="116">
        <f>FL9</f>
        <v>3976.6</v>
      </c>
      <c r="JS9" s="116">
        <f>FO9</f>
        <v>4119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102.75</v>
      </c>
      <c r="D13" cm="1">
        <f t="array" ref="D13">_xll.EQNXTDZ($A$1,$B13,D$1)</f>
        <v>108.625</v>
      </c>
      <c r="E13" cm="1">
        <f t="array" ref="E13">_xll.EQNXTDZ($A$1,$B13,E$1)</f>
        <v>106.75</v>
      </c>
      <c r="F13" cm="1">
        <f t="array" ref="F13">_xll.EQNXTDZ($A$1,$B13,F$1)</f>
        <v>107</v>
      </c>
      <c r="G13" cm="1">
        <f t="array" ref="G13">_xll.EQNXTDZ($A$1,$B13,G$1)</f>
        <v>113.675</v>
      </c>
      <c r="H13" cm="1">
        <f t="array" ref="H13">_xll.EQNXTDZ($A$1,$B13,H$1)</f>
        <v>109.5</v>
      </c>
      <c r="I13" cm="1">
        <f t="array" ref="I13">_xll.EQNXTDZ($A$1,$B13,I$1)</f>
        <v>120.5</v>
      </c>
      <c r="J13" cm="1">
        <f t="array" ref="J13">_xll.EQNXTDZ($A$1,$B13,J$1)</f>
        <v>115</v>
      </c>
      <c r="K13" cm="1">
        <f t="array" ref="K13">_xll.EQNXTDZ($A$1,$B13,K$1)</f>
        <v>109.65</v>
      </c>
      <c r="L13" cm="1">
        <f t="array" ref="L13">_xll.EQNXTDZ($A$1,$B13,L$1)</f>
        <v>98.7</v>
      </c>
      <c r="M13" cm="1">
        <f t="array" ref="M13">_xll.EQNXTDZ($A$1,$B13,M$1)</f>
        <v>97.95</v>
      </c>
      <c r="N13" cm="1">
        <f t="array" ref="N13">_xll.EQNXTDZ($A$1,$B13,N$1)</f>
        <v>103.95</v>
      </c>
      <c r="O13" cm="1">
        <f t="array" ref="O13">_xll.EQNXTDZ($A$1,$B13,O$1)</f>
        <v>93.35</v>
      </c>
      <c r="P13" cm="1">
        <f t="array" ref="P13">_xll.EQNXTDZ($A$1,$B13,P$1)</f>
        <v>92.5</v>
      </c>
      <c r="Q13" cm="1">
        <f t="array" ref="Q13">_xll.EQNXTDZ($A$1,$B13,Q$1)</f>
        <v>93.75</v>
      </c>
      <c r="R13" cm="1">
        <f t="array" ref="R13">_xll.EQNXTDZ($A$1,$B13,R$1)</f>
        <v>85.3</v>
      </c>
      <c r="S13" cm="1">
        <f t="array" ref="S13">_xll.EQNXTDZ($A$1,$B13,S$1)</f>
        <v>92.5</v>
      </c>
      <c r="T13" cm="1">
        <f t="array" ref="T13">_xll.EQNXTDZ($A$1,$B13,T$1)</f>
        <v>109.125</v>
      </c>
      <c r="U13" cm="1">
        <f t="array" ref="U13">_xll.EQNXTDZ($A$1,$B13,U$1)</f>
        <v>150.94999999999999</v>
      </c>
      <c r="V13" cm="1">
        <f t="array" ref="V13">_xll.EQNXTDZ($A$1,$B13,V$1)</f>
        <v>209.15</v>
      </c>
      <c r="W13" cm="1">
        <f t="array" ref="W13">_xll.EQNXTDZ($A$1,$B13,W$1)</f>
        <v>207.5</v>
      </c>
      <c r="X13" cm="1">
        <f t="array" ref="X13">_xll.EQNXTDZ($A$1,$B13,X$1)</f>
        <v>295</v>
      </c>
      <c r="Y13" cm="1">
        <f t="array" ref="Y13">_xll.EQNXTDZ($A$1,$B13,Y$1)</f>
        <v>273.5</v>
      </c>
      <c r="Z13" cm="1">
        <f t="array" ref="Z13">_xll.EQNXTDZ($A$1,$B13,Z$1)</f>
        <v>277.57499999999999</v>
      </c>
      <c r="AA13" cm="1">
        <f t="array" ref="AA13">_xll.EQNXTDZ($A$1,$B13,AA$1)</f>
        <v>255.17500000000001</v>
      </c>
      <c r="AB13" cm="1">
        <f t="array" ref="AB13">_xll.EQNXTDZ($A$1,$B13,AB$1)</f>
        <v>308</v>
      </c>
      <c r="AC13" cm="1">
        <f t="array" ref="AC13">_xll.EQNXTDZ($A$1,$B13,AC$1)</f>
        <v>293.375</v>
      </c>
      <c r="AD13" cm="1">
        <f t="array" ref="AD13">_xll.EQNXTDZ($A$1,$B13,AD$1)</f>
        <v>306</v>
      </c>
      <c r="AE13" cm="1">
        <f t="array" ref="AE13">_xll.EQNXTDZ($A$1,$B13,AE$1)</f>
        <v>324.8</v>
      </c>
      <c r="AF13" cm="1">
        <f t="array" ref="AF13">_xll.EQNXTDZ($A$1,$B13,AF$1)</f>
        <v>312.32499999999999</v>
      </c>
      <c r="AG13" cm="1">
        <f t="array" ref="AG13">_xll.EQNXTDZ($A$1,$B13,AG$1)</f>
        <v>308</v>
      </c>
      <c r="AH13" cm="1">
        <f t="array" ref="AH13">_xll.EQNXTDZ($A$1,$B13,AH$1)</f>
        <v>299.64999999999998</v>
      </c>
      <c r="AI13" cm="1">
        <f t="array" ref="AI13">_xll.EQNXTDZ($A$1,$B13,AI$1)</f>
        <v>382.5</v>
      </c>
      <c r="AJ13" cm="1">
        <f t="array" ref="AJ13">_xll.EQNXTDZ($A$1,$B13,AJ$1)</f>
        <v>557.5</v>
      </c>
      <c r="AK13" cm="1">
        <f t="array" ref="AK13">_xll.EQNXTDZ($A$1,$B13,AK$1)</f>
        <v>583</v>
      </c>
      <c r="AL13" cm="1">
        <f t="array" ref="AL13">_xll.EQNXTDZ($A$1,$B13,AL$1)</f>
        <v>555</v>
      </c>
      <c r="AM13" cm="1">
        <f t="array" ref="AM13">_xll.EQNXTDZ($A$1,$B13,AM$1)</f>
        <v>633.79999999999995</v>
      </c>
      <c r="AN13" cm="1">
        <f t="array" ref="AN13">_xll.EQNXTDZ($A$1,$B13,AN$1)</f>
        <v>604.5</v>
      </c>
      <c r="AO13" cm="1">
        <f t="array" ref="AO13">_xll.EQNXTDZ($A$1,$B13,AO$1)</f>
        <v>852.75</v>
      </c>
      <c r="AP13" cm="1">
        <f t="array" ref="AP13">_xll.EQNXTDZ($A$1,$B13,AP$1)</f>
        <v>901</v>
      </c>
      <c r="AQ13" cm="1">
        <f t="array" ref="AQ13">_xll.EQNXTDZ($A$1,$B13,AQ$1)</f>
        <v>949.4</v>
      </c>
      <c r="AR13" cm="1">
        <f t="array" ref="AR13">_xll.EQNXTDZ($A$1,$B13,AR$1)</f>
        <v>917.45</v>
      </c>
      <c r="AS13" cm="1">
        <f t="array" ref="AS13">_xll.EQNXTDZ($A$1,$B13,AS$1)</f>
        <v>1015.7</v>
      </c>
      <c r="AT13" cm="1">
        <f t="array" ref="AT13">_xll.EQNXTDZ($A$1,$B13,AT$1)</f>
        <v>1122.5999999999999</v>
      </c>
      <c r="AU13" cm="1">
        <f t="array" ref="AU13">_xll.EQNXTDZ($A$1,$B13,AU$1)</f>
        <v>1045.1500000000001</v>
      </c>
      <c r="AV13" cm="1">
        <f t="array" ref="AV13">_xll.EQNXTDZ($A$1,$B13,AV$1)</f>
        <v>858.75</v>
      </c>
      <c r="AW13" cm="1">
        <f t="array" ref="AW13">_xll.EQNXTDZ($A$1,$B13,AW$1)</f>
        <v>944.5</v>
      </c>
      <c r="AX13" cm="1">
        <f t="array" ref="AX13">_xll.EQNXTDZ($A$1,$B13,AX$1)</f>
        <v>953.45</v>
      </c>
      <c r="AY13" cm="1">
        <f t="array" ref="AY13">_xll.EQNXTDZ($A$1,$B13,AY$1)</f>
        <v>902</v>
      </c>
      <c r="AZ13" cm="1">
        <f t="array" ref="AZ13">_xll.EQNXTDZ($A$1,$B13,AZ$1)</f>
        <v>854</v>
      </c>
      <c r="BA13" cm="1">
        <f t="array" ref="BA13">_xll.EQNXTDZ($A$1,$B13,BA$1)</f>
        <v>825.52499999999998</v>
      </c>
      <c r="BB13" cm="1">
        <f t="array" ref="BB13">_xll.EQNXTDZ($A$1,$B13,BB$1)</f>
        <v>787.5</v>
      </c>
      <c r="BC13" cm="1">
        <f t="array" ref="BC13">_xll.EQNXTDZ($A$1,$B13,BC$1)</f>
        <v>702.47500000000002</v>
      </c>
      <c r="BD13" cm="1">
        <f t="array" ref="BD13">_xll.EQNXTDZ($A$1,$B13,BD$1)</f>
        <v>648.5</v>
      </c>
      <c r="BE13" cm="1">
        <f t="array" ref="BE13">_xll.EQNXTDZ($A$1,$B13,BE$1)</f>
        <v>635</v>
      </c>
      <c r="BF13" cm="1">
        <f t="array" ref="BF13">_xll.EQNXTDZ($A$1,$B13,BF$1)</f>
        <v>704.22500000000002</v>
      </c>
      <c r="BG13" cm="1">
        <f t="array" ref="BG13">_xll.EQNXTDZ($A$1,$B13,BG$1)</f>
        <v>707.25</v>
      </c>
      <c r="BH13" cm="1">
        <f t="array" ref="BH13">_xll.EQNXTDZ($A$1,$B13,BH$1)</f>
        <v>752.5</v>
      </c>
      <c r="BI13" cm="1">
        <f t="array" ref="BI13">_xll.EQNXTDZ($A$1,$B13,BI$1)</f>
        <v>735.875</v>
      </c>
      <c r="BJ13" cm="1">
        <f t="array" ref="BJ13">_xll.EQNXTDZ($A$1,$B13,BJ$1)</f>
        <v>760</v>
      </c>
      <c r="BK13" cm="1">
        <f t="array" ref="BK13">_xll.EQNXTDZ($A$1,$B13,BK$1)</f>
        <v>662.5</v>
      </c>
      <c r="BL13" cm="1">
        <f t="array" ref="BL13">_xll.EQNXTDZ($A$1,$B13,BL$1)</f>
        <v>797.4</v>
      </c>
      <c r="BM13" cm="1">
        <f t="array" ref="BM13">_xll.EQNXTDZ($A$1,$B13,BM$1)</f>
        <v>882</v>
      </c>
      <c r="BN13" cm="1">
        <f t="array" ref="BN13">_xll.EQNXTDZ($A$1,$B13,BN$1)</f>
        <v>822.5</v>
      </c>
      <c r="BO13" cm="1">
        <f t="array" ref="BO13">_xll.EQNXTDZ($A$1,$B13,BO$1)</f>
        <v>824</v>
      </c>
      <c r="BP13" cm="1">
        <f t="array" ref="BP13">_xll.EQNXTDZ($A$1,$B13,BP$1)</f>
        <v>843.1</v>
      </c>
      <c r="BQ13" cm="1">
        <f t="array" ref="BQ13">_xll.EQNXTDZ($A$1,$B13,BQ$1)</f>
        <v>943</v>
      </c>
      <c r="BR13" cm="1">
        <f t="array" ref="BR13">_xll.EQNXTDZ($A$1,$B13,BR$1)</f>
        <v>977.7</v>
      </c>
      <c r="BS13" cm="1">
        <f t="array" ref="BS13">_xll.EQNXTDZ($A$1,$B13,BS$1)</f>
        <v>1063.9000000000001</v>
      </c>
      <c r="BT13" cm="1">
        <f t="array" ref="BT13">_xll.EQNXTDZ($A$1,$B13,BT$1)</f>
        <v>1053</v>
      </c>
      <c r="BU13" cm="1">
        <f t="array" ref="BU13">_xll.EQNXTDZ($A$1,$B13,BU$1)</f>
        <v>987</v>
      </c>
      <c r="BV13" cm="1">
        <f t="array" ref="BV13">_xll.EQNXTDZ($A$1,$B13,BV$1)</f>
        <v>1244.9000000000001</v>
      </c>
      <c r="BW13" cm="1">
        <f t="array" ref="BW13">_xll.EQNXTDZ($A$1,$B13,BW$1)</f>
        <v>1237.05</v>
      </c>
      <c r="BX13" cm="1">
        <f t="array" ref="BX13">_xll.EQNXTDZ($A$1,$B13,BX$1)</f>
        <v>1350</v>
      </c>
      <c r="BY13" cm="1">
        <f t="array" ref="BY13">_xll.EQNXTDZ($A$1,$B13,BY$1)</f>
        <v>1407.05</v>
      </c>
      <c r="BZ13" cm="1">
        <f t="array" ref="BZ13">_xll.EQNXTDZ($A$1,$B13,BZ$1)</f>
        <v>1440.05</v>
      </c>
      <c r="CA13" cm="1">
        <f t="array" ref="CA13">_xll.EQNXTDZ($A$1,$B13,CA$1)</f>
        <v>1153.5999999999999</v>
      </c>
      <c r="CB13" cm="1">
        <f t="array" ref="CB13">_xll.EQNXTDZ($A$1,$B13,CB$1)</f>
        <v>1040.05</v>
      </c>
      <c r="CC13" cm="1">
        <f t="array" ref="CC13">_xll.EQNXTDZ($A$1,$B13,CC$1)</f>
        <v>1031.05</v>
      </c>
      <c r="CD13" cm="1">
        <f t="array" ref="CD13">_xll.EQNXTDZ($A$1,$B13,CD$1)</f>
        <v>1024.0999999999999</v>
      </c>
      <c r="CE13" cm="1">
        <f t="array" ref="CE13">_xll.EQNXTDZ($A$1,$B13,CE$1)</f>
        <v>875.7</v>
      </c>
      <c r="CF13" cm="1">
        <f t="array" ref="CF13">_xll.EQNXTDZ($A$1,$B13,CF$1)</f>
        <v>890.65</v>
      </c>
      <c r="CG13" cm="1">
        <f t="array" ref="CG13">_xll.EQNXTDZ($A$1,$B13,CG$1)</f>
        <v>963.35</v>
      </c>
      <c r="CH13" cm="1">
        <f t="array" ref="CH13">_xll.EQNXTDZ($A$1,$B13,CH$1)</f>
        <v>929</v>
      </c>
      <c r="CI13" cm="1">
        <f t="array" ref="CI13">_xll.EQNXTDZ($A$1,$B13,CI$1)</f>
        <v>870</v>
      </c>
      <c r="CJ13" cm="1">
        <f t="array" ref="CJ13">_xll.EQNXTDZ($A$1,$B13,CJ$1)</f>
        <v>894.9</v>
      </c>
      <c r="CK13" cm="1">
        <f t="array" ref="CK13">_xll.EQNXTDZ($A$1,$B13,CK$1)</f>
        <v>635</v>
      </c>
      <c r="CL13" cm="1">
        <f t="array" ref="CL13">_xll.EQNXTDZ($A$1,$B13,CL$1)</f>
        <v>632</v>
      </c>
      <c r="CM13" cm="1">
        <f t="array" ref="CM13">_xll.EQNXTDZ($A$1,$B13,CM$1)</f>
        <v>671.1</v>
      </c>
      <c r="CN13" cm="1">
        <f t="array" ref="CN13">_xll.EQNXTDZ($A$1,$B13,CN$1)</f>
        <v>819</v>
      </c>
      <c r="CO13" cm="1">
        <f t="array" ref="CO13">_xll.EQNXTDZ($A$1,$B13,CO$1)</f>
        <v>807</v>
      </c>
      <c r="CP13" cm="1">
        <f t="array" ref="CP13">_xll.EQNXTDZ($A$1,$B13,CP$1)</f>
        <v>828</v>
      </c>
      <c r="CQ13" cm="1">
        <f t="array" ref="CQ13">_xll.EQNXTDZ($A$1,$B13,CQ$1)</f>
        <v>949</v>
      </c>
      <c r="CR13" cm="1">
        <f t="array" ref="CR13">_xll.EQNXTDZ($A$1,$B13,CR$1)</f>
        <v>900</v>
      </c>
      <c r="CS13" cm="1">
        <f t="array" ref="CS13">_xll.EQNXTDZ($A$1,$B13,CS$1)</f>
        <v>634.85</v>
      </c>
      <c r="CT13" cm="1">
        <f t="array" ref="CT13">_xll.EQNXTDZ($A$1,$B13,CT$1)</f>
        <v>795</v>
      </c>
      <c r="CU13" cm="1">
        <f t="array" ref="CU13">_xll.EQNXTDZ($A$1,$B13,CU$1)</f>
        <v>775</v>
      </c>
      <c r="CV13" cm="1">
        <f t="array" ref="CV13">_xll.EQNXTDZ($A$1,$B13,CV$1)</f>
        <v>904.5</v>
      </c>
      <c r="CW13" cm="1">
        <f t="array" ref="CW13">_xll.EQNXTDZ($A$1,$B13,CW$1)</f>
        <v>940</v>
      </c>
      <c r="CX13" cm="1">
        <f t="array" ref="CX13">_xll.EQNXTDZ($A$1,$B13,CX$1)</f>
        <v>1066</v>
      </c>
      <c r="CY13" cm="1">
        <f t="array" ref="CY13">_xll.EQNXTDZ($A$1,$B13,CY$1)</f>
        <v>1314</v>
      </c>
      <c r="CZ13" cm="1">
        <f t="array" ref="CZ13">_xll.EQNXTDZ($A$1,$B13,CZ$1)</f>
        <v>1539.7</v>
      </c>
      <c r="DA13" cm="1">
        <f t="array" ref="DA13">_xll.EQNXTDZ($A$1,$B13,DA$1)</f>
        <v>1602.05</v>
      </c>
      <c r="DB13" cm="1">
        <f t="array" ref="DB13">_xll.EQNXTDZ($A$1,$B13,DB$1)</f>
        <v>1840</v>
      </c>
      <c r="DC13" cm="1">
        <f t="array" ref="DC13">_xll.EQNXTDZ($A$1,$B13,DC$1)</f>
        <v>2720</v>
      </c>
      <c r="DD13" cm="1">
        <f t="array" ref="DD13">_xll.EQNXTDZ($A$1,$B13,DD$1)</f>
        <v>2696.7</v>
      </c>
      <c r="DE13" cm="1">
        <f t="array" ref="DE13">_xll.EQNXTDZ($A$1,$B13,DE$1)</f>
        <v>2700</v>
      </c>
      <c r="DF13" cm="1">
        <f t="array" ref="DF13">_xll.EQNXTDZ($A$1,$B13,DF$1)</f>
        <v>3480.1</v>
      </c>
      <c r="DG13" cm="1">
        <f t="array" ref="DG13">_xll.EQNXTDZ($A$1,$B13,DG$1)</f>
        <v>3689.9</v>
      </c>
      <c r="DH13" cm="1">
        <f t="array" ref="DH13">_xll.EQNXTDZ($A$1,$B13,DH$1)</f>
        <v>4451</v>
      </c>
      <c r="DI13" cm="1">
        <f t="array" ref="DI13">_xll.EQNXTDZ($A$1,$B13,DI$1)</f>
        <v>4289.8</v>
      </c>
      <c r="DJ13" cm="1">
        <f t="array" ref="DJ13">_xll.EQNXTDZ($A$1,$B13,DJ$1)</f>
        <v>4840</v>
      </c>
      <c r="DK13" cm="1">
        <f t="array" ref="DK13">_xll.EQNXTDZ($A$1,$B13,DK$1)</f>
        <v>5625</v>
      </c>
      <c r="DL13" cm="1">
        <f t="array" ref="DL13">_xll.EQNXTDZ($A$1,$B13,DL$1)</f>
        <v>5940</v>
      </c>
      <c r="DM13" cm="1">
        <f t="array" ref="DM13">_xll.EQNXTDZ($A$1,$B13,DM$1)</f>
        <v>5790</v>
      </c>
      <c r="DN13" cm="1">
        <f t="array" ref="DN13">_xll.EQNXTDZ($A$1,$B13,DN$1)</f>
        <v>5920</v>
      </c>
      <c r="DO13" cm="1">
        <f t="array" ref="DO13">_xll.EQNXTDZ($A$1,$B13,DO$1)</f>
        <v>7790</v>
      </c>
      <c r="DP13" cm="1">
        <f t="array" ref="DP13">_xll.EQNXTDZ($A$1,$B13,DP$1)</f>
        <v>6400</v>
      </c>
      <c r="DQ13" cm="1">
        <f t="array" ref="DQ13">_xll.EQNXTDZ($A$1,$B13,DQ$1)</f>
        <v>8908</v>
      </c>
      <c r="DR13" cm="1">
        <f t="array" ref="DR13">_xll.EQNXTDZ($A$1,$B13,DR$1)</f>
        <v>7719</v>
      </c>
      <c r="DS13" cm="1">
        <f t="array" ref="DS13">_xll.EQNXTDZ($A$1,$B13,DS$1)</f>
        <v>8650</v>
      </c>
      <c r="DT13" cm="1">
        <f t="array" ref="DT13">_xll.EQNXTDZ($A$1,$B13,DT$1)</f>
        <v>8166.2</v>
      </c>
      <c r="DU13" cm="1">
        <f t="array" ref="DU13">_xll.EQNXTDZ($A$1,$B13,DU$1)</f>
        <v>8739.9500000000007</v>
      </c>
      <c r="DV13" cm="1">
        <f t="array" ref="DV13">_xll.EQNXTDZ($A$1,$B13,DV$1)</f>
        <v>9048</v>
      </c>
      <c r="DW13" cm="1">
        <f t="array" ref="DW13">_xll.EQNXTDZ($A$1,$B13,DW$1)</f>
        <v>8460</v>
      </c>
      <c r="DX13" cm="1">
        <f t="array" ref="DX13">_xll.EQNXTDZ($A$1,$B13,DX$1)</f>
        <v>7030</v>
      </c>
      <c r="DY13" cm="1">
        <f t="array" ref="DY13">_xll.EQNXTDZ($A$1,$B13,DY$1)</f>
        <v>7080</v>
      </c>
      <c r="DZ13" cm="1">
        <f t="array" ref="DZ13">_xll.EQNXTDZ($A$1,$B13,DZ$1)</f>
        <v>6354.95</v>
      </c>
      <c r="EA13" cm="1">
        <f t="array" ref="EA13">_xll.EQNXTDZ($A$1,$B13,EA$1)</f>
        <v>6674</v>
      </c>
      <c r="EB13" cm="1">
        <f t="array" ref="EB13">_xll.EQNXTDZ($A$1,$B13,EB$1)</f>
        <v>6101.3</v>
      </c>
      <c r="EC13" cm="1">
        <f t="array" ref="EC13">_xll.EQNXTDZ($A$1,$B13,EC$1)</f>
        <v>6060.05</v>
      </c>
      <c r="ED13" cm="1">
        <f t="array" ref="ED13">_xll.EQNXTDZ($A$1,$B13,ED$1)</f>
        <v>6642.05</v>
      </c>
      <c r="EE13" cm="1">
        <f t="array" ref="EE13">_xll.EQNXTDZ($A$1,$B13,EE$1)</f>
        <v>7485</v>
      </c>
      <c r="EF13" cm="1">
        <f t="array" ref="EF13">_xll.EQNXTDZ($A$1,$B13,EF$1)</f>
        <v>7678.95</v>
      </c>
      <c r="EG13" cm="1">
        <f t="array" ref="EG13">_xll.EQNXTDZ($A$1,$B13,EG$1)</f>
        <v>7160.05</v>
      </c>
      <c r="EH13" cm="1">
        <f t="array" ref="EH13">_xll.EQNXTDZ($A$1,$B13,EH$1)</f>
        <v>7250</v>
      </c>
      <c r="EI13" cm="1">
        <f t="array" ref="EI13">_xll.EQNXTDZ($A$1,$B13,EI$1)</f>
        <v>7245.05</v>
      </c>
      <c r="EJ13" cm="1">
        <f t="array" ref="EJ13">_xll.EQNXTDZ($A$1,$B13,EJ$1)</f>
        <v>7650</v>
      </c>
      <c r="EK13" cm="1">
        <f t="array" ref="EK13">_xll.EQNXTDZ($A$1,$B13,EK$1)</f>
        <v>8374.9500000000007</v>
      </c>
      <c r="EL13" cm="1">
        <f t="array" ref="EL13">_xll.EQNXTDZ($A$1,$B13,EL$1)</f>
        <v>8759</v>
      </c>
      <c r="EM13" cm="1">
        <f t="array" ref="EM13">_xll.EQNXTDZ($A$1,$B13,EM$1)</f>
        <v>7619.15</v>
      </c>
      <c r="EN13" cm="1">
        <f t="array" ref="EN13">_xll.EQNXTDZ($A$1,$B13,EN$1)</f>
        <v>7942.45</v>
      </c>
      <c r="EO13" cm="1">
        <f t="array" ref="EO13">_xll.EQNXTDZ($A$1,$B13,EO$1)</f>
        <v>7877.95</v>
      </c>
      <c r="EP13" cm="1">
        <f t="array" ref="EP13">_xll.EQNXTDZ($A$1,$B13,EP$1)</f>
        <v>7119.85</v>
      </c>
      <c r="EQ13" cm="1">
        <f t="array" ref="EQ13">_xll.EQNXTDZ($A$1,$B13,EQ$1)</f>
        <v>7194.95</v>
      </c>
      <c r="ER13" cm="1">
        <f t="array" ref="ER13">_xll.EQNXTDZ($A$1,$B13,ER$1)</f>
        <v>7002</v>
      </c>
      <c r="ES13" cm="1">
        <f t="array" ref="ES13">_xll.EQNXTDZ($A$1,$B13,ES$1)</f>
        <v>7000</v>
      </c>
      <c r="ET13" cm="1">
        <f t="array" ref="ET13">_xll.EQNXTDZ($A$1,$B13,ET$1)</f>
        <v>8039.7</v>
      </c>
      <c r="EU13" cm="1">
        <f t="array" ref="EU13">_xll.EQNXTDZ($A$1,$B13,EU$1)</f>
        <v>7731</v>
      </c>
      <c r="EV13" cm="1">
        <f t="array" ref="EV13">_xll.EQNXTDZ($A$1,$B13,EV$1)</f>
        <v>7094.95</v>
      </c>
      <c r="EW13" cm="1">
        <f t="array" ref="EW13">_xll.EQNXTDZ($A$1,$B13,EW$1)</f>
        <v>6700</v>
      </c>
      <c r="EX13" cm="1">
        <f t="array" ref="EX13">_xll.EQNXTDZ($A$1,$B13,EX$1)</f>
        <v>6899.95</v>
      </c>
      <c r="EY13" cm="1">
        <f t="array" ref="EY13">_xll.EQNXTDZ($A$1,$B13,EY$1)</f>
        <v>6398.85</v>
      </c>
      <c r="EZ13" cm="1">
        <f t="array" ref="EZ13">_xll.EQNXTDZ($A$1,$B13,EZ$1)</f>
        <v>5429.6</v>
      </c>
      <c r="FA13" cm="1">
        <f t="array" ref="FA13">_xll.EQNXTDZ($A$1,$B13,FA$1)</f>
        <v>5173.1499999999996</v>
      </c>
      <c r="FB13" cm="1">
        <f t="array" ref="FB13">_xll.EQNXTDZ($A$1,$B13,FB$1)</f>
        <v>5725.65</v>
      </c>
      <c r="FC13" cm="1">
        <f t="array" ref="FC13">_xll.EQNXTDZ($A$1,$B13,FC$1)</f>
        <v>6479.7</v>
      </c>
      <c r="FD13" cm="1">
        <f t="array" ref="FD13">_xll.EQNXTDZ($A$1,$B13,FD$1)</f>
        <v>6310.25</v>
      </c>
      <c r="FE13" cm="1">
        <f t="array" ref="FE13">_xll.EQNXTDZ($A$1,$B13,FE$1)</f>
        <v>6096.05</v>
      </c>
      <c r="FF13" cm="1">
        <f t="array" ref="FF13">_xll.EQNXTDZ($A$1,$B13,FF$1)</f>
        <v>5250.15</v>
      </c>
      <c r="FG13" cm="1">
        <f t="array" ref="FG13">_xll.EQNXTDZ($A$1,$B13,FG$1)</f>
        <v>5299.95</v>
      </c>
      <c r="FH13" cm="1">
        <f t="array" ref="FH13">_xll.EQNXTDZ($A$1,$B13,FH$1)</f>
        <v>5457.3</v>
      </c>
      <c r="FI13" cm="1">
        <f t="array" ref="FI13">_xll.EQNXTDZ($A$1,$B13,FI$1)</f>
        <v>5176.05</v>
      </c>
      <c r="FJ13" cm="1">
        <f t="array" ref="FJ13">_xll.EQNXTDZ($A$1,$B13,FJ$1)</f>
        <v>5240.55</v>
      </c>
      <c r="FK13" cm="1">
        <f t="array" ref="FK13">_xll.EQNXTDZ($A$1,$B13,FK$1)</f>
        <v>5321</v>
      </c>
      <c r="FL13" cm="1">
        <f t="array" ref="FL13">_xll.EQNXTDZ($A$1,$B13,FL$1)</f>
        <v>4370.3999999999996</v>
      </c>
      <c r="FM13" cm="1">
        <f t="array" ref="FM13">_xll.EQNXTDZ($A$1,$B13,FM$1)</f>
        <v>4078.2</v>
      </c>
      <c r="FN13" cm="1">
        <f t="array" ref="FN13">_xll.EQNXTDZ($A$1,$B13,FN$1)</f>
        <v>4140.2</v>
      </c>
      <c r="FO13" cm="1">
        <f t="array" ref="FO13">_xll.EQNXTDZ($A$1,$B13,FO$1)</f>
        <v>4342.6000000000004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111.65</v>
      </c>
      <c r="D14" s="116" cm="1">
        <f t="array" ref="D14">_xll.EQNXTDZ($A$1,$B14,D$1)</f>
        <v>127.05</v>
      </c>
      <c r="E14" s="116" cm="1">
        <f t="array" ref="E14">_xll.EQNXTDZ($A$1,$B14,E$1)</f>
        <v>115.5</v>
      </c>
      <c r="F14" s="116" cm="1">
        <f t="array" ref="F14">_xll.EQNXTDZ($A$1,$B14,F$1)</f>
        <v>121.95</v>
      </c>
      <c r="G14" s="116" cm="1">
        <f t="array" ref="G14">_xll.EQNXTDZ($A$1,$B14,G$1)</f>
        <v>119.22499999999999</v>
      </c>
      <c r="H14" s="116" cm="1">
        <f t="array" ref="H14">_xll.EQNXTDZ($A$1,$B14,H$1)</f>
        <v>126</v>
      </c>
      <c r="I14" s="116" cm="1">
        <f t="array" ref="I14">_xll.EQNXTDZ($A$1,$B14,I$1)</f>
        <v>122.47499999999999</v>
      </c>
      <c r="J14" s="116" cm="1">
        <f t="array" ref="J14">_xll.EQNXTDZ($A$1,$B14,J$1)</f>
        <v>123.5</v>
      </c>
      <c r="K14" s="116" cm="1">
        <f t="array" ref="K14">_xll.EQNXTDZ($A$1,$B14,K$1)</f>
        <v>114</v>
      </c>
      <c r="L14" s="116" cm="1">
        <f t="array" ref="L14">_xll.EQNXTDZ($A$1,$B14,L$1)</f>
        <v>113.65</v>
      </c>
      <c r="M14" s="116" cm="1">
        <f t="array" ref="M14">_xll.EQNXTDZ($A$1,$B14,M$1)</f>
        <v>103</v>
      </c>
      <c r="N14" s="116" cm="1">
        <f t="array" ref="N14">_xll.EQNXTDZ($A$1,$B14,N$1)</f>
        <v>104.425</v>
      </c>
      <c r="O14" s="116" cm="1">
        <f t="array" ref="O14">_xll.EQNXTDZ($A$1,$B14,O$1)</f>
        <v>97.4</v>
      </c>
      <c r="P14" s="116" cm="1">
        <f t="array" ref="P14">_xll.EQNXTDZ($A$1,$B14,P$1)</f>
        <v>110.47499999999999</v>
      </c>
      <c r="Q14" s="116" cm="1">
        <f t="array" ref="Q14">_xll.EQNXTDZ($A$1,$B14,Q$1)</f>
        <v>94</v>
      </c>
      <c r="R14" s="116" cm="1">
        <f t="array" ref="R14">_xll.EQNXTDZ($A$1,$B14,R$1)</f>
        <v>98.45</v>
      </c>
      <c r="S14" s="116" cm="1">
        <f t="array" ref="S14">_xll.EQNXTDZ($A$1,$B14,S$1)</f>
        <v>115.45</v>
      </c>
      <c r="T14" s="116" cm="1">
        <f t="array" ref="T14">_xll.EQNXTDZ($A$1,$B14,T$1)</f>
        <v>153.44999999999999</v>
      </c>
      <c r="U14" s="116" cm="1">
        <f t="array" ref="U14">_xll.EQNXTDZ($A$1,$B14,U$1)</f>
        <v>213.9</v>
      </c>
      <c r="V14" s="116" cm="1">
        <f t="array" ref="V14">_xll.EQNXTDZ($A$1,$B14,V$1)</f>
        <v>212.25</v>
      </c>
      <c r="W14" s="116" cm="1">
        <f t="array" ref="W14">_xll.EQNXTDZ($A$1,$B14,W$1)</f>
        <v>297</v>
      </c>
      <c r="X14" s="116" cm="1">
        <f t="array" ref="X14">_xll.EQNXTDZ($A$1,$B14,X$1)</f>
        <v>334.3</v>
      </c>
      <c r="Y14" s="116" cm="1">
        <f t="array" ref="Y14">_xll.EQNXTDZ($A$1,$B14,Y$1)</f>
        <v>299.39999999999998</v>
      </c>
      <c r="Z14" s="116" cm="1">
        <f t="array" ref="Z14">_xll.EQNXTDZ($A$1,$B14,Z$1)</f>
        <v>281.35000000000002</v>
      </c>
      <c r="AA14" s="116" cm="1">
        <f t="array" ref="AA14">_xll.EQNXTDZ($A$1,$B14,AA$1)</f>
        <v>314.7</v>
      </c>
      <c r="AB14" s="116" cm="1">
        <f t="array" ref="AB14">_xll.EQNXTDZ($A$1,$B14,AB$1)</f>
        <v>335.5</v>
      </c>
      <c r="AC14" s="116" cm="1">
        <f t="array" ref="AC14">_xll.EQNXTDZ($A$1,$B14,AC$1)</f>
        <v>314.89999999999998</v>
      </c>
      <c r="AD14" s="116" cm="1">
        <f t="array" ref="AD14">_xll.EQNXTDZ($A$1,$B14,AD$1)</f>
        <v>349.65</v>
      </c>
      <c r="AE14" s="116" cm="1">
        <f t="array" ref="AE14">_xll.EQNXTDZ($A$1,$B14,AE$1)</f>
        <v>331.9</v>
      </c>
      <c r="AF14" s="116" cm="1">
        <f t="array" ref="AF14">_xll.EQNXTDZ($A$1,$B14,AF$1)</f>
        <v>320.75</v>
      </c>
      <c r="AG14" s="116" cm="1">
        <f t="array" ref="AG14">_xll.EQNXTDZ($A$1,$B14,AG$1)</f>
        <v>326.75</v>
      </c>
      <c r="AH14" s="116" cm="1">
        <f t="array" ref="AH14">_xll.EQNXTDZ($A$1,$B14,AH$1)</f>
        <v>409</v>
      </c>
      <c r="AI14" s="116" cm="1">
        <f t="array" ref="AI14">_xll.EQNXTDZ($A$1,$B14,AI$1)</f>
        <v>562.5</v>
      </c>
      <c r="AJ14" s="116" cm="1">
        <f t="array" ref="AJ14">_xll.EQNXTDZ($A$1,$B14,AJ$1)</f>
        <v>743.75</v>
      </c>
      <c r="AK14" s="116" cm="1">
        <f t="array" ref="AK14">_xll.EQNXTDZ($A$1,$B14,AK$1)</f>
        <v>702.95</v>
      </c>
      <c r="AL14" s="116" cm="1">
        <f t="array" ref="AL14">_xll.EQNXTDZ($A$1,$B14,AL$1)</f>
        <v>648</v>
      </c>
      <c r="AM14" s="116" cm="1">
        <f t="array" ref="AM14">_xll.EQNXTDZ($A$1,$B14,AM$1)</f>
        <v>646.5</v>
      </c>
      <c r="AN14" s="116" cm="1">
        <f t="array" ref="AN14">_xll.EQNXTDZ($A$1,$B14,AN$1)</f>
        <v>879.2</v>
      </c>
      <c r="AO14" s="116" cm="1">
        <f t="array" ref="AO14">_xll.EQNXTDZ($A$1,$B14,AO$1)</f>
        <v>1158.5</v>
      </c>
      <c r="AP14" s="116" cm="1">
        <f t="array" ref="AP14">_xll.EQNXTDZ($A$1,$B14,AP$1)</f>
        <v>1012.1</v>
      </c>
      <c r="AQ14" s="116" cm="1">
        <f t="array" ref="AQ14">_xll.EQNXTDZ($A$1,$B14,AQ$1)</f>
        <v>994.375</v>
      </c>
      <c r="AR14" s="116" cm="1">
        <f t="array" ref="AR14">_xll.EQNXTDZ($A$1,$B14,AR$1)</f>
        <v>1029</v>
      </c>
      <c r="AS14" s="116" cm="1">
        <f t="array" ref="AS14">_xll.EQNXTDZ($A$1,$B14,AS$1)</f>
        <v>1165</v>
      </c>
      <c r="AT14" s="116" cm="1">
        <f t="array" ref="AT14">_xll.EQNXTDZ($A$1,$B14,AT$1)</f>
        <v>1140.5</v>
      </c>
      <c r="AU14" s="116" cm="1">
        <f t="array" ref="AU14">_xll.EQNXTDZ($A$1,$B14,AU$1)</f>
        <v>1198</v>
      </c>
      <c r="AV14" s="116" cm="1">
        <f t="array" ref="AV14">_xll.EQNXTDZ($A$1,$B14,AV$1)</f>
        <v>1006.025</v>
      </c>
      <c r="AW14" s="116" cm="1">
        <f t="array" ref="AW14">_xll.EQNXTDZ($A$1,$B14,AW$1)</f>
        <v>1032</v>
      </c>
      <c r="AX14" s="116" cm="1">
        <f t="array" ref="AX14">_xll.EQNXTDZ($A$1,$B14,AX$1)</f>
        <v>970.375</v>
      </c>
      <c r="AY14" s="116" cm="1">
        <f t="array" ref="AY14">_xll.EQNXTDZ($A$1,$B14,AY$1)</f>
        <v>919.75</v>
      </c>
      <c r="AZ14" s="116" cm="1">
        <f t="array" ref="AZ14">_xll.EQNXTDZ($A$1,$B14,AZ$1)</f>
        <v>891.5</v>
      </c>
      <c r="BA14" s="116" cm="1">
        <f t="array" ref="BA14">_xll.EQNXTDZ($A$1,$B14,BA$1)</f>
        <v>877.5</v>
      </c>
      <c r="BB14" s="116" cm="1">
        <f t="array" ref="BB14">_xll.EQNXTDZ($A$1,$B14,BB$1)</f>
        <v>794.72500000000002</v>
      </c>
      <c r="BC14" s="116" cm="1">
        <f t="array" ref="BC14">_xll.EQNXTDZ($A$1,$B14,BC$1)</f>
        <v>718.125</v>
      </c>
      <c r="BD14" s="116" cm="1">
        <f t="array" ref="BD14">_xll.EQNXTDZ($A$1,$B14,BD$1)</f>
        <v>676.875</v>
      </c>
      <c r="BE14" s="116" cm="1">
        <f t="array" ref="BE14">_xll.EQNXTDZ($A$1,$B14,BE$1)</f>
        <v>749.4</v>
      </c>
      <c r="BF14" s="116" cm="1">
        <f t="array" ref="BF14">_xll.EQNXTDZ($A$1,$B14,BF$1)</f>
        <v>778.9</v>
      </c>
      <c r="BG14" s="116" cm="1">
        <f t="array" ref="BG14">_xll.EQNXTDZ($A$1,$B14,BG$1)</f>
        <v>766.6</v>
      </c>
      <c r="BH14" s="116" cm="1">
        <f t="array" ref="BH14">_xll.EQNXTDZ($A$1,$B14,BH$1)</f>
        <v>772.5</v>
      </c>
      <c r="BI14" s="116" cm="1">
        <f t="array" ref="BI14">_xll.EQNXTDZ($A$1,$B14,BI$1)</f>
        <v>803.1</v>
      </c>
      <c r="BJ14" s="116" cm="1">
        <f t="array" ref="BJ14">_xll.EQNXTDZ($A$1,$B14,BJ$1)</f>
        <v>796</v>
      </c>
      <c r="BK14" s="116" cm="1">
        <f t="array" ref="BK14">_xll.EQNXTDZ($A$1,$B14,BK$1)</f>
        <v>831.22500000000002</v>
      </c>
      <c r="BL14" s="116" cm="1">
        <f t="array" ref="BL14">_xll.EQNXTDZ($A$1,$B14,BL$1)</f>
        <v>887.5</v>
      </c>
      <c r="BM14" s="116" cm="1">
        <f t="array" ref="BM14">_xll.EQNXTDZ($A$1,$B14,BM$1)</f>
        <v>882</v>
      </c>
      <c r="BN14" s="116" cm="1">
        <f t="array" ref="BN14">_xll.EQNXTDZ($A$1,$B14,BN$1)</f>
        <v>925.5</v>
      </c>
      <c r="BO14" s="116" cm="1">
        <f t="array" ref="BO14">_xll.EQNXTDZ($A$1,$B14,BO$1)</f>
        <v>888</v>
      </c>
      <c r="BP14" s="116" cm="1">
        <f t="array" ref="BP14">_xll.EQNXTDZ($A$1,$B14,BP$1)</f>
        <v>976</v>
      </c>
      <c r="BQ14" s="116" cm="1">
        <f t="array" ref="BQ14">_xll.EQNXTDZ($A$1,$B14,BQ$1)</f>
        <v>983.9</v>
      </c>
      <c r="BR14" s="116" cm="1">
        <f t="array" ref="BR14">_xll.EQNXTDZ($A$1,$B14,BR$1)</f>
        <v>1123.05</v>
      </c>
      <c r="BS14" s="116" cm="1">
        <f t="array" ref="BS14">_xll.EQNXTDZ($A$1,$B14,BS$1)</f>
        <v>1075.45</v>
      </c>
      <c r="BT14" s="116" cm="1">
        <f t="array" ref="BT14">_xll.EQNXTDZ($A$1,$B14,BT$1)</f>
        <v>1070</v>
      </c>
      <c r="BU14" s="116" cm="1">
        <f t="array" ref="BU14">_xll.EQNXTDZ($A$1,$B14,BU$1)</f>
        <v>1257.25</v>
      </c>
      <c r="BV14" s="116" cm="1">
        <f t="array" ref="BV14">_xll.EQNXTDZ($A$1,$B14,BV$1)</f>
        <v>1257.6500000000001</v>
      </c>
      <c r="BW14" s="116" cm="1">
        <f t="array" ref="BW14">_xll.EQNXTDZ($A$1,$B14,BW$1)</f>
        <v>1357.5</v>
      </c>
      <c r="BX14" s="116" cm="1">
        <f t="array" ref="BX14">_xll.EQNXTDZ($A$1,$B14,BX$1)</f>
        <v>1491.75</v>
      </c>
      <c r="BY14" s="116" cm="1">
        <f t="array" ref="BY14">_xll.EQNXTDZ($A$1,$B14,BY$1)</f>
        <v>1462</v>
      </c>
      <c r="BZ14" s="116" cm="1">
        <f t="array" ref="BZ14">_xll.EQNXTDZ($A$1,$B14,BZ$1)</f>
        <v>1470</v>
      </c>
      <c r="CA14" s="116" cm="1">
        <f t="array" ref="CA14">_xll.EQNXTDZ($A$1,$B14,CA$1)</f>
        <v>1210.6500000000001</v>
      </c>
      <c r="CB14" s="116" cm="1">
        <f t="array" ref="CB14">_xll.EQNXTDZ($A$1,$B14,CB$1)</f>
        <v>1089.9000000000001</v>
      </c>
      <c r="CC14" s="116" cm="1">
        <f t="array" ref="CC14">_xll.EQNXTDZ($A$1,$B14,CC$1)</f>
        <v>1054.5</v>
      </c>
      <c r="CD14" s="116" cm="1">
        <f t="array" ref="CD14">_xll.EQNXTDZ($A$1,$B14,CD$1)</f>
        <v>1041.95</v>
      </c>
      <c r="CE14" s="116" cm="1">
        <f t="array" ref="CE14">_xll.EQNXTDZ($A$1,$B14,CE$1)</f>
        <v>928.65</v>
      </c>
      <c r="CF14" s="116" cm="1">
        <f t="array" ref="CF14">_xll.EQNXTDZ($A$1,$B14,CF$1)</f>
        <v>1010.9</v>
      </c>
      <c r="CG14" s="116" cm="1">
        <f t="array" ref="CG14">_xll.EQNXTDZ($A$1,$B14,CG$1)</f>
        <v>1001</v>
      </c>
      <c r="CH14" s="116" cm="1">
        <f t="array" ref="CH14">_xll.EQNXTDZ($A$1,$B14,CH$1)</f>
        <v>930.35</v>
      </c>
      <c r="CI14" s="116" cm="1">
        <f t="array" ref="CI14">_xll.EQNXTDZ($A$1,$B14,CI$1)</f>
        <v>892</v>
      </c>
      <c r="CJ14" s="116" cm="1">
        <f t="array" ref="CJ14">_xll.EQNXTDZ($A$1,$B14,CJ$1)</f>
        <v>929</v>
      </c>
      <c r="CK14" s="116" cm="1">
        <f t="array" ref="CK14">_xll.EQNXTDZ($A$1,$B14,CK$1)</f>
        <v>669</v>
      </c>
      <c r="CL14" s="116" cm="1">
        <f t="array" ref="CL14">_xll.EQNXTDZ($A$1,$B14,CL$1)</f>
        <v>701.05</v>
      </c>
      <c r="CM14" s="116" cm="1">
        <f t="array" ref="CM14">_xll.EQNXTDZ($A$1,$B14,CM$1)</f>
        <v>831</v>
      </c>
      <c r="CN14" s="116" cm="1">
        <f t="array" ref="CN14">_xll.EQNXTDZ($A$1,$B14,CN$1)</f>
        <v>841.05</v>
      </c>
      <c r="CO14" s="116" cm="1">
        <f t="array" ref="CO14">_xll.EQNXTDZ($A$1,$B14,CO$1)</f>
        <v>899</v>
      </c>
      <c r="CP14" s="116" cm="1">
        <f t="array" ref="CP14">_xll.EQNXTDZ($A$1,$B14,CP$1)</f>
        <v>978.9</v>
      </c>
      <c r="CQ14" s="116" cm="1">
        <f t="array" ref="CQ14">_xll.EQNXTDZ($A$1,$B14,CQ$1)</f>
        <v>1098.75</v>
      </c>
      <c r="CR14" s="116" cm="1">
        <f t="array" ref="CR14">_xll.EQNXTDZ($A$1,$B14,CR$1)</f>
        <v>1071</v>
      </c>
      <c r="CS14" s="116" cm="1">
        <f t="array" ref="CS14">_xll.EQNXTDZ($A$1,$B14,CS$1)</f>
        <v>860</v>
      </c>
      <c r="CT14" s="116" cm="1">
        <f t="array" ref="CT14">_xll.EQNXTDZ($A$1,$B14,CT$1)</f>
        <v>818.75</v>
      </c>
      <c r="CU14" s="116" cm="1">
        <f t="array" ref="CU14">_xll.EQNXTDZ($A$1,$B14,CU$1)</f>
        <v>942.65</v>
      </c>
      <c r="CV14" s="116" cm="1">
        <f t="array" ref="CV14">_xll.EQNXTDZ($A$1,$B14,CV$1)</f>
        <v>977.55</v>
      </c>
      <c r="CW14" s="116" cm="1">
        <f t="array" ref="CW14">_xll.EQNXTDZ($A$1,$B14,CW$1)</f>
        <v>1208.75</v>
      </c>
      <c r="CX14" s="116" cm="1">
        <f t="array" ref="CX14">_xll.EQNXTDZ($A$1,$B14,CX$1)</f>
        <v>1330</v>
      </c>
      <c r="CY14" s="116" cm="1">
        <f t="array" ref="CY14">_xll.EQNXTDZ($A$1,$B14,CY$1)</f>
        <v>1709.9</v>
      </c>
      <c r="CZ14" s="116" cm="1">
        <f t="array" ref="CZ14">_xll.EQNXTDZ($A$1,$B14,CZ$1)</f>
        <v>1610</v>
      </c>
      <c r="DA14" s="116" cm="1">
        <f t="array" ref="DA14">_xll.EQNXTDZ($A$1,$B14,DA$1)</f>
        <v>1887.6</v>
      </c>
      <c r="DB14" s="116" cm="1">
        <f t="array" ref="DB14">_xll.EQNXTDZ($A$1,$B14,DB$1)</f>
        <v>2849.5</v>
      </c>
      <c r="DC14" s="116" cm="1">
        <f t="array" ref="DC14">_xll.EQNXTDZ($A$1,$B14,DC$1)</f>
        <v>3050</v>
      </c>
      <c r="DD14" s="116" cm="1">
        <f t="array" ref="DD14">_xll.EQNXTDZ($A$1,$B14,DD$1)</f>
        <v>2836</v>
      </c>
      <c r="DE14" s="116" cm="1">
        <f t="array" ref="DE14">_xll.EQNXTDZ($A$1,$B14,DE$1)</f>
        <v>3518.6</v>
      </c>
      <c r="DF14" s="116" cm="1">
        <f t="array" ref="DF14">_xll.EQNXTDZ($A$1,$B14,DF$1)</f>
        <v>4089.7</v>
      </c>
      <c r="DG14" s="116" cm="1">
        <f t="array" ref="DG14">_xll.EQNXTDZ($A$1,$B14,DG$1)</f>
        <v>4355</v>
      </c>
      <c r="DH14" s="116" cm="1">
        <f t="array" ref="DH14">_xll.EQNXTDZ($A$1,$B14,DH$1)</f>
        <v>4572.75</v>
      </c>
      <c r="DI14" s="116" cm="1">
        <f t="array" ref="DI14">_xll.EQNXTDZ($A$1,$B14,DI$1)</f>
        <v>4948.95</v>
      </c>
      <c r="DJ14" s="116" cm="1">
        <f t="array" ref="DJ14">_xll.EQNXTDZ($A$1,$B14,DJ$1)</f>
        <v>5972.65</v>
      </c>
      <c r="DK14" s="116" cm="1">
        <f t="array" ref="DK14">_xll.EQNXTDZ($A$1,$B14,DK$1)</f>
        <v>6610</v>
      </c>
      <c r="DL14" s="116" cm="1">
        <f t="array" ref="DL14">_xll.EQNXTDZ($A$1,$B14,DL$1)</f>
        <v>6780</v>
      </c>
      <c r="DM14" s="116" cm="1">
        <f t="array" ref="DM14">_xll.EQNXTDZ($A$1,$B14,DM$1)</f>
        <v>6100</v>
      </c>
      <c r="DN14" s="116" cm="1">
        <f t="array" ref="DN14">_xll.EQNXTDZ($A$1,$B14,DN$1)</f>
        <v>7800</v>
      </c>
      <c r="DO14" s="116" cm="1">
        <f t="array" ref="DO14">_xll.EQNXTDZ($A$1,$B14,DO$1)</f>
        <v>7949</v>
      </c>
      <c r="DP14" s="116" cm="1">
        <f t="array" ref="DP14">_xll.EQNXTDZ($A$1,$B14,DP$1)</f>
        <v>9420</v>
      </c>
      <c r="DQ14" s="116" cm="1">
        <f t="array" ref="DQ14">_xll.EQNXTDZ($A$1,$B14,DQ$1)</f>
        <v>9186</v>
      </c>
      <c r="DR14" s="116" cm="1">
        <f t="array" ref="DR14">_xll.EQNXTDZ($A$1,$B14,DR$1)</f>
        <v>8820</v>
      </c>
      <c r="DS14" s="116" cm="1">
        <f t="array" ref="DS14">_xll.EQNXTDZ($A$1,$B14,DS$1)</f>
        <v>8815.5</v>
      </c>
      <c r="DT14" s="116" cm="1">
        <f t="array" ref="DT14">_xll.EQNXTDZ($A$1,$B14,DT$1)</f>
        <v>8699.9</v>
      </c>
      <c r="DU14" s="116" cm="1">
        <f t="array" ref="DU14">_xll.EQNXTDZ($A$1,$B14,DU$1)</f>
        <v>10760.4</v>
      </c>
      <c r="DV14" s="116" cm="1">
        <f t="array" ref="DV14">_xll.EQNXTDZ($A$1,$B14,DV$1)</f>
        <v>9275.0499999999993</v>
      </c>
      <c r="DW14" s="116" cm="1">
        <f t="array" ref="DW14">_xll.EQNXTDZ($A$1,$B14,DW$1)</f>
        <v>8681.2000000000007</v>
      </c>
      <c r="DX14" s="116" cm="1">
        <f t="array" ref="DX14">_xll.EQNXTDZ($A$1,$B14,DX$1)</f>
        <v>7094.85</v>
      </c>
      <c r="DY14" s="116" cm="1">
        <f t="array" ref="DY14">_xll.EQNXTDZ($A$1,$B14,DY$1)</f>
        <v>7196.15</v>
      </c>
      <c r="DZ14" s="116" cm="1">
        <f t="array" ref="DZ14">_xll.EQNXTDZ($A$1,$B14,DZ$1)</f>
        <v>6819</v>
      </c>
      <c r="EA14" s="116" cm="1">
        <f t="array" ref="EA14">_xll.EQNXTDZ($A$1,$B14,EA$1)</f>
        <v>6826.7</v>
      </c>
      <c r="EB14" s="116" cm="1">
        <f t="array" ref="EB14">_xll.EQNXTDZ($A$1,$B14,EB$1)</f>
        <v>6379</v>
      </c>
      <c r="EC14" s="116" cm="1">
        <f t="array" ref="EC14">_xll.EQNXTDZ($A$1,$B14,EC$1)</f>
        <v>6687</v>
      </c>
      <c r="ED14" s="116" cm="1">
        <f t="array" ref="ED14">_xll.EQNXTDZ($A$1,$B14,ED$1)</f>
        <v>7625</v>
      </c>
      <c r="EE14" s="116" cm="1">
        <f t="array" ref="EE14">_xll.EQNXTDZ($A$1,$B14,EE$1)</f>
        <v>7950</v>
      </c>
      <c r="EF14" s="116" cm="1">
        <f t="array" ref="EF14">_xll.EQNXTDZ($A$1,$B14,EF$1)</f>
        <v>7849.95</v>
      </c>
      <c r="EG14" s="116" cm="1">
        <f t="array" ref="EG14">_xll.EQNXTDZ($A$1,$B14,EG$1)</f>
        <v>7421</v>
      </c>
      <c r="EH14" s="116" cm="1">
        <f t="array" ref="EH14">_xll.EQNXTDZ($A$1,$B14,EH$1)</f>
        <v>7463.95</v>
      </c>
      <c r="EI14" s="116" cm="1">
        <f t="array" ref="EI14">_xll.EQNXTDZ($A$1,$B14,EI$1)</f>
        <v>7759.95</v>
      </c>
      <c r="EJ14" s="116" cm="1">
        <f t="array" ref="EJ14">_xll.EQNXTDZ($A$1,$B14,EJ$1)</f>
        <v>8576.25</v>
      </c>
      <c r="EK14" s="116" cm="1">
        <f t="array" ref="EK14">_xll.EQNXTDZ($A$1,$B14,EK$1)</f>
        <v>9191.1</v>
      </c>
      <c r="EL14" s="116" cm="1">
        <f t="array" ref="EL14">_xll.EQNXTDZ($A$1,$B14,EL$1)</f>
        <v>8948.4</v>
      </c>
      <c r="EM14" s="116" cm="1">
        <f t="array" ref="EM14">_xll.EQNXTDZ($A$1,$B14,EM$1)</f>
        <v>7988.3</v>
      </c>
      <c r="EN14" s="116" cm="1">
        <f t="array" ref="EN14">_xll.EQNXTDZ($A$1,$B14,EN$1)</f>
        <v>7991.75</v>
      </c>
      <c r="EO14" s="116" cm="1">
        <f t="array" ref="EO14">_xll.EQNXTDZ($A$1,$B14,EO$1)</f>
        <v>8194.85</v>
      </c>
      <c r="EP14" s="116" cm="1">
        <f t="array" ref="EP14">_xll.EQNXTDZ($A$1,$B14,EP$1)</f>
        <v>7558.85</v>
      </c>
      <c r="EQ14" s="116" cm="1">
        <f t="array" ref="EQ14">_xll.EQNXTDZ($A$1,$B14,EQ$1)</f>
        <v>7373.75</v>
      </c>
      <c r="ER14" s="116" cm="1">
        <f t="array" ref="ER14">_xll.EQNXTDZ($A$1,$B14,ER$1)</f>
        <v>7172</v>
      </c>
      <c r="ES14" s="116" cm="1">
        <f t="array" ref="ES14">_xll.EQNXTDZ($A$1,$B14,ES$1)</f>
        <v>9082.9</v>
      </c>
      <c r="ET14" s="116" cm="1">
        <f t="array" ref="ET14">_xll.EQNXTDZ($A$1,$B14,ET$1)</f>
        <v>8140</v>
      </c>
      <c r="EU14" s="116" cm="1">
        <f t="array" ref="EU14">_xll.EQNXTDZ($A$1,$B14,EU$1)</f>
        <v>8025</v>
      </c>
      <c r="EV14" s="116" cm="1">
        <f t="array" ref="EV14">_xll.EQNXTDZ($A$1,$B14,EV$1)</f>
        <v>7380</v>
      </c>
      <c r="EW14" s="116" cm="1">
        <f t="array" ref="EW14">_xll.EQNXTDZ($A$1,$B14,EW$1)</f>
        <v>7474</v>
      </c>
      <c r="EX14" s="116" cm="1">
        <f t="array" ref="EX14">_xll.EQNXTDZ($A$1,$B14,EX$1)</f>
        <v>6899.95</v>
      </c>
      <c r="EY14" s="116" cm="1">
        <f t="array" ref="EY14">_xll.EQNXTDZ($A$1,$B14,EY$1)</f>
        <v>6475.9</v>
      </c>
      <c r="EZ14" s="116" cm="1">
        <f t="array" ref="EZ14">_xll.EQNXTDZ($A$1,$B14,EZ$1)</f>
        <v>5740</v>
      </c>
      <c r="FA14" s="116" cm="1">
        <f t="array" ref="FA14">_xll.EQNXTDZ($A$1,$B14,FA$1)</f>
        <v>5959.95</v>
      </c>
      <c r="FB14" s="116" cm="1">
        <f t="array" ref="FB14">_xll.EQNXTDZ($A$1,$B14,FB$1)</f>
        <v>6543.15</v>
      </c>
      <c r="FC14" s="116" cm="1">
        <f t="array" ref="FC14">_xll.EQNXTDZ($A$1,$B14,FC$1)</f>
        <v>6733.5</v>
      </c>
      <c r="FD14" s="116" cm="1">
        <f t="array" ref="FD14">_xll.EQNXTDZ($A$1,$B14,FD$1)</f>
        <v>6423.1</v>
      </c>
      <c r="FE14" s="116" cm="1">
        <f t="array" ref="FE14">_xll.EQNXTDZ($A$1,$B14,FE$1)</f>
        <v>6096.05</v>
      </c>
      <c r="FF14" s="116" cm="1">
        <f t="array" ref="FF14">_xll.EQNXTDZ($A$1,$B14,FF$1)</f>
        <v>5863.4</v>
      </c>
      <c r="FG14" s="116" cm="1">
        <f t="array" ref="FG14">_xll.EQNXTDZ($A$1,$B14,FG$1)</f>
        <v>5624.1</v>
      </c>
      <c r="FH14" s="116" cm="1">
        <f t="array" ref="FH14">_xll.EQNXTDZ($A$1,$B14,FH$1)</f>
        <v>5484.3</v>
      </c>
      <c r="FI14" s="116" cm="1">
        <f t="array" ref="FI14">_xll.EQNXTDZ($A$1,$B14,FI$1)</f>
        <v>5506.8</v>
      </c>
      <c r="FJ14" s="116" cm="1">
        <f t="array" ref="FJ14">_xll.EQNXTDZ($A$1,$B14,FJ$1)</f>
        <v>5949.95</v>
      </c>
      <c r="FK14" s="116" cm="1">
        <f t="array" ref="FK14">_xll.EQNXTDZ($A$1,$B14,FK$1)</f>
        <v>5636.95</v>
      </c>
      <c r="FL14" s="116" cm="1">
        <f t="array" ref="FL14">_xll.EQNXTDZ($A$1,$B14,FL$1)</f>
        <v>4529.6000000000004</v>
      </c>
      <c r="FM14" s="116" cm="1">
        <f t="array" ref="FM14">_xll.EQNXTDZ($A$1,$B14,FM$1)</f>
        <v>4750</v>
      </c>
      <c r="FN14" s="116" cm="1">
        <f t="array" ref="FN14">_xll.EQNXTDZ($A$1,$B14,FN$1)</f>
        <v>4425</v>
      </c>
      <c r="FO14" s="116" cm="1">
        <f t="array" ref="FO14">_xll.EQNXTDZ($A$1,$B14,FO$1)</f>
        <v>4541.25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127.05</v>
      </c>
      <c r="HQ14" s="116">
        <f>+MAX(G14:I14)</f>
        <v>126</v>
      </c>
      <c r="HR14" s="116">
        <f>+MAX(J14:L14)</f>
        <v>123.5</v>
      </c>
      <c r="HS14" s="116">
        <f>+MAX(M14:O14)</f>
        <v>104.425</v>
      </c>
      <c r="HT14" s="116">
        <f>+MAX(P14:R14)</f>
        <v>110.47499999999999</v>
      </c>
      <c r="HU14" s="116">
        <f>+MAX(S14:U14)</f>
        <v>213.9</v>
      </c>
      <c r="HV14" s="116">
        <f>+MAX(V14:X14)</f>
        <v>334.3</v>
      </c>
      <c r="HW14" s="116">
        <f>+MAX(Y14:AA14)</f>
        <v>314.7</v>
      </c>
      <c r="HX14" s="116">
        <f>+MAX(AB14:AD14)</f>
        <v>349.65</v>
      </c>
      <c r="HY14" s="116">
        <f>+MAX(AE14:AG14)</f>
        <v>331.9</v>
      </c>
      <c r="HZ14" s="116">
        <f>+MAX(AH14:AJ14)</f>
        <v>743.75</v>
      </c>
      <c r="IA14" s="116">
        <f>+MAX(AK14:AM14)</f>
        <v>702.95</v>
      </c>
      <c r="IB14" s="116">
        <f>+MAX(AN14:AP14)</f>
        <v>1158.5</v>
      </c>
      <c r="IC14" s="116">
        <f>+MAX(AQ14:AS14)</f>
        <v>1165</v>
      </c>
      <c r="ID14" s="116">
        <f>+MAX(AT14:AV14)</f>
        <v>1198</v>
      </c>
      <c r="IE14" s="116">
        <f>+MAX(AW14:AY14)</f>
        <v>1032</v>
      </c>
      <c r="IF14" s="116">
        <f>+MAX(AZ14:BB14)</f>
        <v>891.5</v>
      </c>
      <c r="IG14" s="116">
        <f>+MAX(BC14:BE14)</f>
        <v>749.4</v>
      </c>
      <c r="IH14" s="116">
        <f>+MAX(BF14:BH14)</f>
        <v>778.9</v>
      </c>
      <c r="II14" s="116">
        <f>+MAX(BI14:BK14)</f>
        <v>831.22500000000002</v>
      </c>
      <c r="IJ14" s="116">
        <f>+MAX(BL14:BN14)</f>
        <v>925.5</v>
      </c>
      <c r="IK14" s="116">
        <f>+MAX(BO14:BQ14)</f>
        <v>983.9</v>
      </c>
      <c r="IL14" s="116">
        <f>+MAX(BR14:BT14)</f>
        <v>1123.05</v>
      </c>
      <c r="IM14" s="116">
        <f>+MAX(BU14:BW14)</f>
        <v>1357.5</v>
      </c>
      <c r="IN14" s="116">
        <f>+MAX(BX14:BZ14)</f>
        <v>1491.75</v>
      </c>
      <c r="IO14" s="116">
        <f>+MAX(CA14:CC14)</f>
        <v>1210.6500000000001</v>
      </c>
      <c r="IP14" s="116">
        <f>+MAX(CD14:CF14)</f>
        <v>1041.95</v>
      </c>
      <c r="IQ14" s="116">
        <f>+MAX(CG14:CI14)</f>
        <v>1001</v>
      </c>
      <c r="IR14" s="116">
        <f>+MAX(CJ14:CL14)</f>
        <v>929</v>
      </c>
      <c r="IS14" s="116">
        <f>+MAX(CM14:CO14)</f>
        <v>899</v>
      </c>
      <c r="IT14" s="116">
        <f>+MAX(CP14:CR14)</f>
        <v>1098.75</v>
      </c>
      <c r="IU14" s="116">
        <f>+MAX(CS14:CU14)</f>
        <v>942.65</v>
      </c>
      <c r="IV14" s="116">
        <f>+MAX(CV14:CX14)</f>
        <v>1330</v>
      </c>
      <c r="IW14" s="116">
        <f>+MAX(CY14:DA14)</f>
        <v>1887.6</v>
      </c>
      <c r="IX14" s="116">
        <f>+MAX(DB14:DD14)</f>
        <v>3050</v>
      </c>
      <c r="IY14" s="116">
        <f>+MAX(DE14:DG14)</f>
        <v>4355</v>
      </c>
      <c r="IZ14" s="116">
        <f>+MAX(DH14:DJ14)</f>
        <v>5972.65</v>
      </c>
      <c r="JA14" s="116">
        <f>+MAX(DK14:DM14)</f>
        <v>6780</v>
      </c>
      <c r="JB14" s="116">
        <f>+MAX(DN14:DP14)</f>
        <v>9420</v>
      </c>
      <c r="JC14" s="116">
        <f>+MAX(DQ14:DS14)</f>
        <v>9186</v>
      </c>
      <c r="JD14" s="116">
        <f>+MAX(DT14:DV14)</f>
        <v>10760.4</v>
      </c>
      <c r="JE14" s="116">
        <f>+MAX(DW14:DY14)</f>
        <v>8681.2000000000007</v>
      </c>
      <c r="JF14" s="116">
        <f>+MAX(DZ14:EB14)</f>
        <v>6826.7</v>
      </c>
      <c r="JG14" s="116">
        <f>+MAX(EC14:EE14)</f>
        <v>7950</v>
      </c>
      <c r="JH14" s="116">
        <f>+MAX(EF14:EH14)</f>
        <v>7849.95</v>
      </c>
      <c r="JI14" s="116">
        <f>+MAX(EI14:EK14)</f>
        <v>9191.1</v>
      </c>
      <c r="JJ14" s="116">
        <f>+MAX(EL14:EN14)</f>
        <v>8948.4</v>
      </c>
      <c r="JK14" s="116">
        <f>MAX(EO14:EQ14)</f>
        <v>8194.85</v>
      </c>
      <c r="JL14" s="116">
        <f>MAX(ER14:ET14)</f>
        <v>9082.9</v>
      </c>
      <c r="JM14" s="116">
        <f>MAX(EU14:EW14)</f>
        <v>8025</v>
      </c>
      <c r="JN14" s="116">
        <f>MAX(EX14:EZ14)</f>
        <v>6899.95</v>
      </c>
      <c r="JO14" s="116">
        <f>MAX(FA14:FC14)</f>
        <v>6733.5</v>
      </c>
      <c r="JP14" s="116">
        <f>MAX(FD14:FF14)</f>
        <v>6423.1</v>
      </c>
      <c r="JQ14" s="116">
        <f>MAX(FG14:FI14)</f>
        <v>5624.1</v>
      </c>
      <c r="JR14" s="116">
        <f>MAX(FJ14:FL14)</f>
        <v>5949.95</v>
      </c>
      <c r="JS14" s="116">
        <f>MAX(FM14:FO14)</f>
        <v>4750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101.52500000000001</v>
      </c>
      <c r="D15" s="116" cm="1">
        <f t="array" ref="D15">_xll.EQNXTDZ($A$1,$B15,D$1)</f>
        <v>102.575</v>
      </c>
      <c r="E15" s="116" cm="1">
        <f t="array" ref="E15">_xll.EQNXTDZ($A$1,$B15,E$1)</f>
        <v>105.65</v>
      </c>
      <c r="F15" s="116" cm="1">
        <f t="array" ref="F15">_xll.EQNXTDZ($A$1,$B15,F$1)</f>
        <v>104.875</v>
      </c>
      <c r="G15" s="116" cm="1">
        <f t="array" ref="G15">_xll.EQNXTDZ($A$1,$B15,G$1)</f>
        <v>107.55</v>
      </c>
      <c r="H15" s="116" cm="1">
        <f t="array" ref="H15">_xll.EQNXTDZ($A$1,$B15,H$1)</f>
        <v>105</v>
      </c>
      <c r="I15" s="116" cm="1">
        <f t="array" ref="I15">_xll.EQNXTDZ($A$1,$B15,I$1)</f>
        <v>112.52500000000001</v>
      </c>
      <c r="J15" s="116" cm="1">
        <f t="array" ref="J15">_xll.EQNXTDZ($A$1,$B15,J$1)</f>
        <v>106.5</v>
      </c>
      <c r="K15" s="116" cm="1">
        <f t="array" ref="K15">_xll.EQNXTDZ($A$1,$B15,K$1)</f>
        <v>96.3</v>
      </c>
      <c r="L15" s="116" cm="1">
        <f t="array" ref="L15">_xll.EQNXTDZ($A$1,$B15,L$1)</f>
        <v>91.45</v>
      </c>
      <c r="M15" s="116" cm="1">
        <f t="array" ref="M15">_xll.EQNXTDZ($A$1,$B15,M$1)</f>
        <v>94.55</v>
      </c>
      <c r="N15" s="116" cm="1">
        <f t="array" ref="N15">_xll.EQNXTDZ($A$1,$B15,N$1)</f>
        <v>92.05</v>
      </c>
      <c r="O15" s="116" cm="1">
        <f t="array" ref="O15">_xll.EQNXTDZ($A$1,$B15,O$1)</f>
        <v>85.025000000000006</v>
      </c>
      <c r="P15" s="116" cm="1">
        <f t="array" ref="P15">_xll.EQNXTDZ($A$1,$B15,P$1)</f>
        <v>87.775000000000006</v>
      </c>
      <c r="Q15" s="116" cm="1">
        <f t="array" ref="Q15">_xll.EQNXTDZ($A$1,$B15,Q$1)</f>
        <v>78.05</v>
      </c>
      <c r="R15" s="116" cm="1">
        <f t="array" ref="R15">_xll.EQNXTDZ($A$1,$B15,R$1)</f>
        <v>84</v>
      </c>
      <c r="S15" s="116" cm="1">
        <f t="array" ref="S15">_xll.EQNXTDZ($A$1,$B15,S$1)</f>
        <v>90</v>
      </c>
      <c r="T15" s="116" cm="1">
        <f t="array" ref="T15">_xll.EQNXTDZ($A$1,$B15,T$1)</f>
        <v>109</v>
      </c>
      <c r="U15" s="116" cm="1">
        <f t="array" ref="U15">_xll.EQNXTDZ($A$1,$B15,U$1)</f>
        <v>144.19999999999999</v>
      </c>
      <c r="V15" s="116" cm="1">
        <f t="array" ref="V15">_xll.EQNXTDZ($A$1,$B15,V$1)</f>
        <v>172</v>
      </c>
      <c r="W15" s="116" cm="1">
        <f t="array" ref="W15">_xll.EQNXTDZ($A$1,$B15,W$1)</f>
        <v>195.4</v>
      </c>
      <c r="X15" s="116" cm="1">
        <f t="array" ref="X15">_xll.EQNXTDZ($A$1,$B15,X$1)</f>
        <v>265</v>
      </c>
      <c r="Y15" s="116" cm="1">
        <f t="array" ref="Y15">_xll.EQNXTDZ($A$1,$B15,Y$1)</f>
        <v>267.5</v>
      </c>
      <c r="Z15" s="116" cm="1">
        <f t="array" ref="Z15">_xll.EQNXTDZ($A$1,$B15,Z$1)</f>
        <v>236</v>
      </c>
      <c r="AA15" s="116" cm="1">
        <f t="array" ref="AA15">_xll.EQNXTDZ($A$1,$B15,AA$1)</f>
        <v>249</v>
      </c>
      <c r="AB15" s="116" cm="1">
        <f t="array" ref="AB15">_xll.EQNXTDZ($A$1,$B15,AB$1)</f>
        <v>284.57499999999999</v>
      </c>
      <c r="AC15" s="116" cm="1">
        <f t="array" ref="AC15">_xll.EQNXTDZ($A$1,$B15,AC$1)</f>
        <v>280.8</v>
      </c>
      <c r="AD15" s="116" cm="1">
        <f t="array" ref="AD15">_xll.EQNXTDZ($A$1,$B15,AD$1)</f>
        <v>290.5</v>
      </c>
      <c r="AE15" s="116" cm="1">
        <f t="array" ref="AE15">_xll.EQNXTDZ($A$1,$B15,AE$1)</f>
        <v>283.27499999999998</v>
      </c>
      <c r="AF15" s="116" cm="1">
        <f t="array" ref="AF15">_xll.EQNXTDZ($A$1,$B15,AF$1)</f>
        <v>296.25</v>
      </c>
      <c r="AG15" s="116" cm="1">
        <f t="array" ref="AG15">_xll.EQNXTDZ($A$1,$B15,AG$1)</f>
        <v>275.55</v>
      </c>
      <c r="AH15" s="116" cm="1">
        <f t="array" ref="AH15">_xll.EQNXTDZ($A$1,$B15,AH$1)</f>
        <v>298.27499999999998</v>
      </c>
      <c r="AI15" s="116" cm="1">
        <f t="array" ref="AI15">_xll.EQNXTDZ($A$1,$B15,AI$1)</f>
        <v>375.47500000000002</v>
      </c>
      <c r="AJ15" s="116" cm="1">
        <f t="array" ref="AJ15">_xll.EQNXTDZ($A$1,$B15,AJ$1)</f>
        <v>520</v>
      </c>
      <c r="AK15" s="116" cm="1">
        <f t="array" ref="AK15">_xll.EQNXTDZ($A$1,$B15,AK$1)</f>
        <v>489</v>
      </c>
      <c r="AL15" s="116" cm="1">
        <f t="array" ref="AL15">_xll.EQNXTDZ($A$1,$B15,AL$1)</f>
        <v>505.5</v>
      </c>
      <c r="AM15" s="116" cm="1">
        <f t="array" ref="AM15">_xll.EQNXTDZ($A$1,$B15,AM$1)</f>
        <v>523.875</v>
      </c>
      <c r="AN15" s="116" cm="1">
        <f t="array" ref="AN15">_xll.EQNXTDZ($A$1,$B15,AN$1)</f>
        <v>592.5</v>
      </c>
      <c r="AO15" s="116" cm="1">
        <f t="array" ref="AO15">_xll.EQNXTDZ($A$1,$B15,AO$1)</f>
        <v>780.25</v>
      </c>
      <c r="AP15" s="116" cm="1">
        <f t="array" ref="AP15">_xll.EQNXTDZ($A$1,$B15,AP$1)</f>
        <v>857.55</v>
      </c>
      <c r="AQ15" s="116" cm="1">
        <f t="array" ref="AQ15">_xll.EQNXTDZ($A$1,$B15,AQ$1)</f>
        <v>876.3</v>
      </c>
      <c r="AR15" s="116" cm="1">
        <f t="array" ref="AR15">_xll.EQNXTDZ($A$1,$B15,AR$1)</f>
        <v>844.57500000000005</v>
      </c>
      <c r="AS15" s="116" cm="1">
        <f t="array" ref="AS15">_xll.EQNXTDZ($A$1,$B15,AS$1)</f>
        <v>912.5</v>
      </c>
      <c r="AT15" s="116" cm="1">
        <f t="array" ref="AT15">_xll.EQNXTDZ($A$1,$B15,AT$1)</f>
        <v>819.15</v>
      </c>
      <c r="AU15" s="116" cm="1">
        <f t="array" ref="AU15">_xll.EQNXTDZ($A$1,$B15,AU$1)</f>
        <v>798.52499999999998</v>
      </c>
      <c r="AV15" s="116" cm="1">
        <f t="array" ref="AV15">_xll.EQNXTDZ($A$1,$B15,AV$1)</f>
        <v>850.5</v>
      </c>
      <c r="AW15" s="116" cm="1">
        <f t="array" ref="AW15">_xll.EQNXTDZ($A$1,$B15,AW$1)</f>
        <v>928.75</v>
      </c>
      <c r="AX15" s="116" cm="1">
        <f t="array" ref="AX15">_xll.EQNXTDZ($A$1,$B15,AX$1)</f>
        <v>887.5</v>
      </c>
      <c r="AY15" s="116" cm="1">
        <f t="array" ref="AY15">_xll.EQNXTDZ($A$1,$B15,AY$1)</f>
        <v>806.07500000000005</v>
      </c>
      <c r="AZ15" s="116" cm="1">
        <f t="array" ref="AZ15">_xll.EQNXTDZ($A$1,$B15,AZ$1)</f>
        <v>797.7</v>
      </c>
      <c r="BA15" s="116" cm="1">
        <f t="array" ref="BA15">_xll.EQNXTDZ($A$1,$B15,BA$1)</f>
        <v>769</v>
      </c>
      <c r="BB15" s="116" cm="1">
        <f t="array" ref="BB15">_xll.EQNXTDZ($A$1,$B15,BB$1)</f>
        <v>685.85</v>
      </c>
      <c r="BC15" s="116" cm="1">
        <f t="array" ref="BC15">_xll.EQNXTDZ($A$1,$B15,BC$1)</f>
        <v>612</v>
      </c>
      <c r="BD15" s="116" cm="1">
        <f t="array" ref="BD15">_xll.EQNXTDZ($A$1,$B15,BD$1)</f>
        <v>510.82499999999999</v>
      </c>
      <c r="BE15" s="116" cm="1">
        <f t="array" ref="BE15">_xll.EQNXTDZ($A$1,$B15,BE$1)</f>
        <v>632</v>
      </c>
      <c r="BF15" s="116" cm="1">
        <f t="array" ref="BF15">_xll.EQNXTDZ($A$1,$B15,BF$1)</f>
        <v>686.02499999999998</v>
      </c>
      <c r="BG15" s="116" cm="1">
        <f t="array" ref="BG15">_xll.EQNXTDZ($A$1,$B15,BG$1)</f>
        <v>697.22500000000002</v>
      </c>
      <c r="BH15" s="116" cm="1">
        <f t="array" ref="BH15">_xll.EQNXTDZ($A$1,$B15,BH$1)</f>
        <v>713.125</v>
      </c>
      <c r="BI15" s="116" cm="1">
        <f t="array" ref="BI15">_xll.EQNXTDZ($A$1,$B15,BI$1)</f>
        <v>735.875</v>
      </c>
      <c r="BJ15" s="116" cm="1">
        <f t="array" ref="BJ15">_xll.EQNXTDZ($A$1,$B15,BJ$1)</f>
        <v>643.75</v>
      </c>
      <c r="BK15" s="116" cm="1">
        <f t="array" ref="BK15">_xll.EQNXTDZ($A$1,$B15,BK$1)</f>
        <v>662.5</v>
      </c>
      <c r="BL15" s="116" cm="1">
        <f t="array" ref="BL15">_xll.EQNXTDZ($A$1,$B15,BL$1)</f>
        <v>794.52499999999998</v>
      </c>
      <c r="BM15" s="116" cm="1">
        <f t="array" ref="BM15">_xll.EQNXTDZ($A$1,$B15,BM$1)</f>
        <v>791.47500000000002</v>
      </c>
      <c r="BN15" s="116" cm="1">
        <f t="array" ref="BN15">_xll.EQNXTDZ($A$1,$B15,BN$1)</f>
        <v>795.05</v>
      </c>
      <c r="BO15" s="116" cm="1">
        <f t="array" ref="BO15">_xll.EQNXTDZ($A$1,$B15,BO$1)</f>
        <v>795</v>
      </c>
      <c r="BP15" s="116" cm="1">
        <f t="array" ref="BP15">_xll.EQNXTDZ($A$1,$B15,BP$1)</f>
        <v>841.75</v>
      </c>
      <c r="BQ15" s="116" cm="1">
        <f t="array" ref="BQ15">_xll.EQNXTDZ($A$1,$B15,BQ$1)</f>
        <v>885</v>
      </c>
      <c r="BR15" s="116" cm="1">
        <f t="array" ref="BR15">_xll.EQNXTDZ($A$1,$B15,BR$1)</f>
        <v>951.35</v>
      </c>
      <c r="BS15" s="116" cm="1">
        <f t="array" ref="BS15">_xll.EQNXTDZ($A$1,$B15,BS$1)</f>
        <v>927</v>
      </c>
      <c r="BT15" s="116" cm="1">
        <f t="array" ref="BT15">_xll.EQNXTDZ($A$1,$B15,BT$1)</f>
        <v>955.45</v>
      </c>
      <c r="BU15" s="116" cm="1">
        <f t="array" ref="BU15">_xll.EQNXTDZ($A$1,$B15,BU$1)</f>
        <v>987</v>
      </c>
      <c r="BV15" s="116" cm="1">
        <f t="array" ref="BV15">_xll.EQNXTDZ($A$1,$B15,BV$1)</f>
        <v>1120.55</v>
      </c>
      <c r="BW15" s="116" cm="1">
        <f t="array" ref="BW15">_xll.EQNXTDZ($A$1,$B15,BW$1)</f>
        <v>1136.7</v>
      </c>
      <c r="BX15" s="116" cm="1">
        <f t="array" ref="BX15">_xll.EQNXTDZ($A$1,$B15,BX$1)</f>
        <v>1323</v>
      </c>
      <c r="BY15" s="116" cm="1">
        <f t="array" ref="BY15">_xll.EQNXTDZ($A$1,$B15,BY$1)</f>
        <v>1377</v>
      </c>
      <c r="BZ15" s="116" cm="1">
        <f t="array" ref="BZ15">_xll.EQNXTDZ($A$1,$B15,BZ$1)</f>
        <v>1130.3</v>
      </c>
      <c r="CA15" s="116" cm="1">
        <f t="array" ref="CA15">_xll.EQNXTDZ($A$1,$B15,CA$1)</f>
        <v>926</v>
      </c>
      <c r="CB15" s="116" cm="1">
        <f t="array" ref="CB15">_xll.EQNXTDZ($A$1,$B15,CB$1)</f>
        <v>952</v>
      </c>
      <c r="CC15" s="116" cm="1">
        <f t="array" ref="CC15">_xll.EQNXTDZ($A$1,$B15,CC$1)</f>
        <v>954.7</v>
      </c>
      <c r="CD15" s="116" cm="1">
        <f t="array" ref="CD15">_xll.EQNXTDZ($A$1,$B15,CD$1)</f>
        <v>865</v>
      </c>
      <c r="CE15" s="116" cm="1">
        <f t="array" ref="CE15">_xll.EQNXTDZ($A$1,$B15,CE$1)</f>
        <v>826</v>
      </c>
      <c r="CF15" s="116" cm="1">
        <f t="array" ref="CF15">_xll.EQNXTDZ($A$1,$B15,CF$1)</f>
        <v>888.15</v>
      </c>
      <c r="CG15" s="116" cm="1">
        <f t="array" ref="CG15">_xll.EQNXTDZ($A$1,$B15,CG$1)</f>
        <v>916.35</v>
      </c>
      <c r="CH15" s="116" cm="1">
        <f t="array" ref="CH15">_xll.EQNXTDZ($A$1,$B15,CH$1)</f>
        <v>822.2</v>
      </c>
      <c r="CI15" s="116" cm="1">
        <f t="array" ref="CI15">_xll.EQNXTDZ($A$1,$B15,CI$1)</f>
        <v>834.8</v>
      </c>
      <c r="CJ15" s="116" cm="1">
        <f t="array" ref="CJ15">_xll.EQNXTDZ($A$1,$B15,CJ$1)</f>
        <v>609.45000000000005</v>
      </c>
      <c r="CK15" s="116" cm="1">
        <f t="array" ref="CK15">_xll.EQNXTDZ($A$1,$B15,CK$1)</f>
        <v>593</v>
      </c>
      <c r="CL15" s="116" cm="1">
        <f t="array" ref="CL15">_xll.EQNXTDZ($A$1,$B15,CL$1)</f>
        <v>606.15</v>
      </c>
      <c r="CM15" s="116" cm="1">
        <f t="array" ref="CM15">_xll.EQNXTDZ($A$1,$B15,CM$1)</f>
        <v>610</v>
      </c>
      <c r="CN15" s="116" cm="1">
        <f t="array" ref="CN15">_xll.EQNXTDZ($A$1,$B15,CN$1)</f>
        <v>782.9</v>
      </c>
      <c r="CO15" s="116" cm="1">
        <f t="array" ref="CO15">_xll.EQNXTDZ($A$1,$B15,CO$1)</f>
        <v>778.5</v>
      </c>
      <c r="CP15" s="116" cm="1">
        <f t="array" ref="CP15">_xll.EQNXTDZ($A$1,$B15,CP$1)</f>
        <v>812.5</v>
      </c>
      <c r="CQ15" s="116" cm="1">
        <f t="array" ref="CQ15">_xll.EQNXTDZ($A$1,$B15,CQ$1)</f>
        <v>855</v>
      </c>
      <c r="CR15" s="116" cm="1">
        <f t="array" ref="CR15">_xll.EQNXTDZ($A$1,$B15,CR$1)</f>
        <v>501</v>
      </c>
      <c r="CS15" s="116" cm="1">
        <f t="array" ref="CS15">_xll.EQNXTDZ($A$1,$B15,CS$1)</f>
        <v>590</v>
      </c>
      <c r="CT15" s="116" cm="1">
        <f t="array" ref="CT15">_xll.EQNXTDZ($A$1,$B15,CT$1)</f>
        <v>740.6</v>
      </c>
      <c r="CU15" s="116" cm="1">
        <f t="array" ref="CU15">_xll.EQNXTDZ($A$1,$B15,CU$1)</f>
        <v>768.6</v>
      </c>
      <c r="CV15" s="116" cm="1">
        <f t="array" ref="CV15">_xll.EQNXTDZ($A$1,$B15,CV$1)</f>
        <v>876.6</v>
      </c>
      <c r="CW15" s="116" cm="1">
        <f t="array" ref="CW15">_xll.EQNXTDZ($A$1,$B15,CW$1)</f>
        <v>933.5</v>
      </c>
      <c r="CX15" s="116" cm="1">
        <f t="array" ref="CX15">_xll.EQNXTDZ($A$1,$B15,CX$1)</f>
        <v>1060.2</v>
      </c>
      <c r="CY15" s="116" cm="1">
        <f t="array" ref="CY15">_xll.EQNXTDZ($A$1,$B15,CY$1)</f>
        <v>1271</v>
      </c>
      <c r="CZ15" s="116" cm="1">
        <f t="array" ref="CZ15">_xll.EQNXTDZ($A$1,$B15,CZ$1)</f>
        <v>1452.1</v>
      </c>
      <c r="DA15" s="116" cm="1">
        <f t="array" ref="DA15">_xll.EQNXTDZ($A$1,$B15,DA$1)</f>
        <v>1485</v>
      </c>
      <c r="DB15" s="116" cm="1">
        <f t="array" ref="DB15">_xll.EQNXTDZ($A$1,$B15,DB$1)</f>
        <v>1838</v>
      </c>
      <c r="DC15" s="116" cm="1">
        <f t="array" ref="DC15">_xll.EQNXTDZ($A$1,$B15,DC$1)</f>
        <v>2608</v>
      </c>
      <c r="DD15" s="116" cm="1">
        <f t="array" ref="DD15">_xll.EQNXTDZ($A$1,$B15,DD$1)</f>
        <v>2544.8000000000002</v>
      </c>
      <c r="DE15" s="116" cm="1">
        <f t="array" ref="DE15">_xll.EQNXTDZ($A$1,$B15,DE$1)</f>
        <v>2700</v>
      </c>
      <c r="DF15" s="116" cm="1">
        <f t="array" ref="DF15">_xll.EQNXTDZ($A$1,$B15,DF$1)</f>
        <v>3350</v>
      </c>
      <c r="DG15" s="116" cm="1">
        <f t="array" ref="DG15">_xll.EQNXTDZ($A$1,$B15,DG$1)</f>
        <v>3550</v>
      </c>
      <c r="DH15" s="116" cm="1">
        <f t="array" ref="DH15">_xll.EQNXTDZ($A$1,$B15,DH$1)</f>
        <v>4106.3</v>
      </c>
      <c r="DI15" s="116" cm="1">
        <f t="array" ref="DI15">_xll.EQNXTDZ($A$1,$B15,DI$1)</f>
        <v>4112</v>
      </c>
      <c r="DJ15" s="116" cm="1">
        <f t="array" ref="DJ15">_xll.EQNXTDZ($A$1,$B15,DJ$1)</f>
        <v>4806.5</v>
      </c>
      <c r="DK15" s="116" cm="1">
        <f t="array" ref="DK15">_xll.EQNXTDZ($A$1,$B15,DK$1)</f>
        <v>5590</v>
      </c>
      <c r="DL15" s="116" cm="1">
        <f t="array" ref="DL15">_xll.EQNXTDZ($A$1,$B15,DL$1)</f>
        <v>5264.75</v>
      </c>
      <c r="DM15" s="116" cm="1">
        <f t="array" ref="DM15">_xll.EQNXTDZ($A$1,$B15,DM$1)</f>
        <v>5342.45</v>
      </c>
      <c r="DN15" s="116" cm="1">
        <f t="array" ref="DN15">_xll.EQNXTDZ($A$1,$B15,DN$1)</f>
        <v>5780</v>
      </c>
      <c r="DO15" s="116" cm="1">
        <f t="array" ref="DO15">_xll.EQNXTDZ($A$1,$B15,DO$1)</f>
        <v>5994.95</v>
      </c>
      <c r="DP15" s="116" cm="1">
        <f t="array" ref="DP15">_xll.EQNXTDZ($A$1,$B15,DP$1)</f>
        <v>6325.75</v>
      </c>
      <c r="DQ15" s="116" cm="1">
        <f t="array" ref="DQ15">_xll.EQNXTDZ($A$1,$B15,DQ$1)</f>
        <v>7467.95</v>
      </c>
      <c r="DR15" s="116" cm="1">
        <f t="array" ref="DR15">_xll.EQNXTDZ($A$1,$B15,DR$1)</f>
        <v>6431.45</v>
      </c>
      <c r="DS15" s="116" cm="1">
        <f t="array" ref="DS15">_xll.EQNXTDZ($A$1,$B15,DS$1)</f>
        <v>7122.25</v>
      </c>
      <c r="DT15" s="116" cm="1">
        <f t="array" ref="DT15">_xll.EQNXTDZ($A$1,$B15,DT$1)</f>
        <v>7635.05</v>
      </c>
      <c r="DU15" s="116" cm="1">
        <f t="array" ref="DU15">_xll.EQNXTDZ($A$1,$B15,DU$1)</f>
        <v>8590.15</v>
      </c>
      <c r="DV15" s="116" cm="1">
        <f t="array" ref="DV15">_xll.EQNXTDZ($A$1,$B15,DV$1)</f>
        <v>8194</v>
      </c>
      <c r="DW15" s="116" cm="1">
        <f t="array" ref="DW15">_xll.EQNXTDZ($A$1,$B15,DW$1)</f>
        <v>6842.3</v>
      </c>
      <c r="DX15" s="116" cm="1">
        <f t="array" ref="DX15">_xll.EQNXTDZ($A$1,$B15,DX$1)</f>
        <v>6603</v>
      </c>
      <c r="DY15" s="116" cm="1">
        <f t="array" ref="DY15">_xll.EQNXTDZ($A$1,$B15,DY$1)</f>
        <v>5708.1</v>
      </c>
      <c r="DZ15" s="116" cm="1">
        <f t="array" ref="DZ15">_xll.EQNXTDZ($A$1,$B15,DZ$1)</f>
        <v>6133.15</v>
      </c>
      <c r="EA15" s="116" cm="1">
        <f t="array" ref="EA15">_xll.EQNXTDZ($A$1,$B15,EA$1)</f>
        <v>6080</v>
      </c>
      <c r="EB15" s="116" cm="1">
        <f t="array" ref="EB15">_xll.EQNXTDZ($A$1,$B15,EB$1)</f>
        <v>5883.05</v>
      </c>
      <c r="EC15" s="116" cm="1">
        <f t="array" ref="EC15">_xll.EQNXTDZ($A$1,$B15,EC$1)</f>
        <v>5976.05</v>
      </c>
      <c r="ED15" s="116" cm="1">
        <f t="array" ref="ED15">_xll.EQNXTDZ($A$1,$B15,ED$1)</f>
        <v>6559</v>
      </c>
      <c r="EE15" s="116" cm="1">
        <f t="array" ref="EE15">_xll.EQNXTDZ($A$1,$B15,EE$1)</f>
        <v>7450</v>
      </c>
      <c r="EF15" s="116" cm="1">
        <f t="array" ref="EF15">_xll.EQNXTDZ($A$1,$B15,EF$1)</f>
        <v>7145</v>
      </c>
      <c r="EG15" s="116" cm="1">
        <f t="array" ref="EG15">_xll.EQNXTDZ($A$1,$B15,EG$1)</f>
        <v>6990.05</v>
      </c>
      <c r="EH15" s="116" cm="1">
        <f t="array" ref="EH15">_xll.EQNXTDZ($A$1,$B15,EH$1)</f>
        <v>7195.8</v>
      </c>
      <c r="EI15" s="116" cm="1">
        <f t="array" ref="EI15">_xll.EQNXTDZ($A$1,$B15,EI$1)</f>
        <v>7170.05</v>
      </c>
      <c r="EJ15" s="116" cm="1">
        <f t="array" ref="EJ15">_xll.EQNXTDZ($A$1,$B15,EJ$1)</f>
        <v>7415</v>
      </c>
      <c r="EK15" s="116" cm="1">
        <f t="array" ref="EK15">_xll.EQNXTDZ($A$1,$B15,EK$1)</f>
        <v>8300</v>
      </c>
      <c r="EL15" s="116" cm="1">
        <f t="array" ref="EL15">_xll.EQNXTDZ($A$1,$B15,EL$1)</f>
        <v>7565</v>
      </c>
      <c r="EM15" s="116" cm="1">
        <f t="array" ref="EM15">_xll.EQNXTDZ($A$1,$B15,EM$1)</f>
        <v>7350</v>
      </c>
      <c r="EN15" s="116" cm="1">
        <f t="array" ref="EN15">_xll.EQNXTDZ($A$1,$B15,EN$1)</f>
        <v>7340</v>
      </c>
      <c r="EO15" s="116" cm="1">
        <f t="array" ref="EO15">_xll.EQNXTDZ($A$1,$B15,EO$1)</f>
        <v>7000.7</v>
      </c>
      <c r="EP15" s="116" cm="1">
        <f t="array" ref="EP15">_xll.EQNXTDZ($A$1,$B15,EP$1)</f>
        <v>6905.05</v>
      </c>
      <c r="EQ15" s="116" cm="1">
        <f t="array" ref="EQ15">_xll.EQNXTDZ($A$1,$B15,EQ$1)</f>
        <v>6406.6</v>
      </c>
      <c r="ER15" s="116" cm="1">
        <f t="array" ref="ER15">_xll.EQNXTDZ($A$1,$B15,ER$1)</f>
        <v>6852.95</v>
      </c>
      <c r="ES15" s="116" cm="1">
        <f t="array" ref="ES15">_xll.EQNXTDZ($A$1,$B15,ES$1)</f>
        <v>6619.75</v>
      </c>
      <c r="ET15" s="116" cm="1">
        <f t="array" ref="ET15">_xll.EQNXTDZ($A$1,$B15,ET$1)</f>
        <v>7490</v>
      </c>
      <c r="EU15" s="116" cm="1">
        <f t="array" ref="EU15">_xll.EQNXTDZ($A$1,$B15,EU$1)</f>
        <v>6871.7</v>
      </c>
      <c r="EV15" s="116" cm="1">
        <f t="array" ref="EV15">_xll.EQNXTDZ($A$1,$B15,EV$1)</f>
        <v>6285.05</v>
      </c>
      <c r="EW15" s="116" cm="1">
        <f t="array" ref="EW15">_xll.EQNXTDZ($A$1,$B15,EW$1)</f>
        <v>6613</v>
      </c>
      <c r="EX15" s="116" cm="1">
        <f t="array" ref="EX15">_xll.EQNXTDZ($A$1,$B15,EX$1)</f>
        <v>5924</v>
      </c>
      <c r="EY15" s="116" cm="1">
        <f t="array" ref="EY15">_xll.EQNXTDZ($A$1,$B15,EY$1)</f>
        <v>5306</v>
      </c>
      <c r="EZ15" s="116" cm="1">
        <f t="array" ref="EZ15">_xll.EQNXTDZ($A$1,$B15,EZ$1)</f>
        <v>5160</v>
      </c>
      <c r="FA15" s="116" cm="1">
        <f t="array" ref="FA15">_xll.EQNXTDZ($A$1,$B15,FA$1)</f>
        <v>4601.05</v>
      </c>
      <c r="FB15" s="116" cm="1">
        <f t="array" ref="FB15">_xll.EQNXTDZ($A$1,$B15,FB$1)</f>
        <v>5442.75</v>
      </c>
      <c r="FC15" s="116" cm="1">
        <f t="array" ref="FC15">_xll.EQNXTDZ($A$1,$B15,FC$1)</f>
        <v>6162.5</v>
      </c>
      <c r="FD15" s="116" cm="1">
        <f t="array" ref="FD15">_xll.EQNXTDZ($A$1,$B15,FD$1)</f>
        <v>5679</v>
      </c>
      <c r="FE15" s="116" cm="1">
        <f t="array" ref="FE15">_xll.EQNXTDZ($A$1,$B15,FE$1)</f>
        <v>5222</v>
      </c>
      <c r="FF15" s="116" cm="1">
        <f t="array" ref="FF15">_xll.EQNXTDZ($A$1,$B15,FF$1)</f>
        <v>5211.05</v>
      </c>
      <c r="FG15" s="116" cm="1">
        <f t="array" ref="FG15">_xll.EQNXTDZ($A$1,$B15,FG$1)</f>
        <v>5177.5</v>
      </c>
      <c r="FH15" s="116" cm="1">
        <f t="array" ref="FH15">_xll.EQNXTDZ($A$1,$B15,FH$1)</f>
        <v>5125.3999999999996</v>
      </c>
      <c r="FI15" s="116" cm="1">
        <f t="array" ref="FI15">_xll.EQNXTDZ($A$1,$B15,FI$1)</f>
        <v>4855.2</v>
      </c>
      <c r="FJ15" s="116" cm="1">
        <f t="array" ref="FJ15">_xll.EQNXTDZ($A$1,$B15,FJ$1)</f>
        <v>5190</v>
      </c>
      <c r="FK15" s="116" cm="1">
        <f t="array" ref="FK15">_xll.EQNXTDZ($A$1,$B15,FK$1)</f>
        <v>4455.6000000000004</v>
      </c>
      <c r="FL15" s="116" cm="1">
        <f t="array" ref="FL15">_xll.EQNXTDZ($A$1,$B15,FL$1)</f>
        <v>3970</v>
      </c>
      <c r="FM15" s="116" cm="1">
        <f t="array" ref="FM15">_xll.EQNXTDZ($A$1,$B15,FM$1)</f>
        <v>4024</v>
      </c>
      <c r="FN15" s="116" cm="1">
        <f t="array" ref="FN15">_xll.EQNXTDZ($A$1,$B15,FN$1)</f>
        <v>3945</v>
      </c>
      <c r="FO15" s="116" cm="1">
        <f t="array" ref="FO15">_xll.EQNXTDZ($A$1,$B15,FO$1)</f>
        <v>3985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102.575</v>
      </c>
      <c r="HQ15" s="116">
        <f>+MIN(G15:I15)</f>
        <v>105</v>
      </c>
      <c r="HR15" s="116">
        <f>+MIN(J15:L15)</f>
        <v>91.45</v>
      </c>
      <c r="HS15" s="116">
        <f>+MIN(M15:O15)</f>
        <v>85.025000000000006</v>
      </c>
      <c r="HT15" s="116">
        <f>+MIN(P15:R15)</f>
        <v>78.05</v>
      </c>
      <c r="HU15" s="116">
        <f>+MIN(S15:U15)</f>
        <v>90</v>
      </c>
      <c r="HV15" s="116">
        <f>+MIN(V15:X15)</f>
        <v>172</v>
      </c>
      <c r="HW15" s="116">
        <f>+MIN(Y15:AA15)</f>
        <v>236</v>
      </c>
      <c r="HX15" s="116">
        <f>+MIN(AB15:AD15)</f>
        <v>280.8</v>
      </c>
      <c r="HY15" s="116">
        <f>+MIN(AE15:AG15)</f>
        <v>275.55</v>
      </c>
      <c r="HZ15" s="116">
        <f>+MIN(AH15:AJ15)</f>
        <v>298.27499999999998</v>
      </c>
      <c r="IA15" s="116">
        <f>+MIN(AK15:AM15)</f>
        <v>489</v>
      </c>
      <c r="IB15" s="116">
        <f>+MIN(AN15:AP15)</f>
        <v>592.5</v>
      </c>
      <c r="IC15" s="116">
        <f>+MIN(AQ15:AS15)</f>
        <v>844.57500000000005</v>
      </c>
      <c r="ID15" s="116">
        <f>+MIN(AT15:AV15)</f>
        <v>798.52499999999998</v>
      </c>
      <c r="IE15" s="116">
        <f>+MIN(AW15:AY15)</f>
        <v>806.07500000000005</v>
      </c>
      <c r="IF15" s="116">
        <f>+MIN(AZ15:BB15)</f>
        <v>685.85</v>
      </c>
      <c r="IG15" s="116">
        <f>+MIN(BC15:BE15)</f>
        <v>510.82499999999999</v>
      </c>
      <c r="IH15" s="116">
        <f>+MIN(BF15:BH15)</f>
        <v>686.02499999999998</v>
      </c>
      <c r="II15" s="116">
        <f>+MIN(BI15:BK15)</f>
        <v>643.75</v>
      </c>
      <c r="IJ15" s="116">
        <f>+MIN(BL15:BN15)</f>
        <v>791.47500000000002</v>
      </c>
      <c r="IK15" s="116">
        <f>+MIN(BO15:BQ15)</f>
        <v>795</v>
      </c>
      <c r="IL15" s="116">
        <f>+MIN(BR15:BT15)</f>
        <v>927</v>
      </c>
      <c r="IM15" s="116">
        <f>+MIN(BU15:BW15)</f>
        <v>987</v>
      </c>
      <c r="IN15" s="116">
        <f>+MIN(BX15:BZ15)</f>
        <v>1130.3</v>
      </c>
      <c r="IO15" s="116">
        <f>+MIN(CA15:CC15)</f>
        <v>926</v>
      </c>
      <c r="IP15" s="116">
        <f>+MIN(CD15:CF15)</f>
        <v>826</v>
      </c>
      <c r="IQ15" s="116">
        <f>+MIN(CG15:CI15)</f>
        <v>822.2</v>
      </c>
      <c r="IR15" s="116">
        <f>+MIN(CJ15:CL15)</f>
        <v>593</v>
      </c>
      <c r="IS15" s="116">
        <f>+MIN(CM15:CO15)</f>
        <v>610</v>
      </c>
      <c r="IT15" s="116">
        <f>+MIN(CP15:CR15)</f>
        <v>501</v>
      </c>
      <c r="IU15" s="116">
        <f>+MIN(CS15:CU15)</f>
        <v>590</v>
      </c>
      <c r="IV15" s="116">
        <f>+MIN(CV15:CX15)</f>
        <v>876.6</v>
      </c>
      <c r="IW15" s="116">
        <f>+MIN(CY15:DA15)</f>
        <v>1271</v>
      </c>
      <c r="IX15" s="116">
        <f>+MIN(DB15:DD15)</f>
        <v>1838</v>
      </c>
      <c r="IY15" s="116">
        <f>+MIN(DE15:DG15)</f>
        <v>2700</v>
      </c>
      <c r="IZ15" s="116">
        <f>+MIN(DH15:DJ15)</f>
        <v>4106.3</v>
      </c>
      <c r="JA15" s="116">
        <f>+MIN(DK15:DM15)</f>
        <v>5264.75</v>
      </c>
      <c r="JB15" s="116">
        <f>+MIN(DN15:DP15)</f>
        <v>5780</v>
      </c>
      <c r="JC15" s="116">
        <f>+MIN(DQ15:DS15)</f>
        <v>6431.45</v>
      </c>
      <c r="JD15" s="116">
        <f>+MIN(DT15:DV15)</f>
        <v>7635.05</v>
      </c>
      <c r="JE15" s="116">
        <f>+MIN(DW15:DY15)</f>
        <v>5708.1</v>
      </c>
      <c r="JF15" s="116">
        <f>+MIN(DZ15:EB15)</f>
        <v>5883.05</v>
      </c>
      <c r="JG15" s="116">
        <f>+MIN(EC15:EE15)</f>
        <v>5976.05</v>
      </c>
      <c r="JH15" s="116">
        <f>+MIN(EF15:EH15)</f>
        <v>6990.05</v>
      </c>
      <c r="JI15" s="116">
        <f>+MIN(EI15:EK15)</f>
        <v>7170.05</v>
      </c>
      <c r="JJ15" s="116">
        <f>+MIN(EL15:EN15)</f>
        <v>7340</v>
      </c>
      <c r="JK15" s="116">
        <f>MIN(EO15:EQ15)</f>
        <v>6406.6</v>
      </c>
      <c r="JL15" s="116">
        <f>MIN(ER15:ET15)</f>
        <v>6619.75</v>
      </c>
      <c r="JM15" s="116">
        <f>MIN(EU15:EW15)</f>
        <v>6285.05</v>
      </c>
      <c r="JN15" s="116">
        <f>MIN(EX15:EZ15)</f>
        <v>5160</v>
      </c>
      <c r="JO15" s="116">
        <f>MIN(FA15:FC15)</f>
        <v>4601.05</v>
      </c>
      <c r="JP15" s="116">
        <f>MIN(FD15:FF15)</f>
        <v>5211.05</v>
      </c>
      <c r="JQ15" s="116">
        <f>MIN(FG15:FI15)</f>
        <v>4855.2</v>
      </c>
      <c r="JR15" s="116">
        <f>MIN(FJ15:FL15)</f>
        <v>3970</v>
      </c>
      <c r="JS15" s="116">
        <f>MIN(FM15:FO15)</f>
        <v>3945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110.1</v>
      </c>
      <c r="D16" s="116" cm="1">
        <f t="array" ref="D16">_xll.EQNXTDZ($A$1,$B16,D$1)</f>
        <v>108.35</v>
      </c>
      <c r="E16" s="116" cm="1">
        <f t="array" ref="E16">_xll.EQNXTDZ($A$1,$B16,E$1)</f>
        <v>107.15</v>
      </c>
      <c r="F16" s="116" cm="1">
        <f t="array" ref="F16">_xll.EQNXTDZ($A$1,$B16,F$1)</f>
        <v>112.6</v>
      </c>
      <c r="G16" s="116" cm="1">
        <f t="array" ref="G16">_xll.EQNXTDZ($A$1,$B16,G$1)</f>
        <v>109.05</v>
      </c>
      <c r="H16" s="116" cm="1">
        <f t="array" ref="H16">_xll.EQNXTDZ($A$1,$B16,H$1)</f>
        <v>121.52500000000001</v>
      </c>
      <c r="I16" s="116" cm="1">
        <f t="array" ref="I16">_xll.EQNXTDZ($A$1,$B16,I$1)</f>
        <v>115.35</v>
      </c>
      <c r="J16" s="116" cm="1">
        <f t="array" ref="J16">_xll.EQNXTDZ($A$1,$B16,J$1)</f>
        <v>111.35</v>
      </c>
      <c r="K16" s="116" cm="1">
        <f t="array" ref="K16">_xll.EQNXTDZ($A$1,$B16,K$1)</f>
        <v>97.9</v>
      </c>
      <c r="L16" s="116" cm="1">
        <f t="array" ref="L16">_xll.EQNXTDZ($A$1,$B16,L$1)</f>
        <v>95.575000000000003</v>
      </c>
      <c r="M16" s="116" cm="1">
        <f t="array" ref="M16">_xll.EQNXTDZ($A$1,$B16,M$1)</f>
        <v>101.7</v>
      </c>
      <c r="N16" s="116" cm="1">
        <f t="array" ref="N16">_xll.EQNXTDZ($A$1,$B16,N$1)</f>
        <v>93.25</v>
      </c>
      <c r="O16" s="116" cm="1">
        <f t="array" ref="O16">_xll.EQNXTDZ($A$1,$B16,O$1)</f>
        <v>90.4</v>
      </c>
      <c r="P16" s="116" cm="1">
        <f t="array" ref="P16">_xll.EQNXTDZ($A$1,$B16,P$1)</f>
        <v>93.05</v>
      </c>
      <c r="Q16" s="116" cm="1">
        <f t="array" ref="Q16">_xll.EQNXTDZ($A$1,$B16,Q$1)</f>
        <v>85.8</v>
      </c>
      <c r="R16" s="116" cm="1">
        <f t="array" ref="R16">_xll.EQNXTDZ($A$1,$B16,R$1)</f>
        <v>91.9</v>
      </c>
      <c r="S16" s="116" cm="1">
        <f t="array" ref="S16">_xll.EQNXTDZ($A$1,$B16,S$1)</f>
        <v>109</v>
      </c>
      <c r="T16" s="116" cm="1">
        <f t="array" ref="T16">_xll.EQNXTDZ($A$1,$B16,T$1)</f>
        <v>149.5</v>
      </c>
      <c r="U16" s="116" cm="1">
        <f t="array" ref="U16">_xll.EQNXTDZ($A$1,$B16,U$1)</f>
        <v>207.82499999999999</v>
      </c>
      <c r="V16" s="116" cm="1">
        <f t="array" ref="V16">_xll.EQNXTDZ($A$1,$B16,V$1)</f>
        <v>207.5</v>
      </c>
      <c r="W16" s="116" cm="1">
        <f t="array" ref="W16">_xll.EQNXTDZ($A$1,$B16,W$1)</f>
        <v>293.02499999999998</v>
      </c>
      <c r="X16" s="116" cm="1">
        <f t="array" ref="X16">_xll.EQNXTDZ($A$1,$B16,X$1)</f>
        <v>272.2</v>
      </c>
      <c r="Y16" s="116" cm="1">
        <f t="array" ref="Y16">_xll.EQNXTDZ($A$1,$B16,Y$1)</f>
        <v>275.07499999999999</v>
      </c>
      <c r="Z16" s="116" cm="1">
        <f t="array" ref="Z16">_xll.EQNXTDZ($A$1,$B16,Z$1)</f>
        <v>254.52500000000001</v>
      </c>
      <c r="AA16" s="116" cm="1">
        <f t="array" ref="AA16">_xll.EQNXTDZ($A$1,$B16,AA$1)</f>
        <v>309.375</v>
      </c>
      <c r="AB16" s="116" cm="1">
        <f t="array" ref="AB16">_xll.EQNXTDZ($A$1,$B16,AB$1)</f>
        <v>296.10000000000002</v>
      </c>
      <c r="AC16" s="116" cm="1">
        <f t="array" ref="AC16">_xll.EQNXTDZ($A$1,$B16,AC$1)</f>
        <v>305.35000000000002</v>
      </c>
      <c r="AD16" s="116" cm="1">
        <f t="array" ref="AD16">_xll.EQNXTDZ($A$1,$B16,AD$1)</f>
        <v>322.95</v>
      </c>
      <c r="AE16" s="116" cm="1">
        <f t="array" ref="AE16">_xll.EQNXTDZ($A$1,$B16,AE$1)</f>
        <v>309.97500000000002</v>
      </c>
      <c r="AF16" s="116" cm="1">
        <f t="array" ref="AF16">_xll.EQNXTDZ($A$1,$B16,AF$1)</f>
        <v>306.125</v>
      </c>
      <c r="AG16" s="116" cm="1">
        <f t="array" ref="AG16">_xll.EQNXTDZ($A$1,$B16,AG$1)</f>
        <v>298.375</v>
      </c>
      <c r="AH16" s="116" cm="1">
        <f t="array" ref="AH16">_xll.EQNXTDZ($A$1,$B16,AH$1)</f>
        <v>381.85</v>
      </c>
      <c r="AI16" s="116" cm="1">
        <f t="array" ref="AI16">_xll.EQNXTDZ($A$1,$B16,AI$1)</f>
        <v>557.92499999999995</v>
      </c>
      <c r="AJ16" s="116" cm="1">
        <f t="array" ref="AJ16">_xll.EQNXTDZ($A$1,$B16,AJ$1)</f>
        <v>579.07500000000005</v>
      </c>
      <c r="AK16" s="116" cm="1">
        <f t="array" ref="AK16">_xll.EQNXTDZ($A$1,$B16,AK$1)</f>
        <v>554.875</v>
      </c>
      <c r="AL16" s="116" cm="1">
        <f t="array" ref="AL16">_xll.EQNXTDZ($A$1,$B16,AL$1)</f>
        <v>632.79999999999995</v>
      </c>
      <c r="AM16" s="116" cm="1">
        <f t="array" ref="AM16">_xll.EQNXTDZ($A$1,$B16,AM$1)</f>
        <v>600.65</v>
      </c>
      <c r="AN16" s="116" cm="1">
        <f t="array" ref="AN16">_xll.EQNXTDZ($A$1,$B16,AN$1)</f>
        <v>852.65</v>
      </c>
      <c r="AO16" s="116" cm="1">
        <f t="array" ref="AO16">_xll.EQNXTDZ($A$1,$B16,AO$1)</f>
        <v>918.3</v>
      </c>
      <c r="AP16" s="116" cm="1">
        <f t="array" ref="AP16">_xll.EQNXTDZ($A$1,$B16,AP$1)</f>
        <v>940.67499999999995</v>
      </c>
      <c r="AQ16" s="116" cm="1">
        <f t="array" ref="AQ16">_xll.EQNXTDZ($A$1,$B16,AQ$1)</f>
        <v>912.5</v>
      </c>
      <c r="AR16" s="116" cm="1">
        <f t="array" ref="AR16">_xll.EQNXTDZ($A$1,$B16,AR$1)</f>
        <v>1015.025</v>
      </c>
      <c r="AS16" s="116" cm="1">
        <f t="array" ref="AS16">_xll.EQNXTDZ($A$1,$B16,AS$1)</f>
        <v>1122.3499999999999</v>
      </c>
      <c r="AT16" s="116" cm="1">
        <f t="array" ref="AT16">_xll.EQNXTDZ($A$1,$B16,AT$1)</f>
        <v>1038.2249999999999</v>
      </c>
      <c r="AU16" s="116" cm="1">
        <f t="array" ref="AU16">_xll.EQNXTDZ($A$1,$B16,AU$1)</f>
        <v>846.875</v>
      </c>
      <c r="AV16" s="116" cm="1">
        <f t="array" ref="AV16">_xll.EQNXTDZ($A$1,$B16,AV$1)</f>
        <v>940.27499999999998</v>
      </c>
      <c r="AW16" s="116" cm="1">
        <f t="array" ref="AW16">_xll.EQNXTDZ($A$1,$B16,AW$1)</f>
        <v>955.17499999999995</v>
      </c>
      <c r="AX16" s="116" cm="1">
        <f t="array" ref="AX16">_xll.EQNXTDZ($A$1,$B16,AX$1)</f>
        <v>901.47500000000002</v>
      </c>
      <c r="AY16" s="116" cm="1">
        <f t="array" ref="AY16">_xll.EQNXTDZ($A$1,$B16,AY$1)</f>
        <v>847.875</v>
      </c>
      <c r="AZ16" s="116" cm="1">
        <f t="array" ref="AZ16">_xll.EQNXTDZ($A$1,$B16,AZ$1)</f>
        <v>824.75</v>
      </c>
      <c r="BA16" s="116" cm="1">
        <f t="array" ref="BA16">_xll.EQNXTDZ($A$1,$B16,BA$1)</f>
        <v>790</v>
      </c>
      <c r="BB16" s="116" cm="1">
        <f t="array" ref="BB16">_xll.EQNXTDZ($A$1,$B16,BB$1)</f>
        <v>697.67499999999995</v>
      </c>
      <c r="BC16" s="116" cm="1">
        <f t="array" ref="BC16">_xll.EQNXTDZ($A$1,$B16,BC$1)</f>
        <v>648.45000000000005</v>
      </c>
      <c r="BD16" s="116" cm="1">
        <f t="array" ref="BD16">_xll.EQNXTDZ($A$1,$B16,BD$1)</f>
        <v>634.29999999999995</v>
      </c>
      <c r="BE16" s="116" cm="1">
        <f t="array" ref="BE16">_xll.EQNXTDZ($A$1,$B16,BE$1)</f>
        <v>701.27499999999998</v>
      </c>
      <c r="BF16" s="116" cm="1">
        <f t="array" ref="BF16">_xll.EQNXTDZ($A$1,$B16,BF$1)</f>
        <v>711.6</v>
      </c>
      <c r="BG16" s="116" cm="1">
        <f t="array" ref="BG16">_xll.EQNXTDZ($A$1,$B16,BG$1)</f>
        <v>750.67499999999995</v>
      </c>
      <c r="BH16" s="116" cm="1">
        <f t="array" ref="BH16">_xll.EQNXTDZ($A$1,$B16,BH$1)</f>
        <v>731.57500000000005</v>
      </c>
      <c r="BI16" s="116" cm="1">
        <f t="array" ref="BI16">_xll.EQNXTDZ($A$1,$B16,BI$1)</f>
        <v>755.82500000000005</v>
      </c>
      <c r="BJ16" s="116" cm="1">
        <f t="array" ref="BJ16">_xll.EQNXTDZ($A$1,$B16,BJ$1)</f>
        <v>667.3</v>
      </c>
      <c r="BK16" s="116" cm="1">
        <f t="array" ref="BK16">_xll.EQNXTDZ($A$1,$B16,BK$1)</f>
        <v>792.52499999999998</v>
      </c>
      <c r="BL16" s="116" cm="1">
        <f t="array" ref="BL16">_xll.EQNXTDZ($A$1,$B16,BL$1)</f>
        <v>874.32500000000005</v>
      </c>
      <c r="BM16" s="116" cm="1">
        <f t="array" ref="BM16">_xll.EQNXTDZ($A$1,$B16,BM$1)</f>
        <v>822.95</v>
      </c>
      <c r="BN16" s="116" cm="1">
        <f t="array" ref="BN16">_xll.EQNXTDZ($A$1,$B16,BN$1)</f>
        <v>812.35</v>
      </c>
      <c r="BO16" s="116" cm="1">
        <f t="array" ref="BO16">_xll.EQNXTDZ($A$1,$B16,BO$1)</f>
        <v>837.95</v>
      </c>
      <c r="BP16" s="116" cm="1">
        <f t="array" ref="BP16">_xll.EQNXTDZ($A$1,$B16,BP$1)</f>
        <v>942.9</v>
      </c>
      <c r="BQ16" s="116" cm="1">
        <f t="array" ref="BQ16">_xll.EQNXTDZ($A$1,$B16,BQ$1)</f>
        <v>976.65</v>
      </c>
      <c r="BR16" s="116" cm="1">
        <f t="array" ref="BR16">_xll.EQNXTDZ($A$1,$B16,BR$1)</f>
        <v>1062.1500000000001</v>
      </c>
      <c r="BS16" s="116" cm="1">
        <f t="array" ref="BS16">_xll.EQNXTDZ($A$1,$B16,BS$1)</f>
        <v>1053.0999999999999</v>
      </c>
      <c r="BT16" s="116" cm="1">
        <f t="array" ref="BT16">_xll.EQNXTDZ($A$1,$B16,BT$1)</f>
        <v>985.15</v>
      </c>
      <c r="BU16" s="116" cm="1">
        <f t="array" ref="BU16">_xll.EQNXTDZ($A$1,$B16,BU$1)</f>
        <v>1236.75</v>
      </c>
      <c r="BV16" s="116" cm="1">
        <f t="array" ref="BV16">_xll.EQNXTDZ($A$1,$B16,BV$1)</f>
        <v>1234.7</v>
      </c>
      <c r="BW16" s="116" cm="1">
        <f t="array" ref="BW16">_xll.EQNXTDZ($A$1,$B16,BW$1)</f>
        <v>1335.5</v>
      </c>
      <c r="BX16" s="116" cm="1">
        <f t="array" ref="BX16">_xll.EQNXTDZ($A$1,$B16,BX$1)</f>
        <v>1427.8</v>
      </c>
      <c r="BY16" s="116" cm="1">
        <f t="array" ref="BY16">_xll.EQNXTDZ($A$1,$B16,BY$1)</f>
        <v>1435.75</v>
      </c>
      <c r="BZ16" s="116" cm="1">
        <f t="array" ref="BZ16">_xll.EQNXTDZ($A$1,$B16,BZ$1)</f>
        <v>1153.5</v>
      </c>
      <c r="CA16" s="116" cm="1">
        <f t="array" ref="CA16">_xll.EQNXTDZ($A$1,$B16,CA$1)</f>
        <v>1033.3499999999999</v>
      </c>
      <c r="CB16" s="116" cm="1">
        <f t="array" ref="CB16">_xll.EQNXTDZ($A$1,$B16,CB$1)</f>
        <v>1022.9</v>
      </c>
      <c r="CC16" s="116" cm="1">
        <f t="array" ref="CC16">_xll.EQNXTDZ($A$1,$B16,CC$1)</f>
        <v>1020.7</v>
      </c>
      <c r="CD16" s="116" cm="1">
        <f t="array" ref="CD16">_xll.EQNXTDZ($A$1,$B16,CD$1)</f>
        <v>872.95</v>
      </c>
      <c r="CE16" s="116" cm="1">
        <f t="array" ref="CE16">_xll.EQNXTDZ($A$1,$B16,CE$1)</f>
        <v>885.2</v>
      </c>
      <c r="CF16" s="116" cm="1">
        <f t="array" ref="CF16">_xll.EQNXTDZ($A$1,$B16,CF$1)</f>
        <v>963.25</v>
      </c>
      <c r="CG16" s="116" cm="1">
        <f t="array" ref="CG16">_xll.EQNXTDZ($A$1,$B16,CG$1)</f>
        <v>930.25</v>
      </c>
      <c r="CH16" s="116" cm="1">
        <f t="array" ref="CH16">_xll.EQNXTDZ($A$1,$B16,CH$1)</f>
        <v>872.25</v>
      </c>
      <c r="CI16" s="116" cm="1">
        <f t="array" ref="CI16">_xll.EQNXTDZ($A$1,$B16,CI$1)</f>
        <v>885.55</v>
      </c>
      <c r="CJ16" s="116" cm="1">
        <f t="array" ref="CJ16">_xll.EQNXTDZ($A$1,$B16,CJ$1)</f>
        <v>637.79999999999995</v>
      </c>
      <c r="CK16" s="116" cm="1">
        <f t="array" ref="CK16">_xll.EQNXTDZ($A$1,$B16,CK$1)</f>
        <v>632</v>
      </c>
      <c r="CL16" s="116" cm="1">
        <f t="array" ref="CL16">_xll.EQNXTDZ($A$1,$B16,CL$1)</f>
        <v>676.05</v>
      </c>
      <c r="CM16" s="116" cm="1">
        <f t="array" ref="CM16">_xll.EQNXTDZ($A$1,$B16,CM$1)</f>
        <v>818.9</v>
      </c>
      <c r="CN16" s="116" cm="1">
        <f t="array" ref="CN16">_xll.EQNXTDZ($A$1,$B16,CN$1)</f>
        <v>806.55</v>
      </c>
      <c r="CO16" s="116" cm="1">
        <f t="array" ref="CO16">_xll.EQNXTDZ($A$1,$B16,CO$1)</f>
        <v>825.6</v>
      </c>
      <c r="CP16" s="116" cm="1">
        <f t="array" ref="CP16">_xll.EQNXTDZ($A$1,$B16,CP$1)</f>
        <v>948.85</v>
      </c>
      <c r="CQ16" s="116" cm="1">
        <f t="array" ref="CQ16">_xll.EQNXTDZ($A$1,$B16,CQ$1)</f>
        <v>882.9</v>
      </c>
      <c r="CR16" s="116" cm="1">
        <f t="array" ref="CR16">_xll.EQNXTDZ($A$1,$B16,CR$1)</f>
        <v>629.79999999999995</v>
      </c>
      <c r="CS16" s="116" cm="1">
        <f t="array" ref="CS16">_xll.EQNXTDZ($A$1,$B16,CS$1)</f>
        <v>802.75</v>
      </c>
      <c r="CT16" s="116" cm="1">
        <f t="array" ref="CT16">_xll.EQNXTDZ($A$1,$B16,CT$1)</f>
        <v>764.55</v>
      </c>
      <c r="CU16" s="116" cm="1">
        <f t="array" ref="CU16">_xll.EQNXTDZ($A$1,$B16,CU$1)</f>
        <v>897.5</v>
      </c>
      <c r="CV16" s="116" cm="1">
        <f t="array" ref="CV16">_xll.EQNXTDZ($A$1,$B16,CV$1)</f>
        <v>938.9</v>
      </c>
      <c r="CW16" s="116" cm="1">
        <f t="array" ref="CW16">_xll.EQNXTDZ($A$1,$B16,CW$1)</f>
        <v>1076.4000000000001</v>
      </c>
      <c r="CX16" s="116" cm="1">
        <f t="array" ref="CX16">_xll.EQNXTDZ($A$1,$B16,CX$1)</f>
        <v>1283.8499999999999</v>
      </c>
      <c r="CY16" s="116" cm="1">
        <f t="array" ref="CY16">_xll.EQNXTDZ($A$1,$B16,CY$1)</f>
        <v>1532.7</v>
      </c>
      <c r="CZ16" s="116" cm="1">
        <f t="array" ref="CZ16">_xll.EQNXTDZ($A$1,$B16,CZ$1)</f>
        <v>1591.7</v>
      </c>
      <c r="DA16" s="116" cm="1">
        <f t="array" ref="DA16">_xll.EQNXTDZ($A$1,$B16,DA$1)</f>
        <v>1832.85</v>
      </c>
      <c r="DB16" s="116" cm="1">
        <f t="array" ref="DB16">_xll.EQNXTDZ($A$1,$B16,DB$1)</f>
        <v>2689.9</v>
      </c>
      <c r="DC16" s="116" cm="1">
        <f t="array" ref="DC16">_xll.EQNXTDZ($A$1,$B16,DC$1)</f>
        <v>2652.85</v>
      </c>
      <c r="DD16" s="116" cm="1">
        <f t="array" ref="DD16">_xll.EQNXTDZ($A$1,$B16,DD$1)</f>
        <v>2693.4</v>
      </c>
      <c r="DE16" s="116" cm="1">
        <f t="array" ref="DE16">_xll.EQNXTDZ($A$1,$B16,DE$1)</f>
        <v>3480.1</v>
      </c>
      <c r="DF16" s="116" cm="1">
        <f t="array" ref="DF16">_xll.EQNXTDZ($A$1,$B16,DF$1)</f>
        <v>3642.85</v>
      </c>
      <c r="DG16" s="116" cm="1">
        <f t="array" ref="DG16">_xll.EQNXTDZ($A$1,$B16,DG$1)</f>
        <v>4296.75</v>
      </c>
      <c r="DH16" s="116" cm="1">
        <f t="array" ref="DH16">_xll.EQNXTDZ($A$1,$B16,DH$1)</f>
        <v>4223.95</v>
      </c>
      <c r="DI16" s="116" cm="1">
        <f t="array" ref="DI16">_xll.EQNXTDZ($A$1,$B16,DI$1)</f>
        <v>4776.6000000000004</v>
      </c>
      <c r="DJ16" s="116" cm="1">
        <f t="array" ref="DJ16">_xll.EQNXTDZ($A$1,$B16,DJ$1)</f>
        <v>5594.6</v>
      </c>
      <c r="DK16" s="116" cm="1">
        <f t="array" ref="DK16">_xll.EQNXTDZ($A$1,$B16,DK$1)</f>
        <v>5871</v>
      </c>
      <c r="DL16" s="116" cm="1">
        <f t="array" ref="DL16">_xll.EQNXTDZ($A$1,$B16,DL$1)</f>
        <v>5790.85</v>
      </c>
      <c r="DM16" s="116" cm="1">
        <f t="array" ref="DM16">_xll.EQNXTDZ($A$1,$B16,DM$1)</f>
        <v>5867.8</v>
      </c>
      <c r="DN16" s="116" cm="1">
        <f t="array" ref="DN16">_xll.EQNXTDZ($A$1,$B16,DN$1)</f>
        <v>7604.55</v>
      </c>
      <c r="DO16" s="116" cm="1">
        <f t="array" ref="DO16">_xll.EQNXTDZ($A$1,$B16,DO$1)</f>
        <v>6431.55</v>
      </c>
      <c r="DP16" s="116" cm="1">
        <f t="array" ref="DP16">_xll.EQNXTDZ($A$1,$B16,DP$1)</f>
        <v>8840.25</v>
      </c>
      <c r="DQ16" s="116" cm="1">
        <f t="array" ref="DQ16">_xll.EQNXTDZ($A$1,$B16,DQ$1)</f>
        <v>7745.1</v>
      </c>
      <c r="DR16" s="116" cm="1">
        <f t="array" ref="DR16">_xll.EQNXTDZ($A$1,$B16,DR$1)</f>
        <v>8415.1</v>
      </c>
      <c r="DS16" s="116" cm="1">
        <f t="array" ref="DS16">_xll.EQNXTDZ($A$1,$B16,DS$1)</f>
        <v>8164.6</v>
      </c>
      <c r="DT16" s="116" cm="1">
        <f t="array" ref="DT16">_xll.EQNXTDZ($A$1,$B16,DT$1)</f>
        <v>8688.6</v>
      </c>
      <c r="DU16" s="116" cm="1">
        <f t="array" ref="DU16">_xll.EQNXTDZ($A$1,$B16,DU$1)</f>
        <v>9015.1</v>
      </c>
      <c r="DV16" s="116" cm="1">
        <f t="array" ref="DV16">_xll.EQNXTDZ($A$1,$B16,DV$1)</f>
        <v>8583.2999999999993</v>
      </c>
      <c r="DW16" s="116" cm="1">
        <f t="array" ref="DW16">_xll.EQNXTDZ($A$1,$B16,DW$1)</f>
        <v>6997.65</v>
      </c>
      <c r="DX16" s="116" cm="1">
        <f t="array" ref="DX16">_xll.EQNXTDZ($A$1,$B16,DX$1)</f>
        <v>7015.9</v>
      </c>
      <c r="DY16" s="116" cm="1">
        <f t="array" ref="DY16">_xll.EQNXTDZ($A$1,$B16,DY$1)</f>
        <v>6287.1</v>
      </c>
      <c r="DZ16" s="116" cm="1">
        <f t="array" ref="DZ16">_xll.EQNXTDZ($A$1,$B16,DZ$1)</f>
        <v>6631.3</v>
      </c>
      <c r="EA16" s="116" cm="1">
        <f t="array" ref="EA16">_xll.EQNXTDZ($A$1,$B16,EA$1)</f>
        <v>6127.35</v>
      </c>
      <c r="EB16" s="116" cm="1">
        <f t="array" ref="EB16">_xll.EQNXTDZ($A$1,$B16,EB$1)</f>
        <v>5961.5</v>
      </c>
      <c r="EC16" s="116" cm="1">
        <f t="array" ref="EC16">_xll.EQNXTDZ($A$1,$B16,EC$1)</f>
        <v>6641.45</v>
      </c>
      <c r="ED16" s="116" cm="1">
        <f t="array" ref="ED16">_xll.EQNXTDZ($A$1,$B16,ED$1)</f>
        <v>7421</v>
      </c>
      <c r="EE16" s="116" cm="1">
        <f t="array" ref="EE16">_xll.EQNXTDZ($A$1,$B16,EE$1)</f>
        <v>7584.05</v>
      </c>
      <c r="EF16" s="116" cm="1">
        <f t="array" ref="EF16">_xll.EQNXTDZ($A$1,$B16,EF$1)</f>
        <v>7157.5</v>
      </c>
      <c r="EG16" s="116" cm="1">
        <f t="array" ref="EG16">_xll.EQNXTDZ($A$1,$B16,EG$1)</f>
        <v>7246.2</v>
      </c>
      <c r="EH16" s="116" cm="1">
        <f t="array" ref="EH16">_xll.EQNXTDZ($A$1,$B16,EH$1)</f>
        <v>7220.8</v>
      </c>
      <c r="EI16" s="116" cm="1">
        <f t="array" ref="EI16">_xll.EQNXTDZ($A$1,$B16,EI$1)</f>
        <v>7626.05</v>
      </c>
      <c r="EJ16" s="116" cm="1">
        <f t="array" ref="EJ16">_xll.EQNXTDZ($A$1,$B16,EJ$1)</f>
        <v>8261.5499999999993</v>
      </c>
      <c r="EK16" s="116" cm="1">
        <f t="array" ref="EK16">_xll.EQNXTDZ($A$1,$B16,EK$1)</f>
        <v>8757.7000000000007</v>
      </c>
      <c r="EL16" s="116" cm="1">
        <f t="array" ref="EL16">_xll.EQNXTDZ($A$1,$B16,EL$1)</f>
        <v>7603.6</v>
      </c>
      <c r="EM16" s="116" cm="1">
        <f t="array" ref="EM16">_xll.EQNXTDZ($A$1,$B16,EM$1)</f>
        <v>7786.7</v>
      </c>
      <c r="EN16" s="116" cm="1">
        <f t="array" ref="EN16">_xll.EQNXTDZ($A$1,$B16,EN$1)</f>
        <v>7779.6</v>
      </c>
      <c r="EO16" s="116" cm="1">
        <f t="array" ref="EO16">_xll.EQNXTDZ($A$1,$B16,EO$1)</f>
        <v>7047.75</v>
      </c>
      <c r="EP16" s="116" cm="1">
        <f t="array" ref="EP16">_xll.EQNXTDZ($A$1,$B16,EP$1)</f>
        <v>6953.4</v>
      </c>
      <c r="EQ16" s="116" cm="1">
        <f t="array" ref="EQ16">_xll.EQNXTDZ($A$1,$B16,EQ$1)</f>
        <v>7001.95</v>
      </c>
      <c r="ER16" s="116" cm="1">
        <f t="array" ref="ER16">_xll.EQNXTDZ($A$1,$B16,ER$1)</f>
        <v>6981.2</v>
      </c>
      <c r="ES16" s="116" cm="1">
        <f t="array" ref="ES16">_xll.EQNXTDZ($A$1,$B16,ES$1)</f>
        <v>7992.05</v>
      </c>
      <c r="ET16" s="116" cm="1">
        <f t="array" ref="ET16">_xll.EQNXTDZ($A$1,$B16,ET$1)</f>
        <v>7727.4</v>
      </c>
      <c r="EU16" s="116" cm="1">
        <f t="array" ref="EU16">_xll.EQNXTDZ($A$1,$B16,EU$1)</f>
        <v>7031.1</v>
      </c>
      <c r="EV16" s="116" cm="1">
        <f t="array" ref="EV16">_xll.EQNXTDZ($A$1,$B16,EV$1)</f>
        <v>6670.5</v>
      </c>
      <c r="EW16" s="116" cm="1">
        <f t="array" ref="EW16">_xll.EQNXTDZ($A$1,$B16,EW$1)</f>
        <v>6794</v>
      </c>
      <c r="EX16" s="116" cm="1">
        <f t="array" ref="EX16">_xll.EQNXTDZ($A$1,$B16,EX$1)</f>
        <v>6331.95</v>
      </c>
      <c r="EY16" s="116" cm="1">
        <f t="array" ref="EY16">_xll.EQNXTDZ($A$1,$B16,EY$1)</f>
        <v>5412.5</v>
      </c>
      <c r="EZ16" s="116" cm="1">
        <f t="array" ref="EZ16">_xll.EQNXTDZ($A$1,$B16,EZ$1)</f>
        <v>5216.3</v>
      </c>
      <c r="FA16" s="116" cm="1">
        <f t="array" ref="FA16">_xll.EQNXTDZ($A$1,$B16,FA$1)</f>
        <v>5763.9</v>
      </c>
      <c r="FB16" s="116" cm="1">
        <f t="array" ref="FB16">_xll.EQNXTDZ($A$1,$B16,FB$1)</f>
        <v>6435.5</v>
      </c>
      <c r="FC16" s="116" cm="1">
        <f t="array" ref="FC16">_xll.EQNXTDZ($A$1,$B16,FC$1)</f>
        <v>6310</v>
      </c>
      <c r="FD16" s="116" cm="1">
        <f t="array" ref="FD16">_xll.EQNXTDZ($A$1,$B16,FD$1)</f>
        <v>6096.5</v>
      </c>
      <c r="FE16" s="116" cm="1">
        <f t="array" ref="FE16">_xll.EQNXTDZ($A$1,$B16,FE$1)</f>
        <v>5232.5</v>
      </c>
      <c r="FF16" s="116" cm="1">
        <f t="array" ref="FF16">_xll.EQNXTDZ($A$1,$B16,FF$1)</f>
        <v>5227.05</v>
      </c>
      <c r="FG16" s="116" cm="1">
        <f t="array" ref="FG16">_xll.EQNXTDZ($A$1,$B16,FG$1)</f>
        <v>5457.35</v>
      </c>
      <c r="FH16" s="116" cm="1">
        <f t="array" ref="FH16">_xll.EQNXTDZ($A$1,$B16,FH$1)</f>
        <v>5157.2</v>
      </c>
      <c r="FI16" s="116" cm="1">
        <f t="array" ref="FI16">_xll.EQNXTDZ($A$1,$B16,FI$1)</f>
        <v>5239.05</v>
      </c>
      <c r="FJ16" s="116" cm="1">
        <f t="array" ref="FJ16">_xll.EQNXTDZ($A$1,$B16,FJ$1)</f>
        <v>5321.05</v>
      </c>
      <c r="FK16" s="116" cm="1">
        <f t="array" ref="FK16">_xll.EQNXTDZ($A$1,$B16,FK$1)</f>
        <v>4512.3999999999996</v>
      </c>
      <c r="FL16" s="116" cm="1">
        <f t="array" ref="FL16">_xll.EQNXTDZ($A$1,$B16,FL$1)</f>
        <v>3977.25</v>
      </c>
      <c r="FM16" s="116" cm="1">
        <f t="array" ref="FM16">_xll.EQNXTDZ($A$1,$B16,FM$1)</f>
        <v>4132.8</v>
      </c>
      <c r="FN16" s="116" cm="1">
        <f t="array" ref="FN16">_xll.EQNXTDZ($A$1,$B16,FN$1)</f>
        <v>4286.3</v>
      </c>
      <c r="FO16" s="116" cm="1">
        <f t="array" ref="FO16">_xll.EQNXTDZ($A$1,$B16,FO$1)</f>
        <v>4118.2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112.6</v>
      </c>
      <c r="HQ16" s="116">
        <f>+I16</f>
        <v>115.35</v>
      </c>
      <c r="HR16" s="116">
        <f>+L16</f>
        <v>95.575000000000003</v>
      </c>
      <c r="HS16" s="116">
        <f>+O16</f>
        <v>90.4</v>
      </c>
      <c r="HT16" s="116">
        <f>+R16</f>
        <v>91.9</v>
      </c>
      <c r="HU16" s="116">
        <f>+U16</f>
        <v>207.82499999999999</v>
      </c>
      <c r="HV16" s="116">
        <f>+X16</f>
        <v>272.2</v>
      </c>
      <c r="HW16" s="116">
        <f>+AA16</f>
        <v>309.375</v>
      </c>
      <c r="HX16" s="116">
        <f>+AD16</f>
        <v>322.95</v>
      </c>
      <c r="HY16" s="116">
        <f>+AG16</f>
        <v>298.375</v>
      </c>
      <c r="HZ16" s="116">
        <f>+AJ16</f>
        <v>579.07500000000005</v>
      </c>
      <c r="IA16" s="116">
        <f>+AM16</f>
        <v>600.65</v>
      </c>
      <c r="IB16" s="116">
        <f>+AP16</f>
        <v>940.67499999999995</v>
      </c>
      <c r="IC16" s="116">
        <f>+AS16</f>
        <v>1122.3499999999999</v>
      </c>
      <c r="ID16" s="116">
        <f>+AV16</f>
        <v>940.27499999999998</v>
      </c>
      <c r="IE16" s="116">
        <f>+AY16</f>
        <v>847.875</v>
      </c>
      <c r="IF16" s="116">
        <f>+BB16</f>
        <v>697.67499999999995</v>
      </c>
      <c r="IG16" s="116">
        <f>+BE16</f>
        <v>701.27499999999998</v>
      </c>
      <c r="IH16" s="116">
        <f>+BH16</f>
        <v>731.57500000000005</v>
      </c>
      <c r="II16" s="116">
        <f>+BK16</f>
        <v>792.52499999999998</v>
      </c>
      <c r="IJ16" s="116">
        <f>+BN16</f>
        <v>812.35</v>
      </c>
      <c r="IK16" s="116">
        <f>+BQ16</f>
        <v>976.65</v>
      </c>
      <c r="IL16" s="116">
        <f>+BT16</f>
        <v>985.15</v>
      </c>
      <c r="IM16" s="116">
        <f>+BW16</f>
        <v>1335.5</v>
      </c>
      <c r="IN16" s="116">
        <f>+BZ16</f>
        <v>1153.5</v>
      </c>
      <c r="IO16" s="116">
        <f>+CC16</f>
        <v>1020.7</v>
      </c>
      <c r="IP16" s="116">
        <f>+CF16</f>
        <v>963.25</v>
      </c>
      <c r="IQ16" s="116">
        <f>+CI16</f>
        <v>885.55</v>
      </c>
      <c r="IR16" s="116">
        <f>+CL16</f>
        <v>676.05</v>
      </c>
      <c r="IS16" s="116">
        <f>+CO16</f>
        <v>825.6</v>
      </c>
      <c r="IT16" s="116">
        <f>+CR16</f>
        <v>629.79999999999995</v>
      </c>
      <c r="IU16" s="116">
        <f>+CU16</f>
        <v>897.5</v>
      </c>
      <c r="IV16" s="116">
        <f>+CX16</f>
        <v>1283.8499999999999</v>
      </c>
      <c r="IW16" s="116">
        <f>+DA16</f>
        <v>1832.85</v>
      </c>
      <c r="IX16" s="116">
        <f>+DD16</f>
        <v>2693.4</v>
      </c>
      <c r="IY16" s="116">
        <f>+DG16</f>
        <v>4296.75</v>
      </c>
      <c r="IZ16" s="116">
        <f>+DJ16</f>
        <v>5594.6</v>
      </c>
      <c r="JA16" s="116">
        <f>+DM16</f>
        <v>5867.8</v>
      </c>
      <c r="JB16" s="116">
        <f>+DP16</f>
        <v>8840.25</v>
      </c>
      <c r="JC16" s="116">
        <f>+DS16</f>
        <v>8164.6</v>
      </c>
      <c r="JD16" s="116">
        <f>+DV16</f>
        <v>8583.2999999999993</v>
      </c>
      <c r="JE16" s="116">
        <f>+DY16</f>
        <v>6287.1</v>
      </c>
      <c r="JF16" s="116">
        <f>+EB16</f>
        <v>5961.5</v>
      </c>
      <c r="JG16" s="116">
        <f>+EE16</f>
        <v>7584.05</v>
      </c>
      <c r="JH16" s="116">
        <f>+EH16</f>
        <v>7220.8</v>
      </c>
      <c r="JI16" s="116">
        <f>+EK16</f>
        <v>8757.7000000000007</v>
      </c>
      <c r="JJ16" s="116">
        <f>+EN16</f>
        <v>7779.6</v>
      </c>
      <c r="JK16" s="116">
        <f>EQ16</f>
        <v>7001.95</v>
      </c>
      <c r="JL16" s="116">
        <f>ET16</f>
        <v>7727.4</v>
      </c>
      <c r="JM16" s="116">
        <f>EW16</f>
        <v>6794</v>
      </c>
      <c r="JN16" s="116">
        <f>EZ16</f>
        <v>5216.3</v>
      </c>
      <c r="JO16" s="116">
        <f>FC16</f>
        <v>6310</v>
      </c>
      <c r="JP16" s="116">
        <f>FF16</f>
        <v>5227.05</v>
      </c>
      <c r="JQ16" s="116">
        <f>FI16</f>
        <v>5239.05</v>
      </c>
      <c r="JR16" s="116">
        <f>FL16</f>
        <v>3977.25</v>
      </c>
      <c r="JS16" s="116">
        <f>FO16</f>
        <v>4118.2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127.05</v>
      </c>
      <c r="HQ19" s="116">
        <f t="shared" ref="HQ19:JI21" si="1">+IF(HQ14=0,HQ7,HQ14)</f>
        <v>126</v>
      </c>
      <c r="HR19" s="116">
        <f t="shared" si="1"/>
        <v>123.5</v>
      </c>
      <c r="HS19" s="116">
        <f t="shared" si="1"/>
        <v>104.425</v>
      </c>
      <c r="HT19" s="116">
        <f t="shared" si="1"/>
        <v>110.47499999999999</v>
      </c>
      <c r="HU19" s="116">
        <f t="shared" si="1"/>
        <v>213.9</v>
      </c>
      <c r="HV19" s="116">
        <f t="shared" si="1"/>
        <v>334.3</v>
      </c>
      <c r="HW19" s="116">
        <f t="shared" si="1"/>
        <v>314.7</v>
      </c>
      <c r="HX19" s="116">
        <f t="shared" si="1"/>
        <v>349.65</v>
      </c>
      <c r="HY19" s="116">
        <f t="shared" si="1"/>
        <v>331.9</v>
      </c>
      <c r="HZ19" s="116">
        <f t="shared" si="1"/>
        <v>743.75</v>
      </c>
      <c r="IA19" s="116">
        <f t="shared" si="1"/>
        <v>702.95</v>
      </c>
      <c r="IB19" s="116">
        <f t="shared" si="1"/>
        <v>1158.5</v>
      </c>
      <c r="IC19" s="116">
        <f t="shared" si="1"/>
        <v>1165</v>
      </c>
      <c r="ID19" s="116">
        <f t="shared" si="1"/>
        <v>1198</v>
      </c>
      <c r="IE19" s="116">
        <f t="shared" si="1"/>
        <v>1032</v>
      </c>
      <c r="IF19" s="116">
        <f t="shared" si="1"/>
        <v>891.5</v>
      </c>
      <c r="IG19" s="116">
        <f t="shared" si="1"/>
        <v>749.4</v>
      </c>
      <c r="IH19" s="116">
        <f t="shared" si="1"/>
        <v>778.9</v>
      </c>
      <c r="II19" s="116">
        <f t="shared" si="1"/>
        <v>831.22500000000002</v>
      </c>
      <c r="IJ19" s="116">
        <f t="shared" si="1"/>
        <v>925.5</v>
      </c>
      <c r="IK19" s="116">
        <f t="shared" si="1"/>
        <v>983.9</v>
      </c>
      <c r="IL19" s="116">
        <f t="shared" si="1"/>
        <v>1123.05</v>
      </c>
      <c r="IM19" s="116">
        <f t="shared" si="1"/>
        <v>1357.5</v>
      </c>
      <c r="IN19" s="116">
        <f t="shared" si="1"/>
        <v>1491.75</v>
      </c>
      <c r="IO19" s="116">
        <f t="shared" si="1"/>
        <v>1210.6500000000001</v>
      </c>
      <c r="IP19" s="116">
        <f t="shared" si="1"/>
        <v>1041.95</v>
      </c>
      <c r="IQ19" s="116">
        <f t="shared" si="1"/>
        <v>1001</v>
      </c>
      <c r="IR19" s="116">
        <f t="shared" si="1"/>
        <v>929</v>
      </c>
      <c r="IS19" s="116">
        <f t="shared" si="1"/>
        <v>899</v>
      </c>
      <c r="IT19" s="116">
        <f t="shared" si="1"/>
        <v>1098.75</v>
      </c>
      <c r="IU19" s="116">
        <f t="shared" si="1"/>
        <v>942.65</v>
      </c>
      <c r="IV19" s="116">
        <f t="shared" si="1"/>
        <v>1330</v>
      </c>
      <c r="IW19" s="116">
        <f t="shared" si="1"/>
        <v>1887.6</v>
      </c>
      <c r="IX19" s="116">
        <f t="shared" si="1"/>
        <v>3050</v>
      </c>
      <c r="IY19" s="116">
        <f t="shared" si="1"/>
        <v>4355</v>
      </c>
      <c r="IZ19" s="116">
        <f t="shared" si="1"/>
        <v>5972.65</v>
      </c>
      <c r="JA19" s="116">
        <f t="shared" si="1"/>
        <v>6780</v>
      </c>
      <c r="JB19" s="116">
        <f t="shared" si="1"/>
        <v>9420</v>
      </c>
      <c r="JC19" s="116">
        <f t="shared" si="1"/>
        <v>9186</v>
      </c>
      <c r="JD19" s="116">
        <f t="shared" si="1"/>
        <v>10760.4</v>
      </c>
      <c r="JE19" s="116">
        <f t="shared" si="1"/>
        <v>8681.2000000000007</v>
      </c>
      <c r="JF19" s="116">
        <f t="shared" si="1"/>
        <v>6826.7</v>
      </c>
      <c r="JG19" s="116">
        <f t="shared" si="1"/>
        <v>7950</v>
      </c>
      <c r="JH19" s="116">
        <f t="shared" si="1"/>
        <v>7849.95</v>
      </c>
      <c r="JI19" s="116">
        <f t="shared" si="1"/>
        <v>9191.1</v>
      </c>
      <c r="JJ19" s="116">
        <f t="shared" ref="JJ19:JJ21" si="2">+IF(JJ14=0,JJ7,JJ14)</f>
        <v>8948.4</v>
      </c>
      <c r="JK19" s="116">
        <f t="shared" ref="JK19" si="3">+IF(JK14=0,JK7,JK14)</f>
        <v>8194.85</v>
      </c>
      <c r="JL19" s="116">
        <f t="shared" ref="JL19:JM19" si="4">+IF(JL14=0,JL7,JL14)</f>
        <v>9082.9</v>
      </c>
      <c r="JM19" s="116">
        <f t="shared" si="4"/>
        <v>8025</v>
      </c>
      <c r="JN19" s="116">
        <f t="shared" ref="JN19:JO19" si="5">+IF(JN14=0,JN7,JN14)</f>
        <v>6899.95</v>
      </c>
      <c r="JO19" s="116">
        <f t="shared" si="5"/>
        <v>6733.5</v>
      </c>
      <c r="JP19" s="116">
        <f t="shared" ref="JP19" si="6">+IF(JP14=0,JP7,JP14)</f>
        <v>6423.1</v>
      </c>
      <c r="JQ19" s="116">
        <f t="shared" ref="JQ19:KH19" si="7">+IF(JQ14=0,JQ7,JQ14)</f>
        <v>5624.1</v>
      </c>
      <c r="JR19" s="116">
        <f t="shared" si="7"/>
        <v>5949.95</v>
      </c>
      <c r="JS19" s="116">
        <f t="shared" si="7"/>
        <v>4750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102.575</v>
      </c>
      <c r="HQ20" s="116">
        <f t="shared" si="8"/>
        <v>105</v>
      </c>
      <c r="HR20" s="116">
        <f t="shared" si="8"/>
        <v>91.45</v>
      </c>
      <c r="HS20" s="116">
        <f t="shared" si="8"/>
        <v>85.025000000000006</v>
      </c>
      <c r="HT20" s="116">
        <f t="shared" si="8"/>
        <v>78.05</v>
      </c>
      <c r="HU20" s="116">
        <f t="shared" si="8"/>
        <v>90</v>
      </c>
      <c r="HV20" s="116">
        <f t="shared" si="8"/>
        <v>172</v>
      </c>
      <c r="HW20" s="116">
        <f t="shared" si="8"/>
        <v>236</v>
      </c>
      <c r="HX20" s="116">
        <f t="shared" si="8"/>
        <v>280.8</v>
      </c>
      <c r="HY20" s="116">
        <f t="shared" si="8"/>
        <v>275.55</v>
      </c>
      <c r="HZ20" s="116">
        <f t="shared" si="8"/>
        <v>298.27499999999998</v>
      </c>
      <c r="IA20" s="116">
        <f t="shared" si="8"/>
        <v>489</v>
      </c>
      <c r="IB20" s="116">
        <f t="shared" si="8"/>
        <v>592.5</v>
      </c>
      <c r="IC20" s="116">
        <f t="shared" si="8"/>
        <v>844.57500000000005</v>
      </c>
      <c r="ID20" s="116">
        <f t="shared" si="8"/>
        <v>798.52499999999998</v>
      </c>
      <c r="IE20" s="116">
        <f t="shared" si="8"/>
        <v>806.07500000000005</v>
      </c>
      <c r="IF20" s="116">
        <f t="shared" si="1"/>
        <v>685.85</v>
      </c>
      <c r="IG20" s="116">
        <f t="shared" si="1"/>
        <v>510.82499999999999</v>
      </c>
      <c r="IH20" s="116">
        <f t="shared" si="1"/>
        <v>686.02499999999998</v>
      </c>
      <c r="II20" s="116">
        <f t="shared" si="1"/>
        <v>643.75</v>
      </c>
      <c r="IJ20" s="116">
        <f t="shared" si="1"/>
        <v>791.47500000000002</v>
      </c>
      <c r="IK20" s="116">
        <f t="shared" si="1"/>
        <v>795</v>
      </c>
      <c r="IL20" s="116">
        <f t="shared" si="1"/>
        <v>927</v>
      </c>
      <c r="IM20" s="116">
        <f t="shared" si="1"/>
        <v>987</v>
      </c>
      <c r="IN20" s="116">
        <f t="shared" si="1"/>
        <v>1130.3</v>
      </c>
      <c r="IO20" s="116">
        <f t="shared" si="1"/>
        <v>926</v>
      </c>
      <c r="IP20" s="116">
        <f t="shared" si="1"/>
        <v>826</v>
      </c>
      <c r="IQ20" s="116">
        <f t="shared" si="1"/>
        <v>822.2</v>
      </c>
      <c r="IR20" s="116">
        <f t="shared" si="1"/>
        <v>593</v>
      </c>
      <c r="IS20" s="116">
        <f t="shared" si="1"/>
        <v>610</v>
      </c>
      <c r="IT20" s="116">
        <f t="shared" si="1"/>
        <v>501</v>
      </c>
      <c r="IU20" s="116">
        <f t="shared" si="1"/>
        <v>590</v>
      </c>
      <c r="IV20" s="116">
        <f t="shared" si="1"/>
        <v>876.6</v>
      </c>
      <c r="IW20" s="116">
        <f t="shared" si="1"/>
        <v>1271</v>
      </c>
      <c r="IX20" s="116">
        <f t="shared" si="1"/>
        <v>1838</v>
      </c>
      <c r="IY20" s="116">
        <f t="shared" si="1"/>
        <v>2700</v>
      </c>
      <c r="IZ20" s="116">
        <f t="shared" si="1"/>
        <v>4106.3</v>
      </c>
      <c r="JA20" s="116">
        <f t="shared" si="1"/>
        <v>5264.75</v>
      </c>
      <c r="JB20" s="116">
        <f t="shared" si="1"/>
        <v>5780</v>
      </c>
      <c r="JC20" s="116">
        <f t="shared" si="1"/>
        <v>6431.45</v>
      </c>
      <c r="JD20" s="116">
        <f t="shared" si="1"/>
        <v>7635.05</v>
      </c>
      <c r="JE20" s="116">
        <f t="shared" si="1"/>
        <v>5708.1</v>
      </c>
      <c r="JF20" s="116">
        <f t="shared" si="1"/>
        <v>5883.05</v>
      </c>
      <c r="JG20" s="116">
        <f t="shared" si="1"/>
        <v>5976.05</v>
      </c>
      <c r="JH20" s="116">
        <f t="shared" si="1"/>
        <v>6990.05</v>
      </c>
      <c r="JI20" s="116">
        <f t="shared" si="1"/>
        <v>7170.05</v>
      </c>
      <c r="JJ20" s="116">
        <f t="shared" si="2"/>
        <v>7340</v>
      </c>
      <c r="JK20" s="116">
        <f t="shared" ref="JK20" si="9">+IF(JK15=0,JK8,JK15)</f>
        <v>6406.6</v>
      </c>
      <c r="JL20" s="116">
        <f t="shared" ref="JL20:JM20" si="10">+IF(JL15=0,JL8,JL15)</f>
        <v>6619.75</v>
      </c>
      <c r="JM20" s="116">
        <f t="shared" si="10"/>
        <v>6285.05</v>
      </c>
      <c r="JN20" s="116">
        <f t="shared" ref="JN20:JO20" si="11">+IF(JN15=0,JN8,JN15)</f>
        <v>5160</v>
      </c>
      <c r="JO20" s="116">
        <f t="shared" si="11"/>
        <v>4601.05</v>
      </c>
      <c r="JP20" s="116">
        <f t="shared" ref="JP20" si="12">+IF(JP15=0,JP8,JP15)</f>
        <v>5211.05</v>
      </c>
      <c r="JQ20" s="116">
        <f t="shared" ref="JQ20:KH20" si="13">+IF(JQ15=0,JQ8,JQ15)</f>
        <v>4855.2</v>
      </c>
      <c r="JR20" s="116">
        <f t="shared" si="13"/>
        <v>3970</v>
      </c>
      <c r="JS20" s="116">
        <f t="shared" si="13"/>
        <v>3945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112.6</v>
      </c>
      <c r="HQ21" s="116">
        <f t="shared" si="1"/>
        <v>115.35</v>
      </c>
      <c r="HR21" s="116">
        <f t="shared" si="1"/>
        <v>95.575000000000003</v>
      </c>
      <c r="HS21" s="116">
        <f t="shared" si="1"/>
        <v>90.4</v>
      </c>
      <c r="HT21" s="116">
        <f t="shared" si="1"/>
        <v>91.9</v>
      </c>
      <c r="HU21" s="116">
        <f t="shared" si="1"/>
        <v>207.82499999999999</v>
      </c>
      <c r="HV21" s="116">
        <f t="shared" si="1"/>
        <v>272.2</v>
      </c>
      <c r="HW21" s="116">
        <f t="shared" si="1"/>
        <v>309.375</v>
      </c>
      <c r="HX21" s="116">
        <f t="shared" si="1"/>
        <v>322.95</v>
      </c>
      <c r="HY21" s="116">
        <f t="shared" si="1"/>
        <v>298.375</v>
      </c>
      <c r="HZ21" s="116">
        <f t="shared" si="1"/>
        <v>579.07500000000005</v>
      </c>
      <c r="IA21" s="116">
        <f t="shared" si="1"/>
        <v>600.65</v>
      </c>
      <c r="IB21" s="116">
        <f t="shared" si="1"/>
        <v>940.67499999999995</v>
      </c>
      <c r="IC21" s="116">
        <f t="shared" si="1"/>
        <v>1122.3499999999999</v>
      </c>
      <c r="ID21" s="116">
        <f t="shared" si="1"/>
        <v>940.27499999999998</v>
      </c>
      <c r="IE21" s="116">
        <f t="shared" si="1"/>
        <v>847.875</v>
      </c>
      <c r="IF21" s="116">
        <f t="shared" si="1"/>
        <v>697.67499999999995</v>
      </c>
      <c r="IG21" s="116">
        <f t="shared" si="1"/>
        <v>701.27499999999998</v>
      </c>
      <c r="IH21" s="116">
        <f t="shared" si="1"/>
        <v>731.57500000000005</v>
      </c>
      <c r="II21" s="116">
        <f t="shared" si="1"/>
        <v>792.52499999999998</v>
      </c>
      <c r="IJ21" s="116">
        <f t="shared" si="1"/>
        <v>812.35</v>
      </c>
      <c r="IK21" s="116">
        <f t="shared" si="1"/>
        <v>976.65</v>
      </c>
      <c r="IL21" s="116">
        <f t="shared" si="1"/>
        <v>985.15</v>
      </c>
      <c r="IM21" s="116">
        <f t="shared" si="1"/>
        <v>1335.5</v>
      </c>
      <c r="IN21" s="116">
        <f t="shared" si="1"/>
        <v>1153.5</v>
      </c>
      <c r="IO21" s="116">
        <f t="shared" si="1"/>
        <v>1020.7</v>
      </c>
      <c r="IP21" s="116">
        <f t="shared" si="1"/>
        <v>963.25</v>
      </c>
      <c r="IQ21" s="116">
        <f t="shared" si="1"/>
        <v>885.55</v>
      </c>
      <c r="IR21" s="116">
        <f t="shared" si="1"/>
        <v>676.05</v>
      </c>
      <c r="IS21" s="116">
        <f t="shared" si="1"/>
        <v>825.6</v>
      </c>
      <c r="IT21" s="116">
        <f t="shared" si="1"/>
        <v>629.79999999999995</v>
      </c>
      <c r="IU21" s="116">
        <f t="shared" si="1"/>
        <v>897.5</v>
      </c>
      <c r="IV21" s="116">
        <f t="shared" si="1"/>
        <v>1283.8499999999999</v>
      </c>
      <c r="IW21" s="116">
        <f t="shared" si="1"/>
        <v>1832.85</v>
      </c>
      <c r="IX21" s="116">
        <f t="shared" si="1"/>
        <v>2693.4</v>
      </c>
      <c r="IY21" s="116">
        <f t="shared" si="1"/>
        <v>4296.75</v>
      </c>
      <c r="IZ21" s="116">
        <f t="shared" si="1"/>
        <v>5594.6</v>
      </c>
      <c r="JA21" s="116">
        <f t="shared" si="1"/>
        <v>5867.8</v>
      </c>
      <c r="JB21" s="116">
        <f t="shared" si="1"/>
        <v>8840.25</v>
      </c>
      <c r="JC21" s="116">
        <f t="shared" si="1"/>
        <v>8164.6</v>
      </c>
      <c r="JD21" s="116">
        <f t="shared" si="1"/>
        <v>8583.2999999999993</v>
      </c>
      <c r="JE21" s="116">
        <f t="shared" si="1"/>
        <v>6287.1</v>
      </c>
      <c r="JF21" s="116">
        <f t="shared" si="1"/>
        <v>5961.5</v>
      </c>
      <c r="JG21" s="116">
        <f t="shared" si="1"/>
        <v>7584.05</v>
      </c>
      <c r="JH21" s="116">
        <f t="shared" si="1"/>
        <v>7220.8</v>
      </c>
      <c r="JI21" s="116">
        <f t="shared" si="1"/>
        <v>8757.7000000000007</v>
      </c>
      <c r="JJ21" s="116">
        <f t="shared" si="2"/>
        <v>7779.6</v>
      </c>
      <c r="JK21" s="116">
        <f t="shared" ref="JK21" si="14">+IF(JK16=0,JK9,JK16)</f>
        <v>7001.95</v>
      </c>
      <c r="JL21" s="116">
        <f t="shared" ref="JL21:JM21" si="15">+IF(JL16=0,JL9,JL16)</f>
        <v>7727.4</v>
      </c>
      <c r="JM21" s="116">
        <f t="shared" si="15"/>
        <v>6794</v>
      </c>
      <c r="JN21" s="116">
        <f t="shared" ref="JN21:JO21" si="16">+IF(JN16=0,JN9,JN16)</f>
        <v>5216.3</v>
      </c>
      <c r="JO21" s="116">
        <f t="shared" si="16"/>
        <v>6310</v>
      </c>
      <c r="JP21" s="116">
        <f t="shared" ref="JP21" si="17">+IF(JP16=0,JP9,JP16)</f>
        <v>5227.05</v>
      </c>
      <c r="JQ21" s="116">
        <f t="shared" ref="JQ21:KH21" si="18">+IF(JQ16=0,JQ9,JQ16)</f>
        <v>5239.05</v>
      </c>
      <c r="JR21" s="116">
        <f t="shared" si="18"/>
        <v>3977.25</v>
      </c>
      <c r="JS21" s="116">
        <f t="shared" si="18"/>
        <v>4118.2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100408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31138220</v>
      </c>
      <c r="D6" cm="1">
        <f t="array" ref="D6">_xll.EQNXTDZ($A$1,$B6,D$1)</f>
        <v>31138220</v>
      </c>
      <c r="E6" cm="1">
        <f t="array" ref="E6">_xll.EQNXTDZ($A$1,$B6,E$1)</f>
        <v>31138220</v>
      </c>
      <c r="F6" cm="1">
        <f t="array" ref="F6">_xll.EQNXTDZ($A$1,$B6,F$1)</f>
        <v>31138220</v>
      </c>
      <c r="G6" cm="1">
        <f t="array" ref="G6">_xll.EQNXTDZ($A$1,$B6,G$1)</f>
        <v>31138220</v>
      </c>
      <c r="H6" cm="1">
        <f t="array" ref="H6">_xll.EQNXTDZ($A$1,$B6,H$1)</f>
        <v>31138220</v>
      </c>
      <c r="I6" cm="1">
        <f t="array" ref="I6">_xll.EQNXTDZ($A$1,$B6,I$1)</f>
        <v>31138220</v>
      </c>
      <c r="J6" cm="1">
        <f t="array" ref="J6">_xll.EQNXTDZ($A$1,$B6,J$1)</f>
        <v>31138220</v>
      </c>
      <c r="K6" cm="1">
        <f t="array" ref="K6">_xll.EQNXTDZ($A$1,$B6,K$1)</f>
        <v>31138220</v>
      </c>
      <c r="L6" cm="1">
        <f t="array" ref="L6">_xll.EQNXTDZ($A$1,$B6,L$1)</f>
        <v>31138220</v>
      </c>
      <c r="M6" cm="1">
        <f t="array" ref="M6">_xll.EQNXTDZ($A$1,$B6,M$1)</f>
        <v>31138220</v>
      </c>
      <c r="N6" cm="1">
        <f t="array" ref="N6">_xll.EQNXTDZ($A$1,$B6,N$1)</f>
        <v>31138220</v>
      </c>
      <c r="O6" cm="1">
        <f t="array" ref="O6">_xll.EQNXTDZ($A$1,$B6,O$1)</f>
        <v>31138220</v>
      </c>
      <c r="P6" cm="1">
        <f t="array" ref="P6">_xll.EQNXTDZ($A$1,$B6,P$1)</f>
        <v>31138220</v>
      </c>
      <c r="Q6" cm="1">
        <f t="array" ref="Q6">_xll.EQNXTDZ($A$1,$B6,Q$1)</f>
        <v>31138220</v>
      </c>
      <c r="R6" cm="1">
        <f t="array" ref="R6">_xll.EQNXTDZ($A$1,$B6,R$1)</f>
        <v>31138220</v>
      </c>
      <c r="S6" cm="1">
        <f t="array" ref="S6">_xll.EQNXTDZ($A$1,$B6,S$1)</f>
        <v>31138220</v>
      </c>
      <c r="T6" cm="1">
        <f t="array" ref="T6">_xll.EQNXTDZ($A$1,$B6,T$1)</f>
        <v>31138220</v>
      </c>
      <c r="U6" cm="1">
        <f t="array" ref="U6">_xll.EQNXTDZ($A$1,$B6,U$1)</f>
        <v>31138220</v>
      </c>
      <c r="V6" cm="1">
        <f t="array" ref="V6">_xll.EQNXTDZ($A$1,$B6,V$1)</f>
        <v>31138220</v>
      </c>
      <c r="W6" cm="1">
        <f t="array" ref="W6">_xll.EQNXTDZ($A$1,$B6,W$1)</f>
        <v>31138220</v>
      </c>
      <c r="X6" cm="1">
        <f t="array" ref="X6">_xll.EQNXTDZ($A$1,$B6,X$1)</f>
        <v>62276440</v>
      </c>
      <c r="Y6" cm="1">
        <f t="array" ref="Y6">_xll.EQNXTDZ($A$1,$B6,Y$1)</f>
        <v>62276440</v>
      </c>
      <c r="Z6" cm="1">
        <f t="array" ref="Z6">_xll.EQNXTDZ($A$1,$B6,Z$1)</f>
        <v>62276440</v>
      </c>
      <c r="AA6" cm="1">
        <f t="array" ref="AA6">_xll.EQNXTDZ($A$1,$B6,AA$1)</f>
        <v>62276440</v>
      </c>
      <c r="AB6" cm="1">
        <f t="array" ref="AB6">_xll.EQNXTDZ($A$1,$B6,AB$1)</f>
        <v>62276440</v>
      </c>
      <c r="AC6" cm="1">
        <f t="array" ref="AC6">_xll.EQNXTDZ($A$1,$B6,AC$1)</f>
        <v>62276440</v>
      </c>
      <c r="AD6" cm="1">
        <f t="array" ref="AD6">_xll.EQNXTDZ($A$1,$B6,AD$1)</f>
        <v>62276440</v>
      </c>
      <c r="AE6" cm="1">
        <f t="array" ref="AE6">_xll.EQNXTDZ($A$1,$B6,AE$1)</f>
        <v>62276440</v>
      </c>
      <c r="AF6" cm="1">
        <f t="array" ref="AF6">_xll.EQNXTDZ($A$1,$B6,AF$1)</f>
        <v>62276440</v>
      </c>
      <c r="AG6" cm="1">
        <f t="array" ref="AG6">_xll.EQNXTDZ($A$1,$B6,AG$1)</f>
        <v>62276440</v>
      </c>
      <c r="AH6" cm="1">
        <f t="array" ref="AH6">_xll.EQNXTDZ($A$1,$B6,AH$1)</f>
        <v>62276440</v>
      </c>
      <c r="AI6" cm="1">
        <f t="array" ref="AI6">_xll.EQNXTDZ($A$1,$B6,AI$1)</f>
        <v>62276440</v>
      </c>
      <c r="AJ6" cm="1">
        <f t="array" ref="AJ6">_xll.EQNXTDZ($A$1,$B6,AJ$1)</f>
        <v>62276440</v>
      </c>
      <c r="AK6" cm="1">
        <f t="array" ref="AK6">_xll.EQNXTDZ($A$1,$B6,AK$1)</f>
        <v>62276440</v>
      </c>
      <c r="AL6" cm="1">
        <f t="array" ref="AL6">_xll.EQNXTDZ($A$1,$B6,AL$1)</f>
        <v>62276440</v>
      </c>
      <c r="AM6" cm="1">
        <f t="array" ref="AM6">_xll.EQNXTDZ($A$1,$B6,AM$1)</f>
        <v>62276440</v>
      </c>
      <c r="AN6" cm="1">
        <f t="array" ref="AN6">_xll.EQNXTDZ($A$1,$B6,AN$1)</f>
        <v>62276440</v>
      </c>
      <c r="AO6" cm="1">
        <f t="array" ref="AO6">_xll.EQNXTDZ($A$1,$B6,AO$1)</f>
        <v>62276440</v>
      </c>
      <c r="AP6" cm="1">
        <f t="array" ref="AP6">_xll.EQNXTDZ($A$1,$B6,AP$1)</f>
        <v>62276440</v>
      </c>
      <c r="AQ6" cm="1">
        <f t="array" ref="AQ6">_xll.EQNXTDZ($A$1,$B6,AQ$1)</f>
        <v>62276440</v>
      </c>
      <c r="AR6" cm="1">
        <f t="array" ref="AR6">_xll.EQNXTDZ($A$1,$B6,AR$1)</f>
        <v>62276440</v>
      </c>
      <c r="AS6" cm="1">
        <f t="array" ref="AS6">_xll.EQNXTDZ($A$1,$B6,AS$1)</f>
        <v>62276440</v>
      </c>
      <c r="AT6" cm="1">
        <f t="array" ref="AT6">_xll.EQNXTDZ($A$1,$B6,AT$1)</f>
        <v>62276440</v>
      </c>
      <c r="AU6" cm="1">
        <f t="array" ref="AU6">_xll.EQNXTDZ($A$1,$B6,AU$1)</f>
        <v>62276440</v>
      </c>
      <c r="AV6" cm="1">
        <f t="array" ref="AV6">_xll.EQNXTDZ($A$1,$B6,AV$1)</f>
        <v>62276440</v>
      </c>
      <c r="AW6" cm="1">
        <f t="array" ref="AW6">_xll.EQNXTDZ($A$1,$B6,AW$1)</f>
        <v>62276440</v>
      </c>
      <c r="AX6" cm="1">
        <f t="array" ref="AX6">_xll.EQNXTDZ($A$1,$B6,AX$1)</f>
        <v>62276440</v>
      </c>
      <c r="AY6" cm="1">
        <f t="array" ref="AY6">_xll.EQNXTDZ($A$1,$B6,AY$1)</f>
        <v>62276440</v>
      </c>
    </row>
    <row r="7" spans="1:51" x14ac:dyDescent="0.25">
      <c r="B7" t="s">
        <v>429</v>
      </c>
      <c r="C7" s="100">
        <f>+C6/10^7</f>
        <v>3.1138219999999999</v>
      </c>
      <c r="D7" s="100">
        <f t="shared" ref="D7:X7" si="0">+D6/10^7</f>
        <v>3.1138219999999999</v>
      </c>
      <c r="E7" s="100">
        <f t="shared" si="0"/>
        <v>3.1138219999999999</v>
      </c>
      <c r="F7" s="100">
        <f t="shared" si="0"/>
        <v>3.1138219999999999</v>
      </c>
      <c r="G7" s="100">
        <f t="shared" si="0"/>
        <v>3.1138219999999999</v>
      </c>
      <c r="H7" s="100">
        <f t="shared" si="0"/>
        <v>3.1138219999999999</v>
      </c>
      <c r="I7" s="100">
        <f t="shared" si="0"/>
        <v>3.1138219999999999</v>
      </c>
      <c r="J7" s="100">
        <f t="shared" si="0"/>
        <v>3.1138219999999999</v>
      </c>
      <c r="K7" s="100">
        <f t="shared" si="0"/>
        <v>3.1138219999999999</v>
      </c>
      <c r="L7" s="100">
        <f t="shared" si="0"/>
        <v>3.1138219999999999</v>
      </c>
      <c r="M7" s="100">
        <f t="shared" si="0"/>
        <v>3.1138219999999999</v>
      </c>
      <c r="N7" s="100">
        <f t="shared" si="0"/>
        <v>3.1138219999999999</v>
      </c>
      <c r="O7" s="100">
        <f t="shared" si="0"/>
        <v>3.1138219999999999</v>
      </c>
      <c r="P7" s="100">
        <f t="shared" si="0"/>
        <v>3.1138219999999999</v>
      </c>
      <c r="Q7" s="100">
        <f t="shared" si="0"/>
        <v>3.1138219999999999</v>
      </c>
      <c r="R7" s="100">
        <f t="shared" si="0"/>
        <v>3.1138219999999999</v>
      </c>
      <c r="S7" s="100">
        <f t="shared" si="0"/>
        <v>3.1138219999999999</v>
      </c>
      <c r="T7" s="100">
        <f t="shared" si="0"/>
        <v>3.1138219999999999</v>
      </c>
      <c r="U7" s="100">
        <f t="shared" si="0"/>
        <v>3.1138219999999999</v>
      </c>
      <c r="V7" s="100">
        <f t="shared" si="0"/>
        <v>3.1138219999999999</v>
      </c>
      <c r="W7" s="100">
        <f t="shared" si="0"/>
        <v>3.1138219999999999</v>
      </c>
      <c r="X7" s="100">
        <f t="shared" si="0"/>
        <v>6.2276439999999997</v>
      </c>
      <c r="Y7" s="100">
        <f t="shared" ref="Y7:AS7" si="1">+Y6/10^7</f>
        <v>6.2276439999999997</v>
      </c>
      <c r="Z7" s="100">
        <f t="shared" si="1"/>
        <v>6.2276439999999997</v>
      </c>
      <c r="AA7" s="100">
        <f t="shared" si="1"/>
        <v>6.2276439999999997</v>
      </c>
      <c r="AB7" s="100">
        <f t="shared" si="1"/>
        <v>6.2276439999999997</v>
      </c>
      <c r="AC7" s="100">
        <f t="shared" si="1"/>
        <v>6.2276439999999997</v>
      </c>
      <c r="AD7" s="100">
        <f t="shared" si="1"/>
        <v>6.2276439999999997</v>
      </c>
      <c r="AE7" s="100">
        <f t="shared" si="1"/>
        <v>6.2276439999999997</v>
      </c>
      <c r="AF7" s="100">
        <f t="shared" si="1"/>
        <v>6.2276439999999997</v>
      </c>
      <c r="AG7" s="100">
        <f t="shared" si="1"/>
        <v>6.2276439999999997</v>
      </c>
      <c r="AH7" s="100">
        <f t="shared" si="1"/>
        <v>6.2276439999999997</v>
      </c>
      <c r="AI7" s="100">
        <f t="shared" si="1"/>
        <v>6.2276439999999997</v>
      </c>
      <c r="AJ7" s="100">
        <f t="shared" si="1"/>
        <v>6.2276439999999997</v>
      </c>
      <c r="AK7" s="100">
        <f t="shared" si="1"/>
        <v>6.2276439999999997</v>
      </c>
      <c r="AL7" s="100">
        <f t="shared" si="1"/>
        <v>6.2276439999999997</v>
      </c>
      <c r="AM7" s="100">
        <f t="shared" si="1"/>
        <v>6.2276439999999997</v>
      </c>
      <c r="AN7" s="100">
        <f t="shared" si="1"/>
        <v>6.2276439999999997</v>
      </c>
      <c r="AO7" s="100">
        <f t="shared" si="1"/>
        <v>6.2276439999999997</v>
      </c>
      <c r="AP7" s="100">
        <f t="shared" si="1"/>
        <v>6.2276439999999997</v>
      </c>
      <c r="AQ7" s="100">
        <f t="shared" si="1"/>
        <v>6.2276439999999997</v>
      </c>
      <c r="AR7" s="100">
        <f t="shared" si="1"/>
        <v>6.2276439999999997</v>
      </c>
      <c r="AS7" s="100">
        <f t="shared" si="1"/>
        <v>6.2276439999999997</v>
      </c>
      <c r="AT7" s="100">
        <f t="shared" ref="AT7:AX7" si="2">+AT6/10^7</f>
        <v>6.2276439999999997</v>
      </c>
      <c r="AU7" s="100">
        <f t="shared" si="2"/>
        <v>6.2276439999999997</v>
      </c>
      <c r="AV7" s="100">
        <f t="shared" si="2"/>
        <v>6.2276439999999997</v>
      </c>
      <c r="AW7" s="100">
        <f t="shared" si="2"/>
        <v>6.2276439999999997</v>
      </c>
      <c r="AX7" s="100">
        <f t="shared" si="2"/>
        <v>6.2276439999999997</v>
      </c>
      <c r="AY7" s="100">
        <f t="shared" ref="AY7" si="3">+AY6/10^7</f>
        <v>6.2276439999999997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100408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309</v>
      </c>
      <c r="C4" s="116">
        <v>302.125</v>
      </c>
      <c r="D4" s="116">
        <v>298.27499999999998</v>
      </c>
      <c r="E4" s="116">
        <v>299.64999999999998</v>
      </c>
      <c r="F4" s="116">
        <v>604.25</v>
      </c>
      <c r="G4">
        <v>127263</v>
      </c>
      <c r="H4" s="116"/>
      <c r="I4" s="116"/>
      <c r="L4" s="170">
        <v>42005</v>
      </c>
      <c r="M4" s="116">
        <v>301.875</v>
      </c>
      <c r="N4" s="116">
        <v>308.60000000000002</v>
      </c>
      <c r="O4" s="116">
        <v>298</v>
      </c>
      <c r="P4" s="116">
        <v>298.5</v>
      </c>
      <c r="Q4" s="116">
        <v>603.75</v>
      </c>
      <c r="R4">
        <v>483959</v>
      </c>
    </row>
    <row r="5" spans="1:18" x14ac:dyDescent="0.25">
      <c r="A5" s="170">
        <v>42006</v>
      </c>
      <c r="B5" s="116">
        <v>307.57499999999999</v>
      </c>
      <c r="C5" s="116">
        <v>303.125</v>
      </c>
      <c r="D5" s="116">
        <v>301.8</v>
      </c>
      <c r="E5" s="116">
        <v>304.5</v>
      </c>
      <c r="F5" s="116">
        <v>606.25</v>
      </c>
      <c r="G5">
        <v>55557</v>
      </c>
      <c r="H5" s="116"/>
      <c r="I5" s="116"/>
      <c r="L5" s="170">
        <v>42006</v>
      </c>
      <c r="M5" s="116">
        <v>303.10000000000002</v>
      </c>
      <c r="N5" s="116">
        <v>307.45</v>
      </c>
      <c r="O5" s="116">
        <v>302</v>
      </c>
      <c r="P5" s="116">
        <v>303.7</v>
      </c>
      <c r="Q5" s="116">
        <v>606.20000000000005</v>
      </c>
      <c r="R5">
        <v>196465</v>
      </c>
    </row>
    <row r="6" spans="1:18" x14ac:dyDescent="0.25">
      <c r="A6" s="170">
        <v>42009</v>
      </c>
      <c r="B6" s="116">
        <v>312.47500000000002</v>
      </c>
      <c r="C6" s="116">
        <v>309.14999999999998</v>
      </c>
      <c r="D6" s="116">
        <v>302.85000000000002</v>
      </c>
      <c r="E6" s="116">
        <v>303.5</v>
      </c>
      <c r="F6" s="116">
        <v>618.29999999999995</v>
      </c>
      <c r="G6">
        <v>102784</v>
      </c>
      <c r="H6" s="116"/>
      <c r="I6" s="116"/>
      <c r="L6" s="170">
        <v>42009</v>
      </c>
      <c r="M6" s="116">
        <v>308.57499999999999</v>
      </c>
      <c r="N6" s="116">
        <v>312.22500000000002</v>
      </c>
      <c r="O6" s="116">
        <v>300.75</v>
      </c>
      <c r="P6" s="116">
        <v>300.75</v>
      </c>
      <c r="Q6" s="116">
        <v>617.15</v>
      </c>
      <c r="R6">
        <v>478829</v>
      </c>
    </row>
    <row r="7" spans="1:18" x14ac:dyDescent="0.25">
      <c r="A7" s="170">
        <v>42010</v>
      </c>
      <c r="B7" s="116">
        <v>318.42500000000001</v>
      </c>
      <c r="C7" s="116">
        <v>311.2</v>
      </c>
      <c r="D7" s="116">
        <v>303.5</v>
      </c>
      <c r="E7" s="116">
        <v>309.39999999999998</v>
      </c>
      <c r="F7" s="116">
        <v>622.4</v>
      </c>
      <c r="G7">
        <v>253125</v>
      </c>
      <c r="H7" s="116"/>
      <c r="I7" s="116"/>
      <c r="L7" s="170">
        <v>42010</v>
      </c>
      <c r="M7" s="116">
        <v>310.375</v>
      </c>
      <c r="N7" s="116">
        <v>318</v>
      </c>
      <c r="O7" s="116">
        <v>303.5</v>
      </c>
      <c r="P7" s="116">
        <v>308.8</v>
      </c>
      <c r="Q7" s="116">
        <v>620.75</v>
      </c>
      <c r="R7">
        <v>974011</v>
      </c>
    </row>
    <row r="8" spans="1:18" x14ac:dyDescent="0.25">
      <c r="A8" s="170">
        <v>42011</v>
      </c>
      <c r="B8" s="116">
        <v>332.4</v>
      </c>
      <c r="C8" s="116">
        <v>325.22500000000002</v>
      </c>
      <c r="D8" s="116">
        <v>310.14999999999998</v>
      </c>
      <c r="E8" s="116">
        <v>310.27499999999998</v>
      </c>
      <c r="F8" s="116">
        <v>650.45000000000005</v>
      </c>
      <c r="G8">
        <v>272184</v>
      </c>
      <c r="H8" s="116"/>
      <c r="I8" s="116"/>
      <c r="L8" s="170">
        <v>42011</v>
      </c>
      <c r="M8" s="116">
        <v>325.375</v>
      </c>
      <c r="N8" s="116">
        <v>332.45</v>
      </c>
      <c r="O8" s="116">
        <v>309.5</v>
      </c>
      <c r="P8" s="116">
        <v>309.55</v>
      </c>
      <c r="Q8" s="116">
        <v>650.75</v>
      </c>
      <c r="R8">
        <v>1177602</v>
      </c>
    </row>
    <row r="9" spans="1:18" x14ac:dyDescent="0.25">
      <c r="A9" s="170">
        <v>42012</v>
      </c>
      <c r="B9" s="116">
        <v>340.8</v>
      </c>
      <c r="C9" s="116">
        <v>323.75</v>
      </c>
      <c r="D9" s="116">
        <v>322.25</v>
      </c>
      <c r="E9" s="116">
        <v>333.5</v>
      </c>
      <c r="F9" s="116">
        <v>647.5</v>
      </c>
      <c r="G9">
        <v>206153</v>
      </c>
      <c r="H9" s="116"/>
      <c r="I9" s="116"/>
      <c r="L9" s="170">
        <v>42012</v>
      </c>
      <c r="M9" s="116">
        <v>324.07499999999999</v>
      </c>
      <c r="N9" s="116">
        <v>340.875</v>
      </c>
      <c r="O9" s="116">
        <v>322.60000000000002</v>
      </c>
      <c r="P9" s="116">
        <v>333.5</v>
      </c>
      <c r="Q9" s="116">
        <v>648.15</v>
      </c>
      <c r="R9">
        <v>953640</v>
      </c>
    </row>
    <row r="10" spans="1:18" x14ac:dyDescent="0.25">
      <c r="A10" s="170">
        <v>42013</v>
      </c>
      <c r="B10" s="116">
        <v>338.5</v>
      </c>
      <c r="C10" s="116">
        <v>336.27499999999998</v>
      </c>
      <c r="D10" s="116">
        <v>321.5</v>
      </c>
      <c r="E10" s="116">
        <v>326.95</v>
      </c>
      <c r="F10" s="116">
        <v>672.55</v>
      </c>
      <c r="G10">
        <v>251145</v>
      </c>
      <c r="H10" s="116"/>
      <c r="I10" s="116"/>
      <c r="L10" s="170">
        <v>42013</v>
      </c>
      <c r="M10" s="116">
        <v>336.05</v>
      </c>
      <c r="N10" s="116">
        <v>338.35</v>
      </c>
      <c r="O10" s="116">
        <v>320.5</v>
      </c>
      <c r="P10" s="116">
        <v>325.75</v>
      </c>
      <c r="Q10" s="116">
        <v>672.1</v>
      </c>
      <c r="R10">
        <v>974006</v>
      </c>
    </row>
    <row r="11" spans="1:18" x14ac:dyDescent="0.25">
      <c r="A11" s="170">
        <v>42016</v>
      </c>
      <c r="B11" s="116">
        <v>368.27499999999998</v>
      </c>
      <c r="C11" s="116">
        <v>364.42500000000001</v>
      </c>
      <c r="D11" s="116">
        <v>335.02499999999998</v>
      </c>
      <c r="E11" s="116">
        <v>338.92500000000001</v>
      </c>
      <c r="F11" s="116">
        <v>728.85</v>
      </c>
      <c r="G11">
        <v>775822</v>
      </c>
      <c r="H11" s="116"/>
      <c r="I11" s="116"/>
      <c r="L11" s="170">
        <v>42016</v>
      </c>
      <c r="M11" s="116">
        <v>364.72500000000002</v>
      </c>
      <c r="N11" s="116">
        <v>368</v>
      </c>
      <c r="O11" s="116">
        <v>334.2</v>
      </c>
      <c r="P11" s="116">
        <v>337.52499999999998</v>
      </c>
      <c r="Q11" s="116">
        <v>729.45</v>
      </c>
      <c r="R11">
        <v>3535125</v>
      </c>
    </row>
    <row r="12" spans="1:18" x14ac:dyDescent="0.25">
      <c r="A12" s="170">
        <v>42017</v>
      </c>
      <c r="B12" s="116">
        <v>367.5</v>
      </c>
      <c r="C12" s="116">
        <v>356.2</v>
      </c>
      <c r="D12" s="116">
        <v>351</v>
      </c>
      <c r="E12" s="116">
        <v>366.5</v>
      </c>
      <c r="F12" s="116">
        <v>712.4</v>
      </c>
      <c r="G12">
        <v>239831</v>
      </c>
      <c r="H12" s="116"/>
      <c r="I12" s="116"/>
      <c r="L12" s="170">
        <v>42017</v>
      </c>
      <c r="M12" s="116">
        <v>356.67500000000001</v>
      </c>
      <c r="N12" s="116">
        <v>367.95</v>
      </c>
      <c r="O12" s="116">
        <v>351.15</v>
      </c>
      <c r="P12" s="116">
        <v>366.5</v>
      </c>
      <c r="Q12" s="116">
        <v>713.35</v>
      </c>
      <c r="R12">
        <v>1012553</v>
      </c>
    </row>
    <row r="13" spans="1:18" x14ac:dyDescent="0.25">
      <c r="A13" s="170">
        <v>42018</v>
      </c>
      <c r="B13" s="116">
        <v>372</v>
      </c>
      <c r="C13" s="116">
        <v>368.07499999999999</v>
      </c>
      <c r="D13" s="116">
        <v>352.57499999999999</v>
      </c>
      <c r="E13" s="116">
        <v>356.02499999999998</v>
      </c>
      <c r="F13" s="116">
        <v>736.15</v>
      </c>
      <c r="G13">
        <v>302087</v>
      </c>
      <c r="H13" s="116"/>
      <c r="I13" s="116"/>
      <c r="L13" s="170">
        <v>42018</v>
      </c>
      <c r="M13" s="116">
        <v>368.27499999999998</v>
      </c>
      <c r="N13" s="116">
        <v>372.4</v>
      </c>
      <c r="O13" s="116">
        <v>352.625</v>
      </c>
      <c r="P13" s="116">
        <v>356.9</v>
      </c>
      <c r="Q13" s="116">
        <v>736.55</v>
      </c>
      <c r="R13">
        <v>1245669</v>
      </c>
    </row>
    <row r="14" spans="1:18" x14ac:dyDescent="0.25">
      <c r="A14" s="170">
        <v>42019</v>
      </c>
      <c r="B14" s="116">
        <v>378.95</v>
      </c>
      <c r="C14" s="116">
        <v>374.05</v>
      </c>
      <c r="D14" s="116">
        <v>365.8</v>
      </c>
      <c r="E14" s="116">
        <v>372</v>
      </c>
      <c r="F14" s="116">
        <v>748.1</v>
      </c>
      <c r="G14">
        <v>337290</v>
      </c>
      <c r="H14" s="116"/>
      <c r="I14" s="116"/>
      <c r="L14" s="170">
        <v>42019</v>
      </c>
      <c r="M14" s="116">
        <v>374.2</v>
      </c>
      <c r="N14" s="116">
        <v>379</v>
      </c>
      <c r="O14" s="116">
        <v>365.1</v>
      </c>
      <c r="P14" s="116">
        <v>373.5</v>
      </c>
      <c r="Q14" s="116">
        <v>748.4</v>
      </c>
      <c r="R14">
        <v>1081715</v>
      </c>
    </row>
    <row r="15" spans="1:18" x14ac:dyDescent="0.25">
      <c r="A15" s="170">
        <v>42020</v>
      </c>
      <c r="B15" s="116">
        <v>374.5</v>
      </c>
      <c r="C15" s="116">
        <v>369.125</v>
      </c>
      <c r="D15" s="116">
        <v>366.875</v>
      </c>
      <c r="E15" s="116">
        <v>372.5</v>
      </c>
      <c r="F15" s="116">
        <v>738.25</v>
      </c>
      <c r="G15">
        <v>96829</v>
      </c>
      <c r="H15" s="116"/>
      <c r="I15" s="116"/>
      <c r="L15" s="170">
        <v>42020</v>
      </c>
      <c r="M15" s="116">
        <v>369.4</v>
      </c>
      <c r="N15" s="116">
        <v>374</v>
      </c>
      <c r="O15" s="116">
        <v>367.15</v>
      </c>
      <c r="P15" s="116">
        <v>373.4</v>
      </c>
      <c r="Q15" s="116">
        <v>738.8</v>
      </c>
      <c r="R15">
        <v>437198</v>
      </c>
    </row>
    <row r="16" spans="1:18" x14ac:dyDescent="0.25">
      <c r="A16" s="170">
        <v>42023</v>
      </c>
      <c r="B16" s="116">
        <v>382.25</v>
      </c>
      <c r="C16" s="116">
        <v>373.35</v>
      </c>
      <c r="D16" s="116">
        <v>367.625</v>
      </c>
      <c r="E16" s="116">
        <v>370.5</v>
      </c>
      <c r="F16" s="116">
        <v>746.7</v>
      </c>
      <c r="G16">
        <v>163847</v>
      </c>
      <c r="H16" s="116"/>
      <c r="I16" s="116"/>
      <c r="L16" s="170">
        <v>42023</v>
      </c>
      <c r="M16" s="116">
        <v>373.8</v>
      </c>
      <c r="N16" s="116">
        <v>382.4</v>
      </c>
      <c r="O16" s="116">
        <v>367.77499999999998</v>
      </c>
      <c r="P16" s="116">
        <v>372.47500000000002</v>
      </c>
      <c r="Q16" s="116">
        <v>747.6</v>
      </c>
      <c r="R16">
        <v>750052</v>
      </c>
    </row>
    <row r="17" spans="1:18" x14ac:dyDescent="0.25">
      <c r="A17" s="170">
        <v>42024</v>
      </c>
      <c r="B17" s="116">
        <v>377</v>
      </c>
      <c r="C17" s="116">
        <v>369.125</v>
      </c>
      <c r="D17" s="116">
        <v>366.52499999999998</v>
      </c>
      <c r="E17" s="116">
        <v>373.45</v>
      </c>
      <c r="F17" s="116">
        <v>738.25</v>
      </c>
      <c r="G17">
        <v>98781</v>
      </c>
      <c r="H17" s="116"/>
      <c r="I17" s="116"/>
      <c r="L17" s="170">
        <v>42024</v>
      </c>
      <c r="M17" s="116">
        <v>369.77499999999998</v>
      </c>
      <c r="N17" s="116">
        <v>377.5</v>
      </c>
      <c r="O17" s="116">
        <v>366.27499999999998</v>
      </c>
      <c r="P17" s="116">
        <v>375.35</v>
      </c>
      <c r="Q17" s="116">
        <v>739.55</v>
      </c>
      <c r="R17">
        <v>329274</v>
      </c>
    </row>
    <row r="18" spans="1:18" x14ac:dyDescent="0.25">
      <c r="A18" s="170">
        <v>42025</v>
      </c>
      <c r="B18" s="116">
        <v>406.85</v>
      </c>
      <c r="C18" s="116">
        <v>400.72500000000002</v>
      </c>
      <c r="D18" s="116">
        <v>364</v>
      </c>
      <c r="E18" s="116">
        <v>369</v>
      </c>
      <c r="F18" s="116">
        <v>801.45</v>
      </c>
      <c r="G18">
        <v>1184826</v>
      </c>
      <c r="H18" s="116"/>
      <c r="I18" s="116"/>
      <c r="L18" s="170">
        <v>42025</v>
      </c>
      <c r="M18" s="116">
        <v>400.6</v>
      </c>
      <c r="N18" s="116">
        <v>406.875</v>
      </c>
      <c r="O18" s="116">
        <v>363.75</v>
      </c>
      <c r="P18" s="116">
        <v>371.5</v>
      </c>
      <c r="Q18" s="116">
        <v>801.2</v>
      </c>
      <c r="R18">
        <v>4918967</v>
      </c>
    </row>
    <row r="19" spans="1:18" x14ac:dyDescent="0.25">
      <c r="A19" s="170">
        <v>42026</v>
      </c>
      <c r="B19" s="116">
        <v>409</v>
      </c>
      <c r="C19" s="116">
        <v>397.57499999999999</v>
      </c>
      <c r="D19" s="116">
        <v>395.25</v>
      </c>
      <c r="E19" s="116">
        <v>405.85</v>
      </c>
      <c r="F19" s="116">
        <v>795.15</v>
      </c>
      <c r="G19">
        <v>287479</v>
      </c>
      <c r="H19" s="116"/>
      <c r="I19" s="116"/>
      <c r="L19" s="170">
        <v>42026</v>
      </c>
      <c r="M19" s="116">
        <v>398.4</v>
      </c>
      <c r="N19" s="116">
        <v>408.6</v>
      </c>
      <c r="O19" s="116">
        <v>396</v>
      </c>
      <c r="P19" s="116">
        <v>406</v>
      </c>
      <c r="Q19" s="116">
        <v>796.8</v>
      </c>
      <c r="R19">
        <v>1018614</v>
      </c>
    </row>
    <row r="20" spans="1:18" x14ac:dyDescent="0.25">
      <c r="A20" s="170">
        <v>42027</v>
      </c>
      <c r="B20" s="116">
        <v>402</v>
      </c>
      <c r="C20" s="116">
        <v>389.3</v>
      </c>
      <c r="D20" s="116">
        <v>384.52499999999998</v>
      </c>
      <c r="E20" s="116">
        <v>400.5</v>
      </c>
      <c r="F20" s="116">
        <v>778.6</v>
      </c>
      <c r="G20">
        <v>155648</v>
      </c>
      <c r="H20" s="116"/>
      <c r="I20" s="116"/>
      <c r="L20" s="170">
        <v>42027</v>
      </c>
      <c r="M20" s="116">
        <v>389.55</v>
      </c>
      <c r="N20" s="116">
        <v>402.25</v>
      </c>
      <c r="O20" s="116">
        <v>384.45</v>
      </c>
      <c r="P20" s="116">
        <v>399.97500000000002</v>
      </c>
      <c r="Q20" s="116">
        <v>779.1</v>
      </c>
      <c r="R20">
        <v>506524</v>
      </c>
    </row>
    <row r="21" spans="1:18" x14ac:dyDescent="0.25">
      <c r="A21" s="170">
        <v>42031</v>
      </c>
      <c r="B21" s="116">
        <v>397.95</v>
      </c>
      <c r="C21" s="116">
        <v>386.57499999999999</v>
      </c>
      <c r="D21" s="116">
        <v>382.75</v>
      </c>
      <c r="E21" s="116">
        <v>390.5</v>
      </c>
      <c r="F21" s="116">
        <v>773.15</v>
      </c>
      <c r="G21">
        <v>108307</v>
      </c>
      <c r="H21" s="116"/>
      <c r="I21" s="116"/>
      <c r="L21" s="170">
        <v>42031</v>
      </c>
      <c r="M21" s="116">
        <v>386.92500000000001</v>
      </c>
      <c r="N21" s="116">
        <v>397.5</v>
      </c>
      <c r="O21" s="116">
        <v>382.5</v>
      </c>
      <c r="P21" s="116">
        <v>391.15</v>
      </c>
      <c r="Q21" s="116">
        <v>773.85</v>
      </c>
      <c r="R21">
        <v>376167</v>
      </c>
    </row>
    <row r="22" spans="1:18" x14ac:dyDescent="0.25">
      <c r="A22" s="170">
        <v>42032</v>
      </c>
      <c r="B22" s="116">
        <v>395.5</v>
      </c>
      <c r="C22" s="116">
        <v>381.32499999999999</v>
      </c>
      <c r="D22" s="116">
        <v>378.3</v>
      </c>
      <c r="E22" s="116">
        <v>388.97500000000002</v>
      </c>
      <c r="F22" s="116">
        <v>762.65</v>
      </c>
      <c r="G22">
        <v>130245</v>
      </c>
      <c r="H22" s="116"/>
      <c r="I22" s="116"/>
      <c r="L22" s="170">
        <v>42032</v>
      </c>
      <c r="M22" s="116">
        <v>382.22500000000002</v>
      </c>
      <c r="N22" s="116">
        <v>395.75</v>
      </c>
      <c r="O22" s="116">
        <v>378.625</v>
      </c>
      <c r="P22" s="116">
        <v>384.5</v>
      </c>
      <c r="Q22" s="116">
        <v>764.45</v>
      </c>
      <c r="R22">
        <v>482051</v>
      </c>
    </row>
    <row r="23" spans="1:18" x14ac:dyDescent="0.25">
      <c r="A23" s="170">
        <v>42033</v>
      </c>
      <c r="B23" s="116">
        <v>387</v>
      </c>
      <c r="C23" s="116">
        <v>381.92500000000001</v>
      </c>
      <c r="D23" s="116">
        <v>380.52499999999998</v>
      </c>
      <c r="E23" s="116">
        <v>381.5</v>
      </c>
      <c r="F23" s="116">
        <v>763.85</v>
      </c>
      <c r="G23">
        <v>45053</v>
      </c>
      <c r="H23" s="116"/>
      <c r="I23" s="116"/>
      <c r="L23" s="170">
        <v>42033</v>
      </c>
      <c r="M23" s="116">
        <v>381.5</v>
      </c>
      <c r="N23" s="116">
        <v>386.85</v>
      </c>
      <c r="O23" s="116">
        <v>380.27499999999998</v>
      </c>
      <c r="P23" s="116">
        <v>382.75</v>
      </c>
      <c r="Q23" s="116">
        <v>763</v>
      </c>
      <c r="R23">
        <v>184627</v>
      </c>
    </row>
    <row r="24" spans="1:18" x14ac:dyDescent="0.25">
      <c r="A24" s="170">
        <v>42034</v>
      </c>
      <c r="B24" s="116">
        <v>390</v>
      </c>
      <c r="C24" s="116">
        <v>381.85</v>
      </c>
      <c r="D24" s="116">
        <v>377.45</v>
      </c>
      <c r="E24" s="116">
        <v>384</v>
      </c>
      <c r="F24" s="116">
        <v>763.7</v>
      </c>
      <c r="G24">
        <v>77527</v>
      </c>
      <c r="H24" s="116"/>
      <c r="I24" s="116"/>
      <c r="L24" s="170">
        <v>42034</v>
      </c>
      <c r="M24" s="116">
        <v>381.92500000000001</v>
      </c>
      <c r="N24" s="116">
        <v>390</v>
      </c>
      <c r="O24" s="116">
        <v>377.52499999999998</v>
      </c>
      <c r="P24" s="116">
        <v>383</v>
      </c>
      <c r="Q24" s="116">
        <v>763.85</v>
      </c>
      <c r="R24">
        <v>263177</v>
      </c>
    </row>
    <row r="25" spans="1:18" x14ac:dyDescent="0.25">
      <c r="A25" s="170">
        <v>42037</v>
      </c>
      <c r="B25" s="116">
        <v>386</v>
      </c>
      <c r="C25" s="116">
        <v>379.52499999999998</v>
      </c>
      <c r="D25" s="116">
        <v>377.875</v>
      </c>
      <c r="E25" s="116">
        <v>382.5</v>
      </c>
      <c r="F25" s="116">
        <v>759.05</v>
      </c>
      <c r="G25">
        <v>68300</v>
      </c>
      <c r="H25" s="116"/>
      <c r="I25" s="116"/>
      <c r="L25" s="170">
        <v>42037</v>
      </c>
      <c r="M25" s="116">
        <v>379.67500000000001</v>
      </c>
      <c r="N25" s="116">
        <v>385.67500000000001</v>
      </c>
      <c r="O25" s="116">
        <v>377.5</v>
      </c>
      <c r="P25" s="116">
        <v>377.55</v>
      </c>
      <c r="Q25" s="116">
        <v>759.35</v>
      </c>
      <c r="R25">
        <v>247391</v>
      </c>
    </row>
    <row r="26" spans="1:18" x14ac:dyDescent="0.25">
      <c r="A26" s="170">
        <v>42038</v>
      </c>
      <c r="B26" s="116">
        <v>411.65</v>
      </c>
      <c r="C26" s="116">
        <v>396.07499999999999</v>
      </c>
      <c r="D26" s="116">
        <v>379.47500000000002</v>
      </c>
      <c r="E26" s="116">
        <v>381.95</v>
      </c>
      <c r="F26" s="116">
        <v>792.15</v>
      </c>
      <c r="G26">
        <v>583219</v>
      </c>
      <c r="H26" s="116"/>
      <c r="I26" s="116"/>
      <c r="L26" s="170">
        <v>42038</v>
      </c>
      <c r="M26" s="116">
        <v>395.5</v>
      </c>
      <c r="N26" s="116">
        <v>411.45</v>
      </c>
      <c r="O26" s="116">
        <v>379.5</v>
      </c>
      <c r="P26" s="116">
        <v>380.9</v>
      </c>
      <c r="Q26" s="116">
        <v>791</v>
      </c>
      <c r="R26">
        <v>2235324</v>
      </c>
    </row>
    <row r="27" spans="1:18" x14ac:dyDescent="0.25">
      <c r="A27" s="170">
        <v>42039</v>
      </c>
      <c r="B27" s="116">
        <v>404.3</v>
      </c>
      <c r="C27" s="116">
        <v>394.875</v>
      </c>
      <c r="D27" s="116">
        <v>387.35</v>
      </c>
      <c r="E27" s="116">
        <v>396.05</v>
      </c>
      <c r="F27" s="116">
        <v>789.75</v>
      </c>
      <c r="G27">
        <v>125812</v>
      </c>
      <c r="H27" s="116"/>
      <c r="I27" s="116"/>
      <c r="L27" s="170">
        <v>42039</v>
      </c>
      <c r="M27" s="116">
        <v>395.1</v>
      </c>
      <c r="N27" s="116">
        <v>404.5</v>
      </c>
      <c r="O27" s="116">
        <v>387</v>
      </c>
      <c r="P27" s="116">
        <v>397</v>
      </c>
      <c r="Q27" s="116">
        <v>790.2</v>
      </c>
      <c r="R27">
        <v>589424</v>
      </c>
    </row>
    <row r="28" spans="1:18" x14ac:dyDescent="0.25">
      <c r="A28" s="170">
        <v>42040</v>
      </c>
      <c r="B28" s="116">
        <v>402.17500000000001</v>
      </c>
      <c r="C28" s="116">
        <v>389.625</v>
      </c>
      <c r="D28" s="116">
        <v>387.5</v>
      </c>
      <c r="E28" s="116">
        <v>395.5</v>
      </c>
      <c r="F28" s="116">
        <v>779.25</v>
      </c>
      <c r="G28">
        <v>121088</v>
      </c>
      <c r="H28" s="116"/>
      <c r="I28" s="116"/>
      <c r="L28" s="170">
        <v>42040</v>
      </c>
      <c r="M28" s="116">
        <v>388.72500000000002</v>
      </c>
      <c r="N28" s="116">
        <v>402.35</v>
      </c>
      <c r="O28" s="116">
        <v>386.55</v>
      </c>
      <c r="P28" s="116">
        <v>395.75</v>
      </c>
      <c r="Q28" s="116">
        <v>777.45</v>
      </c>
      <c r="R28">
        <v>561519</v>
      </c>
    </row>
    <row r="29" spans="1:18" x14ac:dyDescent="0.25">
      <c r="A29" s="170">
        <v>42041</v>
      </c>
      <c r="B29" s="116">
        <v>392.97500000000002</v>
      </c>
      <c r="C29" s="116">
        <v>381.35</v>
      </c>
      <c r="D29" s="116">
        <v>379.375</v>
      </c>
      <c r="E29" s="116">
        <v>389.5</v>
      </c>
      <c r="F29" s="116">
        <v>762.7</v>
      </c>
      <c r="G29">
        <v>69244</v>
      </c>
      <c r="H29" s="116"/>
      <c r="I29" s="116"/>
      <c r="L29" s="170">
        <v>42041</v>
      </c>
      <c r="M29" s="116">
        <v>381.55</v>
      </c>
      <c r="N29" s="116">
        <v>392.75</v>
      </c>
      <c r="O29" s="116">
        <v>380.27499999999998</v>
      </c>
      <c r="P29" s="116">
        <v>387.4</v>
      </c>
      <c r="Q29" s="116">
        <v>763.1</v>
      </c>
      <c r="R29">
        <v>233033</v>
      </c>
    </row>
    <row r="30" spans="1:18" x14ac:dyDescent="0.25">
      <c r="A30" s="170">
        <v>42044</v>
      </c>
      <c r="B30" s="116">
        <v>390.3</v>
      </c>
      <c r="C30" s="116">
        <v>385.8</v>
      </c>
      <c r="D30" s="116">
        <v>375.47500000000002</v>
      </c>
      <c r="E30" s="116">
        <v>379.4</v>
      </c>
      <c r="F30" s="116">
        <v>771.6</v>
      </c>
      <c r="G30">
        <v>111071</v>
      </c>
      <c r="H30" s="116"/>
      <c r="I30" s="116"/>
      <c r="L30" s="170">
        <v>42044</v>
      </c>
      <c r="M30" s="116">
        <v>386.52499999999998</v>
      </c>
      <c r="N30" s="116">
        <v>390.5</v>
      </c>
      <c r="O30" s="116">
        <v>374.8</v>
      </c>
      <c r="P30" s="116">
        <v>380</v>
      </c>
      <c r="Q30" s="116">
        <v>773.05</v>
      </c>
      <c r="R30">
        <v>381516</v>
      </c>
    </row>
    <row r="31" spans="1:18" x14ac:dyDescent="0.25">
      <c r="A31" s="170">
        <v>42045</v>
      </c>
      <c r="B31" s="116">
        <v>397</v>
      </c>
      <c r="C31" s="116">
        <v>389.22500000000002</v>
      </c>
      <c r="D31" s="116">
        <v>383.35</v>
      </c>
      <c r="E31" s="116">
        <v>385.05</v>
      </c>
      <c r="F31" s="116">
        <v>778.45</v>
      </c>
      <c r="G31">
        <v>110338</v>
      </c>
      <c r="H31" s="116"/>
      <c r="I31" s="116"/>
      <c r="L31" s="170">
        <v>42045</v>
      </c>
      <c r="M31" s="116">
        <v>389.72500000000002</v>
      </c>
      <c r="N31" s="116">
        <v>396.875</v>
      </c>
      <c r="O31" s="116">
        <v>383</v>
      </c>
      <c r="P31" s="116">
        <v>384.5</v>
      </c>
      <c r="Q31" s="116">
        <v>779.45</v>
      </c>
      <c r="R31">
        <v>381814</v>
      </c>
    </row>
    <row r="32" spans="1:18" x14ac:dyDescent="0.25">
      <c r="A32" s="170">
        <v>42046</v>
      </c>
      <c r="B32" s="116">
        <v>404</v>
      </c>
      <c r="C32" s="116">
        <v>398.375</v>
      </c>
      <c r="D32" s="116">
        <v>389.2</v>
      </c>
      <c r="E32" s="116">
        <v>391.67500000000001</v>
      </c>
      <c r="F32" s="116">
        <v>796.75</v>
      </c>
      <c r="G32">
        <v>79606</v>
      </c>
      <c r="H32" s="116"/>
      <c r="I32" s="116"/>
      <c r="L32" s="170">
        <v>42046</v>
      </c>
      <c r="M32" s="116">
        <v>398.55</v>
      </c>
      <c r="N32" s="116">
        <v>403.4</v>
      </c>
      <c r="O32" s="116">
        <v>388.67500000000001</v>
      </c>
      <c r="P32" s="116">
        <v>390.875</v>
      </c>
      <c r="Q32" s="116">
        <v>797.1</v>
      </c>
      <c r="R32">
        <v>332895</v>
      </c>
    </row>
    <row r="33" spans="1:18" x14ac:dyDescent="0.25">
      <c r="A33" s="170">
        <v>42047</v>
      </c>
      <c r="B33" s="116">
        <v>432.5</v>
      </c>
      <c r="C33" s="116">
        <v>426.2</v>
      </c>
      <c r="D33" s="116">
        <v>397.5</v>
      </c>
      <c r="E33" s="116">
        <v>399.7</v>
      </c>
      <c r="F33" s="116">
        <v>852.4</v>
      </c>
      <c r="G33">
        <v>456370</v>
      </c>
      <c r="H33" s="116"/>
      <c r="I33" s="116"/>
      <c r="L33" s="170">
        <v>42047</v>
      </c>
      <c r="M33" s="116">
        <v>426.75</v>
      </c>
      <c r="N33" s="116">
        <v>432.2</v>
      </c>
      <c r="O33" s="116">
        <v>397.5</v>
      </c>
      <c r="P33" s="116">
        <v>400.55</v>
      </c>
      <c r="Q33" s="116">
        <v>853.5</v>
      </c>
      <c r="R33">
        <v>1430980</v>
      </c>
    </row>
    <row r="34" spans="1:18" x14ac:dyDescent="0.25">
      <c r="A34" s="170">
        <v>42048</v>
      </c>
      <c r="B34" s="116">
        <v>447</v>
      </c>
      <c r="C34" s="116">
        <v>435.1</v>
      </c>
      <c r="D34" s="116">
        <v>427.82499999999999</v>
      </c>
      <c r="E34" s="116">
        <v>430.35</v>
      </c>
      <c r="F34" s="116">
        <v>870.2</v>
      </c>
      <c r="G34">
        <v>285701</v>
      </c>
      <c r="H34" s="116"/>
      <c r="I34" s="116"/>
      <c r="L34" s="170">
        <v>42048</v>
      </c>
      <c r="M34" s="116">
        <v>434.85</v>
      </c>
      <c r="N34" s="116">
        <v>446.77499999999998</v>
      </c>
      <c r="O34" s="116">
        <v>428.05</v>
      </c>
      <c r="P34" s="116">
        <v>429</v>
      </c>
      <c r="Q34" s="116">
        <v>869.7</v>
      </c>
      <c r="R34">
        <v>1033144</v>
      </c>
    </row>
    <row r="35" spans="1:18" x14ac:dyDescent="0.25">
      <c r="A35" s="170">
        <v>42051</v>
      </c>
      <c r="B35" s="116">
        <v>511.65</v>
      </c>
      <c r="C35" s="116">
        <v>505.3</v>
      </c>
      <c r="D35" s="116">
        <v>433</v>
      </c>
      <c r="E35" s="116">
        <v>433</v>
      </c>
      <c r="F35" s="116">
        <v>1010.6</v>
      </c>
      <c r="G35">
        <v>973797</v>
      </c>
      <c r="H35" s="116"/>
      <c r="I35" s="116"/>
      <c r="L35" s="170">
        <v>42051</v>
      </c>
      <c r="M35" s="116">
        <v>506.07499999999999</v>
      </c>
      <c r="N35" s="116">
        <v>512</v>
      </c>
      <c r="O35" s="116">
        <v>434.85</v>
      </c>
      <c r="P35" s="116">
        <v>435.95</v>
      </c>
      <c r="Q35" s="116">
        <v>1012.15</v>
      </c>
      <c r="R35">
        <v>3770818</v>
      </c>
    </row>
    <row r="36" spans="1:18" x14ac:dyDescent="0.25">
      <c r="A36" s="170">
        <v>42053</v>
      </c>
      <c r="B36" s="116">
        <v>517.20000000000005</v>
      </c>
      <c r="C36" s="116">
        <v>497.92500000000001</v>
      </c>
      <c r="D36" s="116">
        <v>488.125</v>
      </c>
      <c r="E36" s="116">
        <v>502.95</v>
      </c>
      <c r="F36" s="116">
        <v>995.85</v>
      </c>
      <c r="G36">
        <v>531303</v>
      </c>
      <c r="H36" s="116"/>
      <c r="I36" s="116"/>
      <c r="L36" s="170">
        <v>42053</v>
      </c>
      <c r="M36" s="116">
        <v>497.47500000000002</v>
      </c>
      <c r="N36" s="116">
        <v>516.85</v>
      </c>
      <c r="O36" s="116">
        <v>487.8</v>
      </c>
      <c r="P36" s="116">
        <v>501.97500000000002</v>
      </c>
      <c r="Q36" s="116">
        <v>994.95</v>
      </c>
      <c r="R36">
        <v>1962877</v>
      </c>
    </row>
    <row r="37" spans="1:18" x14ac:dyDescent="0.25">
      <c r="A37" s="170">
        <v>42054</v>
      </c>
      <c r="B37" s="116">
        <v>512</v>
      </c>
      <c r="C37" s="116">
        <v>498.27499999999998</v>
      </c>
      <c r="D37" s="116">
        <v>492.57499999999999</v>
      </c>
      <c r="E37" s="116">
        <v>499.7</v>
      </c>
      <c r="F37" s="116">
        <v>996.55</v>
      </c>
      <c r="G37">
        <v>226749</v>
      </c>
      <c r="H37" s="116"/>
      <c r="I37" s="116"/>
      <c r="L37" s="170">
        <v>42054</v>
      </c>
      <c r="M37" s="116">
        <v>499.4</v>
      </c>
      <c r="N37" s="116">
        <v>511.85</v>
      </c>
      <c r="O37" s="116">
        <v>492.77499999999998</v>
      </c>
      <c r="P37" s="116">
        <v>497</v>
      </c>
      <c r="Q37" s="116">
        <v>998.8</v>
      </c>
      <c r="R37">
        <v>724596</v>
      </c>
    </row>
    <row r="38" spans="1:18" x14ac:dyDescent="0.25">
      <c r="A38" s="170">
        <v>42055</v>
      </c>
      <c r="B38" s="116">
        <v>499.95</v>
      </c>
      <c r="C38" s="116">
        <v>490.95</v>
      </c>
      <c r="D38" s="116">
        <v>487.57499999999999</v>
      </c>
      <c r="E38" s="116">
        <v>499.5</v>
      </c>
      <c r="F38" s="116">
        <v>981.9</v>
      </c>
      <c r="G38">
        <v>103471</v>
      </c>
      <c r="H38" s="116"/>
      <c r="I38" s="116"/>
      <c r="L38" s="170">
        <v>42055</v>
      </c>
      <c r="M38" s="116">
        <v>491.17500000000001</v>
      </c>
      <c r="N38" s="116">
        <v>499.2</v>
      </c>
      <c r="O38" s="116">
        <v>487.55</v>
      </c>
      <c r="P38" s="116">
        <v>499</v>
      </c>
      <c r="Q38" s="116">
        <v>982.35</v>
      </c>
      <c r="R38">
        <v>416672</v>
      </c>
    </row>
    <row r="39" spans="1:18" x14ac:dyDescent="0.25">
      <c r="A39" s="170">
        <v>42058</v>
      </c>
      <c r="B39" s="116">
        <v>531.20000000000005</v>
      </c>
      <c r="C39" s="116">
        <v>522.875</v>
      </c>
      <c r="D39" s="116">
        <v>487.5</v>
      </c>
      <c r="E39" s="116">
        <v>491</v>
      </c>
      <c r="F39" s="116">
        <v>1045.75</v>
      </c>
      <c r="G39">
        <v>556845</v>
      </c>
      <c r="H39" s="116"/>
      <c r="I39" s="116"/>
      <c r="L39" s="170">
        <v>42058</v>
      </c>
      <c r="M39" s="116">
        <v>524.95000000000005</v>
      </c>
      <c r="N39" s="116">
        <v>532</v>
      </c>
      <c r="O39" s="116">
        <v>487.25</v>
      </c>
      <c r="P39" s="116">
        <v>489.5</v>
      </c>
      <c r="Q39" s="116">
        <v>1049.9000000000001</v>
      </c>
      <c r="R39">
        <v>1986428</v>
      </c>
    </row>
    <row r="40" spans="1:18" x14ac:dyDescent="0.25">
      <c r="A40" s="170">
        <v>42059</v>
      </c>
      <c r="B40" s="116">
        <v>540.9</v>
      </c>
      <c r="C40" s="116">
        <v>517.65</v>
      </c>
      <c r="D40" s="116">
        <v>510.1</v>
      </c>
      <c r="E40" s="116">
        <v>523</v>
      </c>
      <c r="F40" s="116">
        <v>1035.3</v>
      </c>
      <c r="G40">
        <v>281472</v>
      </c>
      <c r="H40" s="116"/>
      <c r="I40" s="116"/>
      <c r="L40" s="170">
        <v>42059</v>
      </c>
      <c r="M40" s="116">
        <v>516.9</v>
      </c>
      <c r="N40" s="116">
        <v>540.5</v>
      </c>
      <c r="O40" s="116">
        <v>511.07499999999999</v>
      </c>
      <c r="P40" s="116">
        <v>522</v>
      </c>
      <c r="Q40" s="116">
        <v>1033.8</v>
      </c>
      <c r="R40">
        <v>1002449</v>
      </c>
    </row>
    <row r="41" spans="1:18" x14ac:dyDescent="0.25">
      <c r="A41" s="170">
        <v>42060</v>
      </c>
      <c r="B41" s="116">
        <v>524.5</v>
      </c>
      <c r="C41" s="116">
        <v>510.6</v>
      </c>
      <c r="D41" s="116">
        <v>505.8</v>
      </c>
      <c r="E41" s="116">
        <v>516.5</v>
      </c>
      <c r="F41" s="116">
        <v>1021.2</v>
      </c>
      <c r="G41">
        <v>111552</v>
      </c>
      <c r="H41" s="116"/>
      <c r="I41" s="116"/>
      <c r="L41" s="170">
        <v>42060</v>
      </c>
      <c r="M41" s="116">
        <v>511.85</v>
      </c>
      <c r="N41" s="116">
        <v>524.5</v>
      </c>
      <c r="O41" s="116">
        <v>506.625</v>
      </c>
      <c r="P41" s="116">
        <v>516.97500000000002</v>
      </c>
      <c r="Q41" s="116">
        <v>1023.7</v>
      </c>
      <c r="R41">
        <v>468831</v>
      </c>
    </row>
    <row r="42" spans="1:18" x14ac:dyDescent="0.25">
      <c r="A42" s="170">
        <v>42061</v>
      </c>
      <c r="B42" s="116">
        <v>544.5</v>
      </c>
      <c r="C42" s="116">
        <v>527.77499999999998</v>
      </c>
      <c r="D42" s="116">
        <v>513.25</v>
      </c>
      <c r="E42" s="116">
        <v>513.5</v>
      </c>
      <c r="F42" s="116">
        <v>1055.55</v>
      </c>
      <c r="G42">
        <v>328075</v>
      </c>
      <c r="H42" s="116"/>
      <c r="I42" s="116"/>
      <c r="L42" s="170">
        <v>42061</v>
      </c>
      <c r="M42" s="116">
        <v>529.29999999999995</v>
      </c>
      <c r="N42" s="116">
        <v>544.5</v>
      </c>
      <c r="O42" s="116">
        <v>513</v>
      </c>
      <c r="P42" s="116">
        <v>513</v>
      </c>
      <c r="Q42" s="116">
        <v>1058.5999999999999</v>
      </c>
      <c r="R42">
        <v>1411930</v>
      </c>
    </row>
    <row r="43" spans="1:18" x14ac:dyDescent="0.25">
      <c r="A43" s="170">
        <v>42062</v>
      </c>
      <c r="B43" s="116">
        <v>537.29999999999995</v>
      </c>
      <c r="C43" s="116">
        <v>530.15</v>
      </c>
      <c r="D43" s="116">
        <v>519.02499999999998</v>
      </c>
      <c r="E43" s="116">
        <v>532</v>
      </c>
      <c r="F43" s="116">
        <v>1060.3</v>
      </c>
      <c r="G43">
        <v>117176</v>
      </c>
      <c r="H43" s="116"/>
      <c r="I43" s="116"/>
      <c r="L43" s="170">
        <v>42062</v>
      </c>
      <c r="M43" s="116">
        <v>530.45000000000005</v>
      </c>
      <c r="N43" s="116">
        <v>536.9</v>
      </c>
      <c r="O43" s="116">
        <v>518.70000000000005</v>
      </c>
      <c r="P43" s="116">
        <v>531</v>
      </c>
      <c r="Q43" s="116">
        <v>1060.9000000000001</v>
      </c>
      <c r="R43">
        <v>438836</v>
      </c>
    </row>
    <row r="44" spans="1:18" x14ac:dyDescent="0.25">
      <c r="A44" s="170">
        <v>42063</v>
      </c>
      <c r="B44" s="116">
        <v>562.5</v>
      </c>
      <c r="C44" s="116">
        <v>557.92499999999995</v>
      </c>
      <c r="D44" s="116">
        <v>514.65</v>
      </c>
      <c r="E44" s="116">
        <v>531</v>
      </c>
      <c r="F44" s="116">
        <v>1115.8499999999999</v>
      </c>
      <c r="G44">
        <v>271574</v>
      </c>
      <c r="H44" s="116"/>
      <c r="I44" s="116"/>
      <c r="L44" s="170">
        <v>42063</v>
      </c>
      <c r="M44" s="116">
        <v>556.5</v>
      </c>
      <c r="N44" s="116">
        <v>562.5</v>
      </c>
      <c r="O44" s="116">
        <v>515</v>
      </c>
      <c r="P44" s="116">
        <v>532.5</v>
      </c>
      <c r="Q44" s="116">
        <v>1113</v>
      </c>
      <c r="R44">
        <v>855277</v>
      </c>
    </row>
    <row r="45" spans="1:18" x14ac:dyDescent="0.25">
      <c r="A45" s="170">
        <v>42065</v>
      </c>
      <c r="B45" s="116">
        <v>589.5</v>
      </c>
      <c r="C45" s="116">
        <v>579.02499999999998</v>
      </c>
      <c r="D45" s="116">
        <v>546.29999999999995</v>
      </c>
      <c r="E45" s="116">
        <v>557.5</v>
      </c>
      <c r="F45" s="116">
        <v>1158.05</v>
      </c>
      <c r="G45">
        <v>278461</v>
      </c>
      <c r="H45" s="116"/>
      <c r="I45" s="116"/>
      <c r="L45" s="170">
        <v>42065</v>
      </c>
      <c r="M45" s="116">
        <v>579.47500000000002</v>
      </c>
      <c r="N45" s="116">
        <v>587.625</v>
      </c>
      <c r="O45" s="116">
        <v>545.625</v>
      </c>
      <c r="P45" s="116">
        <v>557.5</v>
      </c>
      <c r="Q45" s="116">
        <v>1158.95</v>
      </c>
      <c r="R45">
        <v>964295</v>
      </c>
    </row>
    <row r="46" spans="1:18" x14ac:dyDescent="0.25">
      <c r="A46" s="170">
        <v>42066</v>
      </c>
      <c r="B46" s="116">
        <v>694.82500000000005</v>
      </c>
      <c r="C46" s="116">
        <v>694.82500000000005</v>
      </c>
      <c r="D46" s="116">
        <v>582.5</v>
      </c>
      <c r="E46" s="116">
        <v>582.54999999999995</v>
      </c>
      <c r="F46" s="116">
        <v>1389.65</v>
      </c>
      <c r="G46">
        <v>711942</v>
      </c>
      <c r="H46" s="116"/>
      <c r="I46" s="116"/>
      <c r="L46" s="170">
        <v>42066</v>
      </c>
      <c r="M46" s="116">
        <v>695.35</v>
      </c>
      <c r="N46" s="116">
        <v>695.35</v>
      </c>
      <c r="O46" s="116">
        <v>580.6</v>
      </c>
      <c r="P46" s="116">
        <v>580.6</v>
      </c>
      <c r="Q46" s="116">
        <v>1390.7</v>
      </c>
      <c r="R46">
        <v>2659625</v>
      </c>
    </row>
    <row r="47" spans="1:18" x14ac:dyDescent="0.25">
      <c r="A47" s="170">
        <v>42067</v>
      </c>
      <c r="B47" s="116">
        <v>743.75</v>
      </c>
      <c r="C47" s="116">
        <v>684.5</v>
      </c>
      <c r="D47" s="116">
        <v>665.35</v>
      </c>
      <c r="E47" s="116">
        <v>717.5</v>
      </c>
      <c r="F47" s="116">
        <v>1369</v>
      </c>
      <c r="G47">
        <v>810923</v>
      </c>
      <c r="H47" s="116"/>
      <c r="I47" s="116"/>
      <c r="L47" s="170">
        <v>42067</v>
      </c>
      <c r="M47" s="116">
        <v>686.17499999999995</v>
      </c>
      <c r="N47" s="116">
        <v>742.5</v>
      </c>
      <c r="O47" s="116">
        <v>666</v>
      </c>
      <c r="P47" s="116">
        <v>720</v>
      </c>
      <c r="Q47" s="116">
        <v>1372.35</v>
      </c>
      <c r="R47">
        <v>2771926</v>
      </c>
    </row>
    <row r="48" spans="1:18" x14ac:dyDescent="0.25">
      <c r="A48" s="170">
        <v>42068</v>
      </c>
      <c r="B48" s="116">
        <v>730</v>
      </c>
      <c r="C48" s="116">
        <v>719.57500000000005</v>
      </c>
      <c r="D48" s="116">
        <v>672.5</v>
      </c>
      <c r="E48" s="116">
        <v>681.5</v>
      </c>
      <c r="F48" s="116">
        <v>1439.15</v>
      </c>
      <c r="G48">
        <v>467032</v>
      </c>
      <c r="H48" s="116"/>
      <c r="I48" s="116"/>
      <c r="L48" s="170">
        <v>42068</v>
      </c>
      <c r="M48" s="116">
        <v>719.875</v>
      </c>
      <c r="N48" s="116">
        <v>730</v>
      </c>
      <c r="O48" s="116">
        <v>672.45</v>
      </c>
      <c r="P48" s="116">
        <v>672.5</v>
      </c>
      <c r="Q48" s="116">
        <v>1439.75</v>
      </c>
      <c r="R48">
        <v>1693142</v>
      </c>
    </row>
    <row r="49" spans="1:18" x14ac:dyDescent="0.25">
      <c r="A49" s="170">
        <v>42072</v>
      </c>
      <c r="B49" s="116">
        <v>728.85</v>
      </c>
      <c r="C49" s="116">
        <v>692.72500000000002</v>
      </c>
      <c r="D49" s="116">
        <v>685.65</v>
      </c>
      <c r="E49" s="116">
        <v>712.5</v>
      </c>
      <c r="F49" s="116">
        <v>1385.45</v>
      </c>
      <c r="G49">
        <v>255076</v>
      </c>
      <c r="H49" s="116"/>
      <c r="I49" s="116"/>
      <c r="L49" s="170">
        <v>42072</v>
      </c>
      <c r="M49" s="116">
        <v>694.45</v>
      </c>
      <c r="N49" s="116">
        <v>729</v>
      </c>
      <c r="O49" s="116">
        <v>687.5</v>
      </c>
      <c r="P49" s="116">
        <v>710</v>
      </c>
      <c r="Q49" s="116">
        <v>1388.9</v>
      </c>
      <c r="R49">
        <v>821504</v>
      </c>
    </row>
    <row r="50" spans="1:18" x14ac:dyDescent="0.25">
      <c r="A50" s="170">
        <v>42073</v>
      </c>
      <c r="B50" s="116">
        <v>719.25</v>
      </c>
      <c r="C50" s="116">
        <v>640.75</v>
      </c>
      <c r="D50" s="116">
        <v>626.65</v>
      </c>
      <c r="E50" s="116">
        <v>695.5</v>
      </c>
      <c r="F50" s="116">
        <v>1281.5</v>
      </c>
      <c r="G50">
        <v>338579</v>
      </c>
      <c r="H50" s="116"/>
      <c r="I50" s="116"/>
      <c r="L50" s="170">
        <v>42073</v>
      </c>
      <c r="M50" s="116">
        <v>640.67499999999995</v>
      </c>
      <c r="N50" s="116">
        <v>719.5</v>
      </c>
      <c r="O50" s="116">
        <v>627</v>
      </c>
      <c r="P50" s="116">
        <v>699.2</v>
      </c>
      <c r="Q50" s="116">
        <v>1281.3499999999999</v>
      </c>
      <c r="R50">
        <v>1158633</v>
      </c>
    </row>
    <row r="51" spans="1:18" x14ac:dyDescent="0.25">
      <c r="A51" s="170">
        <v>42074</v>
      </c>
      <c r="B51" s="116">
        <v>654.67499999999995</v>
      </c>
      <c r="C51" s="116">
        <v>627.75</v>
      </c>
      <c r="D51" s="116">
        <v>610.4</v>
      </c>
      <c r="E51" s="116">
        <v>643.5</v>
      </c>
      <c r="F51" s="116">
        <v>1255.5</v>
      </c>
      <c r="G51">
        <v>267212</v>
      </c>
      <c r="H51" s="116"/>
      <c r="I51" s="116"/>
      <c r="L51" s="170">
        <v>42074</v>
      </c>
      <c r="M51" s="116">
        <v>627.6</v>
      </c>
      <c r="N51" s="116">
        <v>654.95000000000005</v>
      </c>
      <c r="O51" s="116">
        <v>610</v>
      </c>
      <c r="P51" s="116">
        <v>643.95000000000005</v>
      </c>
      <c r="Q51" s="116">
        <v>1255.2</v>
      </c>
      <c r="R51">
        <v>981152</v>
      </c>
    </row>
    <row r="52" spans="1:18" x14ac:dyDescent="0.25">
      <c r="A52" s="170">
        <v>42075</v>
      </c>
      <c r="B52" s="116">
        <v>667.2</v>
      </c>
      <c r="C52" s="116">
        <v>644.9</v>
      </c>
      <c r="D52" s="116">
        <v>626</v>
      </c>
      <c r="E52" s="116">
        <v>632.5</v>
      </c>
      <c r="F52" s="116">
        <v>1289.8</v>
      </c>
      <c r="G52">
        <v>348721</v>
      </c>
      <c r="H52" s="116"/>
      <c r="I52" s="116"/>
      <c r="L52" s="170">
        <v>42075</v>
      </c>
      <c r="M52" s="116">
        <v>646.375</v>
      </c>
      <c r="N52" s="116">
        <v>667.5</v>
      </c>
      <c r="O52" s="116">
        <v>625.52499999999998</v>
      </c>
      <c r="P52" s="116">
        <v>632.45000000000005</v>
      </c>
      <c r="Q52" s="116">
        <v>1292.75</v>
      </c>
      <c r="R52">
        <v>1289350</v>
      </c>
    </row>
    <row r="53" spans="1:18" x14ac:dyDescent="0.25">
      <c r="A53" s="170">
        <v>42076</v>
      </c>
      <c r="B53" s="116">
        <v>655</v>
      </c>
      <c r="C53" s="116">
        <v>614.1</v>
      </c>
      <c r="D53" s="116">
        <v>610.4</v>
      </c>
      <c r="E53" s="116">
        <v>650.6</v>
      </c>
      <c r="F53" s="116">
        <v>1228.2</v>
      </c>
      <c r="G53">
        <v>158496</v>
      </c>
      <c r="H53" s="116"/>
      <c r="I53" s="116"/>
      <c r="L53" s="170">
        <v>42076</v>
      </c>
      <c r="M53" s="116">
        <v>614.57500000000005</v>
      </c>
      <c r="N53" s="116">
        <v>654.45000000000005</v>
      </c>
      <c r="O53" s="116">
        <v>611</v>
      </c>
      <c r="P53" s="116">
        <v>651</v>
      </c>
      <c r="Q53" s="116">
        <v>1229.1500000000001</v>
      </c>
      <c r="R53">
        <v>576593</v>
      </c>
    </row>
    <row r="54" spans="1:18" x14ac:dyDescent="0.25">
      <c r="A54" s="170">
        <v>42079</v>
      </c>
      <c r="B54" s="116">
        <v>629.5</v>
      </c>
      <c r="C54" s="116">
        <v>604.25</v>
      </c>
      <c r="D54" s="116">
        <v>597.02499999999998</v>
      </c>
      <c r="E54" s="116">
        <v>616.02499999999998</v>
      </c>
      <c r="F54" s="116">
        <v>1208.5</v>
      </c>
      <c r="G54">
        <v>212890</v>
      </c>
      <c r="H54" s="116"/>
      <c r="I54" s="116"/>
      <c r="L54" s="170">
        <v>42079</v>
      </c>
      <c r="M54" s="116">
        <v>603.35</v>
      </c>
      <c r="N54" s="116">
        <v>629</v>
      </c>
      <c r="O54" s="116">
        <v>596.07500000000005</v>
      </c>
      <c r="P54" s="116">
        <v>618.20000000000005</v>
      </c>
      <c r="Q54" s="116">
        <v>1206.7</v>
      </c>
      <c r="R54">
        <v>737875</v>
      </c>
    </row>
    <row r="55" spans="1:18" x14ac:dyDescent="0.25">
      <c r="A55" s="170">
        <v>42080</v>
      </c>
      <c r="B55" s="116">
        <v>631.79999999999995</v>
      </c>
      <c r="C55" s="116">
        <v>601.79999999999995</v>
      </c>
      <c r="D55" s="116">
        <v>595.25</v>
      </c>
      <c r="E55" s="116">
        <v>610.625</v>
      </c>
      <c r="F55" s="116">
        <v>1203.5999999999999</v>
      </c>
      <c r="G55">
        <v>205017</v>
      </c>
      <c r="H55" s="116"/>
      <c r="I55" s="116"/>
      <c r="L55" s="170">
        <v>42080</v>
      </c>
      <c r="M55" s="116">
        <v>601.95000000000005</v>
      </c>
      <c r="N55" s="116">
        <v>631.6</v>
      </c>
      <c r="O55" s="116">
        <v>594.375</v>
      </c>
      <c r="P55" s="116">
        <v>610</v>
      </c>
      <c r="Q55" s="116">
        <v>1203.9000000000001</v>
      </c>
      <c r="R55">
        <v>833941</v>
      </c>
    </row>
    <row r="56" spans="1:18" x14ac:dyDescent="0.25">
      <c r="A56" s="170">
        <v>42081</v>
      </c>
      <c r="B56" s="116">
        <v>614.85</v>
      </c>
      <c r="C56" s="116">
        <v>606.25</v>
      </c>
      <c r="D56" s="116">
        <v>595.125</v>
      </c>
      <c r="E56" s="116">
        <v>604.5</v>
      </c>
      <c r="F56" s="116">
        <v>1212.5</v>
      </c>
      <c r="G56">
        <v>148962</v>
      </c>
      <c r="H56" s="116"/>
      <c r="I56" s="116"/>
      <c r="L56" s="170">
        <v>42081</v>
      </c>
      <c r="M56" s="116">
        <v>605.07500000000005</v>
      </c>
      <c r="N56" s="116">
        <v>614.20000000000005</v>
      </c>
      <c r="O56" s="116">
        <v>592.625</v>
      </c>
      <c r="P56" s="116">
        <v>604.45000000000005</v>
      </c>
      <c r="Q56" s="116">
        <v>1210.1500000000001</v>
      </c>
      <c r="R56">
        <v>589346</v>
      </c>
    </row>
    <row r="57" spans="1:18" x14ac:dyDescent="0.25">
      <c r="A57" s="170">
        <v>42082</v>
      </c>
      <c r="B57" s="116">
        <v>625</v>
      </c>
      <c r="C57" s="116">
        <v>600.72500000000002</v>
      </c>
      <c r="D57" s="116">
        <v>593.52499999999998</v>
      </c>
      <c r="E57" s="116">
        <v>610.02499999999998</v>
      </c>
      <c r="F57" s="116">
        <v>1201.45</v>
      </c>
      <c r="G57">
        <v>138834</v>
      </c>
      <c r="H57" s="116"/>
      <c r="I57" s="116"/>
      <c r="L57" s="170">
        <v>42082</v>
      </c>
      <c r="M57" s="116">
        <v>599</v>
      </c>
      <c r="N57" s="116">
        <v>624.97500000000002</v>
      </c>
      <c r="O57" s="116">
        <v>592</v>
      </c>
      <c r="P57" s="116">
        <v>610.54999999999995</v>
      </c>
      <c r="Q57" s="116">
        <v>1198</v>
      </c>
      <c r="R57">
        <v>537460</v>
      </c>
    </row>
    <row r="58" spans="1:18" x14ac:dyDescent="0.25">
      <c r="A58" s="170">
        <v>42083</v>
      </c>
      <c r="B58" s="116">
        <v>604.5</v>
      </c>
      <c r="C58" s="116">
        <v>549.15</v>
      </c>
      <c r="D58" s="116">
        <v>544.07500000000005</v>
      </c>
      <c r="E58" s="116">
        <v>603.35</v>
      </c>
      <c r="F58" s="116">
        <v>1098.3</v>
      </c>
      <c r="G58">
        <v>152467</v>
      </c>
      <c r="H58" s="116"/>
      <c r="I58" s="116"/>
      <c r="L58" s="170">
        <v>42083</v>
      </c>
      <c r="M58" s="116">
        <v>546</v>
      </c>
      <c r="N58" s="116">
        <v>604.47500000000002</v>
      </c>
      <c r="O58" s="116">
        <v>541.125</v>
      </c>
      <c r="P58" s="116">
        <v>600.5</v>
      </c>
      <c r="Q58" s="116">
        <v>1092</v>
      </c>
      <c r="R58">
        <v>633138</v>
      </c>
    </row>
    <row r="59" spans="1:18" x14ac:dyDescent="0.25">
      <c r="A59" s="170">
        <v>42086</v>
      </c>
      <c r="B59" s="116">
        <v>568.4</v>
      </c>
      <c r="C59" s="116">
        <v>552.5</v>
      </c>
      <c r="D59" s="116">
        <v>527</v>
      </c>
      <c r="E59" s="116">
        <v>550</v>
      </c>
      <c r="F59" s="116">
        <v>1105</v>
      </c>
      <c r="G59">
        <v>254349</v>
      </c>
      <c r="H59" s="116"/>
      <c r="I59" s="116"/>
      <c r="L59" s="170">
        <v>42086</v>
      </c>
      <c r="M59" s="116">
        <v>552.6</v>
      </c>
      <c r="N59" s="116">
        <v>569</v>
      </c>
      <c r="O59" s="116">
        <v>526.70000000000005</v>
      </c>
      <c r="P59" s="116">
        <v>552.45000000000005</v>
      </c>
      <c r="Q59" s="116">
        <v>1105.2</v>
      </c>
      <c r="R59">
        <v>814656</v>
      </c>
    </row>
    <row r="60" spans="1:18" x14ac:dyDescent="0.25">
      <c r="A60" s="170">
        <v>42087</v>
      </c>
      <c r="B60" s="116">
        <v>568</v>
      </c>
      <c r="C60" s="116">
        <v>552.1</v>
      </c>
      <c r="D60" s="116">
        <v>545.82500000000005</v>
      </c>
      <c r="E60" s="116">
        <v>548.5</v>
      </c>
      <c r="F60" s="116">
        <v>1104.2</v>
      </c>
      <c r="G60">
        <v>152187</v>
      </c>
      <c r="H60" s="116"/>
      <c r="I60" s="116"/>
      <c r="L60" s="170">
        <v>42087</v>
      </c>
      <c r="M60" s="116">
        <v>551.07500000000005</v>
      </c>
      <c r="N60" s="116">
        <v>568.4</v>
      </c>
      <c r="O60" s="116">
        <v>546.04999999999995</v>
      </c>
      <c r="P60" s="116">
        <v>555</v>
      </c>
      <c r="Q60" s="116">
        <v>1102.1500000000001</v>
      </c>
      <c r="R60">
        <v>515006</v>
      </c>
    </row>
    <row r="61" spans="1:18" x14ac:dyDescent="0.25">
      <c r="A61" s="170">
        <v>42088</v>
      </c>
      <c r="B61" s="116">
        <v>559.5</v>
      </c>
      <c r="C61" s="116">
        <v>538.04999999999995</v>
      </c>
      <c r="D61" s="116">
        <v>534.70000000000005</v>
      </c>
      <c r="E61" s="116">
        <v>555</v>
      </c>
      <c r="F61" s="116">
        <v>1076.0999999999999</v>
      </c>
      <c r="G61">
        <v>107020</v>
      </c>
      <c r="H61" s="116"/>
      <c r="I61" s="116"/>
      <c r="L61" s="170">
        <v>42088</v>
      </c>
      <c r="M61" s="116">
        <v>538.65</v>
      </c>
      <c r="N61" s="116">
        <v>559</v>
      </c>
      <c r="O61" s="116">
        <v>533.29999999999995</v>
      </c>
      <c r="P61" s="116">
        <v>553.95000000000005</v>
      </c>
      <c r="Q61" s="116">
        <v>1077.3</v>
      </c>
      <c r="R61">
        <v>342485</v>
      </c>
    </row>
    <row r="62" spans="1:18" x14ac:dyDescent="0.25">
      <c r="A62" s="170">
        <v>42089</v>
      </c>
      <c r="B62" s="116">
        <v>538.92499999999995</v>
      </c>
      <c r="C62" s="116">
        <v>525.25</v>
      </c>
      <c r="D62" s="116">
        <v>520</v>
      </c>
      <c r="E62" s="116">
        <v>535</v>
      </c>
      <c r="F62" s="116">
        <v>1050.5</v>
      </c>
      <c r="G62">
        <v>100999</v>
      </c>
      <c r="H62" s="116"/>
      <c r="I62" s="116"/>
      <c r="L62" s="170">
        <v>42089</v>
      </c>
      <c r="M62" s="116">
        <v>524.27499999999998</v>
      </c>
      <c r="N62" s="116">
        <v>538.45000000000005</v>
      </c>
      <c r="O62" s="116">
        <v>518.1</v>
      </c>
      <c r="P62" s="116">
        <v>535</v>
      </c>
      <c r="Q62" s="116">
        <v>1048.55</v>
      </c>
      <c r="R62">
        <v>336091</v>
      </c>
    </row>
    <row r="63" spans="1:18" x14ac:dyDescent="0.25">
      <c r="A63" s="170">
        <v>42090</v>
      </c>
      <c r="B63" s="116">
        <v>567.42499999999995</v>
      </c>
      <c r="C63" s="116">
        <v>562.75</v>
      </c>
      <c r="D63" s="116">
        <v>525.5</v>
      </c>
      <c r="E63" s="116">
        <v>525.5</v>
      </c>
      <c r="F63" s="116">
        <v>1125.5</v>
      </c>
      <c r="G63">
        <v>329694</v>
      </c>
      <c r="H63" s="116"/>
      <c r="I63" s="116"/>
      <c r="L63" s="170">
        <v>42090</v>
      </c>
      <c r="M63" s="116">
        <v>562.79999999999995</v>
      </c>
      <c r="N63" s="116">
        <v>567.5</v>
      </c>
      <c r="O63" s="116">
        <v>530</v>
      </c>
      <c r="P63" s="116">
        <v>530</v>
      </c>
      <c r="Q63" s="116">
        <v>1125.5999999999999</v>
      </c>
      <c r="R63">
        <v>1116121</v>
      </c>
    </row>
    <row r="64" spans="1:18" x14ac:dyDescent="0.25">
      <c r="A64" s="170">
        <v>42093</v>
      </c>
      <c r="B64" s="116">
        <v>595.79999999999995</v>
      </c>
      <c r="C64" s="116">
        <v>588.77499999999998</v>
      </c>
      <c r="D64" s="116">
        <v>570</v>
      </c>
      <c r="E64" s="116">
        <v>570</v>
      </c>
      <c r="F64" s="116">
        <v>1177.55</v>
      </c>
      <c r="G64">
        <v>189052</v>
      </c>
      <c r="H64" s="116"/>
      <c r="I64" s="116"/>
      <c r="L64" s="170">
        <v>42093</v>
      </c>
      <c r="M64" s="116">
        <v>588.1</v>
      </c>
      <c r="N64" s="116">
        <v>594.5</v>
      </c>
      <c r="O64" s="116">
        <v>569.9</v>
      </c>
      <c r="P64" s="116">
        <v>569.9</v>
      </c>
      <c r="Q64" s="116">
        <v>1176.2</v>
      </c>
      <c r="R64">
        <v>669916</v>
      </c>
    </row>
    <row r="65" spans="1:18" x14ac:dyDescent="0.25">
      <c r="A65" s="170">
        <v>42094</v>
      </c>
      <c r="B65" s="116">
        <v>593.29999999999995</v>
      </c>
      <c r="C65" s="116">
        <v>579.07500000000005</v>
      </c>
      <c r="D65" s="116">
        <v>571.29999999999995</v>
      </c>
      <c r="E65" s="116">
        <v>590.125</v>
      </c>
      <c r="F65" s="116">
        <v>1158.1500000000001</v>
      </c>
      <c r="G65">
        <v>129636</v>
      </c>
      <c r="H65" s="116"/>
      <c r="I65" s="116"/>
      <c r="L65" s="170">
        <v>42094</v>
      </c>
      <c r="M65" s="116">
        <v>578.625</v>
      </c>
      <c r="N65" s="116">
        <v>591.9</v>
      </c>
      <c r="O65" s="116">
        <v>570.04999999999995</v>
      </c>
      <c r="P65" s="116">
        <v>589.5</v>
      </c>
      <c r="Q65" s="116">
        <v>1157.25</v>
      </c>
      <c r="R65">
        <v>453817</v>
      </c>
    </row>
    <row r="66" spans="1:18" x14ac:dyDescent="0.25">
      <c r="A66" s="170">
        <v>42095</v>
      </c>
      <c r="B66" s="116">
        <v>636.97500000000002</v>
      </c>
      <c r="C66" s="116">
        <v>636.97500000000002</v>
      </c>
      <c r="D66" s="116">
        <v>569.02499999999998</v>
      </c>
      <c r="E66" s="116">
        <v>583</v>
      </c>
      <c r="F66" s="116">
        <v>1273.95</v>
      </c>
      <c r="G66">
        <v>305946</v>
      </c>
      <c r="H66" s="116"/>
      <c r="I66" s="116"/>
      <c r="L66" s="170">
        <v>42095</v>
      </c>
      <c r="M66" s="116">
        <v>636.47500000000002</v>
      </c>
      <c r="N66" s="116">
        <v>636.47500000000002</v>
      </c>
      <c r="O66" s="116">
        <v>568.52499999999998</v>
      </c>
      <c r="P66" s="116">
        <v>580.85</v>
      </c>
      <c r="Q66" s="116">
        <v>1272.95</v>
      </c>
      <c r="R66">
        <v>1130443</v>
      </c>
    </row>
    <row r="67" spans="1:18" x14ac:dyDescent="0.25">
      <c r="A67" s="170">
        <v>42100</v>
      </c>
      <c r="B67" s="116">
        <v>662</v>
      </c>
      <c r="C67" s="116">
        <v>646.97500000000002</v>
      </c>
      <c r="D67" s="116">
        <v>631</v>
      </c>
      <c r="E67" s="116">
        <v>644.5</v>
      </c>
      <c r="F67" s="116">
        <v>1293.95</v>
      </c>
      <c r="G67">
        <v>317448</v>
      </c>
      <c r="H67" s="116"/>
      <c r="I67" s="116"/>
      <c r="L67" s="170">
        <v>42100</v>
      </c>
      <c r="M67" s="116">
        <v>648.02499999999998</v>
      </c>
      <c r="N67" s="116">
        <v>662</v>
      </c>
      <c r="O67" s="116">
        <v>630.52499999999998</v>
      </c>
      <c r="P67" s="116">
        <v>644</v>
      </c>
      <c r="Q67" s="116">
        <v>1296.05</v>
      </c>
      <c r="R67">
        <v>1248844</v>
      </c>
    </row>
    <row r="68" spans="1:18" x14ac:dyDescent="0.25">
      <c r="A68" s="170">
        <v>42101</v>
      </c>
      <c r="B68" s="116">
        <v>664.4</v>
      </c>
      <c r="C68" s="116">
        <v>651.57500000000005</v>
      </c>
      <c r="D68" s="116">
        <v>642.6</v>
      </c>
      <c r="E68" s="116">
        <v>652</v>
      </c>
      <c r="F68" s="116">
        <v>1303.1500000000001</v>
      </c>
      <c r="G68">
        <v>274799</v>
      </c>
      <c r="H68" s="116"/>
      <c r="I68" s="116"/>
      <c r="L68" s="170">
        <v>42101</v>
      </c>
      <c r="M68" s="116">
        <v>653.57500000000005</v>
      </c>
      <c r="N68" s="116">
        <v>664.4</v>
      </c>
      <c r="O68" s="116">
        <v>643.25</v>
      </c>
      <c r="P68" s="116">
        <v>651</v>
      </c>
      <c r="Q68" s="116">
        <v>1307.1500000000001</v>
      </c>
      <c r="R68">
        <v>798041</v>
      </c>
    </row>
    <row r="69" spans="1:18" x14ac:dyDescent="0.25">
      <c r="A69" s="170">
        <v>42102</v>
      </c>
      <c r="B69" s="116">
        <v>702.95</v>
      </c>
      <c r="C69" s="116">
        <v>680.92499999999995</v>
      </c>
      <c r="D69" s="116">
        <v>652.5</v>
      </c>
      <c r="E69" s="116">
        <v>654.5</v>
      </c>
      <c r="F69" s="116">
        <v>1361.85</v>
      </c>
      <c r="G69">
        <v>468262</v>
      </c>
      <c r="H69" s="116"/>
      <c r="I69" s="116"/>
      <c r="L69" s="170">
        <v>42102</v>
      </c>
      <c r="M69" s="116">
        <v>681.07500000000005</v>
      </c>
      <c r="N69" s="116">
        <v>702.5</v>
      </c>
      <c r="O69" s="116">
        <v>652.5</v>
      </c>
      <c r="P69" s="116">
        <v>654</v>
      </c>
      <c r="Q69" s="116">
        <v>1362.15</v>
      </c>
      <c r="R69">
        <v>1655510</v>
      </c>
    </row>
    <row r="70" spans="1:18" x14ac:dyDescent="0.25">
      <c r="A70" s="170">
        <v>42103</v>
      </c>
      <c r="B70" s="116">
        <v>694.1</v>
      </c>
      <c r="C70" s="116">
        <v>668.92499999999995</v>
      </c>
      <c r="D70" s="116">
        <v>651.5</v>
      </c>
      <c r="E70" s="116">
        <v>687.35</v>
      </c>
      <c r="F70" s="116">
        <v>1337.85</v>
      </c>
      <c r="G70">
        <v>195296</v>
      </c>
      <c r="H70" s="116"/>
      <c r="I70" s="116"/>
      <c r="L70" s="170">
        <v>42103</v>
      </c>
      <c r="M70" s="116">
        <v>670</v>
      </c>
      <c r="N70" s="116">
        <v>693.97500000000002</v>
      </c>
      <c r="O70" s="116">
        <v>650.79999999999995</v>
      </c>
      <c r="P70" s="116">
        <v>685.8</v>
      </c>
      <c r="Q70" s="116">
        <v>1340</v>
      </c>
      <c r="R70">
        <v>722241</v>
      </c>
    </row>
    <row r="71" spans="1:18" x14ac:dyDescent="0.25">
      <c r="A71" s="170">
        <v>42104</v>
      </c>
      <c r="B71" s="116">
        <v>682.5</v>
      </c>
      <c r="C71" s="116">
        <v>663.17499999999995</v>
      </c>
      <c r="D71" s="116">
        <v>653.5</v>
      </c>
      <c r="E71" s="116">
        <v>663.75</v>
      </c>
      <c r="F71" s="116">
        <v>1326.35</v>
      </c>
      <c r="G71">
        <v>192089</v>
      </c>
      <c r="H71" s="116"/>
      <c r="I71" s="116"/>
      <c r="L71" s="170">
        <v>42104</v>
      </c>
      <c r="M71" s="116">
        <v>665.27499999999998</v>
      </c>
      <c r="N71" s="116">
        <v>682.5</v>
      </c>
      <c r="O71" s="116">
        <v>652</v>
      </c>
      <c r="P71" s="116">
        <v>669.5</v>
      </c>
      <c r="Q71" s="116">
        <v>1330.55</v>
      </c>
      <c r="R71">
        <v>577795</v>
      </c>
    </row>
    <row r="72" spans="1:18" x14ac:dyDescent="0.25">
      <c r="A72" s="170">
        <v>42107</v>
      </c>
      <c r="B72" s="116">
        <v>679</v>
      </c>
      <c r="C72" s="116">
        <v>661.6</v>
      </c>
      <c r="D72" s="116">
        <v>657.5</v>
      </c>
      <c r="E72" s="116">
        <v>665</v>
      </c>
      <c r="F72" s="116">
        <v>1323.2</v>
      </c>
      <c r="G72">
        <v>152790</v>
      </c>
      <c r="H72" s="116"/>
      <c r="I72" s="116"/>
      <c r="L72" s="170">
        <v>42107</v>
      </c>
      <c r="M72" s="116">
        <v>661.65</v>
      </c>
      <c r="N72" s="116">
        <v>678.5</v>
      </c>
      <c r="O72" s="116">
        <v>655.77499999999998</v>
      </c>
      <c r="P72" s="116">
        <v>666.1</v>
      </c>
      <c r="Q72" s="116">
        <v>1323.3</v>
      </c>
      <c r="R72">
        <v>434932</v>
      </c>
    </row>
    <row r="73" spans="1:18" x14ac:dyDescent="0.25">
      <c r="A73" s="170">
        <v>42109</v>
      </c>
      <c r="B73" s="116">
        <v>675.75</v>
      </c>
      <c r="C73" s="116">
        <v>652.75</v>
      </c>
      <c r="D73" s="116">
        <v>645</v>
      </c>
      <c r="E73" s="116">
        <v>662.5</v>
      </c>
      <c r="F73" s="116">
        <v>1305.5</v>
      </c>
      <c r="G73">
        <v>151273</v>
      </c>
      <c r="H73" s="116"/>
      <c r="I73" s="116"/>
      <c r="L73" s="170">
        <v>42109</v>
      </c>
      <c r="M73" s="116">
        <v>652</v>
      </c>
      <c r="N73" s="116">
        <v>675</v>
      </c>
      <c r="O73" s="116">
        <v>642.82500000000005</v>
      </c>
      <c r="P73" s="116">
        <v>664.15</v>
      </c>
      <c r="Q73" s="116">
        <v>1304</v>
      </c>
      <c r="R73">
        <v>474161</v>
      </c>
    </row>
    <row r="74" spans="1:18" x14ac:dyDescent="0.25">
      <c r="A74" s="170">
        <v>42110</v>
      </c>
      <c r="B74" s="116">
        <v>674.85</v>
      </c>
      <c r="C74" s="116">
        <v>659.5</v>
      </c>
      <c r="D74" s="116">
        <v>645.82500000000005</v>
      </c>
      <c r="E74" s="116">
        <v>654.04999999999995</v>
      </c>
      <c r="F74" s="116">
        <v>1319</v>
      </c>
      <c r="G74">
        <v>253270</v>
      </c>
      <c r="H74" s="116"/>
      <c r="I74" s="116"/>
      <c r="L74" s="170">
        <v>42110</v>
      </c>
      <c r="M74" s="116">
        <v>659.55</v>
      </c>
      <c r="N74" s="116">
        <v>675</v>
      </c>
      <c r="O74" s="116">
        <v>644.82500000000005</v>
      </c>
      <c r="P74" s="116">
        <v>654.15</v>
      </c>
      <c r="Q74" s="116">
        <v>1319.1</v>
      </c>
      <c r="R74">
        <v>870957</v>
      </c>
    </row>
    <row r="75" spans="1:18" x14ac:dyDescent="0.25">
      <c r="A75" s="170">
        <v>42111</v>
      </c>
      <c r="B75" s="116">
        <v>664.3</v>
      </c>
      <c r="C75" s="116">
        <v>632.32500000000005</v>
      </c>
      <c r="D75" s="116">
        <v>628.15</v>
      </c>
      <c r="E75" s="116">
        <v>660.5</v>
      </c>
      <c r="F75" s="116">
        <v>1264.6500000000001</v>
      </c>
      <c r="G75">
        <v>127971</v>
      </c>
      <c r="H75" s="116"/>
      <c r="I75" s="116"/>
      <c r="L75" s="170">
        <v>42111</v>
      </c>
      <c r="M75" s="116">
        <v>633.02499999999998</v>
      </c>
      <c r="N75" s="116">
        <v>664.4</v>
      </c>
      <c r="O75" s="116">
        <v>629</v>
      </c>
      <c r="P75" s="116">
        <v>659.5</v>
      </c>
      <c r="Q75" s="116">
        <v>1266.05</v>
      </c>
      <c r="R75">
        <v>380679</v>
      </c>
    </row>
    <row r="76" spans="1:18" x14ac:dyDescent="0.25">
      <c r="A76" s="170">
        <v>42114</v>
      </c>
      <c r="B76" s="116">
        <v>637.5</v>
      </c>
      <c r="C76" s="116">
        <v>576.02499999999998</v>
      </c>
      <c r="D76" s="116">
        <v>565.27499999999998</v>
      </c>
      <c r="E76" s="116">
        <v>633.52499999999998</v>
      </c>
      <c r="F76" s="116">
        <v>1152.05</v>
      </c>
      <c r="G76">
        <v>255315</v>
      </c>
      <c r="H76" s="116"/>
      <c r="I76" s="116"/>
      <c r="L76" s="170">
        <v>42114</v>
      </c>
      <c r="M76" s="116">
        <v>576.375</v>
      </c>
      <c r="N76" s="116">
        <v>637.4</v>
      </c>
      <c r="O76" s="116">
        <v>565</v>
      </c>
      <c r="P76" s="116">
        <v>633.4</v>
      </c>
      <c r="Q76" s="116">
        <v>1152.75</v>
      </c>
      <c r="R76">
        <v>815256</v>
      </c>
    </row>
    <row r="77" spans="1:18" x14ac:dyDescent="0.25">
      <c r="A77" s="170">
        <v>42115</v>
      </c>
      <c r="B77" s="116">
        <v>593.5</v>
      </c>
      <c r="C77" s="116">
        <v>567.29999999999995</v>
      </c>
      <c r="D77" s="116">
        <v>552.5</v>
      </c>
      <c r="E77" s="116">
        <v>576.75</v>
      </c>
      <c r="F77" s="116">
        <v>1134.5999999999999</v>
      </c>
      <c r="G77">
        <v>251190</v>
      </c>
      <c r="H77" s="116"/>
      <c r="I77" s="116"/>
      <c r="L77" s="170">
        <v>42115</v>
      </c>
      <c r="M77" s="116">
        <v>565.125</v>
      </c>
      <c r="N77" s="116">
        <v>593</v>
      </c>
      <c r="O77" s="116">
        <v>552.04999999999995</v>
      </c>
      <c r="P77" s="116">
        <v>578.15</v>
      </c>
      <c r="Q77" s="116">
        <v>1130.25</v>
      </c>
      <c r="R77">
        <v>741707</v>
      </c>
    </row>
    <row r="78" spans="1:18" x14ac:dyDescent="0.25">
      <c r="A78" s="170">
        <v>42116</v>
      </c>
      <c r="B78" s="116">
        <v>586.95000000000005</v>
      </c>
      <c r="C78" s="116">
        <v>577.92499999999995</v>
      </c>
      <c r="D78" s="116">
        <v>557.625</v>
      </c>
      <c r="E78" s="116">
        <v>569.02499999999998</v>
      </c>
      <c r="F78" s="116">
        <v>1155.8499999999999</v>
      </c>
      <c r="G78">
        <v>154287</v>
      </c>
      <c r="H78" s="116"/>
      <c r="I78" s="116"/>
      <c r="L78" s="170">
        <v>42116</v>
      </c>
      <c r="M78" s="116">
        <v>578.20000000000005</v>
      </c>
      <c r="N78" s="116">
        <v>587</v>
      </c>
      <c r="O78" s="116">
        <v>558.47500000000002</v>
      </c>
      <c r="P78" s="116">
        <v>572</v>
      </c>
      <c r="Q78" s="116">
        <v>1156.4000000000001</v>
      </c>
      <c r="R78">
        <v>463018</v>
      </c>
    </row>
    <row r="79" spans="1:18" x14ac:dyDescent="0.25">
      <c r="A79" s="170">
        <v>42117</v>
      </c>
      <c r="B79" s="116">
        <v>585.54999999999995</v>
      </c>
      <c r="C79" s="116">
        <v>560.35</v>
      </c>
      <c r="D79" s="116">
        <v>556.5</v>
      </c>
      <c r="E79" s="116">
        <v>583</v>
      </c>
      <c r="F79" s="116">
        <v>1120.7</v>
      </c>
      <c r="G79">
        <v>112801</v>
      </c>
      <c r="H79" s="116"/>
      <c r="I79" s="116"/>
      <c r="L79" s="170">
        <v>42117</v>
      </c>
      <c r="M79" s="116">
        <v>560.9</v>
      </c>
      <c r="N79" s="116">
        <v>586</v>
      </c>
      <c r="O79" s="116">
        <v>557.5</v>
      </c>
      <c r="P79" s="116">
        <v>583.4</v>
      </c>
      <c r="Q79" s="116">
        <v>1121.8</v>
      </c>
      <c r="R79">
        <v>346209</v>
      </c>
    </row>
    <row r="80" spans="1:18" x14ac:dyDescent="0.25">
      <c r="A80" s="170">
        <v>42118</v>
      </c>
      <c r="B80" s="116">
        <v>566.5</v>
      </c>
      <c r="C80" s="116">
        <v>528.1</v>
      </c>
      <c r="D80" s="116">
        <v>522.625</v>
      </c>
      <c r="E80" s="116">
        <v>563.45000000000005</v>
      </c>
      <c r="F80" s="116">
        <v>1056.2</v>
      </c>
      <c r="G80">
        <v>134789</v>
      </c>
      <c r="H80" s="116"/>
      <c r="I80" s="116"/>
      <c r="L80" s="170">
        <v>42118</v>
      </c>
      <c r="M80" s="116">
        <v>527.42499999999995</v>
      </c>
      <c r="N80" s="116">
        <v>565</v>
      </c>
      <c r="O80" s="116">
        <v>523.20000000000005</v>
      </c>
      <c r="P80" s="116">
        <v>561.97500000000002</v>
      </c>
      <c r="Q80" s="116">
        <v>1054.8499999999999</v>
      </c>
      <c r="R80">
        <v>477219</v>
      </c>
    </row>
    <row r="81" spans="1:18" x14ac:dyDescent="0.25">
      <c r="A81" s="170">
        <v>42121</v>
      </c>
      <c r="B81" s="116">
        <v>534.375</v>
      </c>
      <c r="C81" s="116">
        <v>501.5</v>
      </c>
      <c r="D81" s="116">
        <v>489</v>
      </c>
      <c r="E81" s="116">
        <v>532.45000000000005</v>
      </c>
      <c r="F81" s="116">
        <v>1003</v>
      </c>
      <c r="G81">
        <v>182018</v>
      </c>
      <c r="H81" s="116"/>
      <c r="I81" s="116"/>
      <c r="L81" s="170">
        <v>42121</v>
      </c>
      <c r="M81" s="116">
        <v>501.875</v>
      </c>
      <c r="N81" s="116">
        <v>533.97500000000002</v>
      </c>
      <c r="O81" s="116">
        <v>487.5</v>
      </c>
      <c r="P81" s="116">
        <v>530.45000000000005</v>
      </c>
      <c r="Q81" s="116">
        <v>1003.75</v>
      </c>
      <c r="R81">
        <v>608646</v>
      </c>
    </row>
    <row r="82" spans="1:18" x14ac:dyDescent="0.25">
      <c r="A82" s="170">
        <v>42122</v>
      </c>
      <c r="B82" s="116">
        <v>572.15</v>
      </c>
      <c r="C82" s="116">
        <v>549.04999999999995</v>
      </c>
      <c r="D82" s="116">
        <v>507</v>
      </c>
      <c r="E82" s="116">
        <v>507</v>
      </c>
      <c r="F82" s="116">
        <v>1098.0999999999999</v>
      </c>
      <c r="G82">
        <v>364007</v>
      </c>
      <c r="H82" s="116"/>
      <c r="I82" s="116"/>
      <c r="L82" s="170">
        <v>42122</v>
      </c>
      <c r="M82" s="116">
        <v>550.27499999999998</v>
      </c>
      <c r="N82" s="116">
        <v>573.35</v>
      </c>
      <c r="O82" s="116">
        <v>505</v>
      </c>
      <c r="P82" s="116">
        <v>505</v>
      </c>
      <c r="Q82" s="116">
        <v>1100.55</v>
      </c>
      <c r="R82">
        <v>1335684</v>
      </c>
    </row>
    <row r="83" spans="1:18" x14ac:dyDescent="0.25">
      <c r="A83" s="170">
        <v>42123</v>
      </c>
      <c r="B83" s="116">
        <v>590</v>
      </c>
      <c r="C83" s="116">
        <v>566.9</v>
      </c>
      <c r="D83" s="116">
        <v>550.35</v>
      </c>
      <c r="E83" s="116">
        <v>558.4</v>
      </c>
      <c r="F83" s="116">
        <v>1133.8</v>
      </c>
      <c r="G83">
        <v>287761</v>
      </c>
      <c r="H83" s="116"/>
      <c r="I83" s="116"/>
      <c r="L83" s="170">
        <v>42123</v>
      </c>
      <c r="M83" s="116">
        <v>567.79999999999995</v>
      </c>
      <c r="N83" s="116">
        <v>591</v>
      </c>
      <c r="O83" s="116">
        <v>550.25</v>
      </c>
      <c r="P83" s="116">
        <v>555.65</v>
      </c>
      <c r="Q83" s="116">
        <v>1135.5999999999999</v>
      </c>
      <c r="R83">
        <v>1272041</v>
      </c>
    </row>
    <row r="84" spans="1:18" x14ac:dyDescent="0.25">
      <c r="A84" s="170">
        <v>42124</v>
      </c>
      <c r="B84" s="116">
        <v>569.95000000000005</v>
      </c>
      <c r="C84" s="116">
        <v>554.875</v>
      </c>
      <c r="D84" s="116">
        <v>550</v>
      </c>
      <c r="E84" s="116">
        <v>569.95000000000005</v>
      </c>
      <c r="F84" s="116">
        <v>1109.75</v>
      </c>
      <c r="G84">
        <v>115887</v>
      </c>
      <c r="H84" s="116"/>
      <c r="I84" s="116"/>
      <c r="L84" s="170">
        <v>42124</v>
      </c>
      <c r="M84" s="116">
        <v>554.02499999999998</v>
      </c>
      <c r="N84" s="116">
        <v>568.42499999999995</v>
      </c>
      <c r="O84" s="116">
        <v>548</v>
      </c>
      <c r="P84" s="116">
        <v>567</v>
      </c>
      <c r="Q84" s="116">
        <v>1108.05</v>
      </c>
      <c r="R84">
        <v>405890</v>
      </c>
    </row>
    <row r="85" spans="1:18" x14ac:dyDescent="0.25">
      <c r="A85" s="170">
        <v>42128</v>
      </c>
      <c r="B85" s="116">
        <v>581.625</v>
      </c>
      <c r="C85" s="116">
        <v>573.77499999999998</v>
      </c>
      <c r="D85" s="116">
        <v>555</v>
      </c>
      <c r="E85" s="116">
        <v>555</v>
      </c>
      <c r="F85" s="116">
        <v>1147.55</v>
      </c>
      <c r="G85">
        <v>126633</v>
      </c>
      <c r="H85" s="116"/>
      <c r="I85" s="116"/>
      <c r="L85" s="170">
        <v>42128</v>
      </c>
      <c r="M85" s="116">
        <v>574.4</v>
      </c>
      <c r="N85" s="116">
        <v>581.5</v>
      </c>
      <c r="O85" s="116">
        <v>557.5</v>
      </c>
      <c r="P85" s="116">
        <v>557.95000000000005</v>
      </c>
      <c r="Q85" s="116">
        <v>1148.8</v>
      </c>
      <c r="R85">
        <v>489110</v>
      </c>
    </row>
    <row r="86" spans="1:18" x14ac:dyDescent="0.25">
      <c r="A86" s="170">
        <v>42129</v>
      </c>
      <c r="B86" s="116">
        <v>606.67499999999995</v>
      </c>
      <c r="C86" s="116">
        <v>593.95000000000005</v>
      </c>
      <c r="D86" s="116">
        <v>574.5</v>
      </c>
      <c r="E86" s="116">
        <v>578.72500000000002</v>
      </c>
      <c r="F86" s="116">
        <v>1187.9000000000001</v>
      </c>
      <c r="G86">
        <v>206636</v>
      </c>
      <c r="H86" s="116"/>
      <c r="I86" s="116"/>
      <c r="L86" s="170">
        <v>42129</v>
      </c>
      <c r="M86" s="116">
        <v>594.15</v>
      </c>
      <c r="N86" s="116">
        <v>606.42499999999995</v>
      </c>
      <c r="O86" s="116">
        <v>574.4</v>
      </c>
      <c r="P86" s="116">
        <v>574.85</v>
      </c>
      <c r="Q86" s="116">
        <v>1188.3</v>
      </c>
      <c r="R86">
        <v>977854</v>
      </c>
    </row>
    <row r="87" spans="1:18" x14ac:dyDescent="0.25">
      <c r="A87" s="170">
        <v>42130</v>
      </c>
      <c r="B87" s="116">
        <v>592.5</v>
      </c>
      <c r="C87" s="116">
        <v>555.85</v>
      </c>
      <c r="D87" s="116">
        <v>552.5</v>
      </c>
      <c r="E87" s="116">
        <v>592.45000000000005</v>
      </c>
      <c r="F87" s="116">
        <v>1111.7</v>
      </c>
      <c r="G87">
        <v>149641</v>
      </c>
      <c r="H87" s="116"/>
      <c r="I87" s="116"/>
      <c r="L87" s="170">
        <v>42130</v>
      </c>
      <c r="M87" s="116">
        <v>554.875</v>
      </c>
      <c r="N87" s="116">
        <v>592.4</v>
      </c>
      <c r="O87" s="116">
        <v>551.29999999999995</v>
      </c>
      <c r="P87" s="116">
        <v>591.29999999999995</v>
      </c>
      <c r="Q87" s="116">
        <v>1109.75</v>
      </c>
      <c r="R87">
        <v>608457</v>
      </c>
    </row>
    <row r="88" spans="1:18" x14ac:dyDescent="0.25">
      <c r="A88" s="170">
        <v>42131</v>
      </c>
      <c r="B88" s="116">
        <v>564.29999999999995</v>
      </c>
      <c r="C88" s="116">
        <v>540.57500000000005</v>
      </c>
      <c r="D88" s="116">
        <v>532</v>
      </c>
      <c r="E88" s="116">
        <v>557.5</v>
      </c>
      <c r="F88" s="116">
        <v>1081.1500000000001</v>
      </c>
      <c r="G88">
        <v>155227</v>
      </c>
      <c r="H88" s="116"/>
      <c r="I88" s="116"/>
      <c r="L88" s="170">
        <v>42131</v>
      </c>
      <c r="M88" s="116">
        <v>540.42499999999995</v>
      </c>
      <c r="N88" s="116">
        <v>564</v>
      </c>
      <c r="O88" s="116">
        <v>531.54999999999995</v>
      </c>
      <c r="P88" s="116">
        <v>553.25</v>
      </c>
      <c r="Q88" s="116">
        <v>1080.8499999999999</v>
      </c>
      <c r="R88">
        <v>542291</v>
      </c>
    </row>
    <row r="89" spans="1:18" x14ac:dyDescent="0.25">
      <c r="A89" s="170">
        <v>42132</v>
      </c>
      <c r="B89" s="116">
        <v>570.97500000000002</v>
      </c>
      <c r="C89" s="116">
        <v>556.42499999999995</v>
      </c>
      <c r="D89" s="116">
        <v>552.22500000000002</v>
      </c>
      <c r="E89" s="116">
        <v>555.6</v>
      </c>
      <c r="F89" s="116">
        <v>1112.8499999999999</v>
      </c>
      <c r="G89">
        <v>95275</v>
      </c>
      <c r="H89" s="116"/>
      <c r="I89" s="116"/>
      <c r="L89" s="170">
        <v>42132</v>
      </c>
      <c r="M89" s="116">
        <v>556.17499999999995</v>
      </c>
      <c r="N89" s="116">
        <v>570.6</v>
      </c>
      <c r="O89" s="116">
        <v>550.95000000000005</v>
      </c>
      <c r="P89" s="116">
        <v>550.95000000000005</v>
      </c>
      <c r="Q89" s="116">
        <v>1112.3499999999999</v>
      </c>
      <c r="R89">
        <v>393977</v>
      </c>
    </row>
    <row r="90" spans="1:18" x14ac:dyDescent="0.25">
      <c r="A90" s="170">
        <v>42135</v>
      </c>
      <c r="B90" s="116">
        <v>577.15</v>
      </c>
      <c r="C90" s="116">
        <v>566.02499999999998</v>
      </c>
      <c r="D90" s="116">
        <v>505.5</v>
      </c>
      <c r="E90" s="116">
        <v>562.5</v>
      </c>
      <c r="F90" s="116">
        <v>1132.05</v>
      </c>
      <c r="G90">
        <v>96258</v>
      </c>
      <c r="H90" s="116"/>
      <c r="I90" s="116"/>
      <c r="L90" s="170">
        <v>42135</v>
      </c>
      <c r="M90" s="116">
        <v>567.47500000000002</v>
      </c>
      <c r="N90" s="116">
        <v>577</v>
      </c>
      <c r="O90" s="116">
        <v>562.5</v>
      </c>
      <c r="P90" s="116">
        <v>562.95000000000005</v>
      </c>
      <c r="Q90" s="116">
        <v>1134.95</v>
      </c>
      <c r="R90">
        <v>332744</v>
      </c>
    </row>
    <row r="91" spans="1:18" x14ac:dyDescent="0.25">
      <c r="A91" s="170">
        <v>42136</v>
      </c>
      <c r="B91" s="116">
        <v>572.5</v>
      </c>
      <c r="C91" s="116">
        <v>557.54999999999995</v>
      </c>
      <c r="D91" s="116">
        <v>552.52499999999998</v>
      </c>
      <c r="E91" s="116">
        <v>569.5</v>
      </c>
      <c r="F91" s="116">
        <v>1115.0999999999999</v>
      </c>
      <c r="G91">
        <v>128357</v>
      </c>
      <c r="H91" s="116"/>
      <c r="I91" s="116"/>
      <c r="L91" s="170">
        <v>42136</v>
      </c>
      <c r="M91" s="116">
        <v>558.625</v>
      </c>
      <c r="N91" s="116">
        <v>572.5</v>
      </c>
      <c r="O91" s="116">
        <v>552.54999999999995</v>
      </c>
      <c r="P91" s="116">
        <v>568.5</v>
      </c>
      <c r="Q91" s="116">
        <v>1117.25</v>
      </c>
      <c r="R91">
        <v>377400</v>
      </c>
    </row>
    <row r="92" spans="1:18" x14ac:dyDescent="0.25">
      <c r="A92" s="170">
        <v>42137</v>
      </c>
      <c r="B92" s="116">
        <v>581.25</v>
      </c>
      <c r="C92" s="116">
        <v>577.1</v>
      </c>
      <c r="D92" s="116">
        <v>562</v>
      </c>
      <c r="E92" s="116">
        <v>565.5</v>
      </c>
      <c r="F92" s="116">
        <v>1154.2</v>
      </c>
      <c r="G92">
        <v>105608</v>
      </c>
      <c r="H92" s="116"/>
      <c r="I92" s="116"/>
      <c r="L92" s="170">
        <v>42137</v>
      </c>
      <c r="M92" s="116">
        <v>576.57500000000005</v>
      </c>
      <c r="N92" s="116">
        <v>580.95000000000005</v>
      </c>
      <c r="O92" s="116">
        <v>562</v>
      </c>
      <c r="P92" s="116">
        <v>562</v>
      </c>
      <c r="Q92" s="116">
        <v>1153.1500000000001</v>
      </c>
      <c r="R92">
        <v>454753</v>
      </c>
    </row>
    <row r="93" spans="1:18" x14ac:dyDescent="0.25">
      <c r="A93" s="170">
        <v>42138</v>
      </c>
      <c r="B93" s="116">
        <v>587.5</v>
      </c>
      <c r="C93" s="116">
        <v>575.25</v>
      </c>
      <c r="D93" s="116">
        <v>565.9</v>
      </c>
      <c r="E93" s="116">
        <v>577.77499999999998</v>
      </c>
      <c r="F93" s="116">
        <v>1150.5</v>
      </c>
      <c r="G93">
        <v>98369</v>
      </c>
      <c r="H93" s="116"/>
      <c r="I93" s="116"/>
      <c r="L93" s="170">
        <v>42138</v>
      </c>
      <c r="M93" s="116">
        <v>575.32500000000005</v>
      </c>
      <c r="N93" s="116">
        <v>587.5</v>
      </c>
      <c r="O93" s="116">
        <v>565.625</v>
      </c>
      <c r="P93" s="116">
        <v>578.65</v>
      </c>
      <c r="Q93" s="116">
        <v>1150.6500000000001</v>
      </c>
      <c r="R93">
        <v>389397</v>
      </c>
    </row>
    <row r="94" spans="1:18" x14ac:dyDescent="0.25">
      <c r="A94" s="170">
        <v>42139</v>
      </c>
      <c r="B94" s="116">
        <v>586.67499999999995</v>
      </c>
      <c r="C94" s="116">
        <v>572.75</v>
      </c>
      <c r="D94" s="116">
        <v>568.6</v>
      </c>
      <c r="E94" s="116">
        <v>579.95000000000005</v>
      </c>
      <c r="F94" s="116">
        <v>1145.5</v>
      </c>
      <c r="G94">
        <v>77285</v>
      </c>
      <c r="H94" s="116"/>
      <c r="I94" s="116"/>
      <c r="L94" s="170">
        <v>42139</v>
      </c>
      <c r="M94" s="116">
        <v>572.07500000000005</v>
      </c>
      <c r="N94" s="116">
        <v>586.25</v>
      </c>
      <c r="O94" s="116">
        <v>568</v>
      </c>
      <c r="P94" s="116">
        <v>579</v>
      </c>
      <c r="Q94" s="116">
        <v>1144.1500000000001</v>
      </c>
      <c r="R94">
        <v>263571</v>
      </c>
    </row>
    <row r="95" spans="1:18" x14ac:dyDescent="0.25">
      <c r="A95" s="170">
        <v>42142</v>
      </c>
      <c r="B95" s="116">
        <v>581.5</v>
      </c>
      <c r="C95" s="116">
        <v>575.54999999999995</v>
      </c>
      <c r="D95" s="116">
        <v>573</v>
      </c>
      <c r="E95" s="116">
        <v>575.5</v>
      </c>
      <c r="F95" s="116">
        <v>1151.0999999999999</v>
      </c>
      <c r="G95">
        <v>54681</v>
      </c>
      <c r="H95" s="116"/>
      <c r="I95" s="116"/>
      <c r="L95" s="170">
        <v>42142</v>
      </c>
      <c r="M95" s="116">
        <v>575.92499999999995</v>
      </c>
      <c r="N95" s="116">
        <v>582.15</v>
      </c>
      <c r="O95" s="116">
        <v>572.5</v>
      </c>
      <c r="P95" s="116">
        <v>574.65</v>
      </c>
      <c r="Q95" s="116">
        <v>1151.8499999999999</v>
      </c>
      <c r="R95">
        <v>195652</v>
      </c>
    </row>
    <row r="96" spans="1:18" x14ac:dyDescent="0.25">
      <c r="A96" s="170">
        <v>42143</v>
      </c>
      <c r="B96" s="116">
        <v>602.97500000000002</v>
      </c>
      <c r="C96" s="116">
        <v>595.95000000000005</v>
      </c>
      <c r="D96" s="116">
        <v>571.29999999999995</v>
      </c>
      <c r="E96" s="116">
        <v>574.95000000000005</v>
      </c>
      <c r="F96" s="116">
        <v>1191.9000000000001</v>
      </c>
      <c r="G96">
        <v>176219</v>
      </c>
      <c r="H96" s="116"/>
      <c r="I96" s="116"/>
      <c r="L96" s="170">
        <v>42143</v>
      </c>
      <c r="M96" s="116">
        <v>596.45000000000005</v>
      </c>
      <c r="N96" s="116">
        <v>603</v>
      </c>
      <c r="O96" s="116">
        <v>571.5</v>
      </c>
      <c r="P96" s="116">
        <v>575.5</v>
      </c>
      <c r="Q96" s="116">
        <v>1192.9000000000001</v>
      </c>
      <c r="R96">
        <v>636831</v>
      </c>
    </row>
    <row r="97" spans="1:18" x14ac:dyDescent="0.25">
      <c r="A97" s="170">
        <v>42144</v>
      </c>
      <c r="B97" s="116">
        <v>607</v>
      </c>
      <c r="C97" s="116">
        <v>594.72500000000002</v>
      </c>
      <c r="D97" s="116">
        <v>591.5</v>
      </c>
      <c r="E97" s="116">
        <v>597</v>
      </c>
      <c r="F97" s="116">
        <v>1189.45</v>
      </c>
      <c r="G97">
        <v>97508</v>
      </c>
      <c r="H97" s="116"/>
      <c r="I97" s="116"/>
      <c r="L97" s="170">
        <v>42144</v>
      </c>
      <c r="M97" s="116">
        <v>594.42499999999995</v>
      </c>
      <c r="N97" s="116">
        <v>606.75</v>
      </c>
      <c r="O97" s="116">
        <v>591.27499999999998</v>
      </c>
      <c r="P97" s="116">
        <v>595.85</v>
      </c>
      <c r="Q97" s="116">
        <v>1188.8499999999999</v>
      </c>
      <c r="R97">
        <v>381026</v>
      </c>
    </row>
    <row r="98" spans="1:18" x14ac:dyDescent="0.25">
      <c r="A98" s="170">
        <v>42145</v>
      </c>
      <c r="B98" s="116">
        <v>597.5</v>
      </c>
      <c r="C98" s="116">
        <v>584.77499999999998</v>
      </c>
      <c r="D98" s="116">
        <v>578.45000000000005</v>
      </c>
      <c r="E98" s="116">
        <v>592.5</v>
      </c>
      <c r="F98" s="116">
        <v>1169.55</v>
      </c>
      <c r="G98">
        <v>63061</v>
      </c>
      <c r="H98" s="116"/>
      <c r="I98" s="116"/>
      <c r="L98" s="170">
        <v>42145</v>
      </c>
      <c r="M98" s="116">
        <v>585.42499999999995</v>
      </c>
      <c r="N98" s="116">
        <v>597.77499999999998</v>
      </c>
      <c r="O98" s="116">
        <v>578.29999999999995</v>
      </c>
      <c r="P98" s="116">
        <v>596</v>
      </c>
      <c r="Q98" s="116">
        <v>1170.8499999999999</v>
      </c>
      <c r="R98">
        <v>242129</v>
      </c>
    </row>
    <row r="99" spans="1:18" x14ac:dyDescent="0.25">
      <c r="A99" s="170">
        <v>42146</v>
      </c>
      <c r="B99" s="116">
        <v>622.75</v>
      </c>
      <c r="C99" s="116">
        <v>616.27499999999998</v>
      </c>
      <c r="D99" s="116">
        <v>583.4</v>
      </c>
      <c r="E99" s="116">
        <v>589</v>
      </c>
      <c r="F99" s="116">
        <v>1232.55</v>
      </c>
      <c r="G99">
        <v>290357</v>
      </c>
      <c r="H99" s="116"/>
      <c r="I99" s="116"/>
      <c r="L99" s="170">
        <v>42146</v>
      </c>
      <c r="M99" s="116">
        <v>616.92499999999995</v>
      </c>
      <c r="N99" s="116">
        <v>622.5</v>
      </c>
      <c r="O99" s="116">
        <v>583.1</v>
      </c>
      <c r="P99" s="116">
        <v>587</v>
      </c>
      <c r="Q99" s="116">
        <v>1233.8499999999999</v>
      </c>
      <c r="R99">
        <v>1191909</v>
      </c>
    </row>
    <row r="100" spans="1:18" x14ac:dyDescent="0.25">
      <c r="A100" s="170">
        <v>42149</v>
      </c>
      <c r="B100" s="116">
        <v>629.9</v>
      </c>
      <c r="C100" s="116">
        <v>615.47500000000002</v>
      </c>
      <c r="D100" s="116">
        <v>612.5</v>
      </c>
      <c r="E100" s="116">
        <v>619</v>
      </c>
      <c r="F100" s="116">
        <v>1230.95</v>
      </c>
      <c r="G100">
        <v>107347</v>
      </c>
      <c r="H100" s="116"/>
      <c r="I100" s="116"/>
      <c r="L100" s="170">
        <v>42149</v>
      </c>
      <c r="M100" s="116">
        <v>616.35</v>
      </c>
      <c r="N100" s="116">
        <v>630</v>
      </c>
      <c r="O100" s="116">
        <v>612.04999999999995</v>
      </c>
      <c r="P100" s="116">
        <v>618</v>
      </c>
      <c r="Q100" s="116">
        <v>1232.7</v>
      </c>
      <c r="R100">
        <v>476251</v>
      </c>
    </row>
    <row r="101" spans="1:18" x14ac:dyDescent="0.25">
      <c r="A101" s="170">
        <v>42150</v>
      </c>
      <c r="B101" s="116">
        <v>627.5</v>
      </c>
      <c r="C101" s="116">
        <v>619.02499999999998</v>
      </c>
      <c r="D101" s="116">
        <v>612.4</v>
      </c>
      <c r="E101" s="116">
        <v>619.70000000000005</v>
      </c>
      <c r="F101" s="116">
        <v>1238.05</v>
      </c>
      <c r="G101">
        <v>89799</v>
      </c>
      <c r="H101" s="116"/>
      <c r="I101" s="116"/>
      <c r="L101" s="170">
        <v>42150</v>
      </c>
      <c r="M101" s="116">
        <v>620.375</v>
      </c>
      <c r="N101" s="116">
        <v>627.75</v>
      </c>
      <c r="O101" s="116">
        <v>611.97500000000002</v>
      </c>
      <c r="P101" s="116">
        <v>618</v>
      </c>
      <c r="Q101" s="116">
        <v>1240.75</v>
      </c>
      <c r="R101">
        <v>349022</v>
      </c>
    </row>
    <row r="102" spans="1:18" x14ac:dyDescent="0.25">
      <c r="A102" s="170">
        <v>42151</v>
      </c>
      <c r="B102" s="116">
        <v>626</v>
      </c>
      <c r="C102" s="116">
        <v>620.4</v>
      </c>
      <c r="D102" s="116">
        <v>610.5</v>
      </c>
      <c r="E102" s="116">
        <v>616.45000000000005</v>
      </c>
      <c r="F102" s="116">
        <v>1240.8</v>
      </c>
      <c r="G102">
        <v>55318</v>
      </c>
      <c r="H102" s="116"/>
      <c r="I102" s="116"/>
      <c r="L102" s="170">
        <v>42151</v>
      </c>
      <c r="M102" s="116">
        <v>620.54999999999995</v>
      </c>
      <c r="N102" s="116">
        <v>626.32500000000005</v>
      </c>
      <c r="O102" s="116">
        <v>610.5</v>
      </c>
      <c r="P102" s="116">
        <v>616</v>
      </c>
      <c r="Q102" s="116">
        <v>1241.0999999999999</v>
      </c>
      <c r="R102">
        <v>249064</v>
      </c>
    </row>
    <row r="103" spans="1:18" x14ac:dyDescent="0.25">
      <c r="A103" s="170">
        <v>42152</v>
      </c>
      <c r="B103" s="116">
        <v>648</v>
      </c>
      <c r="C103" s="116">
        <v>625.125</v>
      </c>
      <c r="D103" s="116">
        <v>621.02499999999998</v>
      </c>
      <c r="E103" s="116">
        <v>624.70000000000005</v>
      </c>
      <c r="F103" s="116">
        <v>1250.25</v>
      </c>
      <c r="G103">
        <v>168864</v>
      </c>
      <c r="H103" s="116"/>
      <c r="I103" s="116"/>
      <c r="L103" s="170">
        <v>42152</v>
      </c>
      <c r="M103" s="116">
        <v>623.9</v>
      </c>
      <c r="N103" s="116">
        <v>648</v>
      </c>
      <c r="O103" s="116">
        <v>620.75</v>
      </c>
      <c r="P103" s="116">
        <v>621.92499999999995</v>
      </c>
      <c r="Q103" s="116">
        <v>1247.8</v>
      </c>
      <c r="R103">
        <v>698142</v>
      </c>
    </row>
    <row r="104" spans="1:18" x14ac:dyDescent="0.25">
      <c r="A104" s="170">
        <v>42153</v>
      </c>
      <c r="B104" s="116">
        <v>636</v>
      </c>
      <c r="C104" s="116">
        <v>632.79999999999995</v>
      </c>
      <c r="D104" s="116">
        <v>626.1</v>
      </c>
      <c r="E104" s="116">
        <v>629.45000000000005</v>
      </c>
      <c r="F104" s="116">
        <v>1265.5999999999999</v>
      </c>
      <c r="G104">
        <v>56352</v>
      </c>
      <c r="H104" s="116"/>
      <c r="I104" s="116"/>
      <c r="L104" s="170">
        <v>42153</v>
      </c>
      <c r="M104" s="116">
        <v>632.5</v>
      </c>
      <c r="N104" s="116">
        <v>635.65</v>
      </c>
      <c r="O104" s="116">
        <v>625.5</v>
      </c>
      <c r="P104" s="116">
        <v>627.5</v>
      </c>
      <c r="Q104" s="116">
        <v>1265</v>
      </c>
      <c r="R104">
        <v>257948</v>
      </c>
    </row>
    <row r="105" spans="1:18" x14ac:dyDescent="0.25">
      <c r="A105" s="170">
        <v>42156</v>
      </c>
      <c r="B105" s="116">
        <v>646.5</v>
      </c>
      <c r="C105" s="116">
        <v>632.17499999999995</v>
      </c>
      <c r="D105" s="116">
        <v>629.20000000000005</v>
      </c>
      <c r="E105" s="116">
        <v>633.79999999999995</v>
      </c>
      <c r="F105" s="116">
        <v>1264.3499999999999</v>
      </c>
      <c r="G105">
        <v>78787</v>
      </c>
      <c r="H105" s="116"/>
      <c r="I105" s="116"/>
      <c r="L105" s="170">
        <v>42156</v>
      </c>
      <c r="M105" s="116">
        <v>632.72500000000002</v>
      </c>
      <c r="N105" s="116">
        <v>646</v>
      </c>
      <c r="O105" s="116">
        <v>628.17499999999995</v>
      </c>
      <c r="P105" s="116">
        <v>634.95000000000005</v>
      </c>
      <c r="Q105" s="116">
        <v>1265.45</v>
      </c>
      <c r="R105">
        <v>338463</v>
      </c>
    </row>
    <row r="106" spans="1:18" x14ac:dyDescent="0.25">
      <c r="A106" s="170">
        <v>42157</v>
      </c>
      <c r="B106" s="116">
        <v>636.32500000000005</v>
      </c>
      <c r="C106" s="116">
        <v>597.02499999999998</v>
      </c>
      <c r="D106" s="116">
        <v>591.04999999999995</v>
      </c>
      <c r="E106" s="116">
        <v>632.5</v>
      </c>
      <c r="F106" s="116">
        <v>1194.05</v>
      </c>
      <c r="G106">
        <v>111617</v>
      </c>
      <c r="H106" s="116"/>
      <c r="I106" s="116"/>
      <c r="L106" s="170">
        <v>42157</v>
      </c>
      <c r="M106" s="116">
        <v>596.625</v>
      </c>
      <c r="N106" s="116">
        <v>636.125</v>
      </c>
      <c r="O106" s="116">
        <v>590.54999999999995</v>
      </c>
      <c r="P106" s="116">
        <v>634.95000000000005</v>
      </c>
      <c r="Q106" s="116">
        <v>1193.25</v>
      </c>
      <c r="R106">
        <v>312451</v>
      </c>
    </row>
    <row r="107" spans="1:18" x14ac:dyDescent="0.25">
      <c r="A107" s="170">
        <v>42158</v>
      </c>
      <c r="B107" s="116">
        <v>600.92499999999995</v>
      </c>
      <c r="C107" s="116">
        <v>561.97500000000002</v>
      </c>
      <c r="D107" s="116">
        <v>528.92499999999995</v>
      </c>
      <c r="E107" s="116">
        <v>600.92499999999995</v>
      </c>
      <c r="F107" s="116">
        <v>1123.95</v>
      </c>
      <c r="G107">
        <v>152529</v>
      </c>
      <c r="H107" s="116"/>
      <c r="I107" s="116"/>
      <c r="L107" s="170">
        <v>42158</v>
      </c>
      <c r="M107" s="116">
        <v>561.82500000000005</v>
      </c>
      <c r="N107" s="116">
        <v>599.5</v>
      </c>
      <c r="O107" s="116">
        <v>526.57500000000005</v>
      </c>
      <c r="P107" s="116">
        <v>598</v>
      </c>
      <c r="Q107" s="116">
        <v>1123.6500000000001</v>
      </c>
      <c r="R107">
        <v>449081</v>
      </c>
    </row>
    <row r="108" spans="1:18" x14ac:dyDescent="0.25">
      <c r="A108" s="170">
        <v>42159</v>
      </c>
      <c r="B108" s="116">
        <v>571</v>
      </c>
      <c r="C108" s="116">
        <v>565.52499999999998</v>
      </c>
      <c r="D108" s="116">
        <v>551.625</v>
      </c>
      <c r="E108" s="116">
        <v>569</v>
      </c>
      <c r="F108" s="116">
        <v>1131.05</v>
      </c>
      <c r="G108">
        <v>84096</v>
      </c>
      <c r="H108" s="116"/>
      <c r="I108" s="116"/>
      <c r="L108" s="170">
        <v>42159</v>
      </c>
      <c r="M108" s="116">
        <v>564.6</v>
      </c>
      <c r="N108" s="116">
        <v>570.5</v>
      </c>
      <c r="O108" s="116">
        <v>551.29999999999995</v>
      </c>
      <c r="P108" s="116">
        <v>566.85</v>
      </c>
      <c r="Q108" s="116">
        <v>1129.2</v>
      </c>
      <c r="R108">
        <v>289001</v>
      </c>
    </row>
    <row r="109" spans="1:18" x14ac:dyDescent="0.25">
      <c r="A109" s="170">
        <v>42160</v>
      </c>
      <c r="B109" s="116">
        <v>576.5</v>
      </c>
      <c r="C109" s="116">
        <v>563.35</v>
      </c>
      <c r="D109" s="116">
        <v>560</v>
      </c>
      <c r="E109" s="116">
        <v>565.35</v>
      </c>
      <c r="F109" s="116">
        <v>1126.7</v>
      </c>
      <c r="G109">
        <v>61582</v>
      </c>
      <c r="H109" s="116"/>
      <c r="I109" s="116"/>
      <c r="L109" s="170">
        <v>42160</v>
      </c>
      <c r="M109" s="116">
        <v>563.82500000000005</v>
      </c>
      <c r="N109" s="116">
        <v>576.9</v>
      </c>
      <c r="O109" s="116">
        <v>558.75</v>
      </c>
      <c r="P109" s="116">
        <v>563</v>
      </c>
      <c r="Q109" s="116">
        <v>1127.6500000000001</v>
      </c>
      <c r="R109">
        <v>298153</v>
      </c>
    </row>
    <row r="110" spans="1:18" x14ac:dyDescent="0.25">
      <c r="A110" s="170">
        <v>42163</v>
      </c>
      <c r="B110" s="116">
        <v>568</v>
      </c>
      <c r="C110" s="116">
        <v>540.15</v>
      </c>
      <c r="D110" s="116">
        <v>528.125</v>
      </c>
      <c r="E110" s="116">
        <v>560</v>
      </c>
      <c r="F110" s="116">
        <v>1080.3</v>
      </c>
      <c r="G110">
        <v>97233</v>
      </c>
      <c r="H110" s="116"/>
      <c r="I110" s="116"/>
      <c r="L110" s="170">
        <v>42163</v>
      </c>
      <c r="M110" s="116">
        <v>540.42499999999995</v>
      </c>
      <c r="N110" s="116">
        <v>567.70000000000005</v>
      </c>
      <c r="O110" s="116">
        <v>527.25</v>
      </c>
      <c r="P110" s="116">
        <v>566.125</v>
      </c>
      <c r="Q110" s="116">
        <v>1080.8499999999999</v>
      </c>
      <c r="R110">
        <v>272119</v>
      </c>
    </row>
    <row r="111" spans="1:18" x14ac:dyDescent="0.25">
      <c r="A111" s="170">
        <v>42164</v>
      </c>
      <c r="B111" s="116">
        <v>563.5</v>
      </c>
      <c r="C111" s="116">
        <v>554.52499999999998</v>
      </c>
      <c r="D111" s="116">
        <v>523.875</v>
      </c>
      <c r="E111" s="116">
        <v>544</v>
      </c>
      <c r="F111" s="116">
        <v>1109.05</v>
      </c>
      <c r="G111">
        <v>146481</v>
      </c>
      <c r="H111" s="116"/>
      <c r="I111" s="116"/>
      <c r="L111" s="170">
        <v>42164</v>
      </c>
      <c r="M111" s="116">
        <v>556</v>
      </c>
      <c r="N111" s="116">
        <v>564.4</v>
      </c>
      <c r="O111" s="116">
        <v>522.57500000000005</v>
      </c>
      <c r="P111" s="116">
        <v>537.5</v>
      </c>
      <c r="Q111" s="116">
        <v>1112</v>
      </c>
      <c r="R111">
        <v>504206</v>
      </c>
    </row>
    <row r="112" spans="1:18" x14ac:dyDescent="0.25">
      <c r="A112" s="170">
        <v>42165</v>
      </c>
      <c r="B112" s="116">
        <v>571</v>
      </c>
      <c r="C112" s="116">
        <v>562.17499999999995</v>
      </c>
      <c r="D112" s="116">
        <v>557.85</v>
      </c>
      <c r="E112" s="116">
        <v>559.25</v>
      </c>
      <c r="F112" s="116">
        <v>1124.3499999999999</v>
      </c>
      <c r="G112">
        <v>79523</v>
      </c>
      <c r="H112" s="116"/>
      <c r="I112" s="116"/>
      <c r="L112" s="170">
        <v>42165</v>
      </c>
      <c r="M112" s="116">
        <v>562.70000000000005</v>
      </c>
      <c r="N112" s="116">
        <v>570.70000000000005</v>
      </c>
      <c r="O112" s="116">
        <v>557.5</v>
      </c>
      <c r="P112" s="116">
        <v>557.5</v>
      </c>
      <c r="Q112" s="116">
        <v>1125.4000000000001</v>
      </c>
      <c r="R112">
        <v>270227</v>
      </c>
    </row>
    <row r="113" spans="1:18" x14ac:dyDescent="0.25">
      <c r="A113" s="170">
        <v>42166</v>
      </c>
      <c r="B113" s="116">
        <v>573.25</v>
      </c>
      <c r="C113" s="116">
        <v>537.97500000000002</v>
      </c>
      <c r="D113" s="116">
        <v>533.52499999999998</v>
      </c>
      <c r="E113" s="116">
        <v>567</v>
      </c>
      <c r="F113" s="116">
        <v>1075.95</v>
      </c>
      <c r="G113">
        <v>116708</v>
      </c>
      <c r="H113" s="116"/>
      <c r="I113" s="116"/>
      <c r="L113" s="170">
        <v>42166</v>
      </c>
      <c r="M113" s="116">
        <v>537.57500000000005</v>
      </c>
      <c r="N113" s="116">
        <v>573.5</v>
      </c>
      <c r="O113" s="116">
        <v>533</v>
      </c>
      <c r="P113" s="116">
        <v>569</v>
      </c>
      <c r="Q113" s="116">
        <v>1075.1500000000001</v>
      </c>
      <c r="R113">
        <v>448246</v>
      </c>
    </row>
    <row r="114" spans="1:18" x14ac:dyDescent="0.25">
      <c r="A114" s="170">
        <v>42167</v>
      </c>
      <c r="B114" s="116">
        <v>555</v>
      </c>
      <c r="C114" s="116">
        <v>543</v>
      </c>
      <c r="D114" s="116">
        <v>531</v>
      </c>
      <c r="E114" s="116">
        <v>535.5</v>
      </c>
      <c r="F114" s="116">
        <v>1086</v>
      </c>
      <c r="G114">
        <v>99542</v>
      </c>
      <c r="H114" s="116"/>
      <c r="I114" s="116"/>
      <c r="L114" s="170">
        <v>42167</v>
      </c>
      <c r="M114" s="116">
        <v>541.95000000000005</v>
      </c>
      <c r="N114" s="116">
        <v>555</v>
      </c>
      <c r="O114" s="116">
        <v>530.1</v>
      </c>
      <c r="P114" s="116">
        <v>538.35</v>
      </c>
      <c r="Q114" s="116">
        <v>1083.9000000000001</v>
      </c>
      <c r="R114">
        <v>370453</v>
      </c>
    </row>
    <row r="115" spans="1:18" x14ac:dyDescent="0.25">
      <c r="A115" s="170">
        <v>42170</v>
      </c>
      <c r="B115" s="116">
        <v>555</v>
      </c>
      <c r="C115" s="116">
        <v>543.42499999999995</v>
      </c>
      <c r="D115" s="116">
        <v>540.67499999999995</v>
      </c>
      <c r="E115" s="116">
        <v>545.5</v>
      </c>
      <c r="F115" s="116">
        <v>1086.8499999999999</v>
      </c>
      <c r="G115">
        <v>99164</v>
      </c>
      <c r="H115" s="116"/>
      <c r="I115" s="116"/>
      <c r="L115" s="170">
        <v>42170</v>
      </c>
      <c r="M115" s="116">
        <v>543.95000000000005</v>
      </c>
      <c r="N115" s="116">
        <v>556</v>
      </c>
      <c r="O115" s="116">
        <v>541</v>
      </c>
      <c r="P115" s="116">
        <v>543.29999999999995</v>
      </c>
      <c r="Q115" s="116">
        <v>1087.9000000000001</v>
      </c>
      <c r="R115">
        <v>270318</v>
      </c>
    </row>
    <row r="116" spans="1:18" x14ac:dyDescent="0.25">
      <c r="A116" s="170">
        <v>42171</v>
      </c>
      <c r="B116" s="116">
        <v>558.95000000000005</v>
      </c>
      <c r="C116" s="116">
        <v>551.125</v>
      </c>
      <c r="D116" s="116">
        <v>536</v>
      </c>
      <c r="E116" s="116">
        <v>549</v>
      </c>
      <c r="F116" s="116">
        <v>1102.25</v>
      </c>
      <c r="G116">
        <v>113926</v>
      </c>
      <c r="H116" s="116"/>
      <c r="I116" s="116"/>
      <c r="L116" s="170">
        <v>42171</v>
      </c>
      <c r="M116" s="116">
        <v>551.82500000000005</v>
      </c>
      <c r="N116" s="116">
        <v>558.4</v>
      </c>
      <c r="O116" s="116">
        <v>536</v>
      </c>
      <c r="P116" s="116">
        <v>545</v>
      </c>
      <c r="Q116" s="116">
        <v>1103.6500000000001</v>
      </c>
      <c r="R116">
        <v>238389</v>
      </c>
    </row>
    <row r="117" spans="1:18" x14ac:dyDescent="0.25">
      <c r="A117" s="170">
        <v>42172</v>
      </c>
      <c r="B117" s="116">
        <v>567.5</v>
      </c>
      <c r="C117" s="116">
        <v>558.35</v>
      </c>
      <c r="D117" s="116">
        <v>555.6</v>
      </c>
      <c r="E117" s="116">
        <v>560</v>
      </c>
      <c r="F117" s="116">
        <v>1116.7</v>
      </c>
      <c r="G117">
        <v>103407</v>
      </c>
      <c r="H117" s="116"/>
      <c r="I117" s="116"/>
      <c r="L117" s="170">
        <v>42172</v>
      </c>
      <c r="M117" s="116">
        <v>558.85</v>
      </c>
      <c r="N117" s="116">
        <v>567.75</v>
      </c>
      <c r="O117" s="116">
        <v>555.04999999999995</v>
      </c>
      <c r="P117" s="116">
        <v>560</v>
      </c>
      <c r="Q117" s="116">
        <v>1117.7</v>
      </c>
      <c r="R117">
        <v>295764</v>
      </c>
    </row>
    <row r="118" spans="1:18" x14ac:dyDescent="0.25">
      <c r="A118" s="170">
        <v>42173</v>
      </c>
      <c r="B118" s="116">
        <v>577</v>
      </c>
      <c r="C118" s="116">
        <v>569.1</v>
      </c>
      <c r="D118" s="116">
        <v>561</v>
      </c>
      <c r="E118" s="116">
        <v>562.5</v>
      </c>
      <c r="F118" s="116">
        <v>1138.2</v>
      </c>
      <c r="G118">
        <v>96784</v>
      </c>
      <c r="H118" s="116"/>
      <c r="I118" s="116"/>
      <c r="L118" s="170">
        <v>42173</v>
      </c>
      <c r="M118" s="116">
        <v>569.125</v>
      </c>
      <c r="N118" s="116">
        <v>576.20000000000005</v>
      </c>
      <c r="O118" s="116">
        <v>560.25</v>
      </c>
      <c r="P118" s="116">
        <v>561.95000000000005</v>
      </c>
      <c r="Q118" s="116">
        <v>1138.25</v>
      </c>
      <c r="R118">
        <v>380312</v>
      </c>
    </row>
    <row r="119" spans="1:18" x14ac:dyDescent="0.25">
      <c r="A119" s="170">
        <v>42174</v>
      </c>
      <c r="B119" s="116">
        <v>612.5</v>
      </c>
      <c r="C119" s="116">
        <v>600.29999999999995</v>
      </c>
      <c r="D119" s="116">
        <v>571.72500000000002</v>
      </c>
      <c r="E119" s="116">
        <v>574</v>
      </c>
      <c r="F119" s="116">
        <v>1200.5999999999999</v>
      </c>
      <c r="G119">
        <v>261959</v>
      </c>
      <c r="H119" s="116"/>
      <c r="I119" s="116"/>
      <c r="L119" s="170">
        <v>42174</v>
      </c>
      <c r="M119" s="116">
        <v>600.47500000000002</v>
      </c>
      <c r="N119" s="116">
        <v>612.5</v>
      </c>
      <c r="O119" s="116">
        <v>571.45000000000005</v>
      </c>
      <c r="P119" s="116">
        <v>574.29999999999995</v>
      </c>
      <c r="Q119" s="116">
        <v>1200.95</v>
      </c>
      <c r="R119">
        <v>1352224</v>
      </c>
    </row>
    <row r="120" spans="1:18" x14ac:dyDescent="0.25">
      <c r="A120" s="170">
        <v>42177</v>
      </c>
      <c r="B120" s="116">
        <v>617.4</v>
      </c>
      <c r="C120" s="116">
        <v>609.82500000000005</v>
      </c>
      <c r="D120" s="116">
        <v>603.5</v>
      </c>
      <c r="E120" s="116">
        <v>605.47500000000002</v>
      </c>
      <c r="F120" s="116">
        <v>1219.6500000000001</v>
      </c>
      <c r="G120">
        <v>88645</v>
      </c>
      <c r="H120" s="116"/>
      <c r="I120" s="116"/>
      <c r="L120" s="170">
        <v>42177</v>
      </c>
      <c r="M120" s="116">
        <v>610.25</v>
      </c>
      <c r="N120" s="116">
        <v>617.20000000000005</v>
      </c>
      <c r="O120" s="116">
        <v>603.125</v>
      </c>
      <c r="P120" s="116">
        <v>604.25</v>
      </c>
      <c r="Q120" s="116">
        <v>1220.5</v>
      </c>
      <c r="R120">
        <v>379248</v>
      </c>
    </row>
    <row r="121" spans="1:18" x14ac:dyDescent="0.25">
      <c r="A121" s="170">
        <v>42178</v>
      </c>
      <c r="B121" s="116">
        <v>615</v>
      </c>
      <c r="C121" s="116">
        <v>601.42499999999995</v>
      </c>
      <c r="D121" s="116">
        <v>592.5</v>
      </c>
      <c r="E121" s="116">
        <v>614.9</v>
      </c>
      <c r="F121" s="116">
        <v>1202.8499999999999</v>
      </c>
      <c r="G121">
        <v>69036</v>
      </c>
      <c r="H121" s="116"/>
      <c r="I121" s="116"/>
      <c r="L121" s="170">
        <v>42178</v>
      </c>
      <c r="M121" s="116">
        <v>600.17499999999995</v>
      </c>
      <c r="N121" s="116">
        <v>614.85</v>
      </c>
      <c r="O121" s="116">
        <v>592</v>
      </c>
      <c r="P121" s="116">
        <v>611.15</v>
      </c>
      <c r="Q121" s="116">
        <v>1200.3499999999999</v>
      </c>
      <c r="R121">
        <v>312047</v>
      </c>
    </row>
    <row r="122" spans="1:18" x14ac:dyDescent="0.25">
      <c r="A122" s="170">
        <v>42179</v>
      </c>
      <c r="B122" s="116">
        <v>631.9</v>
      </c>
      <c r="C122" s="116">
        <v>613.9</v>
      </c>
      <c r="D122" s="116">
        <v>593.75</v>
      </c>
      <c r="E122" s="116">
        <v>603.85</v>
      </c>
      <c r="F122" s="116">
        <v>1227.8</v>
      </c>
      <c r="G122">
        <v>192325</v>
      </c>
      <c r="H122" s="116"/>
      <c r="I122" s="116"/>
      <c r="L122" s="170">
        <v>42179</v>
      </c>
      <c r="M122" s="116">
        <v>614.67499999999995</v>
      </c>
      <c r="N122" s="116">
        <v>632</v>
      </c>
      <c r="O122" s="116">
        <v>593.5</v>
      </c>
      <c r="P122" s="116">
        <v>603</v>
      </c>
      <c r="Q122" s="116">
        <v>1229.3499999999999</v>
      </c>
      <c r="R122">
        <v>921824</v>
      </c>
    </row>
    <row r="123" spans="1:18" x14ac:dyDescent="0.25">
      <c r="A123" s="170">
        <v>42180</v>
      </c>
      <c r="B123" s="116">
        <v>626.57500000000005</v>
      </c>
      <c r="C123" s="116">
        <v>617.4</v>
      </c>
      <c r="D123" s="116">
        <v>585</v>
      </c>
      <c r="E123" s="116">
        <v>610.85</v>
      </c>
      <c r="F123" s="116">
        <v>1234.8</v>
      </c>
      <c r="G123">
        <v>75592</v>
      </c>
      <c r="H123" s="116"/>
      <c r="I123" s="116"/>
      <c r="L123" s="170">
        <v>42180</v>
      </c>
      <c r="M123" s="116">
        <v>619.75</v>
      </c>
      <c r="N123" s="116">
        <v>626.5</v>
      </c>
      <c r="O123" s="116">
        <v>605.6</v>
      </c>
      <c r="P123" s="116">
        <v>611.04999999999995</v>
      </c>
      <c r="Q123" s="116">
        <v>1239.5</v>
      </c>
      <c r="R123">
        <v>318789</v>
      </c>
    </row>
    <row r="124" spans="1:18" x14ac:dyDescent="0.25">
      <c r="A124" s="170">
        <v>42181</v>
      </c>
      <c r="B124" s="116">
        <v>626.97500000000002</v>
      </c>
      <c r="C124" s="116">
        <v>612.75</v>
      </c>
      <c r="D124" s="116">
        <v>603.9</v>
      </c>
      <c r="E124" s="116">
        <v>615</v>
      </c>
      <c r="F124" s="116">
        <v>1225.5</v>
      </c>
      <c r="G124">
        <v>79716</v>
      </c>
      <c r="H124" s="116"/>
      <c r="I124" s="116"/>
      <c r="L124" s="170">
        <v>42181</v>
      </c>
      <c r="M124" s="116">
        <v>613.375</v>
      </c>
      <c r="N124" s="116">
        <v>627</v>
      </c>
      <c r="O124" s="116">
        <v>603.27499999999998</v>
      </c>
      <c r="P124" s="116">
        <v>615.1</v>
      </c>
      <c r="Q124" s="116">
        <v>1226.75</v>
      </c>
      <c r="R124">
        <v>321704</v>
      </c>
    </row>
    <row r="125" spans="1:18" x14ac:dyDescent="0.25">
      <c r="A125" s="170">
        <v>42184</v>
      </c>
      <c r="B125" s="116">
        <v>597.5</v>
      </c>
      <c r="C125" s="116">
        <v>589.85</v>
      </c>
      <c r="D125" s="116">
        <v>576.45000000000005</v>
      </c>
      <c r="E125" s="116">
        <v>597.5</v>
      </c>
      <c r="F125" s="116">
        <v>1179.7</v>
      </c>
      <c r="G125">
        <v>73908</v>
      </c>
      <c r="H125" s="116"/>
      <c r="I125" s="116"/>
      <c r="L125" s="170">
        <v>42184</v>
      </c>
      <c r="M125" s="116">
        <v>590.47500000000002</v>
      </c>
      <c r="N125" s="116">
        <v>600</v>
      </c>
      <c r="O125" s="116">
        <v>575.5</v>
      </c>
      <c r="P125" s="116">
        <v>575.5</v>
      </c>
      <c r="Q125" s="116">
        <v>1180.95</v>
      </c>
      <c r="R125">
        <v>254751</v>
      </c>
    </row>
    <row r="126" spans="1:18" x14ac:dyDescent="0.25">
      <c r="A126" s="170">
        <v>42185</v>
      </c>
      <c r="B126" s="116">
        <v>610.9</v>
      </c>
      <c r="C126" s="116">
        <v>600.65</v>
      </c>
      <c r="D126" s="116">
        <v>592.5</v>
      </c>
      <c r="E126" s="116">
        <v>592.5</v>
      </c>
      <c r="F126" s="116">
        <v>1201.3</v>
      </c>
      <c r="G126">
        <v>73036</v>
      </c>
      <c r="H126" s="116"/>
      <c r="I126" s="116"/>
      <c r="L126" s="170">
        <v>42185</v>
      </c>
      <c r="M126" s="116">
        <v>601.375</v>
      </c>
      <c r="N126" s="116">
        <v>611.95000000000005</v>
      </c>
      <c r="O126" s="116">
        <v>591</v>
      </c>
      <c r="P126" s="116">
        <v>591</v>
      </c>
      <c r="Q126" s="116">
        <v>1202.75</v>
      </c>
      <c r="R126">
        <v>324558</v>
      </c>
    </row>
    <row r="127" spans="1:18" x14ac:dyDescent="0.25">
      <c r="A127" s="170">
        <v>42186</v>
      </c>
      <c r="B127" s="116">
        <v>616.25</v>
      </c>
      <c r="C127" s="116">
        <v>607.02499999999998</v>
      </c>
      <c r="D127" s="116">
        <v>603.125</v>
      </c>
      <c r="E127" s="116">
        <v>604.5</v>
      </c>
      <c r="F127" s="116">
        <v>1214.05</v>
      </c>
      <c r="G127">
        <v>66569</v>
      </c>
      <c r="H127" s="116"/>
      <c r="I127" s="116"/>
      <c r="L127" s="170">
        <v>42186</v>
      </c>
      <c r="M127" s="116">
        <v>607.72500000000002</v>
      </c>
      <c r="N127" s="116">
        <v>617</v>
      </c>
      <c r="O127" s="116">
        <v>602.5</v>
      </c>
      <c r="P127" s="116">
        <v>602.5</v>
      </c>
      <c r="Q127" s="116">
        <v>1215.45</v>
      </c>
      <c r="R127">
        <v>315476</v>
      </c>
    </row>
    <row r="128" spans="1:18" x14ac:dyDescent="0.25">
      <c r="A128" s="170">
        <v>42187</v>
      </c>
      <c r="B128" s="116">
        <v>617.70000000000005</v>
      </c>
      <c r="C128" s="116">
        <v>604.57500000000005</v>
      </c>
      <c r="D128" s="116">
        <v>600.02499999999998</v>
      </c>
      <c r="E128" s="116">
        <v>611.97500000000002</v>
      </c>
      <c r="F128" s="116">
        <v>1209.1500000000001</v>
      </c>
      <c r="G128">
        <v>75691</v>
      </c>
      <c r="H128" s="116"/>
      <c r="I128" s="116"/>
      <c r="L128" s="170">
        <v>42187</v>
      </c>
      <c r="M128" s="116">
        <v>603.47500000000002</v>
      </c>
      <c r="N128" s="116">
        <v>617.5</v>
      </c>
      <c r="O128" s="116">
        <v>597.70000000000005</v>
      </c>
      <c r="P128" s="116">
        <v>612</v>
      </c>
      <c r="Q128" s="116">
        <v>1206.95</v>
      </c>
      <c r="R128">
        <v>236646</v>
      </c>
    </row>
    <row r="129" spans="1:18" x14ac:dyDescent="0.25">
      <c r="A129" s="170">
        <v>42188</v>
      </c>
      <c r="B129" s="116">
        <v>624.35</v>
      </c>
      <c r="C129" s="116">
        <v>610.6</v>
      </c>
      <c r="D129" s="116">
        <v>605</v>
      </c>
      <c r="E129" s="116">
        <v>606.5</v>
      </c>
      <c r="F129" s="116">
        <v>1221.2</v>
      </c>
      <c r="G129">
        <v>125321</v>
      </c>
      <c r="H129" s="116"/>
      <c r="I129" s="116"/>
      <c r="L129" s="170">
        <v>42188</v>
      </c>
      <c r="M129" s="116">
        <v>610.125</v>
      </c>
      <c r="N129" s="116">
        <v>624</v>
      </c>
      <c r="O129" s="116">
        <v>604.45000000000005</v>
      </c>
      <c r="P129" s="116">
        <v>604.45000000000005</v>
      </c>
      <c r="Q129" s="116">
        <v>1220.25</v>
      </c>
      <c r="R129">
        <v>460465</v>
      </c>
    </row>
    <row r="130" spans="1:18" x14ac:dyDescent="0.25">
      <c r="A130" s="170">
        <v>42191</v>
      </c>
      <c r="B130" s="116">
        <v>611</v>
      </c>
      <c r="C130" s="116">
        <v>606.04999999999995</v>
      </c>
      <c r="D130" s="116">
        <v>592.5</v>
      </c>
      <c r="E130" s="116">
        <v>604</v>
      </c>
      <c r="F130" s="116">
        <v>1212.0999999999999</v>
      </c>
      <c r="G130">
        <v>61753</v>
      </c>
      <c r="H130" s="116"/>
      <c r="I130" s="116"/>
      <c r="L130" s="170">
        <v>42191</v>
      </c>
      <c r="M130" s="116">
        <v>607.72500000000002</v>
      </c>
      <c r="N130" s="116">
        <v>612.375</v>
      </c>
      <c r="O130" s="116">
        <v>592</v>
      </c>
      <c r="P130" s="116">
        <v>600</v>
      </c>
      <c r="Q130" s="116">
        <v>1215.45</v>
      </c>
      <c r="R130">
        <v>257630</v>
      </c>
    </row>
    <row r="131" spans="1:18" x14ac:dyDescent="0.25">
      <c r="A131" s="170">
        <v>42192</v>
      </c>
      <c r="B131" s="116">
        <v>629.5</v>
      </c>
      <c r="C131" s="116">
        <v>619.82500000000005</v>
      </c>
      <c r="D131" s="116">
        <v>611.45000000000005</v>
      </c>
      <c r="E131" s="116">
        <v>614.45000000000005</v>
      </c>
      <c r="F131" s="116">
        <v>1239.6500000000001</v>
      </c>
      <c r="G131">
        <v>120893</v>
      </c>
      <c r="H131" s="116"/>
      <c r="I131" s="116"/>
      <c r="L131" s="170">
        <v>42192</v>
      </c>
      <c r="M131" s="116">
        <v>618.20000000000005</v>
      </c>
      <c r="N131" s="116">
        <v>629.95000000000005</v>
      </c>
      <c r="O131" s="116">
        <v>610</v>
      </c>
      <c r="P131" s="116">
        <v>611.45000000000005</v>
      </c>
      <c r="Q131" s="116">
        <v>1236.4000000000001</v>
      </c>
      <c r="R131">
        <v>475992</v>
      </c>
    </row>
    <row r="132" spans="1:18" x14ac:dyDescent="0.25">
      <c r="A132" s="170">
        <v>42193</v>
      </c>
      <c r="B132" s="116">
        <v>615</v>
      </c>
      <c r="C132" s="116">
        <v>602</v>
      </c>
      <c r="D132" s="116">
        <v>597.65</v>
      </c>
      <c r="E132" s="116">
        <v>614.5</v>
      </c>
      <c r="F132" s="116">
        <v>1204</v>
      </c>
      <c r="G132">
        <v>75205</v>
      </c>
      <c r="H132" s="116"/>
      <c r="I132" s="116"/>
      <c r="L132" s="170">
        <v>42193</v>
      </c>
      <c r="M132" s="116">
        <v>603.07500000000005</v>
      </c>
      <c r="N132" s="116">
        <v>615</v>
      </c>
      <c r="O132" s="116">
        <v>597.5</v>
      </c>
      <c r="P132" s="116">
        <v>610.5</v>
      </c>
      <c r="Q132" s="116">
        <v>1206.1500000000001</v>
      </c>
      <c r="R132">
        <v>240719</v>
      </c>
    </row>
    <row r="133" spans="1:18" x14ac:dyDescent="0.25">
      <c r="A133" s="170">
        <v>42194</v>
      </c>
      <c r="B133" s="116">
        <v>613.5</v>
      </c>
      <c r="C133" s="116">
        <v>599.47500000000002</v>
      </c>
      <c r="D133" s="116">
        <v>597.29999999999995</v>
      </c>
      <c r="E133" s="116">
        <v>606</v>
      </c>
      <c r="F133" s="116">
        <v>1198.95</v>
      </c>
      <c r="G133">
        <v>58703</v>
      </c>
      <c r="H133" s="116"/>
      <c r="I133" s="116"/>
      <c r="L133" s="170">
        <v>42194</v>
      </c>
      <c r="M133" s="116">
        <v>600</v>
      </c>
      <c r="N133" s="116">
        <v>614</v>
      </c>
      <c r="O133" s="116">
        <v>596.32500000000005</v>
      </c>
      <c r="P133" s="116">
        <v>605.65</v>
      </c>
      <c r="Q133" s="116">
        <v>1200</v>
      </c>
      <c r="R133">
        <v>186745</v>
      </c>
    </row>
    <row r="134" spans="1:18" x14ac:dyDescent="0.25">
      <c r="A134" s="170">
        <v>42195</v>
      </c>
      <c r="B134" s="116">
        <v>608.92499999999995</v>
      </c>
      <c r="C134" s="116">
        <v>603.25</v>
      </c>
      <c r="D134" s="116">
        <v>599.6</v>
      </c>
      <c r="E134" s="116">
        <v>604.5</v>
      </c>
      <c r="F134" s="116">
        <v>1206.5</v>
      </c>
      <c r="G134">
        <v>62321</v>
      </c>
      <c r="H134" s="116"/>
      <c r="I134" s="116"/>
      <c r="L134" s="170">
        <v>42195</v>
      </c>
      <c r="M134" s="116">
        <v>604.15</v>
      </c>
      <c r="N134" s="116">
        <v>609</v>
      </c>
      <c r="O134" s="116">
        <v>598.67499999999995</v>
      </c>
      <c r="P134" s="116">
        <v>605.47500000000002</v>
      </c>
      <c r="Q134" s="116">
        <v>1208.3</v>
      </c>
      <c r="R134">
        <v>161761</v>
      </c>
    </row>
    <row r="135" spans="1:18" x14ac:dyDescent="0.25">
      <c r="A135" s="170">
        <v>42198</v>
      </c>
      <c r="B135" s="116">
        <v>613.9</v>
      </c>
      <c r="C135" s="116">
        <v>607.5</v>
      </c>
      <c r="D135" s="116">
        <v>603.1</v>
      </c>
      <c r="E135" s="116">
        <v>610</v>
      </c>
      <c r="F135" s="116">
        <v>1215</v>
      </c>
      <c r="G135">
        <v>67953</v>
      </c>
      <c r="H135" s="116"/>
      <c r="I135" s="116"/>
      <c r="L135" s="170">
        <v>42198</v>
      </c>
      <c r="M135" s="116">
        <v>609.17499999999995</v>
      </c>
      <c r="N135" s="116">
        <v>614.25</v>
      </c>
      <c r="O135" s="116">
        <v>603</v>
      </c>
      <c r="P135" s="116">
        <v>605.1</v>
      </c>
      <c r="Q135" s="116">
        <v>1218.3499999999999</v>
      </c>
      <c r="R135">
        <v>180356</v>
      </c>
    </row>
    <row r="136" spans="1:18" x14ac:dyDescent="0.25">
      <c r="A136" s="170">
        <v>42199</v>
      </c>
      <c r="B136" s="116">
        <v>661.125</v>
      </c>
      <c r="C136" s="116">
        <v>645.22500000000002</v>
      </c>
      <c r="D136" s="116">
        <v>607.5</v>
      </c>
      <c r="E136" s="116">
        <v>607.5</v>
      </c>
      <c r="F136" s="116">
        <v>1290.45</v>
      </c>
      <c r="G136">
        <v>349821</v>
      </c>
      <c r="H136" s="116"/>
      <c r="I136" s="116"/>
      <c r="L136" s="170">
        <v>42199</v>
      </c>
      <c r="M136" s="116">
        <v>645.85</v>
      </c>
      <c r="N136" s="116">
        <v>661.5</v>
      </c>
      <c r="O136" s="116">
        <v>609.25</v>
      </c>
      <c r="P136" s="116">
        <v>612.4</v>
      </c>
      <c r="Q136" s="116">
        <v>1291.7</v>
      </c>
      <c r="R136">
        <v>1738141</v>
      </c>
    </row>
    <row r="137" spans="1:18" x14ac:dyDescent="0.25">
      <c r="A137" s="170">
        <v>42200</v>
      </c>
      <c r="B137" s="116">
        <v>660</v>
      </c>
      <c r="C137" s="116">
        <v>643.875</v>
      </c>
      <c r="D137" s="116">
        <v>640</v>
      </c>
      <c r="E137" s="116">
        <v>648.5</v>
      </c>
      <c r="F137" s="116">
        <v>1287.75</v>
      </c>
      <c r="G137">
        <v>107114</v>
      </c>
      <c r="H137" s="116"/>
      <c r="I137" s="116"/>
      <c r="L137" s="170">
        <v>42200</v>
      </c>
      <c r="M137" s="116">
        <v>644.77499999999998</v>
      </c>
      <c r="N137" s="116">
        <v>660</v>
      </c>
      <c r="O137" s="116">
        <v>640.6</v>
      </c>
      <c r="P137" s="116">
        <v>648.5</v>
      </c>
      <c r="Q137" s="116">
        <v>1289.55</v>
      </c>
      <c r="R137">
        <v>595257</v>
      </c>
    </row>
    <row r="138" spans="1:18" x14ac:dyDescent="0.25">
      <c r="A138" s="170">
        <v>42201</v>
      </c>
      <c r="B138" s="116">
        <v>669.5</v>
      </c>
      <c r="C138" s="116">
        <v>665.57500000000005</v>
      </c>
      <c r="D138" s="116">
        <v>646.27499999999998</v>
      </c>
      <c r="E138" s="116">
        <v>649.29999999999995</v>
      </c>
      <c r="F138" s="116">
        <v>1331.15</v>
      </c>
      <c r="G138">
        <v>156700</v>
      </c>
      <c r="H138" s="116"/>
      <c r="I138" s="116"/>
      <c r="L138" s="170">
        <v>42201</v>
      </c>
      <c r="M138" s="116">
        <v>665</v>
      </c>
      <c r="N138" s="116">
        <v>669.25</v>
      </c>
      <c r="O138" s="116">
        <v>646.52499999999998</v>
      </c>
      <c r="P138" s="116">
        <v>647.875</v>
      </c>
      <c r="Q138" s="116">
        <v>1330</v>
      </c>
      <c r="R138">
        <v>691592</v>
      </c>
    </row>
    <row r="139" spans="1:18" x14ac:dyDescent="0.25">
      <c r="A139" s="170">
        <v>42202</v>
      </c>
      <c r="B139" s="116">
        <v>675.92499999999995</v>
      </c>
      <c r="C139" s="116">
        <v>664.32500000000005</v>
      </c>
      <c r="D139" s="116">
        <v>654</v>
      </c>
      <c r="E139" s="116">
        <v>663.5</v>
      </c>
      <c r="F139" s="116">
        <v>1328.65</v>
      </c>
      <c r="G139">
        <v>105379</v>
      </c>
      <c r="H139" s="116"/>
      <c r="I139" s="116"/>
      <c r="L139" s="170">
        <v>42202</v>
      </c>
      <c r="M139" s="116">
        <v>665.07500000000005</v>
      </c>
      <c r="N139" s="116">
        <v>675.9</v>
      </c>
      <c r="O139" s="116">
        <v>653.75</v>
      </c>
      <c r="P139" s="116">
        <v>666.5</v>
      </c>
      <c r="Q139" s="116">
        <v>1330.15</v>
      </c>
      <c r="R139">
        <v>473325</v>
      </c>
    </row>
    <row r="140" spans="1:18" x14ac:dyDescent="0.25">
      <c r="A140" s="170">
        <v>42205</v>
      </c>
      <c r="B140" s="116">
        <v>683.7</v>
      </c>
      <c r="C140" s="116">
        <v>678.77499999999998</v>
      </c>
      <c r="D140" s="116">
        <v>658.47500000000002</v>
      </c>
      <c r="E140" s="116">
        <v>665</v>
      </c>
      <c r="F140" s="116">
        <v>1357.55</v>
      </c>
      <c r="G140">
        <v>129309</v>
      </c>
      <c r="H140" s="116"/>
      <c r="I140" s="116"/>
      <c r="L140" s="170">
        <v>42205</v>
      </c>
      <c r="M140" s="116">
        <v>679.65</v>
      </c>
      <c r="N140" s="116">
        <v>683.5</v>
      </c>
      <c r="O140" s="116">
        <v>658.5</v>
      </c>
      <c r="P140" s="116">
        <v>667.15</v>
      </c>
      <c r="Q140" s="116">
        <v>1359.3</v>
      </c>
      <c r="R140">
        <v>526473</v>
      </c>
    </row>
    <row r="141" spans="1:18" x14ac:dyDescent="0.25">
      <c r="A141" s="170">
        <v>42206</v>
      </c>
      <c r="B141" s="116">
        <v>712</v>
      </c>
      <c r="C141" s="116">
        <v>693.92499999999995</v>
      </c>
      <c r="D141" s="116">
        <v>668.52499999999998</v>
      </c>
      <c r="E141" s="116">
        <v>677.15</v>
      </c>
      <c r="F141" s="116">
        <v>1387.85</v>
      </c>
      <c r="G141">
        <v>282813</v>
      </c>
      <c r="H141" s="116"/>
      <c r="I141" s="116"/>
      <c r="L141" s="170">
        <v>42206</v>
      </c>
      <c r="M141" s="116">
        <v>694.5</v>
      </c>
      <c r="N141" s="116">
        <v>712.47500000000002</v>
      </c>
      <c r="O141" s="116">
        <v>668</v>
      </c>
      <c r="P141" s="116">
        <v>680</v>
      </c>
      <c r="Q141" s="116">
        <v>1389</v>
      </c>
      <c r="R141">
        <v>1156857</v>
      </c>
    </row>
    <row r="142" spans="1:18" x14ac:dyDescent="0.25">
      <c r="A142" s="170">
        <v>42207</v>
      </c>
      <c r="B142" s="116">
        <v>718.5</v>
      </c>
      <c r="C142" s="116">
        <v>710.125</v>
      </c>
      <c r="D142" s="116">
        <v>687.7</v>
      </c>
      <c r="E142" s="116">
        <v>696</v>
      </c>
      <c r="F142" s="116">
        <v>1420.25</v>
      </c>
      <c r="G142">
        <v>115694</v>
      </c>
      <c r="H142" s="116"/>
      <c r="I142" s="116"/>
      <c r="L142" s="170">
        <v>42207</v>
      </c>
      <c r="M142" s="116">
        <v>709.77499999999998</v>
      </c>
      <c r="N142" s="116">
        <v>717.45</v>
      </c>
      <c r="O142" s="116">
        <v>693.125</v>
      </c>
      <c r="P142" s="116">
        <v>695.5</v>
      </c>
      <c r="Q142" s="116">
        <v>1419.55</v>
      </c>
      <c r="R142">
        <v>675844</v>
      </c>
    </row>
    <row r="143" spans="1:18" x14ac:dyDescent="0.25">
      <c r="A143" s="170">
        <v>42208</v>
      </c>
      <c r="B143" s="116">
        <v>731.5</v>
      </c>
      <c r="C143" s="116">
        <v>705.9</v>
      </c>
      <c r="D143" s="116">
        <v>701</v>
      </c>
      <c r="E143" s="116">
        <v>713.5</v>
      </c>
      <c r="F143" s="116">
        <v>1411.8</v>
      </c>
      <c r="G143">
        <v>165395</v>
      </c>
      <c r="H143" s="116"/>
      <c r="I143" s="116"/>
      <c r="L143" s="170">
        <v>42208</v>
      </c>
      <c r="M143" s="116">
        <v>707.72500000000002</v>
      </c>
      <c r="N143" s="116">
        <v>731.3</v>
      </c>
      <c r="O143" s="116">
        <v>700.75</v>
      </c>
      <c r="P143" s="116">
        <v>712.5</v>
      </c>
      <c r="Q143" s="116">
        <v>1415.45</v>
      </c>
      <c r="R143">
        <v>644181</v>
      </c>
    </row>
    <row r="144" spans="1:18" x14ac:dyDescent="0.25">
      <c r="A144" s="170">
        <v>42209</v>
      </c>
      <c r="B144" s="116">
        <v>808</v>
      </c>
      <c r="C144" s="116">
        <v>796.92499999999995</v>
      </c>
      <c r="D144" s="116">
        <v>703.97500000000002</v>
      </c>
      <c r="E144" s="116">
        <v>710</v>
      </c>
      <c r="F144" s="116">
        <v>1593.85</v>
      </c>
      <c r="G144">
        <v>970285</v>
      </c>
      <c r="H144" s="116"/>
      <c r="I144" s="116"/>
      <c r="L144" s="170">
        <v>42209</v>
      </c>
      <c r="M144" s="116">
        <v>795.8</v>
      </c>
      <c r="N144" s="116">
        <v>808.22500000000002</v>
      </c>
      <c r="O144" s="116">
        <v>704</v>
      </c>
      <c r="P144" s="116">
        <v>710.25</v>
      </c>
      <c r="Q144" s="116">
        <v>1591.6</v>
      </c>
      <c r="R144">
        <v>4699577</v>
      </c>
    </row>
    <row r="145" spans="1:18" x14ac:dyDescent="0.25">
      <c r="A145" s="170">
        <v>42212</v>
      </c>
      <c r="B145" s="116">
        <v>847.5</v>
      </c>
      <c r="C145" s="116">
        <v>835.9</v>
      </c>
      <c r="D145" s="116">
        <v>786.45</v>
      </c>
      <c r="E145" s="116">
        <v>792.5</v>
      </c>
      <c r="F145" s="116">
        <v>1671.8</v>
      </c>
      <c r="G145">
        <v>541686</v>
      </c>
      <c r="H145" s="116"/>
      <c r="I145" s="116"/>
      <c r="L145" s="170">
        <v>42212</v>
      </c>
      <c r="M145" s="116">
        <v>836.25</v>
      </c>
      <c r="N145" s="116">
        <v>847.5</v>
      </c>
      <c r="O145" s="116">
        <v>782.55</v>
      </c>
      <c r="P145" s="116">
        <v>787.72500000000002</v>
      </c>
      <c r="Q145" s="116">
        <v>1672.5</v>
      </c>
      <c r="R145">
        <v>2635733</v>
      </c>
    </row>
    <row r="146" spans="1:18" x14ac:dyDescent="0.25">
      <c r="A146" s="170">
        <v>42213</v>
      </c>
      <c r="B146" s="116">
        <v>871</v>
      </c>
      <c r="C146" s="116">
        <v>809.67499999999995</v>
      </c>
      <c r="D146" s="116">
        <v>801.5</v>
      </c>
      <c r="E146" s="116">
        <v>837.5</v>
      </c>
      <c r="F146" s="116">
        <v>1619.35</v>
      </c>
      <c r="G146">
        <v>510675</v>
      </c>
      <c r="H146" s="116"/>
      <c r="I146" s="116"/>
      <c r="L146" s="170">
        <v>42213</v>
      </c>
      <c r="M146" s="116">
        <v>807.55</v>
      </c>
      <c r="N146" s="116">
        <v>871.25</v>
      </c>
      <c r="O146" s="116">
        <v>799.35</v>
      </c>
      <c r="P146" s="116">
        <v>838.5</v>
      </c>
      <c r="Q146" s="116">
        <v>1615.1</v>
      </c>
      <c r="R146">
        <v>2350407</v>
      </c>
    </row>
    <row r="147" spans="1:18" x14ac:dyDescent="0.25">
      <c r="A147" s="170">
        <v>42214</v>
      </c>
      <c r="B147" s="116">
        <v>832</v>
      </c>
      <c r="C147" s="116">
        <v>817.55</v>
      </c>
      <c r="D147" s="116">
        <v>803.5</v>
      </c>
      <c r="E147" s="116">
        <v>812.6</v>
      </c>
      <c r="F147" s="116">
        <v>1635.1</v>
      </c>
      <c r="G147">
        <v>198308</v>
      </c>
      <c r="H147" s="116"/>
      <c r="I147" s="116"/>
      <c r="L147" s="170">
        <v>42214</v>
      </c>
      <c r="M147" s="116">
        <v>819.125</v>
      </c>
      <c r="N147" s="116">
        <v>832.47500000000002</v>
      </c>
      <c r="O147" s="116">
        <v>802.625</v>
      </c>
      <c r="P147" s="116">
        <v>810.95</v>
      </c>
      <c r="Q147" s="116">
        <v>1638.25</v>
      </c>
      <c r="R147">
        <v>793691</v>
      </c>
    </row>
    <row r="148" spans="1:18" x14ac:dyDescent="0.25">
      <c r="A148" s="170">
        <v>42215</v>
      </c>
      <c r="B148" s="116">
        <v>879.2</v>
      </c>
      <c r="C148" s="116">
        <v>865.27499999999998</v>
      </c>
      <c r="D148" s="116">
        <v>823</v>
      </c>
      <c r="E148" s="116">
        <v>823</v>
      </c>
      <c r="F148" s="116">
        <v>1730.55</v>
      </c>
      <c r="G148">
        <v>359284</v>
      </c>
      <c r="H148" s="116"/>
      <c r="I148" s="116"/>
      <c r="L148" s="170">
        <v>42215</v>
      </c>
      <c r="M148" s="116">
        <v>866.47500000000002</v>
      </c>
      <c r="N148" s="116">
        <v>879.75</v>
      </c>
      <c r="O148" s="116">
        <v>825.5</v>
      </c>
      <c r="P148" s="116">
        <v>826.82500000000005</v>
      </c>
      <c r="Q148" s="116">
        <v>1732.95</v>
      </c>
      <c r="R148">
        <v>1502651</v>
      </c>
    </row>
    <row r="149" spans="1:18" x14ac:dyDescent="0.25">
      <c r="A149" s="170">
        <v>42216</v>
      </c>
      <c r="B149" s="116">
        <v>874.5</v>
      </c>
      <c r="C149" s="116">
        <v>852.65</v>
      </c>
      <c r="D149" s="116">
        <v>837.42499999999995</v>
      </c>
      <c r="E149" s="116">
        <v>867.6</v>
      </c>
      <c r="F149" s="116">
        <v>1705.3</v>
      </c>
      <c r="G149">
        <v>190791</v>
      </c>
      <c r="H149" s="116"/>
      <c r="I149" s="116"/>
      <c r="L149" s="170">
        <v>42216</v>
      </c>
      <c r="M149" s="116">
        <v>852.6</v>
      </c>
      <c r="N149" s="116">
        <v>874.55</v>
      </c>
      <c r="O149" s="116">
        <v>837</v>
      </c>
      <c r="P149" s="116">
        <v>868.5</v>
      </c>
      <c r="Q149" s="116">
        <v>1705.2</v>
      </c>
      <c r="R149">
        <v>840150</v>
      </c>
    </row>
    <row r="150" spans="1:18" x14ac:dyDescent="0.25">
      <c r="A150" s="170">
        <v>42219</v>
      </c>
      <c r="B150" s="116">
        <v>906.72500000000002</v>
      </c>
      <c r="C150" s="116">
        <v>899.15</v>
      </c>
      <c r="D150" s="116">
        <v>851</v>
      </c>
      <c r="E150" s="116">
        <v>852.75</v>
      </c>
      <c r="F150" s="116">
        <v>1798.3</v>
      </c>
      <c r="G150">
        <v>299146</v>
      </c>
      <c r="H150" s="116"/>
      <c r="I150" s="116"/>
      <c r="L150" s="170">
        <v>42219</v>
      </c>
      <c r="M150" s="116">
        <v>900.77499999999998</v>
      </c>
      <c r="N150" s="116">
        <v>907.25</v>
      </c>
      <c r="O150" s="116">
        <v>851.52499999999998</v>
      </c>
      <c r="P150" s="116">
        <v>852.5</v>
      </c>
      <c r="Q150" s="116">
        <v>1801.55</v>
      </c>
      <c r="R150">
        <v>1311779</v>
      </c>
    </row>
    <row r="151" spans="1:18" x14ac:dyDescent="0.25">
      <c r="A151" s="170">
        <v>42220</v>
      </c>
      <c r="B151" s="116">
        <v>947.5</v>
      </c>
      <c r="C151" s="116">
        <v>938.47500000000002</v>
      </c>
      <c r="D151" s="116">
        <v>901.05</v>
      </c>
      <c r="E151" s="116">
        <v>904</v>
      </c>
      <c r="F151" s="116">
        <v>1876.95</v>
      </c>
      <c r="G151">
        <v>287166</v>
      </c>
      <c r="H151" s="116"/>
      <c r="I151" s="116"/>
      <c r="L151" s="170">
        <v>42220</v>
      </c>
      <c r="M151" s="116">
        <v>939.5</v>
      </c>
      <c r="N151" s="116">
        <v>947.5</v>
      </c>
      <c r="O151" s="116">
        <v>901</v>
      </c>
      <c r="P151" s="116">
        <v>905.45</v>
      </c>
      <c r="Q151" s="116">
        <v>1879</v>
      </c>
      <c r="R151">
        <v>1420981</v>
      </c>
    </row>
    <row r="152" spans="1:18" x14ac:dyDescent="0.25">
      <c r="A152" s="170">
        <v>42221</v>
      </c>
      <c r="B152" s="116">
        <v>968.9</v>
      </c>
      <c r="C152" s="116">
        <v>925.1</v>
      </c>
      <c r="D152" s="116">
        <v>916.52499999999998</v>
      </c>
      <c r="E152" s="116">
        <v>948.5</v>
      </c>
      <c r="F152" s="116">
        <v>1850.2</v>
      </c>
      <c r="G152">
        <v>302007</v>
      </c>
      <c r="H152" s="116"/>
      <c r="I152" s="116"/>
      <c r="L152" s="170">
        <v>42221</v>
      </c>
      <c r="M152" s="116">
        <v>925.47500000000002</v>
      </c>
      <c r="N152" s="116">
        <v>968.97500000000002</v>
      </c>
      <c r="O152" s="116">
        <v>919.05</v>
      </c>
      <c r="P152" s="116">
        <v>948.5</v>
      </c>
      <c r="Q152" s="116">
        <v>1850.95</v>
      </c>
      <c r="R152">
        <v>1142876</v>
      </c>
    </row>
    <row r="153" spans="1:18" x14ac:dyDescent="0.25">
      <c r="A153" s="170">
        <v>42222</v>
      </c>
      <c r="B153" s="116">
        <v>927.05</v>
      </c>
      <c r="C153" s="116">
        <v>913.27499999999998</v>
      </c>
      <c r="D153" s="116">
        <v>900.05</v>
      </c>
      <c r="E153" s="116">
        <v>925</v>
      </c>
      <c r="F153" s="116">
        <v>1826.55</v>
      </c>
      <c r="G153">
        <v>152036</v>
      </c>
      <c r="H153" s="116"/>
      <c r="I153" s="116"/>
      <c r="L153" s="170">
        <v>42222</v>
      </c>
      <c r="M153" s="116">
        <v>915.6</v>
      </c>
      <c r="N153" s="116">
        <v>926.4</v>
      </c>
      <c r="O153" s="116">
        <v>901.05</v>
      </c>
      <c r="P153" s="116">
        <v>920.05</v>
      </c>
      <c r="Q153" s="116">
        <v>1831.2</v>
      </c>
      <c r="R153">
        <v>576575</v>
      </c>
    </row>
    <row r="154" spans="1:18" x14ac:dyDescent="0.25">
      <c r="A154" s="170">
        <v>42223</v>
      </c>
      <c r="B154" s="116">
        <v>954.5</v>
      </c>
      <c r="C154" s="116">
        <v>936.95</v>
      </c>
      <c r="D154" s="116">
        <v>913.45</v>
      </c>
      <c r="E154" s="116">
        <v>915</v>
      </c>
      <c r="F154" s="116">
        <v>1873.9</v>
      </c>
      <c r="G154">
        <v>192672</v>
      </c>
      <c r="H154" s="116"/>
      <c r="I154" s="116"/>
      <c r="L154" s="170">
        <v>42223</v>
      </c>
      <c r="M154" s="116">
        <v>939.02499999999998</v>
      </c>
      <c r="N154" s="116">
        <v>954</v>
      </c>
      <c r="O154" s="116">
        <v>912.625</v>
      </c>
      <c r="P154" s="116">
        <v>915.5</v>
      </c>
      <c r="Q154" s="116">
        <v>1878.05</v>
      </c>
      <c r="R154">
        <v>875082</v>
      </c>
    </row>
    <row r="155" spans="1:18" x14ac:dyDescent="0.25">
      <c r="A155" s="170">
        <v>42226</v>
      </c>
      <c r="B155" s="116">
        <v>946.82500000000005</v>
      </c>
      <c r="C155" s="116">
        <v>918.42499999999995</v>
      </c>
      <c r="D155" s="116">
        <v>909.77499999999998</v>
      </c>
      <c r="E155" s="116">
        <v>937.5</v>
      </c>
      <c r="F155" s="116">
        <v>1836.85</v>
      </c>
      <c r="G155">
        <v>111985</v>
      </c>
      <c r="H155" s="116"/>
      <c r="I155" s="116"/>
      <c r="L155" s="170">
        <v>42226</v>
      </c>
      <c r="M155" s="116">
        <v>916.05</v>
      </c>
      <c r="N155" s="116">
        <v>946.35</v>
      </c>
      <c r="O155" s="116">
        <v>907.55</v>
      </c>
      <c r="P155" s="116">
        <v>937.5</v>
      </c>
      <c r="Q155" s="116">
        <v>1832.1</v>
      </c>
      <c r="R155">
        <v>452796</v>
      </c>
    </row>
    <row r="156" spans="1:18" x14ac:dyDescent="0.25">
      <c r="A156" s="170">
        <v>42227</v>
      </c>
      <c r="B156" s="116">
        <v>927.15</v>
      </c>
      <c r="C156" s="116">
        <v>866.95</v>
      </c>
      <c r="D156" s="116">
        <v>856.82500000000005</v>
      </c>
      <c r="E156" s="116">
        <v>927.15</v>
      </c>
      <c r="F156" s="116">
        <v>1733.9</v>
      </c>
      <c r="G156">
        <v>156637</v>
      </c>
      <c r="H156" s="116"/>
      <c r="I156" s="116"/>
      <c r="L156" s="170">
        <v>42227</v>
      </c>
      <c r="M156" s="116">
        <v>862.22500000000002</v>
      </c>
      <c r="N156" s="116">
        <v>924.25</v>
      </c>
      <c r="O156" s="116">
        <v>853</v>
      </c>
      <c r="P156" s="116">
        <v>918.05</v>
      </c>
      <c r="Q156" s="116">
        <v>1724.45</v>
      </c>
      <c r="R156">
        <v>744491</v>
      </c>
    </row>
    <row r="157" spans="1:18" x14ac:dyDescent="0.25">
      <c r="A157" s="170">
        <v>42228</v>
      </c>
      <c r="B157" s="116">
        <v>870</v>
      </c>
      <c r="C157" s="116">
        <v>849.32500000000005</v>
      </c>
      <c r="D157" s="116">
        <v>832.5</v>
      </c>
      <c r="E157" s="116">
        <v>861</v>
      </c>
      <c r="F157" s="116">
        <v>1698.65</v>
      </c>
      <c r="G157">
        <v>199075</v>
      </c>
      <c r="H157" s="116"/>
      <c r="I157" s="116"/>
      <c r="L157" s="170">
        <v>42228</v>
      </c>
      <c r="M157" s="116">
        <v>851.92499999999995</v>
      </c>
      <c r="N157" s="116">
        <v>869</v>
      </c>
      <c r="O157" s="116">
        <v>830.55</v>
      </c>
      <c r="P157" s="116">
        <v>855</v>
      </c>
      <c r="Q157" s="116">
        <v>1703.85</v>
      </c>
      <c r="R157">
        <v>786379</v>
      </c>
    </row>
    <row r="158" spans="1:18" x14ac:dyDescent="0.25">
      <c r="A158" s="170">
        <v>42229</v>
      </c>
      <c r="B158" s="116">
        <v>873.75</v>
      </c>
      <c r="C158" s="116">
        <v>851.625</v>
      </c>
      <c r="D158" s="116">
        <v>840</v>
      </c>
      <c r="E158" s="116">
        <v>858.1</v>
      </c>
      <c r="F158" s="116">
        <v>1703.25</v>
      </c>
      <c r="G158">
        <v>108630</v>
      </c>
      <c r="H158" s="116"/>
      <c r="I158" s="116"/>
      <c r="L158" s="170">
        <v>42229</v>
      </c>
      <c r="M158" s="116">
        <v>850.32500000000005</v>
      </c>
      <c r="N158" s="116">
        <v>874.5</v>
      </c>
      <c r="O158" s="116">
        <v>840.5</v>
      </c>
      <c r="P158" s="116">
        <v>860</v>
      </c>
      <c r="Q158" s="116">
        <v>1700.65</v>
      </c>
      <c r="R158">
        <v>423764</v>
      </c>
    </row>
    <row r="159" spans="1:18" x14ac:dyDescent="0.25">
      <c r="A159" s="170">
        <v>42230</v>
      </c>
      <c r="B159" s="116">
        <v>884</v>
      </c>
      <c r="C159" s="116">
        <v>877.25</v>
      </c>
      <c r="D159" s="116">
        <v>842.5</v>
      </c>
      <c r="E159" s="116">
        <v>856</v>
      </c>
      <c r="F159" s="116">
        <v>1754.5</v>
      </c>
      <c r="G159">
        <v>138034</v>
      </c>
      <c r="H159" s="116"/>
      <c r="I159" s="116"/>
      <c r="L159" s="170">
        <v>42230</v>
      </c>
      <c r="M159" s="116">
        <v>877.8</v>
      </c>
      <c r="N159" s="116">
        <v>886.55</v>
      </c>
      <c r="O159" s="116">
        <v>842.5</v>
      </c>
      <c r="P159" s="116">
        <v>857.1</v>
      </c>
      <c r="Q159" s="116">
        <v>1755.6</v>
      </c>
      <c r="R159">
        <v>547020</v>
      </c>
    </row>
    <row r="160" spans="1:18" x14ac:dyDescent="0.25">
      <c r="A160" s="170">
        <v>42233</v>
      </c>
      <c r="B160" s="116">
        <v>899.02499999999998</v>
      </c>
      <c r="C160" s="116">
        <v>890.55</v>
      </c>
      <c r="D160" s="116">
        <v>857.97500000000002</v>
      </c>
      <c r="E160" s="116">
        <v>884.5</v>
      </c>
      <c r="F160" s="116">
        <v>1781.1</v>
      </c>
      <c r="G160">
        <v>149022</v>
      </c>
      <c r="H160" s="116"/>
      <c r="I160" s="116"/>
      <c r="L160" s="170">
        <v>42233</v>
      </c>
      <c r="M160" s="116">
        <v>892.1</v>
      </c>
      <c r="N160" s="116">
        <v>898.625</v>
      </c>
      <c r="O160" s="116">
        <v>857.5</v>
      </c>
      <c r="P160" s="116">
        <v>882.15</v>
      </c>
      <c r="Q160" s="116">
        <v>1784.2</v>
      </c>
      <c r="R160">
        <v>651669</v>
      </c>
    </row>
    <row r="161" spans="1:18" x14ac:dyDescent="0.25">
      <c r="A161" s="170">
        <v>42234</v>
      </c>
      <c r="B161" s="116">
        <v>1068.6500000000001</v>
      </c>
      <c r="C161" s="116">
        <v>1066.05</v>
      </c>
      <c r="D161" s="116">
        <v>894</v>
      </c>
      <c r="E161" s="116">
        <v>899.5</v>
      </c>
      <c r="F161" s="116">
        <v>2132.1</v>
      </c>
      <c r="G161">
        <v>826586</v>
      </c>
      <c r="H161" s="116"/>
      <c r="I161" s="116"/>
      <c r="L161" s="170">
        <v>42234</v>
      </c>
      <c r="M161" s="116">
        <v>1067.425</v>
      </c>
      <c r="N161" s="116">
        <v>1070.5</v>
      </c>
      <c r="O161" s="116">
        <v>893.15</v>
      </c>
      <c r="P161" s="116">
        <v>896.5</v>
      </c>
      <c r="Q161" s="116">
        <v>2134.85</v>
      </c>
      <c r="R161">
        <v>4057662</v>
      </c>
    </row>
    <row r="162" spans="1:18" x14ac:dyDescent="0.25">
      <c r="A162" s="170">
        <v>42235</v>
      </c>
      <c r="B162" s="116">
        <v>1158.5</v>
      </c>
      <c r="C162" s="116">
        <v>1096.5250000000001</v>
      </c>
      <c r="D162" s="116">
        <v>1056.875</v>
      </c>
      <c r="E162" s="116">
        <v>1076.5</v>
      </c>
      <c r="F162" s="116">
        <v>2193.0500000000002</v>
      </c>
      <c r="G162">
        <v>740569</v>
      </c>
      <c r="H162" s="116"/>
      <c r="I162" s="116"/>
      <c r="L162" s="170">
        <v>42235</v>
      </c>
      <c r="M162" s="116">
        <v>1097.0999999999999</v>
      </c>
      <c r="N162" s="116">
        <v>1158.7</v>
      </c>
      <c r="O162" s="116">
        <v>1057.5</v>
      </c>
      <c r="P162" s="116">
        <v>1077</v>
      </c>
      <c r="Q162" s="116">
        <v>2194.1999999999998</v>
      </c>
      <c r="R162">
        <v>3716269</v>
      </c>
    </row>
    <row r="163" spans="1:18" x14ac:dyDescent="0.25">
      <c r="A163" s="170">
        <v>42236</v>
      </c>
      <c r="B163" s="116">
        <v>1092.5</v>
      </c>
      <c r="C163" s="116">
        <v>1050.2</v>
      </c>
      <c r="D163" s="116">
        <v>1025</v>
      </c>
      <c r="E163" s="116">
        <v>1090</v>
      </c>
      <c r="F163" s="116">
        <v>2100.4</v>
      </c>
      <c r="G163">
        <v>356319</v>
      </c>
      <c r="H163" s="116"/>
      <c r="I163" s="116"/>
      <c r="L163" s="170">
        <v>42236</v>
      </c>
      <c r="M163" s="116">
        <v>1049.625</v>
      </c>
      <c r="N163" s="116">
        <v>1092.5</v>
      </c>
      <c r="O163" s="116">
        <v>1022.5</v>
      </c>
      <c r="P163" s="116">
        <v>1084.9000000000001</v>
      </c>
      <c r="Q163" s="116">
        <v>2099.25</v>
      </c>
      <c r="R163">
        <v>1430339</v>
      </c>
    </row>
    <row r="164" spans="1:18" x14ac:dyDescent="0.25">
      <c r="A164" s="170">
        <v>42237</v>
      </c>
      <c r="B164" s="116">
        <v>1038</v>
      </c>
      <c r="C164" s="116">
        <v>1029.375</v>
      </c>
      <c r="D164" s="116">
        <v>984.5</v>
      </c>
      <c r="E164" s="116">
        <v>1025</v>
      </c>
      <c r="F164" s="116">
        <v>2058.75</v>
      </c>
      <c r="G164">
        <v>275447</v>
      </c>
      <c r="H164" s="116"/>
      <c r="I164" s="116"/>
      <c r="L164" s="170">
        <v>42237</v>
      </c>
      <c r="M164" s="116">
        <v>1029.575</v>
      </c>
      <c r="N164" s="116">
        <v>1037.3</v>
      </c>
      <c r="O164" s="116">
        <v>991.57500000000005</v>
      </c>
      <c r="P164" s="116">
        <v>1022.5</v>
      </c>
      <c r="Q164" s="116">
        <v>2059.15</v>
      </c>
      <c r="R164">
        <v>1170291</v>
      </c>
    </row>
    <row r="165" spans="1:18" x14ac:dyDescent="0.25">
      <c r="A165" s="170">
        <v>42240</v>
      </c>
      <c r="B165" s="116">
        <v>983.45</v>
      </c>
      <c r="C165" s="116">
        <v>846.35</v>
      </c>
      <c r="D165" s="116">
        <v>831.5</v>
      </c>
      <c r="E165" s="116">
        <v>960</v>
      </c>
      <c r="F165" s="116">
        <v>1692.7</v>
      </c>
      <c r="G165">
        <v>305655</v>
      </c>
      <c r="H165" s="116"/>
      <c r="I165" s="116"/>
      <c r="L165" s="170">
        <v>42240</v>
      </c>
      <c r="M165" s="116">
        <v>845.9</v>
      </c>
      <c r="N165" s="116">
        <v>983</v>
      </c>
      <c r="O165" s="116">
        <v>827.77499999999998</v>
      </c>
      <c r="P165" s="116">
        <v>971.5</v>
      </c>
      <c r="Q165" s="116">
        <v>1691.8</v>
      </c>
      <c r="R165">
        <v>1155330</v>
      </c>
    </row>
    <row r="166" spans="1:18" x14ac:dyDescent="0.25">
      <c r="A166" s="170">
        <v>42241</v>
      </c>
      <c r="B166" s="116">
        <v>909.5</v>
      </c>
      <c r="C166" s="116">
        <v>882.07500000000005</v>
      </c>
      <c r="D166" s="116">
        <v>780.25</v>
      </c>
      <c r="E166" s="116">
        <v>876.1</v>
      </c>
      <c r="F166" s="116">
        <v>1764.15</v>
      </c>
      <c r="G166">
        <v>565440</v>
      </c>
      <c r="H166" s="116"/>
      <c r="I166" s="116"/>
      <c r="L166" s="170">
        <v>42241</v>
      </c>
      <c r="M166" s="116">
        <v>882.75</v>
      </c>
      <c r="N166" s="116">
        <v>909.97500000000002</v>
      </c>
      <c r="O166" s="116">
        <v>777.5</v>
      </c>
      <c r="P166" s="116">
        <v>884.5</v>
      </c>
      <c r="Q166" s="116">
        <v>1765.5</v>
      </c>
      <c r="R166">
        <v>1919894</v>
      </c>
    </row>
    <row r="167" spans="1:18" x14ac:dyDescent="0.25">
      <c r="A167" s="170">
        <v>42242</v>
      </c>
      <c r="B167" s="116">
        <v>932.5</v>
      </c>
      <c r="C167" s="116">
        <v>892.75</v>
      </c>
      <c r="D167" s="116">
        <v>844.7</v>
      </c>
      <c r="E167" s="116">
        <v>873.5</v>
      </c>
      <c r="F167" s="116">
        <v>1785.5</v>
      </c>
      <c r="G167">
        <v>392532</v>
      </c>
      <c r="H167" s="116"/>
      <c r="I167" s="116"/>
      <c r="L167" s="170">
        <v>42242</v>
      </c>
      <c r="M167" s="116">
        <v>895.32500000000005</v>
      </c>
      <c r="N167" s="116">
        <v>932.45</v>
      </c>
      <c r="O167" s="116">
        <v>844</v>
      </c>
      <c r="P167" s="116">
        <v>873.5</v>
      </c>
      <c r="Q167" s="116">
        <v>1790.65</v>
      </c>
      <c r="R167">
        <v>1455498</v>
      </c>
    </row>
    <row r="168" spans="1:18" x14ac:dyDescent="0.25">
      <c r="A168" s="170">
        <v>42243</v>
      </c>
      <c r="B168" s="116">
        <v>951</v>
      </c>
      <c r="C168" s="116">
        <v>926.27499999999998</v>
      </c>
      <c r="D168" s="116">
        <v>917.05</v>
      </c>
      <c r="E168" s="116">
        <v>924.5</v>
      </c>
      <c r="F168" s="116">
        <v>1852.55</v>
      </c>
      <c r="G168">
        <v>227216</v>
      </c>
      <c r="H168" s="116"/>
      <c r="I168" s="116"/>
      <c r="L168" s="170">
        <v>42243</v>
      </c>
      <c r="M168" s="116">
        <v>926.55</v>
      </c>
      <c r="N168" s="116">
        <v>949</v>
      </c>
      <c r="O168" s="116">
        <v>918.25</v>
      </c>
      <c r="P168" s="116">
        <v>922.35</v>
      </c>
      <c r="Q168" s="116">
        <v>1853.1</v>
      </c>
      <c r="R168">
        <v>1014598</v>
      </c>
    </row>
    <row r="169" spans="1:18" x14ac:dyDescent="0.25">
      <c r="A169" s="170">
        <v>42244</v>
      </c>
      <c r="B169" s="116">
        <v>959.6</v>
      </c>
      <c r="C169" s="116">
        <v>930.47500000000002</v>
      </c>
      <c r="D169" s="116">
        <v>922.5</v>
      </c>
      <c r="E169" s="116">
        <v>940.5</v>
      </c>
      <c r="F169" s="116">
        <v>1860.95</v>
      </c>
      <c r="G169">
        <v>216663</v>
      </c>
      <c r="H169" s="116"/>
      <c r="I169" s="116"/>
      <c r="L169" s="170">
        <v>42244</v>
      </c>
      <c r="M169" s="116">
        <v>932.47500000000002</v>
      </c>
      <c r="N169" s="116">
        <v>959.95</v>
      </c>
      <c r="O169" s="116">
        <v>923.5</v>
      </c>
      <c r="P169" s="116">
        <v>942.75</v>
      </c>
      <c r="Q169" s="116">
        <v>1864.95</v>
      </c>
      <c r="R169">
        <v>963174</v>
      </c>
    </row>
    <row r="170" spans="1:18" x14ac:dyDescent="0.25">
      <c r="A170" s="170">
        <v>42247</v>
      </c>
      <c r="B170" s="116">
        <v>931.5</v>
      </c>
      <c r="C170" s="116">
        <v>918.3</v>
      </c>
      <c r="D170" s="116">
        <v>906.85</v>
      </c>
      <c r="E170" s="116">
        <v>927.5</v>
      </c>
      <c r="F170" s="116">
        <v>1836.6</v>
      </c>
      <c r="G170">
        <v>134553</v>
      </c>
      <c r="H170" s="116"/>
      <c r="I170" s="116"/>
      <c r="L170" s="170">
        <v>42247</v>
      </c>
      <c r="M170" s="116">
        <v>919.22500000000002</v>
      </c>
      <c r="N170" s="116">
        <v>931.45</v>
      </c>
      <c r="O170" s="116">
        <v>900</v>
      </c>
      <c r="P170" s="116">
        <v>927.1</v>
      </c>
      <c r="Q170" s="116">
        <v>1838.45</v>
      </c>
      <c r="R170">
        <v>531712</v>
      </c>
    </row>
    <row r="171" spans="1:18" x14ac:dyDescent="0.25">
      <c r="A171" s="170">
        <v>42248</v>
      </c>
      <c r="B171" s="116">
        <v>953.5</v>
      </c>
      <c r="C171" s="116">
        <v>905.35</v>
      </c>
      <c r="D171" s="116">
        <v>890.75</v>
      </c>
      <c r="E171" s="116">
        <v>901</v>
      </c>
      <c r="F171" s="116">
        <v>1810.7</v>
      </c>
      <c r="G171">
        <v>300730</v>
      </c>
      <c r="H171" s="116"/>
      <c r="I171" s="116"/>
      <c r="L171" s="170">
        <v>42248</v>
      </c>
      <c r="M171" s="116">
        <v>903.7</v>
      </c>
      <c r="N171" s="116">
        <v>954.85</v>
      </c>
      <c r="O171" s="116">
        <v>889</v>
      </c>
      <c r="P171" s="116">
        <v>902.5</v>
      </c>
      <c r="Q171" s="116">
        <v>1807.4</v>
      </c>
      <c r="R171">
        <v>1170191</v>
      </c>
    </row>
    <row r="172" spans="1:18" x14ac:dyDescent="0.25">
      <c r="A172" s="170">
        <v>42249</v>
      </c>
      <c r="B172" s="116">
        <v>942</v>
      </c>
      <c r="C172" s="116">
        <v>925.05</v>
      </c>
      <c r="D172" s="116">
        <v>917.55</v>
      </c>
      <c r="E172" s="116">
        <v>921</v>
      </c>
      <c r="F172" s="116">
        <v>1850.1</v>
      </c>
      <c r="G172">
        <v>214297</v>
      </c>
      <c r="H172" s="116"/>
      <c r="I172" s="116"/>
      <c r="L172" s="170">
        <v>42249</v>
      </c>
      <c r="M172" s="116">
        <v>924.25</v>
      </c>
      <c r="N172" s="116">
        <v>942</v>
      </c>
      <c r="O172" s="116">
        <v>916.77499999999998</v>
      </c>
      <c r="P172" s="116">
        <v>920</v>
      </c>
      <c r="Q172" s="116">
        <v>1848.5</v>
      </c>
      <c r="R172">
        <v>862351</v>
      </c>
    </row>
    <row r="173" spans="1:18" x14ac:dyDescent="0.25">
      <c r="A173" s="170">
        <v>42250</v>
      </c>
      <c r="B173" s="116">
        <v>950</v>
      </c>
      <c r="C173" s="116">
        <v>934.52499999999998</v>
      </c>
      <c r="D173" s="116">
        <v>927.55</v>
      </c>
      <c r="E173" s="116">
        <v>938.7</v>
      </c>
      <c r="F173" s="116">
        <v>1869.05</v>
      </c>
      <c r="G173">
        <v>126572</v>
      </c>
      <c r="H173" s="116"/>
      <c r="I173" s="116"/>
      <c r="L173" s="170">
        <v>42250</v>
      </c>
      <c r="M173" s="116">
        <v>933.4</v>
      </c>
      <c r="N173" s="116">
        <v>950</v>
      </c>
      <c r="O173" s="116">
        <v>926.77499999999998</v>
      </c>
      <c r="P173" s="116">
        <v>938.55</v>
      </c>
      <c r="Q173" s="116">
        <v>1866.8</v>
      </c>
      <c r="R173">
        <v>577277</v>
      </c>
    </row>
    <row r="174" spans="1:18" x14ac:dyDescent="0.25">
      <c r="A174" s="170">
        <v>42251</v>
      </c>
      <c r="B174" s="116">
        <v>930</v>
      </c>
      <c r="C174" s="116">
        <v>881.875</v>
      </c>
      <c r="D174" s="116">
        <v>862.125</v>
      </c>
      <c r="E174" s="116">
        <v>930</v>
      </c>
      <c r="F174" s="116">
        <v>1763.75</v>
      </c>
      <c r="G174">
        <v>222916</v>
      </c>
      <c r="H174" s="116"/>
      <c r="I174" s="116"/>
      <c r="L174" s="170">
        <v>42251</v>
      </c>
      <c r="M174" s="116">
        <v>884.55</v>
      </c>
      <c r="N174" s="116">
        <v>927.2</v>
      </c>
      <c r="O174" s="116">
        <v>861</v>
      </c>
      <c r="P174" s="116">
        <v>924</v>
      </c>
      <c r="Q174" s="116">
        <v>1769.1</v>
      </c>
      <c r="R174">
        <v>802383</v>
      </c>
    </row>
    <row r="175" spans="1:18" x14ac:dyDescent="0.25">
      <c r="A175" s="170">
        <v>42254</v>
      </c>
      <c r="B175" s="116">
        <v>905.5</v>
      </c>
      <c r="C175" s="116">
        <v>862.35</v>
      </c>
      <c r="D175" s="116">
        <v>857.55</v>
      </c>
      <c r="E175" s="116">
        <v>893</v>
      </c>
      <c r="F175" s="116">
        <v>1724.7</v>
      </c>
      <c r="G175">
        <v>173807</v>
      </c>
      <c r="H175" s="116"/>
      <c r="I175" s="116"/>
      <c r="L175" s="170">
        <v>42254</v>
      </c>
      <c r="M175" s="116">
        <v>861.95</v>
      </c>
      <c r="N175" s="116">
        <v>905</v>
      </c>
      <c r="O175" s="116">
        <v>856.5</v>
      </c>
      <c r="P175" s="116">
        <v>890</v>
      </c>
      <c r="Q175" s="116">
        <v>1723.9</v>
      </c>
      <c r="R175">
        <v>707260</v>
      </c>
    </row>
    <row r="176" spans="1:18" x14ac:dyDescent="0.25">
      <c r="A176" s="170">
        <v>42255</v>
      </c>
      <c r="B176" s="116">
        <v>954.97500000000002</v>
      </c>
      <c r="C176" s="116">
        <v>938.85</v>
      </c>
      <c r="D176" s="116">
        <v>861.55</v>
      </c>
      <c r="E176" s="116">
        <v>873.5</v>
      </c>
      <c r="F176" s="116">
        <v>1877.7</v>
      </c>
      <c r="G176">
        <v>423295</v>
      </c>
      <c r="H176" s="116"/>
      <c r="I176" s="116"/>
      <c r="L176" s="170">
        <v>42255</v>
      </c>
      <c r="M176" s="116">
        <v>940.375</v>
      </c>
      <c r="N176" s="116">
        <v>957.4</v>
      </c>
      <c r="O176" s="116">
        <v>862</v>
      </c>
      <c r="P176" s="116">
        <v>875.375</v>
      </c>
      <c r="Q176" s="116">
        <v>1880.75</v>
      </c>
      <c r="R176">
        <v>1851869</v>
      </c>
    </row>
    <row r="177" spans="1:18" x14ac:dyDescent="0.25">
      <c r="A177" s="170">
        <v>42256</v>
      </c>
      <c r="B177" s="116">
        <v>1004.5</v>
      </c>
      <c r="C177" s="116">
        <v>971.45</v>
      </c>
      <c r="D177" s="116">
        <v>963</v>
      </c>
      <c r="E177" s="116">
        <v>963.5</v>
      </c>
      <c r="F177" s="116">
        <v>1942.9</v>
      </c>
      <c r="G177">
        <v>344794</v>
      </c>
      <c r="H177" s="116"/>
      <c r="I177" s="116"/>
      <c r="L177" s="170">
        <v>42256</v>
      </c>
      <c r="M177" s="116">
        <v>974.05</v>
      </c>
      <c r="N177" s="116">
        <v>1005.45</v>
      </c>
      <c r="O177" s="116">
        <v>964.85</v>
      </c>
      <c r="P177" s="116">
        <v>964.85</v>
      </c>
      <c r="Q177" s="116">
        <v>1948.1</v>
      </c>
      <c r="R177">
        <v>1694987</v>
      </c>
    </row>
    <row r="178" spans="1:18" x14ac:dyDescent="0.25">
      <c r="A178" s="170">
        <v>42257</v>
      </c>
      <c r="B178" s="116">
        <v>970.7</v>
      </c>
      <c r="C178" s="116">
        <v>964.25</v>
      </c>
      <c r="D178" s="116">
        <v>931</v>
      </c>
      <c r="E178" s="116">
        <v>949.5</v>
      </c>
      <c r="F178" s="116">
        <v>1928.5</v>
      </c>
      <c r="G178">
        <v>255521</v>
      </c>
      <c r="H178" s="116"/>
      <c r="I178" s="116"/>
      <c r="L178" s="170">
        <v>42257</v>
      </c>
      <c r="M178" s="116">
        <v>963.9</v>
      </c>
      <c r="N178" s="116">
        <v>972.5</v>
      </c>
      <c r="O178" s="116">
        <v>931</v>
      </c>
      <c r="P178" s="116">
        <v>949</v>
      </c>
      <c r="Q178" s="116">
        <v>1927.8</v>
      </c>
      <c r="R178">
        <v>1144922</v>
      </c>
    </row>
    <row r="179" spans="1:18" x14ac:dyDescent="0.25">
      <c r="A179" s="170">
        <v>42258</v>
      </c>
      <c r="B179" s="116">
        <v>1004.95</v>
      </c>
      <c r="C179" s="116">
        <v>985.07500000000005</v>
      </c>
      <c r="D179" s="116">
        <v>975.55</v>
      </c>
      <c r="E179" s="116">
        <v>975.55</v>
      </c>
      <c r="F179" s="116">
        <v>1970.15</v>
      </c>
      <c r="G179">
        <v>261279</v>
      </c>
      <c r="H179" s="116"/>
      <c r="I179" s="116"/>
      <c r="L179" s="170">
        <v>42258</v>
      </c>
      <c r="M179" s="116">
        <v>986.17499999999995</v>
      </c>
      <c r="N179" s="116">
        <v>1005</v>
      </c>
      <c r="O179" s="116">
        <v>976.5</v>
      </c>
      <c r="P179" s="116">
        <v>977.5</v>
      </c>
      <c r="Q179" s="116">
        <v>1972.35</v>
      </c>
      <c r="R179">
        <v>1142024</v>
      </c>
    </row>
    <row r="180" spans="1:18" x14ac:dyDescent="0.25">
      <c r="A180" s="170">
        <v>42261</v>
      </c>
      <c r="B180" s="116">
        <v>1012.1</v>
      </c>
      <c r="C180" s="116">
        <v>997.77499999999998</v>
      </c>
      <c r="D180" s="116">
        <v>992.1</v>
      </c>
      <c r="E180" s="116">
        <v>999</v>
      </c>
      <c r="F180" s="116">
        <v>1995.55</v>
      </c>
      <c r="G180">
        <v>186874</v>
      </c>
      <c r="H180" s="116"/>
      <c r="I180" s="116"/>
      <c r="L180" s="170">
        <v>42261</v>
      </c>
      <c r="M180" s="116">
        <v>999.6</v>
      </c>
      <c r="N180" s="116">
        <v>1012</v>
      </c>
      <c r="O180" s="116">
        <v>991.82500000000005</v>
      </c>
      <c r="P180" s="116">
        <v>999.97500000000002</v>
      </c>
      <c r="Q180" s="116">
        <v>1999.2</v>
      </c>
      <c r="R180">
        <v>828404</v>
      </c>
    </row>
    <row r="181" spans="1:18" x14ac:dyDescent="0.25">
      <c r="A181" s="170">
        <v>42262</v>
      </c>
      <c r="B181" s="116">
        <v>1008.375</v>
      </c>
      <c r="C181" s="116">
        <v>954.7</v>
      </c>
      <c r="D181" s="116">
        <v>948.6</v>
      </c>
      <c r="E181" s="116">
        <v>1000.6</v>
      </c>
      <c r="F181" s="116">
        <v>1909.4</v>
      </c>
      <c r="G181">
        <v>219210</v>
      </c>
      <c r="H181" s="116"/>
      <c r="I181" s="116"/>
      <c r="L181" s="170">
        <v>42262</v>
      </c>
      <c r="M181" s="116">
        <v>956.55</v>
      </c>
      <c r="N181" s="116">
        <v>1008.45</v>
      </c>
      <c r="O181" s="116">
        <v>950.75</v>
      </c>
      <c r="P181" s="116">
        <v>1000.85</v>
      </c>
      <c r="Q181" s="116">
        <v>1913.1</v>
      </c>
      <c r="R181">
        <v>818823</v>
      </c>
    </row>
    <row r="182" spans="1:18" x14ac:dyDescent="0.25">
      <c r="A182" s="170">
        <v>42263</v>
      </c>
      <c r="B182" s="116">
        <v>978.75</v>
      </c>
      <c r="C182" s="116">
        <v>931.1</v>
      </c>
      <c r="D182" s="116">
        <v>918.125</v>
      </c>
      <c r="E182" s="116">
        <v>964.45</v>
      </c>
      <c r="F182" s="116">
        <v>1862.2</v>
      </c>
      <c r="G182">
        <v>221544</v>
      </c>
      <c r="H182" s="116"/>
      <c r="I182" s="116"/>
      <c r="L182" s="170">
        <v>42263</v>
      </c>
      <c r="M182" s="116">
        <v>930.8</v>
      </c>
      <c r="N182" s="116">
        <v>978.42499999999995</v>
      </c>
      <c r="O182" s="116">
        <v>918.35</v>
      </c>
      <c r="P182" s="116">
        <v>971.9</v>
      </c>
      <c r="Q182" s="116">
        <v>1861.6</v>
      </c>
      <c r="R182">
        <v>953763</v>
      </c>
    </row>
    <row r="183" spans="1:18" x14ac:dyDescent="0.25">
      <c r="A183" s="170">
        <v>42265</v>
      </c>
      <c r="B183" s="116">
        <v>965.875</v>
      </c>
      <c r="C183" s="116">
        <v>939.77499999999998</v>
      </c>
      <c r="D183" s="116">
        <v>930</v>
      </c>
      <c r="E183" s="116">
        <v>939.5</v>
      </c>
      <c r="F183" s="116">
        <v>1879.55</v>
      </c>
      <c r="G183">
        <v>171858</v>
      </c>
      <c r="H183" s="116"/>
      <c r="I183" s="116"/>
      <c r="L183" s="170">
        <v>42265</v>
      </c>
      <c r="M183" s="116">
        <v>938.5</v>
      </c>
      <c r="N183" s="116">
        <v>965.5</v>
      </c>
      <c r="O183" s="116">
        <v>928.25</v>
      </c>
      <c r="P183" s="116">
        <v>945.72500000000002</v>
      </c>
      <c r="Q183" s="116">
        <v>1877</v>
      </c>
      <c r="R183">
        <v>702705</v>
      </c>
    </row>
    <row r="184" spans="1:18" x14ac:dyDescent="0.25">
      <c r="A184" s="170">
        <v>42268</v>
      </c>
      <c r="B184" s="116">
        <v>965.85</v>
      </c>
      <c r="C184" s="116">
        <v>960.35</v>
      </c>
      <c r="D184" s="116">
        <v>914.6</v>
      </c>
      <c r="E184" s="116">
        <v>937.5</v>
      </c>
      <c r="F184" s="116">
        <v>1920.7</v>
      </c>
      <c r="G184">
        <v>199045</v>
      </c>
      <c r="H184" s="116"/>
      <c r="I184" s="116"/>
      <c r="L184" s="170">
        <v>42268</v>
      </c>
      <c r="M184" s="116">
        <v>958.72500000000002</v>
      </c>
      <c r="N184" s="116">
        <v>963.9</v>
      </c>
      <c r="O184" s="116">
        <v>914</v>
      </c>
      <c r="P184" s="116">
        <v>930</v>
      </c>
      <c r="Q184" s="116">
        <v>1917.45</v>
      </c>
      <c r="R184">
        <v>754903</v>
      </c>
    </row>
    <row r="185" spans="1:18" x14ac:dyDescent="0.25">
      <c r="A185" s="170">
        <v>42269</v>
      </c>
      <c r="B185" s="116">
        <v>977.5</v>
      </c>
      <c r="C185" s="116">
        <v>940.2</v>
      </c>
      <c r="D185" s="116">
        <v>934</v>
      </c>
      <c r="E185" s="116">
        <v>962.5</v>
      </c>
      <c r="F185" s="116">
        <v>1880.4</v>
      </c>
      <c r="G185">
        <v>179653</v>
      </c>
      <c r="H185" s="116"/>
      <c r="I185" s="116"/>
      <c r="L185" s="170">
        <v>42269</v>
      </c>
      <c r="M185" s="116">
        <v>939.8</v>
      </c>
      <c r="N185" s="116">
        <v>977.5</v>
      </c>
      <c r="O185" s="116">
        <v>933.67499999999995</v>
      </c>
      <c r="P185" s="116">
        <v>963.45</v>
      </c>
      <c r="Q185" s="116">
        <v>1879.6</v>
      </c>
      <c r="R185">
        <v>857348</v>
      </c>
    </row>
    <row r="186" spans="1:18" x14ac:dyDescent="0.25">
      <c r="A186" s="170">
        <v>42270</v>
      </c>
      <c r="B186" s="116">
        <v>957.5</v>
      </c>
      <c r="C186" s="116">
        <v>944.15</v>
      </c>
      <c r="D186" s="116">
        <v>915</v>
      </c>
      <c r="E186" s="116">
        <v>925</v>
      </c>
      <c r="F186" s="116">
        <v>1888.3</v>
      </c>
      <c r="G186">
        <v>201098</v>
      </c>
      <c r="H186" s="116"/>
      <c r="I186" s="116"/>
      <c r="L186" s="170">
        <v>42270</v>
      </c>
      <c r="M186" s="116">
        <v>947.1</v>
      </c>
      <c r="N186" s="116">
        <v>959.4</v>
      </c>
      <c r="O186" s="116">
        <v>915.875</v>
      </c>
      <c r="P186" s="116">
        <v>925</v>
      </c>
      <c r="Q186" s="116">
        <v>1894.2</v>
      </c>
      <c r="R186">
        <v>762470</v>
      </c>
    </row>
    <row r="187" spans="1:18" x14ac:dyDescent="0.25">
      <c r="A187" s="170">
        <v>42271</v>
      </c>
      <c r="B187" s="116">
        <v>956</v>
      </c>
      <c r="C187" s="116">
        <v>943.95</v>
      </c>
      <c r="D187" s="116">
        <v>937.5</v>
      </c>
      <c r="E187" s="116">
        <v>944.5</v>
      </c>
      <c r="F187" s="116">
        <v>1887.9</v>
      </c>
      <c r="G187">
        <v>125680</v>
      </c>
      <c r="H187" s="116"/>
      <c r="I187" s="116"/>
      <c r="L187" s="170">
        <v>42271</v>
      </c>
      <c r="M187" s="116">
        <v>943.27499999999998</v>
      </c>
      <c r="N187" s="116">
        <v>956.5</v>
      </c>
      <c r="O187" s="116">
        <v>937.02499999999998</v>
      </c>
      <c r="P187" s="116">
        <v>942.5</v>
      </c>
      <c r="Q187" s="116">
        <v>1886.55</v>
      </c>
      <c r="R187">
        <v>473733</v>
      </c>
    </row>
    <row r="188" spans="1:18" x14ac:dyDescent="0.25">
      <c r="A188" s="170">
        <v>42275</v>
      </c>
      <c r="B188" s="116">
        <v>963.9</v>
      </c>
      <c r="C188" s="116">
        <v>941.1</v>
      </c>
      <c r="D188" s="116">
        <v>937.52499999999998</v>
      </c>
      <c r="E188" s="116">
        <v>944.5</v>
      </c>
      <c r="F188" s="116">
        <v>1882.2</v>
      </c>
      <c r="G188">
        <v>146306</v>
      </c>
      <c r="H188" s="116"/>
      <c r="I188" s="116"/>
      <c r="L188" s="170">
        <v>42275</v>
      </c>
      <c r="M188" s="116">
        <v>940.92499999999995</v>
      </c>
      <c r="N188" s="116">
        <v>964.25</v>
      </c>
      <c r="O188" s="116">
        <v>937.125</v>
      </c>
      <c r="P188" s="116">
        <v>947.5</v>
      </c>
      <c r="Q188" s="116">
        <v>1881.85</v>
      </c>
      <c r="R188">
        <v>581354</v>
      </c>
    </row>
    <row r="189" spans="1:18" x14ac:dyDescent="0.25">
      <c r="A189" s="170">
        <v>42276</v>
      </c>
      <c r="B189" s="116">
        <v>953.8</v>
      </c>
      <c r="C189" s="116">
        <v>934.02499999999998</v>
      </c>
      <c r="D189" s="116">
        <v>917.25</v>
      </c>
      <c r="E189" s="116">
        <v>925</v>
      </c>
      <c r="F189" s="116">
        <v>1868.05</v>
      </c>
      <c r="G189">
        <v>163457</v>
      </c>
      <c r="H189" s="116"/>
      <c r="I189" s="116"/>
      <c r="L189" s="170">
        <v>42276</v>
      </c>
      <c r="M189" s="116">
        <v>935.15</v>
      </c>
      <c r="N189" s="116">
        <v>953.5</v>
      </c>
      <c r="O189" s="116">
        <v>917.8</v>
      </c>
      <c r="P189" s="116">
        <v>922.5</v>
      </c>
      <c r="Q189" s="116">
        <v>1870.3</v>
      </c>
      <c r="R189">
        <v>553856</v>
      </c>
    </row>
    <row r="190" spans="1:18" x14ac:dyDescent="0.25">
      <c r="A190" s="170">
        <v>42277</v>
      </c>
      <c r="B190" s="116">
        <v>953.47500000000002</v>
      </c>
      <c r="C190" s="116">
        <v>940.67499999999995</v>
      </c>
      <c r="D190" s="116">
        <v>936</v>
      </c>
      <c r="E190" s="116">
        <v>944.8</v>
      </c>
      <c r="F190" s="116">
        <v>1881.35</v>
      </c>
      <c r="G190">
        <v>102368</v>
      </c>
      <c r="H190" s="116"/>
      <c r="I190" s="116"/>
      <c r="L190" s="170">
        <v>42277</v>
      </c>
      <c r="M190" s="116">
        <v>939.97500000000002</v>
      </c>
      <c r="N190" s="116">
        <v>953.85</v>
      </c>
      <c r="O190" s="116">
        <v>936</v>
      </c>
      <c r="P190" s="116">
        <v>944</v>
      </c>
      <c r="Q190" s="116">
        <v>1879.95</v>
      </c>
      <c r="R190">
        <v>380080</v>
      </c>
    </row>
    <row r="191" spans="1:18" x14ac:dyDescent="0.25">
      <c r="A191" s="170">
        <v>42278</v>
      </c>
      <c r="B191" s="116">
        <v>958.45</v>
      </c>
      <c r="C191" s="116">
        <v>940.375</v>
      </c>
      <c r="D191" s="116">
        <v>937.5</v>
      </c>
      <c r="E191" s="116">
        <v>949.4</v>
      </c>
      <c r="F191" s="116">
        <v>1880.75</v>
      </c>
      <c r="G191">
        <v>122064</v>
      </c>
      <c r="H191" s="116"/>
      <c r="I191" s="116"/>
      <c r="L191" s="170">
        <v>42278</v>
      </c>
      <c r="M191" s="116">
        <v>940.3</v>
      </c>
      <c r="N191" s="116">
        <v>959</v>
      </c>
      <c r="O191" s="116">
        <v>937.55</v>
      </c>
      <c r="P191" s="116">
        <v>947.5</v>
      </c>
      <c r="Q191" s="116">
        <v>1880.6</v>
      </c>
      <c r="R191">
        <v>545394</v>
      </c>
    </row>
    <row r="192" spans="1:18" x14ac:dyDescent="0.25">
      <c r="A192" s="170">
        <v>42282</v>
      </c>
      <c r="B192" s="116">
        <v>985</v>
      </c>
      <c r="C192" s="116">
        <v>972.67499999999995</v>
      </c>
      <c r="D192" s="116">
        <v>946.125</v>
      </c>
      <c r="E192" s="116">
        <v>947.75</v>
      </c>
      <c r="F192" s="116">
        <v>1945.35</v>
      </c>
      <c r="G192">
        <v>253674</v>
      </c>
      <c r="H192" s="116"/>
      <c r="I192" s="116"/>
      <c r="L192" s="170">
        <v>42282</v>
      </c>
      <c r="M192" s="116">
        <v>971.52499999999998</v>
      </c>
      <c r="N192" s="116">
        <v>985.5</v>
      </c>
      <c r="O192" s="116">
        <v>946</v>
      </c>
      <c r="P192" s="116">
        <v>949.7</v>
      </c>
      <c r="Q192" s="116">
        <v>1943.05</v>
      </c>
      <c r="R192">
        <v>1059218</v>
      </c>
    </row>
    <row r="193" spans="1:18" x14ac:dyDescent="0.25">
      <c r="A193" s="170">
        <v>42283</v>
      </c>
      <c r="B193" s="116">
        <v>994.375</v>
      </c>
      <c r="C193" s="116">
        <v>976.25</v>
      </c>
      <c r="D193" s="116">
        <v>973</v>
      </c>
      <c r="E193" s="116">
        <v>978.5</v>
      </c>
      <c r="F193" s="116">
        <v>1952.5</v>
      </c>
      <c r="G193">
        <v>189225</v>
      </c>
      <c r="H193" s="116"/>
      <c r="I193" s="116"/>
      <c r="L193" s="170">
        <v>42283</v>
      </c>
      <c r="M193" s="116">
        <v>976.25</v>
      </c>
      <c r="N193" s="116">
        <v>994.42499999999995</v>
      </c>
      <c r="O193" s="116">
        <v>971.25</v>
      </c>
      <c r="P193" s="116">
        <v>977.5</v>
      </c>
      <c r="Q193" s="116">
        <v>1952.5</v>
      </c>
      <c r="R193">
        <v>736075</v>
      </c>
    </row>
    <row r="194" spans="1:18" x14ac:dyDescent="0.25">
      <c r="A194" s="170">
        <v>42284</v>
      </c>
      <c r="B194" s="116">
        <v>983</v>
      </c>
      <c r="C194" s="116">
        <v>957.57500000000005</v>
      </c>
      <c r="D194" s="116">
        <v>955</v>
      </c>
      <c r="E194" s="116">
        <v>977.55</v>
      </c>
      <c r="F194" s="116">
        <v>1915.15</v>
      </c>
      <c r="G194">
        <v>110113</v>
      </c>
      <c r="H194" s="116"/>
      <c r="I194" s="116"/>
      <c r="L194" s="170">
        <v>42284</v>
      </c>
      <c r="M194" s="116">
        <v>958.32500000000005</v>
      </c>
      <c r="N194" s="116">
        <v>982.97500000000002</v>
      </c>
      <c r="O194" s="116">
        <v>955.25</v>
      </c>
      <c r="P194" s="116">
        <v>980.65</v>
      </c>
      <c r="Q194" s="116">
        <v>1916.65</v>
      </c>
      <c r="R194">
        <v>450313</v>
      </c>
    </row>
    <row r="195" spans="1:18" x14ac:dyDescent="0.25">
      <c r="A195" s="170">
        <v>42285</v>
      </c>
      <c r="B195" s="116">
        <v>964.5</v>
      </c>
      <c r="C195" s="116">
        <v>925.52499999999998</v>
      </c>
      <c r="D195" s="116">
        <v>921.05</v>
      </c>
      <c r="E195" s="116">
        <v>960.5</v>
      </c>
      <c r="F195" s="116">
        <v>1851.05</v>
      </c>
      <c r="G195">
        <v>141795</v>
      </c>
      <c r="H195" s="116"/>
      <c r="I195" s="116"/>
      <c r="L195" s="170">
        <v>42285</v>
      </c>
      <c r="M195" s="116">
        <v>926.82500000000005</v>
      </c>
      <c r="N195" s="116">
        <v>962.875</v>
      </c>
      <c r="O195" s="116">
        <v>923.77499999999998</v>
      </c>
      <c r="P195" s="116">
        <v>961.15</v>
      </c>
      <c r="Q195" s="116">
        <v>1853.65</v>
      </c>
      <c r="R195">
        <v>598392</v>
      </c>
    </row>
    <row r="196" spans="1:18" x14ac:dyDescent="0.25">
      <c r="A196" s="170">
        <v>42286</v>
      </c>
      <c r="B196" s="116">
        <v>941.97500000000002</v>
      </c>
      <c r="C196" s="116">
        <v>910.47500000000002</v>
      </c>
      <c r="D196" s="116">
        <v>907.5</v>
      </c>
      <c r="E196" s="116">
        <v>940</v>
      </c>
      <c r="F196" s="116">
        <v>1820.95</v>
      </c>
      <c r="G196">
        <v>128045</v>
      </c>
      <c r="H196" s="116"/>
      <c r="I196" s="116"/>
      <c r="L196" s="170">
        <v>42286</v>
      </c>
      <c r="M196" s="116">
        <v>912.55</v>
      </c>
      <c r="N196" s="116">
        <v>942</v>
      </c>
      <c r="O196" s="116">
        <v>906.1</v>
      </c>
      <c r="P196" s="116">
        <v>932.45</v>
      </c>
      <c r="Q196" s="116">
        <v>1825.1</v>
      </c>
      <c r="R196">
        <v>538462</v>
      </c>
    </row>
    <row r="197" spans="1:18" x14ac:dyDescent="0.25">
      <c r="A197" s="170">
        <v>42289</v>
      </c>
      <c r="B197" s="116">
        <v>920.25</v>
      </c>
      <c r="C197" s="116">
        <v>889.75</v>
      </c>
      <c r="D197" s="116">
        <v>886.45</v>
      </c>
      <c r="E197" s="116">
        <v>917.45</v>
      </c>
      <c r="F197" s="116">
        <v>1779.5</v>
      </c>
      <c r="G197">
        <v>120342</v>
      </c>
      <c r="H197" s="116"/>
      <c r="I197" s="116"/>
      <c r="L197" s="170">
        <v>42289</v>
      </c>
      <c r="M197" s="116">
        <v>891.67499999999995</v>
      </c>
      <c r="N197" s="116">
        <v>919.625</v>
      </c>
      <c r="O197" s="116">
        <v>885.92499999999995</v>
      </c>
      <c r="P197" s="116">
        <v>918.4</v>
      </c>
      <c r="Q197" s="116">
        <v>1783.35</v>
      </c>
      <c r="R197">
        <v>438204</v>
      </c>
    </row>
    <row r="198" spans="1:18" x14ac:dyDescent="0.25">
      <c r="A198" s="170">
        <v>42290</v>
      </c>
      <c r="B198" s="116">
        <v>928.45</v>
      </c>
      <c r="C198" s="116">
        <v>921.125</v>
      </c>
      <c r="D198" s="116">
        <v>876.3</v>
      </c>
      <c r="E198" s="116">
        <v>888.5</v>
      </c>
      <c r="F198" s="116">
        <v>1842.25</v>
      </c>
      <c r="G198">
        <v>248960</v>
      </c>
      <c r="H198" s="116"/>
      <c r="I198" s="116"/>
      <c r="L198" s="170">
        <v>42290</v>
      </c>
      <c r="M198" s="116">
        <v>921.22500000000002</v>
      </c>
      <c r="N198" s="116">
        <v>928</v>
      </c>
      <c r="O198" s="116">
        <v>876</v>
      </c>
      <c r="P198" s="116">
        <v>894.5</v>
      </c>
      <c r="Q198" s="116">
        <v>1842.45</v>
      </c>
      <c r="R198">
        <v>1025100</v>
      </c>
    </row>
    <row r="199" spans="1:18" x14ac:dyDescent="0.25">
      <c r="A199" s="170">
        <v>42291</v>
      </c>
      <c r="B199" s="116">
        <v>941.5</v>
      </c>
      <c r="C199" s="116">
        <v>925.22500000000002</v>
      </c>
      <c r="D199" s="116">
        <v>920</v>
      </c>
      <c r="E199" s="116">
        <v>925</v>
      </c>
      <c r="F199" s="116">
        <v>1850.45</v>
      </c>
      <c r="G199">
        <v>169151</v>
      </c>
      <c r="H199" s="116"/>
      <c r="I199" s="116"/>
      <c r="L199" s="170">
        <v>42291</v>
      </c>
      <c r="M199" s="116">
        <v>923.95</v>
      </c>
      <c r="N199" s="116">
        <v>942.27499999999998</v>
      </c>
      <c r="O199" s="116">
        <v>920.05</v>
      </c>
      <c r="P199" s="116">
        <v>925</v>
      </c>
      <c r="Q199" s="116">
        <v>1847.9</v>
      </c>
      <c r="R199">
        <v>715958</v>
      </c>
    </row>
    <row r="200" spans="1:18" x14ac:dyDescent="0.25">
      <c r="A200" s="170">
        <v>42292</v>
      </c>
      <c r="B200" s="116">
        <v>934</v>
      </c>
      <c r="C200" s="116">
        <v>911.125</v>
      </c>
      <c r="D200" s="116">
        <v>905.85</v>
      </c>
      <c r="E200" s="116">
        <v>927.55</v>
      </c>
      <c r="F200" s="116">
        <v>1822.25</v>
      </c>
      <c r="G200">
        <v>103829</v>
      </c>
      <c r="H200" s="116"/>
      <c r="I200" s="116"/>
      <c r="L200" s="170">
        <v>42292</v>
      </c>
      <c r="M200" s="116">
        <v>911</v>
      </c>
      <c r="N200" s="116">
        <v>933</v>
      </c>
      <c r="O200" s="116">
        <v>905.32500000000005</v>
      </c>
      <c r="P200" s="116">
        <v>929.3</v>
      </c>
      <c r="Q200" s="116">
        <v>1822</v>
      </c>
      <c r="R200">
        <v>370875</v>
      </c>
    </row>
    <row r="201" spans="1:18" x14ac:dyDescent="0.25">
      <c r="A201" s="170">
        <v>42293</v>
      </c>
      <c r="B201" s="116">
        <v>933.75</v>
      </c>
      <c r="C201" s="116">
        <v>921.125</v>
      </c>
      <c r="D201" s="116">
        <v>909.15</v>
      </c>
      <c r="E201" s="116">
        <v>915.5</v>
      </c>
      <c r="F201" s="116">
        <v>1842.25</v>
      </c>
      <c r="G201">
        <v>129056</v>
      </c>
      <c r="H201" s="116"/>
      <c r="I201" s="116"/>
      <c r="L201" s="170">
        <v>42293</v>
      </c>
      <c r="M201" s="116">
        <v>923.15</v>
      </c>
      <c r="N201" s="116">
        <v>934</v>
      </c>
      <c r="O201" s="116">
        <v>909.02499999999998</v>
      </c>
      <c r="P201" s="116">
        <v>914.95</v>
      </c>
      <c r="Q201" s="116">
        <v>1846.3</v>
      </c>
      <c r="R201">
        <v>536125</v>
      </c>
    </row>
    <row r="202" spans="1:18" x14ac:dyDescent="0.25">
      <c r="A202" s="170">
        <v>42296</v>
      </c>
      <c r="B202" s="116">
        <v>931</v>
      </c>
      <c r="C202" s="116">
        <v>919.72500000000002</v>
      </c>
      <c r="D202" s="116">
        <v>912.52499999999998</v>
      </c>
      <c r="E202" s="116">
        <v>927.5</v>
      </c>
      <c r="F202" s="116">
        <v>1839.45</v>
      </c>
      <c r="G202">
        <v>88607</v>
      </c>
      <c r="H202" s="116"/>
      <c r="I202" s="116"/>
      <c r="L202" s="170">
        <v>42296</v>
      </c>
      <c r="M202" s="116">
        <v>921.05</v>
      </c>
      <c r="N202" s="116">
        <v>930.6</v>
      </c>
      <c r="O202" s="116">
        <v>911</v>
      </c>
      <c r="P202" s="116">
        <v>927</v>
      </c>
      <c r="Q202" s="116">
        <v>1842.1</v>
      </c>
      <c r="R202">
        <v>320232</v>
      </c>
    </row>
    <row r="203" spans="1:18" x14ac:dyDescent="0.25">
      <c r="A203" s="170">
        <v>42297</v>
      </c>
      <c r="B203" s="116">
        <v>954.5</v>
      </c>
      <c r="C203" s="116">
        <v>933.6</v>
      </c>
      <c r="D203" s="116">
        <v>922.65</v>
      </c>
      <c r="E203" s="116">
        <v>922.65</v>
      </c>
      <c r="F203" s="116">
        <v>1867.2</v>
      </c>
      <c r="G203">
        <v>233356</v>
      </c>
      <c r="H203" s="116"/>
      <c r="I203" s="116"/>
      <c r="L203" s="170">
        <v>42297</v>
      </c>
      <c r="M203" s="116">
        <v>933.5</v>
      </c>
      <c r="N203" s="116">
        <v>953.9</v>
      </c>
      <c r="O203" s="116">
        <v>922.5</v>
      </c>
      <c r="P203" s="116">
        <v>925</v>
      </c>
      <c r="Q203" s="116">
        <v>1867</v>
      </c>
      <c r="R203">
        <v>855924</v>
      </c>
    </row>
    <row r="204" spans="1:18" x14ac:dyDescent="0.25">
      <c r="A204" s="170">
        <v>42298</v>
      </c>
      <c r="B204" s="116">
        <v>947.5</v>
      </c>
      <c r="C204" s="116">
        <v>930.25</v>
      </c>
      <c r="D204" s="116">
        <v>925.55</v>
      </c>
      <c r="E204" s="116">
        <v>938.5</v>
      </c>
      <c r="F204" s="116">
        <v>1860.5</v>
      </c>
      <c r="G204">
        <v>99290</v>
      </c>
      <c r="H204" s="116"/>
      <c r="I204" s="116"/>
      <c r="L204" s="170">
        <v>42298</v>
      </c>
      <c r="M204" s="116">
        <v>930.97500000000002</v>
      </c>
      <c r="N204" s="116">
        <v>947.25</v>
      </c>
      <c r="O204" s="116">
        <v>927.82500000000005</v>
      </c>
      <c r="P204" s="116">
        <v>935.65</v>
      </c>
      <c r="Q204" s="116">
        <v>1861.95</v>
      </c>
      <c r="R204">
        <v>415191</v>
      </c>
    </row>
    <row r="205" spans="1:18" x14ac:dyDescent="0.25">
      <c r="A205" s="170">
        <v>42300</v>
      </c>
      <c r="B205" s="116">
        <v>944.4</v>
      </c>
      <c r="C205" s="116">
        <v>923.5</v>
      </c>
      <c r="D205" s="116">
        <v>918.85</v>
      </c>
      <c r="E205" s="116">
        <v>940</v>
      </c>
      <c r="F205" s="116">
        <v>1847</v>
      </c>
      <c r="G205">
        <v>88206</v>
      </c>
      <c r="H205" s="116"/>
      <c r="I205" s="116"/>
      <c r="L205" s="170">
        <v>42300</v>
      </c>
      <c r="M205" s="116">
        <v>924.65</v>
      </c>
      <c r="N205" s="116">
        <v>944.15</v>
      </c>
      <c r="O205" s="116">
        <v>917.875</v>
      </c>
      <c r="P205" s="116">
        <v>940</v>
      </c>
      <c r="Q205" s="116">
        <v>1849.3</v>
      </c>
      <c r="R205">
        <v>360836</v>
      </c>
    </row>
    <row r="206" spans="1:18" x14ac:dyDescent="0.25">
      <c r="A206" s="170">
        <v>42303</v>
      </c>
      <c r="B206" s="116">
        <v>931.5</v>
      </c>
      <c r="C206" s="116">
        <v>918.375</v>
      </c>
      <c r="D206" s="116">
        <v>914.72500000000002</v>
      </c>
      <c r="E206" s="116">
        <v>931.5</v>
      </c>
      <c r="F206" s="116">
        <v>1836.75</v>
      </c>
      <c r="G206">
        <v>100310</v>
      </c>
      <c r="H206" s="116"/>
      <c r="I206" s="116"/>
      <c r="L206" s="170">
        <v>42303</v>
      </c>
      <c r="M206" s="116">
        <v>919.02499999999998</v>
      </c>
      <c r="N206" s="116">
        <v>931.97500000000002</v>
      </c>
      <c r="O206" s="116">
        <v>914</v>
      </c>
      <c r="P206" s="116">
        <v>931.97500000000002</v>
      </c>
      <c r="Q206" s="116">
        <v>1838.05</v>
      </c>
      <c r="R206">
        <v>290510</v>
      </c>
    </row>
    <row r="207" spans="1:18" x14ac:dyDescent="0.25">
      <c r="A207" s="170">
        <v>42304</v>
      </c>
      <c r="B207" s="116">
        <v>933.95</v>
      </c>
      <c r="C207" s="116">
        <v>925.22500000000002</v>
      </c>
      <c r="D207" s="116">
        <v>916</v>
      </c>
      <c r="E207" s="116">
        <v>919.75</v>
      </c>
      <c r="F207" s="116">
        <v>1850.45</v>
      </c>
      <c r="G207">
        <v>107199</v>
      </c>
      <c r="H207" s="116"/>
      <c r="I207" s="116"/>
      <c r="L207" s="170">
        <v>42304</v>
      </c>
      <c r="M207" s="116">
        <v>925.52499999999998</v>
      </c>
      <c r="N207" s="116">
        <v>933.5</v>
      </c>
      <c r="O207" s="116">
        <v>915.05</v>
      </c>
      <c r="P207" s="116">
        <v>919.9</v>
      </c>
      <c r="Q207" s="116">
        <v>1851.05</v>
      </c>
      <c r="R207">
        <v>311961</v>
      </c>
    </row>
    <row r="208" spans="1:18" x14ac:dyDescent="0.25">
      <c r="A208" s="170">
        <v>42305</v>
      </c>
      <c r="B208" s="116">
        <v>972</v>
      </c>
      <c r="C208" s="116">
        <v>931.1</v>
      </c>
      <c r="D208" s="116">
        <v>908.07500000000005</v>
      </c>
      <c r="E208" s="116">
        <v>929</v>
      </c>
      <c r="F208" s="116">
        <v>1862.2</v>
      </c>
      <c r="G208">
        <v>567104</v>
      </c>
      <c r="H208" s="116"/>
      <c r="I208" s="116"/>
      <c r="L208" s="170">
        <v>42305</v>
      </c>
      <c r="M208" s="116">
        <v>929.77499999999998</v>
      </c>
      <c r="N208" s="116">
        <v>971.35</v>
      </c>
      <c r="O208" s="116">
        <v>907.55</v>
      </c>
      <c r="P208" s="116">
        <v>928.45</v>
      </c>
      <c r="Q208" s="116">
        <v>1859.55</v>
      </c>
      <c r="R208">
        <v>2171912</v>
      </c>
    </row>
    <row r="209" spans="1:18" x14ac:dyDescent="0.25">
      <c r="A209" s="170">
        <v>42306</v>
      </c>
      <c r="B209" s="116">
        <v>944.5</v>
      </c>
      <c r="C209" s="116">
        <v>925.65</v>
      </c>
      <c r="D209" s="116">
        <v>922.5</v>
      </c>
      <c r="E209" s="116">
        <v>934.75</v>
      </c>
      <c r="F209" s="116">
        <v>1851.3</v>
      </c>
      <c r="G209">
        <v>196521</v>
      </c>
      <c r="H209" s="116"/>
      <c r="I209" s="116"/>
      <c r="L209" s="170">
        <v>42306</v>
      </c>
      <c r="M209" s="116">
        <v>927.27499999999998</v>
      </c>
      <c r="N209" s="116">
        <v>944</v>
      </c>
      <c r="O209" s="116">
        <v>922.5</v>
      </c>
      <c r="P209" s="116">
        <v>929</v>
      </c>
      <c r="Q209" s="116">
        <v>1854.55</v>
      </c>
      <c r="R209">
        <v>471487</v>
      </c>
    </row>
    <row r="210" spans="1:18" x14ac:dyDescent="0.25">
      <c r="A210" s="170">
        <v>42307</v>
      </c>
      <c r="B210" s="116">
        <v>934.45</v>
      </c>
      <c r="C210" s="116">
        <v>912.5</v>
      </c>
      <c r="D210" s="116">
        <v>907.55</v>
      </c>
      <c r="E210" s="116">
        <v>930</v>
      </c>
      <c r="F210" s="116">
        <v>1825</v>
      </c>
      <c r="G210">
        <v>88542</v>
      </c>
      <c r="H210" s="116"/>
      <c r="I210" s="116"/>
      <c r="L210" s="170">
        <v>42307</v>
      </c>
      <c r="M210" s="116">
        <v>913.25</v>
      </c>
      <c r="N210" s="116">
        <v>934.4</v>
      </c>
      <c r="O210" s="116">
        <v>905.77499999999998</v>
      </c>
      <c r="P210" s="116">
        <v>930</v>
      </c>
      <c r="Q210" s="116">
        <v>1826.5</v>
      </c>
      <c r="R210">
        <v>305587</v>
      </c>
    </row>
    <row r="211" spans="1:18" x14ac:dyDescent="0.25">
      <c r="A211" s="170">
        <v>42310</v>
      </c>
      <c r="B211" s="116">
        <v>917.45</v>
      </c>
      <c r="C211" s="116">
        <v>910</v>
      </c>
      <c r="D211" s="116">
        <v>895.45</v>
      </c>
      <c r="E211" s="116">
        <v>917.45</v>
      </c>
      <c r="F211" s="116">
        <v>1820</v>
      </c>
      <c r="G211">
        <v>80938</v>
      </c>
      <c r="H211" s="116"/>
      <c r="I211" s="116"/>
      <c r="L211" s="170">
        <v>42310</v>
      </c>
      <c r="M211" s="116">
        <v>909.6</v>
      </c>
      <c r="N211" s="116">
        <v>916.9</v>
      </c>
      <c r="O211" s="116">
        <v>896</v>
      </c>
      <c r="P211" s="116">
        <v>915</v>
      </c>
      <c r="Q211" s="116">
        <v>1819.2</v>
      </c>
      <c r="R211">
        <v>287512</v>
      </c>
    </row>
    <row r="212" spans="1:18" x14ac:dyDescent="0.25">
      <c r="A212" s="170">
        <v>42311</v>
      </c>
      <c r="B212" s="116">
        <v>924.95</v>
      </c>
      <c r="C212" s="116">
        <v>908.72500000000002</v>
      </c>
      <c r="D212" s="116">
        <v>905</v>
      </c>
      <c r="E212" s="116">
        <v>915</v>
      </c>
      <c r="F212" s="116">
        <v>1817.45</v>
      </c>
      <c r="G212">
        <v>148521</v>
      </c>
      <c r="H212" s="116"/>
      <c r="I212" s="116"/>
      <c r="L212" s="170">
        <v>42311</v>
      </c>
      <c r="M212" s="116">
        <v>907.6</v>
      </c>
      <c r="N212" s="116">
        <v>924.75</v>
      </c>
      <c r="O212" s="116">
        <v>904.4</v>
      </c>
      <c r="P212" s="116">
        <v>915.02499999999998</v>
      </c>
      <c r="Q212" s="116">
        <v>1815.2</v>
      </c>
      <c r="R212">
        <v>359895</v>
      </c>
    </row>
    <row r="213" spans="1:18" x14ac:dyDescent="0.25">
      <c r="A213" s="170">
        <v>42312</v>
      </c>
      <c r="B213" s="116">
        <v>920.5</v>
      </c>
      <c r="C213" s="116">
        <v>907.57500000000005</v>
      </c>
      <c r="D213" s="116">
        <v>905</v>
      </c>
      <c r="E213" s="116">
        <v>915</v>
      </c>
      <c r="F213" s="116">
        <v>1815.15</v>
      </c>
      <c r="G213">
        <v>126240</v>
      </c>
      <c r="H213" s="116"/>
      <c r="I213" s="116"/>
      <c r="L213" s="170">
        <v>42312</v>
      </c>
      <c r="M213" s="116">
        <v>908.6</v>
      </c>
      <c r="N213" s="116">
        <v>920.5</v>
      </c>
      <c r="O213" s="116">
        <v>905.32500000000005</v>
      </c>
      <c r="P213" s="116">
        <v>912.15</v>
      </c>
      <c r="Q213" s="116">
        <v>1817.2</v>
      </c>
      <c r="R213">
        <v>305549</v>
      </c>
    </row>
    <row r="214" spans="1:18" x14ac:dyDescent="0.25">
      <c r="A214" s="170">
        <v>42313</v>
      </c>
      <c r="B214" s="116">
        <v>911.75</v>
      </c>
      <c r="C214" s="116">
        <v>881.15</v>
      </c>
      <c r="D214" s="116">
        <v>878</v>
      </c>
      <c r="E214" s="116">
        <v>910.5</v>
      </c>
      <c r="F214" s="116">
        <v>1762.3</v>
      </c>
      <c r="G214">
        <v>139953</v>
      </c>
      <c r="H214" s="116"/>
      <c r="I214" s="116"/>
      <c r="L214" s="170">
        <v>42313</v>
      </c>
      <c r="M214" s="116">
        <v>880.5</v>
      </c>
      <c r="N214" s="116">
        <v>911.47500000000002</v>
      </c>
      <c r="O214" s="116">
        <v>875.625</v>
      </c>
      <c r="P214" s="116">
        <v>910</v>
      </c>
      <c r="Q214" s="116">
        <v>1761</v>
      </c>
      <c r="R214">
        <v>378631</v>
      </c>
    </row>
    <row r="215" spans="1:18" x14ac:dyDescent="0.25">
      <c r="A215" s="170">
        <v>42314</v>
      </c>
      <c r="B215" s="116">
        <v>893.95</v>
      </c>
      <c r="C215" s="116">
        <v>877.625</v>
      </c>
      <c r="D215" s="116">
        <v>873.55</v>
      </c>
      <c r="E215" s="116">
        <v>886</v>
      </c>
      <c r="F215" s="116">
        <v>1755.25</v>
      </c>
      <c r="G215">
        <v>121060</v>
      </c>
      <c r="H215" s="116"/>
      <c r="I215" s="116"/>
      <c r="L215" s="170">
        <v>42314</v>
      </c>
      <c r="M215" s="116">
        <v>877.77499999999998</v>
      </c>
      <c r="N215" s="116">
        <v>893.5</v>
      </c>
      <c r="O215" s="116">
        <v>872.9</v>
      </c>
      <c r="P215" s="116">
        <v>884.95</v>
      </c>
      <c r="Q215" s="116">
        <v>1755.55</v>
      </c>
      <c r="R215">
        <v>337847</v>
      </c>
    </row>
    <row r="216" spans="1:18" x14ac:dyDescent="0.25">
      <c r="A216" s="170">
        <v>42317</v>
      </c>
      <c r="B216" s="116">
        <v>921.5</v>
      </c>
      <c r="C216" s="116">
        <v>916.7</v>
      </c>
      <c r="D216" s="116">
        <v>844.57500000000005</v>
      </c>
      <c r="E216" s="116">
        <v>863.5</v>
      </c>
      <c r="F216" s="116">
        <v>1833.4</v>
      </c>
      <c r="G216">
        <v>219033</v>
      </c>
      <c r="H216" s="116"/>
      <c r="I216" s="116"/>
      <c r="L216" s="170">
        <v>42317</v>
      </c>
      <c r="M216" s="116">
        <v>916.75</v>
      </c>
      <c r="N216" s="116">
        <v>921.05</v>
      </c>
      <c r="O216" s="116">
        <v>839.4</v>
      </c>
      <c r="P216" s="116">
        <v>854.5</v>
      </c>
      <c r="Q216" s="116">
        <v>1833.5</v>
      </c>
      <c r="R216">
        <v>690782</v>
      </c>
    </row>
    <row r="217" spans="1:18" x14ac:dyDescent="0.25">
      <c r="A217" s="170">
        <v>42318</v>
      </c>
      <c r="B217" s="116">
        <v>922.45</v>
      </c>
      <c r="C217" s="116">
        <v>886.02499999999998</v>
      </c>
      <c r="D217" s="116">
        <v>880.55</v>
      </c>
      <c r="E217" s="116">
        <v>913</v>
      </c>
      <c r="F217" s="116">
        <v>1772.05</v>
      </c>
      <c r="G217">
        <v>92655</v>
      </c>
      <c r="H217" s="116"/>
      <c r="I217" s="116"/>
      <c r="L217" s="170">
        <v>42318</v>
      </c>
      <c r="M217" s="116">
        <v>886.07500000000005</v>
      </c>
      <c r="N217" s="116">
        <v>922.4</v>
      </c>
      <c r="O217" s="116">
        <v>881.05</v>
      </c>
      <c r="P217" s="116">
        <v>912.5</v>
      </c>
      <c r="Q217" s="116">
        <v>1772.15</v>
      </c>
      <c r="R217">
        <v>343399</v>
      </c>
    </row>
    <row r="218" spans="1:18" x14ac:dyDescent="0.25">
      <c r="A218" s="170">
        <v>42319</v>
      </c>
      <c r="B218" s="116">
        <v>899.5</v>
      </c>
      <c r="C218" s="116">
        <v>896</v>
      </c>
      <c r="D218" s="116">
        <v>890.02499999999998</v>
      </c>
      <c r="E218" s="116">
        <v>895</v>
      </c>
      <c r="F218" s="116">
        <v>1792</v>
      </c>
      <c r="G218">
        <v>11991</v>
      </c>
      <c r="H218" s="116"/>
      <c r="I218" s="116"/>
      <c r="L218" s="170">
        <v>42319</v>
      </c>
      <c r="M218" s="116">
        <v>894.875</v>
      </c>
      <c r="N218" s="116">
        <v>898.05</v>
      </c>
      <c r="O218" s="116">
        <v>889.5</v>
      </c>
      <c r="P218" s="116">
        <v>891.5</v>
      </c>
      <c r="Q218" s="116">
        <v>1789.75</v>
      </c>
      <c r="R218">
        <v>71813</v>
      </c>
    </row>
    <row r="219" spans="1:18" x14ac:dyDescent="0.25">
      <c r="A219" s="170">
        <v>42321</v>
      </c>
      <c r="B219" s="116">
        <v>887.5</v>
      </c>
      <c r="C219" s="116">
        <v>882.25</v>
      </c>
      <c r="D219" s="116">
        <v>875.5</v>
      </c>
      <c r="E219" s="116">
        <v>887.5</v>
      </c>
      <c r="F219" s="116">
        <v>1764.5</v>
      </c>
      <c r="G219">
        <v>41682</v>
      </c>
      <c r="H219" s="116"/>
      <c r="I219" s="116"/>
      <c r="L219" s="170">
        <v>42321</v>
      </c>
      <c r="M219" s="116">
        <v>882.75</v>
      </c>
      <c r="N219" s="116">
        <v>889.85</v>
      </c>
      <c r="O219" s="116">
        <v>874.5</v>
      </c>
      <c r="P219" s="116">
        <v>889.85</v>
      </c>
      <c r="Q219" s="116">
        <v>1765.5</v>
      </c>
      <c r="R219">
        <v>156084</v>
      </c>
    </row>
    <row r="220" spans="1:18" x14ac:dyDescent="0.25">
      <c r="A220" s="170">
        <v>42324</v>
      </c>
      <c r="B220" s="116">
        <v>908</v>
      </c>
      <c r="C220" s="116">
        <v>899.5</v>
      </c>
      <c r="D220" s="116">
        <v>869.92499999999995</v>
      </c>
      <c r="E220" s="116">
        <v>880</v>
      </c>
      <c r="F220" s="116">
        <v>1799</v>
      </c>
      <c r="G220">
        <v>88682</v>
      </c>
      <c r="H220" s="116"/>
      <c r="I220" s="116"/>
      <c r="L220" s="170">
        <v>42324</v>
      </c>
      <c r="M220" s="116">
        <v>900.02499999999998</v>
      </c>
      <c r="N220" s="116">
        <v>909</v>
      </c>
      <c r="O220" s="116">
        <v>869</v>
      </c>
      <c r="P220" s="116">
        <v>879.97500000000002</v>
      </c>
      <c r="Q220" s="116">
        <v>1800.05</v>
      </c>
      <c r="R220">
        <v>342242</v>
      </c>
    </row>
    <row r="221" spans="1:18" x14ac:dyDescent="0.25">
      <c r="A221" s="170">
        <v>42325</v>
      </c>
      <c r="B221" s="116">
        <v>907.85</v>
      </c>
      <c r="C221" s="116">
        <v>890.65</v>
      </c>
      <c r="D221" s="116">
        <v>886.1</v>
      </c>
      <c r="E221" s="116">
        <v>904.45</v>
      </c>
      <c r="F221" s="116">
        <v>1781.3</v>
      </c>
      <c r="G221">
        <v>88504</v>
      </c>
      <c r="H221" s="116"/>
      <c r="I221" s="116"/>
      <c r="L221" s="170">
        <v>42325</v>
      </c>
      <c r="M221" s="116">
        <v>892.05</v>
      </c>
      <c r="N221" s="116">
        <v>907.4</v>
      </c>
      <c r="O221" s="116">
        <v>886.05</v>
      </c>
      <c r="P221" s="116">
        <v>905</v>
      </c>
      <c r="Q221" s="116">
        <v>1784.1</v>
      </c>
      <c r="R221">
        <v>220902</v>
      </c>
    </row>
    <row r="222" spans="1:18" x14ac:dyDescent="0.25">
      <c r="A222" s="170">
        <v>42326</v>
      </c>
      <c r="B222" s="116">
        <v>894.5</v>
      </c>
      <c r="C222" s="116">
        <v>871.375</v>
      </c>
      <c r="D222" s="116">
        <v>867.5</v>
      </c>
      <c r="E222" s="116">
        <v>890.52499999999998</v>
      </c>
      <c r="F222" s="116">
        <v>1742.75</v>
      </c>
      <c r="G222">
        <v>103803</v>
      </c>
      <c r="H222" s="116"/>
      <c r="I222" s="116"/>
      <c r="L222" s="170">
        <v>42326</v>
      </c>
      <c r="M222" s="116">
        <v>869.375</v>
      </c>
      <c r="N222" s="116">
        <v>894.65</v>
      </c>
      <c r="O222" s="116">
        <v>865</v>
      </c>
      <c r="P222" s="116">
        <v>891.1</v>
      </c>
      <c r="Q222" s="116">
        <v>1738.75</v>
      </c>
      <c r="R222">
        <v>269881</v>
      </c>
    </row>
    <row r="223" spans="1:18" x14ac:dyDescent="0.25">
      <c r="A223" s="170">
        <v>42327</v>
      </c>
      <c r="B223" s="116">
        <v>892.47500000000002</v>
      </c>
      <c r="C223" s="116">
        <v>885.67499999999995</v>
      </c>
      <c r="D223" s="116">
        <v>871.45</v>
      </c>
      <c r="E223" s="116">
        <v>876</v>
      </c>
      <c r="F223" s="116">
        <v>1771.35</v>
      </c>
      <c r="G223">
        <v>99345</v>
      </c>
      <c r="H223" s="116"/>
      <c r="I223" s="116"/>
      <c r="L223" s="170">
        <v>42327</v>
      </c>
      <c r="M223" s="116">
        <v>886.35</v>
      </c>
      <c r="N223" s="116">
        <v>892.5</v>
      </c>
      <c r="O223" s="116">
        <v>871.27499999999998</v>
      </c>
      <c r="P223" s="116">
        <v>876</v>
      </c>
      <c r="Q223" s="116">
        <v>1772.7</v>
      </c>
      <c r="R223">
        <v>289992</v>
      </c>
    </row>
    <row r="224" spans="1:18" x14ac:dyDescent="0.25">
      <c r="A224" s="170">
        <v>42328</v>
      </c>
      <c r="B224" s="116">
        <v>891</v>
      </c>
      <c r="C224" s="116">
        <v>880.47500000000002</v>
      </c>
      <c r="D224" s="116">
        <v>875.05</v>
      </c>
      <c r="E224" s="116">
        <v>886</v>
      </c>
      <c r="F224" s="116">
        <v>1760.95</v>
      </c>
      <c r="G224">
        <v>101345</v>
      </c>
      <c r="H224" s="116"/>
      <c r="I224" s="116"/>
      <c r="L224" s="170">
        <v>42328</v>
      </c>
      <c r="M224" s="116">
        <v>881.02499999999998</v>
      </c>
      <c r="N224" s="116">
        <v>892</v>
      </c>
      <c r="O224" s="116">
        <v>875.9</v>
      </c>
      <c r="P224" s="116">
        <v>887.5</v>
      </c>
      <c r="Q224" s="116">
        <v>1762.05</v>
      </c>
      <c r="R224">
        <v>260464</v>
      </c>
    </row>
    <row r="225" spans="1:18" x14ac:dyDescent="0.25">
      <c r="A225" s="170">
        <v>42331</v>
      </c>
      <c r="B225" s="116">
        <v>937</v>
      </c>
      <c r="C225" s="116">
        <v>922.3</v>
      </c>
      <c r="D225" s="116">
        <v>883.3</v>
      </c>
      <c r="E225" s="116">
        <v>887.47500000000002</v>
      </c>
      <c r="F225" s="116">
        <v>1844.6</v>
      </c>
      <c r="G225">
        <v>317390</v>
      </c>
      <c r="H225" s="116"/>
      <c r="I225" s="116"/>
      <c r="L225" s="170">
        <v>42331</v>
      </c>
      <c r="M225" s="116">
        <v>923.75</v>
      </c>
      <c r="N225" s="116">
        <v>938.5</v>
      </c>
      <c r="O225" s="116">
        <v>882.5</v>
      </c>
      <c r="P225" s="116">
        <v>886</v>
      </c>
      <c r="Q225" s="116">
        <v>1847.5</v>
      </c>
      <c r="R225">
        <v>1353418</v>
      </c>
    </row>
    <row r="226" spans="1:18" x14ac:dyDescent="0.25">
      <c r="A226" s="170">
        <v>42332</v>
      </c>
      <c r="B226" s="116">
        <v>942</v>
      </c>
      <c r="C226" s="116">
        <v>931.97500000000002</v>
      </c>
      <c r="D226" s="116">
        <v>915.5</v>
      </c>
      <c r="E226" s="116">
        <v>923.95</v>
      </c>
      <c r="F226" s="116">
        <v>1863.95</v>
      </c>
      <c r="G226">
        <v>195239</v>
      </c>
      <c r="H226" s="116"/>
      <c r="I226" s="116"/>
      <c r="L226" s="170">
        <v>42332</v>
      </c>
      <c r="M226" s="116">
        <v>933.02499999999998</v>
      </c>
      <c r="N226" s="116">
        <v>942.45</v>
      </c>
      <c r="O226" s="116">
        <v>915.55</v>
      </c>
      <c r="P226" s="116">
        <v>921.25</v>
      </c>
      <c r="Q226" s="116">
        <v>1866.05</v>
      </c>
      <c r="R226">
        <v>709968</v>
      </c>
    </row>
    <row r="227" spans="1:18" x14ac:dyDescent="0.25">
      <c r="A227" s="170">
        <v>42334</v>
      </c>
      <c r="B227" s="116">
        <v>941</v>
      </c>
      <c r="C227" s="116">
        <v>937.77499999999998</v>
      </c>
      <c r="D227" s="116">
        <v>925</v>
      </c>
      <c r="E227" s="116">
        <v>934.5</v>
      </c>
      <c r="F227" s="116">
        <v>1875.55</v>
      </c>
      <c r="G227">
        <v>99938</v>
      </c>
      <c r="H227" s="116"/>
      <c r="I227" s="116"/>
      <c r="L227" s="170">
        <v>42334</v>
      </c>
      <c r="M227" s="116">
        <v>938.8</v>
      </c>
      <c r="N227" s="116">
        <v>942</v>
      </c>
      <c r="O227" s="116">
        <v>924.05</v>
      </c>
      <c r="P227" s="116">
        <v>934.9</v>
      </c>
      <c r="Q227" s="116">
        <v>1877.6</v>
      </c>
      <c r="R227">
        <v>331013</v>
      </c>
    </row>
    <row r="228" spans="1:18" x14ac:dyDescent="0.25">
      <c r="A228" s="170">
        <v>42335</v>
      </c>
      <c r="B228" s="116">
        <v>986.95</v>
      </c>
      <c r="C228" s="116">
        <v>977.05</v>
      </c>
      <c r="D228" s="116">
        <v>938.52499999999998</v>
      </c>
      <c r="E228" s="116">
        <v>942.15</v>
      </c>
      <c r="F228" s="116">
        <v>1954.1</v>
      </c>
      <c r="G228">
        <v>326658</v>
      </c>
      <c r="H228" s="116"/>
      <c r="I228" s="116"/>
      <c r="L228" s="170">
        <v>42335</v>
      </c>
      <c r="M228" s="116">
        <v>980.52499999999998</v>
      </c>
      <c r="N228" s="116">
        <v>988.35</v>
      </c>
      <c r="O228" s="116">
        <v>938.47500000000002</v>
      </c>
      <c r="P228" s="116">
        <v>943</v>
      </c>
      <c r="Q228" s="116">
        <v>1961.05</v>
      </c>
      <c r="R228">
        <v>1484545</v>
      </c>
    </row>
    <row r="229" spans="1:18" x14ac:dyDescent="0.25">
      <c r="A229" s="170">
        <v>42338</v>
      </c>
      <c r="B229" s="116">
        <v>1029</v>
      </c>
      <c r="C229" s="116">
        <v>1015.025</v>
      </c>
      <c r="D229" s="116">
        <v>980</v>
      </c>
      <c r="E229" s="116">
        <v>980</v>
      </c>
      <c r="F229" s="116">
        <v>2030.05</v>
      </c>
      <c r="G229">
        <v>254167</v>
      </c>
      <c r="H229" s="116"/>
      <c r="I229" s="116"/>
      <c r="L229" s="170">
        <v>42338</v>
      </c>
      <c r="M229" s="116">
        <v>1015.85</v>
      </c>
      <c r="N229" s="116">
        <v>1029.0250000000001</v>
      </c>
      <c r="O229" s="116">
        <v>979.05</v>
      </c>
      <c r="P229" s="116">
        <v>979.05</v>
      </c>
      <c r="Q229" s="116">
        <v>2031.7</v>
      </c>
      <c r="R229">
        <v>1191417</v>
      </c>
    </row>
    <row r="230" spans="1:18" x14ac:dyDescent="0.25">
      <c r="A230" s="170">
        <v>42339</v>
      </c>
      <c r="B230" s="116">
        <v>1029.5</v>
      </c>
      <c r="C230" s="116">
        <v>1000.925</v>
      </c>
      <c r="D230" s="116">
        <v>992.5</v>
      </c>
      <c r="E230" s="116">
        <v>1015.7</v>
      </c>
      <c r="F230" s="116">
        <v>2001.85</v>
      </c>
      <c r="G230">
        <v>224580</v>
      </c>
      <c r="H230" s="116"/>
      <c r="I230" s="116"/>
      <c r="L230" s="170">
        <v>42339</v>
      </c>
      <c r="M230" s="116">
        <v>1002.475</v>
      </c>
      <c r="N230" s="116">
        <v>1029</v>
      </c>
      <c r="O230" s="116">
        <v>991.5</v>
      </c>
      <c r="P230" s="116">
        <v>1018</v>
      </c>
      <c r="Q230" s="116">
        <v>2004.95</v>
      </c>
      <c r="R230">
        <v>632975</v>
      </c>
    </row>
    <row r="231" spans="1:18" x14ac:dyDescent="0.25">
      <c r="A231" s="170">
        <v>42340</v>
      </c>
      <c r="B231" s="116">
        <v>1006.475</v>
      </c>
      <c r="C231" s="116">
        <v>985.42499999999995</v>
      </c>
      <c r="D231" s="116">
        <v>980.5</v>
      </c>
      <c r="E231" s="116">
        <v>1004.5</v>
      </c>
      <c r="F231" s="116">
        <v>1970.85</v>
      </c>
      <c r="G231">
        <v>89039</v>
      </c>
      <c r="H231" s="116"/>
      <c r="I231" s="116"/>
      <c r="L231" s="170">
        <v>42340</v>
      </c>
      <c r="M231" s="116">
        <v>985.07500000000005</v>
      </c>
      <c r="N231" s="116">
        <v>1006</v>
      </c>
      <c r="O231" s="116">
        <v>980.65</v>
      </c>
      <c r="P231" s="116">
        <v>1001</v>
      </c>
      <c r="Q231" s="116">
        <v>1970.15</v>
      </c>
      <c r="R231">
        <v>293712</v>
      </c>
    </row>
    <row r="232" spans="1:18" x14ac:dyDescent="0.25">
      <c r="A232" s="170">
        <v>42341</v>
      </c>
      <c r="B232" s="116">
        <v>1027.95</v>
      </c>
      <c r="C232" s="116">
        <v>998.3</v>
      </c>
      <c r="D232" s="116">
        <v>965</v>
      </c>
      <c r="E232" s="116">
        <v>987.5</v>
      </c>
      <c r="F232" s="116">
        <v>1996.6</v>
      </c>
      <c r="G232">
        <v>309210</v>
      </c>
      <c r="H232" s="116"/>
      <c r="I232" s="116"/>
      <c r="L232" s="170">
        <v>42341</v>
      </c>
      <c r="M232" s="116">
        <v>998.4</v>
      </c>
      <c r="N232" s="116">
        <v>1027.5</v>
      </c>
      <c r="O232" s="116">
        <v>960.75</v>
      </c>
      <c r="P232" s="116">
        <v>984</v>
      </c>
      <c r="Q232" s="116">
        <v>1996.8</v>
      </c>
      <c r="R232">
        <v>1254712</v>
      </c>
    </row>
    <row r="233" spans="1:18" x14ac:dyDescent="0.25">
      <c r="A233" s="170">
        <v>42342</v>
      </c>
      <c r="B233" s="116">
        <v>1017</v>
      </c>
      <c r="C233" s="116">
        <v>987.35</v>
      </c>
      <c r="D233" s="116">
        <v>979.625</v>
      </c>
      <c r="E233" s="116">
        <v>989</v>
      </c>
      <c r="F233" s="116">
        <v>1974.7</v>
      </c>
      <c r="G233">
        <v>140314</v>
      </c>
      <c r="H233" s="116"/>
      <c r="I233" s="116"/>
      <c r="L233" s="170">
        <v>42342</v>
      </c>
      <c r="M233" s="116">
        <v>988.07500000000005</v>
      </c>
      <c r="N233" s="116">
        <v>1017.5</v>
      </c>
      <c r="O233" s="116">
        <v>980.5</v>
      </c>
      <c r="P233" s="116">
        <v>988.95</v>
      </c>
      <c r="Q233" s="116">
        <v>1976.15</v>
      </c>
      <c r="R233">
        <v>610129</v>
      </c>
    </row>
    <row r="234" spans="1:18" x14ac:dyDescent="0.25">
      <c r="A234" s="170">
        <v>42345</v>
      </c>
      <c r="B234" s="116">
        <v>1010.9</v>
      </c>
      <c r="C234" s="116">
        <v>989</v>
      </c>
      <c r="D234" s="116">
        <v>985</v>
      </c>
      <c r="E234" s="116">
        <v>998.97500000000002</v>
      </c>
      <c r="F234" s="116">
        <v>1978</v>
      </c>
      <c r="G234">
        <v>95897</v>
      </c>
      <c r="H234" s="116"/>
      <c r="I234" s="116"/>
      <c r="L234" s="170">
        <v>42345</v>
      </c>
      <c r="M234" s="116">
        <v>989.9</v>
      </c>
      <c r="N234" s="116">
        <v>1011.275</v>
      </c>
      <c r="O234" s="116">
        <v>985.55</v>
      </c>
      <c r="P234" s="116">
        <v>995.5</v>
      </c>
      <c r="Q234" s="116">
        <v>1979.8</v>
      </c>
      <c r="R234">
        <v>420532</v>
      </c>
    </row>
    <row r="235" spans="1:18" x14ac:dyDescent="0.25">
      <c r="A235" s="170">
        <v>42346</v>
      </c>
      <c r="B235" s="116">
        <v>1007.5</v>
      </c>
      <c r="C235" s="116">
        <v>979.02499999999998</v>
      </c>
      <c r="D235" s="116">
        <v>971.57500000000005</v>
      </c>
      <c r="E235" s="116">
        <v>989</v>
      </c>
      <c r="F235" s="116">
        <v>1958.05</v>
      </c>
      <c r="G235">
        <v>117917</v>
      </c>
      <c r="H235" s="116"/>
      <c r="I235" s="116"/>
      <c r="L235" s="170">
        <v>42346</v>
      </c>
      <c r="M235" s="116">
        <v>978.05</v>
      </c>
      <c r="N235" s="116">
        <v>1007.5</v>
      </c>
      <c r="O235" s="116">
        <v>970.55</v>
      </c>
      <c r="P235" s="116">
        <v>986</v>
      </c>
      <c r="Q235" s="116">
        <v>1956.1</v>
      </c>
      <c r="R235">
        <v>511601</v>
      </c>
    </row>
    <row r="236" spans="1:18" x14ac:dyDescent="0.25">
      <c r="A236" s="170">
        <v>42347</v>
      </c>
      <c r="B236" s="116">
        <v>988.65</v>
      </c>
      <c r="C236" s="116">
        <v>923.72500000000002</v>
      </c>
      <c r="D236" s="116">
        <v>912.5</v>
      </c>
      <c r="E236" s="116">
        <v>978.5</v>
      </c>
      <c r="F236" s="116">
        <v>1847.45</v>
      </c>
      <c r="G236">
        <v>135697</v>
      </c>
      <c r="H236" s="116"/>
      <c r="I236" s="116"/>
      <c r="L236" s="170">
        <v>42347</v>
      </c>
      <c r="M236" s="116">
        <v>924</v>
      </c>
      <c r="N236" s="116">
        <v>989.95</v>
      </c>
      <c r="O236" s="116">
        <v>911.32500000000005</v>
      </c>
      <c r="P236" s="116">
        <v>975</v>
      </c>
      <c r="Q236" s="116">
        <v>1848</v>
      </c>
      <c r="R236">
        <v>652099</v>
      </c>
    </row>
    <row r="237" spans="1:18" x14ac:dyDescent="0.25">
      <c r="A237" s="170">
        <v>42348</v>
      </c>
      <c r="B237" s="116">
        <v>976.8</v>
      </c>
      <c r="C237" s="116">
        <v>968.07500000000005</v>
      </c>
      <c r="D237" s="116">
        <v>917.77499999999998</v>
      </c>
      <c r="E237" s="116">
        <v>932.5</v>
      </c>
      <c r="F237" s="116">
        <v>1936.15</v>
      </c>
      <c r="G237">
        <v>162104</v>
      </c>
      <c r="H237" s="116"/>
      <c r="I237" s="116"/>
      <c r="L237" s="170">
        <v>42348</v>
      </c>
      <c r="M237" s="116">
        <v>969.5</v>
      </c>
      <c r="N237" s="116">
        <v>977.5</v>
      </c>
      <c r="O237" s="116">
        <v>918</v>
      </c>
      <c r="P237" s="116">
        <v>933.5</v>
      </c>
      <c r="Q237" s="116">
        <v>1939</v>
      </c>
      <c r="R237">
        <v>759308</v>
      </c>
    </row>
    <row r="238" spans="1:18" x14ac:dyDescent="0.25">
      <c r="A238" s="170">
        <v>42349</v>
      </c>
      <c r="B238" s="116">
        <v>1000.5</v>
      </c>
      <c r="C238" s="116">
        <v>994.1</v>
      </c>
      <c r="D238" s="116">
        <v>970.4</v>
      </c>
      <c r="E238" s="116">
        <v>972</v>
      </c>
      <c r="F238" s="116">
        <v>1988.2</v>
      </c>
      <c r="G238">
        <v>191394</v>
      </c>
      <c r="H238" s="116"/>
      <c r="I238" s="116"/>
      <c r="L238" s="170">
        <v>42349</v>
      </c>
      <c r="M238" s="116">
        <v>994.75</v>
      </c>
      <c r="N238" s="116">
        <v>1001.95</v>
      </c>
      <c r="O238" s="116">
        <v>970.05</v>
      </c>
      <c r="P238" s="116">
        <v>975.5</v>
      </c>
      <c r="Q238" s="116">
        <v>1989.5</v>
      </c>
      <c r="R238">
        <v>879472</v>
      </c>
    </row>
    <row r="239" spans="1:18" x14ac:dyDescent="0.25">
      <c r="A239" s="170">
        <v>42352</v>
      </c>
      <c r="B239" s="116">
        <v>1070.95</v>
      </c>
      <c r="C239" s="116">
        <v>1060.425</v>
      </c>
      <c r="D239" s="116">
        <v>981</v>
      </c>
      <c r="E239" s="116">
        <v>994.5</v>
      </c>
      <c r="F239" s="116">
        <v>2120.85</v>
      </c>
      <c r="G239">
        <v>425270</v>
      </c>
      <c r="H239" s="116"/>
      <c r="I239" s="116"/>
      <c r="L239" s="170">
        <v>42352</v>
      </c>
      <c r="M239" s="116">
        <v>1062.5999999999999</v>
      </c>
      <c r="N239" s="116">
        <v>1074.25</v>
      </c>
      <c r="O239" s="116">
        <v>980</v>
      </c>
      <c r="P239" s="116">
        <v>990</v>
      </c>
      <c r="Q239" s="116">
        <v>2125.1999999999998</v>
      </c>
      <c r="R239">
        <v>1904876</v>
      </c>
    </row>
    <row r="240" spans="1:18" x14ac:dyDescent="0.25">
      <c r="A240" s="170">
        <v>42353</v>
      </c>
      <c r="B240" s="116">
        <v>1107.5</v>
      </c>
      <c r="C240" s="116">
        <v>1091.5999999999999</v>
      </c>
      <c r="D240" s="116">
        <v>1065</v>
      </c>
      <c r="E240" s="116">
        <v>1065</v>
      </c>
      <c r="F240" s="116">
        <v>2183.1999999999998</v>
      </c>
      <c r="G240">
        <v>342690</v>
      </c>
      <c r="H240" s="116"/>
      <c r="I240" s="116"/>
      <c r="L240" s="170">
        <v>42353</v>
      </c>
      <c r="M240" s="116">
        <v>1093.4749999999999</v>
      </c>
      <c r="N240" s="116">
        <v>1108.2</v>
      </c>
      <c r="O240" s="116">
        <v>1065.5</v>
      </c>
      <c r="P240" s="116">
        <v>1065.5</v>
      </c>
      <c r="Q240" s="116">
        <v>2186.9499999999998</v>
      </c>
      <c r="R240">
        <v>1616057</v>
      </c>
    </row>
    <row r="241" spans="1:18" x14ac:dyDescent="0.25">
      <c r="A241" s="170">
        <v>42354</v>
      </c>
      <c r="B241" s="116">
        <v>1107.5</v>
      </c>
      <c r="C241" s="116">
        <v>1088.075</v>
      </c>
      <c r="D241" s="116">
        <v>1074</v>
      </c>
      <c r="E241" s="116">
        <v>1095</v>
      </c>
      <c r="F241" s="116">
        <v>2176.15</v>
      </c>
      <c r="G241">
        <v>234646</v>
      </c>
      <c r="H241" s="116"/>
      <c r="I241" s="116"/>
      <c r="L241" s="170">
        <v>42354</v>
      </c>
      <c r="M241" s="116">
        <v>1088.2750000000001</v>
      </c>
      <c r="N241" s="116">
        <v>1107.425</v>
      </c>
      <c r="O241" s="116">
        <v>1073.25</v>
      </c>
      <c r="P241" s="116">
        <v>1097.75</v>
      </c>
      <c r="Q241" s="116">
        <v>2176.5500000000002</v>
      </c>
      <c r="R241">
        <v>1002323</v>
      </c>
    </row>
    <row r="242" spans="1:18" x14ac:dyDescent="0.25">
      <c r="A242" s="170">
        <v>42355</v>
      </c>
      <c r="B242" s="116">
        <v>1136</v>
      </c>
      <c r="C242" s="116">
        <v>1122.8</v>
      </c>
      <c r="D242" s="116">
        <v>1095</v>
      </c>
      <c r="E242" s="116">
        <v>1095</v>
      </c>
      <c r="F242" s="116">
        <v>2245.6</v>
      </c>
      <c r="G242">
        <v>308846</v>
      </c>
      <c r="H242" s="116"/>
      <c r="I242" s="116"/>
      <c r="L242" s="170">
        <v>42355</v>
      </c>
      <c r="M242" s="116">
        <v>1125.7</v>
      </c>
      <c r="N242" s="116">
        <v>1136.5</v>
      </c>
      <c r="O242" s="116">
        <v>1095.4749999999999</v>
      </c>
      <c r="P242" s="116">
        <v>1097</v>
      </c>
      <c r="Q242" s="116">
        <v>2251.4</v>
      </c>
      <c r="R242">
        <v>1402035</v>
      </c>
    </row>
    <row r="243" spans="1:18" x14ac:dyDescent="0.25">
      <c r="A243" s="170">
        <v>42356</v>
      </c>
      <c r="B243" s="116">
        <v>1119.9000000000001</v>
      </c>
      <c r="C243" s="116">
        <v>1097.2249999999999</v>
      </c>
      <c r="D243" s="116">
        <v>1088.8499999999999</v>
      </c>
      <c r="E243" s="116">
        <v>1119.05</v>
      </c>
      <c r="F243" s="116">
        <v>2194.4499999999998</v>
      </c>
      <c r="G243">
        <v>130374</v>
      </c>
      <c r="H243" s="116"/>
      <c r="I243" s="116"/>
      <c r="L243" s="170">
        <v>42356</v>
      </c>
      <c r="M243" s="116">
        <v>1098.2750000000001</v>
      </c>
      <c r="N243" s="116">
        <v>1117.5</v>
      </c>
      <c r="O243" s="116">
        <v>1088.25</v>
      </c>
      <c r="P243" s="116">
        <v>1117.5</v>
      </c>
      <c r="Q243" s="116">
        <v>2196.5500000000002</v>
      </c>
      <c r="R243">
        <v>585254</v>
      </c>
    </row>
    <row r="244" spans="1:18" x14ac:dyDescent="0.25">
      <c r="A244" s="170">
        <v>42359</v>
      </c>
      <c r="B244" s="116">
        <v>1112.4000000000001</v>
      </c>
      <c r="C244" s="116">
        <v>1105.3499999999999</v>
      </c>
      <c r="D244" s="116">
        <v>1078.3499999999999</v>
      </c>
      <c r="E244" s="116">
        <v>1099</v>
      </c>
      <c r="F244" s="116">
        <v>2210.6999999999998</v>
      </c>
      <c r="G244">
        <v>176255</v>
      </c>
      <c r="H244" s="116"/>
      <c r="I244" s="116"/>
      <c r="L244" s="170">
        <v>42359</v>
      </c>
      <c r="M244" s="116">
        <v>1104.825</v>
      </c>
      <c r="N244" s="116">
        <v>1111.2</v>
      </c>
      <c r="O244" s="116">
        <v>1078.1500000000001</v>
      </c>
      <c r="P244" s="116">
        <v>1099</v>
      </c>
      <c r="Q244" s="116">
        <v>2209.65</v>
      </c>
      <c r="R244">
        <v>632483</v>
      </c>
    </row>
    <row r="245" spans="1:18" x14ac:dyDescent="0.25">
      <c r="A245" s="170">
        <v>42360</v>
      </c>
      <c r="B245" s="116">
        <v>1151.6500000000001</v>
      </c>
      <c r="C245" s="116">
        <v>1128.25</v>
      </c>
      <c r="D245" s="116">
        <v>1102.9749999999999</v>
      </c>
      <c r="E245" s="116">
        <v>1107.5</v>
      </c>
      <c r="F245" s="116">
        <v>2256.5</v>
      </c>
      <c r="G245">
        <v>291899</v>
      </c>
      <c r="H245" s="116"/>
      <c r="I245" s="116"/>
      <c r="L245" s="170">
        <v>42360</v>
      </c>
      <c r="M245" s="116">
        <v>1130.675</v>
      </c>
      <c r="N245" s="116">
        <v>1152.45</v>
      </c>
      <c r="O245" s="116">
        <v>1095.55</v>
      </c>
      <c r="P245" s="116">
        <v>1107.6500000000001</v>
      </c>
      <c r="Q245" s="116">
        <v>2261.35</v>
      </c>
      <c r="R245">
        <v>1348667</v>
      </c>
    </row>
    <row r="246" spans="1:18" x14ac:dyDescent="0.25">
      <c r="A246" s="170">
        <v>42361</v>
      </c>
      <c r="B246" s="116">
        <v>1165</v>
      </c>
      <c r="C246" s="116">
        <v>1138.95</v>
      </c>
      <c r="D246" s="116">
        <v>1134.5</v>
      </c>
      <c r="E246" s="116">
        <v>1137.4000000000001</v>
      </c>
      <c r="F246" s="116">
        <v>2277.9</v>
      </c>
      <c r="G246">
        <v>182776</v>
      </c>
      <c r="H246" s="116"/>
      <c r="I246" s="116"/>
      <c r="L246" s="170">
        <v>42361</v>
      </c>
      <c r="M246" s="116">
        <v>1141.675</v>
      </c>
      <c r="N246" s="116">
        <v>1164.95</v>
      </c>
      <c r="O246" s="116">
        <v>1135.0250000000001</v>
      </c>
      <c r="P246" s="116">
        <v>1135.5</v>
      </c>
      <c r="Q246" s="116">
        <v>2283.35</v>
      </c>
      <c r="R246">
        <v>859338</v>
      </c>
    </row>
    <row r="247" spans="1:18" x14ac:dyDescent="0.25">
      <c r="A247" s="170">
        <v>42362</v>
      </c>
      <c r="B247" s="116">
        <v>1155</v>
      </c>
      <c r="C247" s="116">
        <v>1131.2249999999999</v>
      </c>
      <c r="D247" s="116">
        <v>1125.5999999999999</v>
      </c>
      <c r="E247" s="116">
        <v>1144.5</v>
      </c>
      <c r="F247" s="116">
        <v>2262.4499999999998</v>
      </c>
      <c r="G247">
        <v>90497</v>
      </c>
      <c r="H247" s="116"/>
      <c r="I247" s="116"/>
      <c r="L247" s="170">
        <v>42362</v>
      </c>
      <c r="M247" s="116">
        <v>1133.925</v>
      </c>
      <c r="N247" s="116">
        <v>1155.9000000000001</v>
      </c>
      <c r="O247" s="116">
        <v>1125.875</v>
      </c>
      <c r="P247" s="116">
        <v>1147</v>
      </c>
      <c r="Q247" s="116">
        <v>2267.85</v>
      </c>
      <c r="R247">
        <v>445431</v>
      </c>
    </row>
    <row r="248" spans="1:18" x14ac:dyDescent="0.25">
      <c r="A248" s="170">
        <v>42366</v>
      </c>
      <c r="B248" s="116">
        <v>1139.9749999999999</v>
      </c>
      <c r="C248" s="116">
        <v>1120.9000000000001</v>
      </c>
      <c r="D248" s="116">
        <v>1115</v>
      </c>
      <c r="E248" s="116">
        <v>1135</v>
      </c>
      <c r="F248" s="116">
        <v>2241.8000000000002</v>
      </c>
      <c r="G248">
        <v>63224</v>
      </c>
      <c r="H248" s="116"/>
      <c r="I248" s="116"/>
      <c r="L248" s="170">
        <v>42366</v>
      </c>
      <c r="M248" s="116">
        <v>1123.2750000000001</v>
      </c>
      <c r="N248" s="116">
        <v>1140.425</v>
      </c>
      <c r="O248" s="116">
        <v>1116</v>
      </c>
      <c r="P248" s="116">
        <v>1137</v>
      </c>
      <c r="Q248" s="116">
        <v>2246.5500000000002</v>
      </c>
      <c r="R248">
        <v>269258</v>
      </c>
    </row>
    <row r="249" spans="1:18" x14ac:dyDescent="0.25">
      <c r="A249" s="170">
        <v>42367</v>
      </c>
      <c r="B249" s="116">
        <v>1149</v>
      </c>
      <c r="C249" s="116">
        <v>1127.9749999999999</v>
      </c>
      <c r="D249" s="116">
        <v>1113.5</v>
      </c>
      <c r="E249" s="116">
        <v>1125.0999999999999</v>
      </c>
      <c r="F249" s="116">
        <v>2255.9499999999998</v>
      </c>
      <c r="G249">
        <v>134312</v>
      </c>
      <c r="H249" s="116"/>
      <c r="I249" s="116"/>
      <c r="L249" s="170">
        <v>42367</v>
      </c>
      <c r="M249" s="116">
        <v>1128.5999999999999</v>
      </c>
      <c r="N249" s="116">
        <v>1149</v>
      </c>
      <c r="O249" s="116">
        <v>1113.0999999999999</v>
      </c>
      <c r="P249" s="116">
        <v>1125.5</v>
      </c>
      <c r="Q249" s="116">
        <v>2257.1999999999998</v>
      </c>
      <c r="R249">
        <v>628739</v>
      </c>
    </row>
    <row r="250" spans="1:18" x14ac:dyDescent="0.25">
      <c r="A250" s="170">
        <v>42368</v>
      </c>
      <c r="B250" s="116">
        <v>1146</v>
      </c>
      <c r="C250" s="116">
        <v>1121.175</v>
      </c>
      <c r="D250" s="116">
        <v>1116</v>
      </c>
      <c r="E250" s="116">
        <v>1130.0999999999999</v>
      </c>
      <c r="F250" s="116">
        <v>2242.35</v>
      </c>
      <c r="G250">
        <v>76044</v>
      </c>
      <c r="H250" s="116"/>
      <c r="I250" s="116"/>
      <c r="L250" s="170">
        <v>42368</v>
      </c>
      <c r="M250" s="116">
        <v>1121.5</v>
      </c>
      <c r="N250" s="116">
        <v>1146</v>
      </c>
      <c r="O250" s="116">
        <v>1117.5</v>
      </c>
      <c r="P250" s="116">
        <v>1132</v>
      </c>
      <c r="Q250" s="116">
        <v>2243</v>
      </c>
      <c r="R250">
        <v>392279</v>
      </c>
    </row>
    <row r="251" spans="1:18" x14ac:dyDescent="0.25">
      <c r="A251" s="170">
        <v>42369</v>
      </c>
      <c r="B251" s="116">
        <v>1132.375</v>
      </c>
      <c r="C251" s="116">
        <v>1122.3499999999999</v>
      </c>
      <c r="D251" s="116">
        <v>1114.5</v>
      </c>
      <c r="E251" s="116">
        <v>1127</v>
      </c>
      <c r="F251" s="116">
        <v>2244.6999999999998</v>
      </c>
      <c r="G251">
        <v>51942</v>
      </c>
      <c r="H251" s="116"/>
      <c r="I251" s="116"/>
      <c r="L251" s="170">
        <v>42369</v>
      </c>
      <c r="M251" s="116">
        <v>1122.0250000000001</v>
      </c>
      <c r="N251" s="116">
        <v>1132.4000000000001</v>
      </c>
      <c r="O251" s="116">
        <v>1113</v>
      </c>
      <c r="P251" s="116">
        <v>1125</v>
      </c>
      <c r="Q251" s="116">
        <v>2244.0500000000002</v>
      </c>
      <c r="R251">
        <v>283966</v>
      </c>
    </row>
    <row r="252" spans="1:18" x14ac:dyDescent="0.25">
      <c r="A252" s="170">
        <v>42370</v>
      </c>
      <c r="B252" s="116">
        <v>1140.5</v>
      </c>
      <c r="C252" s="116">
        <v>1125.2249999999999</v>
      </c>
      <c r="D252" s="116">
        <v>1112.375</v>
      </c>
      <c r="E252" s="116">
        <v>1122.5999999999999</v>
      </c>
      <c r="F252" s="116">
        <v>2250.4499999999998</v>
      </c>
      <c r="G252">
        <v>86545</v>
      </c>
      <c r="H252" s="116"/>
      <c r="I252" s="116"/>
      <c r="L252" s="170">
        <v>42370</v>
      </c>
      <c r="M252" s="116">
        <v>1125.375</v>
      </c>
      <c r="N252" s="116">
        <v>1140.5999999999999</v>
      </c>
      <c r="O252" s="116">
        <v>1111.75</v>
      </c>
      <c r="P252" s="116">
        <v>1126</v>
      </c>
      <c r="Q252" s="116">
        <v>2250.75</v>
      </c>
      <c r="R252">
        <v>420954</v>
      </c>
    </row>
    <row r="253" spans="1:18" x14ac:dyDescent="0.25">
      <c r="A253" s="170">
        <v>42373</v>
      </c>
      <c r="B253" s="116">
        <v>1140.2249999999999</v>
      </c>
      <c r="C253" s="116">
        <v>1105.95</v>
      </c>
      <c r="D253" s="116">
        <v>1092.5</v>
      </c>
      <c r="E253" s="116">
        <v>1124.8499999999999</v>
      </c>
      <c r="F253" s="116">
        <v>2211.9</v>
      </c>
      <c r="G253">
        <v>79487</v>
      </c>
      <c r="H253" s="116"/>
      <c r="I253" s="116"/>
      <c r="L253" s="170">
        <v>42373</v>
      </c>
      <c r="M253" s="116">
        <v>1105.9749999999999</v>
      </c>
      <c r="N253" s="116">
        <v>1140.5</v>
      </c>
      <c r="O253" s="116">
        <v>1092.5</v>
      </c>
      <c r="P253" s="116">
        <v>1121.5</v>
      </c>
      <c r="Q253" s="116">
        <v>2211.9499999999998</v>
      </c>
      <c r="R253">
        <v>454726</v>
      </c>
    </row>
    <row r="254" spans="1:18" x14ac:dyDescent="0.25">
      <c r="A254" s="170">
        <v>42374</v>
      </c>
      <c r="B254" s="116">
        <v>1119</v>
      </c>
      <c r="C254" s="116">
        <v>1090.5250000000001</v>
      </c>
      <c r="D254" s="116">
        <v>1083</v>
      </c>
      <c r="E254" s="116">
        <v>1110.0999999999999</v>
      </c>
      <c r="F254" s="116">
        <v>2181.0500000000002</v>
      </c>
      <c r="G254">
        <v>68629</v>
      </c>
      <c r="H254" s="116"/>
      <c r="I254" s="116"/>
      <c r="L254" s="170">
        <v>42374</v>
      </c>
      <c r="M254" s="116">
        <v>1090.0250000000001</v>
      </c>
      <c r="N254" s="116">
        <v>1119</v>
      </c>
      <c r="O254" s="116">
        <v>1085</v>
      </c>
      <c r="P254" s="116">
        <v>1111.3499999999999</v>
      </c>
      <c r="Q254" s="116">
        <v>2180.0500000000002</v>
      </c>
      <c r="R254">
        <v>333319</v>
      </c>
    </row>
    <row r="255" spans="1:18" x14ac:dyDescent="0.25">
      <c r="A255" s="170">
        <v>42375</v>
      </c>
      <c r="B255" s="116">
        <v>1121.1500000000001</v>
      </c>
      <c r="C255" s="116">
        <v>1080.9000000000001</v>
      </c>
      <c r="D255" s="116">
        <v>1075.5</v>
      </c>
      <c r="E255" s="116">
        <v>1092.5999999999999</v>
      </c>
      <c r="F255" s="116">
        <v>2161.8000000000002</v>
      </c>
      <c r="G255">
        <v>116079</v>
      </c>
      <c r="H255" s="116"/>
      <c r="I255" s="116"/>
      <c r="L255" s="170">
        <v>42375</v>
      </c>
      <c r="M255" s="116">
        <v>1084.125</v>
      </c>
      <c r="N255" s="116">
        <v>1121.25</v>
      </c>
      <c r="O255" s="116">
        <v>1077.5</v>
      </c>
      <c r="P255" s="116">
        <v>1090.3499999999999</v>
      </c>
      <c r="Q255" s="116">
        <v>2168.25</v>
      </c>
      <c r="R255">
        <v>535332</v>
      </c>
    </row>
    <row r="256" spans="1:18" x14ac:dyDescent="0.25">
      <c r="A256" s="170">
        <v>42376</v>
      </c>
      <c r="B256" s="116">
        <v>1072.5</v>
      </c>
      <c r="C256" s="116">
        <v>1040.25</v>
      </c>
      <c r="D256" s="116">
        <v>1036.75</v>
      </c>
      <c r="E256" s="116">
        <v>1065</v>
      </c>
      <c r="F256" s="116">
        <v>2080.5</v>
      </c>
      <c r="G256">
        <v>84640</v>
      </c>
      <c r="H256" s="116"/>
      <c r="I256" s="116"/>
      <c r="L256" s="170">
        <v>42376</v>
      </c>
      <c r="M256" s="116">
        <v>1041.75</v>
      </c>
      <c r="N256" s="116">
        <v>1072.5</v>
      </c>
      <c r="O256" s="116">
        <v>1037.5</v>
      </c>
      <c r="P256" s="116">
        <v>1067.1500000000001</v>
      </c>
      <c r="Q256" s="116">
        <v>2083.5</v>
      </c>
      <c r="R256">
        <v>358406</v>
      </c>
    </row>
    <row r="257" spans="1:18" x14ac:dyDescent="0.25">
      <c r="A257" s="170">
        <v>42377</v>
      </c>
      <c r="B257" s="116">
        <v>1062.5</v>
      </c>
      <c r="C257" s="116">
        <v>1026.05</v>
      </c>
      <c r="D257" s="116">
        <v>1019</v>
      </c>
      <c r="E257" s="116">
        <v>1050</v>
      </c>
      <c r="F257" s="116">
        <v>2052.1</v>
      </c>
      <c r="G257">
        <v>75261</v>
      </c>
      <c r="H257" s="116"/>
      <c r="I257" s="116"/>
      <c r="L257" s="170">
        <v>42377</v>
      </c>
      <c r="M257" s="116">
        <v>1026.125</v>
      </c>
      <c r="N257" s="116">
        <v>1062</v>
      </c>
      <c r="O257" s="116">
        <v>1019.5</v>
      </c>
      <c r="P257" s="116">
        <v>1051.5</v>
      </c>
      <c r="Q257" s="116">
        <v>2052.25</v>
      </c>
      <c r="R257">
        <v>326294</v>
      </c>
    </row>
    <row r="258" spans="1:18" x14ac:dyDescent="0.25">
      <c r="A258" s="170">
        <v>42380</v>
      </c>
      <c r="B258" s="116">
        <v>1024.5</v>
      </c>
      <c r="C258" s="116">
        <v>1012.625</v>
      </c>
      <c r="D258" s="116">
        <v>991.42499999999995</v>
      </c>
      <c r="E258" s="116">
        <v>1015.75</v>
      </c>
      <c r="F258" s="116">
        <v>2025.25</v>
      </c>
      <c r="G258">
        <v>108290</v>
      </c>
      <c r="H258" s="116"/>
      <c r="I258" s="116"/>
      <c r="L258" s="170">
        <v>42380</v>
      </c>
      <c r="M258" s="116">
        <v>1012.35</v>
      </c>
      <c r="N258" s="116">
        <v>1024.95</v>
      </c>
      <c r="O258" s="116">
        <v>987.85</v>
      </c>
      <c r="P258" s="116">
        <v>1010</v>
      </c>
      <c r="Q258" s="116">
        <v>2024.7</v>
      </c>
      <c r="R258">
        <v>398954</v>
      </c>
    </row>
    <row r="259" spans="1:18" x14ac:dyDescent="0.25">
      <c r="A259" s="170">
        <v>42381</v>
      </c>
      <c r="B259" s="116">
        <v>1032</v>
      </c>
      <c r="C259" s="116">
        <v>1007.075</v>
      </c>
      <c r="D259" s="116">
        <v>1002.5</v>
      </c>
      <c r="E259" s="116">
        <v>1017.5</v>
      </c>
      <c r="F259" s="116">
        <v>2014.15</v>
      </c>
      <c r="G259">
        <v>83197</v>
      </c>
      <c r="H259" s="116"/>
      <c r="I259" s="116"/>
      <c r="L259" s="170">
        <v>42381</v>
      </c>
      <c r="M259" s="116">
        <v>1009.15</v>
      </c>
      <c r="N259" s="116">
        <v>1031.75</v>
      </c>
      <c r="O259" s="116">
        <v>1001.35</v>
      </c>
      <c r="P259" s="116">
        <v>1020</v>
      </c>
      <c r="Q259" s="116">
        <v>2018.3</v>
      </c>
      <c r="R259">
        <v>318272</v>
      </c>
    </row>
    <row r="260" spans="1:18" x14ac:dyDescent="0.25">
      <c r="A260" s="170">
        <v>42382</v>
      </c>
      <c r="B260" s="116">
        <v>1025</v>
      </c>
      <c r="C260" s="116">
        <v>965.2</v>
      </c>
      <c r="D260" s="116">
        <v>927</v>
      </c>
      <c r="E260" s="116">
        <v>1018.5</v>
      </c>
      <c r="F260" s="116">
        <v>1930.4</v>
      </c>
      <c r="G260">
        <v>216709</v>
      </c>
      <c r="H260" s="116"/>
      <c r="I260" s="116"/>
      <c r="L260" s="170">
        <v>42382</v>
      </c>
      <c r="M260" s="116">
        <v>966.3</v>
      </c>
      <c r="N260" s="116">
        <v>1024.5</v>
      </c>
      <c r="O260" s="116">
        <v>925.77499999999998</v>
      </c>
      <c r="P260" s="116">
        <v>1017</v>
      </c>
      <c r="Q260" s="116">
        <v>1932.6</v>
      </c>
      <c r="R260">
        <v>775119</v>
      </c>
    </row>
    <row r="261" spans="1:18" x14ac:dyDescent="0.25">
      <c r="A261" s="170">
        <v>42383</v>
      </c>
      <c r="B261" s="116">
        <v>972.75</v>
      </c>
      <c r="C261" s="116">
        <v>945.45</v>
      </c>
      <c r="D261" s="116">
        <v>921.72500000000002</v>
      </c>
      <c r="E261" s="116">
        <v>947</v>
      </c>
      <c r="F261" s="116">
        <v>1890.9</v>
      </c>
      <c r="G261">
        <v>130250</v>
      </c>
      <c r="H261" s="116"/>
      <c r="I261" s="116"/>
      <c r="L261" s="170">
        <v>42383</v>
      </c>
      <c r="M261" s="116">
        <v>945.17499999999995</v>
      </c>
      <c r="N261" s="116">
        <v>972</v>
      </c>
      <c r="O261" s="116">
        <v>920.75</v>
      </c>
      <c r="P261" s="116">
        <v>947.45</v>
      </c>
      <c r="Q261" s="116">
        <v>1890.35</v>
      </c>
      <c r="R261">
        <v>543145</v>
      </c>
    </row>
    <row r="262" spans="1:18" x14ac:dyDescent="0.25">
      <c r="A262" s="170">
        <v>42384</v>
      </c>
      <c r="B262" s="116">
        <v>963.97500000000002</v>
      </c>
      <c r="C262" s="116">
        <v>892.625</v>
      </c>
      <c r="D262" s="116">
        <v>863.2</v>
      </c>
      <c r="E262" s="116">
        <v>949</v>
      </c>
      <c r="F262" s="116">
        <v>1785.25</v>
      </c>
      <c r="G262">
        <v>119597</v>
      </c>
      <c r="H262" s="116"/>
      <c r="I262" s="116"/>
      <c r="L262" s="170">
        <v>42384</v>
      </c>
      <c r="M262" s="116">
        <v>891.45</v>
      </c>
      <c r="N262" s="116">
        <v>964</v>
      </c>
      <c r="O262" s="116">
        <v>858.5</v>
      </c>
      <c r="P262" s="116">
        <v>950.85</v>
      </c>
      <c r="Q262" s="116">
        <v>1782.9</v>
      </c>
      <c r="R262">
        <v>494963</v>
      </c>
    </row>
    <row r="263" spans="1:18" x14ac:dyDescent="0.25">
      <c r="A263" s="170">
        <v>42387</v>
      </c>
      <c r="B263" s="116">
        <v>895.02499999999998</v>
      </c>
      <c r="C263" s="116">
        <v>834.82500000000005</v>
      </c>
      <c r="D263" s="116">
        <v>828.02499999999998</v>
      </c>
      <c r="E263" s="116">
        <v>889</v>
      </c>
      <c r="F263" s="116">
        <v>1669.65</v>
      </c>
      <c r="G263">
        <v>202673</v>
      </c>
      <c r="H263" s="116"/>
      <c r="I263" s="116"/>
      <c r="L263" s="170">
        <v>42387</v>
      </c>
      <c r="M263" s="116">
        <v>832.32500000000005</v>
      </c>
      <c r="N263" s="116">
        <v>894.65</v>
      </c>
      <c r="O263" s="116">
        <v>825</v>
      </c>
      <c r="P263" s="116">
        <v>887</v>
      </c>
      <c r="Q263" s="116">
        <v>1664.65</v>
      </c>
      <c r="R263">
        <v>687920</v>
      </c>
    </row>
    <row r="264" spans="1:18" x14ac:dyDescent="0.25">
      <c r="A264" s="170">
        <v>42388</v>
      </c>
      <c r="B264" s="116">
        <v>885</v>
      </c>
      <c r="C264" s="116">
        <v>867.17499999999995</v>
      </c>
      <c r="D264" s="116">
        <v>819.15</v>
      </c>
      <c r="E264" s="116">
        <v>842.5</v>
      </c>
      <c r="F264" s="116">
        <v>1734.35</v>
      </c>
      <c r="G264">
        <v>202781</v>
      </c>
      <c r="H264" s="116"/>
      <c r="I264" s="116"/>
      <c r="L264" s="170">
        <v>42388</v>
      </c>
      <c r="M264" s="116">
        <v>864.25</v>
      </c>
      <c r="N264" s="116">
        <v>876</v>
      </c>
      <c r="O264" s="116">
        <v>818.32500000000005</v>
      </c>
      <c r="P264" s="116">
        <v>844.4</v>
      </c>
      <c r="Q264" s="116">
        <v>1728.5</v>
      </c>
      <c r="R264">
        <v>712251</v>
      </c>
    </row>
    <row r="265" spans="1:18" x14ac:dyDescent="0.25">
      <c r="A265" s="170">
        <v>42389</v>
      </c>
      <c r="B265" s="116">
        <v>880.5</v>
      </c>
      <c r="C265" s="116">
        <v>852.35</v>
      </c>
      <c r="D265" s="116">
        <v>826.52499999999998</v>
      </c>
      <c r="E265" s="116">
        <v>850.5</v>
      </c>
      <c r="F265" s="116">
        <v>1704.7</v>
      </c>
      <c r="G265">
        <v>295787</v>
      </c>
      <c r="H265" s="116"/>
      <c r="I265" s="116"/>
      <c r="L265" s="170">
        <v>42389</v>
      </c>
      <c r="M265" s="116">
        <v>850.55</v>
      </c>
      <c r="N265" s="116">
        <v>880</v>
      </c>
      <c r="O265" s="116">
        <v>826</v>
      </c>
      <c r="P265" s="116">
        <v>850</v>
      </c>
      <c r="Q265" s="116">
        <v>1701.1</v>
      </c>
      <c r="R265">
        <v>1135661</v>
      </c>
    </row>
    <row r="266" spans="1:18" x14ac:dyDescent="0.25">
      <c r="A266" s="170">
        <v>42390</v>
      </c>
      <c r="B266" s="116">
        <v>874.5</v>
      </c>
      <c r="C266" s="116">
        <v>855.22500000000002</v>
      </c>
      <c r="D266" s="116">
        <v>847.25</v>
      </c>
      <c r="E266" s="116">
        <v>862.625</v>
      </c>
      <c r="F266" s="116">
        <v>1710.45</v>
      </c>
      <c r="G266">
        <v>129088</v>
      </c>
      <c r="H266" s="116"/>
      <c r="I266" s="116"/>
      <c r="L266" s="170">
        <v>42390</v>
      </c>
      <c r="M266" s="116">
        <v>856.7</v>
      </c>
      <c r="N266" s="116">
        <v>873.97500000000002</v>
      </c>
      <c r="O266" s="116">
        <v>847</v>
      </c>
      <c r="P266" s="116">
        <v>865.5</v>
      </c>
      <c r="Q266" s="116">
        <v>1713.4</v>
      </c>
      <c r="R266">
        <v>512946</v>
      </c>
    </row>
    <row r="267" spans="1:18" x14ac:dyDescent="0.25">
      <c r="A267" s="170">
        <v>42391</v>
      </c>
      <c r="B267" s="116">
        <v>889.85</v>
      </c>
      <c r="C267" s="116">
        <v>876.72500000000002</v>
      </c>
      <c r="D267" s="116">
        <v>862.5</v>
      </c>
      <c r="E267" s="116">
        <v>862.5</v>
      </c>
      <c r="F267" s="116">
        <v>1753.45</v>
      </c>
      <c r="G267">
        <v>124059</v>
      </c>
      <c r="H267" s="116"/>
      <c r="I267" s="116"/>
      <c r="L267" s="170">
        <v>42391</v>
      </c>
      <c r="M267" s="116">
        <v>879.15</v>
      </c>
      <c r="N267" s="116">
        <v>889.95</v>
      </c>
      <c r="O267" s="116">
        <v>862.5</v>
      </c>
      <c r="P267" s="116">
        <v>870.5</v>
      </c>
      <c r="Q267" s="116">
        <v>1758.3</v>
      </c>
      <c r="R267">
        <v>463009</v>
      </c>
    </row>
    <row r="268" spans="1:18" x14ac:dyDescent="0.25">
      <c r="A268" s="170">
        <v>42394</v>
      </c>
      <c r="B268" s="116">
        <v>928.5</v>
      </c>
      <c r="C268" s="116">
        <v>910.92499999999995</v>
      </c>
      <c r="D268" s="116">
        <v>885.5</v>
      </c>
      <c r="E268" s="116">
        <v>885.5</v>
      </c>
      <c r="F268" s="116">
        <v>1821.85</v>
      </c>
      <c r="G268">
        <v>130335</v>
      </c>
      <c r="H268" s="116"/>
      <c r="I268" s="116"/>
      <c r="L268" s="170">
        <v>42394</v>
      </c>
      <c r="M268" s="116">
        <v>913.375</v>
      </c>
      <c r="N268" s="116">
        <v>929.4</v>
      </c>
      <c r="O268" s="116">
        <v>886.5</v>
      </c>
      <c r="P268" s="116">
        <v>889</v>
      </c>
      <c r="Q268" s="116">
        <v>1826.75</v>
      </c>
      <c r="R268">
        <v>637904</v>
      </c>
    </row>
    <row r="269" spans="1:18" x14ac:dyDescent="0.25">
      <c r="A269" s="170">
        <v>42396</v>
      </c>
      <c r="B269" s="116">
        <v>988.5</v>
      </c>
      <c r="C269" s="116">
        <v>975.52499999999998</v>
      </c>
      <c r="D269" s="116">
        <v>920.25</v>
      </c>
      <c r="E269" s="116">
        <v>920.25</v>
      </c>
      <c r="F269" s="116">
        <v>1951.05</v>
      </c>
      <c r="G269">
        <v>185560</v>
      </c>
      <c r="H269" s="116"/>
      <c r="I269" s="116"/>
      <c r="L269" s="170">
        <v>42396</v>
      </c>
      <c r="M269" s="116">
        <v>977.1</v>
      </c>
      <c r="N269" s="116">
        <v>988.5</v>
      </c>
      <c r="O269" s="116">
        <v>920</v>
      </c>
      <c r="P269" s="116">
        <v>923.5</v>
      </c>
      <c r="Q269" s="116">
        <v>1954.2</v>
      </c>
      <c r="R269">
        <v>888560</v>
      </c>
    </row>
    <row r="270" spans="1:18" x14ac:dyDescent="0.25">
      <c r="A270" s="170">
        <v>42397</v>
      </c>
      <c r="B270" s="116">
        <v>1009.325</v>
      </c>
      <c r="C270" s="116">
        <v>994.82500000000005</v>
      </c>
      <c r="D270" s="116">
        <v>982.2</v>
      </c>
      <c r="E270" s="116">
        <v>983.5</v>
      </c>
      <c r="F270" s="116">
        <v>1989.65</v>
      </c>
      <c r="G270">
        <v>153057</v>
      </c>
      <c r="H270" s="116"/>
      <c r="I270" s="116"/>
      <c r="L270" s="170">
        <v>42397</v>
      </c>
      <c r="M270" s="116">
        <v>995.2</v>
      </c>
      <c r="N270" s="116">
        <v>1009.7</v>
      </c>
      <c r="O270" s="116">
        <v>980.1</v>
      </c>
      <c r="P270" s="116">
        <v>980.9</v>
      </c>
      <c r="Q270" s="116">
        <v>1990.4</v>
      </c>
      <c r="R270">
        <v>673479</v>
      </c>
    </row>
    <row r="271" spans="1:18" x14ac:dyDescent="0.25">
      <c r="A271" s="170">
        <v>42398</v>
      </c>
      <c r="B271" s="116">
        <v>1047.3</v>
      </c>
      <c r="C271" s="116">
        <v>1038.2249999999999</v>
      </c>
      <c r="D271" s="116">
        <v>995.5</v>
      </c>
      <c r="E271" s="116">
        <v>997.5</v>
      </c>
      <c r="F271" s="116">
        <v>2076.4499999999998</v>
      </c>
      <c r="G271">
        <v>207848</v>
      </c>
      <c r="H271" s="116"/>
      <c r="I271" s="116"/>
      <c r="L271" s="170">
        <v>42398</v>
      </c>
      <c r="M271" s="116">
        <v>1041.3</v>
      </c>
      <c r="N271" s="116">
        <v>1048</v>
      </c>
      <c r="O271" s="116">
        <v>995.2</v>
      </c>
      <c r="P271" s="116">
        <v>997.02499999999998</v>
      </c>
      <c r="Q271" s="116">
        <v>2082.6</v>
      </c>
      <c r="R271">
        <v>917264</v>
      </c>
    </row>
    <row r="272" spans="1:18" x14ac:dyDescent="0.25">
      <c r="A272" s="170">
        <v>42401</v>
      </c>
      <c r="B272" s="116">
        <v>1135</v>
      </c>
      <c r="C272" s="116">
        <v>1120.3</v>
      </c>
      <c r="D272" s="116">
        <v>1042.5</v>
      </c>
      <c r="E272" s="116">
        <v>1045.1500000000001</v>
      </c>
      <c r="F272" s="116">
        <v>2240.6</v>
      </c>
      <c r="G272">
        <v>380454</v>
      </c>
      <c r="H272" s="116"/>
      <c r="I272" s="116"/>
      <c r="L272" s="170">
        <v>42401</v>
      </c>
      <c r="M272" s="116">
        <v>1125.175</v>
      </c>
      <c r="N272" s="116">
        <v>1138.5</v>
      </c>
      <c r="O272" s="116">
        <v>1042.8</v>
      </c>
      <c r="P272" s="116">
        <v>1047.55</v>
      </c>
      <c r="Q272" s="116">
        <v>2250.35</v>
      </c>
      <c r="R272">
        <v>1619307</v>
      </c>
    </row>
    <row r="273" spans="1:18" x14ac:dyDescent="0.25">
      <c r="A273" s="170">
        <v>42402</v>
      </c>
      <c r="B273" s="116">
        <v>1198</v>
      </c>
      <c r="C273" s="116">
        <v>1145.05</v>
      </c>
      <c r="D273" s="116">
        <v>1120</v>
      </c>
      <c r="E273" s="116">
        <v>1120</v>
      </c>
      <c r="F273" s="116">
        <v>2290.1</v>
      </c>
      <c r="G273">
        <v>551972</v>
      </c>
      <c r="H273" s="116"/>
      <c r="I273" s="116"/>
      <c r="L273" s="170">
        <v>42402</v>
      </c>
      <c r="M273" s="116">
        <v>1149.3</v>
      </c>
      <c r="N273" s="116">
        <v>1201.5</v>
      </c>
      <c r="O273" s="116">
        <v>1121</v>
      </c>
      <c r="P273" s="116">
        <v>1122.5</v>
      </c>
      <c r="Q273" s="116">
        <v>2298.6</v>
      </c>
      <c r="R273">
        <v>2483477</v>
      </c>
    </row>
    <row r="274" spans="1:18" x14ac:dyDescent="0.25">
      <c r="A274" s="170">
        <v>42403</v>
      </c>
      <c r="B274" s="116">
        <v>1130.675</v>
      </c>
      <c r="C274" s="116">
        <v>1077.125</v>
      </c>
      <c r="D274" s="116">
        <v>1070</v>
      </c>
      <c r="E274" s="116">
        <v>1130</v>
      </c>
      <c r="F274" s="116">
        <v>2154.25</v>
      </c>
      <c r="G274">
        <v>270743</v>
      </c>
      <c r="H274" s="116"/>
      <c r="I274" s="116"/>
      <c r="L274" s="170">
        <v>42403</v>
      </c>
      <c r="M274" s="116">
        <v>1073.4749999999999</v>
      </c>
      <c r="N274" s="116">
        <v>1131</v>
      </c>
      <c r="O274" s="116">
        <v>1066</v>
      </c>
      <c r="P274" s="116">
        <v>1124</v>
      </c>
      <c r="Q274" s="116">
        <v>2146.9499999999998</v>
      </c>
      <c r="R274">
        <v>1013263</v>
      </c>
    </row>
    <row r="275" spans="1:18" x14ac:dyDescent="0.25">
      <c r="A275" s="170">
        <v>42404</v>
      </c>
      <c r="B275" s="116">
        <v>1117.5</v>
      </c>
      <c r="C275" s="116">
        <v>1041.3499999999999</v>
      </c>
      <c r="D275" s="116">
        <v>1017.5</v>
      </c>
      <c r="E275" s="116">
        <v>1088</v>
      </c>
      <c r="F275" s="116">
        <v>2082.6999999999998</v>
      </c>
      <c r="G275">
        <v>246543</v>
      </c>
      <c r="H275" s="116"/>
      <c r="I275" s="116"/>
      <c r="L275" s="170">
        <v>42404</v>
      </c>
      <c r="M275" s="116">
        <v>1037.9000000000001</v>
      </c>
      <c r="N275" s="116">
        <v>1117.4749999999999</v>
      </c>
      <c r="O275" s="116">
        <v>1016.05</v>
      </c>
      <c r="P275" s="116">
        <v>1087.5</v>
      </c>
      <c r="Q275" s="116">
        <v>2075.8000000000002</v>
      </c>
      <c r="R275">
        <v>1015075</v>
      </c>
    </row>
    <row r="276" spans="1:18" x14ac:dyDescent="0.25">
      <c r="A276" s="170">
        <v>42405</v>
      </c>
      <c r="B276" s="116">
        <v>1083.5</v>
      </c>
      <c r="C276" s="116">
        <v>1063.7249999999999</v>
      </c>
      <c r="D276" s="116">
        <v>1010.1</v>
      </c>
      <c r="E276" s="116">
        <v>1045.5</v>
      </c>
      <c r="F276" s="116">
        <v>2127.4499999999998</v>
      </c>
      <c r="G276">
        <v>264545</v>
      </c>
      <c r="H276" s="116"/>
      <c r="I276" s="116"/>
      <c r="L276" s="170">
        <v>42405</v>
      </c>
      <c r="M276" s="116">
        <v>1059.3</v>
      </c>
      <c r="N276" s="116">
        <v>1082.825</v>
      </c>
      <c r="O276" s="116">
        <v>1010</v>
      </c>
      <c r="P276" s="116">
        <v>1040.075</v>
      </c>
      <c r="Q276" s="116">
        <v>2118.6</v>
      </c>
      <c r="R276">
        <v>1057300</v>
      </c>
    </row>
    <row r="277" spans="1:18" x14ac:dyDescent="0.25">
      <c r="A277" s="170">
        <v>42408</v>
      </c>
      <c r="B277" s="116">
        <v>1090.95</v>
      </c>
      <c r="C277" s="116">
        <v>1057.05</v>
      </c>
      <c r="D277" s="116">
        <v>1045</v>
      </c>
      <c r="E277" s="116">
        <v>1082</v>
      </c>
      <c r="F277" s="116">
        <v>2114.1</v>
      </c>
      <c r="G277">
        <v>146331</v>
      </c>
      <c r="H277" s="116"/>
      <c r="I277" s="116"/>
      <c r="L277" s="170">
        <v>42408</v>
      </c>
      <c r="M277" s="116">
        <v>1054.3</v>
      </c>
      <c r="N277" s="116">
        <v>1091</v>
      </c>
      <c r="O277" s="116">
        <v>1044.1500000000001</v>
      </c>
      <c r="P277" s="116">
        <v>1079.5</v>
      </c>
      <c r="Q277" s="116">
        <v>2108.6</v>
      </c>
      <c r="R277">
        <v>677597</v>
      </c>
    </row>
    <row r="278" spans="1:18" x14ac:dyDescent="0.25">
      <c r="A278" s="170">
        <v>42409</v>
      </c>
      <c r="B278" s="116">
        <v>1044.75</v>
      </c>
      <c r="C278" s="116">
        <v>1026.7249999999999</v>
      </c>
      <c r="D278" s="116">
        <v>1013.925</v>
      </c>
      <c r="E278" s="116">
        <v>1039</v>
      </c>
      <c r="F278" s="116">
        <v>2053.4499999999998</v>
      </c>
      <c r="G278">
        <v>125328</v>
      </c>
      <c r="H278" s="116"/>
      <c r="I278" s="116"/>
      <c r="L278" s="170">
        <v>42409</v>
      </c>
      <c r="M278" s="116">
        <v>1023.65</v>
      </c>
      <c r="N278" s="116">
        <v>1045</v>
      </c>
      <c r="O278" s="116">
        <v>1013.5</v>
      </c>
      <c r="P278" s="116">
        <v>1037</v>
      </c>
      <c r="Q278" s="116">
        <v>2047.3</v>
      </c>
      <c r="R278">
        <v>532305</v>
      </c>
    </row>
    <row r="279" spans="1:18" x14ac:dyDescent="0.25">
      <c r="A279" s="170">
        <v>42410</v>
      </c>
      <c r="B279" s="116">
        <v>1027.8</v>
      </c>
      <c r="C279" s="116">
        <v>996.875</v>
      </c>
      <c r="D279" s="116">
        <v>988</v>
      </c>
      <c r="E279" s="116">
        <v>1019.5</v>
      </c>
      <c r="F279" s="116">
        <v>1993.75</v>
      </c>
      <c r="G279">
        <v>126634</v>
      </c>
      <c r="H279" s="116"/>
      <c r="I279" s="116"/>
      <c r="L279" s="170">
        <v>42410</v>
      </c>
      <c r="M279" s="116">
        <v>998.25</v>
      </c>
      <c r="N279" s="116">
        <v>1027.5</v>
      </c>
      <c r="O279" s="116">
        <v>987.5</v>
      </c>
      <c r="P279" s="116">
        <v>1017.5</v>
      </c>
      <c r="Q279" s="116">
        <v>1996.5</v>
      </c>
      <c r="R279">
        <v>603965</v>
      </c>
    </row>
    <row r="280" spans="1:18" x14ac:dyDescent="0.25">
      <c r="A280" s="170">
        <v>42411</v>
      </c>
      <c r="B280" s="116">
        <v>1000.775</v>
      </c>
      <c r="C280" s="116">
        <v>929.375</v>
      </c>
      <c r="D280" s="116">
        <v>920.875</v>
      </c>
      <c r="E280" s="116">
        <v>997</v>
      </c>
      <c r="F280" s="116">
        <v>1858.75</v>
      </c>
      <c r="G280">
        <v>140006</v>
      </c>
      <c r="H280" s="116"/>
      <c r="I280" s="116"/>
      <c r="L280" s="170">
        <v>42411</v>
      </c>
      <c r="M280" s="116">
        <v>930.55</v>
      </c>
      <c r="N280" s="116">
        <v>1001</v>
      </c>
      <c r="O280" s="116">
        <v>920.75</v>
      </c>
      <c r="P280" s="116">
        <v>995</v>
      </c>
      <c r="Q280" s="116">
        <v>1861.1</v>
      </c>
      <c r="R280">
        <v>564631</v>
      </c>
    </row>
    <row r="281" spans="1:18" x14ac:dyDescent="0.25">
      <c r="A281" s="170">
        <v>42412</v>
      </c>
      <c r="B281" s="116">
        <v>943.7</v>
      </c>
      <c r="C281" s="116">
        <v>893.9</v>
      </c>
      <c r="D281" s="116">
        <v>877.5</v>
      </c>
      <c r="E281" s="116">
        <v>935</v>
      </c>
      <c r="F281" s="116">
        <v>1787.8</v>
      </c>
      <c r="G281">
        <v>183494</v>
      </c>
      <c r="H281" s="116"/>
      <c r="I281" s="116"/>
      <c r="L281" s="170">
        <v>42412</v>
      </c>
      <c r="M281" s="116">
        <v>892.32500000000005</v>
      </c>
      <c r="N281" s="116">
        <v>944</v>
      </c>
      <c r="O281" s="116">
        <v>877.5</v>
      </c>
      <c r="P281" s="116">
        <v>937.5</v>
      </c>
      <c r="Q281" s="116">
        <v>1784.65</v>
      </c>
      <c r="R281">
        <v>750211</v>
      </c>
    </row>
    <row r="282" spans="1:18" x14ac:dyDescent="0.25">
      <c r="A282" s="170">
        <v>42415</v>
      </c>
      <c r="B282" s="116">
        <v>963.85</v>
      </c>
      <c r="C282" s="116">
        <v>955.8</v>
      </c>
      <c r="D282" s="116">
        <v>914.97500000000002</v>
      </c>
      <c r="E282" s="116">
        <v>914.97500000000002</v>
      </c>
      <c r="F282" s="116">
        <v>1911.6</v>
      </c>
      <c r="G282">
        <v>147577</v>
      </c>
      <c r="H282" s="116"/>
      <c r="I282" s="116"/>
      <c r="L282" s="170">
        <v>42415</v>
      </c>
      <c r="M282" s="116">
        <v>956.25</v>
      </c>
      <c r="N282" s="116">
        <v>964.5</v>
      </c>
      <c r="O282" s="116">
        <v>917.5</v>
      </c>
      <c r="P282" s="116">
        <v>917.5</v>
      </c>
      <c r="Q282" s="116">
        <v>1912.5</v>
      </c>
      <c r="R282">
        <v>695863</v>
      </c>
    </row>
    <row r="283" spans="1:18" x14ac:dyDescent="0.25">
      <c r="A283" s="170">
        <v>42416</v>
      </c>
      <c r="B283" s="116">
        <v>983.2</v>
      </c>
      <c r="C283" s="116">
        <v>934.32500000000005</v>
      </c>
      <c r="D283" s="116">
        <v>930.02499999999998</v>
      </c>
      <c r="E283" s="116">
        <v>971</v>
      </c>
      <c r="F283" s="116">
        <v>1868.65</v>
      </c>
      <c r="G283">
        <v>158175</v>
      </c>
      <c r="H283" s="116"/>
      <c r="I283" s="116"/>
      <c r="L283" s="170">
        <v>42416</v>
      </c>
      <c r="M283" s="116">
        <v>934.32500000000005</v>
      </c>
      <c r="N283" s="116">
        <v>983.85</v>
      </c>
      <c r="O283" s="116">
        <v>929</v>
      </c>
      <c r="P283" s="116">
        <v>972.5</v>
      </c>
      <c r="Q283" s="116">
        <v>1868.65</v>
      </c>
      <c r="R283">
        <v>627474</v>
      </c>
    </row>
    <row r="284" spans="1:18" x14ac:dyDescent="0.25">
      <c r="A284" s="170">
        <v>42417</v>
      </c>
      <c r="B284" s="116">
        <v>974</v>
      </c>
      <c r="C284" s="116">
        <v>956.65</v>
      </c>
      <c r="D284" s="116">
        <v>896.32500000000005</v>
      </c>
      <c r="E284" s="116">
        <v>941.5</v>
      </c>
      <c r="F284" s="116">
        <v>1913.3</v>
      </c>
      <c r="G284">
        <v>200929</v>
      </c>
      <c r="H284" s="116"/>
      <c r="I284" s="116"/>
      <c r="L284" s="170">
        <v>42417</v>
      </c>
      <c r="M284" s="116">
        <v>953.2</v>
      </c>
      <c r="N284" s="116">
        <v>961.5</v>
      </c>
      <c r="O284" s="116">
        <v>895.375</v>
      </c>
      <c r="P284" s="116">
        <v>940</v>
      </c>
      <c r="Q284" s="116">
        <v>1906.4</v>
      </c>
      <c r="R284">
        <v>803702</v>
      </c>
    </row>
    <row r="285" spans="1:18" x14ac:dyDescent="0.25">
      <c r="A285" s="170">
        <v>42418</v>
      </c>
      <c r="B285" s="116">
        <v>987.35</v>
      </c>
      <c r="C285" s="116">
        <v>956.8</v>
      </c>
      <c r="D285" s="116">
        <v>945.625</v>
      </c>
      <c r="E285" s="116">
        <v>973</v>
      </c>
      <c r="F285" s="116">
        <v>1913.6</v>
      </c>
      <c r="G285">
        <v>159954</v>
      </c>
      <c r="H285" s="116"/>
      <c r="I285" s="116"/>
      <c r="L285" s="170">
        <v>42418</v>
      </c>
      <c r="M285" s="116">
        <v>960.625</v>
      </c>
      <c r="N285" s="116">
        <v>987</v>
      </c>
      <c r="O285" s="116">
        <v>946.5</v>
      </c>
      <c r="P285" s="116">
        <v>977</v>
      </c>
      <c r="Q285" s="116">
        <v>1921.25</v>
      </c>
      <c r="R285">
        <v>610315</v>
      </c>
    </row>
    <row r="286" spans="1:18" x14ac:dyDescent="0.25">
      <c r="A286" s="170">
        <v>42419</v>
      </c>
      <c r="B286" s="116">
        <v>961.5</v>
      </c>
      <c r="C286" s="116">
        <v>949.02499999999998</v>
      </c>
      <c r="D286" s="116">
        <v>937.6</v>
      </c>
      <c r="E286" s="116">
        <v>955.5</v>
      </c>
      <c r="F286" s="116">
        <v>1898.05</v>
      </c>
      <c r="G286">
        <v>102442</v>
      </c>
      <c r="H286" s="116"/>
      <c r="I286" s="116"/>
      <c r="L286" s="170">
        <v>42419</v>
      </c>
      <c r="M286" s="116">
        <v>947.57500000000005</v>
      </c>
      <c r="N286" s="116">
        <v>962</v>
      </c>
      <c r="O286" s="116">
        <v>938</v>
      </c>
      <c r="P286" s="116">
        <v>956.5</v>
      </c>
      <c r="Q286" s="116">
        <v>1895.15</v>
      </c>
      <c r="R286">
        <v>539579</v>
      </c>
    </row>
    <row r="287" spans="1:18" x14ac:dyDescent="0.25">
      <c r="A287" s="170">
        <v>42422</v>
      </c>
      <c r="B287" s="116">
        <v>970.5</v>
      </c>
      <c r="C287" s="116">
        <v>958.6</v>
      </c>
      <c r="D287" s="116">
        <v>948.52499999999998</v>
      </c>
      <c r="E287" s="116">
        <v>955</v>
      </c>
      <c r="F287" s="116">
        <v>1917.2</v>
      </c>
      <c r="G287">
        <v>79365</v>
      </c>
      <c r="H287" s="116"/>
      <c r="I287" s="116"/>
      <c r="L287" s="170">
        <v>42422</v>
      </c>
      <c r="M287" s="116">
        <v>956.625</v>
      </c>
      <c r="N287" s="116">
        <v>970</v>
      </c>
      <c r="O287" s="116">
        <v>948.05</v>
      </c>
      <c r="P287" s="116">
        <v>957.85</v>
      </c>
      <c r="Q287" s="116">
        <v>1913.25</v>
      </c>
      <c r="R287">
        <v>382344</v>
      </c>
    </row>
    <row r="288" spans="1:18" x14ac:dyDescent="0.25">
      <c r="A288" s="170">
        <v>42423</v>
      </c>
      <c r="B288" s="116">
        <v>959.5</v>
      </c>
      <c r="C288" s="116">
        <v>941.72500000000002</v>
      </c>
      <c r="D288" s="116">
        <v>933.92499999999995</v>
      </c>
      <c r="E288" s="116">
        <v>959.5</v>
      </c>
      <c r="F288" s="116">
        <v>1883.45</v>
      </c>
      <c r="G288">
        <v>66963</v>
      </c>
      <c r="H288" s="116"/>
      <c r="I288" s="116"/>
      <c r="L288" s="170">
        <v>42423</v>
      </c>
      <c r="M288" s="116">
        <v>942.02499999999998</v>
      </c>
      <c r="N288" s="116">
        <v>960.9</v>
      </c>
      <c r="O288" s="116">
        <v>934.1</v>
      </c>
      <c r="P288" s="116">
        <v>959.5</v>
      </c>
      <c r="Q288" s="116">
        <v>1884.05</v>
      </c>
      <c r="R288">
        <v>322543</v>
      </c>
    </row>
    <row r="289" spans="1:18" x14ac:dyDescent="0.25">
      <c r="A289" s="170">
        <v>42424</v>
      </c>
      <c r="B289" s="116">
        <v>951</v>
      </c>
      <c r="C289" s="116">
        <v>892.2</v>
      </c>
      <c r="D289" s="116">
        <v>887.375</v>
      </c>
      <c r="E289" s="116">
        <v>933</v>
      </c>
      <c r="F289" s="116">
        <v>1784.4</v>
      </c>
      <c r="G289">
        <v>183852</v>
      </c>
      <c r="H289" s="116"/>
      <c r="I289" s="116"/>
      <c r="L289" s="170">
        <v>42424</v>
      </c>
      <c r="M289" s="116">
        <v>892.375</v>
      </c>
      <c r="N289" s="116">
        <v>951.7</v>
      </c>
      <c r="O289" s="116">
        <v>886.8</v>
      </c>
      <c r="P289" s="116">
        <v>930</v>
      </c>
      <c r="Q289" s="116">
        <v>1784.75</v>
      </c>
      <c r="R289">
        <v>730997</v>
      </c>
    </row>
    <row r="290" spans="1:18" x14ac:dyDescent="0.25">
      <c r="A290" s="170">
        <v>42425</v>
      </c>
      <c r="B290" s="116">
        <v>908.42499999999995</v>
      </c>
      <c r="C290" s="116">
        <v>885.2</v>
      </c>
      <c r="D290" s="116">
        <v>876.5</v>
      </c>
      <c r="E290" s="116">
        <v>900</v>
      </c>
      <c r="F290" s="116">
        <v>1770.4</v>
      </c>
      <c r="G290">
        <v>139080</v>
      </c>
      <c r="H290" s="116"/>
      <c r="I290" s="116"/>
      <c r="L290" s="170">
        <v>42425</v>
      </c>
      <c r="M290" s="116">
        <v>885.22500000000002</v>
      </c>
      <c r="N290" s="116">
        <v>908.55</v>
      </c>
      <c r="O290" s="116">
        <v>876.5</v>
      </c>
      <c r="P290" s="116">
        <v>895.75</v>
      </c>
      <c r="Q290" s="116">
        <v>1770.45</v>
      </c>
      <c r="R290">
        <v>562798</v>
      </c>
    </row>
    <row r="291" spans="1:18" x14ac:dyDescent="0.25">
      <c r="A291" s="170">
        <v>42426</v>
      </c>
      <c r="B291" s="116">
        <v>914.32500000000005</v>
      </c>
      <c r="C291" s="116">
        <v>840.27499999999998</v>
      </c>
      <c r="D291" s="116">
        <v>829</v>
      </c>
      <c r="E291" s="116">
        <v>902.5</v>
      </c>
      <c r="F291" s="116">
        <v>1680.55</v>
      </c>
      <c r="G291">
        <v>321394</v>
      </c>
      <c r="H291" s="116"/>
      <c r="I291" s="116"/>
      <c r="L291" s="170">
        <v>42426</v>
      </c>
      <c r="M291" s="116">
        <v>841.17499999999995</v>
      </c>
      <c r="N291" s="116">
        <v>914.5</v>
      </c>
      <c r="O291" s="116">
        <v>828</v>
      </c>
      <c r="P291" s="116">
        <v>902.5</v>
      </c>
      <c r="Q291" s="116">
        <v>1682.35</v>
      </c>
      <c r="R291">
        <v>1515713</v>
      </c>
    </row>
    <row r="292" spans="1:18" x14ac:dyDescent="0.25">
      <c r="A292" s="170">
        <v>42429</v>
      </c>
      <c r="B292" s="116">
        <v>864.95</v>
      </c>
      <c r="C292" s="116">
        <v>846.875</v>
      </c>
      <c r="D292" s="116">
        <v>798.52499999999998</v>
      </c>
      <c r="E292" s="116">
        <v>843</v>
      </c>
      <c r="F292" s="116">
        <v>1693.75</v>
      </c>
      <c r="G292">
        <v>322392</v>
      </c>
      <c r="H292" s="116"/>
      <c r="I292" s="116"/>
      <c r="L292" s="170">
        <v>42429</v>
      </c>
      <c r="M292" s="116">
        <v>847.125</v>
      </c>
      <c r="N292" s="116">
        <v>865</v>
      </c>
      <c r="O292" s="116">
        <v>797.5</v>
      </c>
      <c r="P292" s="116">
        <v>836</v>
      </c>
      <c r="Q292" s="116">
        <v>1694.25</v>
      </c>
      <c r="R292">
        <v>1344951</v>
      </c>
    </row>
    <row r="293" spans="1:18" x14ac:dyDescent="0.25">
      <c r="A293" s="170">
        <v>42430</v>
      </c>
      <c r="B293" s="116">
        <v>905.5</v>
      </c>
      <c r="C293" s="116">
        <v>895.25</v>
      </c>
      <c r="D293" s="116">
        <v>850.5</v>
      </c>
      <c r="E293" s="116">
        <v>858.75</v>
      </c>
      <c r="F293" s="116">
        <v>1790.5</v>
      </c>
      <c r="G293">
        <v>216734</v>
      </c>
      <c r="H293" s="116"/>
      <c r="I293" s="116"/>
      <c r="L293" s="170">
        <v>42430</v>
      </c>
      <c r="M293" s="116">
        <v>896.375</v>
      </c>
      <c r="N293" s="116">
        <v>906.47500000000002</v>
      </c>
      <c r="O293" s="116">
        <v>850</v>
      </c>
      <c r="P293" s="116">
        <v>855</v>
      </c>
      <c r="Q293" s="116">
        <v>1792.75</v>
      </c>
      <c r="R293">
        <v>1018743</v>
      </c>
    </row>
    <row r="294" spans="1:18" x14ac:dyDescent="0.25">
      <c r="A294" s="170">
        <v>42431</v>
      </c>
      <c r="B294" s="116">
        <v>930</v>
      </c>
      <c r="C294" s="116">
        <v>908.5</v>
      </c>
      <c r="D294" s="116">
        <v>905.5</v>
      </c>
      <c r="E294" s="116">
        <v>923</v>
      </c>
      <c r="F294" s="116">
        <v>1817</v>
      </c>
      <c r="G294">
        <v>156090</v>
      </c>
      <c r="H294" s="116"/>
      <c r="I294" s="116"/>
      <c r="L294" s="170">
        <v>42431</v>
      </c>
      <c r="M294" s="116">
        <v>908.5</v>
      </c>
      <c r="N294" s="116">
        <v>930</v>
      </c>
      <c r="O294" s="116">
        <v>905.5</v>
      </c>
      <c r="P294" s="116">
        <v>925</v>
      </c>
      <c r="Q294" s="116">
        <v>1817</v>
      </c>
      <c r="R294">
        <v>632357</v>
      </c>
    </row>
    <row r="295" spans="1:18" x14ac:dyDescent="0.25">
      <c r="A295" s="170">
        <v>42432</v>
      </c>
      <c r="B295" s="116">
        <v>929.25</v>
      </c>
      <c r="C295" s="116">
        <v>920.05</v>
      </c>
      <c r="D295" s="116">
        <v>905</v>
      </c>
      <c r="E295" s="116">
        <v>916.5</v>
      </c>
      <c r="F295" s="116">
        <v>1840.1</v>
      </c>
      <c r="G295">
        <v>142320</v>
      </c>
      <c r="H295" s="116"/>
      <c r="I295" s="116"/>
      <c r="L295" s="170">
        <v>42432</v>
      </c>
      <c r="M295" s="116">
        <v>919.95</v>
      </c>
      <c r="N295" s="116">
        <v>929.75</v>
      </c>
      <c r="O295" s="116">
        <v>905.05</v>
      </c>
      <c r="P295" s="116">
        <v>916.4</v>
      </c>
      <c r="Q295" s="116">
        <v>1839.9</v>
      </c>
      <c r="R295">
        <v>726471</v>
      </c>
    </row>
    <row r="296" spans="1:18" x14ac:dyDescent="0.25">
      <c r="A296" s="170">
        <v>42433</v>
      </c>
      <c r="B296" s="116">
        <v>954.42499999999995</v>
      </c>
      <c r="C296" s="116">
        <v>936.92499999999995</v>
      </c>
      <c r="D296" s="116">
        <v>902.27499999999998</v>
      </c>
      <c r="E296" s="116">
        <v>920.5</v>
      </c>
      <c r="F296" s="116">
        <v>1873.85</v>
      </c>
      <c r="G296">
        <v>214615</v>
      </c>
      <c r="H296" s="116"/>
      <c r="I296" s="116"/>
      <c r="L296" s="170">
        <v>42433</v>
      </c>
      <c r="M296" s="116">
        <v>937.42499999999995</v>
      </c>
      <c r="N296" s="116">
        <v>954.27499999999998</v>
      </c>
      <c r="O296" s="116">
        <v>902.5</v>
      </c>
      <c r="P296" s="116">
        <v>922.5</v>
      </c>
      <c r="Q296" s="116">
        <v>1874.85</v>
      </c>
      <c r="R296">
        <v>977175</v>
      </c>
    </row>
    <row r="297" spans="1:18" x14ac:dyDescent="0.25">
      <c r="A297" s="170">
        <v>42437</v>
      </c>
      <c r="B297" s="116">
        <v>951</v>
      </c>
      <c r="C297" s="116">
        <v>938</v>
      </c>
      <c r="D297" s="116">
        <v>924.5</v>
      </c>
      <c r="E297" s="116">
        <v>936</v>
      </c>
      <c r="F297" s="116">
        <v>1876</v>
      </c>
      <c r="G297">
        <v>122706</v>
      </c>
      <c r="H297" s="116"/>
      <c r="I297" s="116"/>
      <c r="L297" s="170">
        <v>42437</v>
      </c>
      <c r="M297" s="116">
        <v>937.375</v>
      </c>
      <c r="N297" s="116">
        <v>951</v>
      </c>
      <c r="O297" s="116">
        <v>924.27499999999998</v>
      </c>
      <c r="P297" s="116">
        <v>932.5</v>
      </c>
      <c r="Q297" s="116">
        <v>1874.75</v>
      </c>
      <c r="R297">
        <v>537130</v>
      </c>
    </row>
    <row r="298" spans="1:18" x14ac:dyDescent="0.25">
      <c r="A298" s="170">
        <v>42438</v>
      </c>
      <c r="B298" s="116">
        <v>987.5</v>
      </c>
      <c r="C298" s="116">
        <v>980.77499999999998</v>
      </c>
      <c r="D298" s="116">
        <v>924.17499999999995</v>
      </c>
      <c r="E298" s="116">
        <v>933</v>
      </c>
      <c r="F298" s="116">
        <v>1961.55</v>
      </c>
      <c r="G298">
        <v>236030</v>
      </c>
      <c r="H298" s="116"/>
      <c r="I298" s="116"/>
      <c r="L298" s="170">
        <v>42438</v>
      </c>
      <c r="M298" s="116">
        <v>980.375</v>
      </c>
      <c r="N298" s="116">
        <v>986.4</v>
      </c>
      <c r="O298" s="116">
        <v>923.5</v>
      </c>
      <c r="P298" s="116">
        <v>930</v>
      </c>
      <c r="Q298" s="116">
        <v>1960.75</v>
      </c>
      <c r="R298">
        <v>1143879</v>
      </c>
    </row>
    <row r="299" spans="1:18" x14ac:dyDescent="0.25">
      <c r="A299" s="170">
        <v>42439</v>
      </c>
      <c r="B299" s="116">
        <v>1006.025</v>
      </c>
      <c r="C299" s="116">
        <v>981.77499999999998</v>
      </c>
      <c r="D299" s="116">
        <v>975.1</v>
      </c>
      <c r="E299" s="116">
        <v>988.5</v>
      </c>
      <c r="F299" s="116">
        <v>1963.55</v>
      </c>
      <c r="G299">
        <v>150040</v>
      </c>
      <c r="H299" s="116"/>
      <c r="I299" s="116"/>
      <c r="L299" s="170">
        <v>42439</v>
      </c>
      <c r="M299" s="116">
        <v>982.1</v>
      </c>
      <c r="N299" s="116">
        <v>1006</v>
      </c>
      <c r="O299" s="116">
        <v>974.07500000000005</v>
      </c>
      <c r="P299" s="116">
        <v>989</v>
      </c>
      <c r="Q299" s="116">
        <v>1964.2</v>
      </c>
      <c r="R299">
        <v>840447</v>
      </c>
    </row>
    <row r="300" spans="1:18" x14ac:dyDescent="0.25">
      <c r="A300" s="170">
        <v>42440</v>
      </c>
      <c r="B300" s="116">
        <v>994</v>
      </c>
      <c r="C300" s="116">
        <v>976</v>
      </c>
      <c r="D300" s="116">
        <v>968.32500000000005</v>
      </c>
      <c r="E300" s="116">
        <v>985</v>
      </c>
      <c r="F300" s="116">
        <v>1952</v>
      </c>
      <c r="G300">
        <v>84134</v>
      </c>
      <c r="H300" s="116"/>
      <c r="I300" s="116"/>
      <c r="L300" s="170">
        <v>42440</v>
      </c>
      <c r="M300" s="116">
        <v>975.6</v>
      </c>
      <c r="N300" s="116">
        <v>994</v>
      </c>
      <c r="O300" s="116">
        <v>967.57500000000005</v>
      </c>
      <c r="P300" s="116">
        <v>984.85</v>
      </c>
      <c r="Q300" s="116">
        <v>1951.2</v>
      </c>
      <c r="R300">
        <v>587388</v>
      </c>
    </row>
    <row r="301" spans="1:18" x14ac:dyDescent="0.25">
      <c r="A301" s="170">
        <v>42443</v>
      </c>
      <c r="B301" s="116">
        <v>992.5</v>
      </c>
      <c r="C301" s="116">
        <v>977.125</v>
      </c>
      <c r="D301" s="116">
        <v>973.45</v>
      </c>
      <c r="E301" s="116">
        <v>988.95</v>
      </c>
      <c r="F301" s="116">
        <v>1954.25</v>
      </c>
      <c r="G301">
        <v>64460</v>
      </c>
      <c r="H301" s="116"/>
      <c r="I301" s="116"/>
      <c r="L301" s="170">
        <v>42443</v>
      </c>
      <c r="M301" s="116">
        <v>977.125</v>
      </c>
      <c r="N301" s="116">
        <v>992</v>
      </c>
      <c r="O301" s="116">
        <v>973.52499999999998</v>
      </c>
      <c r="P301" s="116">
        <v>985.45</v>
      </c>
      <c r="Q301" s="116">
        <v>1954.25</v>
      </c>
      <c r="R301">
        <v>348814</v>
      </c>
    </row>
    <row r="302" spans="1:18" x14ac:dyDescent="0.25">
      <c r="A302" s="170">
        <v>42444</v>
      </c>
      <c r="B302" s="116">
        <v>989</v>
      </c>
      <c r="C302" s="116">
        <v>968.72500000000002</v>
      </c>
      <c r="D302" s="116">
        <v>963.47500000000002</v>
      </c>
      <c r="E302" s="116">
        <v>982</v>
      </c>
      <c r="F302" s="116">
        <v>1937.45</v>
      </c>
      <c r="G302">
        <v>80386</v>
      </c>
      <c r="H302" s="116"/>
      <c r="I302" s="116"/>
      <c r="L302" s="170">
        <v>42444</v>
      </c>
      <c r="M302" s="116">
        <v>968.375</v>
      </c>
      <c r="N302" s="116">
        <v>989</v>
      </c>
      <c r="O302" s="116">
        <v>962.65</v>
      </c>
      <c r="P302" s="116">
        <v>977.5</v>
      </c>
      <c r="Q302" s="116">
        <v>1936.75</v>
      </c>
      <c r="R302">
        <v>462156</v>
      </c>
    </row>
    <row r="303" spans="1:18" x14ac:dyDescent="0.25">
      <c r="A303" s="170">
        <v>42445</v>
      </c>
      <c r="B303" s="116">
        <v>977.9</v>
      </c>
      <c r="C303" s="116">
        <v>959.27499999999998</v>
      </c>
      <c r="D303" s="116">
        <v>941.27499999999998</v>
      </c>
      <c r="E303" s="116">
        <v>967.25</v>
      </c>
      <c r="F303" s="116">
        <v>1918.55</v>
      </c>
      <c r="G303">
        <v>106191</v>
      </c>
      <c r="H303" s="116"/>
      <c r="I303" s="116"/>
      <c r="L303" s="170">
        <v>42445</v>
      </c>
      <c r="M303" s="116">
        <v>958.72500000000002</v>
      </c>
      <c r="N303" s="116">
        <v>977.5</v>
      </c>
      <c r="O303" s="116">
        <v>940.9</v>
      </c>
      <c r="P303" s="116">
        <v>965</v>
      </c>
      <c r="Q303" s="116">
        <v>1917.45</v>
      </c>
      <c r="R303">
        <v>611438</v>
      </c>
    </row>
    <row r="304" spans="1:18" x14ac:dyDescent="0.25">
      <c r="A304" s="170">
        <v>42446</v>
      </c>
      <c r="B304" s="116">
        <v>976.67499999999995</v>
      </c>
      <c r="C304" s="116">
        <v>956.375</v>
      </c>
      <c r="D304" s="116">
        <v>949.125</v>
      </c>
      <c r="E304" s="116">
        <v>969</v>
      </c>
      <c r="F304" s="116">
        <v>1912.75</v>
      </c>
      <c r="G304">
        <v>82833</v>
      </c>
      <c r="H304" s="116"/>
      <c r="I304" s="116"/>
      <c r="L304" s="170">
        <v>42446</v>
      </c>
      <c r="M304" s="116">
        <v>956.07500000000005</v>
      </c>
      <c r="N304" s="116">
        <v>976.85</v>
      </c>
      <c r="O304" s="116">
        <v>950</v>
      </c>
      <c r="P304" s="116">
        <v>969</v>
      </c>
      <c r="Q304" s="116">
        <v>1912.15</v>
      </c>
      <c r="R304">
        <v>400428</v>
      </c>
    </row>
    <row r="305" spans="1:18" x14ac:dyDescent="0.25">
      <c r="A305" s="170">
        <v>42447</v>
      </c>
      <c r="B305" s="116">
        <v>964.75</v>
      </c>
      <c r="C305" s="116">
        <v>958.375</v>
      </c>
      <c r="D305" s="116">
        <v>946.5</v>
      </c>
      <c r="E305" s="116">
        <v>959</v>
      </c>
      <c r="F305" s="116">
        <v>1916.75</v>
      </c>
      <c r="G305">
        <v>111736</v>
      </c>
      <c r="H305" s="116"/>
      <c r="I305" s="116"/>
      <c r="L305" s="170">
        <v>42447</v>
      </c>
      <c r="M305" s="116">
        <v>959.125</v>
      </c>
      <c r="N305" s="116">
        <v>965.97500000000002</v>
      </c>
      <c r="O305" s="116">
        <v>946.6</v>
      </c>
      <c r="P305" s="116">
        <v>957.4</v>
      </c>
      <c r="Q305" s="116">
        <v>1918.25</v>
      </c>
      <c r="R305">
        <v>431159</v>
      </c>
    </row>
    <row r="306" spans="1:18" x14ac:dyDescent="0.25">
      <c r="A306" s="170">
        <v>42450</v>
      </c>
      <c r="B306" s="116">
        <v>985</v>
      </c>
      <c r="C306" s="116">
        <v>975.25</v>
      </c>
      <c r="D306" s="116">
        <v>960.75</v>
      </c>
      <c r="E306" s="116">
        <v>962.5</v>
      </c>
      <c r="F306" s="116">
        <v>1950.5</v>
      </c>
      <c r="G306">
        <v>110390</v>
      </c>
      <c r="H306" s="116"/>
      <c r="I306" s="116"/>
      <c r="L306" s="170">
        <v>42450</v>
      </c>
      <c r="M306" s="116">
        <v>975.125</v>
      </c>
      <c r="N306" s="116">
        <v>984.85</v>
      </c>
      <c r="O306" s="116">
        <v>960.52499999999998</v>
      </c>
      <c r="P306" s="116">
        <v>962.5</v>
      </c>
      <c r="Q306" s="116">
        <v>1950.25</v>
      </c>
      <c r="R306">
        <v>559257</v>
      </c>
    </row>
    <row r="307" spans="1:18" x14ac:dyDescent="0.25">
      <c r="A307" s="170">
        <v>42451</v>
      </c>
      <c r="B307" s="116">
        <v>982</v>
      </c>
      <c r="C307" s="116">
        <v>972.02499999999998</v>
      </c>
      <c r="D307" s="116">
        <v>965.25</v>
      </c>
      <c r="E307" s="116">
        <v>980</v>
      </c>
      <c r="F307" s="116">
        <v>1944.05</v>
      </c>
      <c r="G307">
        <v>70681</v>
      </c>
      <c r="H307" s="116"/>
      <c r="I307" s="116"/>
      <c r="L307" s="170">
        <v>42451</v>
      </c>
      <c r="M307" s="116">
        <v>972.42499999999995</v>
      </c>
      <c r="N307" s="116">
        <v>981.5</v>
      </c>
      <c r="O307" s="116">
        <v>965.05</v>
      </c>
      <c r="P307" s="116">
        <v>979.5</v>
      </c>
      <c r="Q307" s="116">
        <v>1944.85</v>
      </c>
      <c r="R307">
        <v>357681</v>
      </c>
    </row>
    <row r="308" spans="1:18" x14ac:dyDescent="0.25">
      <c r="A308" s="170">
        <v>42452</v>
      </c>
      <c r="B308" s="116">
        <v>982.45</v>
      </c>
      <c r="C308" s="116">
        <v>966.55</v>
      </c>
      <c r="D308" s="116">
        <v>960</v>
      </c>
      <c r="E308" s="116">
        <v>972.5</v>
      </c>
      <c r="F308" s="116">
        <v>1933.1</v>
      </c>
      <c r="G308">
        <v>56698</v>
      </c>
      <c r="H308" s="116"/>
      <c r="I308" s="116"/>
      <c r="L308" s="170">
        <v>42452</v>
      </c>
      <c r="M308" s="116">
        <v>967</v>
      </c>
      <c r="N308" s="116">
        <v>980.95</v>
      </c>
      <c r="O308" s="116">
        <v>960.55</v>
      </c>
      <c r="P308" s="116">
        <v>971.5</v>
      </c>
      <c r="Q308" s="116">
        <v>1934</v>
      </c>
      <c r="R308">
        <v>273106</v>
      </c>
    </row>
    <row r="309" spans="1:18" x14ac:dyDescent="0.25">
      <c r="A309" s="170">
        <v>42457</v>
      </c>
      <c r="B309" s="116">
        <v>975.4</v>
      </c>
      <c r="C309" s="116">
        <v>945.75</v>
      </c>
      <c r="D309" s="116">
        <v>941.25</v>
      </c>
      <c r="E309" s="116">
        <v>969.5</v>
      </c>
      <c r="F309" s="116">
        <v>1891.5</v>
      </c>
      <c r="G309">
        <v>69568</v>
      </c>
      <c r="H309" s="116"/>
      <c r="I309" s="116"/>
      <c r="L309" s="170">
        <v>42457</v>
      </c>
      <c r="M309" s="116">
        <v>946.47500000000002</v>
      </c>
      <c r="N309" s="116">
        <v>974.95</v>
      </c>
      <c r="O309" s="116">
        <v>942.55</v>
      </c>
      <c r="P309" s="116">
        <v>967</v>
      </c>
      <c r="Q309" s="116">
        <v>1892.95</v>
      </c>
      <c r="R309">
        <v>292725</v>
      </c>
    </row>
    <row r="310" spans="1:18" x14ac:dyDescent="0.25">
      <c r="A310" s="170">
        <v>42458</v>
      </c>
      <c r="B310" s="116">
        <v>947.17499999999995</v>
      </c>
      <c r="C310" s="116">
        <v>918.07500000000005</v>
      </c>
      <c r="D310" s="116">
        <v>914</v>
      </c>
      <c r="E310" s="116">
        <v>944.25</v>
      </c>
      <c r="F310" s="116">
        <v>1836.15</v>
      </c>
      <c r="G310">
        <v>86321</v>
      </c>
      <c r="H310" s="116"/>
      <c r="I310" s="116"/>
      <c r="L310" s="170">
        <v>42458</v>
      </c>
      <c r="M310" s="116">
        <v>918.72500000000002</v>
      </c>
      <c r="N310" s="116">
        <v>947.25</v>
      </c>
      <c r="O310" s="116">
        <v>914.05</v>
      </c>
      <c r="P310" s="116">
        <v>943.5</v>
      </c>
      <c r="Q310" s="116">
        <v>1837.45</v>
      </c>
      <c r="R310">
        <v>421366</v>
      </c>
    </row>
    <row r="311" spans="1:18" x14ac:dyDescent="0.25">
      <c r="A311" s="170">
        <v>42459</v>
      </c>
      <c r="B311" s="116">
        <v>952.5</v>
      </c>
      <c r="C311" s="116">
        <v>942.3</v>
      </c>
      <c r="D311" s="116">
        <v>920.9</v>
      </c>
      <c r="E311" s="116">
        <v>925.5</v>
      </c>
      <c r="F311" s="116">
        <v>1884.6</v>
      </c>
      <c r="G311">
        <v>125584</v>
      </c>
      <c r="H311" s="116"/>
      <c r="I311" s="116"/>
      <c r="L311" s="170">
        <v>42459</v>
      </c>
      <c r="M311" s="116">
        <v>942.72500000000002</v>
      </c>
      <c r="N311" s="116">
        <v>952.35</v>
      </c>
      <c r="O311" s="116">
        <v>921</v>
      </c>
      <c r="P311" s="116">
        <v>927.5</v>
      </c>
      <c r="Q311" s="116">
        <v>1885.45</v>
      </c>
      <c r="R311">
        <v>517951</v>
      </c>
    </row>
    <row r="312" spans="1:18" x14ac:dyDescent="0.25">
      <c r="A312" s="170">
        <v>42460</v>
      </c>
      <c r="B312" s="116">
        <v>956.65</v>
      </c>
      <c r="C312" s="116">
        <v>940.27499999999998</v>
      </c>
      <c r="D312" s="116">
        <v>930.5</v>
      </c>
      <c r="E312" s="116">
        <v>945</v>
      </c>
      <c r="F312" s="116">
        <v>1880.55</v>
      </c>
      <c r="G312">
        <v>93131</v>
      </c>
      <c r="H312" s="116"/>
      <c r="I312" s="116"/>
      <c r="L312" s="170">
        <v>42460</v>
      </c>
      <c r="M312" s="116">
        <v>941.92499999999995</v>
      </c>
      <c r="N312" s="116">
        <v>956.35</v>
      </c>
      <c r="O312" s="116">
        <v>931</v>
      </c>
      <c r="P312" s="116">
        <v>938.5</v>
      </c>
      <c r="Q312" s="116">
        <v>1883.85</v>
      </c>
      <c r="R312">
        <v>522753</v>
      </c>
    </row>
    <row r="313" spans="1:18" x14ac:dyDescent="0.25">
      <c r="A313" s="170">
        <v>42461</v>
      </c>
      <c r="B313" s="116">
        <v>967.9</v>
      </c>
      <c r="C313" s="116">
        <v>951.8</v>
      </c>
      <c r="D313" s="116">
        <v>937.5</v>
      </c>
      <c r="E313" s="116">
        <v>944.5</v>
      </c>
      <c r="F313" s="116">
        <v>1903.6</v>
      </c>
      <c r="G313">
        <v>107410</v>
      </c>
      <c r="H313" s="116"/>
      <c r="I313" s="116"/>
      <c r="L313" s="170">
        <v>42461</v>
      </c>
      <c r="M313" s="116">
        <v>952.27499999999998</v>
      </c>
      <c r="N313" s="116">
        <v>967.5</v>
      </c>
      <c r="O313" s="116">
        <v>937.67499999999995</v>
      </c>
      <c r="P313" s="116">
        <v>941.85</v>
      </c>
      <c r="Q313" s="116">
        <v>1904.55</v>
      </c>
      <c r="R313">
        <v>462114</v>
      </c>
    </row>
    <row r="314" spans="1:18" x14ac:dyDescent="0.25">
      <c r="A314" s="170">
        <v>42464</v>
      </c>
      <c r="B314" s="116">
        <v>965.4</v>
      </c>
      <c r="C314" s="116">
        <v>955.67499999999995</v>
      </c>
      <c r="D314" s="116">
        <v>952.5</v>
      </c>
      <c r="E314" s="116">
        <v>955</v>
      </c>
      <c r="F314" s="116">
        <v>1911.35</v>
      </c>
      <c r="G314">
        <v>68869</v>
      </c>
      <c r="H314" s="116"/>
      <c r="I314" s="116"/>
      <c r="L314" s="170">
        <v>42464</v>
      </c>
      <c r="M314" s="116">
        <v>955.45</v>
      </c>
      <c r="N314" s="116">
        <v>964.95</v>
      </c>
      <c r="O314" s="116">
        <v>952.55</v>
      </c>
      <c r="P314" s="116">
        <v>959.25</v>
      </c>
      <c r="Q314" s="116">
        <v>1910.9</v>
      </c>
      <c r="R314">
        <v>259018</v>
      </c>
    </row>
    <row r="315" spans="1:18" x14ac:dyDescent="0.25">
      <c r="A315" s="170">
        <v>42465</v>
      </c>
      <c r="B315" s="116">
        <v>967</v>
      </c>
      <c r="C315" s="116">
        <v>944.5</v>
      </c>
      <c r="D315" s="116">
        <v>940.625</v>
      </c>
      <c r="E315" s="116">
        <v>951.45</v>
      </c>
      <c r="F315" s="116">
        <v>1889</v>
      </c>
      <c r="G315">
        <v>84157</v>
      </c>
      <c r="H315" s="116"/>
      <c r="I315" s="116"/>
      <c r="L315" s="170">
        <v>42465</v>
      </c>
      <c r="M315" s="116">
        <v>945.85</v>
      </c>
      <c r="N315" s="116">
        <v>966.6</v>
      </c>
      <c r="O315" s="116">
        <v>942.55</v>
      </c>
      <c r="P315" s="116">
        <v>951</v>
      </c>
      <c r="Q315" s="116">
        <v>1891.7</v>
      </c>
      <c r="R315">
        <v>398629</v>
      </c>
    </row>
    <row r="316" spans="1:18" x14ac:dyDescent="0.25">
      <c r="A316" s="170">
        <v>42466</v>
      </c>
      <c r="B316" s="116">
        <v>950</v>
      </c>
      <c r="C316" s="116">
        <v>935.05</v>
      </c>
      <c r="D316" s="116">
        <v>931.5</v>
      </c>
      <c r="E316" s="116">
        <v>948</v>
      </c>
      <c r="F316" s="116">
        <v>1870.1</v>
      </c>
      <c r="G316">
        <v>60948</v>
      </c>
      <c r="H316" s="116"/>
      <c r="I316" s="116"/>
      <c r="L316" s="170">
        <v>42466</v>
      </c>
      <c r="M316" s="116">
        <v>935.42499999999995</v>
      </c>
      <c r="N316" s="116">
        <v>950.6</v>
      </c>
      <c r="O316" s="116">
        <v>930.75</v>
      </c>
      <c r="P316" s="116">
        <v>946.5</v>
      </c>
      <c r="Q316" s="116">
        <v>1870.85</v>
      </c>
      <c r="R316">
        <v>268887</v>
      </c>
    </row>
    <row r="317" spans="1:18" x14ac:dyDescent="0.25">
      <c r="A317" s="170">
        <v>42467</v>
      </c>
      <c r="B317" s="116">
        <v>947.35</v>
      </c>
      <c r="C317" s="116">
        <v>931.5</v>
      </c>
      <c r="D317" s="116">
        <v>929.8</v>
      </c>
      <c r="E317" s="116">
        <v>940.5</v>
      </c>
      <c r="F317" s="116">
        <v>1863</v>
      </c>
      <c r="G317">
        <v>72748</v>
      </c>
      <c r="H317" s="116"/>
      <c r="I317" s="116"/>
      <c r="L317" s="170">
        <v>42467</v>
      </c>
      <c r="M317" s="116">
        <v>931.85</v>
      </c>
      <c r="N317" s="116">
        <v>946.35</v>
      </c>
      <c r="O317" s="116">
        <v>929</v>
      </c>
      <c r="P317" s="116">
        <v>937.9</v>
      </c>
      <c r="Q317" s="116">
        <v>1863.7</v>
      </c>
      <c r="R317">
        <v>300774</v>
      </c>
    </row>
    <row r="318" spans="1:18" x14ac:dyDescent="0.25">
      <c r="A318" s="170">
        <v>42468</v>
      </c>
      <c r="B318" s="116">
        <v>944</v>
      </c>
      <c r="C318" s="116">
        <v>932.17499999999995</v>
      </c>
      <c r="D318" s="116">
        <v>928.75</v>
      </c>
      <c r="E318" s="116">
        <v>934.5</v>
      </c>
      <c r="F318" s="116">
        <v>1864.35</v>
      </c>
      <c r="G318">
        <v>62033</v>
      </c>
      <c r="H318" s="116"/>
      <c r="I318" s="116"/>
      <c r="L318" s="170">
        <v>42468</v>
      </c>
      <c r="M318" s="116">
        <v>930.97500000000002</v>
      </c>
      <c r="N318" s="116">
        <v>944.17499999999995</v>
      </c>
      <c r="O318" s="116">
        <v>927.6</v>
      </c>
      <c r="P318" s="116">
        <v>933.5</v>
      </c>
      <c r="Q318" s="116">
        <v>1861.95</v>
      </c>
      <c r="R318">
        <v>275196</v>
      </c>
    </row>
    <row r="319" spans="1:18" x14ac:dyDescent="0.25">
      <c r="A319" s="170">
        <v>42471</v>
      </c>
      <c r="B319" s="116">
        <v>966.15</v>
      </c>
      <c r="C319" s="116">
        <v>963.2</v>
      </c>
      <c r="D319" s="116">
        <v>929</v>
      </c>
      <c r="E319" s="116">
        <v>936</v>
      </c>
      <c r="F319" s="116">
        <v>1926.4</v>
      </c>
      <c r="G319">
        <v>115095</v>
      </c>
      <c r="H319" s="116"/>
      <c r="I319" s="116"/>
      <c r="L319" s="170">
        <v>42471</v>
      </c>
      <c r="M319" s="116">
        <v>962.6</v>
      </c>
      <c r="N319" s="116">
        <v>966.25</v>
      </c>
      <c r="O319" s="116">
        <v>929</v>
      </c>
      <c r="P319" s="116">
        <v>935.65</v>
      </c>
      <c r="Q319" s="116">
        <v>1925.2</v>
      </c>
      <c r="R319">
        <v>518700</v>
      </c>
    </row>
    <row r="320" spans="1:18" x14ac:dyDescent="0.25">
      <c r="A320" s="170">
        <v>42472</v>
      </c>
      <c r="B320" s="116">
        <v>984.5</v>
      </c>
      <c r="C320" s="116">
        <v>972.57500000000005</v>
      </c>
      <c r="D320" s="116">
        <v>964.52499999999998</v>
      </c>
      <c r="E320" s="116">
        <v>965.05</v>
      </c>
      <c r="F320" s="116">
        <v>1945.15</v>
      </c>
      <c r="G320">
        <v>100868</v>
      </c>
      <c r="H320" s="116"/>
      <c r="I320" s="116"/>
      <c r="L320" s="170">
        <v>42472</v>
      </c>
      <c r="M320" s="116">
        <v>971.75</v>
      </c>
      <c r="N320" s="116">
        <v>985</v>
      </c>
      <c r="O320" s="116">
        <v>964.05</v>
      </c>
      <c r="P320" s="116">
        <v>970</v>
      </c>
      <c r="Q320" s="116">
        <v>1943.5</v>
      </c>
      <c r="R320">
        <v>567092</v>
      </c>
    </row>
    <row r="321" spans="1:18" x14ac:dyDescent="0.25">
      <c r="A321" s="170">
        <v>42473</v>
      </c>
      <c r="B321" s="116">
        <v>988</v>
      </c>
      <c r="C321" s="116">
        <v>971.07500000000005</v>
      </c>
      <c r="D321" s="116">
        <v>967.5</v>
      </c>
      <c r="E321" s="116">
        <v>978</v>
      </c>
      <c r="F321" s="116">
        <v>1942.15</v>
      </c>
      <c r="G321">
        <v>84722</v>
      </c>
      <c r="H321" s="116"/>
      <c r="I321" s="116"/>
      <c r="L321" s="170">
        <v>42473</v>
      </c>
      <c r="M321" s="116">
        <v>970.52499999999998</v>
      </c>
      <c r="N321" s="116">
        <v>988</v>
      </c>
      <c r="O321" s="116">
        <v>967.45</v>
      </c>
      <c r="P321" s="116">
        <v>981</v>
      </c>
      <c r="Q321" s="116">
        <v>1941.05</v>
      </c>
      <c r="R321">
        <v>347557</v>
      </c>
    </row>
    <row r="322" spans="1:18" x14ac:dyDescent="0.25">
      <c r="A322" s="170">
        <v>42478</v>
      </c>
      <c r="B322" s="116">
        <v>979</v>
      </c>
      <c r="C322" s="116">
        <v>973.55</v>
      </c>
      <c r="D322" s="116">
        <v>965.25</v>
      </c>
      <c r="E322" s="116">
        <v>966.5</v>
      </c>
      <c r="F322" s="116">
        <v>1947.1</v>
      </c>
      <c r="G322">
        <v>76748</v>
      </c>
      <c r="H322" s="116"/>
      <c r="I322" s="116"/>
      <c r="L322" s="170">
        <v>42478</v>
      </c>
      <c r="M322" s="116">
        <v>974.02499999999998</v>
      </c>
      <c r="N322" s="116">
        <v>978.875</v>
      </c>
      <c r="O322" s="116">
        <v>964.15</v>
      </c>
      <c r="P322" s="116">
        <v>969</v>
      </c>
      <c r="Q322" s="116">
        <v>1948.05</v>
      </c>
      <c r="R322">
        <v>285899</v>
      </c>
    </row>
    <row r="323" spans="1:18" x14ac:dyDescent="0.25">
      <c r="A323" s="170">
        <v>42480</v>
      </c>
      <c r="B323" s="116">
        <v>998.5</v>
      </c>
      <c r="C323" s="116">
        <v>987.875</v>
      </c>
      <c r="D323" s="116">
        <v>979</v>
      </c>
      <c r="E323" s="116">
        <v>979</v>
      </c>
      <c r="F323" s="116">
        <v>1975.75</v>
      </c>
      <c r="G323">
        <v>125319</v>
      </c>
      <c r="H323" s="116"/>
      <c r="I323" s="116"/>
      <c r="L323" s="170">
        <v>42480</v>
      </c>
      <c r="M323" s="116">
        <v>988.55</v>
      </c>
      <c r="N323" s="116">
        <v>998.2</v>
      </c>
      <c r="O323" s="116">
        <v>978.02499999999998</v>
      </c>
      <c r="P323" s="116">
        <v>983.4</v>
      </c>
      <c r="Q323" s="116">
        <v>1977.1</v>
      </c>
      <c r="R323">
        <v>531689</v>
      </c>
    </row>
    <row r="324" spans="1:18" x14ac:dyDescent="0.25">
      <c r="A324" s="170">
        <v>42481</v>
      </c>
      <c r="B324" s="116">
        <v>999.25</v>
      </c>
      <c r="C324" s="116">
        <v>973.42499999999995</v>
      </c>
      <c r="D324" s="116">
        <v>970</v>
      </c>
      <c r="E324" s="116">
        <v>993.5</v>
      </c>
      <c r="F324" s="116">
        <v>1946.85</v>
      </c>
      <c r="G324">
        <v>87769</v>
      </c>
      <c r="H324" s="116"/>
      <c r="I324" s="116"/>
      <c r="L324" s="170">
        <v>42481</v>
      </c>
      <c r="M324" s="116">
        <v>973.45</v>
      </c>
      <c r="N324" s="116">
        <v>998.875</v>
      </c>
      <c r="O324" s="116">
        <v>970</v>
      </c>
      <c r="P324" s="116">
        <v>995.5</v>
      </c>
      <c r="Q324" s="116">
        <v>1946.9</v>
      </c>
      <c r="R324">
        <v>298977</v>
      </c>
    </row>
    <row r="325" spans="1:18" x14ac:dyDescent="0.25">
      <c r="A325" s="170">
        <v>42482</v>
      </c>
      <c r="B325" s="116">
        <v>985.55</v>
      </c>
      <c r="C325" s="116">
        <v>976.72500000000002</v>
      </c>
      <c r="D325" s="116">
        <v>968</v>
      </c>
      <c r="E325" s="116">
        <v>970</v>
      </c>
      <c r="F325" s="116">
        <v>1953.45</v>
      </c>
      <c r="G325">
        <v>62098</v>
      </c>
      <c r="H325" s="116"/>
      <c r="I325" s="116"/>
      <c r="L325" s="170">
        <v>42482</v>
      </c>
      <c r="M325" s="116">
        <v>976.9</v>
      </c>
      <c r="N325" s="116">
        <v>986</v>
      </c>
      <c r="O325" s="116">
        <v>965</v>
      </c>
      <c r="P325" s="116">
        <v>975</v>
      </c>
      <c r="Q325" s="116">
        <v>1953.8</v>
      </c>
      <c r="R325">
        <v>295536</v>
      </c>
    </row>
    <row r="326" spans="1:18" x14ac:dyDescent="0.25">
      <c r="A326" s="170">
        <v>42485</v>
      </c>
      <c r="B326" s="116">
        <v>981.47500000000002</v>
      </c>
      <c r="C326" s="116">
        <v>970.77499999999998</v>
      </c>
      <c r="D326" s="116">
        <v>965.4</v>
      </c>
      <c r="E326" s="116">
        <v>980.9</v>
      </c>
      <c r="F326" s="116">
        <v>1941.55</v>
      </c>
      <c r="G326">
        <v>49242</v>
      </c>
      <c r="H326" s="116"/>
      <c r="I326" s="116"/>
      <c r="L326" s="170">
        <v>42485</v>
      </c>
      <c r="M326" s="116">
        <v>970.45</v>
      </c>
      <c r="N326" s="116">
        <v>980.85</v>
      </c>
      <c r="O326" s="116">
        <v>964</v>
      </c>
      <c r="P326" s="116">
        <v>979.5</v>
      </c>
      <c r="Q326" s="116">
        <v>1940.9</v>
      </c>
      <c r="R326">
        <v>227729</v>
      </c>
    </row>
    <row r="327" spans="1:18" x14ac:dyDescent="0.25">
      <c r="A327" s="170">
        <v>42486</v>
      </c>
      <c r="B327" s="116">
        <v>1008</v>
      </c>
      <c r="C327" s="116">
        <v>1000.2</v>
      </c>
      <c r="D327" s="116">
        <v>965</v>
      </c>
      <c r="E327" s="116">
        <v>971</v>
      </c>
      <c r="F327" s="116">
        <v>2000.4</v>
      </c>
      <c r="G327">
        <v>134259</v>
      </c>
      <c r="H327" s="116"/>
      <c r="I327" s="116"/>
      <c r="L327" s="170">
        <v>42486</v>
      </c>
      <c r="M327" s="116">
        <v>1000.4</v>
      </c>
      <c r="N327" s="116">
        <v>1008</v>
      </c>
      <c r="O327" s="116">
        <v>964.35</v>
      </c>
      <c r="P327" s="116">
        <v>972</v>
      </c>
      <c r="Q327" s="116">
        <v>2000.8</v>
      </c>
      <c r="R327">
        <v>677396</v>
      </c>
    </row>
    <row r="328" spans="1:18" x14ac:dyDescent="0.25">
      <c r="A328" s="170">
        <v>42487</v>
      </c>
      <c r="B328" s="116">
        <v>1032</v>
      </c>
      <c r="C328" s="116">
        <v>1019.075</v>
      </c>
      <c r="D328" s="116">
        <v>1012.5</v>
      </c>
      <c r="E328" s="116">
        <v>1012.5</v>
      </c>
      <c r="F328" s="116">
        <v>2038.15</v>
      </c>
      <c r="G328">
        <v>134409</v>
      </c>
      <c r="H328" s="116"/>
      <c r="I328" s="116"/>
      <c r="L328" s="170">
        <v>42487</v>
      </c>
      <c r="M328" s="116">
        <v>1020.625</v>
      </c>
      <c r="N328" s="116">
        <v>1032.5</v>
      </c>
      <c r="O328" s="116">
        <v>1013</v>
      </c>
      <c r="P328" s="116">
        <v>1013</v>
      </c>
      <c r="Q328" s="116">
        <v>2041.25</v>
      </c>
      <c r="R328">
        <v>728958</v>
      </c>
    </row>
    <row r="329" spans="1:18" x14ac:dyDescent="0.25">
      <c r="A329" s="170">
        <v>42488</v>
      </c>
      <c r="B329" s="116">
        <v>1032</v>
      </c>
      <c r="C329" s="116">
        <v>956.52499999999998</v>
      </c>
      <c r="D329" s="116">
        <v>947.5</v>
      </c>
      <c r="E329" s="116">
        <v>1024</v>
      </c>
      <c r="F329" s="116">
        <v>1913.05</v>
      </c>
      <c r="G329">
        <v>330179</v>
      </c>
      <c r="H329" s="116"/>
      <c r="I329" s="116"/>
      <c r="L329" s="170">
        <v>42488</v>
      </c>
      <c r="M329" s="116">
        <v>955.55</v>
      </c>
      <c r="N329" s="116">
        <v>1032</v>
      </c>
      <c r="O329" s="116">
        <v>946.65</v>
      </c>
      <c r="P329" s="116">
        <v>1023</v>
      </c>
      <c r="Q329" s="116">
        <v>1911.1</v>
      </c>
      <c r="R329">
        <v>1847158</v>
      </c>
    </row>
    <row r="330" spans="1:18" x14ac:dyDescent="0.25">
      <c r="A330" s="170">
        <v>42489</v>
      </c>
      <c r="B330" s="116">
        <v>973.27499999999998</v>
      </c>
      <c r="C330" s="116">
        <v>955.17499999999995</v>
      </c>
      <c r="D330" s="116">
        <v>932.5</v>
      </c>
      <c r="E330" s="116">
        <v>956.52499999999998</v>
      </c>
      <c r="F330" s="116">
        <v>1910.35</v>
      </c>
      <c r="G330">
        <v>201298</v>
      </c>
      <c r="H330" s="116"/>
      <c r="I330" s="116"/>
      <c r="L330" s="170">
        <v>42489</v>
      </c>
      <c r="M330" s="116">
        <v>954.7</v>
      </c>
      <c r="N330" s="116">
        <v>973.5</v>
      </c>
      <c r="O330" s="116">
        <v>931.45</v>
      </c>
      <c r="P330" s="116">
        <v>956.5</v>
      </c>
      <c r="Q330" s="116">
        <v>1909.4</v>
      </c>
      <c r="R330">
        <v>1013406</v>
      </c>
    </row>
    <row r="331" spans="1:18" x14ac:dyDescent="0.25">
      <c r="A331" s="170">
        <v>42492</v>
      </c>
      <c r="B331" s="116">
        <v>960.5</v>
      </c>
      <c r="C331" s="116">
        <v>952.92499999999995</v>
      </c>
      <c r="D331" s="116">
        <v>939.5</v>
      </c>
      <c r="E331" s="116">
        <v>953.45</v>
      </c>
      <c r="F331" s="116">
        <v>1905.85</v>
      </c>
      <c r="G331">
        <v>83948</v>
      </c>
      <c r="H331" s="116"/>
      <c r="I331" s="116"/>
      <c r="L331" s="170">
        <v>42492</v>
      </c>
      <c r="M331" s="116">
        <v>952.5</v>
      </c>
      <c r="N331" s="116">
        <v>960.47500000000002</v>
      </c>
      <c r="O331" s="116">
        <v>939.25</v>
      </c>
      <c r="P331" s="116">
        <v>947.5</v>
      </c>
      <c r="Q331" s="116">
        <v>1905</v>
      </c>
      <c r="R331">
        <v>356289</v>
      </c>
    </row>
    <row r="332" spans="1:18" x14ac:dyDescent="0.25">
      <c r="A332" s="170">
        <v>42493</v>
      </c>
      <c r="B332" s="116">
        <v>965.95</v>
      </c>
      <c r="C332" s="116">
        <v>942.22500000000002</v>
      </c>
      <c r="D332" s="116">
        <v>938</v>
      </c>
      <c r="E332" s="116">
        <v>955.05</v>
      </c>
      <c r="F332" s="116">
        <v>1884.45</v>
      </c>
      <c r="G332">
        <v>88631</v>
      </c>
      <c r="H332" s="116"/>
      <c r="I332" s="116"/>
      <c r="L332" s="170">
        <v>42493</v>
      </c>
      <c r="M332" s="116">
        <v>942.42499999999995</v>
      </c>
      <c r="N332" s="116">
        <v>966.5</v>
      </c>
      <c r="O332" s="116">
        <v>939.17499999999995</v>
      </c>
      <c r="P332" s="116">
        <v>955.4</v>
      </c>
      <c r="Q332" s="116">
        <v>1884.85</v>
      </c>
      <c r="R332">
        <v>382356</v>
      </c>
    </row>
    <row r="333" spans="1:18" x14ac:dyDescent="0.25">
      <c r="A333" s="170">
        <v>42494</v>
      </c>
      <c r="B333" s="116">
        <v>943.5</v>
      </c>
      <c r="C333" s="116">
        <v>924.7</v>
      </c>
      <c r="D333" s="116">
        <v>921.5</v>
      </c>
      <c r="E333" s="116">
        <v>942.22500000000002</v>
      </c>
      <c r="F333" s="116">
        <v>1849.4</v>
      </c>
      <c r="G333">
        <v>90605</v>
      </c>
      <c r="H333" s="116"/>
      <c r="I333" s="116"/>
      <c r="L333" s="170">
        <v>42494</v>
      </c>
      <c r="M333" s="116">
        <v>923.42499999999995</v>
      </c>
      <c r="N333" s="116">
        <v>941.72500000000002</v>
      </c>
      <c r="O333" s="116">
        <v>920.27499999999998</v>
      </c>
      <c r="P333" s="116">
        <v>939</v>
      </c>
      <c r="Q333" s="116">
        <v>1846.85</v>
      </c>
      <c r="R333">
        <v>395143</v>
      </c>
    </row>
    <row r="334" spans="1:18" x14ac:dyDescent="0.25">
      <c r="A334" s="170">
        <v>42495</v>
      </c>
      <c r="B334" s="116">
        <v>933</v>
      </c>
      <c r="C334" s="116">
        <v>919.35</v>
      </c>
      <c r="D334" s="116">
        <v>911.05</v>
      </c>
      <c r="E334" s="116">
        <v>929</v>
      </c>
      <c r="F334" s="116">
        <v>1838.7</v>
      </c>
      <c r="G334">
        <v>81271</v>
      </c>
      <c r="H334" s="116"/>
      <c r="I334" s="116"/>
      <c r="L334" s="170">
        <v>42495</v>
      </c>
      <c r="M334" s="116">
        <v>918.65</v>
      </c>
      <c r="N334" s="116">
        <v>932.95</v>
      </c>
      <c r="O334" s="116">
        <v>910.65</v>
      </c>
      <c r="P334" s="116">
        <v>928.47500000000002</v>
      </c>
      <c r="Q334" s="116">
        <v>1837.3</v>
      </c>
      <c r="R334">
        <v>338530</v>
      </c>
    </row>
    <row r="335" spans="1:18" x14ac:dyDescent="0.25">
      <c r="A335" s="170">
        <v>42496</v>
      </c>
      <c r="B335" s="116">
        <v>934.95</v>
      </c>
      <c r="C335" s="116">
        <v>919.35</v>
      </c>
      <c r="D335" s="116">
        <v>913</v>
      </c>
      <c r="E335" s="116">
        <v>917.5</v>
      </c>
      <c r="F335" s="116">
        <v>1838.7</v>
      </c>
      <c r="G335">
        <v>93951</v>
      </c>
      <c r="H335" s="116"/>
      <c r="I335" s="116"/>
      <c r="L335" s="170">
        <v>42496</v>
      </c>
      <c r="M335" s="116">
        <v>917.85</v>
      </c>
      <c r="N335" s="116">
        <v>934.35</v>
      </c>
      <c r="O335" s="116">
        <v>912.5</v>
      </c>
      <c r="P335" s="116">
        <v>918.4</v>
      </c>
      <c r="Q335" s="116">
        <v>1835.7</v>
      </c>
      <c r="R335">
        <v>328459</v>
      </c>
    </row>
    <row r="336" spans="1:18" x14ac:dyDescent="0.25">
      <c r="A336" s="170">
        <v>42499</v>
      </c>
      <c r="B336" s="116">
        <v>937.35</v>
      </c>
      <c r="C336" s="116">
        <v>930.55</v>
      </c>
      <c r="D336" s="116">
        <v>923.4</v>
      </c>
      <c r="E336" s="116">
        <v>935</v>
      </c>
      <c r="F336" s="116">
        <v>1861.1</v>
      </c>
      <c r="G336">
        <v>48524</v>
      </c>
      <c r="H336" s="116"/>
      <c r="I336" s="116"/>
      <c r="L336" s="170">
        <v>42499</v>
      </c>
      <c r="M336" s="116">
        <v>930.32500000000005</v>
      </c>
      <c r="N336" s="116">
        <v>936.9</v>
      </c>
      <c r="O336" s="116">
        <v>924</v>
      </c>
      <c r="P336" s="116">
        <v>926</v>
      </c>
      <c r="Q336" s="116">
        <v>1860.65</v>
      </c>
      <c r="R336">
        <v>256832</v>
      </c>
    </row>
    <row r="337" spans="1:18" x14ac:dyDescent="0.25">
      <c r="A337" s="170">
        <v>42500</v>
      </c>
      <c r="B337" s="116">
        <v>939.7</v>
      </c>
      <c r="C337" s="116">
        <v>935.35</v>
      </c>
      <c r="D337" s="116">
        <v>927.8</v>
      </c>
      <c r="E337" s="116">
        <v>935</v>
      </c>
      <c r="F337" s="116">
        <v>1870.7</v>
      </c>
      <c r="G337">
        <v>65668</v>
      </c>
      <c r="H337" s="116"/>
      <c r="I337" s="116"/>
      <c r="L337" s="170">
        <v>42500</v>
      </c>
      <c r="M337" s="116">
        <v>935.02499999999998</v>
      </c>
      <c r="N337" s="116">
        <v>939.4</v>
      </c>
      <c r="O337" s="116">
        <v>927.5</v>
      </c>
      <c r="P337" s="116">
        <v>931</v>
      </c>
      <c r="Q337" s="116">
        <v>1870.05</v>
      </c>
      <c r="R337">
        <v>277680</v>
      </c>
    </row>
    <row r="338" spans="1:18" x14ac:dyDescent="0.25">
      <c r="A338" s="170">
        <v>42501</v>
      </c>
      <c r="B338" s="116">
        <v>933.85</v>
      </c>
      <c r="C338" s="116">
        <v>930.15</v>
      </c>
      <c r="D338" s="116">
        <v>918</v>
      </c>
      <c r="E338" s="116">
        <v>922.5</v>
      </c>
      <c r="F338" s="116">
        <v>1860.3</v>
      </c>
      <c r="G338">
        <v>42227</v>
      </c>
      <c r="H338" s="116"/>
      <c r="I338" s="116"/>
      <c r="L338" s="170">
        <v>42501</v>
      </c>
      <c r="M338" s="116">
        <v>929.92499999999995</v>
      </c>
      <c r="N338" s="116">
        <v>934</v>
      </c>
      <c r="O338" s="116">
        <v>917.5</v>
      </c>
      <c r="P338" s="116">
        <v>923.97500000000002</v>
      </c>
      <c r="Q338" s="116">
        <v>1859.85</v>
      </c>
      <c r="R338">
        <v>213699</v>
      </c>
    </row>
    <row r="339" spans="1:18" x14ac:dyDescent="0.25">
      <c r="A339" s="170">
        <v>42502</v>
      </c>
      <c r="B339" s="116">
        <v>958.35</v>
      </c>
      <c r="C339" s="116">
        <v>952.82500000000005</v>
      </c>
      <c r="D339" s="116">
        <v>930.5</v>
      </c>
      <c r="E339" s="116">
        <v>930.5</v>
      </c>
      <c r="F339" s="116">
        <v>1905.65</v>
      </c>
      <c r="G339">
        <v>90613</v>
      </c>
      <c r="H339" s="116"/>
      <c r="I339" s="116"/>
      <c r="L339" s="170">
        <v>42502</v>
      </c>
      <c r="M339" s="116">
        <v>952.75</v>
      </c>
      <c r="N339" s="116">
        <v>958.92499999999995</v>
      </c>
      <c r="O339" s="116">
        <v>931.5</v>
      </c>
      <c r="P339" s="116">
        <v>934</v>
      </c>
      <c r="Q339" s="116">
        <v>1905.5</v>
      </c>
      <c r="R339">
        <v>565985</v>
      </c>
    </row>
    <row r="340" spans="1:18" x14ac:dyDescent="0.25">
      <c r="A340" s="170">
        <v>42503</v>
      </c>
      <c r="B340" s="116">
        <v>964.5</v>
      </c>
      <c r="C340" s="116">
        <v>951.15</v>
      </c>
      <c r="D340" s="116">
        <v>940.45</v>
      </c>
      <c r="E340" s="116">
        <v>953.5</v>
      </c>
      <c r="F340" s="116">
        <v>1902.3</v>
      </c>
      <c r="G340">
        <v>95324</v>
      </c>
      <c r="H340" s="116"/>
      <c r="I340" s="116"/>
      <c r="L340" s="170">
        <v>42503</v>
      </c>
      <c r="M340" s="116">
        <v>952.07500000000005</v>
      </c>
      <c r="N340" s="116">
        <v>964</v>
      </c>
      <c r="O340" s="116">
        <v>940.5</v>
      </c>
      <c r="P340" s="116">
        <v>953.125</v>
      </c>
      <c r="Q340" s="116">
        <v>1904.15</v>
      </c>
      <c r="R340">
        <v>394052</v>
      </c>
    </row>
    <row r="341" spans="1:18" x14ac:dyDescent="0.25">
      <c r="A341" s="170">
        <v>42506</v>
      </c>
      <c r="B341" s="116">
        <v>961.1</v>
      </c>
      <c r="C341" s="116">
        <v>949.42499999999995</v>
      </c>
      <c r="D341" s="116">
        <v>946.5</v>
      </c>
      <c r="E341" s="116">
        <v>953</v>
      </c>
      <c r="F341" s="116">
        <v>1898.85</v>
      </c>
      <c r="G341">
        <v>56459</v>
      </c>
      <c r="H341" s="116"/>
      <c r="I341" s="116"/>
      <c r="L341" s="170">
        <v>42506</v>
      </c>
      <c r="M341" s="116">
        <v>949.9</v>
      </c>
      <c r="N341" s="116">
        <v>960.625</v>
      </c>
      <c r="O341" s="116">
        <v>946.125</v>
      </c>
      <c r="P341" s="116">
        <v>955.95</v>
      </c>
      <c r="Q341" s="116">
        <v>1899.8</v>
      </c>
      <c r="R341">
        <v>205158</v>
      </c>
    </row>
    <row r="342" spans="1:18" x14ac:dyDescent="0.25">
      <c r="A342" s="170">
        <v>42507</v>
      </c>
      <c r="B342" s="116">
        <v>967.47500000000002</v>
      </c>
      <c r="C342" s="116">
        <v>961.3</v>
      </c>
      <c r="D342" s="116">
        <v>952.5</v>
      </c>
      <c r="E342" s="116">
        <v>952.9</v>
      </c>
      <c r="F342" s="116">
        <v>1922.6</v>
      </c>
      <c r="G342">
        <v>77637</v>
      </c>
      <c r="H342" s="116"/>
      <c r="I342" s="116"/>
      <c r="L342" s="170">
        <v>42507</v>
      </c>
      <c r="M342" s="116">
        <v>961.92499999999995</v>
      </c>
      <c r="N342" s="116">
        <v>967</v>
      </c>
      <c r="O342" s="116">
        <v>952</v>
      </c>
      <c r="P342" s="116">
        <v>954</v>
      </c>
      <c r="Q342" s="116">
        <v>1923.85</v>
      </c>
      <c r="R342">
        <v>418647</v>
      </c>
    </row>
    <row r="343" spans="1:18" x14ac:dyDescent="0.25">
      <c r="A343" s="170">
        <v>42508</v>
      </c>
      <c r="B343" s="116">
        <v>970.375</v>
      </c>
      <c r="C343" s="116">
        <v>960.52499999999998</v>
      </c>
      <c r="D343" s="116">
        <v>957.9</v>
      </c>
      <c r="E343" s="116">
        <v>959</v>
      </c>
      <c r="F343" s="116">
        <v>1921.05</v>
      </c>
      <c r="G343">
        <v>63189</v>
      </c>
      <c r="H343" s="116"/>
      <c r="I343" s="116"/>
      <c r="L343" s="170">
        <v>42508</v>
      </c>
      <c r="M343" s="116">
        <v>959.85</v>
      </c>
      <c r="N343" s="116">
        <v>970.875</v>
      </c>
      <c r="O343" s="116">
        <v>957.32500000000005</v>
      </c>
      <c r="P343" s="116">
        <v>960</v>
      </c>
      <c r="Q343" s="116">
        <v>1919.7</v>
      </c>
      <c r="R343">
        <v>317018</v>
      </c>
    </row>
    <row r="344" spans="1:18" x14ac:dyDescent="0.25">
      <c r="A344" s="170">
        <v>42509</v>
      </c>
      <c r="B344" s="116">
        <v>965</v>
      </c>
      <c r="C344" s="116">
        <v>936.95</v>
      </c>
      <c r="D344" s="116">
        <v>931</v>
      </c>
      <c r="E344" s="116">
        <v>957.5</v>
      </c>
      <c r="F344" s="116">
        <v>1873.9</v>
      </c>
      <c r="G344">
        <v>57616</v>
      </c>
      <c r="H344" s="116"/>
      <c r="I344" s="116"/>
      <c r="L344" s="170">
        <v>42509</v>
      </c>
      <c r="M344" s="116">
        <v>937.52499999999998</v>
      </c>
      <c r="N344" s="116">
        <v>961.85</v>
      </c>
      <c r="O344" s="116">
        <v>932.97500000000002</v>
      </c>
      <c r="P344" s="116">
        <v>960</v>
      </c>
      <c r="Q344" s="116">
        <v>1875.05</v>
      </c>
      <c r="R344">
        <v>218485</v>
      </c>
    </row>
    <row r="345" spans="1:18" x14ac:dyDescent="0.25">
      <c r="A345" s="170">
        <v>42510</v>
      </c>
      <c r="B345" s="116">
        <v>941.2</v>
      </c>
      <c r="C345" s="116">
        <v>923.92499999999995</v>
      </c>
      <c r="D345" s="116">
        <v>919</v>
      </c>
      <c r="E345" s="116">
        <v>940</v>
      </c>
      <c r="F345" s="116">
        <v>1847.85</v>
      </c>
      <c r="G345">
        <v>66524</v>
      </c>
      <c r="H345" s="116"/>
      <c r="I345" s="116"/>
      <c r="L345" s="170">
        <v>42510</v>
      </c>
      <c r="M345" s="116">
        <v>922.47500000000002</v>
      </c>
      <c r="N345" s="116">
        <v>941</v>
      </c>
      <c r="O345" s="116">
        <v>918.77499999999998</v>
      </c>
      <c r="P345" s="116">
        <v>941</v>
      </c>
      <c r="Q345" s="116">
        <v>1844.95</v>
      </c>
      <c r="R345">
        <v>236024</v>
      </c>
    </row>
    <row r="346" spans="1:18" x14ac:dyDescent="0.25">
      <c r="A346" s="170">
        <v>42513</v>
      </c>
      <c r="B346" s="116">
        <v>931</v>
      </c>
      <c r="C346" s="116">
        <v>916.72500000000002</v>
      </c>
      <c r="D346" s="116">
        <v>915</v>
      </c>
      <c r="E346" s="116">
        <v>925.5</v>
      </c>
      <c r="F346" s="116">
        <v>1833.45</v>
      </c>
      <c r="G346">
        <v>38785</v>
      </c>
      <c r="H346" s="116"/>
      <c r="I346" s="116"/>
      <c r="L346" s="170">
        <v>42513</v>
      </c>
      <c r="M346" s="116">
        <v>917.45</v>
      </c>
      <c r="N346" s="116">
        <v>930.8</v>
      </c>
      <c r="O346" s="116">
        <v>916.02499999999998</v>
      </c>
      <c r="P346" s="116">
        <v>925.5</v>
      </c>
      <c r="Q346" s="116">
        <v>1834.9</v>
      </c>
      <c r="R346">
        <v>177547</v>
      </c>
    </row>
    <row r="347" spans="1:18" x14ac:dyDescent="0.25">
      <c r="A347" s="170">
        <v>42514</v>
      </c>
      <c r="B347" s="116">
        <v>920.75</v>
      </c>
      <c r="C347" s="116">
        <v>890.72500000000002</v>
      </c>
      <c r="D347" s="116">
        <v>887.5</v>
      </c>
      <c r="E347" s="116">
        <v>917.5</v>
      </c>
      <c r="F347" s="116">
        <v>1781.45</v>
      </c>
      <c r="G347">
        <v>81513</v>
      </c>
      <c r="H347" s="116"/>
      <c r="I347" s="116"/>
      <c r="L347" s="170">
        <v>42514</v>
      </c>
      <c r="M347" s="116">
        <v>889.82500000000005</v>
      </c>
      <c r="N347" s="116">
        <v>917.25</v>
      </c>
      <c r="O347" s="116">
        <v>888.07500000000005</v>
      </c>
      <c r="P347" s="116">
        <v>917</v>
      </c>
      <c r="Q347" s="116">
        <v>1779.65</v>
      </c>
      <c r="R347">
        <v>322937</v>
      </c>
    </row>
    <row r="348" spans="1:18" x14ac:dyDescent="0.25">
      <c r="A348" s="170">
        <v>42515</v>
      </c>
      <c r="B348" s="116">
        <v>908.82500000000005</v>
      </c>
      <c r="C348" s="116">
        <v>904.875</v>
      </c>
      <c r="D348" s="116">
        <v>893.52499999999998</v>
      </c>
      <c r="E348" s="116">
        <v>895.5</v>
      </c>
      <c r="F348" s="116">
        <v>1809.75</v>
      </c>
      <c r="G348">
        <v>50744</v>
      </c>
      <c r="H348" s="116"/>
      <c r="I348" s="116"/>
      <c r="L348" s="170">
        <v>42515</v>
      </c>
      <c r="M348" s="116">
        <v>904.6</v>
      </c>
      <c r="N348" s="116">
        <v>909</v>
      </c>
      <c r="O348" s="116">
        <v>891.52499999999998</v>
      </c>
      <c r="P348" s="116">
        <v>900.1</v>
      </c>
      <c r="Q348" s="116">
        <v>1809.2</v>
      </c>
      <c r="R348">
        <v>262951</v>
      </c>
    </row>
    <row r="349" spans="1:18" x14ac:dyDescent="0.25">
      <c r="A349" s="170">
        <v>42516</v>
      </c>
      <c r="B349" s="116">
        <v>918.25</v>
      </c>
      <c r="C349" s="116">
        <v>907.05</v>
      </c>
      <c r="D349" s="116">
        <v>901</v>
      </c>
      <c r="E349" s="116">
        <v>909.5</v>
      </c>
      <c r="F349" s="116">
        <v>1814.1</v>
      </c>
      <c r="G349">
        <v>54982</v>
      </c>
      <c r="H349" s="116"/>
      <c r="I349" s="116"/>
      <c r="L349" s="170">
        <v>42516</v>
      </c>
      <c r="M349" s="116">
        <v>907.52499999999998</v>
      </c>
      <c r="N349" s="116">
        <v>918.8</v>
      </c>
      <c r="O349" s="116">
        <v>900</v>
      </c>
      <c r="P349" s="116">
        <v>906.97500000000002</v>
      </c>
      <c r="Q349" s="116">
        <v>1815.05</v>
      </c>
      <c r="R349">
        <v>264110</v>
      </c>
    </row>
    <row r="350" spans="1:18" x14ac:dyDescent="0.25">
      <c r="A350" s="170">
        <v>42517</v>
      </c>
      <c r="B350" s="116">
        <v>928.4</v>
      </c>
      <c r="C350" s="116">
        <v>923.82500000000005</v>
      </c>
      <c r="D350" s="116">
        <v>907.82500000000005</v>
      </c>
      <c r="E350" s="116">
        <v>908.5</v>
      </c>
      <c r="F350" s="116">
        <v>1847.65</v>
      </c>
      <c r="G350">
        <v>66859</v>
      </c>
      <c r="H350" s="116"/>
      <c r="I350" s="116"/>
      <c r="L350" s="170">
        <v>42517</v>
      </c>
      <c r="M350" s="116">
        <v>923.55</v>
      </c>
      <c r="N350" s="116">
        <v>928</v>
      </c>
      <c r="O350" s="116">
        <v>907.6</v>
      </c>
      <c r="P350" s="116">
        <v>909</v>
      </c>
      <c r="Q350" s="116">
        <v>1847.1</v>
      </c>
      <c r="R350">
        <v>280661</v>
      </c>
    </row>
    <row r="351" spans="1:18" x14ac:dyDescent="0.25">
      <c r="A351" s="170">
        <v>42520</v>
      </c>
      <c r="B351" s="116">
        <v>931.4</v>
      </c>
      <c r="C351" s="116">
        <v>921.75</v>
      </c>
      <c r="D351" s="116">
        <v>913.35</v>
      </c>
      <c r="E351" s="116">
        <v>928.5</v>
      </c>
      <c r="F351" s="116">
        <v>1843.5</v>
      </c>
      <c r="G351">
        <v>38879</v>
      </c>
      <c r="H351" s="116"/>
      <c r="I351" s="116"/>
      <c r="L351" s="170">
        <v>42520</v>
      </c>
      <c r="M351" s="116">
        <v>922.92499999999995</v>
      </c>
      <c r="N351" s="116">
        <v>931.875</v>
      </c>
      <c r="O351" s="116">
        <v>913.5</v>
      </c>
      <c r="P351" s="116">
        <v>928.4</v>
      </c>
      <c r="Q351" s="116">
        <v>1845.85</v>
      </c>
      <c r="R351">
        <v>161403</v>
      </c>
    </row>
    <row r="352" spans="1:18" x14ac:dyDescent="0.25">
      <c r="A352" s="170">
        <v>42521</v>
      </c>
      <c r="B352" s="116">
        <v>930.25</v>
      </c>
      <c r="C352" s="116">
        <v>901.47500000000002</v>
      </c>
      <c r="D352" s="116">
        <v>894.5</v>
      </c>
      <c r="E352" s="116">
        <v>925.65</v>
      </c>
      <c r="F352" s="116">
        <v>1802.95</v>
      </c>
      <c r="G352">
        <v>50191</v>
      </c>
      <c r="H352" s="116"/>
      <c r="I352" s="116"/>
      <c r="L352" s="170">
        <v>42521</v>
      </c>
      <c r="M352" s="116">
        <v>900.3</v>
      </c>
      <c r="N352" s="116">
        <v>930.7</v>
      </c>
      <c r="O352" s="116">
        <v>894</v>
      </c>
      <c r="P352" s="116">
        <v>924.5</v>
      </c>
      <c r="Q352" s="116">
        <v>1800.6</v>
      </c>
      <c r="R352">
        <v>281509</v>
      </c>
    </row>
    <row r="353" spans="1:18" x14ac:dyDescent="0.25">
      <c r="A353" s="170">
        <v>42522</v>
      </c>
      <c r="B353" s="116">
        <v>906.95</v>
      </c>
      <c r="C353" s="116">
        <v>892.27499999999998</v>
      </c>
      <c r="D353" s="116">
        <v>887.5</v>
      </c>
      <c r="E353" s="116">
        <v>902</v>
      </c>
      <c r="F353" s="116">
        <v>1784.55</v>
      </c>
      <c r="G353">
        <v>64381</v>
      </c>
      <c r="H353" s="116"/>
      <c r="I353" s="116"/>
      <c r="L353" s="170">
        <v>42522</v>
      </c>
      <c r="M353" s="116">
        <v>891.7</v>
      </c>
      <c r="N353" s="116">
        <v>906.7</v>
      </c>
      <c r="O353" s="116">
        <v>886.22500000000002</v>
      </c>
      <c r="P353" s="116">
        <v>899</v>
      </c>
      <c r="Q353" s="116">
        <v>1783.4</v>
      </c>
      <c r="R353">
        <v>360903</v>
      </c>
    </row>
    <row r="354" spans="1:18" x14ac:dyDescent="0.25">
      <c r="A354" s="170">
        <v>42523</v>
      </c>
      <c r="B354" s="116">
        <v>913</v>
      </c>
      <c r="C354" s="116">
        <v>910.22500000000002</v>
      </c>
      <c r="D354" s="116">
        <v>888.07500000000005</v>
      </c>
      <c r="E354" s="116">
        <v>892.3</v>
      </c>
      <c r="F354" s="116">
        <v>1820.45</v>
      </c>
      <c r="G354">
        <v>62064</v>
      </c>
      <c r="H354" s="116"/>
      <c r="I354" s="116"/>
      <c r="L354" s="170">
        <v>42523</v>
      </c>
      <c r="M354" s="116">
        <v>909.52499999999998</v>
      </c>
      <c r="N354" s="116">
        <v>912.5</v>
      </c>
      <c r="O354" s="116">
        <v>887.5</v>
      </c>
      <c r="P354" s="116">
        <v>892</v>
      </c>
      <c r="Q354" s="116">
        <v>1819.05</v>
      </c>
      <c r="R354">
        <v>251923</v>
      </c>
    </row>
    <row r="355" spans="1:18" x14ac:dyDescent="0.25">
      <c r="A355" s="170">
        <v>42524</v>
      </c>
      <c r="B355" s="116">
        <v>919.75</v>
      </c>
      <c r="C355" s="116">
        <v>895.92499999999995</v>
      </c>
      <c r="D355" s="116">
        <v>892.5</v>
      </c>
      <c r="E355" s="116">
        <v>911.02499999999998</v>
      </c>
      <c r="F355" s="116">
        <v>1791.85</v>
      </c>
      <c r="G355">
        <v>53973</v>
      </c>
      <c r="H355" s="116"/>
      <c r="I355" s="116"/>
      <c r="L355" s="170">
        <v>42524</v>
      </c>
      <c r="M355" s="116">
        <v>895.92499999999995</v>
      </c>
      <c r="N355" s="116">
        <v>917.72500000000002</v>
      </c>
      <c r="O355" s="116">
        <v>893</v>
      </c>
      <c r="P355" s="116">
        <v>915.57500000000005</v>
      </c>
      <c r="Q355" s="116">
        <v>1791.85</v>
      </c>
      <c r="R355">
        <v>166508</v>
      </c>
    </row>
    <row r="356" spans="1:18" x14ac:dyDescent="0.25">
      <c r="A356" s="170">
        <v>42527</v>
      </c>
      <c r="B356" s="116">
        <v>899.2</v>
      </c>
      <c r="C356" s="116">
        <v>888.17499999999995</v>
      </c>
      <c r="D356" s="116">
        <v>877.5</v>
      </c>
      <c r="E356" s="116">
        <v>898.5</v>
      </c>
      <c r="F356" s="116">
        <v>1776.35</v>
      </c>
      <c r="G356">
        <v>33661</v>
      </c>
      <c r="H356" s="116"/>
      <c r="I356" s="116"/>
      <c r="L356" s="170">
        <v>42527</v>
      </c>
      <c r="M356" s="116">
        <v>888.125</v>
      </c>
      <c r="N356" s="116">
        <v>899</v>
      </c>
      <c r="O356" s="116">
        <v>877.5</v>
      </c>
      <c r="P356" s="116">
        <v>895.5</v>
      </c>
      <c r="Q356" s="116">
        <v>1776.25</v>
      </c>
      <c r="R356">
        <v>142942</v>
      </c>
    </row>
    <row r="357" spans="1:18" x14ac:dyDescent="0.25">
      <c r="A357" s="170">
        <v>42528</v>
      </c>
      <c r="B357" s="116">
        <v>912.5</v>
      </c>
      <c r="C357" s="116">
        <v>902.375</v>
      </c>
      <c r="D357" s="116">
        <v>887.875</v>
      </c>
      <c r="E357" s="116">
        <v>894.97500000000002</v>
      </c>
      <c r="F357" s="116">
        <v>1804.75</v>
      </c>
      <c r="G357">
        <v>64017</v>
      </c>
      <c r="H357" s="116"/>
      <c r="I357" s="116"/>
      <c r="L357" s="170">
        <v>42528</v>
      </c>
      <c r="M357" s="116">
        <v>902.1</v>
      </c>
      <c r="N357" s="116">
        <v>912.4</v>
      </c>
      <c r="O357" s="116">
        <v>886.5</v>
      </c>
      <c r="P357" s="116">
        <v>892.57500000000005</v>
      </c>
      <c r="Q357" s="116">
        <v>1804.2</v>
      </c>
      <c r="R357">
        <v>304150</v>
      </c>
    </row>
    <row r="358" spans="1:18" x14ac:dyDescent="0.25">
      <c r="A358" s="170">
        <v>42529</v>
      </c>
      <c r="B358" s="116">
        <v>911</v>
      </c>
      <c r="C358" s="116">
        <v>904.57500000000005</v>
      </c>
      <c r="D358" s="116">
        <v>899.05</v>
      </c>
      <c r="E358" s="116">
        <v>901.97500000000002</v>
      </c>
      <c r="F358" s="116">
        <v>1809.15</v>
      </c>
      <c r="G358">
        <v>51903</v>
      </c>
      <c r="H358" s="116"/>
      <c r="I358" s="116"/>
      <c r="L358" s="170">
        <v>42529</v>
      </c>
      <c r="M358" s="116">
        <v>904.6</v>
      </c>
      <c r="N358" s="116">
        <v>910.72500000000002</v>
      </c>
      <c r="O358" s="116">
        <v>898.65</v>
      </c>
      <c r="P358" s="116">
        <v>906.6</v>
      </c>
      <c r="Q358" s="116">
        <v>1809.2</v>
      </c>
      <c r="R358">
        <v>240918</v>
      </c>
    </row>
    <row r="359" spans="1:18" x14ac:dyDescent="0.25">
      <c r="A359" s="170">
        <v>42530</v>
      </c>
      <c r="B359" s="116">
        <v>913.5</v>
      </c>
      <c r="C359" s="116">
        <v>903.17499999999995</v>
      </c>
      <c r="D359" s="116">
        <v>897</v>
      </c>
      <c r="E359" s="116">
        <v>905</v>
      </c>
      <c r="F359" s="116">
        <v>1806.35</v>
      </c>
      <c r="G359">
        <v>52656</v>
      </c>
      <c r="H359" s="116"/>
      <c r="I359" s="116"/>
      <c r="L359" s="170">
        <v>42530</v>
      </c>
      <c r="M359" s="116">
        <v>901.42499999999995</v>
      </c>
      <c r="N359" s="116">
        <v>913.375</v>
      </c>
      <c r="O359" s="116">
        <v>896.77499999999998</v>
      </c>
      <c r="P359" s="116">
        <v>905</v>
      </c>
      <c r="Q359" s="116">
        <v>1802.85</v>
      </c>
      <c r="R359">
        <v>192270</v>
      </c>
    </row>
    <row r="360" spans="1:18" x14ac:dyDescent="0.25">
      <c r="A360" s="170">
        <v>42531</v>
      </c>
      <c r="B360" s="116">
        <v>908.92499999999995</v>
      </c>
      <c r="C360" s="116">
        <v>898.8</v>
      </c>
      <c r="D360" s="116">
        <v>896.5</v>
      </c>
      <c r="E360" s="116">
        <v>902</v>
      </c>
      <c r="F360" s="116">
        <v>1797.6</v>
      </c>
      <c r="G360">
        <v>44831</v>
      </c>
      <c r="H360" s="116"/>
      <c r="I360" s="116"/>
      <c r="L360" s="170">
        <v>42531</v>
      </c>
      <c r="M360" s="116">
        <v>897.875</v>
      </c>
      <c r="N360" s="116">
        <v>908</v>
      </c>
      <c r="O360" s="116">
        <v>895.02499999999998</v>
      </c>
      <c r="P360" s="116">
        <v>897</v>
      </c>
      <c r="Q360" s="116">
        <v>1795.75</v>
      </c>
      <c r="R360">
        <v>142697</v>
      </c>
    </row>
    <row r="361" spans="1:18" x14ac:dyDescent="0.25">
      <c r="A361" s="170">
        <v>42534</v>
      </c>
      <c r="B361" s="116">
        <v>902.7</v>
      </c>
      <c r="C361" s="116">
        <v>896.77499999999998</v>
      </c>
      <c r="D361" s="116">
        <v>881.5</v>
      </c>
      <c r="E361" s="116">
        <v>894.5</v>
      </c>
      <c r="F361" s="116">
        <v>1793.55</v>
      </c>
      <c r="G361">
        <v>48293</v>
      </c>
      <c r="H361" s="116"/>
      <c r="I361" s="116"/>
      <c r="L361" s="170">
        <v>42534</v>
      </c>
      <c r="M361" s="116">
        <v>896.375</v>
      </c>
      <c r="N361" s="116">
        <v>901.67499999999995</v>
      </c>
      <c r="O361" s="116">
        <v>880.52499999999998</v>
      </c>
      <c r="P361" s="116">
        <v>893.4</v>
      </c>
      <c r="Q361" s="116">
        <v>1792.75</v>
      </c>
      <c r="R361">
        <v>195663</v>
      </c>
    </row>
    <row r="362" spans="1:18" x14ac:dyDescent="0.25">
      <c r="A362" s="170">
        <v>42535</v>
      </c>
      <c r="B362" s="116">
        <v>907.97500000000002</v>
      </c>
      <c r="C362" s="116">
        <v>899.45</v>
      </c>
      <c r="D362" s="116">
        <v>894</v>
      </c>
      <c r="E362" s="116">
        <v>895.55</v>
      </c>
      <c r="F362" s="116">
        <v>1798.9</v>
      </c>
      <c r="G362">
        <v>62543</v>
      </c>
      <c r="H362" s="116"/>
      <c r="I362" s="116"/>
      <c r="L362" s="170">
        <v>42535</v>
      </c>
      <c r="M362" s="116">
        <v>897.45</v>
      </c>
      <c r="N362" s="116">
        <v>907.75</v>
      </c>
      <c r="O362" s="116">
        <v>894.07500000000005</v>
      </c>
      <c r="P362" s="116">
        <v>897.47500000000002</v>
      </c>
      <c r="Q362" s="116">
        <v>1794.9</v>
      </c>
      <c r="R362">
        <v>202985</v>
      </c>
    </row>
    <row r="363" spans="1:18" x14ac:dyDescent="0.25">
      <c r="A363" s="170">
        <v>42536</v>
      </c>
      <c r="B363" s="116">
        <v>911.5</v>
      </c>
      <c r="C363" s="116">
        <v>902</v>
      </c>
      <c r="D363" s="116">
        <v>900</v>
      </c>
      <c r="E363" s="116">
        <v>902</v>
      </c>
      <c r="F363" s="116">
        <v>1804</v>
      </c>
      <c r="G363">
        <v>75799</v>
      </c>
      <c r="H363" s="116"/>
      <c r="I363" s="116"/>
      <c r="L363" s="170">
        <v>42536</v>
      </c>
      <c r="M363" s="116">
        <v>900.6</v>
      </c>
      <c r="N363" s="116">
        <v>911</v>
      </c>
      <c r="O363" s="116">
        <v>898.07500000000005</v>
      </c>
      <c r="P363" s="116">
        <v>903</v>
      </c>
      <c r="Q363" s="116">
        <v>1801.2</v>
      </c>
      <c r="R363">
        <v>263552</v>
      </c>
    </row>
    <row r="364" spans="1:18" x14ac:dyDescent="0.25">
      <c r="A364" s="170">
        <v>42537</v>
      </c>
      <c r="B364" s="116">
        <v>901.95</v>
      </c>
      <c r="C364" s="116">
        <v>891.85</v>
      </c>
      <c r="D364" s="116">
        <v>887.55</v>
      </c>
      <c r="E364" s="116">
        <v>900</v>
      </c>
      <c r="F364" s="116">
        <v>1783.7</v>
      </c>
      <c r="G364">
        <v>40033</v>
      </c>
      <c r="H364" s="116"/>
      <c r="I364" s="116"/>
      <c r="L364" s="170">
        <v>42537</v>
      </c>
      <c r="M364" s="116">
        <v>891.17499999999995</v>
      </c>
      <c r="N364" s="116">
        <v>903.92499999999995</v>
      </c>
      <c r="O364" s="116">
        <v>888.07500000000005</v>
      </c>
      <c r="P364" s="116">
        <v>899</v>
      </c>
      <c r="Q364" s="116">
        <v>1782.35</v>
      </c>
      <c r="R364">
        <v>145555</v>
      </c>
    </row>
    <row r="365" spans="1:18" x14ac:dyDescent="0.25">
      <c r="A365" s="170">
        <v>42538</v>
      </c>
      <c r="B365" s="116">
        <v>898.97500000000002</v>
      </c>
      <c r="C365" s="116">
        <v>885.15</v>
      </c>
      <c r="D365" s="116">
        <v>882</v>
      </c>
      <c r="E365" s="116">
        <v>898.97500000000002</v>
      </c>
      <c r="F365" s="116">
        <v>1770.3</v>
      </c>
      <c r="G365">
        <v>36755</v>
      </c>
      <c r="H365" s="116"/>
      <c r="I365" s="116"/>
      <c r="L365" s="170">
        <v>42538</v>
      </c>
      <c r="M365" s="116">
        <v>886.625</v>
      </c>
      <c r="N365" s="116">
        <v>896.875</v>
      </c>
      <c r="O365" s="116">
        <v>880.375</v>
      </c>
      <c r="P365" s="116">
        <v>896.5</v>
      </c>
      <c r="Q365" s="116">
        <v>1773.25</v>
      </c>
      <c r="R365">
        <v>124023</v>
      </c>
    </row>
    <row r="366" spans="1:18" x14ac:dyDescent="0.25">
      <c r="A366" s="170">
        <v>42541</v>
      </c>
      <c r="B366" s="116">
        <v>899.25</v>
      </c>
      <c r="C366" s="116">
        <v>895.32500000000005</v>
      </c>
      <c r="D366" s="116">
        <v>877.52499999999998</v>
      </c>
      <c r="E366" s="116">
        <v>878</v>
      </c>
      <c r="F366" s="116">
        <v>1790.65</v>
      </c>
      <c r="G366">
        <v>50720</v>
      </c>
      <c r="H366" s="116"/>
      <c r="I366" s="116"/>
      <c r="L366" s="170">
        <v>42541</v>
      </c>
      <c r="M366" s="116">
        <v>895.85</v>
      </c>
      <c r="N366" s="116">
        <v>898.5</v>
      </c>
      <c r="O366" s="116">
        <v>877.5</v>
      </c>
      <c r="P366" s="116">
        <v>877.5</v>
      </c>
      <c r="Q366" s="116">
        <v>1791.7</v>
      </c>
      <c r="R366">
        <v>165166</v>
      </c>
    </row>
    <row r="367" spans="1:18" x14ac:dyDescent="0.25">
      <c r="A367" s="170">
        <v>42542</v>
      </c>
      <c r="B367" s="116">
        <v>903.5</v>
      </c>
      <c r="C367" s="116">
        <v>892.02499999999998</v>
      </c>
      <c r="D367" s="116">
        <v>888.8</v>
      </c>
      <c r="E367" s="116">
        <v>895</v>
      </c>
      <c r="F367" s="116">
        <v>1784.05</v>
      </c>
      <c r="G367">
        <v>28286</v>
      </c>
      <c r="H367" s="116"/>
      <c r="I367" s="116"/>
      <c r="L367" s="170">
        <v>42542</v>
      </c>
      <c r="M367" s="116">
        <v>892.65</v>
      </c>
      <c r="N367" s="116">
        <v>903.5</v>
      </c>
      <c r="O367" s="116">
        <v>890.55</v>
      </c>
      <c r="P367" s="116">
        <v>896</v>
      </c>
      <c r="Q367" s="116">
        <v>1785.3</v>
      </c>
      <c r="R367">
        <v>104638</v>
      </c>
    </row>
    <row r="368" spans="1:18" x14ac:dyDescent="0.25">
      <c r="A368" s="170">
        <v>42543</v>
      </c>
      <c r="B368" s="116">
        <v>896.42499999999995</v>
      </c>
      <c r="C368" s="116">
        <v>889.97500000000002</v>
      </c>
      <c r="D368" s="116">
        <v>888</v>
      </c>
      <c r="E368" s="116">
        <v>891.8</v>
      </c>
      <c r="F368" s="116">
        <v>1779.95</v>
      </c>
      <c r="G368">
        <v>26763</v>
      </c>
      <c r="H368" s="116"/>
      <c r="I368" s="116"/>
      <c r="L368" s="170">
        <v>42543</v>
      </c>
      <c r="M368" s="116">
        <v>890.25</v>
      </c>
      <c r="N368" s="116">
        <v>896.875</v>
      </c>
      <c r="O368" s="116">
        <v>889</v>
      </c>
      <c r="P368" s="116">
        <v>893.92499999999995</v>
      </c>
      <c r="Q368" s="116">
        <v>1780.5</v>
      </c>
      <c r="R368">
        <v>137736</v>
      </c>
    </row>
    <row r="369" spans="1:18" x14ac:dyDescent="0.25">
      <c r="A369" s="170">
        <v>42544</v>
      </c>
      <c r="B369" s="116">
        <v>894</v>
      </c>
      <c r="C369" s="116">
        <v>887.92499999999995</v>
      </c>
      <c r="D369" s="116">
        <v>885</v>
      </c>
      <c r="E369" s="116">
        <v>892.25</v>
      </c>
      <c r="F369" s="116">
        <v>1775.85</v>
      </c>
      <c r="G369">
        <v>22812</v>
      </c>
      <c r="H369" s="116"/>
      <c r="I369" s="116"/>
      <c r="L369" s="170">
        <v>42544</v>
      </c>
      <c r="M369" s="116">
        <v>887.77499999999998</v>
      </c>
      <c r="N369" s="116">
        <v>893.45</v>
      </c>
      <c r="O369" s="116">
        <v>883.97500000000002</v>
      </c>
      <c r="P369" s="116">
        <v>890</v>
      </c>
      <c r="Q369" s="116">
        <v>1775.55</v>
      </c>
      <c r="R369">
        <v>98597</v>
      </c>
    </row>
    <row r="370" spans="1:18" x14ac:dyDescent="0.25">
      <c r="A370" s="170">
        <v>42545</v>
      </c>
      <c r="B370" s="116">
        <v>875</v>
      </c>
      <c r="C370" s="116">
        <v>855.8</v>
      </c>
      <c r="D370" s="116">
        <v>806.07500000000005</v>
      </c>
      <c r="E370" s="116">
        <v>875</v>
      </c>
      <c r="F370" s="116">
        <v>1711.6</v>
      </c>
      <c r="G370">
        <v>92549</v>
      </c>
      <c r="H370" s="116"/>
      <c r="I370" s="116"/>
      <c r="L370" s="170">
        <v>42545</v>
      </c>
      <c r="M370" s="116">
        <v>855.625</v>
      </c>
      <c r="N370" s="116">
        <v>870</v>
      </c>
      <c r="O370" s="116">
        <v>805.72500000000002</v>
      </c>
      <c r="P370" s="116">
        <v>870</v>
      </c>
      <c r="Q370" s="116">
        <v>1711.25</v>
      </c>
      <c r="R370">
        <v>363005</v>
      </c>
    </row>
    <row r="371" spans="1:18" x14ac:dyDescent="0.25">
      <c r="A371" s="170">
        <v>42548</v>
      </c>
      <c r="B371" s="116">
        <v>861</v>
      </c>
      <c r="C371" s="116">
        <v>846.82500000000005</v>
      </c>
      <c r="D371" s="116">
        <v>842.5</v>
      </c>
      <c r="E371" s="116">
        <v>850.05</v>
      </c>
      <c r="F371" s="116">
        <v>1693.65</v>
      </c>
      <c r="G371">
        <v>47889</v>
      </c>
      <c r="H371" s="116"/>
      <c r="I371" s="116"/>
      <c r="L371" s="170">
        <v>42548</v>
      </c>
      <c r="M371" s="116">
        <v>847.42499999999995</v>
      </c>
      <c r="N371" s="116">
        <v>861.5</v>
      </c>
      <c r="O371" s="116">
        <v>843.5</v>
      </c>
      <c r="P371" s="116">
        <v>857.52499999999998</v>
      </c>
      <c r="Q371" s="116">
        <v>1694.85</v>
      </c>
      <c r="R371">
        <v>188842</v>
      </c>
    </row>
    <row r="372" spans="1:18" x14ac:dyDescent="0.25">
      <c r="A372" s="170">
        <v>42549</v>
      </c>
      <c r="B372" s="116">
        <v>853.6</v>
      </c>
      <c r="C372" s="116">
        <v>845.375</v>
      </c>
      <c r="D372" s="116">
        <v>842.5</v>
      </c>
      <c r="E372" s="116">
        <v>845</v>
      </c>
      <c r="F372" s="116">
        <v>1690.75</v>
      </c>
      <c r="G372">
        <v>44456</v>
      </c>
      <c r="H372" s="116"/>
      <c r="I372" s="116"/>
      <c r="L372" s="170">
        <v>42549</v>
      </c>
      <c r="M372" s="116">
        <v>844.625</v>
      </c>
      <c r="N372" s="116">
        <v>853.25</v>
      </c>
      <c r="O372" s="116">
        <v>842.5</v>
      </c>
      <c r="P372" s="116">
        <v>847.5</v>
      </c>
      <c r="Q372" s="116">
        <v>1689.25</v>
      </c>
      <c r="R372">
        <v>197648</v>
      </c>
    </row>
    <row r="373" spans="1:18" x14ac:dyDescent="0.25">
      <c r="A373" s="170">
        <v>42550</v>
      </c>
      <c r="B373" s="116">
        <v>853.5</v>
      </c>
      <c r="C373" s="116">
        <v>846.9</v>
      </c>
      <c r="D373" s="116">
        <v>844</v>
      </c>
      <c r="E373" s="116">
        <v>849.5</v>
      </c>
      <c r="F373" s="116">
        <v>1693.8</v>
      </c>
      <c r="G373">
        <v>50012</v>
      </c>
      <c r="H373" s="116"/>
      <c r="I373" s="116"/>
      <c r="L373" s="170">
        <v>42550</v>
      </c>
      <c r="M373" s="116">
        <v>847.02499999999998</v>
      </c>
      <c r="N373" s="116">
        <v>853.5</v>
      </c>
      <c r="O373" s="116">
        <v>845</v>
      </c>
      <c r="P373" s="116">
        <v>848.85</v>
      </c>
      <c r="Q373" s="116">
        <v>1694.05</v>
      </c>
      <c r="R373">
        <v>192341</v>
      </c>
    </row>
    <row r="374" spans="1:18" x14ac:dyDescent="0.25">
      <c r="A374" s="170">
        <v>42551</v>
      </c>
      <c r="B374" s="116">
        <v>854.92499999999995</v>
      </c>
      <c r="C374" s="116">
        <v>847.875</v>
      </c>
      <c r="D374" s="116">
        <v>844.52499999999998</v>
      </c>
      <c r="E374" s="116">
        <v>852</v>
      </c>
      <c r="F374" s="116">
        <v>1695.75</v>
      </c>
      <c r="G374">
        <v>57144</v>
      </c>
      <c r="H374" s="116"/>
      <c r="I374" s="116"/>
      <c r="L374" s="170">
        <v>42551</v>
      </c>
      <c r="M374" s="116">
        <v>848.5</v>
      </c>
      <c r="N374" s="116">
        <v>854.5</v>
      </c>
      <c r="O374" s="116">
        <v>845.2</v>
      </c>
      <c r="P374" s="116">
        <v>851</v>
      </c>
      <c r="Q374" s="116">
        <v>1697</v>
      </c>
      <c r="R374">
        <v>248932</v>
      </c>
    </row>
    <row r="375" spans="1:18" x14ac:dyDescent="0.25">
      <c r="A375" s="170">
        <v>42552</v>
      </c>
      <c r="B375" s="116">
        <v>884.5</v>
      </c>
      <c r="C375" s="116">
        <v>874.375</v>
      </c>
      <c r="D375" s="116">
        <v>854</v>
      </c>
      <c r="E375" s="116">
        <v>854</v>
      </c>
      <c r="F375" s="116">
        <v>1748.75</v>
      </c>
      <c r="G375">
        <v>84392</v>
      </c>
      <c r="H375" s="116"/>
      <c r="I375" s="116"/>
      <c r="L375" s="170">
        <v>42552</v>
      </c>
      <c r="M375" s="116">
        <v>874.97500000000002</v>
      </c>
      <c r="N375" s="116">
        <v>885.5</v>
      </c>
      <c r="O375" s="116">
        <v>852.52499999999998</v>
      </c>
      <c r="P375" s="116">
        <v>852.77499999999998</v>
      </c>
      <c r="Q375" s="116">
        <v>1749.95</v>
      </c>
      <c r="R375">
        <v>449454</v>
      </c>
    </row>
    <row r="376" spans="1:18" x14ac:dyDescent="0.25">
      <c r="A376" s="170">
        <v>42555</v>
      </c>
      <c r="B376" s="116">
        <v>891.5</v>
      </c>
      <c r="C376" s="116">
        <v>881.875</v>
      </c>
      <c r="D376" s="116">
        <v>877.5</v>
      </c>
      <c r="E376" s="116">
        <v>882.5</v>
      </c>
      <c r="F376" s="116">
        <v>1763.75</v>
      </c>
      <c r="G376">
        <v>54496</v>
      </c>
      <c r="H376" s="116"/>
      <c r="I376" s="116"/>
      <c r="L376" s="170">
        <v>42555</v>
      </c>
      <c r="M376" s="116">
        <v>881.67499999999995</v>
      </c>
      <c r="N376" s="116">
        <v>890.95</v>
      </c>
      <c r="O376" s="116">
        <v>876.2</v>
      </c>
      <c r="P376" s="116">
        <v>883.5</v>
      </c>
      <c r="Q376" s="116">
        <v>1763.35</v>
      </c>
      <c r="R376">
        <v>227643</v>
      </c>
    </row>
    <row r="377" spans="1:18" x14ac:dyDescent="0.25">
      <c r="A377" s="170">
        <v>42556</v>
      </c>
      <c r="B377" s="116">
        <v>885</v>
      </c>
      <c r="C377" s="116">
        <v>867.72500000000002</v>
      </c>
      <c r="D377" s="116">
        <v>865</v>
      </c>
      <c r="E377" s="116">
        <v>885</v>
      </c>
      <c r="F377" s="116">
        <v>1735.45</v>
      </c>
      <c r="G377">
        <v>53516</v>
      </c>
      <c r="H377" s="116"/>
      <c r="I377" s="116"/>
      <c r="L377" s="170">
        <v>42556</v>
      </c>
      <c r="M377" s="116">
        <v>867.65</v>
      </c>
      <c r="N377" s="116">
        <v>884.47500000000002</v>
      </c>
      <c r="O377" s="116">
        <v>865.05</v>
      </c>
      <c r="P377" s="116">
        <v>883.25</v>
      </c>
      <c r="Q377" s="116">
        <v>1735.3</v>
      </c>
      <c r="R377">
        <v>183899</v>
      </c>
    </row>
    <row r="378" spans="1:18" x14ac:dyDescent="0.25">
      <c r="A378" s="170">
        <v>42558</v>
      </c>
      <c r="B378" s="116">
        <v>869.97500000000002</v>
      </c>
      <c r="C378" s="116">
        <v>855.92499999999995</v>
      </c>
      <c r="D378" s="116">
        <v>851.77499999999998</v>
      </c>
      <c r="E378" s="116">
        <v>867.72500000000002</v>
      </c>
      <c r="F378" s="116">
        <v>1711.85</v>
      </c>
      <c r="G378">
        <v>35203</v>
      </c>
      <c r="H378" s="116"/>
      <c r="I378" s="116"/>
      <c r="L378" s="170">
        <v>42558</v>
      </c>
      <c r="M378" s="116">
        <v>856.5</v>
      </c>
      <c r="N378" s="116">
        <v>868.1</v>
      </c>
      <c r="O378" s="116">
        <v>854.55</v>
      </c>
      <c r="P378" s="116">
        <v>867</v>
      </c>
      <c r="Q378" s="116">
        <v>1713</v>
      </c>
      <c r="R378">
        <v>186320</v>
      </c>
    </row>
    <row r="379" spans="1:18" x14ac:dyDescent="0.25">
      <c r="A379" s="170">
        <v>42559</v>
      </c>
      <c r="B379" s="116">
        <v>875</v>
      </c>
      <c r="C379" s="116">
        <v>865.97500000000002</v>
      </c>
      <c r="D379" s="116">
        <v>848.5</v>
      </c>
      <c r="E379" s="116">
        <v>852.5</v>
      </c>
      <c r="F379" s="116">
        <v>1731.95</v>
      </c>
      <c r="G379">
        <v>59133</v>
      </c>
      <c r="H379" s="116"/>
      <c r="I379" s="116"/>
      <c r="L379" s="170">
        <v>42559</v>
      </c>
      <c r="M379" s="116">
        <v>866.17499999999995</v>
      </c>
      <c r="N379" s="116">
        <v>875.57500000000005</v>
      </c>
      <c r="O379" s="116">
        <v>847.52499999999998</v>
      </c>
      <c r="P379" s="116">
        <v>855.9</v>
      </c>
      <c r="Q379" s="116">
        <v>1732.35</v>
      </c>
      <c r="R379">
        <v>301277</v>
      </c>
    </row>
    <row r="380" spans="1:18" x14ac:dyDescent="0.25">
      <c r="A380" s="170">
        <v>42562</v>
      </c>
      <c r="B380" s="116">
        <v>876.7</v>
      </c>
      <c r="C380" s="116">
        <v>865.75</v>
      </c>
      <c r="D380" s="116">
        <v>863.5</v>
      </c>
      <c r="E380" s="116">
        <v>874.5</v>
      </c>
      <c r="F380" s="116">
        <v>1731.5</v>
      </c>
      <c r="G380">
        <v>28722</v>
      </c>
      <c r="H380" s="116"/>
      <c r="I380" s="116"/>
      <c r="L380" s="170">
        <v>42562</v>
      </c>
      <c r="M380" s="116">
        <v>864.8</v>
      </c>
      <c r="N380" s="116">
        <v>876.47500000000002</v>
      </c>
      <c r="O380" s="116">
        <v>863</v>
      </c>
      <c r="P380" s="116">
        <v>875</v>
      </c>
      <c r="Q380" s="116">
        <v>1729.6</v>
      </c>
      <c r="R380">
        <v>212826</v>
      </c>
    </row>
    <row r="381" spans="1:18" x14ac:dyDescent="0.25">
      <c r="A381" s="170">
        <v>42563</v>
      </c>
      <c r="B381" s="116">
        <v>867.625</v>
      </c>
      <c r="C381" s="116">
        <v>851.57500000000005</v>
      </c>
      <c r="D381" s="116">
        <v>849.72500000000002</v>
      </c>
      <c r="E381" s="116">
        <v>866</v>
      </c>
      <c r="F381" s="116">
        <v>1703.15</v>
      </c>
      <c r="G381">
        <v>60867</v>
      </c>
      <c r="H381" s="116"/>
      <c r="I381" s="116"/>
      <c r="L381" s="170">
        <v>42563</v>
      </c>
      <c r="M381" s="116">
        <v>852.35</v>
      </c>
      <c r="N381" s="116">
        <v>867.35</v>
      </c>
      <c r="O381" s="116">
        <v>850</v>
      </c>
      <c r="P381" s="116">
        <v>864.8</v>
      </c>
      <c r="Q381" s="116">
        <v>1704.7</v>
      </c>
      <c r="R381">
        <v>262293</v>
      </c>
    </row>
    <row r="382" spans="1:18" x14ac:dyDescent="0.25">
      <c r="A382" s="170">
        <v>42564</v>
      </c>
      <c r="B382" s="116">
        <v>856.77499999999998</v>
      </c>
      <c r="C382" s="116">
        <v>839.6</v>
      </c>
      <c r="D382" s="116">
        <v>836.5</v>
      </c>
      <c r="E382" s="116">
        <v>851.05</v>
      </c>
      <c r="F382" s="116">
        <v>1679.2</v>
      </c>
      <c r="G382">
        <v>65181</v>
      </c>
      <c r="H382" s="116"/>
      <c r="I382" s="116"/>
      <c r="L382" s="170">
        <v>42564</v>
      </c>
      <c r="M382" s="116">
        <v>840.05</v>
      </c>
      <c r="N382" s="116">
        <v>856.625</v>
      </c>
      <c r="O382" s="116">
        <v>836.15</v>
      </c>
      <c r="P382" s="116">
        <v>855.9</v>
      </c>
      <c r="Q382" s="116">
        <v>1680.1</v>
      </c>
      <c r="R382">
        <v>259242</v>
      </c>
    </row>
    <row r="383" spans="1:18" x14ac:dyDescent="0.25">
      <c r="A383" s="170">
        <v>42565</v>
      </c>
      <c r="B383" s="116">
        <v>847.875</v>
      </c>
      <c r="C383" s="116">
        <v>837.9</v>
      </c>
      <c r="D383" s="116">
        <v>831.65</v>
      </c>
      <c r="E383" s="116">
        <v>840</v>
      </c>
      <c r="F383" s="116">
        <v>1675.8</v>
      </c>
      <c r="G383">
        <v>61868</v>
      </c>
      <c r="H383" s="116"/>
      <c r="I383" s="116"/>
      <c r="L383" s="170">
        <v>42565</v>
      </c>
      <c r="M383" s="116">
        <v>839.2</v>
      </c>
      <c r="N383" s="116">
        <v>847.9</v>
      </c>
      <c r="O383" s="116">
        <v>830.85</v>
      </c>
      <c r="P383" s="116">
        <v>838.5</v>
      </c>
      <c r="Q383" s="116">
        <v>1678.4</v>
      </c>
      <c r="R383">
        <v>244787</v>
      </c>
    </row>
    <row r="384" spans="1:18" x14ac:dyDescent="0.25">
      <c r="A384" s="170">
        <v>42566</v>
      </c>
      <c r="B384" s="116">
        <v>842.4</v>
      </c>
      <c r="C384" s="116">
        <v>813.85</v>
      </c>
      <c r="D384" s="116">
        <v>810.5</v>
      </c>
      <c r="E384" s="116">
        <v>837.5</v>
      </c>
      <c r="F384" s="116">
        <v>1627.7</v>
      </c>
      <c r="G384">
        <v>70174</v>
      </c>
      <c r="H384" s="116"/>
      <c r="I384" s="116"/>
      <c r="L384" s="170">
        <v>42566</v>
      </c>
      <c r="M384" s="116">
        <v>814.42499999999995</v>
      </c>
      <c r="N384" s="116">
        <v>842.35</v>
      </c>
      <c r="O384" s="116">
        <v>811.55</v>
      </c>
      <c r="P384" s="116">
        <v>838.5</v>
      </c>
      <c r="Q384" s="116">
        <v>1628.85</v>
      </c>
      <c r="R384">
        <v>319098</v>
      </c>
    </row>
    <row r="385" spans="1:18" x14ac:dyDescent="0.25">
      <c r="A385" s="170">
        <v>42569</v>
      </c>
      <c r="B385" s="116">
        <v>832.95</v>
      </c>
      <c r="C385" s="116">
        <v>825.45</v>
      </c>
      <c r="D385" s="116">
        <v>797.7</v>
      </c>
      <c r="E385" s="116">
        <v>817.5</v>
      </c>
      <c r="F385" s="116">
        <v>1650.9</v>
      </c>
      <c r="G385">
        <v>94978</v>
      </c>
      <c r="H385" s="116"/>
      <c r="I385" s="116"/>
      <c r="L385" s="170">
        <v>42569</v>
      </c>
      <c r="M385" s="116">
        <v>825.625</v>
      </c>
      <c r="N385" s="116">
        <v>833</v>
      </c>
      <c r="O385" s="116">
        <v>797.5</v>
      </c>
      <c r="P385" s="116">
        <v>815.05</v>
      </c>
      <c r="Q385" s="116">
        <v>1651.25</v>
      </c>
      <c r="R385">
        <v>507245</v>
      </c>
    </row>
    <row r="386" spans="1:18" x14ac:dyDescent="0.25">
      <c r="A386" s="170">
        <v>42570</v>
      </c>
      <c r="B386" s="116">
        <v>841.5</v>
      </c>
      <c r="C386" s="116">
        <v>832.375</v>
      </c>
      <c r="D386" s="116">
        <v>823.5</v>
      </c>
      <c r="E386" s="116">
        <v>825</v>
      </c>
      <c r="F386" s="116">
        <v>1664.75</v>
      </c>
      <c r="G386">
        <v>56523</v>
      </c>
      <c r="H386" s="116"/>
      <c r="I386" s="116"/>
      <c r="L386" s="170">
        <v>42570</v>
      </c>
      <c r="M386" s="116">
        <v>831.92499999999995</v>
      </c>
      <c r="N386" s="116">
        <v>841.55</v>
      </c>
      <c r="O386" s="116">
        <v>820.02499999999998</v>
      </c>
      <c r="P386" s="116">
        <v>820.02499999999998</v>
      </c>
      <c r="Q386" s="116">
        <v>1663.85</v>
      </c>
      <c r="R386">
        <v>326877</v>
      </c>
    </row>
    <row r="387" spans="1:18" x14ac:dyDescent="0.25">
      <c r="A387" s="170">
        <v>42571</v>
      </c>
      <c r="B387" s="116">
        <v>840</v>
      </c>
      <c r="C387" s="116">
        <v>833.2</v>
      </c>
      <c r="D387" s="116">
        <v>822.75</v>
      </c>
      <c r="E387" s="116">
        <v>832</v>
      </c>
      <c r="F387" s="116">
        <v>1666.4</v>
      </c>
      <c r="G387">
        <v>55942</v>
      </c>
      <c r="H387" s="116"/>
      <c r="I387" s="116"/>
      <c r="L387" s="170">
        <v>42571</v>
      </c>
      <c r="M387" s="116">
        <v>832.67499999999995</v>
      </c>
      <c r="N387" s="116">
        <v>839.85</v>
      </c>
      <c r="O387" s="116">
        <v>822.57500000000005</v>
      </c>
      <c r="P387" s="116">
        <v>832.5</v>
      </c>
      <c r="Q387" s="116">
        <v>1665.35</v>
      </c>
      <c r="R387">
        <v>286276</v>
      </c>
    </row>
    <row r="388" spans="1:18" x14ac:dyDescent="0.25">
      <c r="A388" s="170">
        <v>42572</v>
      </c>
      <c r="B388" s="116">
        <v>845</v>
      </c>
      <c r="C388" s="116">
        <v>830.52499999999998</v>
      </c>
      <c r="D388" s="116">
        <v>828.5</v>
      </c>
      <c r="E388" s="116">
        <v>834</v>
      </c>
      <c r="F388" s="116">
        <v>1661.05</v>
      </c>
      <c r="G388">
        <v>55531</v>
      </c>
      <c r="H388" s="116"/>
      <c r="I388" s="116"/>
      <c r="L388" s="170">
        <v>42572</v>
      </c>
      <c r="M388" s="116">
        <v>829.7</v>
      </c>
      <c r="N388" s="116">
        <v>844.9</v>
      </c>
      <c r="O388" s="116">
        <v>827.55</v>
      </c>
      <c r="P388" s="116">
        <v>832.75</v>
      </c>
      <c r="Q388" s="116">
        <v>1659.4</v>
      </c>
      <c r="R388">
        <v>217344</v>
      </c>
    </row>
    <row r="389" spans="1:18" x14ac:dyDescent="0.25">
      <c r="A389" s="170">
        <v>42573</v>
      </c>
      <c r="B389" s="116">
        <v>838.5</v>
      </c>
      <c r="C389" s="116">
        <v>831.9</v>
      </c>
      <c r="D389" s="116">
        <v>826.22500000000002</v>
      </c>
      <c r="E389" s="116">
        <v>829.95</v>
      </c>
      <c r="F389" s="116">
        <v>1663.8</v>
      </c>
      <c r="G389">
        <v>33051</v>
      </c>
      <c r="H389" s="116"/>
      <c r="I389" s="116"/>
      <c r="L389" s="170">
        <v>42573</v>
      </c>
      <c r="M389" s="116">
        <v>831.9</v>
      </c>
      <c r="N389" s="116">
        <v>839</v>
      </c>
      <c r="O389" s="116">
        <v>825.75</v>
      </c>
      <c r="P389" s="116">
        <v>829.7</v>
      </c>
      <c r="Q389" s="116">
        <v>1663.8</v>
      </c>
      <c r="R389">
        <v>155022</v>
      </c>
    </row>
    <row r="390" spans="1:18" x14ac:dyDescent="0.25">
      <c r="A390" s="170">
        <v>42576</v>
      </c>
      <c r="B390" s="116">
        <v>840.2</v>
      </c>
      <c r="C390" s="116">
        <v>807.07500000000005</v>
      </c>
      <c r="D390" s="116">
        <v>800.97500000000002</v>
      </c>
      <c r="E390" s="116">
        <v>834.875</v>
      </c>
      <c r="F390" s="116">
        <v>1614.15</v>
      </c>
      <c r="G390">
        <v>118230</v>
      </c>
      <c r="H390" s="116"/>
      <c r="I390" s="116"/>
      <c r="L390" s="170">
        <v>42576</v>
      </c>
      <c r="M390" s="116">
        <v>806.2</v>
      </c>
      <c r="N390" s="116">
        <v>839.95</v>
      </c>
      <c r="O390" s="116">
        <v>800.5</v>
      </c>
      <c r="P390" s="116">
        <v>836.1</v>
      </c>
      <c r="Q390" s="116">
        <v>1612.4</v>
      </c>
      <c r="R390">
        <v>423440</v>
      </c>
    </row>
    <row r="391" spans="1:18" x14ac:dyDescent="0.25">
      <c r="A391" s="170">
        <v>42577</v>
      </c>
      <c r="B391" s="116">
        <v>853</v>
      </c>
      <c r="C391" s="116">
        <v>828.45</v>
      </c>
      <c r="D391" s="116">
        <v>810</v>
      </c>
      <c r="E391" s="116">
        <v>811.5</v>
      </c>
      <c r="F391" s="116">
        <v>1656.9</v>
      </c>
      <c r="G391">
        <v>280081</v>
      </c>
      <c r="H391" s="116"/>
      <c r="I391" s="116"/>
      <c r="L391" s="170">
        <v>42577</v>
      </c>
      <c r="M391" s="116">
        <v>828.5</v>
      </c>
      <c r="N391" s="116">
        <v>853.7</v>
      </c>
      <c r="O391" s="116">
        <v>808</v>
      </c>
      <c r="P391" s="116">
        <v>811.4</v>
      </c>
      <c r="Q391" s="116">
        <v>1657</v>
      </c>
      <c r="R391">
        <v>1354123</v>
      </c>
    </row>
    <row r="392" spans="1:18" x14ac:dyDescent="0.25">
      <c r="A392" s="170">
        <v>42578</v>
      </c>
      <c r="B392" s="116">
        <v>842.22500000000002</v>
      </c>
      <c r="C392" s="116">
        <v>832.75</v>
      </c>
      <c r="D392" s="116">
        <v>825.5</v>
      </c>
      <c r="E392" s="116">
        <v>838.75</v>
      </c>
      <c r="F392" s="116">
        <v>1665.5</v>
      </c>
      <c r="G392">
        <v>60332</v>
      </c>
      <c r="H392" s="116"/>
      <c r="I392" s="116"/>
      <c r="L392" s="170">
        <v>42578</v>
      </c>
      <c r="M392" s="116">
        <v>834</v>
      </c>
      <c r="N392" s="116">
        <v>841.97500000000002</v>
      </c>
      <c r="O392" s="116">
        <v>828</v>
      </c>
      <c r="P392" s="116">
        <v>833.17499999999995</v>
      </c>
      <c r="Q392" s="116">
        <v>1668</v>
      </c>
      <c r="R392">
        <v>287674</v>
      </c>
    </row>
    <row r="393" spans="1:18" x14ac:dyDescent="0.25">
      <c r="A393" s="170">
        <v>42579</v>
      </c>
      <c r="B393" s="116">
        <v>837.2</v>
      </c>
      <c r="C393" s="116">
        <v>820.35</v>
      </c>
      <c r="D393" s="116">
        <v>816.5</v>
      </c>
      <c r="E393" s="116">
        <v>835</v>
      </c>
      <c r="F393" s="116">
        <v>1640.7</v>
      </c>
      <c r="G393">
        <v>39429</v>
      </c>
      <c r="H393" s="116"/>
      <c r="I393" s="116"/>
      <c r="L393" s="170">
        <v>42579</v>
      </c>
      <c r="M393" s="116">
        <v>819.82500000000005</v>
      </c>
      <c r="N393" s="116">
        <v>837.4</v>
      </c>
      <c r="O393" s="116">
        <v>815.625</v>
      </c>
      <c r="P393" s="116">
        <v>836</v>
      </c>
      <c r="Q393" s="116">
        <v>1639.65</v>
      </c>
      <c r="R393">
        <v>256408</v>
      </c>
    </row>
    <row r="394" spans="1:18" x14ac:dyDescent="0.25">
      <c r="A394" s="170">
        <v>42580</v>
      </c>
      <c r="B394" s="116">
        <v>835.65</v>
      </c>
      <c r="C394" s="116">
        <v>824.75</v>
      </c>
      <c r="D394" s="116">
        <v>816.05</v>
      </c>
      <c r="E394" s="116">
        <v>823.22500000000002</v>
      </c>
      <c r="F394" s="116">
        <v>1649.5</v>
      </c>
      <c r="G394">
        <v>36709</v>
      </c>
      <c r="H394" s="116"/>
      <c r="I394" s="116"/>
      <c r="L394" s="170">
        <v>42580</v>
      </c>
      <c r="M394" s="116">
        <v>825.47500000000002</v>
      </c>
      <c r="N394" s="116">
        <v>836.25</v>
      </c>
      <c r="O394" s="116">
        <v>817.5</v>
      </c>
      <c r="P394" s="116">
        <v>822.5</v>
      </c>
      <c r="Q394" s="116">
        <v>1650.95</v>
      </c>
      <c r="R394">
        <v>171197</v>
      </c>
    </row>
    <row r="395" spans="1:18" x14ac:dyDescent="0.25">
      <c r="A395" s="170">
        <v>42583</v>
      </c>
      <c r="B395" s="116">
        <v>831.5</v>
      </c>
      <c r="C395" s="116">
        <v>822.27499999999998</v>
      </c>
      <c r="D395" s="116">
        <v>818.97500000000002</v>
      </c>
      <c r="E395" s="116">
        <v>825.52499999999998</v>
      </c>
      <c r="F395" s="116">
        <v>1644.55</v>
      </c>
      <c r="G395">
        <v>38261</v>
      </c>
      <c r="H395" s="116"/>
      <c r="I395" s="116"/>
      <c r="L395" s="170">
        <v>42583</v>
      </c>
      <c r="M395" s="116">
        <v>822.77499999999998</v>
      </c>
      <c r="N395" s="116">
        <v>832</v>
      </c>
      <c r="O395" s="116">
        <v>818</v>
      </c>
      <c r="P395" s="116">
        <v>825.47500000000002</v>
      </c>
      <c r="Q395" s="116">
        <v>1645.55</v>
      </c>
      <c r="R395">
        <v>182317</v>
      </c>
    </row>
    <row r="396" spans="1:18" x14ac:dyDescent="0.25">
      <c r="A396" s="170">
        <v>42584</v>
      </c>
      <c r="B396" s="116">
        <v>829.95</v>
      </c>
      <c r="C396" s="116">
        <v>815.92499999999995</v>
      </c>
      <c r="D396" s="116">
        <v>813</v>
      </c>
      <c r="E396" s="116">
        <v>820</v>
      </c>
      <c r="F396" s="116">
        <v>1631.85</v>
      </c>
      <c r="G396">
        <v>32362</v>
      </c>
      <c r="H396" s="116"/>
      <c r="I396" s="116"/>
      <c r="L396" s="170">
        <v>42584</v>
      </c>
      <c r="M396" s="116">
        <v>815.52499999999998</v>
      </c>
      <c r="N396" s="116">
        <v>829.5</v>
      </c>
      <c r="O396" s="116">
        <v>813.1</v>
      </c>
      <c r="P396" s="116">
        <v>822.5</v>
      </c>
      <c r="Q396" s="116">
        <v>1631.05</v>
      </c>
      <c r="R396">
        <v>155942</v>
      </c>
    </row>
    <row r="397" spans="1:18" x14ac:dyDescent="0.25">
      <c r="A397" s="170">
        <v>42585</v>
      </c>
      <c r="B397" s="116">
        <v>827.5</v>
      </c>
      <c r="C397" s="116">
        <v>811.72500000000002</v>
      </c>
      <c r="D397" s="116">
        <v>810.2</v>
      </c>
      <c r="E397" s="116">
        <v>817</v>
      </c>
      <c r="F397" s="116">
        <v>1623.45</v>
      </c>
      <c r="G397">
        <v>48797</v>
      </c>
      <c r="H397" s="116"/>
      <c r="I397" s="116"/>
      <c r="L397" s="170">
        <v>42585</v>
      </c>
      <c r="M397" s="116">
        <v>811.95</v>
      </c>
      <c r="N397" s="116">
        <v>827.5</v>
      </c>
      <c r="O397" s="116">
        <v>810.05</v>
      </c>
      <c r="P397" s="116">
        <v>816.85</v>
      </c>
      <c r="Q397" s="116">
        <v>1623.9</v>
      </c>
      <c r="R397">
        <v>191623</v>
      </c>
    </row>
    <row r="398" spans="1:18" x14ac:dyDescent="0.25">
      <c r="A398" s="170">
        <v>42586</v>
      </c>
      <c r="B398" s="116">
        <v>820.47500000000002</v>
      </c>
      <c r="C398" s="116">
        <v>814.22500000000002</v>
      </c>
      <c r="D398" s="116">
        <v>811.02499999999998</v>
      </c>
      <c r="E398" s="116">
        <v>815</v>
      </c>
      <c r="F398" s="116">
        <v>1628.45</v>
      </c>
      <c r="G398">
        <v>32600</v>
      </c>
      <c r="H398" s="116"/>
      <c r="I398" s="116"/>
      <c r="L398" s="170">
        <v>42586</v>
      </c>
      <c r="M398" s="116">
        <v>814.55</v>
      </c>
      <c r="N398" s="116">
        <v>820</v>
      </c>
      <c r="O398" s="116">
        <v>810.5</v>
      </c>
      <c r="P398" s="116">
        <v>816</v>
      </c>
      <c r="Q398" s="116">
        <v>1629.1</v>
      </c>
      <c r="R398">
        <v>156522</v>
      </c>
    </row>
    <row r="399" spans="1:18" x14ac:dyDescent="0.25">
      <c r="A399" s="170">
        <v>42587</v>
      </c>
      <c r="B399" s="116">
        <v>824.7</v>
      </c>
      <c r="C399" s="116">
        <v>819.82500000000005</v>
      </c>
      <c r="D399" s="116">
        <v>816</v>
      </c>
      <c r="E399" s="116">
        <v>816.25</v>
      </c>
      <c r="F399" s="116">
        <v>1639.65</v>
      </c>
      <c r="G399">
        <v>28409</v>
      </c>
      <c r="H399" s="116"/>
      <c r="I399" s="116"/>
      <c r="L399" s="170">
        <v>42587</v>
      </c>
      <c r="M399" s="116">
        <v>821.125</v>
      </c>
      <c r="N399" s="116">
        <v>824.4</v>
      </c>
      <c r="O399" s="116">
        <v>815.5</v>
      </c>
      <c r="P399" s="116">
        <v>819.4</v>
      </c>
      <c r="Q399" s="116">
        <v>1642.25</v>
      </c>
      <c r="R399">
        <v>119743</v>
      </c>
    </row>
    <row r="400" spans="1:18" x14ac:dyDescent="0.25">
      <c r="A400" s="170">
        <v>42590</v>
      </c>
      <c r="B400" s="116">
        <v>874.5</v>
      </c>
      <c r="C400" s="116">
        <v>869.5</v>
      </c>
      <c r="D400" s="116">
        <v>822</v>
      </c>
      <c r="E400" s="116">
        <v>827</v>
      </c>
      <c r="F400" s="116">
        <v>1739</v>
      </c>
      <c r="G400">
        <v>173081</v>
      </c>
      <c r="H400" s="116"/>
      <c r="I400" s="116"/>
      <c r="L400" s="170">
        <v>42590</v>
      </c>
      <c r="M400" s="116">
        <v>869.17499999999995</v>
      </c>
      <c r="N400" s="116">
        <v>873.5</v>
      </c>
      <c r="O400" s="116">
        <v>821.55</v>
      </c>
      <c r="P400" s="116">
        <v>825</v>
      </c>
      <c r="Q400" s="116">
        <v>1738.35</v>
      </c>
      <c r="R400">
        <v>975018</v>
      </c>
    </row>
    <row r="401" spans="1:18" x14ac:dyDescent="0.25">
      <c r="A401" s="170">
        <v>42591</v>
      </c>
      <c r="B401" s="116">
        <v>877.5</v>
      </c>
      <c r="C401" s="116">
        <v>852.05</v>
      </c>
      <c r="D401" s="116">
        <v>849</v>
      </c>
      <c r="E401" s="116">
        <v>872.52499999999998</v>
      </c>
      <c r="F401" s="116">
        <v>1704.1</v>
      </c>
      <c r="G401">
        <v>94192</v>
      </c>
      <c r="H401" s="116"/>
      <c r="I401" s="116"/>
      <c r="L401" s="170">
        <v>42591</v>
      </c>
      <c r="M401" s="116">
        <v>851.5</v>
      </c>
      <c r="N401" s="116">
        <v>878.9</v>
      </c>
      <c r="O401" s="116">
        <v>848.1</v>
      </c>
      <c r="P401" s="116">
        <v>877.45</v>
      </c>
      <c r="Q401" s="116">
        <v>1703</v>
      </c>
      <c r="R401">
        <v>416950</v>
      </c>
    </row>
    <row r="402" spans="1:18" x14ac:dyDescent="0.25">
      <c r="A402" s="170">
        <v>42592</v>
      </c>
      <c r="B402" s="116">
        <v>862.75</v>
      </c>
      <c r="C402" s="116">
        <v>834.6</v>
      </c>
      <c r="D402" s="116">
        <v>830.625</v>
      </c>
      <c r="E402" s="116">
        <v>855.875</v>
      </c>
      <c r="F402" s="116">
        <v>1669.2</v>
      </c>
      <c r="G402">
        <v>57709</v>
      </c>
      <c r="H402" s="116"/>
      <c r="I402" s="116"/>
      <c r="L402" s="170">
        <v>42592</v>
      </c>
      <c r="M402" s="116">
        <v>834</v>
      </c>
      <c r="N402" s="116">
        <v>862.2</v>
      </c>
      <c r="O402" s="116">
        <v>831.22500000000002</v>
      </c>
      <c r="P402" s="116">
        <v>855</v>
      </c>
      <c r="Q402" s="116">
        <v>1668</v>
      </c>
      <c r="R402">
        <v>283914</v>
      </c>
    </row>
    <row r="403" spans="1:18" x14ac:dyDescent="0.25">
      <c r="A403" s="170">
        <v>42593</v>
      </c>
      <c r="B403" s="116">
        <v>841.25</v>
      </c>
      <c r="C403" s="116">
        <v>829.07500000000005</v>
      </c>
      <c r="D403" s="116">
        <v>822.5</v>
      </c>
      <c r="E403" s="116">
        <v>835</v>
      </c>
      <c r="F403" s="116">
        <v>1658.15</v>
      </c>
      <c r="G403">
        <v>57753</v>
      </c>
      <c r="H403" s="116"/>
      <c r="I403" s="116"/>
      <c r="L403" s="170">
        <v>42593</v>
      </c>
      <c r="M403" s="116">
        <v>830.55</v>
      </c>
      <c r="N403" s="116">
        <v>841.875</v>
      </c>
      <c r="O403" s="116">
        <v>821.92499999999995</v>
      </c>
      <c r="P403" s="116">
        <v>835.5</v>
      </c>
      <c r="Q403" s="116">
        <v>1661.1</v>
      </c>
      <c r="R403">
        <v>219137</v>
      </c>
    </row>
    <row r="404" spans="1:18" x14ac:dyDescent="0.25">
      <c r="A404" s="170">
        <v>42594</v>
      </c>
      <c r="B404" s="116">
        <v>840.5</v>
      </c>
      <c r="C404" s="116">
        <v>826.95</v>
      </c>
      <c r="D404" s="116">
        <v>822.5</v>
      </c>
      <c r="E404" s="116">
        <v>837.4</v>
      </c>
      <c r="F404" s="116">
        <v>1653.9</v>
      </c>
      <c r="G404">
        <v>37771</v>
      </c>
      <c r="H404" s="116"/>
      <c r="I404" s="116"/>
      <c r="L404" s="170">
        <v>42594</v>
      </c>
      <c r="M404" s="116">
        <v>826.75</v>
      </c>
      <c r="N404" s="116">
        <v>840.5</v>
      </c>
      <c r="O404" s="116">
        <v>824</v>
      </c>
      <c r="P404" s="116">
        <v>834.32500000000005</v>
      </c>
      <c r="Q404" s="116">
        <v>1653.5</v>
      </c>
      <c r="R404">
        <v>194950</v>
      </c>
    </row>
    <row r="405" spans="1:18" x14ac:dyDescent="0.25">
      <c r="A405" s="170">
        <v>42598</v>
      </c>
      <c r="B405" s="116">
        <v>830.5</v>
      </c>
      <c r="C405" s="116">
        <v>814</v>
      </c>
      <c r="D405" s="116">
        <v>805.42499999999995</v>
      </c>
      <c r="E405" s="116">
        <v>830.5</v>
      </c>
      <c r="F405" s="116">
        <v>1628</v>
      </c>
      <c r="G405">
        <v>41784</v>
      </c>
      <c r="H405" s="116"/>
      <c r="I405" s="116"/>
      <c r="L405" s="170">
        <v>42598</v>
      </c>
      <c r="M405" s="116">
        <v>813.97500000000002</v>
      </c>
      <c r="N405" s="116">
        <v>828.8</v>
      </c>
      <c r="O405" s="116">
        <v>805.77499999999998</v>
      </c>
      <c r="P405" s="116">
        <v>826.75</v>
      </c>
      <c r="Q405" s="116">
        <v>1627.95</v>
      </c>
      <c r="R405">
        <v>253077</v>
      </c>
    </row>
    <row r="406" spans="1:18" x14ac:dyDescent="0.25">
      <c r="A406" s="170">
        <v>42599</v>
      </c>
      <c r="B406" s="116">
        <v>826</v>
      </c>
      <c r="C406" s="116">
        <v>819.52499999999998</v>
      </c>
      <c r="D406" s="116">
        <v>811</v>
      </c>
      <c r="E406" s="116">
        <v>814</v>
      </c>
      <c r="F406" s="116">
        <v>1639.05</v>
      </c>
      <c r="G406">
        <v>32057</v>
      </c>
      <c r="H406" s="116"/>
      <c r="I406" s="116"/>
      <c r="L406" s="170">
        <v>42599</v>
      </c>
      <c r="M406" s="116">
        <v>820.375</v>
      </c>
      <c r="N406" s="116">
        <v>825.5</v>
      </c>
      <c r="O406" s="116">
        <v>810.52499999999998</v>
      </c>
      <c r="P406" s="116">
        <v>814.97500000000002</v>
      </c>
      <c r="Q406" s="116">
        <v>1640.75</v>
      </c>
      <c r="R406">
        <v>171970</v>
      </c>
    </row>
    <row r="407" spans="1:18" x14ac:dyDescent="0.25">
      <c r="A407" s="170">
        <v>42600</v>
      </c>
      <c r="B407" s="116">
        <v>827.75</v>
      </c>
      <c r="C407" s="116">
        <v>816.57500000000005</v>
      </c>
      <c r="D407" s="116">
        <v>814.02499999999998</v>
      </c>
      <c r="E407" s="116">
        <v>822.875</v>
      </c>
      <c r="F407" s="116">
        <v>1633.15</v>
      </c>
      <c r="G407">
        <v>32266</v>
      </c>
      <c r="H407" s="116"/>
      <c r="I407" s="116"/>
      <c r="L407" s="170">
        <v>42600</v>
      </c>
      <c r="M407" s="116">
        <v>816.45</v>
      </c>
      <c r="N407" s="116">
        <v>828.375</v>
      </c>
      <c r="O407" s="116">
        <v>813.5</v>
      </c>
      <c r="P407" s="116">
        <v>821</v>
      </c>
      <c r="Q407" s="116">
        <v>1632.9</v>
      </c>
      <c r="R407">
        <v>168053</v>
      </c>
    </row>
    <row r="408" spans="1:18" x14ac:dyDescent="0.25">
      <c r="A408" s="170">
        <v>42601</v>
      </c>
      <c r="B408" s="116">
        <v>821.7</v>
      </c>
      <c r="C408" s="116">
        <v>811.7</v>
      </c>
      <c r="D408" s="116">
        <v>808.4</v>
      </c>
      <c r="E408" s="116">
        <v>817</v>
      </c>
      <c r="F408" s="116">
        <v>1623.4</v>
      </c>
      <c r="G408">
        <v>48659</v>
      </c>
      <c r="H408" s="116"/>
      <c r="I408" s="116"/>
      <c r="L408" s="170">
        <v>42601</v>
      </c>
      <c r="M408" s="116">
        <v>808.97500000000002</v>
      </c>
      <c r="N408" s="116">
        <v>822.2</v>
      </c>
      <c r="O408" s="116">
        <v>807</v>
      </c>
      <c r="P408" s="116">
        <v>817.9</v>
      </c>
      <c r="Q408" s="116">
        <v>1617.95</v>
      </c>
      <c r="R408">
        <v>223391</v>
      </c>
    </row>
    <row r="409" spans="1:18" x14ac:dyDescent="0.25">
      <c r="A409" s="170">
        <v>42604</v>
      </c>
      <c r="B409" s="116">
        <v>817.2</v>
      </c>
      <c r="C409" s="116">
        <v>809.4</v>
      </c>
      <c r="D409" s="116">
        <v>807.55</v>
      </c>
      <c r="E409" s="116">
        <v>812</v>
      </c>
      <c r="F409" s="116">
        <v>1618.8</v>
      </c>
      <c r="G409">
        <v>28670</v>
      </c>
      <c r="H409" s="116"/>
      <c r="I409" s="116"/>
      <c r="L409" s="170">
        <v>42604</v>
      </c>
      <c r="M409" s="116">
        <v>809.32500000000005</v>
      </c>
      <c r="N409" s="116">
        <v>816.97500000000002</v>
      </c>
      <c r="O409" s="116">
        <v>807.5</v>
      </c>
      <c r="P409" s="116">
        <v>811.7</v>
      </c>
      <c r="Q409" s="116">
        <v>1618.65</v>
      </c>
      <c r="R409">
        <v>139798</v>
      </c>
    </row>
    <row r="410" spans="1:18" x14ac:dyDescent="0.25">
      <c r="A410" s="170">
        <v>42605</v>
      </c>
      <c r="B410" s="116">
        <v>819.15</v>
      </c>
      <c r="C410" s="116">
        <v>810.625</v>
      </c>
      <c r="D410" s="116">
        <v>806.25</v>
      </c>
      <c r="E410" s="116">
        <v>807.5</v>
      </c>
      <c r="F410" s="116">
        <v>1621.25</v>
      </c>
      <c r="G410">
        <v>29619</v>
      </c>
      <c r="H410" s="116"/>
      <c r="I410" s="116"/>
      <c r="L410" s="170">
        <v>42605</v>
      </c>
      <c r="M410" s="116">
        <v>810.625</v>
      </c>
      <c r="N410" s="116">
        <v>817.95</v>
      </c>
      <c r="O410" s="116">
        <v>806.27499999999998</v>
      </c>
      <c r="P410" s="116">
        <v>809.9</v>
      </c>
      <c r="Q410" s="116">
        <v>1621.25</v>
      </c>
      <c r="R410">
        <v>184243</v>
      </c>
    </row>
    <row r="411" spans="1:18" x14ac:dyDescent="0.25">
      <c r="A411" s="170">
        <v>42606</v>
      </c>
      <c r="B411" s="116">
        <v>822.5</v>
      </c>
      <c r="C411" s="116">
        <v>814.32500000000005</v>
      </c>
      <c r="D411" s="116">
        <v>809.5</v>
      </c>
      <c r="E411" s="116">
        <v>814.5</v>
      </c>
      <c r="F411" s="116">
        <v>1628.65</v>
      </c>
      <c r="G411">
        <v>43081</v>
      </c>
      <c r="H411" s="116"/>
      <c r="I411" s="116"/>
      <c r="L411" s="170">
        <v>42606</v>
      </c>
      <c r="M411" s="116">
        <v>815.4</v>
      </c>
      <c r="N411" s="116">
        <v>822</v>
      </c>
      <c r="O411" s="116">
        <v>809</v>
      </c>
      <c r="P411" s="116">
        <v>812.35</v>
      </c>
      <c r="Q411" s="116">
        <v>1630.8</v>
      </c>
      <c r="R411">
        <v>230103</v>
      </c>
    </row>
    <row r="412" spans="1:18" x14ac:dyDescent="0.25">
      <c r="A412" s="170">
        <v>42607</v>
      </c>
      <c r="B412" s="116">
        <v>819</v>
      </c>
      <c r="C412" s="116">
        <v>807.125</v>
      </c>
      <c r="D412" s="116">
        <v>800.52499999999998</v>
      </c>
      <c r="E412" s="116">
        <v>818.5</v>
      </c>
      <c r="F412" s="116">
        <v>1614.25</v>
      </c>
      <c r="G412">
        <v>37948</v>
      </c>
      <c r="H412" s="116"/>
      <c r="I412" s="116"/>
      <c r="L412" s="170">
        <v>42607</v>
      </c>
      <c r="M412" s="116">
        <v>805.07500000000005</v>
      </c>
      <c r="N412" s="116">
        <v>818.42499999999995</v>
      </c>
      <c r="O412" s="116">
        <v>801.05</v>
      </c>
      <c r="P412" s="116">
        <v>817.9</v>
      </c>
      <c r="Q412" s="116">
        <v>1610.15</v>
      </c>
      <c r="R412">
        <v>208796</v>
      </c>
    </row>
    <row r="413" spans="1:18" x14ac:dyDescent="0.25">
      <c r="A413" s="170">
        <v>42608</v>
      </c>
      <c r="B413" s="116">
        <v>815.9</v>
      </c>
      <c r="C413" s="116">
        <v>805.97500000000002</v>
      </c>
      <c r="D413" s="116">
        <v>801.625</v>
      </c>
      <c r="E413" s="116">
        <v>807</v>
      </c>
      <c r="F413" s="116">
        <v>1611.95</v>
      </c>
      <c r="G413">
        <v>28809</v>
      </c>
      <c r="H413" s="116"/>
      <c r="I413" s="116"/>
      <c r="L413" s="170">
        <v>42608</v>
      </c>
      <c r="M413" s="116">
        <v>804.95</v>
      </c>
      <c r="N413" s="116">
        <v>816</v>
      </c>
      <c r="O413" s="116">
        <v>802.55</v>
      </c>
      <c r="P413" s="116">
        <v>806.9</v>
      </c>
      <c r="Q413" s="116">
        <v>1609.9</v>
      </c>
      <c r="R413">
        <v>162861</v>
      </c>
    </row>
    <row r="414" spans="1:18" x14ac:dyDescent="0.25">
      <c r="A414" s="170">
        <v>42611</v>
      </c>
      <c r="B414" s="116">
        <v>804.7</v>
      </c>
      <c r="C414" s="116">
        <v>782.32500000000005</v>
      </c>
      <c r="D414" s="116">
        <v>778.27499999999998</v>
      </c>
      <c r="E414" s="116">
        <v>804.5</v>
      </c>
      <c r="F414" s="116">
        <v>1564.65</v>
      </c>
      <c r="G414">
        <v>87632</v>
      </c>
      <c r="H414" s="116"/>
      <c r="I414" s="116"/>
      <c r="L414" s="170">
        <v>42611</v>
      </c>
      <c r="M414" s="116">
        <v>783.17499999999995</v>
      </c>
      <c r="N414" s="116">
        <v>805.97500000000002</v>
      </c>
      <c r="O414" s="116">
        <v>778.05</v>
      </c>
      <c r="P414" s="116">
        <v>805</v>
      </c>
      <c r="Q414" s="116">
        <v>1566.35</v>
      </c>
      <c r="R414">
        <v>318532</v>
      </c>
    </row>
    <row r="415" spans="1:18" x14ac:dyDescent="0.25">
      <c r="A415" s="170">
        <v>42612</v>
      </c>
      <c r="B415" s="116">
        <v>800.5</v>
      </c>
      <c r="C415" s="116">
        <v>794.17499999999995</v>
      </c>
      <c r="D415" s="116">
        <v>769</v>
      </c>
      <c r="E415" s="116">
        <v>787.875</v>
      </c>
      <c r="F415" s="116">
        <v>1588.35</v>
      </c>
      <c r="G415">
        <v>113141</v>
      </c>
      <c r="H415" s="116"/>
      <c r="I415" s="116"/>
      <c r="L415" s="170">
        <v>42612</v>
      </c>
      <c r="M415" s="116">
        <v>793.92499999999995</v>
      </c>
      <c r="N415" s="116">
        <v>801</v>
      </c>
      <c r="O415" s="116">
        <v>769</v>
      </c>
      <c r="P415" s="116">
        <v>785</v>
      </c>
      <c r="Q415" s="116">
        <v>1587.85</v>
      </c>
      <c r="R415">
        <v>605267</v>
      </c>
    </row>
    <row r="416" spans="1:18" x14ac:dyDescent="0.25">
      <c r="A416" s="170">
        <v>42613</v>
      </c>
      <c r="B416" s="116">
        <v>807.5</v>
      </c>
      <c r="C416" s="116">
        <v>790</v>
      </c>
      <c r="D416" s="116">
        <v>786</v>
      </c>
      <c r="E416" s="116">
        <v>800</v>
      </c>
      <c r="F416" s="116">
        <v>1580</v>
      </c>
      <c r="G416">
        <v>49009</v>
      </c>
      <c r="H416" s="116"/>
      <c r="I416" s="116"/>
      <c r="L416" s="170">
        <v>42613</v>
      </c>
      <c r="M416" s="116">
        <v>789.77499999999998</v>
      </c>
      <c r="N416" s="116">
        <v>807.5</v>
      </c>
      <c r="O416" s="116">
        <v>785.85</v>
      </c>
      <c r="P416" s="116">
        <v>795</v>
      </c>
      <c r="Q416" s="116">
        <v>1579.55</v>
      </c>
      <c r="R416">
        <v>278158</v>
      </c>
    </row>
    <row r="417" spans="1:18" x14ac:dyDescent="0.25">
      <c r="A417" s="170">
        <v>42614</v>
      </c>
      <c r="B417" s="116">
        <v>790</v>
      </c>
      <c r="C417" s="116">
        <v>781.47500000000002</v>
      </c>
      <c r="D417" s="116">
        <v>777.27499999999998</v>
      </c>
      <c r="E417" s="116">
        <v>787.5</v>
      </c>
      <c r="F417" s="116">
        <v>1562.95</v>
      </c>
      <c r="G417">
        <v>33692</v>
      </c>
      <c r="H417" s="116"/>
      <c r="I417" s="116"/>
      <c r="L417" s="170">
        <v>42614</v>
      </c>
      <c r="M417" s="116">
        <v>781.22500000000002</v>
      </c>
      <c r="N417" s="116">
        <v>789.4</v>
      </c>
      <c r="O417" s="116">
        <v>777.5</v>
      </c>
      <c r="P417" s="116">
        <v>788.75</v>
      </c>
      <c r="Q417" s="116">
        <v>1562.45</v>
      </c>
      <c r="R417">
        <v>162696</v>
      </c>
    </row>
    <row r="418" spans="1:18" x14ac:dyDescent="0.25">
      <c r="A418" s="170">
        <v>42615</v>
      </c>
      <c r="B418" s="116">
        <v>794.72500000000002</v>
      </c>
      <c r="C418" s="116">
        <v>784.42499999999995</v>
      </c>
      <c r="D418" s="116">
        <v>777.5</v>
      </c>
      <c r="E418" s="116">
        <v>777.5</v>
      </c>
      <c r="F418" s="116">
        <v>1568.85</v>
      </c>
      <c r="G418">
        <v>31405</v>
      </c>
      <c r="H418" s="116"/>
      <c r="I418" s="116"/>
      <c r="L418" s="170">
        <v>42615</v>
      </c>
      <c r="M418" s="116">
        <v>784.27499999999998</v>
      </c>
      <c r="N418" s="116">
        <v>794.85</v>
      </c>
      <c r="O418" s="116">
        <v>780.65</v>
      </c>
      <c r="P418" s="116">
        <v>784.5</v>
      </c>
      <c r="Q418" s="116">
        <v>1568.55</v>
      </c>
      <c r="R418">
        <v>209283</v>
      </c>
    </row>
    <row r="419" spans="1:18" x14ac:dyDescent="0.25">
      <c r="A419" s="170">
        <v>42619</v>
      </c>
      <c r="B419" s="116">
        <v>790</v>
      </c>
      <c r="C419" s="116">
        <v>768.65</v>
      </c>
      <c r="D419" s="116">
        <v>765.5</v>
      </c>
      <c r="E419" s="116">
        <v>790</v>
      </c>
      <c r="F419" s="116">
        <v>1537.3</v>
      </c>
      <c r="G419">
        <v>47757</v>
      </c>
      <c r="H419" s="116"/>
      <c r="I419" s="116"/>
      <c r="L419" s="170">
        <v>42619</v>
      </c>
      <c r="M419" s="116">
        <v>768.67499999999995</v>
      </c>
      <c r="N419" s="116">
        <v>790</v>
      </c>
      <c r="O419" s="116">
        <v>766.05</v>
      </c>
      <c r="P419" s="116">
        <v>790</v>
      </c>
      <c r="Q419" s="116">
        <v>1537.35</v>
      </c>
      <c r="R419">
        <v>223932</v>
      </c>
    </row>
    <row r="420" spans="1:18" x14ac:dyDescent="0.25">
      <c r="A420" s="170">
        <v>42620</v>
      </c>
      <c r="B420" s="116">
        <v>782</v>
      </c>
      <c r="C420" s="116">
        <v>771.9</v>
      </c>
      <c r="D420" s="116">
        <v>769</v>
      </c>
      <c r="E420" s="116">
        <v>769.5</v>
      </c>
      <c r="F420" s="116">
        <v>1543.8</v>
      </c>
      <c r="G420">
        <v>34990</v>
      </c>
      <c r="H420" s="116"/>
      <c r="I420" s="116"/>
      <c r="L420" s="170">
        <v>42620</v>
      </c>
      <c r="M420" s="116">
        <v>771.52499999999998</v>
      </c>
      <c r="N420" s="116">
        <v>781.5</v>
      </c>
      <c r="O420" s="116">
        <v>768.7</v>
      </c>
      <c r="P420" s="116">
        <v>769.97500000000002</v>
      </c>
      <c r="Q420" s="116">
        <v>1543.05</v>
      </c>
      <c r="R420">
        <v>182201</v>
      </c>
    </row>
    <row r="421" spans="1:18" x14ac:dyDescent="0.25">
      <c r="A421" s="170">
        <v>42621</v>
      </c>
      <c r="B421" s="116">
        <v>775</v>
      </c>
      <c r="C421" s="116">
        <v>767.65</v>
      </c>
      <c r="D421" s="116">
        <v>763.85</v>
      </c>
      <c r="E421" s="116">
        <v>770.17499999999995</v>
      </c>
      <c r="F421" s="116">
        <v>1535.3</v>
      </c>
      <c r="G421">
        <v>45692</v>
      </c>
      <c r="H421" s="116"/>
      <c r="I421" s="116"/>
      <c r="L421" s="170">
        <v>42621</v>
      </c>
      <c r="M421" s="116">
        <v>767.32500000000005</v>
      </c>
      <c r="N421" s="116">
        <v>774</v>
      </c>
      <c r="O421" s="116">
        <v>763.15</v>
      </c>
      <c r="P421" s="116">
        <v>771.5</v>
      </c>
      <c r="Q421" s="116">
        <v>1534.65</v>
      </c>
      <c r="R421">
        <v>198493</v>
      </c>
    </row>
    <row r="422" spans="1:18" x14ac:dyDescent="0.25">
      <c r="A422" s="170">
        <v>42622</v>
      </c>
      <c r="B422" s="116">
        <v>775</v>
      </c>
      <c r="C422" s="116">
        <v>766.2</v>
      </c>
      <c r="D422" s="116">
        <v>762.5</v>
      </c>
      <c r="E422" s="116">
        <v>765</v>
      </c>
      <c r="F422" s="116">
        <v>1532.4</v>
      </c>
      <c r="G422">
        <v>65887</v>
      </c>
      <c r="H422" s="116"/>
      <c r="I422" s="116"/>
      <c r="L422" s="170">
        <v>42622</v>
      </c>
      <c r="M422" s="116">
        <v>766.22500000000002</v>
      </c>
      <c r="N422" s="116">
        <v>774.5</v>
      </c>
      <c r="O422" s="116">
        <v>763.1</v>
      </c>
      <c r="P422" s="116">
        <v>767.5</v>
      </c>
      <c r="Q422" s="116">
        <v>1532.45</v>
      </c>
      <c r="R422">
        <v>193557</v>
      </c>
    </row>
    <row r="423" spans="1:18" x14ac:dyDescent="0.25">
      <c r="A423" s="170">
        <v>42625</v>
      </c>
      <c r="B423" s="116">
        <v>763.5</v>
      </c>
      <c r="C423" s="116">
        <v>754.52499999999998</v>
      </c>
      <c r="D423" s="116">
        <v>750.375</v>
      </c>
      <c r="E423" s="116">
        <v>762.5</v>
      </c>
      <c r="F423" s="116">
        <v>1509.05</v>
      </c>
      <c r="G423">
        <v>29591</v>
      </c>
      <c r="H423" s="116"/>
      <c r="I423" s="116"/>
      <c r="L423" s="170">
        <v>42625</v>
      </c>
      <c r="M423" s="116">
        <v>754.65</v>
      </c>
      <c r="N423" s="116">
        <v>763.25</v>
      </c>
      <c r="O423" s="116">
        <v>751.05</v>
      </c>
      <c r="P423" s="116">
        <v>759</v>
      </c>
      <c r="Q423" s="116">
        <v>1509.3</v>
      </c>
      <c r="R423">
        <v>140180</v>
      </c>
    </row>
    <row r="424" spans="1:18" x14ac:dyDescent="0.25">
      <c r="A424" s="170">
        <v>42627</v>
      </c>
      <c r="B424" s="116">
        <v>762.5</v>
      </c>
      <c r="C424" s="116">
        <v>758.07500000000005</v>
      </c>
      <c r="D424" s="116">
        <v>754</v>
      </c>
      <c r="E424" s="116">
        <v>754.5</v>
      </c>
      <c r="F424" s="116">
        <v>1516.15</v>
      </c>
      <c r="G424">
        <v>40523</v>
      </c>
      <c r="H424" s="116"/>
      <c r="I424" s="116"/>
      <c r="L424" s="170">
        <v>42627</v>
      </c>
      <c r="M424" s="116">
        <v>758.7</v>
      </c>
      <c r="N424" s="116">
        <v>762.47500000000002</v>
      </c>
      <c r="O424" s="116">
        <v>754.07500000000005</v>
      </c>
      <c r="P424" s="116">
        <v>755</v>
      </c>
      <c r="Q424" s="116">
        <v>1517.4</v>
      </c>
      <c r="R424">
        <v>130013</v>
      </c>
    </row>
    <row r="425" spans="1:18" x14ac:dyDescent="0.25">
      <c r="A425" s="170">
        <v>42628</v>
      </c>
      <c r="B425" s="116">
        <v>781.95</v>
      </c>
      <c r="C425" s="116">
        <v>770.7</v>
      </c>
      <c r="D425" s="116">
        <v>757.97500000000002</v>
      </c>
      <c r="E425" s="116">
        <v>758.625</v>
      </c>
      <c r="F425" s="116">
        <v>1541.4</v>
      </c>
      <c r="G425">
        <v>59249</v>
      </c>
      <c r="H425" s="116"/>
      <c r="I425" s="116"/>
      <c r="L425" s="170">
        <v>42628</v>
      </c>
      <c r="M425" s="116">
        <v>771.375</v>
      </c>
      <c r="N425" s="116">
        <v>781.47500000000002</v>
      </c>
      <c r="O425" s="116">
        <v>757.55</v>
      </c>
      <c r="P425" s="116">
        <v>757.55</v>
      </c>
      <c r="Q425" s="116">
        <v>1542.75</v>
      </c>
      <c r="R425">
        <v>392087</v>
      </c>
    </row>
    <row r="426" spans="1:18" x14ac:dyDescent="0.25">
      <c r="A426" s="170">
        <v>42629</v>
      </c>
      <c r="B426" s="116">
        <v>781.75</v>
      </c>
      <c r="C426" s="116">
        <v>774.625</v>
      </c>
      <c r="D426" s="116">
        <v>769</v>
      </c>
      <c r="E426" s="116">
        <v>780</v>
      </c>
      <c r="F426" s="116">
        <v>1549.25</v>
      </c>
      <c r="G426">
        <v>58030</v>
      </c>
      <c r="H426" s="116"/>
      <c r="I426" s="116"/>
      <c r="L426" s="170">
        <v>42629</v>
      </c>
      <c r="M426" s="116">
        <v>775.7</v>
      </c>
      <c r="N426" s="116">
        <v>781.5</v>
      </c>
      <c r="O426" s="116">
        <v>767.9</v>
      </c>
      <c r="P426" s="116">
        <v>775.45</v>
      </c>
      <c r="Q426" s="116">
        <v>1551.4</v>
      </c>
      <c r="R426">
        <v>276057</v>
      </c>
    </row>
    <row r="427" spans="1:18" x14ac:dyDescent="0.25">
      <c r="A427" s="170">
        <v>42632</v>
      </c>
      <c r="B427" s="116">
        <v>785</v>
      </c>
      <c r="C427" s="116">
        <v>775.92499999999995</v>
      </c>
      <c r="D427" s="116">
        <v>768.1</v>
      </c>
      <c r="E427" s="116">
        <v>776.375</v>
      </c>
      <c r="F427" s="116">
        <v>1551.85</v>
      </c>
      <c r="G427">
        <v>39679</v>
      </c>
      <c r="H427" s="116"/>
      <c r="I427" s="116"/>
      <c r="L427" s="170">
        <v>42632</v>
      </c>
      <c r="M427" s="116">
        <v>775.45</v>
      </c>
      <c r="N427" s="116">
        <v>785.5</v>
      </c>
      <c r="O427" s="116">
        <v>767.55</v>
      </c>
      <c r="P427" s="116">
        <v>776</v>
      </c>
      <c r="Q427" s="116">
        <v>1550.9</v>
      </c>
      <c r="R427">
        <v>222398</v>
      </c>
    </row>
    <row r="428" spans="1:18" x14ac:dyDescent="0.25">
      <c r="A428" s="170">
        <v>42633</v>
      </c>
      <c r="B428" s="116">
        <v>780</v>
      </c>
      <c r="C428" s="116">
        <v>774.05</v>
      </c>
      <c r="D428" s="116">
        <v>770.42499999999995</v>
      </c>
      <c r="E428" s="116">
        <v>777</v>
      </c>
      <c r="F428" s="116">
        <v>1548.1</v>
      </c>
      <c r="G428">
        <v>33116</v>
      </c>
      <c r="H428" s="116"/>
      <c r="I428" s="116"/>
      <c r="L428" s="170">
        <v>42633</v>
      </c>
      <c r="M428" s="116">
        <v>773.52499999999998</v>
      </c>
      <c r="N428" s="116">
        <v>780.3</v>
      </c>
      <c r="O428" s="116">
        <v>771.05</v>
      </c>
      <c r="P428" s="116">
        <v>778.95</v>
      </c>
      <c r="Q428" s="116">
        <v>1547.05</v>
      </c>
      <c r="R428">
        <v>93576</v>
      </c>
    </row>
    <row r="429" spans="1:18" x14ac:dyDescent="0.25">
      <c r="A429" s="170">
        <v>42634</v>
      </c>
      <c r="B429" s="116">
        <v>787.375</v>
      </c>
      <c r="C429" s="116">
        <v>776.25</v>
      </c>
      <c r="D429" s="116">
        <v>773</v>
      </c>
      <c r="E429" s="116">
        <v>774.97500000000002</v>
      </c>
      <c r="F429" s="116">
        <v>1552.5</v>
      </c>
      <c r="G429">
        <v>32432</v>
      </c>
      <c r="H429" s="116"/>
      <c r="I429" s="116"/>
      <c r="L429" s="170">
        <v>42634</v>
      </c>
      <c r="M429" s="116">
        <v>775.77499999999998</v>
      </c>
      <c r="N429" s="116">
        <v>787.5</v>
      </c>
      <c r="O429" s="116">
        <v>772.5</v>
      </c>
      <c r="P429" s="116">
        <v>775</v>
      </c>
      <c r="Q429" s="116">
        <v>1551.55</v>
      </c>
      <c r="R429">
        <v>242350</v>
      </c>
    </row>
    <row r="430" spans="1:18" x14ac:dyDescent="0.25">
      <c r="A430" s="170">
        <v>42635</v>
      </c>
      <c r="B430" s="116">
        <v>785.8</v>
      </c>
      <c r="C430" s="116">
        <v>773.8</v>
      </c>
      <c r="D430" s="116">
        <v>772</v>
      </c>
      <c r="E430" s="116">
        <v>784.07500000000005</v>
      </c>
      <c r="F430" s="116">
        <v>1547.6</v>
      </c>
      <c r="G430">
        <v>21157</v>
      </c>
      <c r="H430" s="116"/>
      <c r="I430" s="116"/>
      <c r="L430" s="170">
        <v>42635</v>
      </c>
      <c r="M430" s="116">
        <v>773.95</v>
      </c>
      <c r="N430" s="116">
        <v>786.22500000000002</v>
      </c>
      <c r="O430" s="116">
        <v>772.5</v>
      </c>
      <c r="P430" s="116">
        <v>783.45</v>
      </c>
      <c r="Q430" s="116">
        <v>1547.9</v>
      </c>
      <c r="R430">
        <v>137584</v>
      </c>
    </row>
    <row r="431" spans="1:18" x14ac:dyDescent="0.25">
      <c r="A431" s="170">
        <v>42636</v>
      </c>
      <c r="B431" s="116">
        <v>778.47500000000002</v>
      </c>
      <c r="C431" s="116">
        <v>766.2</v>
      </c>
      <c r="D431" s="116">
        <v>764.95</v>
      </c>
      <c r="E431" s="116">
        <v>777</v>
      </c>
      <c r="F431" s="116">
        <v>1532.4</v>
      </c>
      <c r="G431">
        <v>23648</v>
      </c>
      <c r="H431" s="116"/>
      <c r="I431" s="116"/>
      <c r="L431" s="170">
        <v>42636</v>
      </c>
      <c r="M431" s="116">
        <v>765.07500000000005</v>
      </c>
      <c r="N431" s="116">
        <v>778.07500000000005</v>
      </c>
      <c r="O431" s="116">
        <v>762.82500000000005</v>
      </c>
      <c r="P431" s="116">
        <v>776.4</v>
      </c>
      <c r="Q431" s="116">
        <v>1530.15</v>
      </c>
      <c r="R431">
        <v>153508</v>
      </c>
    </row>
    <row r="432" spans="1:18" x14ac:dyDescent="0.25">
      <c r="A432" s="170">
        <v>42639</v>
      </c>
      <c r="B432" s="116">
        <v>764.35</v>
      </c>
      <c r="C432" s="116">
        <v>756.4</v>
      </c>
      <c r="D432" s="116">
        <v>755.07500000000005</v>
      </c>
      <c r="E432" s="116">
        <v>762.2</v>
      </c>
      <c r="F432" s="116">
        <v>1512.8</v>
      </c>
      <c r="G432">
        <v>32524</v>
      </c>
      <c r="H432" s="116"/>
      <c r="I432" s="116"/>
      <c r="L432" s="170">
        <v>42639</v>
      </c>
      <c r="M432" s="116">
        <v>756.27499999999998</v>
      </c>
      <c r="N432" s="116">
        <v>764.5</v>
      </c>
      <c r="O432" s="116">
        <v>755</v>
      </c>
      <c r="P432" s="116">
        <v>762.5</v>
      </c>
      <c r="Q432" s="116">
        <v>1512.55</v>
      </c>
      <c r="R432">
        <v>176897</v>
      </c>
    </row>
    <row r="433" spans="1:18" x14ac:dyDescent="0.25">
      <c r="A433" s="170">
        <v>42640</v>
      </c>
      <c r="B433" s="116">
        <v>761.52499999999998</v>
      </c>
      <c r="C433" s="116">
        <v>748.97500000000002</v>
      </c>
      <c r="D433" s="116">
        <v>747</v>
      </c>
      <c r="E433" s="116">
        <v>757.5</v>
      </c>
      <c r="F433" s="116">
        <v>1497.95</v>
      </c>
      <c r="G433">
        <v>40604</v>
      </c>
      <c r="H433" s="116"/>
      <c r="I433" s="116"/>
      <c r="L433" s="170">
        <v>42640</v>
      </c>
      <c r="M433" s="116">
        <v>748.85</v>
      </c>
      <c r="N433" s="116">
        <v>760.95</v>
      </c>
      <c r="O433" s="116">
        <v>745.5</v>
      </c>
      <c r="P433" s="116">
        <v>758.4</v>
      </c>
      <c r="Q433" s="116">
        <v>1497.7</v>
      </c>
      <c r="R433">
        <v>215071</v>
      </c>
    </row>
    <row r="434" spans="1:18" x14ac:dyDescent="0.25">
      <c r="A434" s="170">
        <v>42641</v>
      </c>
      <c r="B434" s="116">
        <v>752.67499999999995</v>
      </c>
      <c r="C434" s="116">
        <v>747.15</v>
      </c>
      <c r="D434" s="116">
        <v>745.625</v>
      </c>
      <c r="E434" s="116">
        <v>749.5</v>
      </c>
      <c r="F434" s="116">
        <v>1494.3</v>
      </c>
      <c r="G434">
        <v>30476</v>
      </c>
      <c r="H434" s="116"/>
      <c r="I434" s="116"/>
      <c r="L434" s="170">
        <v>42641</v>
      </c>
      <c r="M434" s="116">
        <v>747.35</v>
      </c>
      <c r="N434" s="116">
        <v>752.47500000000002</v>
      </c>
      <c r="O434" s="116">
        <v>745.3</v>
      </c>
      <c r="P434" s="116">
        <v>749.9</v>
      </c>
      <c r="Q434" s="116">
        <v>1494.7</v>
      </c>
      <c r="R434">
        <v>136711</v>
      </c>
    </row>
    <row r="435" spans="1:18" x14ac:dyDescent="0.25">
      <c r="A435" s="170">
        <v>42642</v>
      </c>
      <c r="B435" s="116">
        <v>754.7</v>
      </c>
      <c r="C435" s="116">
        <v>692.42499999999995</v>
      </c>
      <c r="D435" s="116">
        <v>685.85</v>
      </c>
      <c r="E435" s="116">
        <v>748.52499999999998</v>
      </c>
      <c r="F435" s="116">
        <v>1384.85</v>
      </c>
      <c r="G435">
        <v>66588</v>
      </c>
      <c r="H435" s="116"/>
      <c r="I435" s="116"/>
      <c r="L435" s="170">
        <v>42642</v>
      </c>
      <c r="M435" s="116">
        <v>691.17499999999995</v>
      </c>
      <c r="N435" s="116">
        <v>754.4</v>
      </c>
      <c r="O435" s="116">
        <v>684</v>
      </c>
      <c r="P435" s="116">
        <v>751</v>
      </c>
      <c r="Q435" s="116">
        <v>1382.35</v>
      </c>
      <c r="R435">
        <v>469624</v>
      </c>
    </row>
    <row r="436" spans="1:18" x14ac:dyDescent="0.25">
      <c r="A436" s="170">
        <v>42643</v>
      </c>
      <c r="B436" s="116">
        <v>709.72500000000002</v>
      </c>
      <c r="C436" s="116">
        <v>697.67499999999995</v>
      </c>
      <c r="D436" s="116">
        <v>692.55</v>
      </c>
      <c r="E436" s="116">
        <v>695</v>
      </c>
      <c r="F436" s="116">
        <v>1395.35</v>
      </c>
      <c r="G436">
        <v>54210</v>
      </c>
      <c r="H436" s="116"/>
      <c r="I436" s="116"/>
      <c r="L436" s="170">
        <v>42643</v>
      </c>
      <c r="M436" s="116">
        <v>696.125</v>
      </c>
      <c r="N436" s="116">
        <v>709.45</v>
      </c>
      <c r="O436" s="116">
        <v>692.875</v>
      </c>
      <c r="P436" s="116">
        <v>694</v>
      </c>
      <c r="Q436" s="116">
        <v>1392.25</v>
      </c>
      <c r="R436">
        <v>292373</v>
      </c>
    </row>
    <row r="437" spans="1:18" x14ac:dyDescent="0.25">
      <c r="A437" s="170">
        <v>42646</v>
      </c>
      <c r="B437" s="116">
        <v>708.82500000000005</v>
      </c>
      <c r="C437" s="116">
        <v>701.6</v>
      </c>
      <c r="D437" s="116">
        <v>697.5</v>
      </c>
      <c r="E437" s="116">
        <v>702.47500000000002</v>
      </c>
      <c r="F437" s="116">
        <v>1403.2</v>
      </c>
      <c r="G437">
        <v>45234</v>
      </c>
      <c r="H437" s="116"/>
      <c r="I437" s="116"/>
      <c r="L437" s="170">
        <v>42646</v>
      </c>
      <c r="M437" s="116">
        <v>700.65</v>
      </c>
      <c r="N437" s="116">
        <v>707.875</v>
      </c>
      <c r="O437" s="116">
        <v>696.52499999999998</v>
      </c>
      <c r="P437" s="116">
        <v>703.4</v>
      </c>
      <c r="Q437" s="116">
        <v>1401.3</v>
      </c>
      <c r="R437">
        <v>209657</v>
      </c>
    </row>
    <row r="438" spans="1:18" x14ac:dyDescent="0.25">
      <c r="A438" s="170">
        <v>42647</v>
      </c>
      <c r="B438" s="116">
        <v>718.125</v>
      </c>
      <c r="C438" s="116">
        <v>707.27499999999998</v>
      </c>
      <c r="D438" s="116">
        <v>701.42499999999995</v>
      </c>
      <c r="E438" s="116">
        <v>703</v>
      </c>
      <c r="F438" s="116">
        <v>1414.55</v>
      </c>
      <c r="G438">
        <v>59372</v>
      </c>
      <c r="H438" s="116"/>
      <c r="I438" s="116"/>
      <c r="L438" s="170">
        <v>42647</v>
      </c>
      <c r="M438" s="116">
        <v>705.875</v>
      </c>
      <c r="N438" s="116">
        <v>717.5</v>
      </c>
      <c r="O438" s="116">
        <v>701.4</v>
      </c>
      <c r="P438" s="116">
        <v>703.2</v>
      </c>
      <c r="Q438" s="116">
        <v>1411.75</v>
      </c>
      <c r="R438">
        <v>438968</v>
      </c>
    </row>
    <row r="439" spans="1:18" x14ac:dyDescent="0.25">
      <c r="A439" s="170">
        <v>42648</v>
      </c>
      <c r="B439" s="116">
        <v>711</v>
      </c>
      <c r="C439" s="116">
        <v>698.07500000000005</v>
      </c>
      <c r="D439" s="116">
        <v>694.75</v>
      </c>
      <c r="E439" s="116">
        <v>711</v>
      </c>
      <c r="F439" s="116">
        <v>1396.15</v>
      </c>
      <c r="G439">
        <v>39186</v>
      </c>
      <c r="H439" s="116"/>
      <c r="I439" s="116"/>
      <c r="L439" s="170">
        <v>42648</v>
      </c>
      <c r="M439" s="116">
        <v>697.47500000000002</v>
      </c>
      <c r="N439" s="116">
        <v>711</v>
      </c>
      <c r="O439" s="116">
        <v>694.52499999999998</v>
      </c>
      <c r="P439" s="116">
        <v>709.7</v>
      </c>
      <c r="Q439" s="116">
        <v>1394.95</v>
      </c>
      <c r="R439">
        <v>251778</v>
      </c>
    </row>
    <row r="440" spans="1:18" x14ac:dyDescent="0.25">
      <c r="A440" s="170">
        <v>42649</v>
      </c>
      <c r="B440" s="116">
        <v>702.25</v>
      </c>
      <c r="C440" s="116">
        <v>684.5</v>
      </c>
      <c r="D440" s="116">
        <v>680</v>
      </c>
      <c r="E440" s="116">
        <v>696</v>
      </c>
      <c r="F440" s="116">
        <v>1369</v>
      </c>
      <c r="G440">
        <v>62552</v>
      </c>
      <c r="H440" s="116"/>
      <c r="I440" s="116"/>
      <c r="L440" s="170">
        <v>42649</v>
      </c>
      <c r="M440" s="116">
        <v>683.1</v>
      </c>
      <c r="N440" s="116">
        <v>701.4</v>
      </c>
      <c r="O440" s="116">
        <v>678.52499999999998</v>
      </c>
      <c r="P440" s="116">
        <v>697.5</v>
      </c>
      <c r="Q440" s="116">
        <v>1366.2</v>
      </c>
      <c r="R440">
        <v>276122</v>
      </c>
    </row>
    <row r="441" spans="1:18" x14ac:dyDescent="0.25">
      <c r="A441" s="170">
        <v>42650</v>
      </c>
      <c r="B441" s="116">
        <v>688.6</v>
      </c>
      <c r="C441" s="116">
        <v>672.875</v>
      </c>
      <c r="D441" s="116">
        <v>671</v>
      </c>
      <c r="E441" s="116">
        <v>684.5</v>
      </c>
      <c r="F441" s="116">
        <v>1345.75</v>
      </c>
      <c r="G441">
        <v>59330</v>
      </c>
      <c r="H441" s="116"/>
      <c r="I441" s="116"/>
      <c r="L441" s="170">
        <v>42650</v>
      </c>
      <c r="M441" s="116">
        <v>672.35</v>
      </c>
      <c r="N441" s="116">
        <v>688.5</v>
      </c>
      <c r="O441" s="116">
        <v>669.4</v>
      </c>
      <c r="P441" s="116">
        <v>685.7</v>
      </c>
      <c r="Q441" s="116">
        <v>1344.7</v>
      </c>
      <c r="R441">
        <v>264342</v>
      </c>
    </row>
    <row r="442" spans="1:18" x14ac:dyDescent="0.25">
      <c r="A442" s="170">
        <v>42653</v>
      </c>
      <c r="B442" s="116">
        <v>705.5</v>
      </c>
      <c r="C442" s="116">
        <v>672.82500000000005</v>
      </c>
      <c r="D442" s="116">
        <v>668</v>
      </c>
      <c r="E442" s="116">
        <v>673.5</v>
      </c>
      <c r="F442" s="116">
        <v>1345.65</v>
      </c>
      <c r="G442">
        <v>120463</v>
      </c>
      <c r="H442" s="116"/>
      <c r="I442" s="116"/>
      <c r="L442" s="170">
        <v>42653</v>
      </c>
      <c r="M442" s="116">
        <v>671.97500000000002</v>
      </c>
      <c r="N442" s="116">
        <v>705.45</v>
      </c>
      <c r="O442" s="116">
        <v>667.4</v>
      </c>
      <c r="P442" s="116">
        <v>672</v>
      </c>
      <c r="Q442" s="116">
        <v>1343.95</v>
      </c>
      <c r="R442">
        <v>528966</v>
      </c>
    </row>
    <row r="443" spans="1:18" x14ac:dyDescent="0.25">
      <c r="A443" s="170">
        <v>42656</v>
      </c>
      <c r="B443" s="116">
        <v>678.97500000000002</v>
      </c>
      <c r="C443" s="116">
        <v>662.42499999999995</v>
      </c>
      <c r="D443" s="116">
        <v>657</v>
      </c>
      <c r="E443" s="116">
        <v>674.5</v>
      </c>
      <c r="F443" s="116">
        <v>1324.85</v>
      </c>
      <c r="G443">
        <v>68195</v>
      </c>
      <c r="H443" s="116"/>
      <c r="I443" s="116"/>
      <c r="L443" s="170">
        <v>42656</v>
      </c>
      <c r="M443" s="116">
        <v>662.75</v>
      </c>
      <c r="N443" s="116">
        <v>679.1</v>
      </c>
      <c r="O443" s="116">
        <v>657</v>
      </c>
      <c r="P443" s="116">
        <v>673.9</v>
      </c>
      <c r="Q443" s="116">
        <v>1325.5</v>
      </c>
      <c r="R443">
        <v>243954</v>
      </c>
    </row>
    <row r="444" spans="1:18" x14ac:dyDescent="0.25">
      <c r="A444" s="170">
        <v>42657</v>
      </c>
      <c r="B444" s="116">
        <v>677.375</v>
      </c>
      <c r="C444" s="116">
        <v>661.75</v>
      </c>
      <c r="D444" s="116">
        <v>659.42499999999995</v>
      </c>
      <c r="E444" s="116">
        <v>665.57500000000005</v>
      </c>
      <c r="F444" s="116">
        <v>1323.5</v>
      </c>
      <c r="G444">
        <v>50472</v>
      </c>
      <c r="H444" s="116"/>
      <c r="I444" s="116"/>
      <c r="L444" s="170">
        <v>42657</v>
      </c>
      <c r="M444" s="116">
        <v>660.1</v>
      </c>
      <c r="N444" s="116">
        <v>677.47500000000002</v>
      </c>
      <c r="O444" s="116">
        <v>658</v>
      </c>
      <c r="P444" s="116">
        <v>667.35</v>
      </c>
      <c r="Q444" s="116">
        <v>1320.2</v>
      </c>
      <c r="R444">
        <v>312868</v>
      </c>
    </row>
    <row r="445" spans="1:18" x14ac:dyDescent="0.25">
      <c r="A445" s="170">
        <v>42660</v>
      </c>
      <c r="B445" s="116">
        <v>669</v>
      </c>
      <c r="C445" s="116">
        <v>652.07500000000005</v>
      </c>
      <c r="D445" s="116">
        <v>650.54999999999995</v>
      </c>
      <c r="E445" s="116">
        <v>661</v>
      </c>
      <c r="F445" s="116">
        <v>1304.1500000000001</v>
      </c>
      <c r="G445">
        <v>46723</v>
      </c>
      <c r="H445" s="116"/>
      <c r="I445" s="116"/>
      <c r="L445" s="170">
        <v>42660</v>
      </c>
      <c r="M445" s="116">
        <v>653.32500000000005</v>
      </c>
      <c r="N445" s="116">
        <v>669.22500000000002</v>
      </c>
      <c r="O445" s="116">
        <v>651.25</v>
      </c>
      <c r="P445" s="116">
        <v>664</v>
      </c>
      <c r="Q445" s="116">
        <v>1306.6500000000001</v>
      </c>
      <c r="R445">
        <v>191680</v>
      </c>
    </row>
    <row r="446" spans="1:18" x14ac:dyDescent="0.25">
      <c r="A446" s="170">
        <v>42661</v>
      </c>
      <c r="B446" s="116">
        <v>672</v>
      </c>
      <c r="C446" s="116">
        <v>669.25</v>
      </c>
      <c r="D446" s="116">
        <v>652.5</v>
      </c>
      <c r="E446" s="116">
        <v>658.5</v>
      </c>
      <c r="F446" s="116">
        <v>1338.5</v>
      </c>
      <c r="G446">
        <v>94700</v>
      </c>
      <c r="H446" s="116"/>
      <c r="I446" s="116"/>
      <c r="L446" s="170">
        <v>42661</v>
      </c>
      <c r="M446" s="116">
        <v>669.45</v>
      </c>
      <c r="N446" s="116">
        <v>671.5</v>
      </c>
      <c r="O446" s="116">
        <v>651.57500000000005</v>
      </c>
      <c r="P446" s="116">
        <v>655.25</v>
      </c>
      <c r="Q446" s="116">
        <v>1338.9</v>
      </c>
      <c r="R446">
        <v>313460</v>
      </c>
    </row>
    <row r="447" spans="1:18" x14ac:dyDescent="0.25">
      <c r="A447" s="170">
        <v>42662</v>
      </c>
      <c r="B447" s="116">
        <v>688.9</v>
      </c>
      <c r="C447" s="116">
        <v>676.77499999999998</v>
      </c>
      <c r="D447" s="116">
        <v>670.17499999999995</v>
      </c>
      <c r="E447" s="116">
        <v>672.5</v>
      </c>
      <c r="F447" s="116">
        <v>1353.55</v>
      </c>
      <c r="G447">
        <v>112916</v>
      </c>
      <c r="H447" s="116"/>
      <c r="I447" s="116"/>
      <c r="L447" s="170">
        <v>42662</v>
      </c>
      <c r="M447" s="116">
        <v>676.45</v>
      </c>
      <c r="N447" s="116">
        <v>688.42499999999995</v>
      </c>
      <c r="O447" s="116">
        <v>670.65</v>
      </c>
      <c r="P447" s="116">
        <v>672.5</v>
      </c>
      <c r="Q447" s="116">
        <v>1352.9</v>
      </c>
      <c r="R447">
        <v>404381</v>
      </c>
    </row>
    <row r="448" spans="1:18" x14ac:dyDescent="0.25">
      <c r="A448" s="170">
        <v>42663</v>
      </c>
      <c r="B448" s="116">
        <v>685.875</v>
      </c>
      <c r="C448" s="116">
        <v>676.45</v>
      </c>
      <c r="D448" s="116">
        <v>675</v>
      </c>
      <c r="E448" s="116">
        <v>680</v>
      </c>
      <c r="F448" s="116">
        <v>1352.9</v>
      </c>
      <c r="G448">
        <v>37613</v>
      </c>
      <c r="H448" s="116"/>
      <c r="I448" s="116"/>
      <c r="L448" s="170">
        <v>42663</v>
      </c>
      <c r="M448" s="116">
        <v>676.67499999999995</v>
      </c>
      <c r="N448" s="116">
        <v>685.95</v>
      </c>
      <c r="O448" s="116">
        <v>675.5</v>
      </c>
      <c r="P448" s="116">
        <v>681</v>
      </c>
      <c r="Q448" s="116">
        <v>1353.35</v>
      </c>
      <c r="R448">
        <v>134787</v>
      </c>
    </row>
    <row r="449" spans="1:18" x14ac:dyDescent="0.25">
      <c r="A449" s="170">
        <v>42664</v>
      </c>
      <c r="B449" s="116">
        <v>679</v>
      </c>
      <c r="C449" s="116">
        <v>671.32500000000005</v>
      </c>
      <c r="D449" s="116">
        <v>667.1</v>
      </c>
      <c r="E449" s="116">
        <v>679</v>
      </c>
      <c r="F449" s="116">
        <v>1342.65</v>
      </c>
      <c r="G449">
        <v>32297</v>
      </c>
      <c r="H449" s="116"/>
      <c r="I449" s="116"/>
      <c r="L449" s="170">
        <v>42664</v>
      </c>
      <c r="M449" s="116">
        <v>671.22500000000002</v>
      </c>
      <c r="N449" s="116">
        <v>679</v>
      </c>
      <c r="O449" s="116">
        <v>666.1</v>
      </c>
      <c r="P449" s="116">
        <v>679</v>
      </c>
      <c r="Q449" s="116">
        <v>1342.45</v>
      </c>
      <c r="R449">
        <v>141795</v>
      </c>
    </row>
    <row r="450" spans="1:18" x14ac:dyDescent="0.25">
      <c r="A450" s="170">
        <v>42667</v>
      </c>
      <c r="B450" s="116">
        <v>676.77499999999998</v>
      </c>
      <c r="C450" s="116">
        <v>666.52499999999998</v>
      </c>
      <c r="D450" s="116">
        <v>664.125</v>
      </c>
      <c r="E450" s="116">
        <v>673</v>
      </c>
      <c r="F450" s="116">
        <v>1333.05</v>
      </c>
      <c r="G450">
        <v>34998</v>
      </c>
      <c r="H450" s="116"/>
      <c r="I450" s="116"/>
      <c r="L450" s="170">
        <v>42667</v>
      </c>
      <c r="M450" s="116">
        <v>666.75</v>
      </c>
      <c r="N450" s="116">
        <v>676.6</v>
      </c>
      <c r="O450" s="116">
        <v>665</v>
      </c>
      <c r="P450" s="116">
        <v>672.75</v>
      </c>
      <c r="Q450" s="116">
        <v>1333.5</v>
      </c>
      <c r="R450">
        <v>142915</v>
      </c>
    </row>
    <row r="451" spans="1:18" x14ac:dyDescent="0.25">
      <c r="A451" s="170">
        <v>42668</v>
      </c>
      <c r="B451" s="116">
        <v>665</v>
      </c>
      <c r="C451" s="116">
        <v>657.17499999999995</v>
      </c>
      <c r="D451" s="116">
        <v>651.17499999999995</v>
      </c>
      <c r="E451" s="116">
        <v>662.55</v>
      </c>
      <c r="F451" s="116">
        <v>1314.35</v>
      </c>
      <c r="G451">
        <v>49980</v>
      </c>
      <c r="H451" s="116"/>
      <c r="I451" s="116"/>
      <c r="L451" s="170">
        <v>42668</v>
      </c>
      <c r="M451" s="116">
        <v>657.17499999999995</v>
      </c>
      <c r="N451" s="116">
        <v>664.97500000000002</v>
      </c>
      <c r="O451" s="116">
        <v>651</v>
      </c>
      <c r="P451" s="116">
        <v>661</v>
      </c>
      <c r="Q451" s="116">
        <v>1314.35</v>
      </c>
      <c r="R451">
        <v>294435</v>
      </c>
    </row>
    <row r="452" spans="1:18" x14ac:dyDescent="0.25">
      <c r="A452" s="170">
        <v>42669</v>
      </c>
      <c r="B452" s="116">
        <v>658.5</v>
      </c>
      <c r="C452" s="116">
        <v>636.45000000000005</v>
      </c>
      <c r="D452" s="116">
        <v>629.47500000000002</v>
      </c>
      <c r="E452" s="116">
        <v>657</v>
      </c>
      <c r="F452" s="116">
        <v>1272.9000000000001</v>
      </c>
      <c r="G452">
        <v>68835</v>
      </c>
      <c r="H452" s="116"/>
      <c r="I452" s="116"/>
      <c r="L452" s="170">
        <v>42669</v>
      </c>
      <c r="M452" s="116">
        <v>635.625</v>
      </c>
      <c r="N452" s="116">
        <v>659.2</v>
      </c>
      <c r="O452" s="116">
        <v>627.70000000000005</v>
      </c>
      <c r="P452" s="116">
        <v>656</v>
      </c>
      <c r="Q452" s="116">
        <v>1271.25</v>
      </c>
      <c r="R452">
        <v>413306</v>
      </c>
    </row>
    <row r="453" spans="1:18" x14ac:dyDescent="0.25">
      <c r="A453" s="170">
        <v>42670</v>
      </c>
      <c r="B453" s="116">
        <v>651.5</v>
      </c>
      <c r="C453" s="116">
        <v>620.92499999999995</v>
      </c>
      <c r="D453" s="116">
        <v>612</v>
      </c>
      <c r="E453" s="116">
        <v>630.95000000000005</v>
      </c>
      <c r="F453" s="116">
        <v>1241.8499999999999</v>
      </c>
      <c r="G453">
        <v>240285</v>
      </c>
      <c r="H453" s="116"/>
      <c r="I453" s="116"/>
      <c r="L453" s="170">
        <v>42670</v>
      </c>
      <c r="M453" s="116">
        <v>619.5</v>
      </c>
      <c r="N453" s="116">
        <v>651.95000000000005</v>
      </c>
      <c r="O453" s="116">
        <v>611.02499999999998</v>
      </c>
      <c r="P453" s="116">
        <v>627.5</v>
      </c>
      <c r="Q453" s="116">
        <v>1239</v>
      </c>
      <c r="R453">
        <v>1460970</v>
      </c>
    </row>
    <row r="454" spans="1:18" x14ac:dyDescent="0.25">
      <c r="A454" s="170">
        <v>42671</v>
      </c>
      <c r="B454" s="116">
        <v>651.70000000000005</v>
      </c>
      <c r="C454" s="116">
        <v>647</v>
      </c>
      <c r="D454" s="116">
        <v>618</v>
      </c>
      <c r="E454" s="116">
        <v>623.5</v>
      </c>
      <c r="F454" s="116">
        <v>1294</v>
      </c>
      <c r="G454">
        <v>126131</v>
      </c>
      <c r="H454" s="116"/>
      <c r="I454" s="116"/>
      <c r="L454" s="170">
        <v>42671</v>
      </c>
      <c r="M454" s="116">
        <v>647.42499999999995</v>
      </c>
      <c r="N454" s="116">
        <v>652</v>
      </c>
      <c r="O454" s="116">
        <v>622.5</v>
      </c>
      <c r="P454" s="116">
        <v>625</v>
      </c>
      <c r="Q454" s="116">
        <v>1294.8499999999999</v>
      </c>
      <c r="R454">
        <v>883733</v>
      </c>
    </row>
    <row r="455" spans="1:18" x14ac:dyDescent="0.25">
      <c r="A455" s="170">
        <v>42673</v>
      </c>
      <c r="B455" s="116">
        <v>653.5</v>
      </c>
      <c r="C455" s="116">
        <v>648.45000000000005</v>
      </c>
      <c r="D455" s="116">
        <v>644.70000000000005</v>
      </c>
      <c r="E455" s="116">
        <v>653.5</v>
      </c>
      <c r="F455" s="116">
        <v>1296.9000000000001</v>
      </c>
      <c r="G455">
        <v>20748</v>
      </c>
      <c r="H455" s="116"/>
      <c r="I455" s="116"/>
      <c r="L455" s="170">
        <v>42673</v>
      </c>
      <c r="M455" s="116">
        <v>648.70000000000005</v>
      </c>
      <c r="N455" s="116">
        <v>653.20000000000005</v>
      </c>
      <c r="O455" s="116">
        <v>645</v>
      </c>
      <c r="P455" s="116">
        <v>650.5</v>
      </c>
      <c r="Q455" s="116">
        <v>1297.4000000000001</v>
      </c>
      <c r="R455">
        <v>73800</v>
      </c>
    </row>
    <row r="456" spans="1:18" x14ac:dyDescent="0.25">
      <c r="A456" s="170">
        <v>42675</v>
      </c>
      <c r="B456" s="116">
        <v>676.875</v>
      </c>
      <c r="C456" s="116">
        <v>656.2</v>
      </c>
      <c r="D456" s="116">
        <v>642.25</v>
      </c>
      <c r="E456" s="116">
        <v>648.5</v>
      </c>
      <c r="F456" s="116">
        <v>1312.4</v>
      </c>
      <c r="G456">
        <v>97768</v>
      </c>
      <c r="H456" s="116"/>
      <c r="I456" s="116"/>
      <c r="L456" s="170">
        <v>42675</v>
      </c>
      <c r="M456" s="116">
        <v>655.65</v>
      </c>
      <c r="N456" s="116">
        <v>677.45</v>
      </c>
      <c r="O456" s="116">
        <v>642.5</v>
      </c>
      <c r="P456" s="116">
        <v>652.17499999999995</v>
      </c>
      <c r="Q456" s="116">
        <v>1311.3</v>
      </c>
      <c r="R456">
        <v>570388</v>
      </c>
    </row>
    <row r="457" spans="1:18" x14ac:dyDescent="0.25">
      <c r="A457" s="170">
        <v>42676</v>
      </c>
      <c r="B457" s="116">
        <v>651.5</v>
      </c>
      <c r="C457" s="116">
        <v>636.57500000000005</v>
      </c>
      <c r="D457" s="116">
        <v>632</v>
      </c>
      <c r="E457" s="116">
        <v>649.04999999999995</v>
      </c>
      <c r="F457" s="116">
        <v>1273.1500000000001</v>
      </c>
      <c r="G457">
        <v>43850</v>
      </c>
      <c r="H457" s="116"/>
      <c r="I457" s="116"/>
      <c r="L457" s="170">
        <v>42676</v>
      </c>
      <c r="M457" s="116">
        <v>635.45000000000005</v>
      </c>
      <c r="N457" s="116">
        <v>650.77499999999998</v>
      </c>
      <c r="O457" s="116">
        <v>630.04999999999995</v>
      </c>
      <c r="P457" s="116">
        <v>641.5</v>
      </c>
      <c r="Q457" s="116">
        <v>1270.9000000000001</v>
      </c>
      <c r="R457">
        <v>236975</v>
      </c>
    </row>
    <row r="458" spans="1:18" x14ac:dyDescent="0.25">
      <c r="A458" s="170">
        <v>42677</v>
      </c>
      <c r="B458" s="116">
        <v>641</v>
      </c>
      <c r="C458" s="116">
        <v>628.54999999999995</v>
      </c>
      <c r="D458" s="116">
        <v>625.47500000000002</v>
      </c>
      <c r="E458" s="116">
        <v>635</v>
      </c>
      <c r="F458" s="116">
        <v>1257.0999999999999</v>
      </c>
      <c r="G458">
        <v>62142</v>
      </c>
      <c r="H458" s="116"/>
      <c r="I458" s="116"/>
      <c r="L458" s="170">
        <v>42677</v>
      </c>
      <c r="M458" s="116">
        <v>629.20000000000005</v>
      </c>
      <c r="N458" s="116">
        <v>640.97500000000002</v>
      </c>
      <c r="O458" s="116">
        <v>626</v>
      </c>
      <c r="P458" s="116">
        <v>633</v>
      </c>
      <c r="Q458" s="116">
        <v>1258.4000000000001</v>
      </c>
      <c r="R458">
        <v>260113</v>
      </c>
    </row>
    <row r="459" spans="1:18" x14ac:dyDescent="0.25">
      <c r="A459" s="170">
        <v>42678</v>
      </c>
      <c r="B459" s="116">
        <v>633.47500000000002</v>
      </c>
      <c r="C459" s="116">
        <v>621.54999999999995</v>
      </c>
      <c r="D459" s="116">
        <v>618.5</v>
      </c>
      <c r="E459" s="116">
        <v>632</v>
      </c>
      <c r="F459" s="116">
        <v>1243.0999999999999</v>
      </c>
      <c r="G459">
        <v>48442</v>
      </c>
      <c r="H459" s="116"/>
      <c r="I459" s="116"/>
      <c r="L459" s="170">
        <v>42678</v>
      </c>
      <c r="M459" s="116">
        <v>621.22500000000002</v>
      </c>
      <c r="N459" s="116">
        <v>634</v>
      </c>
      <c r="O459" s="116">
        <v>618.04999999999995</v>
      </c>
      <c r="P459" s="116">
        <v>630</v>
      </c>
      <c r="Q459" s="116">
        <v>1242.45</v>
      </c>
      <c r="R459">
        <v>221002</v>
      </c>
    </row>
    <row r="460" spans="1:18" x14ac:dyDescent="0.25">
      <c r="A460" s="170">
        <v>42681</v>
      </c>
      <c r="B460" s="116">
        <v>632</v>
      </c>
      <c r="C460" s="116">
        <v>616.27499999999998</v>
      </c>
      <c r="D460" s="116">
        <v>615</v>
      </c>
      <c r="E460" s="116">
        <v>625.5</v>
      </c>
      <c r="F460" s="116">
        <v>1232.55</v>
      </c>
      <c r="G460">
        <v>34190</v>
      </c>
      <c r="H460" s="116"/>
      <c r="I460" s="116"/>
      <c r="L460" s="170">
        <v>42681</v>
      </c>
      <c r="M460" s="116">
        <v>615.57500000000005</v>
      </c>
      <c r="N460" s="116">
        <v>633.72500000000002</v>
      </c>
      <c r="O460" s="116">
        <v>613.1</v>
      </c>
      <c r="P460" s="116">
        <v>627.1</v>
      </c>
      <c r="Q460" s="116">
        <v>1231.1500000000001</v>
      </c>
      <c r="R460">
        <v>146947</v>
      </c>
    </row>
    <row r="461" spans="1:18" x14ac:dyDescent="0.25">
      <c r="A461" s="170">
        <v>42682</v>
      </c>
      <c r="B461" s="116">
        <v>632.5</v>
      </c>
      <c r="C461" s="116">
        <v>619.5</v>
      </c>
      <c r="D461" s="116">
        <v>616</v>
      </c>
      <c r="E461" s="116">
        <v>616</v>
      </c>
      <c r="F461" s="116">
        <v>1239</v>
      </c>
      <c r="G461">
        <v>42195</v>
      </c>
      <c r="H461" s="116"/>
      <c r="I461" s="116"/>
      <c r="L461" s="170">
        <v>42682</v>
      </c>
      <c r="M461" s="116">
        <v>620.35</v>
      </c>
      <c r="N461" s="116">
        <v>632.97500000000002</v>
      </c>
      <c r="O461" s="116">
        <v>616</v>
      </c>
      <c r="P461" s="116">
        <v>616</v>
      </c>
      <c r="Q461" s="116">
        <v>1240.7</v>
      </c>
      <c r="R461">
        <v>215408</v>
      </c>
    </row>
    <row r="462" spans="1:18" x14ac:dyDescent="0.25">
      <c r="A462" s="170">
        <v>42683</v>
      </c>
      <c r="B462" s="116">
        <v>601.1</v>
      </c>
      <c r="C462" s="116">
        <v>594.79999999999995</v>
      </c>
      <c r="D462" s="116">
        <v>557.54999999999995</v>
      </c>
      <c r="E462" s="116">
        <v>580.5</v>
      </c>
      <c r="F462" s="116">
        <v>1189.5999999999999</v>
      </c>
      <c r="G462">
        <v>97689</v>
      </c>
      <c r="H462" s="116"/>
      <c r="I462" s="116"/>
      <c r="L462" s="170">
        <v>42683</v>
      </c>
      <c r="M462" s="116">
        <v>596.65</v>
      </c>
      <c r="N462" s="116">
        <v>602.22500000000002</v>
      </c>
      <c r="O462" s="116">
        <v>558.32500000000005</v>
      </c>
      <c r="P462" s="116">
        <v>575</v>
      </c>
      <c r="Q462" s="116">
        <v>1193.3</v>
      </c>
      <c r="R462">
        <v>378239</v>
      </c>
    </row>
    <row r="463" spans="1:18" x14ac:dyDescent="0.25">
      <c r="A463" s="170">
        <v>42684</v>
      </c>
      <c r="B463" s="116">
        <v>616</v>
      </c>
      <c r="C463" s="116">
        <v>604.42499999999995</v>
      </c>
      <c r="D463" s="116">
        <v>601.75</v>
      </c>
      <c r="E463" s="116">
        <v>612.5</v>
      </c>
      <c r="F463" s="116">
        <v>1208.8499999999999</v>
      </c>
      <c r="G463">
        <v>67732</v>
      </c>
      <c r="H463" s="116"/>
      <c r="I463" s="116"/>
      <c r="L463" s="170">
        <v>42684</v>
      </c>
      <c r="M463" s="116">
        <v>605.1</v>
      </c>
      <c r="N463" s="116">
        <v>615.25</v>
      </c>
      <c r="O463" s="116">
        <v>602.54999999999995</v>
      </c>
      <c r="P463" s="116">
        <v>610</v>
      </c>
      <c r="Q463" s="116">
        <v>1210.2</v>
      </c>
      <c r="R463">
        <v>213339</v>
      </c>
    </row>
    <row r="464" spans="1:18" x14ac:dyDescent="0.25">
      <c r="A464" s="170">
        <v>42685</v>
      </c>
      <c r="B464" s="116">
        <v>602.5</v>
      </c>
      <c r="C464" s="116">
        <v>570.15</v>
      </c>
      <c r="D464" s="116">
        <v>567.5</v>
      </c>
      <c r="E464" s="116">
        <v>602.5</v>
      </c>
      <c r="F464" s="116">
        <v>1140.3</v>
      </c>
      <c r="G464">
        <v>62200</v>
      </c>
      <c r="H464" s="116"/>
      <c r="I464" s="116"/>
      <c r="L464" s="170">
        <v>42685</v>
      </c>
      <c r="M464" s="116">
        <v>569.9</v>
      </c>
      <c r="N464" s="116">
        <v>600</v>
      </c>
      <c r="O464" s="116">
        <v>567.22500000000002</v>
      </c>
      <c r="P464" s="116">
        <v>599.9</v>
      </c>
      <c r="Q464" s="116">
        <v>1139.8</v>
      </c>
      <c r="R464">
        <v>253386</v>
      </c>
    </row>
    <row r="465" spans="1:18" x14ac:dyDescent="0.25">
      <c r="A465" s="170">
        <v>42689</v>
      </c>
      <c r="B465" s="116">
        <v>575</v>
      </c>
      <c r="C465" s="116">
        <v>538.92499999999995</v>
      </c>
      <c r="D465" s="116">
        <v>525.9</v>
      </c>
      <c r="E465" s="116">
        <v>575</v>
      </c>
      <c r="F465" s="116">
        <v>1077.8499999999999</v>
      </c>
      <c r="G465">
        <v>89257</v>
      </c>
      <c r="H465" s="116"/>
      <c r="I465" s="116"/>
      <c r="L465" s="170">
        <v>42689</v>
      </c>
      <c r="M465" s="116">
        <v>539</v>
      </c>
      <c r="N465" s="116">
        <v>567.5</v>
      </c>
      <c r="O465" s="116">
        <v>517.5</v>
      </c>
      <c r="P465" s="116">
        <v>567.4</v>
      </c>
      <c r="Q465" s="116">
        <v>1078</v>
      </c>
      <c r="R465">
        <v>487817</v>
      </c>
    </row>
    <row r="466" spans="1:18" x14ac:dyDescent="0.25">
      <c r="A466" s="170">
        <v>42690</v>
      </c>
      <c r="B466" s="116">
        <v>555.5</v>
      </c>
      <c r="C466" s="116">
        <v>536.07500000000005</v>
      </c>
      <c r="D466" s="116">
        <v>529</v>
      </c>
      <c r="E466" s="116">
        <v>555</v>
      </c>
      <c r="F466" s="116">
        <v>1072.1500000000001</v>
      </c>
      <c r="G466">
        <v>63291</v>
      </c>
      <c r="H466" s="116"/>
      <c r="I466" s="116"/>
      <c r="L466" s="170">
        <v>42690</v>
      </c>
      <c r="M466" s="116">
        <v>534.57500000000005</v>
      </c>
      <c r="N466" s="116">
        <v>551.54999999999995</v>
      </c>
      <c r="O466" s="116">
        <v>529</v>
      </c>
      <c r="P466" s="116">
        <v>545.04999999999995</v>
      </c>
      <c r="Q466" s="116">
        <v>1069.1500000000001</v>
      </c>
      <c r="R466">
        <v>307698</v>
      </c>
    </row>
    <row r="467" spans="1:18" x14ac:dyDescent="0.25">
      <c r="A467" s="170">
        <v>42691</v>
      </c>
      <c r="B467" s="116">
        <v>543.15</v>
      </c>
      <c r="C467" s="116">
        <v>534.29999999999995</v>
      </c>
      <c r="D467" s="116">
        <v>530.54999999999995</v>
      </c>
      <c r="E467" s="116">
        <v>536.5</v>
      </c>
      <c r="F467" s="116">
        <v>1068.5999999999999</v>
      </c>
      <c r="G467">
        <v>40883</v>
      </c>
      <c r="H467" s="116"/>
      <c r="I467" s="116"/>
      <c r="L467" s="170">
        <v>42691</v>
      </c>
      <c r="M467" s="116">
        <v>533.47500000000002</v>
      </c>
      <c r="N467" s="116">
        <v>543.17499999999995</v>
      </c>
      <c r="O467" s="116">
        <v>530</v>
      </c>
      <c r="P467" s="116">
        <v>540</v>
      </c>
      <c r="Q467" s="116">
        <v>1066.95</v>
      </c>
      <c r="R467">
        <v>154154</v>
      </c>
    </row>
    <row r="468" spans="1:18" x14ac:dyDescent="0.25">
      <c r="A468" s="170">
        <v>42692</v>
      </c>
      <c r="B468" s="116">
        <v>538</v>
      </c>
      <c r="C468" s="116">
        <v>533.32500000000005</v>
      </c>
      <c r="D468" s="116">
        <v>525</v>
      </c>
      <c r="E468" s="116">
        <v>535</v>
      </c>
      <c r="F468" s="116">
        <v>1066.6500000000001</v>
      </c>
      <c r="G468">
        <v>57997</v>
      </c>
      <c r="H468" s="116"/>
      <c r="I468" s="116"/>
      <c r="L468" s="170">
        <v>42692</v>
      </c>
      <c r="M468" s="116">
        <v>533.79999999999995</v>
      </c>
      <c r="N468" s="116">
        <v>537.47500000000002</v>
      </c>
      <c r="O468" s="116">
        <v>523.6</v>
      </c>
      <c r="P468" s="116">
        <v>536.5</v>
      </c>
      <c r="Q468" s="116">
        <v>1067.5999999999999</v>
      </c>
      <c r="R468">
        <v>199497</v>
      </c>
    </row>
    <row r="469" spans="1:18" x14ac:dyDescent="0.25">
      <c r="A469" s="170">
        <v>42695</v>
      </c>
      <c r="B469" s="116">
        <v>538.17499999999995</v>
      </c>
      <c r="C469" s="116">
        <v>514.375</v>
      </c>
      <c r="D469" s="116">
        <v>510.82499999999999</v>
      </c>
      <c r="E469" s="116">
        <v>535</v>
      </c>
      <c r="F469" s="116">
        <v>1028.75</v>
      </c>
      <c r="G469">
        <v>54150</v>
      </c>
      <c r="H469" s="116"/>
      <c r="I469" s="116"/>
      <c r="L469" s="170">
        <v>42695</v>
      </c>
      <c r="M469" s="116">
        <v>515.6</v>
      </c>
      <c r="N469" s="116">
        <v>538.22500000000002</v>
      </c>
      <c r="O469" s="116">
        <v>512</v>
      </c>
      <c r="P469" s="116">
        <v>535.5</v>
      </c>
      <c r="Q469" s="116">
        <v>1031.2</v>
      </c>
      <c r="R469">
        <v>228359</v>
      </c>
    </row>
    <row r="470" spans="1:18" x14ac:dyDescent="0.25">
      <c r="A470" s="170">
        <v>42696</v>
      </c>
      <c r="B470" s="116">
        <v>523</v>
      </c>
      <c r="C470" s="116">
        <v>518.04999999999995</v>
      </c>
      <c r="D470" s="116">
        <v>510.95</v>
      </c>
      <c r="E470" s="116">
        <v>522</v>
      </c>
      <c r="F470" s="116">
        <v>1036.0999999999999</v>
      </c>
      <c r="G470">
        <v>54661</v>
      </c>
      <c r="H470" s="116"/>
      <c r="I470" s="116"/>
      <c r="L470" s="170">
        <v>42696</v>
      </c>
      <c r="M470" s="116">
        <v>518.27499999999998</v>
      </c>
      <c r="N470" s="116">
        <v>523.02499999999998</v>
      </c>
      <c r="O470" s="116">
        <v>510.625</v>
      </c>
      <c r="P470" s="116">
        <v>519.5</v>
      </c>
      <c r="Q470" s="116">
        <v>1036.55</v>
      </c>
      <c r="R470">
        <v>264534</v>
      </c>
    </row>
    <row r="471" spans="1:18" x14ac:dyDescent="0.25">
      <c r="A471" s="170">
        <v>42697</v>
      </c>
      <c r="B471" s="116">
        <v>548.5</v>
      </c>
      <c r="C471" s="116">
        <v>544.57500000000005</v>
      </c>
      <c r="D471" s="116">
        <v>516</v>
      </c>
      <c r="E471" s="116">
        <v>523.5</v>
      </c>
      <c r="F471" s="116">
        <v>1089.1500000000001</v>
      </c>
      <c r="G471">
        <v>116144</v>
      </c>
      <c r="H471" s="116"/>
      <c r="I471" s="116"/>
      <c r="L471" s="170">
        <v>42697</v>
      </c>
      <c r="M471" s="116">
        <v>544.125</v>
      </c>
      <c r="N471" s="116">
        <v>547.29999999999995</v>
      </c>
      <c r="O471" s="116">
        <v>515.52499999999998</v>
      </c>
      <c r="P471" s="116">
        <v>522.85</v>
      </c>
      <c r="Q471" s="116">
        <v>1088.25</v>
      </c>
      <c r="R471">
        <v>430323</v>
      </c>
    </row>
    <row r="472" spans="1:18" x14ac:dyDescent="0.25">
      <c r="A472" s="170">
        <v>42698</v>
      </c>
      <c r="B472" s="116">
        <v>594.5</v>
      </c>
      <c r="C472" s="116">
        <v>578.45000000000005</v>
      </c>
      <c r="D472" s="116">
        <v>538.65</v>
      </c>
      <c r="E472" s="116">
        <v>549</v>
      </c>
      <c r="F472" s="116">
        <v>1156.9000000000001</v>
      </c>
      <c r="G472">
        <v>195490</v>
      </c>
      <c r="H472" s="116"/>
      <c r="I472" s="116"/>
      <c r="L472" s="170">
        <v>42698</v>
      </c>
      <c r="M472" s="116">
        <v>579</v>
      </c>
      <c r="N472" s="116">
        <v>598.5</v>
      </c>
      <c r="O472" s="116">
        <v>537.52499999999998</v>
      </c>
      <c r="P472" s="116">
        <v>543.5</v>
      </c>
      <c r="Q472" s="116">
        <v>1158</v>
      </c>
      <c r="R472">
        <v>1032286</v>
      </c>
    </row>
    <row r="473" spans="1:18" x14ac:dyDescent="0.25">
      <c r="A473" s="170">
        <v>42699</v>
      </c>
      <c r="B473" s="116">
        <v>634.5</v>
      </c>
      <c r="C473" s="116">
        <v>621.42499999999995</v>
      </c>
      <c r="D473" s="116">
        <v>573.02499999999998</v>
      </c>
      <c r="E473" s="116">
        <v>579</v>
      </c>
      <c r="F473" s="116">
        <v>1242.8499999999999</v>
      </c>
      <c r="G473">
        <v>349694</v>
      </c>
      <c r="H473" s="116"/>
      <c r="I473" s="116"/>
      <c r="L473" s="170">
        <v>42699</v>
      </c>
      <c r="M473" s="116">
        <v>621.625</v>
      </c>
      <c r="N473" s="116">
        <v>635</v>
      </c>
      <c r="O473" s="116">
        <v>570.625</v>
      </c>
      <c r="P473" s="116">
        <v>575.5</v>
      </c>
      <c r="Q473" s="116">
        <v>1243.25</v>
      </c>
      <c r="R473">
        <v>2198098</v>
      </c>
    </row>
    <row r="474" spans="1:18" x14ac:dyDescent="0.25">
      <c r="A474" s="170">
        <v>42702</v>
      </c>
      <c r="B474" s="116">
        <v>647</v>
      </c>
      <c r="C474" s="116">
        <v>629.07500000000005</v>
      </c>
      <c r="D474" s="116">
        <v>620.5</v>
      </c>
      <c r="E474" s="116">
        <v>622.35</v>
      </c>
      <c r="F474" s="116">
        <v>1258.1500000000001</v>
      </c>
      <c r="G474">
        <v>212718</v>
      </c>
      <c r="H474" s="116"/>
      <c r="I474" s="116"/>
      <c r="L474" s="170">
        <v>42702</v>
      </c>
      <c r="M474" s="116">
        <v>629.67499999999995</v>
      </c>
      <c r="N474" s="116">
        <v>647.47500000000002</v>
      </c>
      <c r="O474" s="116">
        <v>620</v>
      </c>
      <c r="P474" s="116">
        <v>621.4</v>
      </c>
      <c r="Q474" s="116">
        <v>1259.3499999999999</v>
      </c>
      <c r="R474">
        <v>1066522</v>
      </c>
    </row>
    <row r="475" spans="1:18" x14ac:dyDescent="0.25">
      <c r="A475" s="170">
        <v>42703</v>
      </c>
      <c r="B475" s="116">
        <v>639.42499999999995</v>
      </c>
      <c r="C475" s="116">
        <v>626.45000000000005</v>
      </c>
      <c r="D475" s="116">
        <v>620.52499999999998</v>
      </c>
      <c r="E475" s="116">
        <v>636.75</v>
      </c>
      <c r="F475" s="116">
        <v>1252.9000000000001</v>
      </c>
      <c r="G475">
        <v>84461</v>
      </c>
      <c r="H475" s="116"/>
      <c r="I475" s="116"/>
      <c r="L475" s="170">
        <v>42703</v>
      </c>
      <c r="M475" s="116">
        <v>627.1</v>
      </c>
      <c r="N475" s="116">
        <v>638.35</v>
      </c>
      <c r="O475" s="116">
        <v>620.07500000000005</v>
      </c>
      <c r="P475" s="116">
        <v>633</v>
      </c>
      <c r="Q475" s="116">
        <v>1254.2</v>
      </c>
      <c r="R475">
        <v>460367</v>
      </c>
    </row>
    <row r="476" spans="1:18" x14ac:dyDescent="0.25">
      <c r="A476" s="170">
        <v>42704</v>
      </c>
      <c r="B476" s="116">
        <v>644.75</v>
      </c>
      <c r="C476" s="116">
        <v>634.29999999999995</v>
      </c>
      <c r="D476" s="116">
        <v>627.5</v>
      </c>
      <c r="E476" s="116">
        <v>632.20000000000005</v>
      </c>
      <c r="F476" s="116">
        <v>1268.5999999999999</v>
      </c>
      <c r="G476">
        <v>61074</v>
      </c>
      <c r="H476" s="116"/>
      <c r="I476" s="116"/>
      <c r="L476" s="170">
        <v>42704</v>
      </c>
      <c r="M476" s="116">
        <v>634.5</v>
      </c>
      <c r="N476" s="116">
        <v>645</v>
      </c>
      <c r="O476" s="116">
        <v>627</v>
      </c>
      <c r="P476" s="116">
        <v>627</v>
      </c>
      <c r="Q476" s="116">
        <v>1269</v>
      </c>
      <c r="R476">
        <v>498341</v>
      </c>
    </row>
    <row r="477" spans="1:18" x14ac:dyDescent="0.25">
      <c r="A477" s="170">
        <v>42705</v>
      </c>
      <c r="B477" s="116">
        <v>657.45</v>
      </c>
      <c r="C477" s="116">
        <v>650.20000000000005</v>
      </c>
      <c r="D477" s="116">
        <v>632</v>
      </c>
      <c r="E477" s="116">
        <v>635</v>
      </c>
      <c r="F477" s="116">
        <v>1300.4000000000001</v>
      </c>
      <c r="G477">
        <v>165384</v>
      </c>
      <c r="H477" s="116"/>
      <c r="I477" s="116"/>
      <c r="L477" s="170">
        <v>42705</v>
      </c>
      <c r="M477" s="116">
        <v>650.72500000000002</v>
      </c>
      <c r="N477" s="116">
        <v>656.47500000000002</v>
      </c>
      <c r="O477" s="116">
        <v>631.54999999999995</v>
      </c>
      <c r="P477" s="116">
        <v>639.5</v>
      </c>
      <c r="Q477" s="116">
        <v>1301.45</v>
      </c>
      <c r="R477">
        <v>837261</v>
      </c>
    </row>
    <row r="478" spans="1:18" x14ac:dyDescent="0.25">
      <c r="A478" s="170">
        <v>42706</v>
      </c>
      <c r="B478" s="116">
        <v>663.75</v>
      </c>
      <c r="C478" s="116">
        <v>657.1</v>
      </c>
      <c r="D478" s="116">
        <v>648.5</v>
      </c>
      <c r="E478" s="116">
        <v>648.5</v>
      </c>
      <c r="F478" s="116">
        <v>1314.2</v>
      </c>
      <c r="G478">
        <v>152713</v>
      </c>
      <c r="H478" s="116"/>
      <c r="I478" s="116"/>
      <c r="L478" s="170">
        <v>42706</v>
      </c>
      <c r="M478" s="116">
        <v>656.9</v>
      </c>
      <c r="N478" s="116">
        <v>664</v>
      </c>
      <c r="O478" s="116">
        <v>648.29999999999995</v>
      </c>
      <c r="P478" s="116">
        <v>652.5</v>
      </c>
      <c r="Q478" s="116">
        <v>1313.8</v>
      </c>
      <c r="R478">
        <v>852363</v>
      </c>
    </row>
    <row r="479" spans="1:18" x14ac:dyDescent="0.25">
      <c r="A479" s="170">
        <v>42709</v>
      </c>
      <c r="B479" s="116">
        <v>677.2</v>
      </c>
      <c r="C479" s="116">
        <v>671.8</v>
      </c>
      <c r="D479" s="116">
        <v>659.4</v>
      </c>
      <c r="E479" s="116">
        <v>663.5</v>
      </c>
      <c r="F479" s="116">
        <v>1343.6</v>
      </c>
      <c r="G479">
        <v>104869</v>
      </c>
      <c r="H479" s="116"/>
      <c r="I479" s="116"/>
      <c r="L479" s="170">
        <v>42709</v>
      </c>
      <c r="M479" s="116">
        <v>673.375</v>
      </c>
      <c r="N479" s="116">
        <v>678.1</v>
      </c>
      <c r="O479" s="116">
        <v>659.5</v>
      </c>
      <c r="P479" s="116">
        <v>659.6</v>
      </c>
      <c r="Q479" s="116">
        <v>1346.75</v>
      </c>
      <c r="R479">
        <v>790736</v>
      </c>
    </row>
    <row r="480" spans="1:18" x14ac:dyDescent="0.25">
      <c r="A480" s="170">
        <v>42710</v>
      </c>
      <c r="B480" s="116">
        <v>697.15</v>
      </c>
      <c r="C480" s="116">
        <v>689.9</v>
      </c>
      <c r="D480" s="116">
        <v>678</v>
      </c>
      <c r="E480" s="116">
        <v>678</v>
      </c>
      <c r="F480" s="116">
        <v>1379.8</v>
      </c>
      <c r="G480">
        <v>128337</v>
      </c>
      <c r="H480" s="116"/>
      <c r="I480" s="116"/>
      <c r="L480" s="170">
        <v>42710</v>
      </c>
      <c r="M480" s="116">
        <v>690.3</v>
      </c>
      <c r="N480" s="116">
        <v>697</v>
      </c>
      <c r="O480" s="116">
        <v>678</v>
      </c>
      <c r="P480" s="116">
        <v>679</v>
      </c>
      <c r="Q480" s="116">
        <v>1380.6</v>
      </c>
      <c r="R480">
        <v>814101</v>
      </c>
    </row>
    <row r="481" spans="1:18" x14ac:dyDescent="0.25">
      <c r="A481" s="170">
        <v>42711</v>
      </c>
      <c r="B481" s="116">
        <v>702</v>
      </c>
      <c r="C481" s="116">
        <v>689.375</v>
      </c>
      <c r="D481" s="116">
        <v>683</v>
      </c>
      <c r="E481" s="116">
        <v>696.5</v>
      </c>
      <c r="F481" s="116">
        <v>1378.75</v>
      </c>
      <c r="G481">
        <v>91347</v>
      </c>
      <c r="H481" s="116"/>
      <c r="I481" s="116"/>
      <c r="L481" s="170">
        <v>42711</v>
      </c>
      <c r="M481" s="116">
        <v>689.97500000000002</v>
      </c>
      <c r="N481" s="116">
        <v>702.125</v>
      </c>
      <c r="O481" s="116">
        <v>682.875</v>
      </c>
      <c r="P481" s="116">
        <v>697.45</v>
      </c>
      <c r="Q481" s="116">
        <v>1379.95</v>
      </c>
      <c r="R481">
        <v>666738</v>
      </c>
    </row>
    <row r="482" spans="1:18" x14ac:dyDescent="0.25">
      <c r="A482" s="170">
        <v>42712</v>
      </c>
      <c r="B482" s="116">
        <v>702.5</v>
      </c>
      <c r="C482" s="116">
        <v>693.72500000000002</v>
      </c>
      <c r="D482" s="116">
        <v>687.625</v>
      </c>
      <c r="E482" s="116">
        <v>697.52499999999998</v>
      </c>
      <c r="F482" s="116">
        <v>1387.45</v>
      </c>
      <c r="G482">
        <v>64706</v>
      </c>
      <c r="H482" s="116"/>
      <c r="I482" s="116"/>
      <c r="L482" s="170">
        <v>42712</v>
      </c>
      <c r="M482" s="116">
        <v>694.67499999999995</v>
      </c>
      <c r="N482" s="116">
        <v>702.5</v>
      </c>
      <c r="O482" s="116">
        <v>688.07500000000005</v>
      </c>
      <c r="P482" s="116">
        <v>699.45</v>
      </c>
      <c r="Q482" s="116">
        <v>1389.35</v>
      </c>
      <c r="R482">
        <v>397500</v>
      </c>
    </row>
    <row r="483" spans="1:18" x14ac:dyDescent="0.25">
      <c r="A483" s="170">
        <v>42713</v>
      </c>
      <c r="B483" s="116">
        <v>718.07500000000005</v>
      </c>
      <c r="C483" s="116">
        <v>712.65</v>
      </c>
      <c r="D483" s="116">
        <v>689</v>
      </c>
      <c r="E483" s="116">
        <v>697.5</v>
      </c>
      <c r="F483" s="116">
        <v>1425.3</v>
      </c>
      <c r="G483">
        <v>137466</v>
      </c>
      <c r="H483" s="116"/>
      <c r="I483" s="116"/>
      <c r="L483" s="170">
        <v>42713</v>
      </c>
      <c r="M483" s="116">
        <v>712.67499999999995</v>
      </c>
      <c r="N483" s="116">
        <v>718.45</v>
      </c>
      <c r="O483" s="116">
        <v>689</v>
      </c>
      <c r="P483" s="116">
        <v>698</v>
      </c>
      <c r="Q483" s="116">
        <v>1425.35</v>
      </c>
      <c r="R483">
        <v>794633</v>
      </c>
    </row>
    <row r="484" spans="1:18" x14ac:dyDescent="0.25">
      <c r="A484" s="170">
        <v>42716</v>
      </c>
      <c r="B484" s="116">
        <v>746.45</v>
      </c>
      <c r="C484" s="116">
        <v>741.92499999999995</v>
      </c>
      <c r="D484" s="116">
        <v>712.5</v>
      </c>
      <c r="E484" s="116">
        <v>715.5</v>
      </c>
      <c r="F484" s="116">
        <v>1483.85</v>
      </c>
      <c r="G484">
        <v>245598</v>
      </c>
      <c r="H484" s="116"/>
      <c r="I484" s="116"/>
      <c r="L484" s="170">
        <v>42716</v>
      </c>
      <c r="M484" s="116">
        <v>741.75</v>
      </c>
      <c r="N484" s="116">
        <v>747.5</v>
      </c>
      <c r="O484" s="116">
        <v>712.52499999999998</v>
      </c>
      <c r="P484" s="116">
        <v>717.5</v>
      </c>
      <c r="Q484" s="116">
        <v>1483.5</v>
      </c>
      <c r="R484">
        <v>1344127</v>
      </c>
    </row>
    <row r="485" spans="1:18" x14ac:dyDescent="0.25">
      <c r="A485" s="170">
        <v>42717</v>
      </c>
      <c r="B485" s="116">
        <v>749.4</v>
      </c>
      <c r="C485" s="116">
        <v>741.92499999999995</v>
      </c>
      <c r="D485" s="116">
        <v>732.625</v>
      </c>
      <c r="E485" s="116">
        <v>743.8</v>
      </c>
      <c r="F485" s="116">
        <v>1483.85</v>
      </c>
      <c r="G485">
        <v>117069</v>
      </c>
      <c r="H485" s="116"/>
      <c r="I485" s="116"/>
      <c r="L485" s="170">
        <v>42717</v>
      </c>
      <c r="M485" s="116">
        <v>743.7</v>
      </c>
      <c r="N485" s="116">
        <v>749</v>
      </c>
      <c r="O485" s="116">
        <v>732.75</v>
      </c>
      <c r="P485" s="116">
        <v>742</v>
      </c>
      <c r="Q485" s="116">
        <v>1487.4</v>
      </c>
      <c r="R485">
        <v>727349</v>
      </c>
    </row>
    <row r="486" spans="1:18" x14ac:dyDescent="0.25">
      <c r="A486" s="170">
        <v>42718</v>
      </c>
      <c r="B486" s="116">
        <v>745</v>
      </c>
      <c r="C486" s="116">
        <v>727.35</v>
      </c>
      <c r="D486" s="116">
        <v>725.05</v>
      </c>
      <c r="E486" s="116">
        <v>745</v>
      </c>
      <c r="F486" s="116">
        <v>1454.7</v>
      </c>
      <c r="G486">
        <v>46128</v>
      </c>
      <c r="H486" s="116"/>
      <c r="I486" s="116"/>
      <c r="L486" s="170">
        <v>42718</v>
      </c>
      <c r="M486" s="116">
        <v>727.82500000000005</v>
      </c>
      <c r="N486" s="116">
        <v>744</v>
      </c>
      <c r="O486" s="116">
        <v>725.1</v>
      </c>
      <c r="P486" s="116">
        <v>744</v>
      </c>
      <c r="Q486" s="116">
        <v>1455.65</v>
      </c>
      <c r="R486">
        <v>312417</v>
      </c>
    </row>
    <row r="487" spans="1:18" x14ac:dyDescent="0.25">
      <c r="A487" s="170">
        <v>42719</v>
      </c>
      <c r="B487" s="116">
        <v>744</v>
      </c>
      <c r="C487" s="116">
        <v>728.85</v>
      </c>
      <c r="D487" s="116">
        <v>719</v>
      </c>
      <c r="E487" s="116">
        <v>720</v>
      </c>
      <c r="F487" s="116">
        <v>1457.7</v>
      </c>
      <c r="G487">
        <v>58511</v>
      </c>
      <c r="H487" s="116"/>
      <c r="I487" s="116"/>
      <c r="L487" s="170">
        <v>42719</v>
      </c>
      <c r="M487" s="116">
        <v>728.65</v>
      </c>
      <c r="N487" s="116">
        <v>743.47500000000002</v>
      </c>
      <c r="O487" s="116">
        <v>719.85</v>
      </c>
      <c r="P487" s="116">
        <v>725</v>
      </c>
      <c r="Q487" s="116">
        <v>1457.3</v>
      </c>
      <c r="R487">
        <v>344009</v>
      </c>
    </row>
    <row r="488" spans="1:18" x14ac:dyDescent="0.25">
      <c r="A488" s="170">
        <v>42720</v>
      </c>
      <c r="B488" s="116">
        <v>735.97500000000002</v>
      </c>
      <c r="C488" s="116">
        <v>723</v>
      </c>
      <c r="D488" s="116">
        <v>721.02499999999998</v>
      </c>
      <c r="E488" s="116">
        <v>730</v>
      </c>
      <c r="F488" s="116">
        <v>1446</v>
      </c>
      <c r="G488">
        <v>39962</v>
      </c>
      <c r="H488" s="116"/>
      <c r="I488" s="116"/>
      <c r="L488" s="170">
        <v>42720</v>
      </c>
      <c r="M488" s="116">
        <v>723.07500000000005</v>
      </c>
      <c r="N488" s="116">
        <v>736</v>
      </c>
      <c r="O488" s="116">
        <v>721</v>
      </c>
      <c r="P488" s="116">
        <v>731.35</v>
      </c>
      <c r="Q488" s="116">
        <v>1446.15</v>
      </c>
      <c r="R488">
        <v>221309</v>
      </c>
    </row>
    <row r="489" spans="1:18" x14ac:dyDescent="0.25">
      <c r="A489" s="170">
        <v>42723</v>
      </c>
      <c r="B489" s="116">
        <v>726.97500000000002</v>
      </c>
      <c r="C489" s="116">
        <v>707.07500000000005</v>
      </c>
      <c r="D489" s="116">
        <v>703.97500000000002</v>
      </c>
      <c r="E489" s="116">
        <v>726.5</v>
      </c>
      <c r="F489" s="116">
        <v>1414.15</v>
      </c>
      <c r="G489">
        <v>37254</v>
      </c>
      <c r="H489" s="116"/>
      <c r="I489" s="116"/>
      <c r="L489" s="170">
        <v>42723</v>
      </c>
      <c r="M489" s="116">
        <v>707.22500000000002</v>
      </c>
      <c r="N489" s="116">
        <v>726.5</v>
      </c>
      <c r="O489" s="116">
        <v>703.5</v>
      </c>
      <c r="P489" s="116">
        <v>723</v>
      </c>
      <c r="Q489" s="116">
        <v>1414.45</v>
      </c>
      <c r="R489">
        <v>297864</v>
      </c>
    </row>
    <row r="490" spans="1:18" x14ac:dyDescent="0.25">
      <c r="A490" s="170">
        <v>42724</v>
      </c>
      <c r="B490" s="116">
        <v>724.125</v>
      </c>
      <c r="C490" s="116">
        <v>711.42499999999995</v>
      </c>
      <c r="D490" s="116">
        <v>707.77499999999998</v>
      </c>
      <c r="E490" s="116">
        <v>710.35</v>
      </c>
      <c r="F490" s="116">
        <v>1422.85</v>
      </c>
      <c r="G490">
        <v>52835</v>
      </c>
      <c r="H490" s="116"/>
      <c r="I490" s="116"/>
      <c r="L490" s="170">
        <v>42724</v>
      </c>
      <c r="M490" s="116">
        <v>712.15</v>
      </c>
      <c r="N490" s="116">
        <v>723.85</v>
      </c>
      <c r="O490" s="116">
        <v>707.5</v>
      </c>
      <c r="P490" s="116">
        <v>708.625</v>
      </c>
      <c r="Q490" s="116">
        <v>1424.3</v>
      </c>
      <c r="R490">
        <v>444687</v>
      </c>
    </row>
    <row r="491" spans="1:18" x14ac:dyDescent="0.25">
      <c r="A491" s="170">
        <v>42725</v>
      </c>
      <c r="B491" s="116">
        <v>717.72500000000002</v>
      </c>
      <c r="C491" s="116">
        <v>704.42499999999995</v>
      </c>
      <c r="D491" s="116">
        <v>701.52499999999998</v>
      </c>
      <c r="E491" s="116">
        <v>715.875</v>
      </c>
      <c r="F491" s="116">
        <v>1408.85</v>
      </c>
      <c r="G491">
        <v>31647</v>
      </c>
      <c r="H491" s="116"/>
      <c r="I491" s="116"/>
      <c r="L491" s="170">
        <v>42725</v>
      </c>
      <c r="M491" s="116">
        <v>704.2</v>
      </c>
      <c r="N491" s="116">
        <v>717.375</v>
      </c>
      <c r="O491" s="116">
        <v>701.1</v>
      </c>
      <c r="P491" s="116">
        <v>717</v>
      </c>
      <c r="Q491" s="116">
        <v>1408.4</v>
      </c>
      <c r="R491">
        <v>203010</v>
      </c>
    </row>
    <row r="492" spans="1:18" x14ac:dyDescent="0.25">
      <c r="A492" s="170">
        <v>42726</v>
      </c>
      <c r="B492" s="116">
        <v>699.4</v>
      </c>
      <c r="C492" s="116">
        <v>679.5</v>
      </c>
      <c r="D492" s="116">
        <v>676.625</v>
      </c>
      <c r="E492" s="116">
        <v>698.625</v>
      </c>
      <c r="F492" s="116">
        <v>1359</v>
      </c>
      <c r="G492">
        <v>67339</v>
      </c>
      <c r="H492" s="116"/>
      <c r="I492" s="116"/>
      <c r="L492" s="170">
        <v>42726</v>
      </c>
      <c r="M492" s="116">
        <v>679.17499999999995</v>
      </c>
      <c r="N492" s="116">
        <v>703</v>
      </c>
      <c r="O492" s="116">
        <v>675.625</v>
      </c>
      <c r="P492" s="116">
        <v>703</v>
      </c>
      <c r="Q492" s="116">
        <v>1358.35</v>
      </c>
      <c r="R492">
        <v>476263</v>
      </c>
    </row>
    <row r="493" spans="1:18" x14ac:dyDescent="0.25">
      <c r="A493" s="170">
        <v>42727</v>
      </c>
      <c r="B493" s="116">
        <v>677.5</v>
      </c>
      <c r="C493" s="116">
        <v>662.05</v>
      </c>
      <c r="D493" s="116">
        <v>655.5</v>
      </c>
      <c r="E493" s="116">
        <v>677.5</v>
      </c>
      <c r="F493" s="116">
        <v>1324.1</v>
      </c>
      <c r="G493">
        <v>80084</v>
      </c>
      <c r="H493" s="116"/>
      <c r="I493" s="116"/>
      <c r="L493" s="170">
        <v>42727</v>
      </c>
      <c r="M493" s="116">
        <v>661.67499999999995</v>
      </c>
      <c r="N493" s="116">
        <v>675.97500000000002</v>
      </c>
      <c r="O493" s="116">
        <v>655</v>
      </c>
      <c r="P493" s="116">
        <v>675.625</v>
      </c>
      <c r="Q493" s="116">
        <v>1323.35</v>
      </c>
      <c r="R493">
        <v>577251</v>
      </c>
    </row>
    <row r="494" spans="1:18" x14ac:dyDescent="0.25">
      <c r="A494" s="170">
        <v>42730</v>
      </c>
      <c r="B494" s="116">
        <v>657.22500000000002</v>
      </c>
      <c r="C494" s="116">
        <v>647.9</v>
      </c>
      <c r="D494" s="116">
        <v>643.45000000000005</v>
      </c>
      <c r="E494" s="116">
        <v>656</v>
      </c>
      <c r="F494" s="116">
        <v>1295.8</v>
      </c>
      <c r="G494">
        <v>65447</v>
      </c>
      <c r="H494" s="116"/>
      <c r="I494" s="116"/>
      <c r="L494" s="170">
        <v>42730</v>
      </c>
      <c r="M494" s="116">
        <v>648.42499999999995</v>
      </c>
      <c r="N494" s="116">
        <v>657.5</v>
      </c>
      <c r="O494" s="116">
        <v>643.27499999999998</v>
      </c>
      <c r="P494" s="116">
        <v>657.125</v>
      </c>
      <c r="Q494" s="116">
        <v>1296.8499999999999</v>
      </c>
      <c r="R494">
        <v>239388</v>
      </c>
    </row>
    <row r="495" spans="1:18" x14ac:dyDescent="0.25">
      <c r="A495" s="170">
        <v>42731</v>
      </c>
      <c r="B495" s="116">
        <v>666.97500000000002</v>
      </c>
      <c r="C495" s="116">
        <v>664.32500000000005</v>
      </c>
      <c r="D495" s="116">
        <v>644.5</v>
      </c>
      <c r="E495" s="116">
        <v>650</v>
      </c>
      <c r="F495" s="116">
        <v>1328.65</v>
      </c>
      <c r="G495">
        <v>63304</v>
      </c>
      <c r="H495" s="116"/>
      <c r="I495" s="116"/>
      <c r="L495" s="170">
        <v>42731</v>
      </c>
      <c r="M495" s="116">
        <v>665.05</v>
      </c>
      <c r="N495" s="116">
        <v>666.5</v>
      </c>
      <c r="O495" s="116">
        <v>643.9</v>
      </c>
      <c r="P495" s="116">
        <v>650.5</v>
      </c>
      <c r="Q495" s="116">
        <v>1330.1</v>
      </c>
      <c r="R495">
        <v>488891</v>
      </c>
    </row>
    <row r="496" spans="1:18" x14ac:dyDescent="0.25">
      <c r="A496" s="170">
        <v>42732</v>
      </c>
      <c r="B496" s="116">
        <v>686.25</v>
      </c>
      <c r="C496" s="116">
        <v>675.77499999999998</v>
      </c>
      <c r="D496" s="116">
        <v>667.92499999999995</v>
      </c>
      <c r="E496" s="116">
        <v>671</v>
      </c>
      <c r="F496" s="116">
        <v>1351.55</v>
      </c>
      <c r="G496">
        <v>70597</v>
      </c>
      <c r="H496" s="116"/>
      <c r="I496" s="116"/>
      <c r="L496" s="170">
        <v>42732</v>
      </c>
      <c r="M496" s="116">
        <v>676.15</v>
      </c>
      <c r="N496" s="116">
        <v>686.9</v>
      </c>
      <c r="O496" s="116">
        <v>666.25</v>
      </c>
      <c r="P496" s="116">
        <v>666.25</v>
      </c>
      <c r="Q496" s="116">
        <v>1352.3</v>
      </c>
      <c r="R496">
        <v>472787</v>
      </c>
    </row>
    <row r="497" spans="1:18" x14ac:dyDescent="0.25">
      <c r="A497" s="170">
        <v>42733</v>
      </c>
      <c r="B497" s="116">
        <v>693</v>
      </c>
      <c r="C497" s="116">
        <v>689.77499999999998</v>
      </c>
      <c r="D497" s="116">
        <v>677.75</v>
      </c>
      <c r="E497" s="116">
        <v>680</v>
      </c>
      <c r="F497" s="116">
        <v>1379.55</v>
      </c>
      <c r="G497">
        <v>62176</v>
      </c>
      <c r="H497" s="116"/>
      <c r="I497" s="116"/>
      <c r="L497" s="170">
        <v>42733</v>
      </c>
      <c r="M497" s="116">
        <v>690.22500000000002</v>
      </c>
      <c r="N497" s="116">
        <v>694</v>
      </c>
      <c r="O497" s="116">
        <v>677.75</v>
      </c>
      <c r="P497" s="116">
        <v>680</v>
      </c>
      <c r="Q497" s="116">
        <v>1380.45</v>
      </c>
      <c r="R497">
        <v>525737</v>
      </c>
    </row>
    <row r="498" spans="1:18" x14ac:dyDescent="0.25">
      <c r="A498" s="170">
        <v>42734</v>
      </c>
      <c r="B498" s="116">
        <v>709.32500000000005</v>
      </c>
      <c r="C498" s="116">
        <v>701.27499999999998</v>
      </c>
      <c r="D498" s="116">
        <v>693</v>
      </c>
      <c r="E498" s="116">
        <v>693</v>
      </c>
      <c r="F498" s="116">
        <v>1402.55</v>
      </c>
      <c r="G498">
        <v>66573</v>
      </c>
      <c r="H498" s="116"/>
      <c r="I498" s="116"/>
      <c r="L498" s="170">
        <v>42734</v>
      </c>
      <c r="M498" s="116">
        <v>702.6</v>
      </c>
      <c r="N498" s="116">
        <v>709.5</v>
      </c>
      <c r="O498" s="116">
        <v>691.5</v>
      </c>
      <c r="P498" s="116">
        <v>695.5</v>
      </c>
      <c r="Q498" s="116">
        <v>1405.2</v>
      </c>
      <c r="R498">
        <v>405098</v>
      </c>
    </row>
    <row r="499" spans="1:18" x14ac:dyDescent="0.25">
      <c r="A499" s="170">
        <v>42737</v>
      </c>
      <c r="B499" s="116">
        <v>709.97500000000002</v>
      </c>
      <c r="C499" s="116">
        <v>705.5</v>
      </c>
      <c r="D499" s="116">
        <v>696.27499999999998</v>
      </c>
      <c r="E499" s="116">
        <v>704.22500000000002</v>
      </c>
      <c r="F499" s="116">
        <v>1411</v>
      </c>
      <c r="G499">
        <v>47139</v>
      </c>
      <c r="H499" s="116"/>
      <c r="I499" s="116"/>
      <c r="L499" s="170">
        <v>42737</v>
      </c>
      <c r="M499" s="116">
        <v>706.375</v>
      </c>
      <c r="N499" s="116">
        <v>710.5</v>
      </c>
      <c r="O499" s="116">
        <v>695.77499999999998</v>
      </c>
      <c r="P499" s="116">
        <v>703.45</v>
      </c>
      <c r="Q499" s="116">
        <v>1412.75</v>
      </c>
      <c r="R499">
        <v>255100</v>
      </c>
    </row>
    <row r="500" spans="1:18" x14ac:dyDescent="0.25">
      <c r="A500" s="170">
        <v>42738</v>
      </c>
      <c r="B500" s="116">
        <v>710.82500000000005</v>
      </c>
      <c r="C500" s="116">
        <v>700.95</v>
      </c>
      <c r="D500" s="116">
        <v>698.5</v>
      </c>
      <c r="E500" s="116">
        <v>706.02499999999998</v>
      </c>
      <c r="F500" s="116">
        <v>1401.9</v>
      </c>
      <c r="G500">
        <v>42044</v>
      </c>
      <c r="H500" s="116"/>
      <c r="I500" s="116"/>
      <c r="L500" s="170">
        <v>42738</v>
      </c>
      <c r="M500" s="116">
        <v>701.17499999999995</v>
      </c>
      <c r="N500" s="116">
        <v>710.65</v>
      </c>
      <c r="O500" s="116">
        <v>697.85</v>
      </c>
      <c r="P500" s="116">
        <v>708.45</v>
      </c>
      <c r="Q500" s="116">
        <v>1402.35</v>
      </c>
      <c r="R500">
        <v>270284</v>
      </c>
    </row>
    <row r="501" spans="1:18" x14ac:dyDescent="0.25">
      <c r="A501" s="170">
        <v>42739</v>
      </c>
      <c r="B501" s="116">
        <v>720.5</v>
      </c>
      <c r="C501" s="116">
        <v>709.52499999999998</v>
      </c>
      <c r="D501" s="116">
        <v>702.5</v>
      </c>
      <c r="E501" s="116">
        <v>702.5</v>
      </c>
      <c r="F501" s="116">
        <v>1419.05</v>
      </c>
      <c r="G501">
        <v>82216</v>
      </c>
      <c r="H501" s="116"/>
      <c r="I501" s="116"/>
      <c r="L501" s="170">
        <v>42739</v>
      </c>
      <c r="M501" s="116">
        <v>709.65</v>
      </c>
      <c r="N501" s="116">
        <v>720.75</v>
      </c>
      <c r="O501" s="116">
        <v>701.95</v>
      </c>
      <c r="P501" s="116">
        <v>701.95</v>
      </c>
      <c r="Q501" s="116">
        <v>1419.3</v>
      </c>
      <c r="R501">
        <v>481470</v>
      </c>
    </row>
    <row r="502" spans="1:18" x14ac:dyDescent="0.25">
      <c r="A502" s="170">
        <v>42740</v>
      </c>
      <c r="B502" s="116">
        <v>730</v>
      </c>
      <c r="C502" s="116">
        <v>716.82500000000005</v>
      </c>
      <c r="D502" s="116">
        <v>713.55</v>
      </c>
      <c r="E502" s="116">
        <v>720</v>
      </c>
      <c r="F502" s="116">
        <v>1433.65</v>
      </c>
      <c r="G502">
        <v>76729</v>
      </c>
      <c r="H502" s="116"/>
      <c r="I502" s="116"/>
      <c r="L502" s="170">
        <v>42740</v>
      </c>
      <c r="M502" s="116">
        <v>716.55</v>
      </c>
      <c r="N502" s="116">
        <v>729.5</v>
      </c>
      <c r="O502" s="116">
        <v>712.5</v>
      </c>
      <c r="P502" s="116">
        <v>716.75</v>
      </c>
      <c r="Q502" s="116">
        <v>1433.1</v>
      </c>
      <c r="R502">
        <v>493169</v>
      </c>
    </row>
    <row r="503" spans="1:18" x14ac:dyDescent="0.25">
      <c r="A503" s="170">
        <v>42741</v>
      </c>
      <c r="B503" s="116">
        <v>719.97500000000002</v>
      </c>
      <c r="C503" s="116">
        <v>696.45</v>
      </c>
      <c r="D503" s="116">
        <v>692.625</v>
      </c>
      <c r="E503" s="116">
        <v>717</v>
      </c>
      <c r="F503" s="116">
        <v>1392.9</v>
      </c>
      <c r="G503">
        <v>86321</v>
      </c>
      <c r="H503" s="116"/>
      <c r="I503" s="116"/>
      <c r="L503" s="170">
        <v>42741</v>
      </c>
      <c r="M503" s="116">
        <v>696.07500000000005</v>
      </c>
      <c r="N503" s="116">
        <v>720.72500000000002</v>
      </c>
      <c r="O503" s="116">
        <v>692.5</v>
      </c>
      <c r="P503" s="116">
        <v>716.5</v>
      </c>
      <c r="Q503" s="116">
        <v>1392.15</v>
      </c>
      <c r="R503">
        <v>442704</v>
      </c>
    </row>
    <row r="504" spans="1:18" x14ac:dyDescent="0.25">
      <c r="A504" s="170">
        <v>42744</v>
      </c>
      <c r="B504" s="116">
        <v>699.5</v>
      </c>
      <c r="C504" s="116">
        <v>692.17499999999995</v>
      </c>
      <c r="D504" s="116">
        <v>686.02499999999998</v>
      </c>
      <c r="E504" s="116">
        <v>695</v>
      </c>
      <c r="F504" s="116">
        <v>1384.35</v>
      </c>
      <c r="G504">
        <v>49416</v>
      </c>
      <c r="H504" s="116"/>
      <c r="I504" s="116"/>
      <c r="L504" s="170">
        <v>42744</v>
      </c>
      <c r="M504" s="116">
        <v>693.95</v>
      </c>
      <c r="N504" s="116">
        <v>699.4</v>
      </c>
      <c r="O504" s="116">
        <v>686.1</v>
      </c>
      <c r="P504" s="116">
        <v>695.07500000000005</v>
      </c>
      <c r="Q504" s="116">
        <v>1387.9</v>
      </c>
      <c r="R504">
        <v>171888</v>
      </c>
    </row>
    <row r="505" spans="1:18" x14ac:dyDescent="0.25">
      <c r="A505" s="170">
        <v>42745</v>
      </c>
      <c r="B505" s="116">
        <v>712.9</v>
      </c>
      <c r="C505" s="116">
        <v>705.4</v>
      </c>
      <c r="D505" s="116">
        <v>700</v>
      </c>
      <c r="E505" s="116">
        <v>703.5</v>
      </c>
      <c r="F505" s="116">
        <v>1410.8</v>
      </c>
      <c r="G505">
        <v>52864</v>
      </c>
      <c r="H505" s="116"/>
      <c r="I505" s="116"/>
      <c r="L505" s="170">
        <v>42745</v>
      </c>
      <c r="M505" s="116">
        <v>705.52499999999998</v>
      </c>
      <c r="N505" s="116">
        <v>712.47500000000002</v>
      </c>
      <c r="O505" s="116">
        <v>698.52499999999998</v>
      </c>
      <c r="P505" s="116">
        <v>699.2</v>
      </c>
      <c r="Q505" s="116">
        <v>1411.05</v>
      </c>
      <c r="R505">
        <v>315854</v>
      </c>
    </row>
    <row r="506" spans="1:18" x14ac:dyDescent="0.25">
      <c r="A506" s="170">
        <v>42746</v>
      </c>
      <c r="B506" s="116">
        <v>709.72500000000002</v>
      </c>
      <c r="C506" s="116">
        <v>699.6</v>
      </c>
      <c r="D506" s="116">
        <v>695.3</v>
      </c>
      <c r="E506" s="116">
        <v>708.4</v>
      </c>
      <c r="F506" s="116">
        <v>1399.2</v>
      </c>
      <c r="G506">
        <v>41539</v>
      </c>
      <c r="H506" s="116"/>
      <c r="I506" s="116"/>
      <c r="L506" s="170">
        <v>42746</v>
      </c>
      <c r="M506" s="116">
        <v>699.65</v>
      </c>
      <c r="N506" s="116">
        <v>709.5</v>
      </c>
      <c r="O506" s="116">
        <v>695</v>
      </c>
      <c r="P506" s="116">
        <v>707.07500000000005</v>
      </c>
      <c r="Q506" s="116">
        <v>1399.3</v>
      </c>
      <c r="R506">
        <v>183280</v>
      </c>
    </row>
    <row r="507" spans="1:18" x14ac:dyDescent="0.25">
      <c r="A507" s="170">
        <v>42747</v>
      </c>
      <c r="B507" s="116">
        <v>710.65</v>
      </c>
      <c r="C507" s="116">
        <v>701.5</v>
      </c>
      <c r="D507" s="116">
        <v>697.5</v>
      </c>
      <c r="E507" s="116">
        <v>701</v>
      </c>
      <c r="F507" s="116">
        <v>1403</v>
      </c>
      <c r="G507">
        <v>41613</v>
      </c>
      <c r="H507" s="116"/>
      <c r="I507" s="116"/>
      <c r="L507" s="170">
        <v>42747</v>
      </c>
      <c r="M507" s="116">
        <v>702.72500000000002</v>
      </c>
      <c r="N507" s="116">
        <v>710.8</v>
      </c>
      <c r="O507" s="116">
        <v>697</v>
      </c>
      <c r="P507" s="116">
        <v>700</v>
      </c>
      <c r="Q507" s="116">
        <v>1405.45</v>
      </c>
      <c r="R507">
        <v>225144</v>
      </c>
    </row>
    <row r="508" spans="1:18" x14ac:dyDescent="0.25">
      <c r="A508" s="170">
        <v>42748</v>
      </c>
      <c r="B508" s="116">
        <v>717.77499999999998</v>
      </c>
      <c r="C508" s="116">
        <v>699.25</v>
      </c>
      <c r="D508" s="116">
        <v>695.42499999999995</v>
      </c>
      <c r="E508" s="116">
        <v>710</v>
      </c>
      <c r="F508" s="116">
        <v>1398.5</v>
      </c>
      <c r="G508">
        <v>70200</v>
      </c>
      <c r="H508" s="116"/>
      <c r="I508" s="116"/>
      <c r="L508" s="170">
        <v>42748</v>
      </c>
      <c r="M508" s="116">
        <v>699.85</v>
      </c>
      <c r="N508" s="116">
        <v>718.375</v>
      </c>
      <c r="O508" s="116">
        <v>694.55</v>
      </c>
      <c r="P508" s="116">
        <v>711</v>
      </c>
      <c r="Q508" s="116">
        <v>1399.7</v>
      </c>
      <c r="R508">
        <v>323161</v>
      </c>
    </row>
    <row r="509" spans="1:18" x14ac:dyDescent="0.25">
      <c r="A509" s="170">
        <v>42751</v>
      </c>
      <c r="B509" s="116">
        <v>710.22500000000002</v>
      </c>
      <c r="C509" s="116">
        <v>707.55</v>
      </c>
      <c r="D509" s="116">
        <v>691.67499999999995</v>
      </c>
      <c r="E509" s="116">
        <v>698.5</v>
      </c>
      <c r="F509" s="116">
        <v>1415.1</v>
      </c>
      <c r="G509">
        <v>49846</v>
      </c>
      <c r="H509" s="116"/>
      <c r="I509" s="116"/>
      <c r="L509" s="170">
        <v>42751</v>
      </c>
      <c r="M509" s="116">
        <v>707.47500000000002</v>
      </c>
      <c r="N509" s="116">
        <v>710.5</v>
      </c>
      <c r="O509" s="116">
        <v>690.02499999999998</v>
      </c>
      <c r="P509" s="116">
        <v>695</v>
      </c>
      <c r="Q509" s="116">
        <v>1414.95</v>
      </c>
      <c r="R509">
        <v>211437</v>
      </c>
    </row>
    <row r="510" spans="1:18" x14ac:dyDescent="0.25">
      <c r="A510" s="170">
        <v>42752</v>
      </c>
      <c r="B510" s="116">
        <v>722</v>
      </c>
      <c r="C510" s="116">
        <v>711.6</v>
      </c>
      <c r="D510" s="116">
        <v>705</v>
      </c>
      <c r="E510" s="116">
        <v>710.875</v>
      </c>
      <c r="F510" s="116">
        <v>1423.2</v>
      </c>
      <c r="G510">
        <v>70292</v>
      </c>
      <c r="H510" s="116"/>
      <c r="I510" s="116"/>
      <c r="L510" s="170">
        <v>42752</v>
      </c>
      <c r="M510" s="116">
        <v>711.55</v>
      </c>
      <c r="N510" s="116">
        <v>722</v>
      </c>
      <c r="O510" s="116">
        <v>706.77499999999998</v>
      </c>
      <c r="P510" s="116">
        <v>710</v>
      </c>
      <c r="Q510" s="116">
        <v>1423.1</v>
      </c>
      <c r="R510">
        <v>355727</v>
      </c>
    </row>
    <row r="511" spans="1:18" x14ac:dyDescent="0.25">
      <c r="A511" s="170">
        <v>42753</v>
      </c>
      <c r="B511" s="116">
        <v>760.9</v>
      </c>
      <c r="C511" s="116">
        <v>757.875</v>
      </c>
      <c r="D511" s="116">
        <v>721.55</v>
      </c>
      <c r="E511" s="116">
        <v>726.25</v>
      </c>
      <c r="F511" s="116">
        <v>1515.75</v>
      </c>
      <c r="G511">
        <v>447198</v>
      </c>
      <c r="H511" s="116"/>
      <c r="I511" s="116"/>
      <c r="L511" s="170">
        <v>42753</v>
      </c>
      <c r="M511" s="116">
        <v>757.47500000000002</v>
      </c>
      <c r="N511" s="116">
        <v>760.85</v>
      </c>
      <c r="O511" s="116">
        <v>721.05</v>
      </c>
      <c r="P511" s="116">
        <v>726.5</v>
      </c>
      <c r="Q511" s="116">
        <v>1514.95</v>
      </c>
      <c r="R511">
        <v>2465817</v>
      </c>
    </row>
    <row r="512" spans="1:18" x14ac:dyDescent="0.25">
      <c r="A512" s="170">
        <v>42754</v>
      </c>
      <c r="B512" s="116">
        <v>778.9</v>
      </c>
      <c r="C512" s="116">
        <v>760.82500000000005</v>
      </c>
      <c r="D512" s="116">
        <v>758.42499999999995</v>
      </c>
      <c r="E512" s="116">
        <v>765</v>
      </c>
      <c r="F512" s="116">
        <v>1521.65</v>
      </c>
      <c r="G512">
        <v>215354</v>
      </c>
      <c r="H512" s="116"/>
      <c r="I512" s="116"/>
      <c r="L512" s="170">
        <v>42754</v>
      </c>
      <c r="M512" s="116">
        <v>761.375</v>
      </c>
      <c r="N512" s="116">
        <v>777.5</v>
      </c>
      <c r="O512" s="116">
        <v>759.1</v>
      </c>
      <c r="P512" s="116">
        <v>762.8</v>
      </c>
      <c r="Q512" s="116">
        <v>1522.75</v>
      </c>
      <c r="R512">
        <v>1209881</v>
      </c>
    </row>
    <row r="513" spans="1:18" x14ac:dyDescent="0.25">
      <c r="A513" s="170">
        <v>42755</v>
      </c>
      <c r="B513" s="116">
        <v>762.625</v>
      </c>
      <c r="C513" s="116">
        <v>741.1</v>
      </c>
      <c r="D513" s="116">
        <v>734</v>
      </c>
      <c r="E513" s="116">
        <v>762.5</v>
      </c>
      <c r="F513" s="116">
        <v>1482.2</v>
      </c>
      <c r="G513">
        <v>113339</v>
      </c>
      <c r="H513" s="116"/>
      <c r="I513" s="116"/>
      <c r="L513" s="170">
        <v>42755</v>
      </c>
      <c r="M513" s="116">
        <v>741.22500000000002</v>
      </c>
      <c r="N513" s="116">
        <v>762.4</v>
      </c>
      <c r="O513" s="116">
        <v>733.65</v>
      </c>
      <c r="P513" s="116">
        <v>762.4</v>
      </c>
      <c r="Q513" s="116">
        <v>1482.45</v>
      </c>
      <c r="R513">
        <v>525015</v>
      </c>
    </row>
    <row r="514" spans="1:18" x14ac:dyDescent="0.25">
      <c r="A514" s="170">
        <v>42758</v>
      </c>
      <c r="B514" s="116">
        <v>750</v>
      </c>
      <c r="C514" s="116">
        <v>744.4</v>
      </c>
      <c r="D514" s="116">
        <v>728.625</v>
      </c>
      <c r="E514" s="116">
        <v>745</v>
      </c>
      <c r="F514" s="116">
        <v>1488.8</v>
      </c>
      <c r="G514">
        <v>75627</v>
      </c>
      <c r="H514" s="116"/>
      <c r="I514" s="116"/>
      <c r="L514" s="170">
        <v>42758</v>
      </c>
      <c r="M514" s="116">
        <v>744.47500000000002</v>
      </c>
      <c r="N514" s="116">
        <v>749.5</v>
      </c>
      <c r="O514" s="116">
        <v>728.4</v>
      </c>
      <c r="P514" s="116">
        <v>742.5</v>
      </c>
      <c r="Q514" s="116">
        <v>1488.95</v>
      </c>
      <c r="R514">
        <v>359741</v>
      </c>
    </row>
    <row r="515" spans="1:18" x14ac:dyDescent="0.25">
      <c r="A515" s="170">
        <v>42759</v>
      </c>
      <c r="B515" s="116">
        <v>758.5</v>
      </c>
      <c r="C515" s="116">
        <v>752.7</v>
      </c>
      <c r="D515" s="116">
        <v>743.05</v>
      </c>
      <c r="E515" s="116">
        <v>747.52499999999998</v>
      </c>
      <c r="F515" s="116">
        <v>1505.4</v>
      </c>
      <c r="G515">
        <v>43149</v>
      </c>
      <c r="H515" s="116"/>
      <c r="I515" s="116"/>
      <c r="L515" s="170">
        <v>42759</v>
      </c>
      <c r="M515" s="116">
        <v>751.57500000000005</v>
      </c>
      <c r="N515" s="116">
        <v>758</v>
      </c>
      <c r="O515" s="116">
        <v>742.5</v>
      </c>
      <c r="P515" s="116">
        <v>745.5</v>
      </c>
      <c r="Q515" s="116">
        <v>1503.15</v>
      </c>
      <c r="R515">
        <v>256019</v>
      </c>
    </row>
    <row r="516" spans="1:18" x14ac:dyDescent="0.25">
      <c r="A516" s="170">
        <v>42760</v>
      </c>
      <c r="B516" s="116">
        <v>766.75</v>
      </c>
      <c r="C516" s="116">
        <v>731.5</v>
      </c>
      <c r="D516" s="116">
        <v>727.1</v>
      </c>
      <c r="E516" s="116">
        <v>762.5</v>
      </c>
      <c r="F516" s="116">
        <v>1463</v>
      </c>
      <c r="G516">
        <v>220002</v>
      </c>
      <c r="H516" s="116"/>
      <c r="I516" s="116"/>
      <c r="L516" s="170">
        <v>42760</v>
      </c>
      <c r="M516" s="116">
        <v>732.375</v>
      </c>
      <c r="N516" s="116">
        <v>766.5</v>
      </c>
      <c r="O516" s="116">
        <v>728.8</v>
      </c>
      <c r="P516" s="116">
        <v>762.55</v>
      </c>
      <c r="Q516" s="116">
        <v>1464.75</v>
      </c>
      <c r="R516">
        <v>1123724</v>
      </c>
    </row>
    <row r="517" spans="1:18" x14ac:dyDescent="0.25">
      <c r="A517" s="170">
        <v>42762</v>
      </c>
      <c r="B517" s="116">
        <v>745.875</v>
      </c>
      <c r="C517" s="116">
        <v>735.7</v>
      </c>
      <c r="D517" s="116">
        <v>732</v>
      </c>
      <c r="E517" s="116">
        <v>733</v>
      </c>
      <c r="F517" s="116">
        <v>1471.4</v>
      </c>
      <c r="G517">
        <v>77480</v>
      </c>
      <c r="H517" s="116"/>
      <c r="I517" s="116"/>
      <c r="L517" s="170">
        <v>42762</v>
      </c>
      <c r="M517" s="116">
        <v>736</v>
      </c>
      <c r="N517" s="116">
        <v>745.2</v>
      </c>
      <c r="O517" s="116">
        <v>733</v>
      </c>
      <c r="P517" s="116">
        <v>734.4</v>
      </c>
      <c r="Q517" s="116">
        <v>1472</v>
      </c>
      <c r="R517">
        <v>290342</v>
      </c>
    </row>
    <row r="518" spans="1:18" x14ac:dyDescent="0.25">
      <c r="A518" s="170">
        <v>42765</v>
      </c>
      <c r="B518" s="116">
        <v>736.25</v>
      </c>
      <c r="C518" s="116">
        <v>729.3</v>
      </c>
      <c r="D518" s="116">
        <v>723.5</v>
      </c>
      <c r="E518" s="116">
        <v>734.95</v>
      </c>
      <c r="F518" s="116">
        <v>1458.6</v>
      </c>
      <c r="G518">
        <v>37371</v>
      </c>
      <c r="H518" s="116"/>
      <c r="I518" s="116"/>
      <c r="L518" s="170">
        <v>42765</v>
      </c>
      <c r="M518" s="116">
        <v>729.25</v>
      </c>
      <c r="N518" s="116">
        <v>736.17499999999995</v>
      </c>
      <c r="O518" s="116">
        <v>723.5</v>
      </c>
      <c r="P518" s="116">
        <v>734</v>
      </c>
      <c r="Q518" s="116">
        <v>1458.5</v>
      </c>
      <c r="R518">
        <v>249103</v>
      </c>
    </row>
    <row r="519" spans="1:18" x14ac:dyDescent="0.25">
      <c r="A519" s="170">
        <v>42766</v>
      </c>
      <c r="B519" s="116">
        <v>727.6</v>
      </c>
      <c r="C519" s="116">
        <v>711.6</v>
      </c>
      <c r="D519" s="116">
        <v>702.02499999999998</v>
      </c>
      <c r="E519" s="116">
        <v>727.125</v>
      </c>
      <c r="F519" s="116">
        <v>1423.2</v>
      </c>
      <c r="G519">
        <v>66578</v>
      </c>
      <c r="H519" s="116"/>
      <c r="I519" s="116"/>
      <c r="L519" s="170">
        <v>42766</v>
      </c>
      <c r="M519" s="116">
        <v>711.67499999999995</v>
      </c>
      <c r="N519" s="116">
        <v>729</v>
      </c>
      <c r="O519" s="116">
        <v>701.5</v>
      </c>
      <c r="P519" s="116">
        <v>729</v>
      </c>
      <c r="Q519" s="116">
        <v>1423.35</v>
      </c>
      <c r="R519">
        <v>368370</v>
      </c>
    </row>
    <row r="520" spans="1:18" x14ac:dyDescent="0.25">
      <c r="A520" s="170">
        <v>42767</v>
      </c>
      <c r="B520" s="116">
        <v>733.75</v>
      </c>
      <c r="C520" s="116">
        <v>724.42499999999995</v>
      </c>
      <c r="D520" s="116">
        <v>697.22500000000002</v>
      </c>
      <c r="E520" s="116">
        <v>707.25</v>
      </c>
      <c r="F520" s="116">
        <v>1448.85</v>
      </c>
      <c r="G520">
        <v>112611</v>
      </c>
      <c r="H520" s="116"/>
      <c r="I520" s="116"/>
      <c r="L520" s="170">
        <v>42767</v>
      </c>
      <c r="M520" s="116">
        <v>725.15</v>
      </c>
      <c r="N520" s="116">
        <v>733.5</v>
      </c>
      <c r="O520" s="116">
        <v>697.02499999999998</v>
      </c>
      <c r="P520" s="116">
        <v>705.05</v>
      </c>
      <c r="Q520" s="116">
        <v>1450.3</v>
      </c>
      <c r="R520">
        <v>596876</v>
      </c>
    </row>
    <row r="521" spans="1:18" x14ac:dyDescent="0.25">
      <c r="A521" s="170">
        <v>42768</v>
      </c>
      <c r="B521" s="116">
        <v>740.02499999999998</v>
      </c>
      <c r="C521" s="116">
        <v>734.875</v>
      </c>
      <c r="D521" s="116">
        <v>714.45</v>
      </c>
      <c r="E521" s="116">
        <v>722.95</v>
      </c>
      <c r="F521" s="116">
        <v>1469.75</v>
      </c>
      <c r="G521">
        <v>75608</v>
      </c>
      <c r="H521" s="116"/>
      <c r="I521" s="116"/>
      <c r="L521" s="170">
        <v>42768</v>
      </c>
      <c r="M521" s="116">
        <v>735.1</v>
      </c>
      <c r="N521" s="116">
        <v>740.75</v>
      </c>
      <c r="O521" s="116">
        <v>714</v>
      </c>
      <c r="P521" s="116">
        <v>724</v>
      </c>
      <c r="Q521" s="116">
        <v>1470.2</v>
      </c>
      <c r="R521">
        <v>394955</v>
      </c>
    </row>
    <row r="522" spans="1:18" x14ac:dyDescent="0.25">
      <c r="A522" s="170">
        <v>42769</v>
      </c>
      <c r="B522" s="116">
        <v>743.4</v>
      </c>
      <c r="C522" s="116">
        <v>736.57500000000005</v>
      </c>
      <c r="D522" s="116">
        <v>731.67499999999995</v>
      </c>
      <c r="E522" s="116">
        <v>735.47500000000002</v>
      </c>
      <c r="F522" s="116">
        <v>1473.15</v>
      </c>
      <c r="G522">
        <v>35641</v>
      </c>
      <c r="H522" s="116"/>
      <c r="I522" s="116"/>
      <c r="L522" s="170">
        <v>42769</v>
      </c>
      <c r="M522" s="116">
        <v>737.32500000000005</v>
      </c>
      <c r="N522" s="116">
        <v>743.4</v>
      </c>
      <c r="O522" s="116">
        <v>731.1</v>
      </c>
      <c r="P522" s="116">
        <v>736</v>
      </c>
      <c r="Q522" s="116">
        <v>1474.65</v>
      </c>
      <c r="R522">
        <v>206842</v>
      </c>
    </row>
    <row r="523" spans="1:18" x14ac:dyDescent="0.25">
      <c r="A523" s="170">
        <v>42772</v>
      </c>
      <c r="B523" s="116">
        <v>741.45</v>
      </c>
      <c r="C523" s="116">
        <v>733.3</v>
      </c>
      <c r="D523" s="116">
        <v>727.5</v>
      </c>
      <c r="E523" s="116">
        <v>740.92499999999995</v>
      </c>
      <c r="F523" s="116">
        <v>1466.6</v>
      </c>
      <c r="G523">
        <v>32085</v>
      </c>
      <c r="H523" s="116"/>
      <c r="I523" s="116"/>
      <c r="L523" s="170">
        <v>42772</v>
      </c>
      <c r="M523" s="116">
        <v>734.27499999999998</v>
      </c>
      <c r="N523" s="116">
        <v>742.5</v>
      </c>
      <c r="O523" s="116">
        <v>727.5</v>
      </c>
      <c r="P523" s="116">
        <v>742.5</v>
      </c>
      <c r="Q523" s="116">
        <v>1468.55</v>
      </c>
      <c r="R523">
        <v>172597</v>
      </c>
    </row>
    <row r="524" spans="1:18" x14ac:dyDescent="0.25">
      <c r="A524" s="170">
        <v>42773</v>
      </c>
      <c r="B524" s="116">
        <v>733.3</v>
      </c>
      <c r="C524" s="116">
        <v>725.52499999999998</v>
      </c>
      <c r="D524" s="116">
        <v>722</v>
      </c>
      <c r="E524" s="116">
        <v>733.3</v>
      </c>
      <c r="F524" s="116">
        <v>1451.05</v>
      </c>
      <c r="G524">
        <v>29958</v>
      </c>
      <c r="H524" s="116"/>
      <c r="I524" s="116"/>
      <c r="L524" s="170">
        <v>42773</v>
      </c>
      <c r="M524" s="116">
        <v>726.6</v>
      </c>
      <c r="N524" s="116">
        <v>734.3</v>
      </c>
      <c r="O524" s="116">
        <v>721.52499999999998</v>
      </c>
      <c r="P524" s="116">
        <v>734.27499999999998</v>
      </c>
      <c r="Q524" s="116">
        <v>1453.2</v>
      </c>
      <c r="R524">
        <v>200348</v>
      </c>
    </row>
    <row r="525" spans="1:18" x14ac:dyDescent="0.25">
      <c r="A525" s="170">
        <v>42774</v>
      </c>
      <c r="B525" s="116">
        <v>753.02499999999998</v>
      </c>
      <c r="C525" s="116">
        <v>747.65</v>
      </c>
      <c r="D525" s="116">
        <v>723</v>
      </c>
      <c r="E525" s="116">
        <v>725.52499999999998</v>
      </c>
      <c r="F525" s="116">
        <v>1495.3</v>
      </c>
      <c r="G525">
        <v>112606</v>
      </c>
      <c r="H525" s="116"/>
      <c r="I525" s="116"/>
      <c r="L525" s="170">
        <v>42774</v>
      </c>
      <c r="M525" s="116">
        <v>747.85</v>
      </c>
      <c r="N525" s="116">
        <v>753.47500000000002</v>
      </c>
      <c r="O525" s="116">
        <v>722.67499999999995</v>
      </c>
      <c r="P525" s="116">
        <v>724.85</v>
      </c>
      <c r="Q525" s="116">
        <v>1495.7</v>
      </c>
      <c r="R525">
        <v>766587</v>
      </c>
    </row>
    <row r="526" spans="1:18" x14ac:dyDescent="0.25">
      <c r="A526" s="170">
        <v>42775</v>
      </c>
      <c r="B526" s="116">
        <v>759.25</v>
      </c>
      <c r="C526" s="116">
        <v>749.5</v>
      </c>
      <c r="D526" s="116">
        <v>742.3</v>
      </c>
      <c r="E526" s="116">
        <v>754.95</v>
      </c>
      <c r="F526" s="116">
        <v>1499</v>
      </c>
      <c r="G526">
        <v>94600</v>
      </c>
      <c r="H526" s="116"/>
      <c r="I526" s="116"/>
      <c r="L526" s="170">
        <v>42775</v>
      </c>
      <c r="M526" s="116">
        <v>750.52499999999998</v>
      </c>
      <c r="N526" s="116">
        <v>759.25</v>
      </c>
      <c r="O526" s="116">
        <v>741.65</v>
      </c>
      <c r="P526" s="116">
        <v>752.95</v>
      </c>
      <c r="Q526" s="116">
        <v>1501.05</v>
      </c>
      <c r="R526">
        <v>444408</v>
      </c>
    </row>
    <row r="527" spans="1:18" x14ac:dyDescent="0.25">
      <c r="A527" s="170">
        <v>42776</v>
      </c>
      <c r="B527" s="116">
        <v>754</v>
      </c>
      <c r="C527" s="116">
        <v>744.77499999999998</v>
      </c>
      <c r="D527" s="116">
        <v>742</v>
      </c>
      <c r="E527" s="116">
        <v>753</v>
      </c>
      <c r="F527" s="116">
        <v>1489.55</v>
      </c>
      <c r="G527">
        <v>35987</v>
      </c>
      <c r="H527" s="116"/>
      <c r="I527" s="116"/>
      <c r="L527" s="170">
        <v>42776</v>
      </c>
      <c r="M527" s="116">
        <v>745.82500000000005</v>
      </c>
      <c r="N527" s="116">
        <v>754.67499999999995</v>
      </c>
      <c r="O527" s="116">
        <v>742.625</v>
      </c>
      <c r="P527" s="116">
        <v>754.65</v>
      </c>
      <c r="Q527" s="116">
        <v>1491.65</v>
      </c>
      <c r="R527">
        <v>198520</v>
      </c>
    </row>
    <row r="528" spans="1:18" x14ac:dyDescent="0.25">
      <c r="A528" s="170">
        <v>42779</v>
      </c>
      <c r="B528" s="116">
        <v>753.97500000000002</v>
      </c>
      <c r="C528" s="116">
        <v>747.22500000000002</v>
      </c>
      <c r="D528" s="116">
        <v>737</v>
      </c>
      <c r="E528" s="116">
        <v>748.02499999999998</v>
      </c>
      <c r="F528" s="116">
        <v>1494.45</v>
      </c>
      <c r="G528">
        <v>36328</v>
      </c>
      <c r="H528" s="116"/>
      <c r="I528" s="116"/>
      <c r="L528" s="170">
        <v>42779</v>
      </c>
      <c r="M528" s="116">
        <v>747.25</v>
      </c>
      <c r="N528" s="116">
        <v>754</v>
      </c>
      <c r="O528" s="116">
        <v>735.6</v>
      </c>
      <c r="P528" s="116">
        <v>750.5</v>
      </c>
      <c r="Q528" s="116">
        <v>1494.5</v>
      </c>
      <c r="R528">
        <v>222591</v>
      </c>
    </row>
    <row r="529" spans="1:18" x14ac:dyDescent="0.25">
      <c r="A529" s="170">
        <v>42780</v>
      </c>
      <c r="B529" s="116">
        <v>748.75</v>
      </c>
      <c r="C529" s="116">
        <v>738.125</v>
      </c>
      <c r="D529" s="116">
        <v>735.05</v>
      </c>
      <c r="E529" s="116">
        <v>743.07500000000005</v>
      </c>
      <c r="F529" s="116">
        <v>1476.25</v>
      </c>
      <c r="G529">
        <v>28692</v>
      </c>
      <c r="H529" s="116"/>
      <c r="I529" s="116"/>
      <c r="L529" s="170">
        <v>42780</v>
      </c>
      <c r="M529" s="116">
        <v>739.45</v>
      </c>
      <c r="N529" s="116">
        <v>748.85</v>
      </c>
      <c r="O529" s="116">
        <v>735.05</v>
      </c>
      <c r="P529" s="116">
        <v>748</v>
      </c>
      <c r="Q529" s="116">
        <v>1478.9</v>
      </c>
      <c r="R529">
        <v>188915</v>
      </c>
    </row>
    <row r="530" spans="1:18" x14ac:dyDescent="0.25">
      <c r="A530" s="170">
        <v>42781</v>
      </c>
      <c r="B530" s="116">
        <v>739.75</v>
      </c>
      <c r="C530" s="116">
        <v>715.45</v>
      </c>
      <c r="D530" s="116">
        <v>712.55</v>
      </c>
      <c r="E530" s="116">
        <v>736.02499999999998</v>
      </c>
      <c r="F530" s="116">
        <v>1430.9</v>
      </c>
      <c r="G530">
        <v>44610</v>
      </c>
      <c r="H530" s="116"/>
      <c r="I530" s="116"/>
      <c r="L530" s="170">
        <v>42781</v>
      </c>
      <c r="M530" s="116">
        <v>716.6</v>
      </c>
      <c r="N530" s="116">
        <v>739.95</v>
      </c>
      <c r="O530" s="116">
        <v>713.17499999999995</v>
      </c>
      <c r="P530" s="116">
        <v>735.5</v>
      </c>
      <c r="Q530" s="116">
        <v>1433.2</v>
      </c>
      <c r="R530">
        <v>256459</v>
      </c>
    </row>
    <row r="531" spans="1:18" x14ac:dyDescent="0.25">
      <c r="A531" s="170">
        <v>42782</v>
      </c>
      <c r="B531" s="116">
        <v>737.5</v>
      </c>
      <c r="C531" s="116">
        <v>732.75</v>
      </c>
      <c r="D531" s="116">
        <v>713</v>
      </c>
      <c r="E531" s="116">
        <v>713</v>
      </c>
      <c r="F531" s="116">
        <v>1465.5</v>
      </c>
      <c r="G531">
        <v>81077</v>
      </c>
      <c r="H531" s="116"/>
      <c r="I531" s="116"/>
      <c r="L531" s="170">
        <v>42782</v>
      </c>
      <c r="M531" s="116">
        <v>732.9</v>
      </c>
      <c r="N531" s="116">
        <v>737.25</v>
      </c>
      <c r="O531" s="116">
        <v>715.55</v>
      </c>
      <c r="P531" s="116">
        <v>717.5</v>
      </c>
      <c r="Q531" s="116">
        <v>1465.8</v>
      </c>
      <c r="R531">
        <v>422949</v>
      </c>
    </row>
    <row r="532" spans="1:18" x14ac:dyDescent="0.25">
      <c r="A532" s="170">
        <v>42783</v>
      </c>
      <c r="B532" s="116">
        <v>738</v>
      </c>
      <c r="C532" s="116">
        <v>729.32500000000005</v>
      </c>
      <c r="D532" s="116">
        <v>725.5</v>
      </c>
      <c r="E532" s="116">
        <v>730.5</v>
      </c>
      <c r="F532" s="116">
        <v>1458.65</v>
      </c>
      <c r="G532">
        <v>27066</v>
      </c>
      <c r="H532" s="116"/>
      <c r="I532" s="116"/>
      <c r="L532" s="170">
        <v>42783</v>
      </c>
      <c r="M532" s="116">
        <v>729.55</v>
      </c>
      <c r="N532" s="116">
        <v>737.5</v>
      </c>
      <c r="O532" s="116">
        <v>725</v>
      </c>
      <c r="P532" s="116">
        <v>735</v>
      </c>
      <c r="Q532" s="116">
        <v>1459.1</v>
      </c>
      <c r="R532">
        <v>147496</v>
      </c>
    </row>
    <row r="533" spans="1:18" x14ac:dyDescent="0.25">
      <c r="A533" s="170">
        <v>42786</v>
      </c>
      <c r="B533" s="116">
        <v>740.25</v>
      </c>
      <c r="C533" s="116">
        <v>735.97500000000002</v>
      </c>
      <c r="D533" s="116">
        <v>729.25</v>
      </c>
      <c r="E533" s="116">
        <v>730</v>
      </c>
      <c r="F533" s="116">
        <v>1471.95</v>
      </c>
      <c r="G533">
        <v>28909</v>
      </c>
      <c r="H533" s="116"/>
      <c r="I533" s="116"/>
      <c r="L533" s="170">
        <v>42786</v>
      </c>
      <c r="M533" s="116">
        <v>735.75</v>
      </c>
      <c r="N533" s="116">
        <v>740.5</v>
      </c>
      <c r="O533" s="116">
        <v>727.5</v>
      </c>
      <c r="P533" s="116">
        <v>727.5</v>
      </c>
      <c r="Q533" s="116">
        <v>1471.5</v>
      </c>
      <c r="R533">
        <v>212481</v>
      </c>
    </row>
    <row r="534" spans="1:18" x14ac:dyDescent="0.25">
      <c r="A534" s="170">
        <v>42787</v>
      </c>
      <c r="B534" s="116">
        <v>755.47500000000002</v>
      </c>
      <c r="C534" s="116">
        <v>748.375</v>
      </c>
      <c r="D534" s="116">
        <v>736.5</v>
      </c>
      <c r="E534" s="116">
        <v>737</v>
      </c>
      <c r="F534" s="116">
        <v>1496.75</v>
      </c>
      <c r="G534">
        <v>72415</v>
      </c>
      <c r="H534" s="116"/>
      <c r="I534" s="116"/>
      <c r="L534" s="170">
        <v>42787</v>
      </c>
      <c r="M534" s="116">
        <v>748.375</v>
      </c>
      <c r="N534" s="116">
        <v>755.9</v>
      </c>
      <c r="O534" s="116">
        <v>736</v>
      </c>
      <c r="P534" s="116">
        <v>739</v>
      </c>
      <c r="Q534" s="116">
        <v>1496.75</v>
      </c>
      <c r="R534">
        <v>506371</v>
      </c>
    </row>
    <row r="535" spans="1:18" x14ac:dyDescent="0.25">
      <c r="A535" s="170">
        <v>42788</v>
      </c>
      <c r="B535" s="116">
        <v>759.125</v>
      </c>
      <c r="C535" s="116">
        <v>742.625</v>
      </c>
      <c r="D535" s="116">
        <v>737.5</v>
      </c>
      <c r="E535" s="116">
        <v>754</v>
      </c>
      <c r="F535" s="116">
        <v>1485.25</v>
      </c>
      <c r="G535">
        <v>41648</v>
      </c>
      <c r="H535" s="116"/>
      <c r="I535" s="116"/>
      <c r="L535" s="170">
        <v>42788</v>
      </c>
      <c r="M535" s="116">
        <v>742.7</v>
      </c>
      <c r="N535" s="116">
        <v>759</v>
      </c>
      <c r="O535" s="116">
        <v>737.02499999999998</v>
      </c>
      <c r="P535" s="116">
        <v>752.4</v>
      </c>
      <c r="Q535" s="116">
        <v>1485.4</v>
      </c>
      <c r="R535">
        <v>339728</v>
      </c>
    </row>
    <row r="536" spans="1:18" x14ac:dyDescent="0.25">
      <c r="A536" s="170">
        <v>42789</v>
      </c>
      <c r="B536" s="116">
        <v>748.35</v>
      </c>
      <c r="C536" s="116">
        <v>735.75</v>
      </c>
      <c r="D536" s="116">
        <v>733</v>
      </c>
      <c r="E536" s="116">
        <v>740</v>
      </c>
      <c r="F536" s="116">
        <v>1471.5</v>
      </c>
      <c r="G536">
        <v>35781</v>
      </c>
      <c r="H536" s="116"/>
      <c r="I536" s="116"/>
      <c r="L536" s="170">
        <v>42789</v>
      </c>
      <c r="M536" s="116">
        <v>735.875</v>
      </c>
      <c r="N536" s="116">
        <v>748.27499999999998</v>
      </c>
      <c r="O536" s="116">
        <v>733.125</v>
      </c>
      <c r="P536" s="116">
        <v>738.15</v>
      </c>
      <c r="Q536" s="116">
        <v>1471.75</v>
      </c>
      <c r="R536">
        <v>201411</v>
      </c>
    </row>
    <row r="537" spans="1:18" x14ac:dyDescent="0.25">
      <c r="A537" s="170">
        <v>42793</v>
      </c>
      <c r="B537" s="116">
        <v>766.6</v>
      </c>
      <c r="C537" s="116">
        <v>754.75</v>
      </c>
      <c r="D537" s="116">
        <v>736</v>
      </c>
      <c r="E537" s="116">
        <v>737.5</v>
      </c>
      <c r="F537" s="116">
        <v>1509.5</v>
      </c>
      <c r="G537">
        <v>90880</v>
      </c>
      <c r="H537" s="116"/>
      <c r="I537" s="116"/>
      <c r="L537" s="170">
        <v>42793</v>
      </c>
      <c r="M537" s="116">
        <v>753.97500000000002</v>
      </c>
      <c r="N537" s="116">
        <v>766.5</v>
      </c>
      <c r="O537" s="116">
        <v>736</v>
      </c>
      <c r="P537" s="116">
        <v>738.85</v>
      </c>
      <c r="Q537" s="116">
        <v>1507.95</v>
      </c>
      <c r="R537">
        <v>631247</v>
      </c>
    </row>
    <row r="538" spans="1:18" x14ac:dyDescent="0.25">
      <c r="A538" s="170">
        <v>42794</v>
      </c>
      <c r="B538" s="116">
        <v>759.5</v>
      </c>
      <c r="C538" s="116">
        <v>750.67499999999995</v>
      </c>
      <c r="D538" s="116">
        <v>747.5</v>
      </c>
      <c r="E538" s="116">
        <v>755.5</v>
      </c>
      <c r="F538" s="116">
        <v>1501.35</v>
      </c>
      <c r="G538">
        <v>23343</v>
      </c>
      <c r="H538" s="116"/>
      <c r="I538" s="116"/>
      <c r="L538" s="170">
        <v>42794</v>
      </c>
      <c r="M538" s="116">
        <v>751.9</v>
      </c>
      <c r="N538" s="116">
        <v>759.97500000000002</v>
      </c>
      <c r="O538" s="116">
        <v>748.125</v>
      </c>
      <c r="P538" s="116">
        <v>758.85</v>
      </c>
      <c r="Q538" s="116">
        <v>1503.8</v>
      </c>
      <c r="R538">
        <v>204149</v>
      </c>
    </row>
    <row r="539" spans="1:18" x14ac:dyDescent="0.25">
      <c r="A539" s="170">
        <v>42795</v>
      </c>
      <c r="B539" s="116">
        <v>764</v>
      </c>
      <c r="C539" s="116">
        <v>747.35</v>
      </c>
      <c r="D539" s="116">
        <v>744</v>
      </c>
      <c r="E539" s="116">
        <v>752.5</v>
      </c>
      <c r="F539" s="116">
        <v>1494.7</v>
      </c>
      <c r="G539">
        <v>46114</v>
      </c>
      <c r="H539" s="116"/>
      <c r="I539" s="116"/>
      <c r="L539" s="170">
        <v>42795</v>
      </c>
      <c r="M539" s="116">
        <v>747.55</v>
      </c>
      <c r="N539" s="116">
        <v>763.5</v>
      </c>
      <c r="O539" s="116">
        <v>742.75</v>
      </c>
      <c r="P539" s="116">
        <v>752</v>
      </c>
      <c r="Q539" s="116">
        <v>1495.1</v>
      </c>
      <c r="R539">
        <v>322363</v>
      </c>
    </row>
    <row r="540" spans="1:18" x14ac:dyDescent="0.25">
      <c r="A540" s="170">
        <v>42796</v>
      </c>
      <c r="B540" s="116">
        <v>759</v>
      </c>
      <c r="C540" s="116">
        <v>741.2</v>
      </c>
      <c r="D540" s="116">
        <v>738</v>
      </c>
      <c r="E540" s="116">
        <v>751.05</v>
      </c>
      <c r="F540" s="116">
        <v>1482.4</v>
      </c>
      <c r="G540">
        <v>33837</v>
      </c>
      <c r="H540" s="116"/>
      <c r="I540" s="116"/>
      <c r="L540" s="170">
        <v>42796</v>
      </c>
      <c r="M540" s="116">
        <v>742.02499999999998</v>
      </c>
      <c r="N540" s="116">
        <v>758.97500000000002</v>
      </c>
      <c r="O540" s="116">
        <v>740.5</v>
      </c>
      <c r="P540" s="116">
        <v>750</v>
      </c>
      <c r="Q540" s="116">
        <v>1484.05</v>
      </c>
      <c r="R540">
        <v>227156</v>
      </c>
    </row>
    <row r="541" spans="1:18" x14ac:dyDescent="0.25">
      <c r="A541" s="170">
        <v>42797</v>
      </c>
      <c r="B541" s="116">
        <v>746</v>
      </c>
      <c r="C541" s="116">
        <v>740.47500000000002</v>
      </c>
      <c r="D541" s="116">
        <v>736.75</v>
      </c>
      <c r="E541" s="116">
        <v>737.5</v>
      </c>
      <c r="F541" s="116">
        <v>1480.95</v>
      </c>
      <c r="G541">
        <v>28666</v>
      </c>
      <c r="H541" s="116"/>
      <c r="I541" s="116"/>
      <c r="L541" s="170">
        <v>42797</v>
      </c>
      <c r="M541" s="116">
        <v>739.75</v>
      </c>
      <c r="N541" s="116">
        <v>745.82500000000005</v>
      </c>
      <c r="O541" s="116">
        <v>736</v>
      </c>
      <c r="P541" s="116">
        <v>740</v>
      </c>
      <c r="Q541" s="116">
        <v>1479.5</v>
      </c>
      <c r="R541">
        <v>159080</v>
      </c>
    </row>
    <row r="542" spans="1:18" x14ac:dyDescent="0.25">
      <c r="A542" s="170">
        <v>42800</v>
      </c>
      <c r="B542" s="116">
        <v>748.5</v>
      </c>
      <c r="C542" s="116">
        <v>735.1</v>
      </c>
      <c r="D542" s="116">
        <v>730</v>
      </c>
      <c r="E542" s="116">
        <v>740.375</v>
      </c>
      <c r="F542" s="116">
        <v>1470.2</v>
      </c>
      <c r="G542">
        <v>35232</v>
      </c>
      <c r="H542" s="116"/>
      <c r="I542" s="116"/>
      <c r="L542" s="170">
        <v>42800</v>
      </c>
      <c r="M542" s="116">
        <v>733.4</v>
      </c>
      <c r="N542" s="116">
        <v>748.5</v>
      </c>
      <c r="O542" s="116">
        <v>728</v>
      </c>
      <c r="P542" s="116">
        <v>740.57500000000005</v>
      </c>
      <c r="Q542" s="116">
        <v>1466.8</v>
      </c>
      <c r="R542">
        <v>259200</v>
      </c>
    </row>
    <row r="543" spans="1:18" x14ac:dyDescent="0.25">
      <c r="A543" s="170">
        <v>42801</v>
      </c>
      <c r="B543" s="116">
        <v>741.5</v>
      </c>
      <c r="C543" s="116">
        <v>728.75</v>
      </c>
      <c r="D543" s="116">
        <v>727.55</v>
      </c>
      <c r="E543" s="116">
        <v>737</v>
      </c>
      <c r="F543" s="116">
        <v>1457.5</v>
      </c>
      <c r="G543">
        <v>26977</v>
      </c>
      <c r="H543" s="116"/>
      <c r="I543" s="116"/>
      <c r="L543" s="170">
        <v>42801</v>
      </c>
      <c r="M543" s="116">
        <v>728.42499999999995</v>
      </c>
      <c r="N543" s="116">
        <v>742.5</v>
      </c>
      <c r="O543" s="116">
        <v>726.7</v>
      </c>
      <c r="P543" s="116">
        <v>736.1</v>
      </c>
      <c r="Q543" s="116">
        <v>1456.85</v>
      </c>
      <c r="R543">
        <v>179693</v>
      </c>
    </row>
    <row r="544" spans="1:18" x14ac:dyDescent="0.25">
      <c r="A544" s="170">
        <v>42802</v>
      </c>
      <c r="B544" s="116">
        <v>733.5</v>
      </c>
      <c r="C544" s="116">
        <v>723.05</v>
      </c>
      <c r="D544" s="116">
        <v>721</v>
      </c>
      <c r="E544" s="116">
        <v>732.9</v>
      </c>
      <c r="F544" s="116">
        <v>1446.1</v>
      </c>
      <c r="G544">
        <v>19883</v>
      </c>
      <c r="H544" s="116"/>
      <c r="I544" s="116"/>
      <c r="L544" s="170">
        <v>42802</v>
      </c>
      <c r="M544" s="116">
        <v>722.82500000000005</v>
      </c>
      <c r="N544" s="116">
        <v>733.4</v>
      </c>
      <c r="O544" s="116">
        <v>720.07500000000005</v>
      </c>
      <c r="P544" s="116">
        <v>731.5</v>
      </c>
      <c r="Q544" s="116">
        <v>1445.65</v>
      </c>
      <c r="R544">
        <v>143013</v>
      </c>
    </row>
    <row r="545" spans="1:18" x14ac:dyDescent="0.25">
      <c r="A545" s="170">
        <v>42803</v>
      </c>
      <c r="B545" s="116">
        <v>730.97500000000002</v>
      </c>
      <c r="C545" s="116">
        <v>722.42499999999995</v>
      </c>
      <c r="D545" s="116">
        <v>720.95</v>
      </c>
      <c r="E545" s="116">
        <v>721.4</v>
      </c>
      <c r="F545" s="116">
        <v>1444.85</v>
      </c>
      <c r="G545">
        <v>22236</v>
      </c>
      <c r="H545" s="116"/>
      <c r="I545" s="116"/>
      <c r="L545" s="170">
        <v>42803</v>
      </c>
      <c r="M545" s="116">
        <v>723.75</v>
      </c>
      <c r="N545" s="116">
        <v>731</v>
      </c>
      <c r="O545" s="116">
        <v>720.3</v>
      </c>
      <c r="P545" s="116">
        <v>721.4</v>
      </c>
      <c r="Q545" s="116">
        <v>1447.5</v>
      </c>
      <c r="R545">
        <v>159177</v>
      </c>
    </row>
    <row r="546" spans="1:18" x14ac:dyDescent="0.25">
      <c r="A546" s="170">
        <v>42804</v>
      </c>
      <c r="B546" s="116">
        <v>730.5</v>
      </c>
      <c r="C546" s="116">
        <v>716.65</v>
      </c>
      <c r="D546" s="116">
        <v>713.125</v>
      </c>
      <c r="E546" s="116">
        <v>726.375</v>
      </c>
      <c r="F546" s="116">
        <v>1433.3</v>
      </c>
      <c r="G546">
        <v>24760</v>
      </c>
      <c r="H546" s="116"/>
      <c r="I546" s="116"/>
      <c r="L546" s="170">
        <v>42804</v>
      </c>
      <c r="M546" s="116">
        <v>716.5</v>
      </c>
      <c r="N546" s="116">
        <v>730.5</v>
      </c>
      <c r="O546" s="116">
        <v>713</v>
      </c>
      <c r="P546" s="116">
        <v>725.5</v>
      </c>
      <c r="Q546" s="116">
        <v>1433</v>
      </c>
      <c r="R546">
        <v>136193</v>
      </c>
    </row>
    <row r="547" spans="1:18" x14ac:dyDescent="0.25">
      <c r="A547" s="170">
        <v>42808</v>
      </c>
      <c r="B547" s="116">
        <v>740</v>
      </c>
      <c r="C547" s="116">
        <v>723.67499999999995</v>
      </c>
      <c r="D547" s="116">
        <v>720.625</v>
      </c>
      <c r="E547" s="116">
        <v>733.5</v>
      </c>
      <c r="F547" s="116">
        <v>1447.35</v>
      </c>
      <c r="G547">
        <v>30530</v>
      </c>
      <c r="H547" s="116"/>
      <c r="I547" s="116"/>
      <c r="L547" s="170">
        <v>42808</v>
      </c>
      <c r="M547" s="116">
        <v>724.125</v>
      </c>
      <c r="N547" s="116">
        <v>742.5</v>
      </c>
      <c r="O547" s="116">
        <v>721.55</v>
      </c>
      <c r="P547" s="116">
        <v>742.5</v>
      </c>
      <c r="Q547" s="116">
        <v>1448.25</v>
      </c>
      <c r="R547">
        <v>146648</v>
      </c>
    </row>
    <row r="548" spans="1:18" x14ac:dyDescent="0.25">
      <c r="A548" s="170">
        <v>42809</v>
      </c>
      <c r="B548" s="116">
        <v>728.75</v>
      </c>
      <c r="C548" s="116">
        <v>716.95</v>
      </c>
      <c r="D548" s="116">
        <v>715</v>
      </c>
      <c r="E548" s="116">
        <v>725.875</v>
      </c>
      <c r="F548" s="116">
        <v>1433.9</v>
      </c>
      <c r="G548">
        <v>19492</v>
      </c>
      <c r="H548" s="116"/>
      <c r="I548" s="116"/>
      <c r="L548" s="170">
        <v>42809</v>
      </c>
      <c r="M548" s="116">
        <v>717.97500000000002</v>
      </c>
      <c r="N548" s="116">
        <v>729</v>
      </c>
      <c r="O548" s="116">
        <v>716</v>
      </c>
      <c r="P548" s="116">
        <v>723</v>
      </c>
      <c r="Q548" s="116">
        <v>1435.95</v>
      </c>
      <c r="R548">
        <v>146960</v>
      </c>
    </row>
    <row r="549" spans="1:18" x14ac:dyDescent="0.25">
      <c r="A549" s="170">
        <v>42810</v>
      </c>
      <c r="B549" s="116">
        <v>728.45</v>
      </c>
      <c r="C549" s="116">
        <v>722.8</v>
      </c>
      <c r="D549" s="116">
        <v>719.57500000000005</v>
      </c>
      <c r="E549" s="116">
        <v>721</v>
      </c>
      <c r="F549" s="116">
        <v>1445.6</v>
      </c>
      <c r="G549">
        <v>26124</v>
      </c>
      <c r="H549" s="116"/>
      <c r="I549" s="116"/>
      <c r="L549" s="170">
        <v>42810</v>
      </c>
      <c r="M549" s="116">
        <v>723.25</v>
      </c>
      <c r="N549" s="116">
        <v>728.5</v>
      </c>
      <c r="O549" s="116">
        <v>718.8</v>
      </c>
      <c r="P549" s="116">
        <v>721.125</v>
      </c>
      <c r="Q549" s="116">
        <v>1446.5</v>
      </c>
      <c r="R549">
        <v>179148</v>
      </c>
    </row>
    <row r="550" spans="1:18" x14ac:dyDescent="0.25">
      <c r="A550" s="170">
        <v>42811</v>
      </c>
      <c r="B550" s="116">
        <v>761</v>
      </c>
      <c r="C550" s="116">
        <v>758.375</v>
      </c>
      <c r="D550" s="116">
        <v>725</v>
      </c>
      <c r="E550" s="116">
        <v>726.7</v>
      </c>
      <c r="F550" s="116">
        <v>1516.75</v>
      </c>
      <c r="G550">
        <v>171021</v>
      </c>
      <c r="H550" s="116"/>
      <c r="I550" s="116"/>
      <c r="L550" s="170">
        <v>42811</v>
      </c>
      <c r="M550" s="116">
        <v>758.6</v>
      </c>
      <c r="N550" s="116">
        <v>760.77499999999998</v>
      </c>
      <c r="O550" s="116">
        <v>723.5</v>
      </c>
      <c r="P550" s="116">
        <v>723.5</v>
      </c>
      <c r="Q550" s="116">
        <v>1517.2</v>
      </c>
      <c r="R550">
        <v>1235448</v>
      </c>
    </row>
    <row r="551" spans="1:18" x14ac:dyDescent="0.25">
      <c r="A551" s="170">
        <v>42814</v>
      </c>
      <c r="B551" s="116">
        <v>772.5</v>
      </c>
      <c r="C551" s="116">
        <v>762.1</v>
      </c>
      <c r="D551" s="116">
        <v>758.77499999999998</v>
      </c>
      <c r="E551" s="116">
        <v>764.95</v>
      </c>
      <c r="F551" s="116">
        <v>1524.2</v>
      </c>
      <c r="G551">
        <v>71808</v>
      </c>
      <c r="H551" s="116"/>
      <c r="I551" s="116"/>
      <c r="L551" s="170">
        <v>42814</v>
      </c>
      <c r="M551" s="116">
        <v>762.22500000000002</v>
      </c>
      <c r="N551" s="116">
        <v>772.1</v>
      </c>
      <c r="O551" s="116">
        <v>757.77499999999998</v>
      </c>
      <c r="P551" s="116">
        <v>763.97500000000002</v>
      </c>
      <c r="Q551" s="116">
        <v>1524.45</v>
      </c>
      <c r="R551">
        <v>442849</v>
      </c>
    </row>
    <row r="552" spans="1:18" x14ac:dyDescent="0.25">
      <c r="A552" s="170">
        <v>42815</v>
      </c>
      <c r="B552" s="116">
        <v>767.5</v>
      </c>
      <c r="C552" s="116">
        <v>751.05</v>
      </c>
      <c r="D552" s="116">
        <v>748.5</v>
      </c>
      <c r="E552" s="116">
        <v>765</v>
      </c>
      <c r="F552" s="116">
        <v>1502.1</v>
      </c>
      <c r="G552">
        <v>30944</v>
      </c>
      <c r="H552" s="116"/>
      <c r="I552" s="116"/>
      <c r="L552" s="170">
        <v>42815</v>
      </c>
      <c r="M552" s="116">
        <v>751.45</v>
      </c>
      <c r="N552" s="116">
        <v>767.375</v>
      </c>
      <c r="O552" s="116">
        <v>748.05</v>
      </c>
      <c r="P552" s="116">
        <v>762.25</v>
      </c>
      <c r="Q552" s="116">
        <v>1502.9</v>
      </c>
      <c r="R552">
        <v>177927</v>
      </c>
    </row>
    <row r="553" spans="1:18" x14ac:dyDescent="0.25">
      <c r="A553" s="170">
        <v>42816</v>
      </c>
      <c r="B553" s="116">
        <v>750.625</v>
      </c>
      <c r="C553" s="116">
        <v>739.02499999999998</v>
      </c>
      <c r="D553" s="116">
        <v>736.5</v>
      </c>
      <c r="E553" s="116">
        <v>748</v>
      </c>
      <c r="F553" s="116">
        <v>1478.05</v>
      </c>
      <c r="G553">
        <v>23265</v>
      </c>
      <c r="H553" s="116"/>
      <c r="I553" s="116"/>
      <c r="L553" s="170">
        <v>42816</v>
      </c>
      <c r="M553" s="116">
        <v>739.52499999999998</v>
      </c>
      <c r="N553" s="116">
        <v>750.7</v>
      </c>
      <c r="O553" s="116">
        <v>736.45</v>
      </c>
      <c r="P553" s="116">
        <v>746.7</v>
      </c>
      <c r="Q553" s="116">
        <v>1479.05</v>
      </c>
      <c r="R553">
        <v>161575</v>
      </c>
    </row>
    <row r="554" spans="1:18" x14ac:dyDescent="0.25">
      <c r="A554" s="170">
        <v>42817</v>
      </c>
      <c r="B554" s="116">
        <v>759.625</v>
      </c>
      <c r="C554" s="116">
        <v>752.27499999999998</v>
      </c>
      <c r="D554" s="116">
        <v>742</v>
      </c>
      <c r="E554" s="116">
        <v>742.2</v>
      </c>
      <c r="F554" s="116">
        <v>1504.55</v>
      </c>
      <c r="G554">
        <v>46150</v>
      </c>
      <c r="H554" s="116"/>
      <c r="I554" s="116"/>
      <c r="L554" s="170">
        <v>42817</v>
      </c>
      <c r="M554" s="116">
        <v>753.07500000000005</v>
      </c>
      <c r="N554" s="116">
        <v>759.5</v>
      </c>
      <c r="O554" s="116">
        <v>738.8</v>
      </c>
      <c r="P554" s="116">
        <v>738.8</v>
      </c>
      <c r="Q554" s="116">
        <v>1506.15</v>
      </c>
      <c r="R554">
        <v>331793</v>
      </c>
    </row>
    <row r="555" spans="1:18" x14ac:dyDescent="0.25">
      <c r="A555" s="170">
        <v>42818</v>
      </c>
      <c r="B555" s="116">
        <v>759.5</v>
      </c>
      <c r="C555" s="116">
        <v>750.1</v>
      </c>
      <c r="D555" s="116">
        <v>745.625</v>
      </c>
      <c r="E555" s="116">
        <v>753.25</v>
      </c>
      <c r="F555" s="116">
        <v>1500.2</v>
      </c>
      <c r="G555">
        <v>25087</v>
      </c>
      <c r="H555" s="116"/>
      <c r="I555" s="116"/>
      <c r="L555" s="170">
        <v>42818</v>
      </c>
      <c r="M555" s="116">
        <v>752.52499999999998</v>
      </c>
      <c r="N555" s="116">
        <v>759.5</v>
      </c>
      <c r="O555" s="116">
        <v>748.55</v>
      </c>
      <c r="P555" s="116">
        <v>753</v>
      </c>
      <c r="Q555" s="116">
        <v>1505.05</v>
      </c>
      <c r="R555">
        <v>184786</v>
      </c>
    </row>
    <row r="556" spans="1:18" x14ac:dyDescent="0.25">
      <c r="A556" s="170">
        <v>42821</v>
      </c>
      <c r="B556" s="116">
        <v>750.72500000000002</v>
      </c>
      <c r="C556" s="116">
        <v>743.875</v>
      </c>
      <c r="D556" s="116">
        <v>741.5</v>
      </c>
      <c r="E556" s="116">
        <v>750</v>
      </c>
      <c r="F556" s="116">
        <v>1487.75</v>
      </c>
      <c r="G556">
        <v>18868</v>
      </c>
      <c r="H556" s="116"/>
      <c r="I556" s="116"/>
      <c r="L556" s="170">
        <v>42821</v>
      </c>
      <c r="M556" s="116">
        <v>744.52499999999998</v>
      </c>
      <c r="N556" s="116">
        <v>752.5</v>
      </c>
      <c r="O556" s="116">
        <v>740.52499999999998</v>
      </c>
      <c r="P556" s="116">
        <v>752.5</v>
      </c>
      <c r="Q556" s="116">
        <v>1489.05</v>
      </c>
      <c r="R556">
        <v>152575</v>
      </c>
    </row>
    <row r="557" spans="1:18" x14ac:dyDescent="0.25">
      <c r="A557" s="170">
        <v>42822</v>
      </c>
      <c r="B557" s="116">
        <v>756.25</v>
      </c>
      <c r="C557" s="116">
        <v>746.17499999999995</v>
      </c>
      <c r="D557" s="116">
        <v>744</v>
      </c>
      <c r="E557" s="116">
        <v>749</v>
      </c>
      <c r="F557" s="116">
        <v>1492.35</v>
      </c>
      <c r="G557">
        <v>22555</v>
      </c>
      <c r="H557" s="116"/>
      <c r="I557" s="116"/>
      <c r="L557" s="170">
        <v>42822</v>
      </c>
      <c r="M557" s="116">
        <v>746.67499999999995</v>
      </c>
      <c r="N557" s="116">
        <v>756.47500000000002</v>
      </c>
      <c r="O557" s="116">
        <v>744</v>
      </c>
      <c r="P557" s="116">
        <v>749</v>
      </c>
      <c r="Q557" s="116">
        <v>1493.35</v>
      </c>
      <c r="R557">
        <v>180397</v>
      </c>
    </row>
    <row r="558" spans="1:18" x14ac:dyDescent="0.25">
      <c r="A558" s="170">
        <v>42823</v>
      </c>
      <c r="B558" s="116">
        <v>751.25</v>
      </c>
      <c r="C558" s="116">
        <v>743.45</v>
      </c>
      <c r="D558" s="116">
        <v>741</v>
      </c>
      <c r="E558" s="116">
        <v>748.875</v>
      </c>
      <c r="F558" s="116">
        <v>1486.9</v>
      </c>
      <c r="G558">
        <v>17013</v>
      </c>
      <c r="H558" s="116"/>
      <c r="I558" s="116"/>
      <c r="L558" s="170">
        <v>42823</v>
      </c>
      <c r="M558" s="116">
        <v>743.8</v>
      </c>
      <c r="N558" s="116">
        <v>751.15</v>
      </c>
      <c r="O558" s="116">
        <v>741</v>
      </c>
      <c r="P558" s="116">
        <v>747.4</v>
      </c>
      <c r="Q558" s="116">
        <v>1487.6</v>
      </c>
      <c r="R558">
        <v>100739</v>
      </c>
    </row>
    <row r="559" spans="1:18" x14ac:dyDescent="0.25">
      <c r="A559" s="170">
        <v>42824</v>
      </c>
      <c r="B559" s="116">
        <v>749</v>
      </c>
      <c r="C559" s="116">
        <v>739.7</v>
      </c>
      <c r="D559" s="116">
        <v>736.5</v>
      </c>
      <c r="E559" s="116">
        <v>745</v>
      </c>
      <c r="F559" s="116">
        <v>1479.4</v>
      </c>
      <c r="G559">
        <v>32829</v>
      </c>
      <c r="H559" s="116"/>
      <c r="I559" s="116"/>
      <c r="L559" s="170">
        <v>42824</v>
      </c>
      <c r="M559" s="116">
        <v>737.3</v>
      </c>
      <c r="N559" s="116">
        <v>749.17499999999995</v>
      </c>
      <c r="O559" s="116">
        <v>735.55</v>
      </c>
      <c r="P559" s="116">
        <v>744</v>
      </c>
      <c r="Q559" s="116">
        <v>1474.6</v>
      </c>
      <c r="R559">
        <v>244402</v>
      </c>
    </row>
    <row r="560" spans="1:18" x14ac:dyDescent="0.25">
      <c r="A560" s="170">
        <v>42825</v>
      </c>
      <c r="B560" s="116">
        <v>745.47500000000002</v>
      </c>
      <c r="C560" s="116">
        <v>731.57500000000005</v>
      </c>
      <c r="D560" s="116">
        <v>730.17499999999995</v>
      </c>
      <c r="E560" s="116">
        <v>736.77499999999998</v>
      </c>
      <c r="F560" s="116">
        <v>1463.15</v>
      </c>
      <c r="G560">
        <v>25341</v>
      </c>
      <c r="H560" s="116"/>
      <c r="I560" s="116"/>
      <c r="L560" s="170">
        <v>42825</v>
      </c>
      <c r="M560" s="116">
        <v>732.45</v>
      </c>
      <c r="N560" s="116">
        <v>745.7</v>
      </c>
      <c r="O560" s="116">
        <v>730.25</v>
      </c>
      <c r="P560" s="116">
        <v>737.5</v>
      </c>
      <c r="Q560" s="116">
        <v>1464.9</v>
      </c>
      <c r="R560">
        <v>125695</v>
      </c>
    </row>
    <row r="561" spans="1:18" x14ac:dyDescent="0.25">
      <c r="A561" s="170">
        <v>42828</v>
      </c>
      <c r="B561" s="116">
        <v>749.25</v>
      </c>
      <c r="C561" s="116">
        <v>743.625</v>
      </c>
      <c r="D561" s="116">
        <v>735.875</v>
      </c>
      <c r="E561" s="116">
        <v>735.875</v>
      </c>
      <c r="F561" s="116">
        <v>1487.25</v>
      </c>
      <c r="G561">
        <v>26071</v>
      </c>
      <c r="H561" s="116"/>
      <c r="I561" s="116"/>
      <c r="L561" s="170">
        <v>42828</v>
      </c>
      <c r="M561" s="116">
        <v>744.92499999999995</v>
      </c>
      <c r="N561" s="116">
        <v>749.45</v>
      </c>
      <c r="O561" s="116">
        <v>735.02499999999998</v>
      </c>
      <c r="P561" s="116">
        <v>735.02499999999998</v>
      </c>
      <c r="Q561" s="116">
        <v>1489.85</v>
      </c>
      <c r="R561">
        <v>163733</v>
      </c>
    </row>
    <row r="562" spans="1:18" x14ac:dyDescent="0.25">
      <c r="A562" s="170">
        <v>42830</v>
      </c>
      <c r="B562" s="116">
        <v>763.82500000000005</v>
      </c>
      <c r="C562" s="116">
        <v>753.67499999999995</v>
      </c>
      <c r="D562" s="116">
        <v>740.5</v>
      </c>
      <c r="E562" s="116">
        <v>740.5</v>
      </c>
      <c r="F562" s="116">
        <v>1507.35</v>
      </c>
      <c r="G562">
        <v>53644</v>
      </c>
      <c r="H562" s="116"/>
      <c r="I562" s="116"/>
      <c r="L562" s="170">
        <v>42830</v>
      </c>
      <c r="M562" s="116">
        <v>754.1</v>
      </c>
      <c r="N562" s="116">
        <v>764</v>
      </c>
      <c r="O562" s="116">
        <v>742.47500000000002</v>
      </c>
      <c r="P562" s="116">
        <v>743.5</v>
      </c>
      <c r="Q562" s="116">
        <v>1508.2</v>
      </c>
      <c r="R562">
        <v>361952</v>
      </c>
    </row>
    <row r="563" spans="1:18" x14ac:dyDescent="0.25">
      <c r="A563" s="170">
        <v>42831</v>
      </c>
      <c r="B563" s="116">
        <v>783.75</v>
      </c>
      <c r="C563" s="116">
        <v>779.05</v>
      </c>
      <c r="D563" s="116">
        <v>751.5</v>
      </c>
      <c r="E563" s="116">
        <v>753</v>
      </c>
      <c r="F563" s="116">
        <v>1558.1</v>
      </c>
      <c r="G563">
        <v>145646</v>
      </c>
      <c r="H563" s="116"/>
      <c r="I563" s="116"/>
      <c r="L563" s="170">
        <v>42831</v>
      </c>
      <c r="M563" s="116">
        <v>779.05</v>
      </c>
      <c r="N563" s="116">
        <v>783.47500000000002</v>
      </c>
      <c r="O563" s="116">
        <v>750</v>
      </c>
      <c r="P563" s="116">
        <v>752.5</v>
      </c>
      <c r="Q563" s="116">
        <v>1558.1</v>
      </c>
      <c r="R563">
        <v>1021760</v>
      </c>
    </row>
    <row r="564" spans="1:18" x14ac:dyDescent="0.25">
      <c r="A564" s="170">
        <v>42832</v>
      </c>
      <c r="B564" s="116">
        <v>793.5</v>
      </c>
      <c r="C564" s="116">
        <v>767.375</v>
      </c>
      <c r="D564" s="116">
        <v>761.125</v>
      </c>
      <c r="E564" s="116">
        <v>781.05</v>
      </c>
      <c r="F564" s="116">
        <v>1534.75</v>
      </c>
      <c r="G564">
        <v>89164</v>
      </c>
      <c r="H564" s="116"/>
      <c r="I564" s="116"/>
      <c r="L564" s="170">
        <v>42832</v>
      </c>
      <c r="M564" s="116">
        <v>767.875</v>
      </c>
      <c r="N564" s="116">
        <v>793.47500000000002</v>
      </c>
      <c r="O564" s="116">
        <v>760.07500000000005</v>
      </c>
      <c r="P564" s="116">
        <v>782.5</v>
      </c>
      <c r="Q564" s="116">
        <v>1535.75</v>
      </c>
      <c r="R564">
        <v>712713</v>
      </c>
    </row>
    <row r="565" spans="1:18" x14ac:dyDescent="0.25">
      <c r="A565" s="170">
        <v>42835</v>
      </c>
      <c r="B565" s="116">
        <v>791.25</v>
      </c>
      <c r="C565" s="116">
        <v>781.77499999999998</v>
      </c>
      <c r="D565" s="116">
        <v>768.35</v>
      </c>
      <c r="E565" s="116">
        <v>775</v>
      </c>
      <c r="F565" s="116">
        <v>1563.55</v>
      </c>
      <c r="G565">
        <v>65939</v>
      </c>
      <c r="H565" s="116"/>
      <c r="I565" s="116"/>
      <c r="L565" s="170">
        <v>42835</v>
      </c>
      <c r="M565" s="116">
        <v>783.4</v>
      </c>
      <c r="N565" s="116">
        <v>791.85</v>
      </c>
      <c r="O565" s="116">
        <v>768.27499999999998</v>
      </c>
      <c r="P565" s="116">
        <v>772.5</v>
      </c>
      <c r="Q565" s="116">
        <v>1566.8</v>
      </c>
      <c r="R565">
        <v>481855</v>
      </c>
    </row>
    <row r="566" spans="1:18" x14ac:dyDescent="0.25">
      <c r="A566" s="170">
        <v>42836</v>
      </c>
      <c r="B566" s="116">
        <v>803.1</v>
      </c>
      <c r="C566" s="116">
        <v>786.92499999999995</v>
      </c>
      <c r="D566" s="116">
        <v>781.32500000000005</v>
      </c>
      <c r="E566" s="116">
        <v>788.4</v>
      </c>
      <c r="F566" s="116">
        <v>1573.85</v>
      </c>
      <c r="G566">
        <v>96937</v>
      </c>
      <c r="H566" s="116"/>
      <c r="I566" s="116"/>
      <c r="L566" s="170">
        <v>42836</v>
      </c>
      <c r="M566" s="116">
        <v>786.97500000000002</v>
      </c>
      <c r="N566" s="116">
        <v>802.5</v>
      </c>
      <c r="O566" s="116">
        <v>780.5</v>
      </c>
      <c r="P566" s="116">
        <v>788</v>
      </c>
      <c r="Q566" s="116">
        <v>1573.95</v>
      </c>
      <c r="R566">
        <v>669918</v>
      </c>
    </row>
    <row r="567" spans="1:18" x14ac:dyDescent="0.25">
      <c r="A567" s="170">
        <v>42837</v>
      </c>
      <c r="B567" s="116">
        <v>792.35</v>
      </c>
      <c r="C567" s="116">
        <v>776.3</v>
      </c>
      <c r="D567" s="116">
        <v>772.5</v>
      </c>
      <c r="E567" s="116">
        <v>787.5</v>
      </c>
      <c r="F567" s="116">
        <v>1552.6</v>
      </c>
      <c r="G567">
        <v>36706</v>
      </c>
      <c r="H567" s="116"/>
      <c r="I567" s="116"/>
      <c r="L567" s="170">
        <v>42837</v>
      </c>
      <c r="M567" s="116">
        <v>777.1</v>
      </c>
      <c r="N567" s="116">
        <v>792.5</v>
      </c>
      <c r="O567" s="116">
        <v>771.52499999999998</v>
      </c>
      <c r="P567" s="116">
        <v>792.5</v>
      </c>
      <c r="Q567" s="116">
        <v>1554.2</v>
      </c>
      <c r="R567">
        <v>234532</v>
      </c>
    </row>
    <row r="568" spans="1:18" x14ac:dyDescent="0.25">
      <c r="A568" s="170">
        <v>42838</v>
      </c>
      <c r="B568" s="116">
        <v>781.5</v>
      </c>
      <c r="C568" s="116">
        <v>768.875</v>
      </c>
      <c r="D568" s="116">
        <v>766.875</v>
      </c>
      <c r="E568" s="116">
        <v>773.25</v>
      </c>
      <c r="F568" s="116">
        <v>1537.75</v>
      </c>
      <c r="G568">
        <v>33824</v>
      </c>
      <c r="H568" s="116"/>
      <c r="I568" s="116"/>
      <c r="L568" s="170">
        <v>42838</v>
      </c>
      <c r="M568" s="116">
        <v>769.22500000000002</v>
      </c>
      <c r="N568" s="116">
        <v>781.27499999999998</v>
      </c>
      <c r="O568" s="116">
        <v>766.55</v>
      </c>
      <c r="P568" s="116">
        <v>777.7</v>
      </c>
      <c r="Q568" s="116">
        <v>1538.45</v>
      </c>
      <c r="R568">
        <v>163042</v>
      </c>
    </row>
    <row r="569" spans="1:18" x14ac:dyDescent="0.25">
      <c r="A569" s="170">
        <v>42842</v>
      </c>
      <c r="B569" s="116">
        <v>772.72500000000002</v>
      </c>
      <c r="C569" s="116">
        <v>765.3</v>
      </c>
      <c r="D569" s="116">
        <v>760.5</v>
      </c>
      <c r="E569" s="116">
        <v>769</v>
      </c>
      <c r="F569" s="116">
        <v>1530.6</v>
      </c>
      <c r="G569">
        <v>23223</v>
      </c>
      <c r="H569" s="116"/>
      <c r="I569" s="116"/>
      <c r="L569" s="170">
        <v>42842</v>
      </c>
      <c r="M569" s="116">
        <v>766.47500000000002</v>
      </c>
      <c r="N569" s="116">
        <v>774</v>
      </c>
      <c r="O569" s="116">
        <v>762.5</v>
      </c>
      <c r="P569" s="116">
        <v>769.47500000000002</v>
      </c>
      <c r="Q569" s="116">
        <v>1532.95</v>
      </c>
      <c r="R569">
        <v>121950</v>
      </c>
    </row>
    <row r="570" spans="1:18" x14ac:dyDescent="0.25">
      <c r="A570" s="170">
        <v>42843</v>
      </c>
      <c r="B570" s="116">
        <v>787.25</v>
      </c>
      <c r="C570" s="116">
        <v>762.95</v>
      </c>
      <c r="D570" s="116">
        <v>755.02499999999998</v>
      </c>
      <c r="E570" s="116">
        <v>767.5</v>
      </c>
      <c r="F570" s="116">
        <v>1525.9</v>
      </c>
      <c r="G570">
        <v>52164</v>
      </c>
      <c r="H570" s="116"/>
      <c r="I570" s="116"/>
      <c r="L570" s="170">
        <v>42843</v>
      </c>
      <c r="M570" s="116">
        <v>762.32500000000005</v>
      </c>
      <c r="N570" s="116">
        <v>787</v>
      </c>
      <c r="O570" s="116">
        <v>753.67499999999995</v>
      </c>
      <c r="P570" s="116">
        <v>769.35</v>
      </c>
      <c r="Q570" s="116">
        <v>1524.65</v>
      </c>
      <c r="R570">
        <v>466662</v>
      </c>
    </row>
    <row r="571" spans="1:18" x14ac:dyDescent="0.25">
      <c r="A571" s="170">
        <v>42844</v>
      </c>
      <c r="B571" s="116">
        <v>773.625</v>
      </c>
      <c r="C571" s="116">
        <v>767.85</v>
      </c>
      <c r="D571" s="116">
        <v>763</v>
      </c>
      <c r="E571" s="116">
        <v>763</v>
      </c>
      <c r="F571" s="116">
        <v>1535.7</v>
      </c>
      <c r="G571">
        <v>22939</v>
      </c>
      <c r="H571" s="116"/>
      <c r="I571" s="116"/>
      <c r="L571" s="170">
        <v>42844</v>
      </c>
      <c r="M571" s="116">
        <v>768.1</v>
      </c>
      <c r="N571" s="116">
        <v>773.5</v>
      </c>
      <c r="O571" s="116">
        <v>762.5</v>
      </c>
      <c r="P571" s="116">
        <v>766.97500000000002</v>
      </c>
      <c r="Q571" s="116">
        <v>1536.2</v>
      </c>
      <c r="R571">
        <v>176710</v>
      </c>
    </row>
    <row r="572" spans="1:18" x14ac:dyDescent="0.25">
      <c r="A572" s="170">
        <v>42845</v>
      </c>
      <c r="B572" s="116">
        <v>775.5</v>
      </c>
      <c r="C572" s="116">
        <v>771.625</v>
      </c>
      <c r="D572" s="116">
        <v>765</v>
      </c>
      <c r="E572" s="116">
        <v>767.85</v>
      </c>
      <c r="F572" s="116">
        <v>1543.25</v>
      </c>
      <c r="G572">
        <v>26472</v>
      </c>
      <c r="H572" s="116"/>
      <c r="I572" s="116"/>
      <c r="L572" s="170">
        <v>42845</v>
      </c>
      <c r="M572" s="116">
        <v>772.05</v>
      </c>
      <c r="N572" s="116">
        <v>775.5</v>
      </c>
      <c r="O572" s="116">
        <v>764.125</v>
      </c>
      <c r="P572" s="116">
        <v>770</v>
      </c>
      <c r="Q572" s="116">
        <v>1544.1</v>
      </c>
      <c r="R572">
        <v>225792</v>
      </c>
    </row>
    <row r="573" spans="1:18" x14ac:dyDescent="0.25">
      <c r="A573" s="170">
        <v>42846</v>
      </c>
      <c r="B573" s="116">
        <v>783.5</v>
      </c>
      <c r="C573" s="116">
        <v>771.42499999999995</v>
      </c>
      <c r="D573" s="116">
        <v>769</v>
      </c>
      <c r="E573" s="116">
        <v>775.5</v>
      </c>
      <c r="F573" s="116">
        <v>1542.85</v>
      </c>
      <c r="G573">
        <v>22229</v>
      </c>
      <c r="H573" s="116"/>
      <c r="I573" s="116"/>
      <c r="L573" s="170">
        <v>42846</v>
      </c>
      <c r="M573" s="116">
        <v>772.77499999999998</v>
      </c>
      <c r="N573" s="116">
        <v>784.05</v>
      </c>
      <c r="O573" s="116">
        <v>768.65</v>
      </c>
      <c r="P573" s="116">
        <v>773.5</v>
      </c>
      <c r="Q573" s="116">
        <v>1545.55</v>
      </c>
      <c r="R573">
        <v>246301</v>
      </c>
    </row>
    <row r="574" spans="1:18" x14ac:dyDescent="0.25">
      <c r="A574" s="170">
        <v>42849</v>
      </c>
      <c r="B574" s="116">
        <v>792.5</v>
      </c>
      <c r="C574" s="116">
        <v>790.8</v>
      </c>
      <c r="D574" s="116">
        <v>772.35</v>
      </c>
      <c r="E574" s="116">
        <v>774.27499999999998</v>
      </c>
      <c r="F574" s="116">
        <v>1581.6</v>
      </c>
      <c r="G574">
        <v>41907</v>
      </c>
      <c r="H574" s="116"/>
      <c r="I574" s="116"/>
      <c r="L574" s="170">
        <v>42849</v>
      </c>
      <c r="M574" s="116">
        <v>790.375</v>
      </c>
      <c r="N574" s="116">
        <v>793</v>
      </c>
      <c r="O574" s="116">
        <v>772.77499999999998</v>
      </c>
      <c r="P574" s="116">
        <v>773.55</v>
      </c>
      <c r="Q574" s="116">
        <v>1580.75</v>
      </c>
      <c r="R574">
        <v>325254</v>
      </c>
    </row>
    <row r="575" spans="1:18" x14ac:dyDescent="0.25">
      <c r="A575" s="170">
        <v>42850</v>
      </c>
      <c r="B575" s="116">
        <v>800</v>
      </c>
      <c r="C575" s="116">
        <v>793.67499999999995</v>
      </c>
      <c r="D575" s="116">
        <v>781.1</v>
      </c>
      <c r="E575" s="116">
        <v>797</v>
      </c>
      <c r="F575" s="116">
        <v>1587.35</v>
      </c>
      <c r="G575">
        <v>53031</v>
      </c>
      <c r="H575" s="116"/>
      <c r="I575" s="116"/>
      <c r="L575" s="170">
        <v>42850</v>
      </c>
      <c r="M575" s="116">
        <v>795.97500000000002</v>
      </c>
      <c r="N575" s="116">
        <v>801.72500000000002</v>
      </c>
      <c r="O575" s="116">
        <v>780</v>
      </c>
      <c r="P575" s="116">
        <v>796.5</v>
      </c>
      <c r="Q575" s="116">
        <v>1591.95</v>
      </c>
      <c r="R575">
        <v>422173</v>
      </c>
    </row>
    <row r="576" spans="1:18" x14ac:dyDescent="0.25">
      <c r="A576" s="170">
        <v>42851</v>
      </c>
      <c r="B576" s="116">
        <v>798.97500000000002</v>
      </c>
      <c r="C576" s="116">
        <v>783.52499999999998</v>
      </c>
      <c r="D576" s="116">
        <v>778.125</v>
      </c>
      <c r="E576" s="116">
        <v>795</v>
      </c>
      <c r="F576" s="116">
        <v>1567.05</v>
      </c>
      <c r="G576">
        <v>40213</v>
      </c>
      <c r="H576" s="116"/>
      <c r="I576" s="116"/>
      <c r="L576" s="170">
        <v>42851</v>
      </c>
      <c r="M576" s="116">
        <v>784.42499999999995</v>
      </c>
      <c r="N576" s="116">
        <v>799.47500000000002</v>
      </c>
      <c r="O576" s="116">
        <v>777.52499999999998</v>
      </c>
      <c r="P576" s="116">
        <v>797</v>
      </c>
      <c r="Q576" s="116">
        <v>1568.85</v>
      </c>
      <c r="R576">
        <v>218661</v>
      </c>
    </row>
    <row r="577" spans="1:18" x14ac:dyDescent="0.25">
      <c r="A577" s="170">
        <v>42852</v>
      </c>
      <c r="B577" s="116">
        <v>789</v>
      </c>
      <c r="C577" s="116">
        <v>764.82500000000005</v>
      </c>
      <c r="D577" s="116">
        <v>757.2</v>
      </c>
      <c r="E577" s="116">
        <v>785.05</v>
      </c>
      <c r="F577" s="116">
        <v>1529.65</v>
      </c>
      <c r="G577">
        <v>67371</v>
      </c>
      <c r="H577" s="116"/>
      <c r="I577" s="116"/>
      <c r="L577" s="170">
        <v>42852</v>
      </c>
      <c r="M577" s="116">
        <v>762.875</v>
      </c>
      <c r="N577" s="116">
        <v>788.55</v>
      </c>
      <c r="O577" s="116">
        <v>757.02499999999998</v>
      </c>
      <c r="P577" s="116">
        <v>784.5</v>
      </c>
      <c r="Q577" s="116">
        <v>1525.75</v>
      </c>
      <c r="R577">
        <v>533572</v>
      </c>
    </row>
    <row r="578" spans="1:18" x14ac:dyDescent="0.25">
      <c r="A578" s="170">
        <v>42853</v>
      </c>
      <c r="B578" s="116">
        <v>769.9</v>
      </c>
      <c r="C578" s="116">
        <v>755.82500000000005</v>
      </c>
      <c r="D578" s="116">
        <v>752.75</v>
      </c>
      <c r="E578" s="116">
        <v>769.9</v>
      </c>
      <c r="F578" s="116">
        <v>1511.65</v>
      </c>
      <c r="G578">
        <v>35836</v>
      </c>
      <c r="H578" s="116"/>
      <c r="I578" s="116"/>
      <c r="L578" s="170">
        <v>42853</v>
      </c>
      <c r="M578" s="116">
        <v>756.02499999999998</v>
      </c>
      <c r="N578" s="116">
        <v>766.5</v>
      </c>
      <c r="O578" s="116">
        <v>752.92499999999995</v>
      </c>
      <c r="P578" s="116">
        <v>764.875</v>
      </c>
      <c r="Q578" s="116">
        <v>1512.05</v>
      </c>
      <c r="R578">
        <v>233473</v>
      </c>
    </row>
    <row r="579" spans="1:18" x14ac:dyDescent="0.25">
      <c r="A579" s="170">
        <v>42857</v>
      </c>
      <c r="B579" s="116">
        <v>767</v>
      </c>
      <c r="C579" s="116">
        <v>763.82500000000005</v>
      </c>
      <c r="D579" s="116">
        <v>755.57500000000005</v>
      </c>
      <c r="E579" s="116">
        <v>760</v>
      </c>
      <c r="F579" s="116">
        <v>1527.65</v>
      </c>
      <c r="G579">
        <v>32114</v>
      </c>
      <c r="H579" s="116"/>
      <c r="I579" s="116"/>
      <c r="L579" s="170">
        <v>42857</v>
      </c>
      <c r="M579" s="116">
        <v>765.47500000000002</v>
      </c>
      <c r="N579" s="116">
        <v>768.42499999999995</v>
      </c>
      <c r="O579" s="116">
        <v>755</v>
      </c>
      <c r="P579" s="116">
        <v>758.75</v>
      </c>
      <c r="Q579" s="116">
        <v>1530.95</v>
      </c>
      <c r="R579">
        <v>204301</v>
      </c>
    </row>
    <row r="580" spans="1:18" x14ac:dyDescent="0.25">
      <c r="A580" s="170">
        <v>42858</v>
      </c>
      <c r="B580" s="116">
        <v>779</v>
      </c>
      <c r="C580" s="116">
        <v>765.57500000000005</v>
      </c>
      <c r="D580" s="116">
        <v>763</v>
      </c>
      <c r="E580" s="116">
        <v>768.4</v>
      </c>
      <c r="F580" s="116">
        <v>1531.15</v>
      </c>
      <c r="G580">
        <v>44955</v>
      </c>
      <c r="H580" s="116"/>
      <c r="I580" s="116"/>
      <c r="L580" s="170">
        <v>42858</v>
      </c>
      <c r="M580" s="116">
        <v>766.72500000000002</v>
      </c>
      <c r="N580" s="116">
        <v>778.5</v>
      </c>
      <c r="O580" s="116">
        <v>763.52499999999998</v>
      </c>
      <c r="P580" s="116">
        <v>766.625</v>
      </c>
      <c r="Q580" s="116">
        <v>1533.45</v>
      </c>
      <c r="R580">
        <v>229518</v>
      </c>
    </row>
    <row r="581" spans="1:18" x14ac:dyDescent="0.25">
      <c r="A581" s="170">
        <v>42859</v>
      </c>
      <c r="B581" s="116">
        <v>784</v>
      </c>
      <c r="C581" s="116">
        <v>774.95</v>
      </c>
      <c r="D581" s="116">
        <v>767.32500000000005</v>
      </c>
      <c r="E581" s="116">
        <v>767.32500000000005</v>
      </c>
      <c r="F581" s="116">
        <v>1549.9</v>
      </c>
      <c r="G581">
        <v>43400</v>
      </c>
      <c r="H581" s="116"/>
      <c r="I581" s="116"/>
      <c r="L581" s="170">
        <v>42859</v>
      </c>
      <c r="M581" s="116">
        <v>777.32500000000005</v>
      </c>
      <c r="N581" s="116">
        <v>783.7</v>
      </c>
      <c r="O581" s="116">
        <v>767.1</v>
      </c>
      <c r="P581" s="116">
        <v>767.5</v>
      </c>
      <c r="Q581" s="116">
        <v>1554.65</v>
      </c>
      <c r="R581">
        <v>312636</v>
      </c>
    </row>
    <row r="582" spans="1:18" x14ac:dyDescent="0.25">
      <c r="A582" s="170">
        <v>42860</v>
      </c>
      <c r="B582" s="116">
        <v>780</v>
      </c>
      <c r="C582" s="116">
        <v>771.4</v>
      </c>
      <c r="D582" s="116">
        <v>769.55</v>
      </c>
      <c r="E582" s="116">
        <v>773.97500000000002</v>
      </c>
      <c r="F582" s="116">
        <v>1542.8</v>
      </c>
      <c r="G582">
        <v>19809</v>
      </c>
      <c r="H582" s="116"/>
      <c r="I582" s="116"/>
      <c r="L582" s="170">
        <v>42860</v>
      </c>
      <c r="M582" s="116">
        <v>772.15</v>
      </c>
      <c r="N582" s="116">
        <v>780.47500000000002</v>
      </c>
      <c r="O582" s="116">
        <v>767.5</v>
      </c>
      <c r="P582" s="116">
        <v>770</v>
      </c>
      <c r="Q582" s="116">
        <v>1544.3</v>
      </c>
      <c r="R582">
        <v>256508</v>
      </c>
    </row>
    <row r="583" spans="1:18" x14ac:dyDescent="0.25">
      <c r="A583" s="170">
        <v>42863</v>
      </c>
      <c r="B583" s="116">
        <v>773.02499999999998</v>
      </c>
      <c r="C583" s="116">
        <v>764.72500000000002</v>
      </c>
      <c r="D583" s="116">
        <v>764</v>
      </c>
      <c r="E583" s="116">
        <v>772.375</v>
      </c>
      <c r="F583" s="116">
        <v>1529.45</v>
      </c>
      <c r="G583">
        <v>11651</v>
      </c>
      <c r="H583" s="116"/>
      <c r="I583" s="116"/>
      <c r="L583" s="170">
        <v>42863</v>
      </c>
      <c r="M583" s="116">
        <v>764.875</v>
      </c>
      <c r="N583" s="116">
        <v>773.875</v>
      </c>
      <c r="O583" s="116">
        <v>763.6</v>
      </c>
      <c r="P583" s="116">
        <v>772.5</v>
      </c>
      <c r="Q583" s="116">
        <v>1529.75</v>
      </c>
      <c r="R583">
        <v>102767</v>
      </c>
    </row>
    <row r="584" spans="1:18" x14ac:dyDescent="0.25">
      <c r="A584" s="170">
        <v>42864</v>
      </c>
      <c r="B584" s="116">
        <v>774.45</v>
      </c>
      <c r="C584" s="116">
        <v>770.35</v>
      </c>
      <c r="D584" s="116">
        <v>766.07500000000005</v>
      </c>
      <c r="E584" s="116">
        <v>769.27499999999998</v>
      </c>
      <c r="F584" s="116">
        <v>1540.7</v>
      </c>
      <c r="G584">
        <v>17712</v>
      </c>
      <c r="H584" s="116"/>
      <c r="I584" s="116"/>
      <c r="L584" s="170">
        <v>42864</v>
      </c>
      <c r="M584" s="116">
        <v>771.1</v>
      </c>
      <c r="N584" s="116">
        <v>774.95</v>
      </c>
      <c r="O584" s="116">
        <v>766.5</v>
      </c>
      <c r="P584" s="116">
        <v>768.35</v>
      </c>
      <c r="Q584" s="116">
        <v>1542.2</v>
      </c>
      <c r="R584">
        <v>115609</v>
      </c>
    </row>
    <row r="585" spans="1:18" x14ac:dyDescent="0.25">
      <c r="A585" s="170">
        <v>42865</v>
      </c>
      <c r="B585" s="116">
        <v>775.35</v>
      </c>
      <c r="C585" s="116">
        <v>768.67499999999995</v>
      </c>
      <c r="D585" s="116">
        <v>764</v>
      </c>
      <c r="E585" s="116">
        <v>769.77499999999998</v>
      </c>
      <c r="F585" s="116">
        <v>1537.35</v>
      </c>
      <c r="G585">
        <v>17237</v>
      </c>
      <c r="H585" s="116"/>
      <c r="I585" s="116"/>
      <c r="L585" s="170">
        <v>42865</v>
      </c>
      <c r="M585" s="116">
        <v>769.27499999999998</v>
      </c>
      <c r="N585" s="116">
        <v>776</v>
      </c>
      <c r="O585" s="116">
        <v>764</v>
      </c>
      <c r="P585" s="116">
        <v>773.25</v>
      </c>
      <c r="Q585" s="116">
        <v>1538.55</v>
      </c>
      <c r="R585">
        <v>83149</v>
      </c>
    </row>
    <row r="586" spans="1:18" x14ac:dyDescent="0.25">
      <c r="A586" s="170">
        <v>42866</v>
      </c>
      <c r="B586" s="116">
        <v>773.5</v>
      </c>
      <c r="C586" s="116">
        <v>767.4</v>
      </c>
      <c r="D586" s="116">
        <v>764.875</v>
      </c>
      <c r="E586" s="116">
        <v>771.82500000000005</v>
      </c>
      <c r="F586" s="116">
        <v>1534.8</v>
      </c>
      <c r="G586">
        <v>20928</v>
      </c>
      <c r="H586" s="116"/>
      <c r="I586" s="116"/>
      <c r="L586" s="170">
        <v>42866</v>
      </c>
      <c r="M586" s="116">
        <v>768.75</v>
      </c>
      <c r="N586" s="116">
        <v>773.875</v>
      </c>
      <c r="O586" s="116">
        <v>765</v>
      </c>
      <c r="P586" s="116">
        <v>770.85</v>
      </c>
      <c r="Q586" s="116">
        <v>1537.5</v>
      </c>
      <c r="R586">
        <v>103812</v>
      </c>
    </row>
    <row r="587" spans="1:18" x14ac:dyDescent="0.25">
      <c r="A587" s="170">
        <v>42867</v>
      </c>
      <c r="B587" s="116">
        <v>793.2</v>
      </c>
      <c r="C587" s="116">
        <v>775.05</v>
      </c>
      <c r="D587" s="116">
        <v>767.4</v>
      </c>
      <c r="E587" s="116">
        <v>767.4</v>
      </c>
      <c r="F587" s="116">
        <v>1550.1</v>
      </c>
      <c r="G587">
        <v>85373</v>
      </c>
      <c r="H587" s="116"/>
      <c r="I587" s="116"/>
      <c r="L587" s="170">
        <v>42867</v>
      </c>
      <c r="M587" s="116">
        <v>774.95</v>
      </c>
      <c r="N587" s="116">
        <v>793</v>
      </c>
      <c r="O587" s="116">
        <v>766.3</v>
      </c>
      <c r="P587" s="116">
        <v>767.85</v>
      </c>
      <c r="Q587" s="116">
        <v>1549.9</v>
      </c>
      <c r="R587">
        <v>484208</v>
      </c>
    </row>
    <row r="588" spans="1:18" x14ac:dyDescent="0.25">
      <c r="A588" s="170">
        <v>42870</v>
      </c>
      <c r="B588" s="116">
        <v>781.5</v>
      </c>
      <c r="C588" s="116">
        <v>779.22500000000002</v>
      </c>
      <c r="D588" s="116">
        <v>771.02499999999998</v>
      </c>
      <c r="E588" s="116">
        <v>780.5</v>
      </c>
      <c r="F588" s="116">
        <v>1558.45</v>
      </c>
      <c r="G588">
        <v>19702</v>
      </c>
      <c r="H588" s="116"/>
      <c r="I588" s="116"/>
      <c r="L588" s="170">
        <v>42870</v>
      </c>
      <c r="M588" s="116">
        <v>779.42499999999995</v>
      </c>
      <c r="N588" s="116">
        <v>781.95</v>
      </c>
      <c r="O588" s="116">
        <v>770.75</v>
      </c>
      <c r="P588" s="116">
        <v>776</v>
      </c>
      <c r="Q588" s="116">
        <v>1558.85</v>
      </c>
      <c r="R588">
        <v>142489</v>
      </c>
    </row>
    <row r="589" spans="1:18" x14ac:dyDescent="0.25">
      <c r="A589" s="170">
        <v>42871</v>
      </c>
      <c r="B589" s="116">
        <v>791.35</v>
      </c>
      <c r="C589" s="116">
        <v>779.95</v>
      </c>
      <c r="D589" s="116">
        <v>775.85</v>
      </c>
      <c r="E589" s="116">
        <v>777.97500000000002</v>
      </c>
      <c r="F589" s="116">
        <v>1559.9</v>
      </c>
      <c r="G589">
        <v>29854</v>
      </c>
      <c r="H589" s="116"/>
      <c r="I589" s="116"/>
      <c r="L589" s="170">
        <v>42871</v>
      </c>
      <c r="M589" s="116">
        <v>779.65</v>
      </c>
      <c r="N589" s="116">
        <v>792.15</v>
      </c>
      <c r="O589" s="116">
        <v>775.55</v>
      </c>
      <c r="P589" s="116">
        <v>780</v>
      </c>
      <c r="Q589" s="116">
        <v>1559.3</v>
      </c>
      <c r="R589">
        <v>216428</v>
      </c>
    </row>
    <row r="590" spans="1:18" x14ac:dyDescent="0.25">
      <c r="A590" s="170">
        <v>42872</v>
      </c>
      <c r="B590" s="116">
        <v>787</v>
      </c>
      <c r="C590" s="116">
        <v>781.3</v>
      </c>
      <c r="D590" s="116">
        <v>775.65</v>
      </c>
      <c r="E590" s="116">
        <v>782.72500000000002</v>
      </c>
      <c r="F590" s="116">
        <v>1562.6</v>
      </c>
      <c r="G590">
        <v>21585</v>
      </c>
      <c r="H590" s="116"/>
      <c r="I590" s="116"/>
      <c r="L590" s="170">
        <v>42872</v>
      </c>
      <c r="M590" s="116">
        <v>781.1</v>
      </c>
      <c r="N590" s="116">
        <v>787.5</v>
      </c>
      <c r="O590" s="116">
        <v>775.52499999999998</v>
      </c>
      <c r="P590" s="116">
        <v>780.77499999999998</v>
      </c>
      <c r="Q590" s="116">
        <v>1562.2</v>
      </c>
      <c r="R590">
        <v>179164</v>
      </c>
    </row>
    <row r="591" spans="1:18" x14ac:dyDescent="0.25">
      <c r="A591" s="170">
        <v>42873</v>
      </c>
      <c r="B591" s="116">
        <v>796</v>
      </c>
      <c r="C591" s="116">
        <v>776.52499999999998</v>
      </c>
      <c r="D591" s="116">
        <v>769.25</v>
      </c>
      <c r="E591" s="116">
        <v>772.625</v>
      </c>
      <c r="F591" s="116">
        <v>1553.05</v>
      </c>
      <c r="G591">
        <v>63904</v>
      </c>
      <c r="H591" s="116"/>
      <c r="I591" s="116"/>
      <c r="L591" s="170">
        <v>42873</v>
      </c>
      <c r="M591" s="116">
        <v>777.32500000000005</v>
      </c>
      <c r="N591" s="116">
        <v>797</v>
      </c>
      <c r="O591" s="116">
        <v>769.77499999999998</v>
      </c>
      <c r="P591" s="116">
        <v>777.5</v>
      </c>
      <c r="Q591" s="116">
        <v>1554.65</v>
      </c>
      <c r="R591">
        <v>517129</v>
      </c>
    </row>
    <row r="592" spans="1:18" x14ac:dyDescent="0.25">
      <c r="A592" s="170">
        <v>42874</v>
      </c>
      <c r="B592" s="116">
        <v>790</v>
      </c>
      <c r="C592" s="116">
        <v>774.6</v>
      </c>
      <c r="D592" s="116">
        <v>770.02499999999998</v>
      </c>
      <c r="E592" s="116">
        <v>777.5</v>
      </c>
      <c r="F592" s="116">
        <v>1549.2</v>
      </c>
      <c r="G592">
        <v>26087</v>
      </c>
      <c r="H592" s="116"/>
      <c r="I592" s="116"/>
      <c r="L592" s="170">
        <v>42874</v>
      </c>
      <c r="M592" s="116">
        <v>775.625</v>
      </c>
      <c r="N592" s="116">
        <v>790</v>
      </c>
      <c r="O592" s="116">
        <v>768.55</v>
      </c>
      <c r="P592" s="116">
        <v>782.5</v>
      </c>
      <c r="Q592" s="116">
        <v>1551.25</v>
      </c>
      <c r="R592">
        <v>207021</v>
      </c>
    </row>
    <row r="593" spans="1:18" x14ac:dyDescent="0.25">
      <c r="A593" s="170">
        <v>42877</v>
      </c>
      <c r="B593" s="116">
        <v>782.5</v>
      </c>
      <c r="C593" s="116">
        <v>763.32500000000005</v>
      </c>
      <c r="D593" s="116">
        <v>761.47500000000002</v>
      </c>
      <c r="E593" s="116">
        <v>780.375</v>
      </c>
      <c r="F593" s="116">
        <v>1526.65</v>
      </c>
      <c r="G593">
        <v>19146</v>
      </c>
      <c r="H593" s="116"/>
      <c r="I593" s="116"/>
      <c r="L593" s="170">
        <v>42877</v>
      </c>
      <c r="M593" s="116">
        <v>764.02499999999998</v>
      </c>
      <c r="N593" s="116">
        <v>782.5</v>
      </c>
      <c r="O593" s="116">
        <v>761.7</v>
      </c>
      <c r="P593" s="116">
        <v>781</v>
      </c>
      <c r="Q593" s="116">
        <v>1528.05</v>
      </c>
      <c r="R593">
        <v>140262</v>
      </c>
    </row>
    <row r="594" spans="1:18" x14ac:dyDescent="0.25">
      <c r="A594" s="170">
        <v>42878</v>
      </c>
      <c r="B594" s="116">
        <v>762.75</v>
      </c>
      <c r="C594" s="116">
        <v>725.82500000000005</v>
      </c>
      <c r="D594" s="116">
        <v>720</v>
      </c>
      <c r="E594" s="116">
        <v>762.125</v>
      </c>
      <c r="F594" s="116">
        <v>1451.65</v>
      </c>
      <c r="G594">
        <v>44542</v>
      </c>
      <c r="H594" s="116"/>
      <c r="I594" s="116"/>
      <c r="L594" s="170">
        <v>42878</v>
      </c>
      <c r="M594" s="116">
        <v>727.7</v>
      </c>
      <c r="N594" s="116">
        <v>766.8</v>
      </c>
      <c r="O594" s="116">
        <v>721</v>
      </c>
      <c r="P594" s="116">
        <v>766.8</v>
      </c>
      <c r="Q594" s="116">
        <v>1455.4</v>
      </c>
      <c r="R594">
        <v>230116</v>
      </c>
    </row>
    <row r="595" spans="1:18" x14ac:dyDescent="0.25">
      <c r="A595" s="170">
        <v>42879</v>
      </c>
      <c r="B595" s="116">
        <v>725.9</v>
      </c>
      <c r="C595" s="116">
        <v>663.55</v>
      </c>
      <c r="D595" s="116">
        <v>643.75</v>
      </c>
      <c r="E595" s="116">
        <v>725.9</v>
      </c>
      <c r="F595" s="116">
        <v>1327.1</v>
      </c>
      <c r="G595">
        <v>137507</v>
      </c>
      <c r="H595" s="116"/>
      <c r="I595" s="116"/>
      <c r="L595" s="170">
        <v>42879</v>
      </c>
      <c r="M595" s="116">
        <v>664.625</v>
      </c>
      <c r="N595" s="116">
        <v>725</v>
      </c>
      <c r="O595" s="116">
        <v>641.17499999999995</v>
      </c>
      <c r="P595" s="116">
        <v>720.5</v>
      </c>
      <c r="Q595" s="116">
        <v>1329.25</v>
      </c>
      <c r="R595">
        <v>759370</v>
      </c>
    </row>
    <row r="596" spans="1:18" x14ac:dyDescent="0.25">
      <c r="A596" s="170">
        <v>42880</v>
      </c>
      <c r="B596" s="116">
        <v>673.75</v>
      </c>
      <c r="C596" s="116">
        <v>664.85</v>
      </c>
      <c r="D596" s="116">
        <v>655.75</v>
      </c>
      <c r="E596" s="116">
        <v>664.5</v>
      </c>
      <c r="F596" s="116">
        <v>1329.7</v>
      </c>
      <c r="G596">
        <v>66132</v>
      </c>
      <c r="H596" s="116"/>
      <c r="I596" s="116"/>
      <c r="L596" s="170">
        <v>42880</v>
      </c>
      <c r="M596" s="116">
        <v>664.95</v>
      </c>
      <c r="N596" s="116">
        <v>674.375</v>
      </c>
      <c r="O596" s="116">
        <v>655.125</v>
      </c>
      <c r="P596" s="116">
        <v>663.625</v>
      </c>
      <c r="Q596" s="116">
        <v>1329.9</v>
      </c>
      <c r="R596">
        <v>429321</v>
      </c>
    </row>
    <row r="597" spans="1:18" x14ac:dyDescent="0.25">
      <c r="A597" s="170">
        <v>42881</v>
      </c>
      <c r="B597" s="116">
        <v>684.72500000000002</v>
      </c>
      <c r="C597" s="116">
        <v>679.65</v>
      </c>
      <c r="D597" s="116">
        <v>668.75</v>
      </c>
      <c r="E597" s="116">
        <v>668.75</v>
      </c>
      <c r="F597" s="116">
        <v>1359.3</v>
      </c>
      <c r="G597">
        <v>47487</v>
      </c>
      <c r="H597" s="116"/>
      <c r="I597" s="116"/>
      <c r="L597" s="170">
        <v>42881</v>
      </c>
      <c r="M597" s="116">
        <v>681.25</v>
      </c>
      <c r="N597" s="116">
        <v>685.47500000000002</v>
      </c>
      <c r="O597" s="116">
        <v>665.97500000000002</v>
      </c>
      <c r="P597" s="116">
        <v>666.05</v>
      </c>
      <c r="Q597" s="116">
        <v>1362.5</v>
      </c>
      <c r="R597">
        <v>298034</v>
      </c>
    </row>
    <row r="598" spans="1:18" x14ac:dyDescent="0.25">
      <c r="A598" s="170">
        <v>42884</v>
      </c>
      <c r="B598" s="116">
        <v>683.9</v>
      </c>
      <c r="C598" s="116">
        <v>666.8</v>
      </c>
      <c r="D598" s="116">
        <v>663</v>
      </c>
      <c r="E598" s="116">
        <v>677.25</v>
      </c>
      <c r="F598" s="116">
        <v>1333.6</v>
      </c>
      <c r="G598">
        <v>33514</v>
      </c>
      <c r="H598" s="116"/>
      <c r="I598" s="116"/>
      <c r="L598" s="170">
        <v>42884</v>
      </c>
      <c r="M598" s="116">
        <v>666.875</v>
      </c>
      <c r="N598" s="116">
        <v>682.9</v>
      </c>
      <c r="O598" s="116">
        <v>662.15</v>
      </c>
      <c r="P598" s="116">
        <v>682.47500000000002</v>
      </c>
      <c r="Q598" s="116">
        <v>1333.75</v>
      </c>
      <c r="R598">
        <v>168357</v>
      </c>
    </row>
    <row r="599" spans="1:18" x14ac:dyDescent="0.25">
      <c r="A599" s="170">
        <v>42885</v>
      </c>
      <c r="B599" s="116">
        <v>666.5</v>
      </c>
      <c r="C599" s="116">
        <v>655.5</v>
      </c>
      <c r="D599" s="116">
        <v>646.5</v>
      </c>
      <c r="E599" s="116">
        <v>665.05</v>
      </c>
      <c r="F599" s="116">
        <v>1311</v>
      </c>
      <c r="G599">
        <v>43390</v>
      </c>
      <c r="H599" s="116"/>
      <c r="I599" s="116"/>
      <c r="L599" s="170">
        <v>42885</v>
      </c>
      <c r="M599" s="116">
        <v>656</v>
      </c>
      <c r="N599" s="116">
        <v>667.47500000000002</v>
      </c>
      <c r="O599" s="116">
        <v>646</v>
      </c>
      <c r="P599" s="116">
        <v>665</v>
      </c>
      <c r="Q599" s="116">
        <v>1312</v>
      </c>
      <c r="R599">
        <v>203783</v>
      </c>
    </row>
    <row r="600" spans="1:18" x14ac:dyDescent="0.25">
      <c r="A600" s="170">
        <v>42886</v>
      </c>
      <c r="B600" s="116">
        <v>670.2</v>
      </c>
      <c r="C600" s="116">
        <v>667.3</v>
      </c>
      <c r="D600" s="116">
        <v>656.75</v>
      </c>
      <c r="E600" s="116">
        <v>662</v>
      </c>
      <c r="F600" s="116">
        <v>1334.6</v>
      </c>
      <c r="G600">
        <v>28160</v>
      </c>
      <c r="H600" s="116"/>
      <c r="I600" s="116"/>
      <c r="L600" s="170">
        <v>42886</v>
      </c>
      <c r="M600" s="116">
        <v>667.125</v>
      </c>
      <c r="N600" s="116">
        <v>671.02499999999998</v>
      </c>
      <c r="O600" s="116">
        <v>656.25</v>
      </c>
      <c r="P600" s="116">
        <v>656.25</v>
      </c>
      <c r="Q600" s="116">
        <v>1334.25</v>
      </c>
      <c r="R600">
        <v>156210</v>
      </c>
    </row>
    <row r="601" spans="1:18" x14ac:dyDescent="0.25">
      <c r="A601" s="170">
        <v>42887</v>
      </c>
      <c r="B601" s="116">
        <v>693</v>
      </c>
      <c r="C601" s="116">
        <v>685.625</v>
      </c>
      <c r="D601" s="116">
        <v>662.5</v>
      </c>
      <c r="E601" s="116">
        <v>662.5</v>
      </c>
      <c r="F601" s="116">
        <v>1371.25</v>
      </c>
      <c r="G601">
        <v>66335</v>
      </c>
      <c r="H601" s="116"/>
      <c r="I601" s="116"/>
      <c r="L601" s="170">
        <v>42887</v>
      </c>
      <c r="M601" s="116">
        <v>686.3</v>
      </c>
      <c r="N601" s="116">
        <v>693.5</v>
      </c>
      <c r="O601" s="116">
        <v>665</v>
      </c>
      <c r="P601" s="116">
        <v>669.5</v>
      </c>
      <c r="Q601" s="116">
        <v>1372.6</v>
      </c>
      <c r="R601">
        <v>336001</v>
      </c>
    </row>
    <row r="602" spans="1:18" x14ac:dyDescent="0.25">
      <c r="A602" s="170">
        <v>42888</v>
      </c>
      <c r="B602" s="116">
        <v>692.42499999999995</v>
      </c>
      <c r="C602" s="116">
        <v>679.2</v>
      </c>
      <c r="D602" s="116">
        <v>676.875</v>
      </c>
      <c r="E602" s="116">
        <v>687.5</v>
      </c>
      <c r="F602" s="116">
        <v>1358.4</v>
      </c>
      <c r="G602">
        <v>23353</v>
      </c>
      <c r="H602" s="116"/>
      <c r="I602" s="116"/>
      <c r="L602" s="170">
        <v>42888</v>
      </c>
      <c r="M602" s="116">
        <v>678.1</v>
      </c>
      <c r="N602" s="116">
        <v>693.1</v>
      </c>
      <c r="O602" s="116">
        <v>675.5</v>
      </c>
      <c r="P602" s="116">
        <v>692</v>
      </c>
      <c r="Q602" s="116">
        <v>1356.2</v>
      </c>
      <c r="R602">
        <v>156588</v>
      </c>
    </row>
    <row r="603" spans="1:18" x14ac:dyDescent="0.25">
      <c r="A603" s="170">
        <v>42891</v>
      </c>
      <c r="B603" s="116">
        <v>758</v>
      </c>
      <c r="C603" s="116">
        <v>745.85</v>
      </c>
      <c r="D603" s="116">
        <v>676.65</v>
      </c>
      <c r="E603" s="116">
        <v>678.52499999999998</v>
      </c>
      <c r="F603" s="116">
        <v>1491.7</v>
      </c>
      <c r="G603">
        <v>357410</v>
      </c>
      <c r="H603" s="116"/>
      <c r="I603" s="116"/>
      <c r="L603" s="170">
        <v>42891</v>
      </c>
      <c r="M603" s="116">
        <v>746.1</v>
      </c>
      <c r="N603" s="116">
        <v>762</v>
      </c>
      <c r="O603" s="116">
        <v>675.75</v>
      </c>
      <c r="P603" s="116">
        <v>675.75</v>
      </c>
      <c r="Q603" s="116">
        <v>1492.2</v>
      </c>
      <c r="R603">
        <v>1981591</v>
      </c>
    </row>
    <row r="604" spans="1:18" x14ac:dyDescent="0.25">
      <c r="A604" s="170">
        <v>42892</v>
      </c>
      <c r="B604" s="116">
        <v>799</v>
      </c>
      <c r="C604" s="116">
        <v>770.25</v>
      </c>
      <c r="D604" s="116">
        <v>748.27499999999998</v>
      </c>
      <c r="E604" s="116">
        <v>754</v>
      </c>
      <c r="F604" s="116">
        <v>1540.5</v>
      </c>
      <c r="G604">
        <v>453995</v>
      </c>
      <c r="H604" s="116"/>
      <c r="I604" s="116"/>
      <c r="L604" s="170">
        <v>42892</v>
      </c>
      <c r="M604" s="116">
        <v>770.57500000000005</v>
      </c>
      <c r="N604" s="116">
        <v>798.4</v>
      </c>
      <c r="O604" s="116">
        <v>748.67499999999995</v>
      </c>
      <c r="P604" s="116">
        <v>752.55</v>
      </c>
      <c r="Q604" s="116">
        <v>1541.15</v>
      </c>
      <c r="R604">
        <v>2928142</v>
      </c>
    </row>
    <row r="605" spans="1:18" x14ac:dyDescent="0.25">
      <c r="A605" s="170">
        <v>42893</v>
      </c>
      <c r="B605" s="116">
        <v>781.1</v>
      </c>
      <c r="C605" s="116">
        <v>772.27499999999998</v>
      </c>
      <c r="D605" s="116">
        <v>740.5</v>
      </c>
      <c r="E605" s="116">
        <v>772.55</v>
      </c>
      <c r="F605" s="116">
        <v>1544.55</v>
      </c>
      <c r="G605">
        <v>193740</v>
      </c>
      <c r="H605" s="116"/>
      <c r="I605" s="116"/>
      <c r="L605" s="170">
        <v>42893</v>
      </c>
      <c r="M605" s="116">
        <v>772.52499999999998</v>
      </c>
      <c r="N605" s="116">
        <v>781.97500000000002</v>
      </c>
      <c r="O605" s="116">
        <v>741.05</v>
      </c>
      <c r="P605" s="116">
        <v>774.5</v>
      </c>
      <c r="Q605" s="116">
        <v>1545.05</v>
      </c>
      <c r="R605">
        <v>1280611</v>
      </c>
    </row>
    <row r="606" spans="1:18" x14ac:dyDescent="0.25">
      <c r="A606" s="170">
        <v>42894</v>
      </c>
      <c r="B606" s="116">
        <v>773.52499999999998</v>
      </c>
      <c r="C606" s="116">
        <v>761.57500000000005</v>
      </c>
      <c r="D606" s="116">
        <v>755.1</v>
      </c>
      <c r="E606" s="116">
        <v>773.52499999999998</v>
      </c>
      <c r="F606" s="116">
        <v>1523.15</v>
      </c>
      <c r="G606">
        <v>67288</v>
      </c>
      <c r="H606" s="116"/>
      <c r="I606" s="116"/>
      <c r="L606" s="170">
        <v>42894</v>
      </c>
      <c r="M606" s="116">
        <v>761.625</v>
      </c>
      <c r="N606" s="116">
        <v>772.15</v>
      </c>
      <c r="O606" s="116">
        <v>753.85</v>
      </c>
      <c r="P606" s="116">
        <v>771</v>
      </c>
      <c r="Q606" s="116">
        <v>1523.25</v>
      </c>
      <c r="R606">
        <v>431364</v>
      </c>
    </row>
    <row r="607" spans="1:18" x14ac:dyDescent="0.25">
      <c r="A607" s="170">
        <v>42895</v>
      </c>
      <c r="B607" s="116">
        <v>780.77499999999998</v>
      </c>
      <c r="C607" s="116">
        <v>770.875</v>
      </c>
      <c r="D607" s="116">
        <v>753.7</v>
      </c>
      <c r="E607" s="116">
        <v>762.5</v>
      </c>
      <c r="F607" s="116">
        <v>1541.75</v>
      </c>
      <c r="G607">
        <v>153831</v>
      </c>
      <c r="H607" s="116"/>
      <c r="I607" s="116"/>
      <c r="L607" s="170">
        <v>42895</v>
      </c>
      <c r="M607" s="116">
        <v>770</v>
      </c>
      <c r="N607" s="116">
        <v>781.5</v>
      </c>
      <c r="O607" s="116">
        <v>753.47500000000002</v>
      </c>
      <c r="P607" s="116">
        <v>760</v>
      </c>
      <c r="Q607" s="116">
        <v>1540</v>
      </c>
      <c r="R607">
        <v>768525</v>
      </c>
    </row>
    <row r="608" spans="1:18" x14ac:dyDescent="0.25">
      <c r="A608" s="170">
        <v>42898</v>
      </c>
      <c r="B608" s="116">
        <v>782.3</v>
      </c>
      <c r="C608" s="116">
        <v>771.72500000000002</v>
      </c>
      <c r="D608" s="116">
        <v>760.125</v>
      </c>
      <c r="E608" s="116">
        <v>770.875</v>
      </c>
      <c r="F608" s="116">
        <v>1543.45</v>
      </c>
      <c r="G608">
        <v>94830</v>
      </c>
      <c r="H608" s="116"/>
      <c r="I608" s="116"/>
      <c r="L608" s="170">
        <v>42898</v>
      </c>
      <c r="M608" s="116">
        <v>771.35</v>
      </c>
      <c r="N608" s="116">
        <v>781.55</v>
      </c>
      <c r="O608" s="116">
        <v>760.2</v>
      </c>
      <c r="P608" s="116">
        <v>769.85</v>
      </c>
      <c r="Q608" s="116">
        <v>1542.7</v>
      </c>
      <c r="R608">
        <v>494048</v>
      </c>
    </row>
    <row r="609" spans="1:18" x14ac:dyDescent="0.25">
      <c r="A609" s="170">
        <v>42899</v>
      </c>
      <c r="B609" s="116">
        <v>781.42499999999995</v>
      </c>
      <c r="C609" s="116">
        <v>767.97500000000002</v>
      </c>
      <c r="D609" s="116">
        <v>765.05</v>
      </c>
      <c r="E609" s="116">
        <v>767.55</v>
      </c>
      <c r="F609" s="116">
        <v>1535.95</v>
      </c>
      <c r="G609">
        <v>55912</v>
      </c>
      <c r="H609" s="116"/>
      <c r="I609" s="116"/>
      <c r="L609" s="170">
        <v>42899</v>
      </c>
      <c r="M609" s="116">
        <v>768.6</v>
      </c>
      <c r="N609" s="116">
        <v>781.3</v>
      </c>
      <c r="O609" s="116">
        <v>765.5</v>
      </c>
      <c r="P609" s="116">
        <v>771.4</v>
      </c>
      <c r="Q609" s="116">
        <v>1537.2</v>
      </c>
      <c r="R609">
        <v>353783</v>
      </c>
    </row>
    <row r="610" spans="1:18" x14ac:dyDescent="0.25">
      <c r="A610" s="170">
        <v>42900</v>
      </c>
      <c r="B610" s="116">
        <v>787.5</v>
      </c>
      <c r="C610" s="116">
        <v>773.77499999999998</v>
      </c>
      <c r="D610" s="116">
        <v>767.875</v>
      </c>
      <c r="E610" s="116">
        <v>771</v>
      </c>
      <c r="F610" s="116">
        <v>1547.55</v>
      </c>
      <c r="G610">
        <v>89182</v>
      </c>
      <c r="H610" s="116"/>
      <c r="I610" s="116"/>
      <c r="L610" s="170">
        <v>42900</v>
      </c>
      <c r="M610" s="116">
        <v>774.1</v>
      </c>
      <c r="N610" s="116">
        <v>788.47500000000002</v>
      </c>
      <c r="O610" s="116">
        <v>767.5</v>
      </c>
      <c r="P610" s="116">
        <v>770.8</v>
      </c>
      <c r="Q610" s="116">
        <v>1548.2</v>
      </c>
      <c r="R610">
        <v>591647</v>
      </c>
    </row>
    <row r="611" spans="1:18" x14ac:dyDescent="0.25">
      <c r="A611" s="170">
        <v>42901</v>
      </c>
      <c r="B611" s="116">
        <v>783.45</v>
      </c>
      <c r="C611" s="116">
        <v>771.2</v>
      </c>
      <c r="D611" s="116">
        <v>766.55</v>
      </c>
      <c r="E611" s="116">
        <v>779</v>
      </c>
      <c r="F611" s="116">
        <v>1542.4</v>
      </c>
      <c r="G611">
        <v>52022</v>
      </c>
      <c r="H611" s="116"/>
      <c r="I611" s="116"/>
      <c r="L611" s="170">
        <v>42901</v>
      </c>
      <c r="M611" s="116">
        <v>771.02499999999998</v>
      </c>
      <c r="N611" s="116">
        <v>783.7</v>
      </c>
      <c r="O611" s="116">
        <v>767.52499999999998</v>
      </c>
      <c r="P611" s="116">
        <v>774</v>
      </c>
      <c r="Q611" s="116">
        <v>1542.05</v>
      </c>
      <c r="R611">
        <v>341522</v>
      </c>
    </row>
    <row r="612" spans="1:18" x14ac:dyDescent="0.25">
      <c r="A612" s="170">
        <v>42902</v>
      </c>
      <c r="B612" s="116">
        <v>782.5</v>
      </c>
      <c r="C612" s="116">
        <v>772.5</v>
      </c>
      <c r="D612" s="116">
        <v>769</v>
      </c>
      <c r="E612" s="116">
        <v>773.25</v>
      </c>
      <c r="F612" s="116">
        <v>1545</v>
      </c>
      <c r="G612">
        <v>38883</v>
      </c>
      <c r="H612" s="116"/>
      <c r="I612" s="116"/>
      <c r="L612" s="170">
        <v>42902</v>
      </c>
      <c r="M612" s="116">
        <v>773</v>
      </c>
      <c r="N612" s="116">
        <v>782.85</v>
      </c>
      <c r="O612" s="116">
        <v>769.25</v>
      </c>
      <c r="P612" s="116">
        <v>773.5</v>
      </c>
      <c r="Q612" s="116">
        <v>1546</v>
      </c>
      <c r="R612">
        <v>240734</v>
      </c>
    </row>
    <row r="613" spans="1:18" x14ac:dyDescent="0.25">
      <c r="A613" s="170">
        <v>42905</v>
      </c>
      <c r="B613" s="116">
        <v>814.5</v>
      </c>
      <c r="C613" s="116">
        <v>808.65</v>
      </c>
      <c r="D613" s="116">
        <v>776.5</v>
      </c>
      <c r="E613" s="116">
        <v>778.3</v>
      </c>
      <c r="F613" s="116">
        <v>1617.3</v>
      </c>
      <c r="G613">
        <v>290080</v>
      </c>
      <c r="H613" s="116"/>
      <c r="I613" s="116"/>
      <c r="L613" s="170">
        <v>42905</v>
      </c>
      <c r="M613" s="116">
        <v>808.55</v>
      </c>
      <c r="N613" s="116">
        <v>814.45</v>
      </c>
      <c r="O613" s="116">
        <v>775.9</v>
      </c>
      <c r="P613" s="116">
        <v>777.5</v>
      </c>
      <c r="Q613" s="116">
        <v>1617.1</v>
      </c>
      <c r="R613">
        <v>1943922</v>
      </c>
    </row>
    <row r="614" spans="1:18" x14ac:dyDescent="0.25">
      <c r="A614" s="170">
        <v>42906</v>
      </c>
      <c r="B614" s="116">
        <v>828.5</v>
      </c>
      <c r="C614" s="116">
        <v>809.1</v>
      </c>
      <c r="D614" s="116">
        <v>804.75</v>
      </c>
      <c r="E614" s="116">
        <v>815.5</v>
      </c>
      <c r="F614" s="116">
        <v>1618.2</v>
      </c>
      <c r="G614">
        <v>206341</v>
      </c>
      <c r="H614" s="116"/>
      <c r="I614" s="116"/>
      <c r="L614" s="170">
        <v>42906</v>
      </c>
      <c r="M614" s="116">
        <v>810.9</v>
      </c>
      <c r="N614" s="116">
        <v>828.5</v>
      </c>
      <c r="O614" s="116">
        <v>804.75</v>
      </c>
      <c r="P614" s="116">
        <v>814.77499999999998</v>
      </c>
      <c r="Q614" s="116">
        <v>1621.8</v>
      </c>
      <c r="R614">
        <v>1370743</v>
      </c>
    </row>
    <row r="615" spans="1:18" x14ac:dyDescent="0.25">
      <c r="A615" s="170">
        <v>42907</v>
      </c>
      <c r="B615" s="116">
        <v>817.7</v>
      </c>
      <c r="C615" s="116">
        <v>808.77499999999998</v>
      </c>
      <c r="D615" s="116">
        <v>802.95</v>
      </c>
      <c r="E615" s="116">
        <v>808.05</v>
      </c>
      <c r="F615" s="116">
        <v>1617.55</v>
      </c>
      <c r="G615">
        <v>91648</v>
      </c>
      <c r="H615" s="116"/>
      <c r="I615" s="116"/>
      <c r="L615" s="170">
        <v>42907</v>
      </c>
      <c r="M615" s="116">
        <v>810.25</v>
      </c>
      <c r="N615" s="116">
        <v>817</v>
      </c>
      <c r="O615" s="116">
        <v>799.52499999999998</v>
      </c>
      <c r="P615" s="116">
        <v>809.55</v>
      </c>
      <c r="Q615" s="116">
        <v>1620.5</v>
      </c>
      <c r="R615">
        <v>405474</v>
      </c>
    </row>
    <row r="616" spans="1:18" x14ac:dyDescent="0.25">
      <c r="A616" s="170">
        <v>42908</v>
      </c>
      <c r="B616" s="116">
        <v>831.22500000000002</v>
      </c>
      <c r="C616" s="116">
        <v>815.35</v>
      </c>
      <c r="D616" s="116">
        <v>809.05</v>
      </c>
      <c r="E616" s="116">
        <v>813</v>
      </c>
      <c r="F616" s="116">
        <v>1630.7</v>
      </c>
      <c r="G616">
        <v>151111</v>
      </c>
      <c r="H616" s="116"/>
      <c r="I616" s="116"/>
      <c r="L616" s="170">
        <v>42908</v>
      </c>
      <c r="M616" s="116">
        <v>814.75</v>
      </c>
      <c r="N616" s="116">
        <v>831.9</v>
      </c>
      <c r="O616" s="116">
        <v>808</v>
      </c>
      <c r="P616" s="116">
        <v>815.47500000000002</v>
      </c>
      <c r="Q616" s="116">
        <v>1629.5</v>
      </c>
      <c r="R616">
        <v>899831</v>
      </c>
    </row>
    <row r="617" spans="1:18" x14ac:dyDescent="0.25">
      <c r="A617" s="170">
        <v>42909</v>
      </c>
      <c r="B617" s="116">
        <v>826.25</v>
      </c>
      <c r="C617" s="116">
        <v>803.125</v>
      </c>
      <c r="D617" s="116">
        <v>787</v>
      </c>
      <c r="E617" s="116">
        <v>818</v>
      </c>
      <c r="F617" s="116">
        <v>1606.25</v>
      </c>
      <c r="G617">
        <v>116613</v>
      </c>
      <c r="H617" s="116"/>
      <c r="I617" s="116"/>
      <c r="L617" s="170">
        <v>42909</v>
      </c>
      <c r="M617" s="116">
        <v>804.9</v>
      </c>
      <c r="N617" s="116">
        <v>826.47500000000002</v>
      </c>
      <c r="O617" s="116">
        <v>785.82500000000005</v>
      </c>
      <c r="P617" s="116">
        <v>819.8</v>
      </c>
      <c r="Q617" s="116">
        <v>1609.8</v>
      </c>
      <c r="R617">
        <v>622704</v>
      </c>
    </row>
    <row r="618" spans="1:18" x14ac:dyDescent="0.25">
      <c r="A618" s="170">
        <v>42913</v>
      </c>
      <c r="B618" s="116">
        <v>812.7</v>
      </c>
      <c r="C618" s="116">
        <v>794.3</v>
      </c>
      <c r="D618" s="116">
        <v>786.4</v>
      </c>
      <c r="E618" s="116">
        <v>812.4</v>
      </c>
      <c r="F618" s="116">
        <v>1588.6</v>
      </c>
      <c r="G618">
        <v>57103</v>
      </c>
      <c r="H618" s="116"/>
      <c r="I618" s="116"/>
      <c r="L618" s="170">
        <v>42913</v>
      </c>
      <c r="M618" s="116">
        <v>794.25</v>
      </c>
      <c r="N618" s="116">
        <v>812.27499999999998</v>
      </c>
      <c r="O618" s="116">
        <v>786</v>
      </c>
      <c r="P618" s="116">
        <v>805.85</v>
      </c>
      <c r="Q618" s="116">
        <v>1588.5</v>
      </c>
      <c r="R618">
        <v>351156</v>
      </c>
    </row>
    <row r="619" spans="1:18" x14ac:dyDescent="0.25">
      <c r="A619" s="170">
        <v>42914</v>
      </c>
      <c r="B619" s="116">
        <v>806</v>
      </c>
      <c r="C619" s="116">
        <v>795.27499999999998</v>
      </c>
      <c r="D619" s="116">
        <v>790.07500000000005</v>
      </c>
      <c r="E619" s="116">
        <v>799</v>
      </c>
      <c r="F619" s="116">
        <v>1590.55</v>
      </c>
      <c r="G619">
        <v>78627</v>
      </c>
      <c r="H619" s="116"/>
      <c r="I619" s="116"/>
      <c r="L619" s="170">
        <v>42914</v>
      </c>
      <c r="M619" s="116">
        <v>797.45</v>
      </c>
      <c r="N619" s="116">
        <v>806.4</v>
      </c>
      <c r="O619" s="116">
        <v>789.6</v>
      </c>
      <c r="P619" s="116">
        <v>798.97500000000002</v>
      </c>
      <c r="Q619" s="116">
        <v>1594.9</v>
      </c>
      <c r="R619">
        <v>415716</v>
      </c>
    </row>
    <row r="620" spans="1:18" x14ac:dyDescent="0.25">
      <c r="A620" s="170">
        <v>42915</v>
      </c>
      <c r="B620" s="116">
        <v>813.95</v>
      </c>
      <c r="C620" s="116">
        <v>798.2</v>
      </c>
      <c r="D620" s="116">
        <v>796.02499999999998</v>
      </c>
      <c r="E620" s="116">
        <v>804.4</v>
      </c>
      <c r="F620" s="116">
        <v>1596.4</v>
      </c>
      <c r="G620">
        <v>74669</v>
      </c>
      <c r="H620" s="116"/>
      <c r="I620" s="116"/>
      <c r="L620" s="170">
        <v>42915</v>
      </c>
      <c r="M620" s="116">
        <v>799.72500000000002</v>
      </c>
      <c r="N620" s="116">
        <v>814.5</v>
      </c>
      <c r="O620" s="116">
        <v>796.95</v>
      </c>
      <c r="P620" s="116">
        <v>802.17499999999995</v>
      </c>
      <c r="Q620" s="116">
        <v>1599.45</v>
      </c>
      <c r="R620">
        <v>480779</v>
      </c>
    </row>
    <row r="621" spans="1:18" x14ac:dyDescent="0.25">
      <c r="A621" s="170">
        <v>42916</v>
      </c>
      <c r="B621" s="116">
        <v>800.5</v>
      </c>
      <c r="C621" s="116">
        <v>792.52499999999998</v>
      </c>
      <c r="D621" s="116">
        <v>789</v>
      </c>
      <c r="E621" s="116">
        <v>799.5</v>
      </c>
      <c r="F621" s="116">
        <v>1585.05</v>
      </c>
      <c r="G621">
        <v>30944</v>
      </c>
      <c r="H621" s="116"/>
      <c r="I621" s="116"/>
      <c r="L621" s="170">
        <v>42916</v>
      </c>
      <c r="M621" s="116">
        <v>792.35</v>
      </c>
      <c r="N621" s="116">
        <v>800</v>
      </c>
      <c r="O621" s="116">
        <v>788.875</v>
      </c>
      <c r="P621" s="116">
        <v>800</v>
      </c>
      <c r="Q621" s="116">
        <v>1584.7</v>
      </c>
      <c r="R621">
        <v>292856</v>
      </c>
    </row>
    <row r="622" spans="1:18" x14ac:dyDescent="0.25">
      <c r="A622" s="170">
        <v>42919</v>
      </c>
      <c r="B622" s="116">
        <v>811.22500000000002</v>
      </c>
      <c r="C622" s="116">
        <v>808.35</v>
      </c>
      <c r="D622" s="116">
        <v>794.52499999999998</v>
      </c>
      <c r="E622" s="116">
        <v>797.4</v>
      </c>
      <c r="F622" s="116">
        <v>1616.7</v>
      </c>
      <c r="G622">
        <v>55949</v>
      </c>
      <c r="H622" s="116"/>
      <c r="I622" s="116"/>
      <c r="L622" s="170">
        <v>42919</v>
      </c>
      <c r="M622" s="116">
        <v>809.82500000000005</v>
      </c>
      <c r="N622" s="116">
        <v>812</v>
      </c>
      <c r="O622" s="116">
        <v>792.65</v>
      </c>
      <c r="P622" s="116">
        <v>793.47500000000002</v>
      </c>
      <c r="Q622" s="116">
        <v>1619.65</v>
      </c>
      <c r="R622">
        <v>314157</v>
      </c>
    </row>
    <row r="623" spans="1:18" x14ac:dyDescent="0.25">
      <c r="A623" s="170">
        <v>42920</v>
      </c>
      <c r="B623" s="116">
        <v>844</v>
      </c>
      <c r="C623" s="116">
        <v>834.625</v>
      </c>
      <c r="D623" s="116">
        <v>812</v>
      </c>
      <c r="E623" s="116">
        <v>812</v>
      </c>
      <c r="F623" s="116">
        <v>1669.25</v>
      </c>
      <c r="G623">
        <v>260190</v>
      </c>
      <c r="H623" s="116"/>
      <c r="I623" s="116"/>
      <c r="L623" s="170">
        <v>42920</v>
      </c>
      <c r="M623" s="116">
        <v>835.22500000000002</v>
      </c>
      <c r="N623" s="116">
        <v>844.4</v>
      </c>
      <c r="O623" s="116">
        <v>812.5</v>
      </c>
      <c r="P623" s="116">
        <v>813.45</v>
      </c>
      <c r="Q623" s="116">
        <v>1670.45</v>
      </c>
      <c r="R623">
        <v>1253503</v>
      </c>
    </row>
    <row r="624" spans="1:18" x14ac:dyDescent="0.25">
      <c r="A624" s="170">
        <v>42921</v>
      </c>
      <c r="B624" s="116">
        <v>854.4</v>
      </c>
      <c r="C624" s="116">
        <v>845.85</v>
      </c>
      <c r="D624" s="116">
        <v>837</v>
      </c>
      <c r="E624" s="116">
        <v>838</v>
      </c>
      <c r="F624" s="116">
        <v>1691.7</v>
      </c>
      <c r="G624">
        <v>151728</v>
      </c>
      <c r="H624" s="116"/>
      <c r="I624" s="116"/>
      <c r="L624" s="170">
        <v>42921</v>
      </c>
      <c r="M624" s="116">
        <v>847.45</v>
      </c>
      <c r="N624" s="116">
        <v>853.4</v>
      </c>
      <c r="O624" s="116">
        <v>836.27499999999998</v>
      </c>
      <c r="P624" s="116">
        <v>839</v>
      </c>
      <c r="Q624" s="116">
        <v>1694.9</v>
      </c>
      <c r="R624">
        <v>792076</v>
      </c>
    </row>
    <row r="625" spans="1:18" x14ac:dyDescent="0.25">
      <c r="A625" s="170">
        <v>42922</v>
      </c>
      <c r="B625" s="116">
        <v>861.02499999999998</v>
      </c>
      <c r="C625" s="116">
        <v>849.47500000000002</v>
      </c>
      <c r="D625" s="116">
        <v>839.1</v>
      </c>
      <c r="E625" s="116">
        <v>846.15</v>
      </c>
      <c r="F625" s="116">
        <v>1698.95</v>
      </c>
      <c r="G625">
        <v>98149</v>
      </c>
      <c r="H625" s="116"/>
      <c r="I625" s="116"/>
      <c r="L625" s="170">
        <v>42922</v>
      </c>
      <c r="M625" s="116">
        <v>849.35</v>
      </c>
      <c r="N625" s="116">
        <v>861</v>
      </c>
      <c r="O625" s="116">
        <v>838.72500000000002</v>
      </c>
      <c r="P625" s="116">
        <v>847</v>
      </c>
      <c r="Q625" s="116">
        <v>1698.7</v>
      </c>
      <c r="R625">
        <v>570812</v>
      </c>
    </row>
    <row r="626" spans="1:18" x14ac:dyDescent="0.25">
      <c r="A626" s="170">
        <v>42923</v>
      </c>
      <c r="B626" s="116">
        <v>854.17499999999995</v>
      </c>
      <c r="C626" s="116">
        <v>847.05</v>
      </c>
      <c r="D626" s="116">
        <v>841.97500000000002</v>
      </c>
      <c r="E626" s="116">
        <v>845</v>
      </c>
      <c r="F626" s="116">
        <v>1694.1</v>
      </c>
      <c r="G626">
        <v>64002</v>
      </c>
      <c r="H626" s="116"/>
      <c r="I626" s="116"/>
      <c r="L626" s="170">
        <v>42923</v>
      </c>
      <c r="M626" s="116">
        <v>847.9</v>
      </c>
      <c r="N626" s="116">
        <v>854</v>
      </c>
      <c r="O626" s="116">
        <v>842.32500000000005</v>
      </c>
      <c r="P626" s="116">
        <v>846.125</v>
      </c>
      <c r="Q626" s="116">
        <v>1695.8</v>
      </c>
      <c r="R626">
        <v>319099</v>
      </c>
    </row>
    <row r="627" spans="1:18" x14ac:dyDescent="0.25">
      <c r="A627" s="170">
        <v>42926</v>
      </c>
      <c r="B627" s="116">
        <v>861.35</v>
      </c>
      <c r="C627" s="116">
        <v>853.42499999999995</v>
      </c>
      <c r="D627" s="116">
        <v>847</v>
      </c>
      <c r="E627" s="116">
        <v>847</v>
      </c>
      <c r="F627" s="116">
        <v>1706.85</v>
      </c>
      <c r="G627">
        <v>63089</v>
      </c>
      <c r="H627" s="116"/>
      <c r="I627" s="116"/>
      <c r="L627" s="170">
        <v>42926</v>
      </c>
      <c r="M627" s="116">
        <v>853.82500000000005</v>
      </c>
      <c r="N627" s="116">
        <v>860.9</v>
      </c>
      <c r="O627" s="116">
        <v>825</v>
      </c>
      <c r="P627" s="116">
        <v>825</v>
      </c>
      <c r="Q627" s="116">
        <v>1707.65</v>
      </c>
      <c r="R627">
        <v>76568</v>
      </c>
    </row>
    <row r="628" spans="1:18" x14ac:dyDescent="0.25">
      <c r="A628" s="170">
        <v>42927</v>
      </c>
      <c r="B628" s="116">
        <v>878.17499999999995</v>
      </c>
      <c r="C628" s="116">
        <v>853.92499999999995</v>
      </c>
      <c r="D628" s="116">
        <v>848.875</v>
      </c>
      <c r="E628" s="116">
        <v>858.5</v>
      </c>
      <c r="F628" s="116">
        <v>1707.85</v>
      </c>
      <c r="G628">
        <v>150152</v>
      </c>
      <c r="H628" s="116"/>
      <c r="I628" s="116"/>
      <c r="L628" s="170">
        <v>42927</v>
      </c>
      <c r="M628" s="116">
        <v>854.875</v>
      </c>
      <c r="N628" s="116">
        <v>879.05</v>
      </c>
      <c r="O628" s="116">
        <v>848.67499999999995</v>
      </c>
      <c r="P628" s="116">
        <v>857.3</v>
      </c>
      <c r="Q628" s="116">
        <v>1709.75</v>
      </c>
      <c r="R628">
        <v>794197</v>
      </c>
    </row>
    <row r="629" spans="1:18" x14ac:dyDescent="0.25">
      <c r="A629" s="170">
        <v>42928</v>
      </c>
      <c r="B629" s="116">
        <v>868</v>
      </c>
      <c r="C629" s="116">
        <v>860.27499999999998</v>
      </c>
      <c r="D629" s="116">
        <v>855.77499999999998</v>
      </c>
      <c r="E629" s="116">
        <v>859</v>
      </c>
      <c r="F629" s="116">
        <v>1720.55</v>
      </c>
      <c r="G629">
        <v>71563</v>
      </c>
      <c r="H629" s="116"/>
      <c r="I629" s="116"/>
      <c r="L629" s="170">
        <v>42928</v>
      </c>
      <c r="M629" s="116">
        <v>860.35</v>
      </c>
      <c r="N629" s="116">
        <v>868.42499999999995</v>
      </c>
      <c r="O629" s="116">
        <v>854.77499999999998</v>
      </c>
      <c r="P629" s="116">
        <v>856.95</v>
      </c>
      <c r="Q629" s="116">
        <v>1720.7</v>
      </c>
      <c r="R629">
        <v>459810</v>
      </c>
    </row>
    <row r="630" spans="1:18" x14ac:dyDescent="0.25">
      <c r="A630" s="170">
        <v>42929</v>
      </c>
      <c r="B630" s="116">
        <v>874.5</v>
      </c>
      <c r="C630" s="116">
        <v>865.3</v>
      </c>
      <c r="D630" s="116">
        <v>859.4</v>
      </c>
      <c r="E630" s="116">
        <v>864</v>
      </c>
      <c r="F630" s="116">
        <v>1730.6</v>
      </c>
      <c r="G630">
        <v>47249</v>
      </c>
      <c r="H630" s="116"/>
      <c r="I630" s="116"/>
      <c r="L630" s="170">
        <v>42929</v>
      </c>
      <c r="M630" s="116">
        <v>867</v>
      </c>
      <c r="N630" s="116">
        <v>872.4</v>
      </c>
      <c r="O630" s="116">
        <v>859</v>
      </c>
      <c r="P630" s="116">
        <v>867.85</v>
      </c>
      <c r="Q630" s="116">
        <v>1734</v>
      </c>
      <c r="R630">
        <v>389285</v>
      </c>
    </row>
    <row r="631" spans="1:18" x14ac:dyDescent="0.25">
      <c r="A631" s="170">
        <v>42930</v>
      </c>
      <c r="B631" s="116">
        <v>870</v>
      </c>
      <c r="C631" s="116">
        <v>855.375</v>
      </c>
      <c r="D631" s="116">
        <v>852.15</v>
      </c>
      <c r="E631" s="116">
        <v>868.5</v>
      </c>
      <c r="F631" s="116">
        <v>1710.75</v>
      </c>
      <c r="G631">
        <v>47484</v>
      </c>
      <c r="H631" s="116"/>
      <c r="I631" s="116"/>
      <c r="L631" s="170">
        <v>42930</v>
      </c>
      <c r="M631" s="116">
        <v>855.85</v>
      </c>
      <c r="N631" s="116">
        <v>869.85</v>
      </c>
      <c r="O631" s="116">
        <v>852.625</v>
      </c>
      <c r="P631" s="116">
        <v>869.85</v>
      </c>
      <c r="Q631" s="116">
        <v>1711.7</v>
      </c>
      <c r="R631">
        <v>225554</v>
      </c>
    </row>
    <row r="632" spans="1:18" x14ac:dyDescent="0.25">
      <c r="A632" s="170">
        <v>42933</v>
      </c>
      <c r="B632" s="116">
        <v>865.8</v>
      </c>
      <c r="C632" s="116">
        <v>854.47500000000002</v>
      </c>
      <c r="D632" s="116">
        <v>832.27499999999998</v>
      </c>
      <c r="E632" s="116">
        <v>858.5</v>
      </c>
      <c r="F632" s="116">
        <v>1708.95</v>
      </c>
      <c r="G632">
        <v>51487</v>
      </c>
      <c r="H632" s="116"/>
      <c r="I632" s="116"/>
      <c r="L632" s="170">
        <v>42933</v>
      </c>
      <c r="M632" s="116">
        <v>853.35</v>
      </c>
      <c r="N632" s="116">
        <v>865.95</v>
      </c>
      <c r="O632" s="116">
        <v>832.5</v>
      </c>
      <c r="P632" s="116">
        <v>859.82500000000005</v>
      </c>
      <c r="Q632" s="116">
        <v>1706.7</v>
      </c>
      <c r="R632">
        <v>412253</v>
      </c>
    </row>
    <row r="633" spans="1:18" x14ac:dyDescent="0.25">
      <c r="A633" s="170">
        <v>42934</v>
      </c>
      <c r="B633" s="116">
        <v>852.5</v>
      </c>
      <c r="C633" s="116">
        <v>839.82500000000005</v>
      </c>
      <c r="D633" s="116">
        <v>836.05</v>
      </c>
      <c r="E633" s="116">
        <v>845</v>
      </c>
      <c r="F633" s="116">
        <v>1679.65</v>
      </c>
      <c r="G633">
        <v>34590</v>
      </c>
      <c r="H633" s="116"/>
      <c r="I633" s="116"/>
      <c r="L633" s="170">
        <v>42934</v>
      </c>
      <c r="M633" s="116">
        <v>839.5</v>
      </c>
      <c r="N633" s="116">
        <v>853.1</v>
      </c>
      <c r="O633" s="116">
        <v>835.2</v>
      </c>
      <c r="P633" s="116">
        <v>844.5</v>
      </c>
      <c r="Q633" s="116">
        <v>1679</v>
      </c>
      <c r="R633">
        <v>243891</v>
      </c>
    </row>
    <row r="634" spans="1:18" x14ac:dyDescent="0.25">
      <c r="A634" s="170">
        <v>42935</v>
      </c>
      <c r="B634" s="116">
        <v>849</v>
      </c>
      <c r="C634" s="116">
        <v>835.97500000000002</v>
      </c>
      <c r="D634" s="116">
        <v>831.75</v>
      </c>
      <c r="E634" s="116">
        <v>841.5</v>
      </c>
      <c r="F634" s="116">
        <v>1671.95</v>
      </c>
      <c r="G634">
        <v>30703</v>
      </c>
      <c r="H634" s="116"/>
      <c r="I634" s="116"/>
      <c r="L634" s="170">
        <v>42935</v>
      </c>
      <c r="M634" s="116">
        <v>835.92499999999995</v>
      </c>
      <c r="N634" s="116">
        <v>849.5</v>
      </c>
      <c r="O634" s="116">
        <v>832.02499999999998</v>
      </c>
      <c r="P634" s="116">
        <v>840</v>
      </c>
      <c r="Q634" s="116">
        <v>1671.85</v>
      </c>
      <c r="R634">
        <v>205777</v>
      </c>
    </row>
    <row r="635" spans="1:18" x14ac:dyDescent="0.25">
      <c r="A635" s="170">
        <v>42936</v>
      </c>
      <c r="B635" s="116">
        <v>864</v>
      </c>
      <c r="C635" s="116">
        <v>845.15</v>
      </c>
      <c r="D635" s="116">
        <v>842.5</v>
      </c>
      <c r="E635" s="116">
        <v>845.15</v>
      </c>
      <c r="F635" s="116">
        <v>1690.3</v>
      </c>
      <c r="G635">
        <v>136223</v>
      </c>
      <c r="H635" s="116"/>
      <c r="I635" s="116"/>
      <c r="L635" s="170">
        <v>42936</v>
      </c>
      <c r="M635" s="116">
        <v>845.57500000000005</v>
      </c>
      <c r="N635" s="116">
        <v>865</v>
      </c>
      <c r="O635" s="116">
        <v>842</v>
      </c>
      <c r="P635" s="116">
        <v>845.95</v>
      </c>
      <c r="Q635" s="116">
        <v>1691.15</v>
      </c>
      <c r="R635">
        <v>1020376</v>
      </c>
    </row>
    <row r="636" spans="1:18" x14ac:dyDescent="0.25">
      <c r="A636" s="170">
        <v>42937</v>
      </c>
      <c r="B636" s="116">
        <v>850.65</v>
      </c>
      <c r="C636" s="116">
        <v>840.4</v>
      </c>
      <c r="D636" s="116">
        <v>834.27499999999998</v>
      </c>
      <c r="E636" s="116">
        <v>849.5</v>
      </c>
      <c r="F636" s="116">
        <v>1680.8</v>
      </c>
      <c r="G636">
        <v>53396</v>
      </c>
      <c r="H636" s="116"/>
      <c r="I636" s="116"/>
      <c r="L636" s="170">
        <v>42937</v>
      </c>
      <c r="M636" s="116">
        <v>841.82500000000005</v>
      </c>
      <c r="N636" s="116">
        <v>850.77499999999998</v>
      </c>
      <c r="O636" s="116">
        <v>834</v>
      </c>
      <c r="P636" s="116">
        <v>848</v>
      </c>
      <c r="Q636" s="116">
        <v>1683.65</v>
      </c>
      <c r="R636">
        <v>335896</v>
      </c>
    </row>
    <row r="637" spans="1:18" x14ac:dyDescent="0.25">
      <c r="A637" s="170">
        <v>42940</v>
      </c>
      <c r="B637" s="116">
        <v>844.1</v>
      </c>
      <c r="C637" s="116">
        <v>835.3</v>
      </c>
      <c r="D637" s="116">
        <v>831.3</v>
      </c>
      <c r="E637" s="116">
        <v>840.35</v>
      </c>
      <c r="F637" s="116">
        <v>1670.6</v>
      </c>
      <c r="G637">
        <v>24659</v>
      </c>
      <c r="H637" s="116"/>
      <c r="I637" s="116"/>
      <c r="L637" s="170">
        <v>42940</v>
      </c>
      <c r="M637" s="116">
        <v>835.52499999999998</v>
      </c>
      <c r="N637" s="116">
        <v>844.47500000000002</v>
      </c>
      <c r="O637" s="116">
        <v>831.3</v>
      </c>
      <c r="P637" s="116">
        <v>840</v>
      </c>
      <c r="Q637" s="116">
        <v>1671.05</v>
      </c>
      <c r="R637">
        <v>164009</v>
      </c>
    </row>
    <row r="638" spans="1:18" x14ac:dyDescent="0.25">
      <c r="A638" s="170">
        <v>42941</v>
      </c>
      <c r="B638" s="116">
        <v>835.875</v>
      </c>
      <c r="C638" s="116">
        <v>830.75</v>
      </c>
      <c r="D638" s="116">
        <v>822.77499999999998</v>
      </c>
      <c r="E638" s="116">
        <v>835.02499999999998</v>
      </c>
      <c r="F638" s="116">
        <v>1661.5</v>
      </c>
      <c r="G638">
        <v>36135</v>
      </c>
      <c r="H638" s="116"/>
      <c r="I638" s="116"/>
      <c r="L638" s="170">
        <v>42941</v>
      </c>
      <c r="M638" s="116">
        <v>831.17499999999995</v>
      </c>
      <c r="N638" s="116">
        <v>837</v>
      </c>
      <c r="O638" s="116">
        <v>822.77499999999998</v>
      </c>
      <c r="P638" s="116">
        <v>835</v>
      </c>
      <c r="Q638" s="116">
        <v>1662.35</v>
      </c>
      <c r="R638">
        <v>222593</v>
      </c>
    </row>
    <row r="639" spans="1:18" x14ac:dyDescent="0.25">
      <c r="A639" s="170">
        <v>42942</v>
      </c>
      <c r="B639" s="116">
        <v>847</v>
      </c>
      <c r="C639" s="116">
        <v>839.27499999999998</v>
      </c>
      <c r="D639" s="116">
        <v>832.2</v>
      </c>
      <c r="E639" s="116">
        <v>834.45</v>
      </c>
      <c r="F639" s="116">
        <v>1678.55</v>
      </c>
      <c r="G639">
        <v>33825</v>
      </c>
      <c r="H639" s="116"/>
      <c r="I639" s="116"/>
      <c r="L639" s="170">
        <v>42942</v>
      </c>
      <c r="M639" s="116">
        <v>838.95</v>
      </c>
      <c r="N639" s="116">
        <v>847.3</v>
      </c>
      <c r="O639" s="116">
        <v>831.25</v>
      </c>
      <c r="P639" s="116">
        <v>833</v>
      </c>
      <c r="Q639" s="116">
        <v>1677.9</v>
      </c>
      <c r="R639">
        <v>288808</v>
      </c>
    </row>
    <row r="640" spans="1:18" x14ac:dyDescent="0.25">
      <c r="A640" s="170">
        <v>42943</v>
      </c>
      <c r="B640" s="116">
        <v>883.3</v>
      </c>
      <c r="C640" s="116">
        <v>867.42499999999995</v>
      </c>
      <c r="D640" s="116">
        <v>833.05</v>
      </c>
      <c r="E640" s="116">
        <v>840.5</v>
      </c>
      <c r="F640" s="116">
        <v>1734.85</v>
      </c>
      <c r="G640">
        <v>354273</v>
      </c>
      <c r="H640" s="116"/>
      <c r="I640" s="116"/>
      <c r="L640" s="170">
        <v>42943</v>
      </c>
      <c r="M640" s="116">
        <v>868.27499999999998</v>
      </c>
      <c r="N640" s="116">
        <v>883.5</v>
      </c>
      <c r="O640" s="116">
        <v>832.77499999999998</v>
      </c>
      <c r="P640" s="116">
        <v>842.5</v>
      </c>
      <c r="Q640" s="116">
        <v>1736.55</v>
      </c>
      <c r="R640">
        <v>2401487</v>
      </c>
    </row>
    <row r="641" spans="1:18" x14ac:dyDescent="0.25">
      <c r="A641" s="170">
        <v>42944</v>
      </c>
      <c r="B641" s="116">
        <v>887.5</v>
      </c>
      <c r="C641" s="116">
        <v>873.22500000000002</v>
      </c>
      <c r="D641" s="116">
        <v>866.625</v>
      </c>
      <c r="E641" s="116">
        <v>873.5</v>
      </c>
      <c r="F641" s="116">
        <v>1746.45</v>
      </c>
      <c r="G641">
        <v>110397</v>
      </c>
      <c r="H641" s="116"/>
      <c r="I641" s="116"/>
      <c r="L641" s="170">
        <v>42944</v>
      </c>
      <c r="M641" s="116">
        <v>873.25</v>
      </c>
      <c r="N641" s="116">
        <v>887.5</v>
      </c>
      <c r="O641" s="116">
        <v>865.8</v>
      </c>
      <c r="P641" s="116">
        <v>872.35</v>
      </c>
      <c r="Q641" s="116">
        <v>1746.5</v>
      </c>
      <c r="R641">
        <v>887742</v>
      </c>
    </row>
    <row r="642" spans="1:18" x14ac:dyDescent="0.25">
      <c r="A642" s="170">
        <v>42947</v>
      </c>
      <c r="B642" s="116">
        <v>887.5</v>
      </c>
      <c r="C642" s="116">
        <v>874.32500000000005</v>
      </c>
      <c r="D642" s="116">
        <v>867.77499999999998</v>
      </c>
      <c r="E642" s="116">
        <v>880</v>
      </c>
      <c r="F642" s="116">
        <v>1748.65</v>
      </c>
      <c r="G642">
        <v>68866</v>
      </c>
      <c r="H642" s="116"/>
      <c r="I642" s="116"/>
      <c r="L642" s="170">
        <v>42947</v>
      </c>
      <c r="M642" s="116">
        <v>876.57500000000005</v>
      </c>
      <c r="N642" s="116">
        <v>888.67499999999995</v>
      </c>
      <c r="O642" s="116">
        <v>867.5</v>
      </c>
      <c r="P642" s="116">
        <v>875</v>
      </c>
      <c r="Q642" s="116">
        <v>1753.15</v>
      </c>
      <c r="R642">
        <v>427479</v>
      </c>
    </row>
    <row r="643" spans="1:18" x14ac:dyDescent="0.25">
      <c r="A643" s="170">
        <v>42948</v>
      </c>
      <c r="B643" s="116">
        <v>882</v>
      </c>
      <c r="C643" s="116">
        <v>868.6</v>
      </c>
      <c r="D643" s="116">
        <v>866.52499999999998</v>
      </c>
      <c r="E643" s="116">
        <v>882</v>
      </c>
      <c r="F643" s="116">
        <v>1737.2</v>
      </c>
      <c r="G643">
        <v>29557</v>
      </c>
      <c r="H643" s="116"/>
      <c r="I643" s="116"/>
      <c r="L643" s="170">
        <v>42948</v>
      </c>
      <c r="M643" s="116">
        <v>870.47500000000002</v>
      </c>
      <c r="N643" s="116">
        <v>879.875</v>
      </c>
      <c r="O643" s="116">
        <v>867.02499999999998</v>
      </c>
      <c r="P643" s="116">
        <v>879</v>
      </c>
      <c r="Q643" s="116">
        <v>1740.95</v>
      </c>
      <c r="R643">
        <v>208054</v>
      </c>
    </row>
    <row r="644" spans="1:18" x14ac:dyDescent="0.25">
      <c r="A644" s="170">
        <v>42949</v>
      </c>
      <c r="B644" s="116">
        <v>878.5</v>
      </c>
      <c r="C644" s="116">
        <v>857.65</v>
      </c>
      <c r="D644" s="116">
        <v>855</v>
      </c>
      <c r="E644" s="116">
        <v>878.5</v>
      </c>
      <c r="F644" s="116">
        <v>1715.3</v>
      </c>
      <c r="G644">
        <v>29245</v>
      </c>
      <c r="H644" s="116"/>
      <c r="I644" s="116"/>
      <c r="L644" s="170">
        <v>42949</v>
      </c>
      <c r="M644" s="116">
        <v>857.6</v>
      </c>
      <c r="N644" s="116">
        <v>871.95</v>
      </c>
      <c r="O644" s="116">
        <v>855</v>
      </c>
      <c r="P644" s="116">
        <v>871.95</v>
      </c>
      <c r="Q644" s="116">
        <v>1715.2</v>
      </c>
      <c r="R644">
        <v>194110</v>
      </c>
    </row>
    <row r="645" spans="1:18" x14ac:dyDescent="0.25">
      <c r="A645" s="170">
        <v>42950</v>
      </c>
      <c r="B645" s="116">
        <v>857.67499999999995</v>
      </c>
      <c r="C645" s="116">
        <v>848.4</v>
      </c>
      <c r="D645" s="116">
        <v>843.52499999999998</v>
      </c>
      <c r="E645" s="116">
        <v>856.02499999999998</v>
      </c>
      <c r="F645" s="116">
        <v>1696.8</v>
      </c>
      <c r="G645">
        <v>24585</v>
      </c>
      <c r="H645" s="116"/>
      <c r="I645" s="116"/>
      <c r="L645" s="170">
        <v>42950</v>
      </c>
      <c r="M645" s="116">
        <v>845.75</v>
      </c>
      <c r="N645" s="116">
        <v>858.625</v>
      </c>
      <c r="O645" s="116">
        <v>842.02499999999998</v>
      </c>
      <c r="P645" s="116">
        <v>857.5</v>
      </c>
      <c r="Q645" s="116">
        <v>1691.5</v>
      </c>
      <c r="R645">
        <v>164772</v>
      </c>
    </row>
    <row r="646" spans="1:18" x14ac:dyDescent="0.25">
      <c r="A646" s="170">
        <v>42951</v>
      </c>
      <c r="B646" s="116">
        <v>853.5</v>
      </c>
      <c r="C646" s="116">
        <v>849.25</v>
      </c>
      <c r="D646" s="116">
        <v>836.1</v>
      </c>
      <c r="E646" s="116">
        <v>845</v>
      </c>
      <c r="F646" s="116">
        <v>1698.5</v>
      </c>
      <c r="G646">
        <v>29436</v>
      </c>
      <c r="H646" s="116"/>
      <c r="I646" s="116"/>
      <c r="L646" s="170">
        <v>42951</v>
      </c>
      <c r="M646" s="116">
        <v>849.6</v>
      </c>
      <c r="N646" s="116">
        <v>854.22500000000002</v>
      </c>
      <c r="O646" s="116">
        <v>836.5</v>
      </c>
      <c r="P646" s="116">
        <v>845.25</v>
      </c>
      <c r="Q646" s="116">
        <v>1699.2</v>
      </c>
      <c r="R646">
        <v>196777</v>
      </c>
    </row>
    <row r="647" spans="1:18" x14ac:dyDescent="0.25">
      <c r="A647" s="170">
        <v>42954</v>
      </c>
      <c r="B647" s="116">
        <v>869.5</v>
      </c>
      <c r="C647" s="116">
        <v>864.47500000000002</v>
      </c>
      <c r="D647" s="116">
        <v>850.27499999999998</v>
      </c>
      <c r="E647" s="116">
        <v>855</v>
      </c>
      <c r="F647" s="116">
        <v>1728.95</v>
      </c>
      <c r="G647">
        <v>44296</v>
      </c>
      <c r="H647" s="116"/>
      <c r="I647" s="116"/>
      <c r="L647" s="170">
        <v>42954</v>
      </c>
      <c r="M647" s="116">
        <v>866.57500000000005</v>
      </c>
      <c r="N647" s="116">
        <v>869.5</v>
      </c>
      <c r="O647" s="116">
        <v>849.77499999999998</v>
      </c>
      <c r="P647" s="116">
        <v>853.5</v>
      </c>
      <c r="Q647" s="116">
        <v>1733.15</v>
      </c>
      <c r="R647">
        <v>280500</v>
      </c>
    </row>
    <row r="648" spans="1:18" x14ac:dyDescent="0.25">
      <c r="A648" s="170">
        <v>42955</v>
      </c>
      <c r="B648" s="116">
        <v>876.5</v>
      </c>
      <c r="C648" s="116">
        <v>858.42499999999995</v>
      </c>
      <c r="D648" s="116">
        <v>851.42499999999995</v>
      </c>
      <c r="E648" s="116">
        <v>871.25</v>
      </c>
      <c r="F648" s="116">
        <v>1716.85</v>
      </c>
      <c r="G648">
        <v>51059</v>
      </c>
      <c r="H648" s="116"/>
      <c r="I648" s="116"/>
      <c r="L648" s="170">
        <v>42955</v>
      </c>
      <c r="M648" s="116">
        <v>858.45</v>
      </c>
      <c r="N648" s="116">
        <v>876.25</v>
      </c>
      <c r="O648" s="116">
        <v>851.47500000000002</v>
      </c>
      <c r="P648" s="116">
        <v>870.9</v>
      </c>
      <c r="Q648" s="116">
        <v>1716.9</v>
      </c>
      <c r="R648">
        <v>318419</v>
      </c>
    </row>
    <row r="649" spans="1:18" x14ac:dyDescent="0.25">
      <c r="A649" s="170">
        <v>42956</v>
      </c>
      <c r="B649" s="116">
        <v>866.5</v>
      </c>
      <c r="C649" s="116">
        <v>845.42499999999995</v>
      </c>
      <c r="D649" s="116">
        <v>840.625</v>
      </c>
      <c r="E649" s="116">
        <v>866.5</v>
      </c>
      <c r="F649" s="116">
        <v>1690.85</v>
      </c>
      <c r="G649">
        <v>47299</v>
      </c>
      <c r="H649" s="116"/>
      <c r="I649" s="116"/>
      <c r="L649" s="170">
        <v>42956</v>
      </c>
      <c r="M649" s="116">
        <v>844.5</v>
      </c>
      <c r="N649" s="116">
        <v>866</v>
      </c>
      <c r="O649" s="116">
        <v>841.375</v>
      </c>
      <c r="P649" s="116">
        <v>856.77499999999998</v>
      </c>
      <c r="Q649" s="116">
        <v>1689</v>
      </c>
      <c r="R649">
        <v>300450</v>
      </c>
    </row>
    <row r="650" spans="1:18" x14ac:dyDescent="0.25">
      <c r="A650" s="170">
        <v>42957</v>
      </c>
      <c r="B650" s="116">
        <v>844.9</v>
      </c>
      <c r="C650" s="116">
        <v>812.35</v>
      </c>
      <c r="D650" s="116">
        <v>806.625</v>
      </c>
      <c r="E650" s="116">
        <v>844</v>
      </c>
      <c r="F650" s="116">
        <v>1624.7</v>
      </c>
      <c r="G650">
        <v>55286</v>
      </c>
      <c r="H650" s="116"/>
      <c r="I650" s="116"/>
      <c r="L650" s="170">
        <v>42957</v>
      </c>
      <c r="M650" s="116">
        <v>813.52499999999998</v>
      </c>
      <c r="N650" s="116">
        <v>844.92499999999995</v>
      </c>
      <c r="O650" s="116">
        <v>807.32500000000005</v>
      </c>
      <c r="P650" s="116">
        <v>841</v>
      </c>
      <c r="Q650" s="116">
        <v>1627.05</v>
      </c>
      <c r="R650">
        <v>302985</v>
      </c>
    </row>
    <row r="651" spans="1:18" x14ac:dyDescent="0.25">
      <c r="A651" s="170">
        <v>42958</v>
      </c>
      <c r="B651" s="116">
        <v>819.02499999999998</v>
      </c>
      <c r="C651" s="116">
        <v>803.35</v>
      </c>
      <c r="D651" s="116">
        <v>791.47500000000002</v>
      </c>
      <c r="E651" s="116">
        <v>810.5</v>
      </c>
      <c r="F651" s="116">
        <v>1606.7</v>
      </c>
      <c r="G651">
        <v>41846</v>
      </c>
      <c r="H651" s="116"/>
      <c r="I651" s="116"/>
      <c r="L651" s="170">
        <v>42958</v>
      </c>
      <c r="M651" s="116">
        <v>802.55</v>
      </c>
      <c r="N651" s="116">
        <v>818.97500000000002</v>
      </c>
      <c r="O651" s="116">
        <v>791.32500000000005</v>
      </c>
      <c r="P651" s="116">
        <v>800.125</v>
      </c>
      <c r="Q651" s="116">
        <v>1605.1</v>
      </c>
      <c r="R651">
        <v>300137</v>
      </c>
    </row>
    <row r="652" spans="1:18" x14ac:dyDescent="0.25">
      <c r="A652" s="170">
        <v>42961</v>
      </c>
      <c r="B652" s="116">
        <v>827</v>
      </c>
      <c r="C652" s="116">
        <v>821.2</v>
      </c>
      <c r="D652" s="116">
        <v>811.05</v>
      </c>
      <c r="E652" s="116">
        <v>811.05</v>
      </c>
      <c r="F652" s="116">
        <v>1642.4</v>
      </c>
      <c r="G652">
        <v>39233</v>
      </c>
      <c r="H652" s="116"/>
      <c r="I652" s="116"/>
      <c r="L652" s="170">
        <v>42961</v>
      </c>
      <c r="M652" s="116">
        <v>823.45</v>
      </c>
      <c r="N652" s="116">
        <v>827.45</v>
      </c>
      <c r="O652" s="116">
        <v>810</v>
      </c>
      <c r="P652" s="116">
        <v>810</v>
      </c>
      <c r="Q652" s="116">
        <v>1646.9</v>
      </c>
      <c r="R652">
        <v>235965</v>
      </c>
    </row>
    <row r="653" spans="1:18" x14ac:dyDescent="0.25">
      <c r="A653" s="170">
        <v>42963</v>
      </c>
      <c r="B653" s="116">
        <v>849</v>
      </c>
      <c r="C653" s="116">
        <v>846.1</v>
      </c>
      <c r="D653" s="116">
        <v>827.5</v>
      </c>
      <c r="E653" s="116">
        <v>828.45</v>
      </c>
      <c r="F653" s="116">
        <v>1692.2</v>
      </c>
      <c r="G653">
        <v>42541</v>
      </c>
      <c r="H653" s="116"/>
      <c r="I653" s="116"/>
      <c r="L653" s="170">
        <v>42963</v>
      </c>
      <c r="M653" s="116">
        <v>845.85</v>
      </c>
      <c r="N653" s="116">
        <v>847.375</v>
      </c>
      <c r="O653" s="116">
        <v>828</v>
      </c>
      <c r="P653" s="116">
        <v>829.4</v>
      </c>
      <c r="Q653" s="116">
        <v>1691.7</v>
      </c>
      <c r="R653">
        <v>352133</v>
      </c>
    </row>
    <row r="654" spans="1:18" x14ac:dyDescent="0.25">
      <c r="A654" s="170">
        <v>42964</v>
      </c>
      <c r="B654" s="116">
        <v>854.25</v>
      </c>
      <c r="C654" s="116">
        <v>843.97500000000002</v>
      </c>
      <c r="D654" s="116">
        <v>838.25</v>
      </c>
      <c r="E654" s="116">
        <v>848.5</v>
      </c>
      <c r="F654" s="116">
        <v>1687.95</v>
      </c>
      <c r="G654">
        <v>26237</v>
      </c>
      <c r="H654" s="116"/>
      <c r="I654" s="116"/>
      <c r="L654" s="170">
        <v>42964</v>
      </c>
      <c r="M654" s="116">
        <v>842.9</v>
      </c>
      <c r="N654" s="116">
        <v>854.35</v>
      </c>
      <c r="O654" s="116">
        <v>837</v>
      </c>
      <c r="P654" s="116">
        <v>847.5</v>
      </c>
      <c r="Q654" s="116">
        <v>1685.8</v>
      </c>
      <c r="R654">
        <v>213122</v>
      </c>
    </row>
    <row r="655" spans="1:18" x14ac:dyDescent="0.25">
      <c r="A655" s="170">
        <v>42965</v>
      </c>
      <c r="B655" s="116">
        <v>849.95</v>
      </c>
      <c r="C655" s="116">
        <v>841.67499999999995</v>
      </c>
      <c r="D655" s="116">
        <v>831.85</v>
      </c>
      <c r="E655" s="116">
        <v>843.5</v>
      </c>
      <c r="F655" s="116">
        <v>1683.35</v>
      </c>
      <c r="G655">
        <v>55156</v>
      </c>
      <c r="H655" s="116"/>
      <c r="I655" s="116"/>
      <c r="L655" s="170">
        <v>42965</v>
      </c>
      <c r="M655" s="116">
        <v>840.45</v>
      </c>
      <c r="N655" s="116">
        <v>850.52499999999998</v>
      </c>
      <c r="O655" s="116">
        <v>830.82500000000005</v>
      </c>
      <c r="P655" s="116">
        <v>840</v>
      </c>
      <c r="Q655" s="116">
        <v>1680.9</v>
      </c>
      <c r="R655">
        <v>277429</v>
      </c>
    </row>
    <row r="656" spans="1:18" x14ac:dyDescent="0.25">
      <c r="A656" s="170">
        <v>42968</v>
      </c>
      <c r="B656" s="116">
        <v>842</v>
      </c>
      <c r="C656" s="116">
        <v>821.32500000000005</v>
      </c>
      <c r="D656" s="116">
        <v>816.1</v>
      </c>
      <c r="E656" s="116">
        <v>841.9</v>
      </c>
      <c r="F656" s="116">
        <v>1642.65</v>
      </c>
      <c r="G656">
        <v>35047</v>
      </c>
      <c r="H656" s="116"/>
      <c r="I656" s="116"/>
      <c r="L656" s="170">
        <v>42968</v>
      </c>
      <c r="M656" s="116">
        <v>821</v>
      </c>
      <c r="N656" s="116">
        <v>841.6</v>
      </c>
      <c r="O656" s="116">
        <v>814.75</v>
      </c>
      <c r="P656" s="116">
        <v>839.3</v>
      </c>
      <c r="Q656" s="116">
        <v>1642</v>
      </c>
      <c r="R656">
        <v>190929</v>
      </c>
    </row>
    <row r="657" spans="1:18" x14ac:dyDescent="0.25">
      <c r="A657" s="170">
        <v>42969</v>
      </c>
      <c r="B657" s="116">
        <v>828.75</v>
      </c>
      <c r="C657" s="116">
        <v>808.42499999999995</v>
      </c>
      <c r="D657" s="116">
        <v>803.7</v>
      </c>
      <c r="E657" s="116">
        <v>828</v>
      </c>
      <c r="F657" s="116">
        <v>1616.85</v>
      </c>
      <c r="G657">
        <v>36892</v>
      </c>
      <c r="H657" s="116"/>
      <c r="I657" s="116"/>
      <c r="L657" s="170">
        <v>42969</v>
      </c>
      <c r="M657" s="116">
        <v>808.1</v>
      </c>
      <c r="N657" s="116">
        <v>828.27499999999998</v>
      </c>
      <c r="O657" s="116">
        <v>803.625</v>
      </c>
      <c r="P657" s="116">
        <v>825</v>
      </c>
      <c r="Q657" s="116">
        <v>1616.2</v>
      </c>
      <c r="R657">
        <v>225652</v>
      </c>
    </row>
    <row r="658" spans="1:18" x14ac:dyDescent="0.25">
      <c r="A658" s="170">
        <v>42970</v>
      </c>
      <c r="B658" s="116">
        <v>827</v>
      </c>
      <c r="C658" s="116">
        <v>822.57500000000005</v>
      </c>
      <c r="D658" s="116">
        <v>808.67499999999995</v>
      </c>
      <c r="E658" s="116">
        <v>814.5</v>
      </c>
      <c r="F658" s="116">
        <v>1645.15</v>
      </c>
      <c r="G658">
        <v>22483</v>
      </c>
      <c r="H658" s="116"/>
      <c r="I658" s="116"/>
      <c r="L658" s="170">
        <v>42970</v>
      </c>
      <c r="M658" s="116">
        <v>820.2</v>
      </c>
      <c r="N658" s="116">
        <v>827.5</v>
      </c>
      <c r="O658" s="116">
        <v>808.5</v>
      </c>
      <c r="P658" s="116">
        <v>810.85</v>
      </c>
      <c r="Q658" s="116">
        <v>1640.4</v>
      </c>
      <c r="R658">
        <v>221184</v>
      </c>
    </row>
    <row r="659" spans="1:18" x14ac:dyDescent="0.25">
      <c r="A659" s="170">
        <v>42971</v>
      </c>
      <c r="B659" s="116">
        <v>821.92499999999995</v>
      </c>
      <c r="C659" s="116">
        <v>817.65</v>
      </c>
      <c r="D659" s="116">
        <v>814</v>
      </c>
      <c r="E659" s="116">
        <v>820.65</v>
      </c>
      <c r="F659" s="116">
        <v>1635.3</v>
      </c>
      <c r="G659">
        <v>12269</v>
      </c>
      <c r="H659" s="116"/>
      <c r="I659" s="116"/>
      <c r="L659" s="170">
        <v>42971</v>
      </c>
      <c r="M659" s="116">
        <v>818.65</v>
      </c>
      <c r="N659" s="116">
        <v>824</v>
      </c>
      <c r="O659" s="116">
        <v>813.02499999999998</v>
      </c>
      <c r="P659" s="116">
        <v>824</v>
      </c>
      <c r="Q659" s="116">
        <v>1637.3</v>
      </c>
      <c r="R659">
        <v>141441</v>
      </c>
    </row>
    <row r="660" spans="1:18" x14ac:dyDescent="0.25">
      <c r="A660" s="170">
        <v>42975</v>
      </c>
      <c r="B660" s="116">
        <v>841.32500000000005</v>
      </c>
      <c r="C660" s="116">
        <v>834.15</v>
      </c>
      <c r="D660" s="116">
        <v>822.42499999999995</v>
      </c>
      <c r="E660" s="116">
        <v>822.47500000000002</v>
      </c>
      <c r="F660" s="116">
        <v>1668.3</v>
      </c>
      <c r="G660">
        <v>23677</v>
      </c>
      <c r="H660" s="116"/>
      <c r="I660" s="116"/>
      <c r="L660" s="170">
        <v>42975</v>
      </c>
      <c r="M660" s="116">
        <v>835.85</v>
      </c>
      <c r="N660" s="116">
        <v>842.77499999999998</v>
      </c>
      <c r="O660" s="116">
        <v>820</v>
      </c>
      <c r="P660" s="116">
        <v>823.4</v>
      </c>
      <c r="Q660" s="116">
        <v>1671.7</v>
      </c>
      <c r="R660">
        <v>287494</v>
      </c>
    </row>
    <row r="661" spans="1:18" x14ac:dyDescent="0.25">
      <c r="A661" s="170">
        <v>42976</v>
      </c>
      <c r="B661" s="116">
        <v>835.5</v>
      </c>
      <c r="C661" s="116">
        <v>822.77499999999998</v>
      </c>
      <c r="D661" s="116">
        <v>820</v>
      </c>
      <c r="E661" s="116">
        <v>834</v>
      </c>
      <c r="F661" s="116">
        <v>1645.55</v>
      </c>
      <c r="G661">
        <v>20032</v>
      </c>
      <c r="H661" s="116"/>
      <c r="I661" s="116"/>
      <c r="L661" s="170">
        <v>42976</v>
      </c>
      <c r="M661" s="116">
        <v>823.1</v>
      </c>
      <c r="N661" s="116">
        <v>834.1</v>
      </c>
      <c r="O661" s="116">
        <v>819</v>
      </c>
      <c r="P661" s="116">
        <v>834.1</v>
      </c>
      <c r="Q661" s="116">
        <v>1646.2</v>
      </c>
      <c r="R661">
        <v>162228</v>
      </c>
    </row>
    <row r="662" spans="1:18" x14ac:dyDescent="0.25">
      <c r="A662" s="170">
        <v>42977</v>
      </c>
      <c r="B662" s="116">
        <v>836.4</v>
      </c>
      <c r="C662" s="116">
        <v>829.25</v>
      </c>
      <c r="D662" s="116">
        <v>825.27499999999998</v>
      </c>
      <c r="E662" s="116">
        <v>828.97500000000002</v>
      </c>
      <c r="F662" s="116">
        <v>1658.5</v>
      </c>
      <c r="G662">
        <v>29287</v>
      </c>
      <c r="H662" s="116"/>
      <c r="I662" s="116"/>
      <c r="L662" s="170">
        <v>42977</v>
      </c>
      <c r="M662" s="116">
        <v>828.67499999999995</v>
      </c>
      <c r="N662" s="116">
        <v>836.02499999999998</v>
      </c>
      <c r="O662" s="116">
        <v>825</v>
      </c>
      <c r="P662" s="116">
        <v>830.5</v>
      </c>
      <c r="Q662" s="116">
        <v>1657.35</v>
      </c>
      <c r="R662">
        <v>158726</v>
      </c>
    </row>
    <row r="663" spans="1:18" x14ac:dyDescent="0.25">
      <c r="A663" s="170">
        <v>42978</v>
      </c>
      <c r="B663" s="116">
        <v>838.85</v>
      </c>
      <c r="C663" s="116">
        <v>822.95</v>
      </c>
      <c r="D663" s="116">
        <v>818.625</v>
      </c>
      <c r="E663" s="116">
        <v>838.85</v>
      </c>
      <c r="F663" s="116">
        <v>1645.9</v>
      </c>
      <c r="G663">
        <v>29956</v>
      </c>
      <c r="H663" s="116"/>
      <c r="I663" s="116"/>
      <c r="L663" s="170">
        <v>42978</v>
      </c>
      <c r="M663" s="116">
        <v>819.92499999999995</v>
      </c>
      <c r="N663" s="116">
        <v>831.3</v>
      </c>
      <c r="O663" s="116">
        <v>817.2</v>
      </c>
      <c r="P663" s="116">
        <v>831.2</v>
      </c>
      <c r="Q663" s="116">
        <v>1639.85</v>
      </c>
      <c r="R663">
        <v>149769</v>
      </c>
    </row>
    <row r="664" spans="1:18" x14ac:dyDescent="0.25">
      <c r="A664" s="170">
        <v>42979</v>
      </c>
      <c r="B664" s="116">
        <v>835.2</v>
      </c>
      <c r="C664" s="116">
        <v>829.4</v>
      </c>
      <c r="D664" s="116">
        <v>820</v>
      </c>
      <c r="E664" s="116">
        <v>822.5</v>
      </c>
      <c r="F664" s="116">
        <v>1658.8</v>
      </c>
      <c r="G664">
        <v>26980</v>
      </c>
      <c r="H664" s="116"/>
      <c r="I664" s="116"/>
      <c r="L664" s="170">
        <v>42979</v>
      </c>
      <c r="M664" s="116">
        <v>829.97500000000002</v>
      </c>
      <c r="N664" s="116">
        <v>835.5</v>
      </c>
      <c r="O664" s="116">
        <v>820.1</v>
      </c>
      <c r="P664" s="116">
        <v>821.9</v>
      </c>
      <c r="Q664" s="116">
        <v>1659.95</v>
      </c>
      <c r="R664">
        <v>134388</v>
      </c>
    </row>
    <row r="665" spans="1:18" x14ac:dyDescent="0.25">
      <c r="A665" s="170">
        <v>42982</v>
      </c>
      <c r="B665" s="116">
        <v>868.5</v>
      </c>
      <c r="C665" s="116">
        <v>863.6</v>
      </c>
      <c r="D665" s="116">
        <v>827.5</v>
      </c>
      <c r="E665" s="116">
        <v>830</v>
      </c>
      <c r="F665" s="116">
        <v>1727.2</v>
      </c>
      <c r="G665">
        <v>136470</v>
      </c>
      <c r="H665" s="116"/>
      <c r="I665" s="116"/>
      <c r="L665" s="170">
        <v>42982</v>
      </c>
      <c r="M665" s="116">
        <v>863.8</v>
      </c>
      <c r="N665" s="116">
        <v>868</v>
      </c>
      <c r="O665" s="116">
        <v>826.55</v>
      </c>
      <c r="P665" s="116">
        <v>830.8</v>
      </c>
      <c r="Q665" s="116">
        <v>1727.6</v>
      </c>
      <c r="R665">
        <v>857051</v>
      </c>
    </row>
    <row r="666" spans="1:18" x14ac:dyDescent="0.25">
      <c r="A666" s="170">
        <v>42983</v>
      </c>
      <c r="B666" s="116">
        <v>885</v>
      </c>
      <c r="C666" s="116">
        <v>872.72500000000002</v>
      </c>
      <c r="D666" s="116">
        <v>869.05</v>
      </c>
      <c r="E666" s="116">
        <v>874.35</v>
      </c>
      <c r="F666" s="116">
        <v>1745.45</v>
      </c>
      <c r="G666">
        <v>58700</v>
      </c>
      <c r="H666" s="116"/>
      <c r="I666" s="116"/>
      <c r="L666" s="170">
        <v>42983</v>
      </c>
      <c r="M666" s="116">
        <v>873.6</v>
      </c>
      <c r="N666" s="116">
        <v>885</v>
      </c>
      <c r="O666" s="116">
        <v>867.6</v>
      </c>
      <c r="P666" s="116">
        <v>873</v>
      </c>
      <c r="Q666" s="116">
        <v>1747.2</v>
      </c>
      <c r="R666">
        <v>541151</v>
      </c>
    </row>
    <row r="667" spans="1:18" x14ac:dyDescent="0.25">
      <c r="A667" s="170">
        <v>42984</v>
      </c>
      <c r="B667" s="116">
        <v>883.625</v>
      </c>
      <c r="C667" s="116">
        <v>875</v>
      </c>
      <c r="D667" s="116">
        <v>861.15</v>
      </c>
      <c r="E667" s="116">
        <v>869</v>
      </c>
      <c r="F667" s="116">
        <v>1750</v>
      </c>
      <c r="G667">
        <v>37289</v>
      </c>
      <c r="H667" s="116"/>
      <c r="I667" s="116"/>
      <c r="L667" s="170">
        <v>42984</v>
      </c>
      <c r="M667" s="116">
        <v>875.8</v>
      </c>
      <c r="N667" s="116">
        <v>882.45</v>
      </c>
      <c r="O667" s="116">
        <v>861.27499999999998</v>
      </c>
      <c r="P667" s="116">
        <v>865.5</v>
      </c>
      <c r="Q667" s="116">
        <v>1751.6</v>
      </c>
      <c r="R667">
        <v>313335</v>
      </c>
    </row>
    <row r="668" spans="1:18" x14ac:dyDescent="0.25">
      <c r="A668" s="170">
        <v>42985</v>
      </c>
      <c r="B668" s="116">
        <v>900</v>
      </c>
      <c r="C668" s="116">
        <v>896.55</v>
      </c>
      <c r="D668" s="116">
        <v>875.05</v>
      </c>
      <c r="E668" s="116">
        <v>882.5</v>
      </c>
      <c r="F668" s="116">
        <v>1793.1</v>
      </c>
      <c r="G668">
        <v>55194</v>
      </c>
      <c r="H668" s="116"/>
      <c r="I668" s="116"/>
      <c r="L668" s="170">
        <v>42985</v>
      </c>
      <c r="M668" s="116">
        <v>896.55</v>
      </c>
      <c r="N668" s="116">
        <v>899.5</v>
      </c>
      <c r="O668" s="116">
        <v>875</v>
      </c>
      <c r="P668" s="116">
        <v>875</v>
      </c>
      <c r="Q668" s="116">
        <v>1793.1</v>
      </c>
      <c r="R668">
        <v>504114</v>
      </c>
    </row>
    <row r="669" spans="1:18" x14ac:dyDescent="0.25">
      <c r="A669" s="170">
        <v>42986</v>
      </c>
      <c r="B669" s="116">
        <v>908.5</v>
      </c>
      <c r="C669" s="116">
        <v>885.42499999999995</v>
      </c>
      <c r="D669" s="116">
        <v>882.5</v>
      </c>
      <c r="E669" s="116">
        <v>902.5</v>
      </c>
      <c r="F669" s="116">
        <v>1770.85</v>
      </c>
      <c r="G669">
        <v>69466</v>
      </c>
      <c r="H669" s="116"/>
      <c r="I669" s="116"/>
      <c r="L669" s="170">
        <v>42986</v>
      </c>
      <c r="M669" s="116">
        <v>886.125</v>
      </c>
      <c r="N669" s="116">
        <v>908.5</v>
      </c>
      <c r="O669" s="116">
        <v>882.77499999999998</v>
      </c>
      <c r="P669" s="116">
        <v>904.55</v>
      </c>
      <c r="Q669" s="116">
        <v>1772.25</v>
      </c>
      <c r="R669">
        <v>590723</v>
      </c>
    </row>
    <row r="670" spans="1:18" x14ac:dyDescent="0.25">
      <c r="A670" s="170">
        <v>42989</v>
      </c>
      <c r="B670" s="116">
        <v>906.77499999999998</v>
      </c>
      <c r="C670" s="116">
        <v>901</v>
      </c>
      <c r="D670" s="116">
        <v>890</v>
      </c>
      <c r="E670" s="116">
        <v>893</v>
      </c>
      <c r="F670" s="116">
        <v>1802</v>
      </c>
      <c r="G670">
        <v>38916</v>
      </c>
      <c r="H670" s="116"/>
      <c r="I670" s="116"/>
      <c r="L670" s="170">
        <v>42989</v>
      </c>
      <c r="M670" s="116">
        <v>901.97500000000002</v>
      </c>
      <c r="N670" s="116">
        <v>907.5</v>
      </c>
      <c r="O670" s="116">
        <v>888.15</v>
      </c>
      <c r="P670" s="116">
        <v>891.9</v>
      </c>
      <c r="Q670" s="116">
        <v>1803.95</v>
      </c>
      <c r="R670">
        <v>356101</v>
      </c>
    </row>
    <row r="671" spans="1:18" x14ac:dyDescent="0.25">
      <c r="A671" s="170">
        <v>42990</v>
      </c>
      <c r="B671" s="116">
        <v>913.55</v>
      </c>
      <c r="C671" s="116">
        <v>905.67499999999995</v>
      </c>
      <c r="D671" s="116">
        <v>896.57500000000005</v>
      </c>
      <c r="E671" s="116">
        <v>905</v>
      </c>
      <c r="F671" s="116">
        <v>1811.35</v>
      </c>
      <c r="G671">
        <v>59078</v>
      </c>
      <c r="H671" s="116"/>
      <c r="I671" s="116"/>
      <c r="L671" s="170">
        <v>42990</v>
      </c>
      <c r="M671" s="116">
        <v>906.52499999999998</v>
      </c>
      <c r="N671" s="116">
        <v>913.5</v>
      </c>
      <c r="O671" s="116">
        <v>896</v>
      </c>
      <c r="P671" s="116">
        <v>904.5</v>
      </c>
      <c r="Q671" s="116">
        <v>1813.05</v>
      </c>
      <c r="R671">
        <v>421843</v>
      </c>
    </row>
    <row r="672" spans="1:18" x14ac:dyDescent="0.25">
      <c r="A672" s="170">
        <v>42991</v>
      </c>
      <c r="B672" s="116">
        <v>920.35</v>
      </c>
      <c r="C672" s="116">
        <v>908.75</v>
      </c>
      <c r="D672" s="116">
        <v>906.2</v>
      </c>
      <c r="E672" s="116">
        <v>909</v>
      </c>
      <c r="F672" s="116">
        <v>1817.5</v>
      </c>
      <c r="G672">
        <v>53189</v>
      </c>
      <c r="H672" s="116"/>
      <c r="I672" s="116"/>
      <c r="L672" s="170">
        <v>42991</v>
      </c>
      <c r="M672" s="116">
        <v>907.65</v>
      </c>
      <c r="N672" s="116">
        <v>919.97500000000002</v>
      </c>
      <c r="O672" s="116">
        <v>905</v>
      </c>
      <c r="P672" s="116">
        <v>908.9</v>
      </c>
      <c r="Q672" s="116">
        <v>1815.3</v>
      </c>
      <c r="R672">
        <v>498127</v>
      </c>
    </row>
    <row r="673" spans="1:18" x14ac:dyDescent="0.25">
      <c r="A673" s="170">
        <v>42992</v>
      </c>
      <c r="B673" s="116">
        <v>918.5</v>
      </c>
      <c r="C673" s="116">
        <v>911.45</v>
      </c>
      <c r="D673" s="116">
        <v>907.52499999999998</v>
      </c>
      <c r="E673" s="116">
        <v>912.2</v>
      </c>
      <c r="F673" s="116">
        <v>1822.9</v>
      </c>
      <c r="G673">
        <v>128790</v>
      </c>
      <c r="H673" s="116"/>
      <c r="I673" s="116"/>
      <c r="L673" s="170">
        <v>42992</v>
      </c>
      <c r="M673" s="116">
        <v>911.82500000000005</v>
      </c>
      <c r="N673" s="116">
        <v>919</v>
      </c>
      <c r="O673" s="116">
        <v>908.05</v>
      </c>
      <c r="P673" s="116">
        <v>911.2</v>
      </c>
      <c r="Q673" s="116">
        <v>1823.65</v>
      </c>
      <c r="R673">
        <v>373745</v>
      </c>
    </row>
    <row r="674" spans="1:18" x14ac:dyDescent="0.25">
      <c r="A674" s="170">
        <v>42993</v>
      </c>
      <c r="B674" s="116">
        <v>917.92499999999995</v>
      </c>
      <c r="C674" s="116">
        <v>912.82500000000005</v>
      </c>
      <c r="D674" s="116">
        <v>905.67499999999995</v>
      </c>
      <c r="E674" s="116">
        <v>905.67499999999995</v>
      </c>
      <c r="F674" s="116">
        <v>1825.65</v>
      </c>
      <c r="G674">
        <v>65155</v>
      </c>
      <c r="H674" s="116"/>
      <c r="I674" s="116"/>
      <c r="L674" s="170">
        <v>42993</v>
      </c>
      <c r="M674" s="116">
        <v>911.72500000000002</v>
      </c>
      <c r="N674" s="116">
        <v>917.95</v>
      </c>
      <c r="O674" s="116">
        <v>905</v>
      </c>
      <c r="P674" s="116">
        <v>910.2</v>
      </c>
      <c r="Q674" s="116">
        <v>1823.45</v>
      </c>
      <c r="R674">
        <v>591872</v>
      </c>
    </row>
    <row r="675" spans="1:18" x14ac:dyDescent="0.25">
      <c r="A675" s="170">
        <v>42996</v>
      </c>
      <c r="B675" s="116">
        <v>925.5</v>
      </c>
      <c r="C675" s="116">
        <v>903.6</v>
      </c>
      <c r="D675" s="116">
        <v>901</v>
      </c>
      <c r="E675" s="116">
        <v>920</v>
      </c>
      <c r="F675" s="116">
        <v>903.6</v>
      </c>
      <c r="G675">
        <v>45964</v>
      </c>
      <c r="H675" s="116"/>
      <c r="I675" s="116"/>
      <c r="L675" s="170">
        <v>42996</v>
      </c>
      <c r="M675" s="116">
        <v>901.3</v>
      </c>
      <c r="N675" s="116">
        <v>921.7</v>
      </c>
      <c r="O675" s="116">
        <v>898</v>
      </c>
      <c r="P675" s="116">
        <v>921.45</v>
      </c>
      <c r="Q675" s="116">
        <v>901.3</v>
      </c>
      <c r="R675">
        <v>573740</v>
      </c>
    </row>
    <row r="676" spans="1:18" x14ac:dyDescent="0.25">
      <c r="A676" s="170">
        <v>42997</v>
      </c>
      <c r="B676" s="116">
        <v>911</v>
      </c>
      <c r="C676" s="116">
        <v>886.55</v>
      </c>
      <c r="D676" s="116">
        <v>882.85</v>
      </c>
      <c r="E676" s="116">
        <v>907.9</v>
      </c>
      <c r="F676" s="116">
        <v>886.55</v>
      </c>
      <c r="G676">
        <v>73120</v>
      </c>
      <c r="H676" s="116"/>
      <c r="I676" s="116"/>
      <c r="L676" s="170">
        <v>42997</v>
      </c>
      <c r="M676" s="116">
        <v>885.95</v>
      </c>
      <c r="N676" s="116">
        <v>911.2</v>
      </c>
      <c r="O676" s="116">
        <v>881.55</v>
      </c>
      <c r="P676" s="116">
        <v>904.45</v>
      </c>
      <c r="Q676" s="116">
        <v>885.95</v>
      </c>
      <c r="R676">
        <v>428833</v>
      </c>
    </row>
    <row r="677" spans="1:18" x14ac:dyDescent="0.25">
      <c r="A677" s="170">
        <v>42998</v>
      </c>
      <c r="B677" s="116">
        <v>895</v>
      </c>
      <c r="C677" s="116">
        <v>881.8</v>
      </c>
      <c r="D677" s="116">
        <v>876.75</v>
      </c>
      <c r="E677" s="116">
        <v>890</v>
      </c>
      <c r="F677" s="116">
        <v>881.8</v>
      </c>
      <c r="G677">
        <v>46473</v>
      </c>
      <c r="H677" s="116"/>
      <c r="I677" s="116"/>
      <c r="L677" s="170">
        <v>42998</v>
      </c>
      <c r="M677" s="116">
        <v>880.85</v>
      </c>
      <c r="N677" s="116">
        <v>896.75</v>
      </c>
      <c r="O677" s="116">
        <v>877.05</v>
      </c>
      <c r="P677" s="116">
        <v>889.95</v>
      </c>
      <c r="Q677" s="116">
        <v>880.85</v>
      </c>
      <c r="R677">
        <v>313656</v>
      </c>
    </row>
    <row r="678" spans="1:18" x14ac:dyDescent="0.25">
      <c r="A678" s="170">
        <v>42999</v>
      </c>
      <c r="B678" s="116">
        <v>885.9</v>
      </c>
      <c r="C678" s="116">
        <v>870.45</v>
      </c>
      <c r="D678" s="116">
        <v>866</v>
      </c>
      <c r="E678" s="116">
        <v>877.05</v>
      </c>
      <c r="F678" s="116">
        <v>870.45</v>
      </c>
      <c r="G678">
        <v>39730</v>
      </c>
      <c r="H678" s="116"/>
      <c r="I678" s="116"/>
      <c r="L678" s="170">
        <v>42999</v>
      </c>
      <c r="M678" s="116">
        <v>872.1</v>
      </c>
      <c r="N678" s="116">
        <v>885.3</v>
      </c>
      <c r="O678" s="116">
        <v>865.55</v>
      </c>
      <c r="P678" s="116">
        <v>883.7</v>
      </c>
      <c r="Q678" s="116">
        <v>872.1</v>
      </c>
      <c r="R678">
        <v>245016</v>
      </c>
    </row>
    <row r="679" spans="1:18" x14ac:dyDescent="0.25">
      <c r="A679" s="170">
        <v>43000</v>
      </c>
      <c r="B679" s="116">
        <v>872</v>
      </c>
      <c r="C679" s="116">
        <v>846</v>
      </c>
      <c r="D679" s="116">
        <v>841.5</v>
      </c>
      <c r="E679" s="116">
        <v>870</v>
      </c>
      <c r="F679" s="116">
        <v>846</v>
      </c>
      <c r="G679">
        <v>44725</v>
      </c>
      <c r="H679" s="116"/>
      <c r="I679" s="116"/>
      <c r="L679" s="170">
        <v>43000</v>
      </c>
      <c r="M679" s="116">
        <v>847.3</v>
      </c>
      <c r="N679" s="116">
        <v>872</v>
      </c>
      <c r="O679" s="116">
        <v>841</v>
      </c>
      <c r="P679" s="116">
        <v>869.9</v>
      </c>
      <c r="Q679" s="116">
        <v>847.3</v>
      </c>
      <c r="R679">
        <v>259352</v>
      </c>
    </row>
    <row r="680" spans="1:18" x14ac:dyDescent="0.25">
      <c r="A680" s="170">
        <v>43003</v>
      </c>
      <c r="B680" s="116">
        <v>850</v>
      </c>
      <c r="C680" s="116">
        <v>814.75</v>
      </c>
      <c r="D680" s="116">
        <v>800.55</v>
      </c>
      <c r="E680" s="116">
        <v>849.95</v>
      </c>
      <c r="F680" s="116">
        <v>814.75</v>
      </c>
      <c r="G680">
        <v>93148</v>
      </c>
      <c r="H680" s="116"/>
      <c r="I680" s="116"/>
      <c r="L680" s="170">
        <v>43003</v>
      </c>
      <c r="M680" s="116">
        <v>813.2</v>
      </c>
      <c r="N680" s="116">
        <v>849</v>
      </c>
      <c r="O680" s="116">
        <v>799</v>
      </c>
      <c r="P680" s="116">
        <v>847.3</v>
      </c>
      <c r="Q680" s="116">
        <v>813.2</v>
      </c>
      <c r="R680">
        <v>437934</v>
      </c>
    </row>
    <row r="681" spans="1:18" x14ac:dyDescent="0.25">
      <c r="A681" s="170">
        <v>43004</v>
      </c>
      <c r="B681" s="116">
        <v>834.5</v>
      </c>
      <c r="C681" s="116">
        <v>824.4</v>
      </c>
      <c r="D681" s="116">
        <v>808</v>
      </c>
      <c r="E681" s="116">
        <v>824.9</v>
      </c>
      <c r="F681" s="116">
        <v>824.4</v>
      </c>
      <c r="G681">
        <v>57412</v>
      </c>
      <c r="H681" s="116"/>
      <c r="I681" s="116"/>
      <c r="L681" s="170">
        <v>43004</v>
      </c>
      <c r="M681" s="116">
        <v>826.65</v>
      </c>
      <c r="N681" s="116">
        <v>836</v>
      </c>
      <c r="O681" s="116">
        <v>807.4</v>
      </c>
      <c r="P681" s="116">
        <v>813.2</v>
      </c>
      <c r="Q681" s="116">
        <v>826.65</v>
      </c>
      <c r="R681">
        <v>329132</v>
      </c>
    </row>
    <row r="682" spans="1:18" x14ac:dyDescent="0.25">
      <c r="A682" s="170">
        <v>43005</v>
      </c>
      <c r="B682" s="116">
        <v>856.85</v>
      </c>
      <c r="C682" s="116">
        <v>807.9</v>
      </c>
      <c r="D682" s="116">
        <v>800.15</v>
      </c>
      <c r="E682" s="116">
        <v>837.9</v>
      </c>
      <c r="F682" s="116">
        <v>807.9</v>
      </c>
      <c r="G682">
        <v>148190</v>
      </c>
      <c r="H682" s="116"/>
      <c r="I682" s="116"/>
      <c r="L682" s="170">
        <v>43005</v>
      </c>
      <c r="M682" s="116">
        <v>808</v>
      </c>
      <c r="N682" s="116">
        <v>857</v>
      </c>
      <c r="O682" s="116">
        <v>800.5</v>
      </c>
      <c r="P682" s="116">
        <v>835.15</v>
      </c>
      <c r="Q682" s="116">
        <v>808</v>
      </c>
      <c r="R682">
        <v>771204</v>
      </c>
    </row>
    <row r="683" spans="1:18" x14ac:dyDescent="0.25">
      <c r="A683" s="170">
        <v>43006</v>
      </c>
      <c r="B683" s="116">
        <v>819.6</v>
      </c>
      <c r="C683" s="116">
        <v>806.95</v>
      </c>
      <c r="D683" s="116">
        <v>795.05</v>
      </c>
      <c r="E683" s="116">
        <v>810</v>
      </c>
      <c r="F683" s="116">
        <v>806.95</v>
      </c>
      <c r="G683">
        <v>102293</v>
      </c>
      <c r="H683" s="116"/>
      <c r="I683" s="116"/>
      <c r="L683" s="170">
        <v>43006</v>
      </c>
      <c r="M683" s="116">
        <v>806.9</v>
      </c>
      <c r="N683" s="116">
        <v>819.65</v>
      </c>
      <c r="O683" s="116">
        <v>792.3</v>
      </c>
      <c r="P683" s="116">
        <v>810.95</v>
      </c>
      <c r="Q683" s="116">
        <v>806.9</v>
      </c>
      <c r="R683">
        <v>494665</v>
      </c>
    </row>
    <row r="684" spans="1:18" x14ac:dyDescent="0.25">
      <c r="A684" s="170">
        <v>43007</v>
      </c>
      <c r="B684" s="116">
        <v>822.75</v>
      </c>
      <c r="C684" s="116">
        <v>812.35</v>
      </c>
      <c r="D684" s="116">
        <v>809</v>
      </c>
      <c r="E684" s="116">
        <v>810</v>
      </c>
      <c r="F684" s="116">
        <v>812.35</v>
      </c>
      <c r="G684">
        <v>34706</v>
      </c>
      <c r="H684" s="116"/>
      <c r="I684" s="116"/>
      <c r="L684" s="170">
        <v>43007</v>
      </c>
      <c r="M684" s="116">
        <v>813.3</v>
      </c>
      <c r="N684" s="116">
        <v>823</v>
      </c>
      <c r="O684" s="116">
        <v>808.1</v>
      </c>
      <c r="P684" s="116">
        <v>812.4</v>
      </c>
      <c r="Q684" s="116">
        <v>813.3</v>
      </c>
      <c r="R684">
        <v>251168</v>
      </c>
    </row>
    <row r="685" spans="1:18" x14ac:dyDescent="0.25">
      <c r="A685" s="170">
        <v>43011</v>
      </c>
      <c r="B685" s="116">
        <v>825</v>
      </c>
      <c r="C685" s="116">
        <v>802</v>
      </c>
      <c r="D685" s="116">
        <v>798.6</v>
      </c>
      <c r="E685" s="116">
        <v>824</v>
      </c>
      <c r="F685" s="116">
        <v>802</v>
      </c>
      <c r="G685">
        <v>47078</v>
      </c>
      <c r="H685" s="116"/>
      <c r="I685" s="116"/>
      <c r="L685" s="170">
        <v>43011</v>
      </c>
      <c r="M685" s="116">
        <v>802.25</v>
      </c>
      <c r="N685" s="116">
        <v>824</v>
      </c>
      <c r="O685" s="116">
        <v>798.25</v>
      </c>
      <c r="P685" s="116">
        <v>824</v>
      </c>
      <c r="Q685" s="116">
        <v>802.25</v>
      </c>
      <c r="R685">
        <v>208405</v>
      </c>
    </row>
    <row r="686" spans="1:18" x14ac:dyDescent="0.25">
      <c r="A686" s="170">
        <v>43012</v>
      </c>
      <c r="B686" s="116">
        <v>806.85</v>
      </c>
      <c r="C686" s="116">
        <v>797.75</v>
      </c>
      <c r="D686" s="116">
        <v>795</v>
      </c>
      <c r="E686" s="116">
        <v>796</v>
      </c>
      <c r="F686" s="116">
        <v>797.75</v>
      </c>
      <c r="G686">
        <v>41649</v>
      </c>
      <c r="H686" s="116"/>
      <c r="I686" s="116"/>
      <c r="L686" s="170">
        <v>43012</v>
      </c>
      <c r="M686" s="116">
        <v>798.35</v>
      </c>
      <c r="N686" s="116">
        <v>806.4</v>
      </c>
      <c r="O686" s="116">
        <v>795.1</v>
      </c>
      <c r="P686" s="116">
        <v>805</v>
      </c>
      <c r="Q686" s="116">
        <v>798.35</v>
      </c>
      <c r="R686">
        <v>286544</v>
      </c>
    </row>
    <row r="687" spans="1:18" x14ac:dyDescent="0.25">
      <c r="A687" s="170">
        <v>43013</v>
      </c>
      <c r="B687" s="116">
        <v>831.9</v>
      </c>
      <c r="C687" s="116">
        <v>826.7</v>
      </c>
      <c r="D687" s="116">
        <v>795.55</v>
      </c>
      <c r="E687" s="116">
        <v>805.5</v>
      </c>
      <c r="F687" s="116">
        <v>826.7</v>
      </c>
      <c r="G687">
        <v>93338</v>
      </c>
      <c r="H687" s="116"/>
      <c r="I687" s="116"/>
      <c r="L687" s="170">
        <v>43013</v>
      </c>
      <c r="M687" s="116">
        <v>827.2</v>
      </c>
      <c r="N687" s="116">
        <v>832</v>
      </c>
      <c r="O687" s="116">
        <v>795.05</v>
      </c>
      <c r="P687" s="116">
        <v>799.35</v>
      </c>
      <c r="Q687" s="116">
        <v>827.2</v>
      </c>
      <c r="R687">
        <v>711810</v>
      </c>
    </row>
    <row r="688" spans="1:18" x14ac:dyDescent="0.25">
      <c r="A688" s="170">
        <v>43014</v>
      </c>
      <c r="B688" s="116">
        <v>835.6</v>
      </c>
      <c r="C688" s="116">
        <v>829.9</v>
      </c>
      <c r="D688" s="116">
        <v>824.85</v>
      </c>
      <c r="E688" s="116">
        <v>830</v>
      </c>
      <c r="F688" s="116">
        <v>829.9</v>
      </c>
      <c r="G688">
        <v>42588</v>
      </c>
      <c r="H688" s="116"/>
      <c r="I688" s="116"/>
      <c r="L688" s="170">
        <v>43014</v>
      </c>
      <c r="M688" s="116">
        <v>830.1</v>
      </c>
      <c r="N688" s="116">
        <v>835.4</v>
      </c>
      <c r="O688" s="116">
        <v>824.75</v>
      </c>
      <c r="P688" s="116">
        <v>833.1</v>
      </c>
      <c r="Q688" s="116">
        <v>830.1</v>
      </c>
      <c r="R688">
        <v>363750</v>
      </c>
    </row>
    <row r="689" spans="1:18" x14ac:dyDescent="0.25">
      <c r="A689" s="170">
        <v>43017</v>
      </c>
      <c r="B689" s="116">
        <v>868.15</v>
      </c>
      <c r="C689" s="116">
        <v>864.1</v>
      </c>
      <c r="D689" s="116">
        <v>822</v>
      </c>
      <c r="E689" s="116">
        <v>822</v>
      </c>
      <c r="F689" s="116">
        <v>864.1</v>
      </c>
      <c r="G689">
        <v>111345</v>
      </c>
      <c r="H689" s="116"/>
      <c r="I689" s="116"/>
      <c r="L689" s="170">
        <v>43017</v>
      </c>
      <c r="M689" s="116">
        <v>864.05</v>
      </c>
      <c r="N689" s="116">
        <v>868.8</v>
      </c>
      <c r="O689" s="116">
        <v>825.9</v>
      </c>
      <c r="P689" s="116">
        <v>830</v>
      </c>
      <c r="Q689" s="116">
        <v>864.05</v>
      </c>
      <c r="R689">
        <v>1153867</v>
      </c>
    </row>
    <row r="690" spans="1:18" x14ac:dyDescent="0.25">
      <c r="A690" s="170">
        <v>43018</v>
      </c>
      <c r="B690" s="116">
        <v>870.75</v>
      </c>
      <c r="C690" s="116">
        <v>864.5</v>
      </c>
      <c r="D690" s="116">
        <v>855.5</v>
      </c>
      <c r="E690" s="116">
        <v>865</v>
      </c>
      <c r="F690" s="116">
        <v>864.5</v>
      </c>
      <c r="G690">
        <v>53749</v>
      </c>
      <c r="H690" s="116"/>
      <c r="I690" s="116"/>
      <c r="L690" s="170">
        <v>43018</v>
      </c>
      <c r="M690" s="116">
        <v>865.25</v>
      </c>
      <c r="N690" s="116">
        <v>870</v>
      </c>
      <c r="O690" s="116">
        <v>854.5</v>
      </c>
      <c r="P690" s="116">
        <v>866.9</v>
      </c>
      <c r="Q690" s="116">
        <v>865.25</v>
      </c>
      <c r="R690">
        <v>526603</v>
      </c>
    </row>
    <row r="691" spans="1:18" x14ac:dyDescent="0.25">
      <c r="A691" s="170">
        <v>43019</v>
      </c>
      <c r="B691" s="116">
        <v>874</v>
      </c>
      <c r="C691" s="116">
        <v>841.2</v>
      </c>
      <c r="D691" s="116">
        <v>835.5</v>
      </c>
      <c r="E691" s="116">
        <v>867.8</v>
      </c>
      <c r="F691" s="116">
        <v>841.2</v>
      </c>
      <c r="G691">
        <v>49724</v>
      </c>
      <c r="H691" s="116"/>
      <c r="I691" s="116"/>
      <c r="L691" s="170">
        <v>43019</v>
      </c>
      <c r="M691" s="116">
        <v>840.7</v>
      </c>
      <c r="N691" s="116">
        <v>874.6</v>
      </c>
      <c r="O691" s="116">
        <v>835</v>
      </c>
      <c r="P691" s="116">
        <v>868</v>
      </c>
      <c r="Q691" s="116">
        <v>840.7</v>
      </c>
      <c r="R691">
        <v>532462</v>
      </c>
    </row>
    <row r="692" spans="1:18" x14ac:dyDescent="0.25">
      <c r="A692" s="170">
        <v>43020</v>
      </c>
      <c r="B692" s="116">
        <v>855.2</v>
      </c>
      <c r="C692" s="116">
        <v>851.95</v>
      </c>
      <c r="D692" s="116">
        <v>835.05</v>
      </c>
      <c r="E692" s="116">
        <v>835.05</v>
      </c>
      <c r="F692" s="116">
        <v>851.95</v>
      </c>
      <c r="G692">
        <v>29781</v>
      </c>
      <c r="H692" s="116"/>
      <c r="I692" s="116"/>
      <c r="L692" s="170">
        <v>43020</v>
      </c>
      <c r="M692" s="116">
        <v>852.8</v>
      </c>
      <c r="N692" s="116">
        <v>855</v>
      </c>
      <c r="O692" s="116">
        <v>839</v>
      </c>
      <c r="P692" s="116">
        <v>845</v>
      </c>
      <c r="Q692" s="116">
        <v>852.8</v>
      </c>
      <c r="R692">
        <v>277063</v>
      </c>
    </row>
    <row r="693" spans="1:18" x14ac:dyDescent="0.25">
      <c r="A693" s="170">
        <v>43021</v>
      </c>
      <c r="B693" s="116">
        <v>880.7</v>
      </c>
      <c r="C693" s="116">
        <v>862.4</v>
      </c>
      <c r="D693" s="116">
        <v>857.85</v>
      </c>
      <c r="E693" s="116">
        <v>860</v>
      </c>
      <c r="F693" s="116">
        <v>862.4</v>
      </c>
      <c r="G693">
        <v>97936</v>
      </c>
      <c r="H693" s="116"/>
      <c r="I693" s="116"/>
      <c r="L693" s="170">
        <v>43021</v>
      </c>
      <c r="M693" s="116">
        <v>862.4</v>
      </c>
      <c r="N693" s="116">
        <v>878.9</v>
      </c>
      <c r="O693" s="116">
        <v>855.55</v>
      </c>
      <c r="P693" s="116">
        <v>857.2</v>
      </c>
      <c r="Q693" s="116">
        <v>862.4</v>
      </c>
      <c r="R693">
        <v>749721</v>
      </c>
    </row>
    <row r="694" spans="1:18" x14ac:dyDescent="0.25">
      <c r="A694" s="170">
        <v>43024</v>
      </c>
      <c r="B694" s="116">
        <v>872</v>
      </c>
      <c r="C694" s="116">
        <v>855.75</v>
      </c>
      <c r="D694" s="116">
        <v>850</v>
      </c>
      <c r="E694" s="116">
        <v>864.85</v>
      </c>
      <c r="F694" s="116">
        <v>855.75</v>
      </c>
      <c r="G694">
        <v>30762</v>
      </c>
      <c r="H694" s="116"/>
      <c r="I694" s="116"/>
      <c r="L694" s="170">
        <v>43024</v>
      </c>
      <c r="M694" s="116">
        <v>856.15</v>
      </c>
      <c r="N694" s="116">
        <v>870.45</v>
      </c>
      <c r="O694" s="116">
        <v>850</v>
      </c>
      <c r="P694" s="116">
        <v>866</v>
      </c>
      <c r="Q694" s="116">
        <v>856.15</v>
      </c>
      <c r="R694">
        <v>315055</v>
      </c>
    </row>
    <row r="695" spans="1:18" x14ac:dyDescent="0.25">
      <c r="A695" s="170">
        <v>43025</v>
      </c>
      <c r="B695" s="116">
        <v>859</v>
      </c>
      <c r="C695" s="116">
        <v>847.55</v>
      </c>
      <c r="D695" s="116">
        <v>844.35</v>
      </c>
      <c r="E695" s="116">
        <v>855.85</v>
      </c>
      <c r="F695" s="116">
        <v>847.55</v>
      </c>
      <c r="G695">
        <v>21302</v>
      </c>
      <c r="H695" s="116"/>
      <c r="I695" s="116"/>
      <c r="L695" s="170">
        <v>43025</v>
      </c>
      <c r="M695" s="116">
        <v>849.2</v>
      </c>
      <c r="N695" s="116">
        <v>859</v>
      </c>
      <c r="O695" s="116">
        <v>845</v>
      </c>
      <c r="P695" s="116">
        <v>852</v>
      </c>
      <c r="Q695" s="116">
        <v>849.2</v>
      </c>
      <c r="R695">
        <v>293182</v>
      </c>
    </row>
    <row r="696" spans="1:18" x14ac:dyDescent="0.25">
      <c r="A696" s="170">
        <v>43026</v>
      </c>
      <c r="B696" s="116">
        <v>861.85</v>
      </c>
      <c r="C696" s="116">
        <v>848.55</v>
      </c>
      <c r="D696" s="116">
        <v>846.8</v>
      </c>
      <c r="E696" s="116">
        <v>850</v>
      </c>
      <c r="F696" s="116">
        <v>848.55</v>
      </c>
      <c r="G696">
        <v>42849</v>
      </c>
      <c r="H696" s="116"/>
      <c r="I696" s="116"/>
      <c r="L696" s="170">
        <v>43026</v>
      </c>
      <c r="M696" s="116">
        <v>848.5</v>
      </c>
      <c r="N696" s="116">
        <v>861.7</v>
      </c>
      <c r="O696" s="116">
        <v>846</v>
      </c>
      <c r="P696" s="116">
        <v>851.4</v>
      </c>
      <c r="Q696" s="116">
        <v>848.5</v>
      </c>
      <c r="R696">
        <v>341930</v>
      </c>
    </row>
    <row r="697" spans="1:18" x14ac:dyDescent="0.25">
      <c r="A697" s="170">
        <v>43027</v>
      </c>
      <c r="B697" s="116">
        <v>856.5</v>
      </c>
      <c r="C697" s="116">
        <v>837.65</v>
      </c>
      <c r="D697" s="116">
        <v>830</v>
      </c>
      <c r="E697" s="116">
        <v>856.5</v>
      </c>
      <c r="F697" s="116">
        <v>837.65</v>
      </c>
      <c r="G697">
        <v>12878</v>
      </c>
      <c r="H697" s="116"/>
      <c r="I697" s="116"/>
      <c r="L697" s="170">
        <v>43027</v>
      </c>
      <c r="M697" s="116">
        <v>837.3</v>
      </c>
      <c r="N697" s="116">
        <v>852.5</v>
      </c>
      <c r="O697" s="116">
        <v>826.1</v>
      </c>
      <c r="P697" s="116">
        <v>848.1</v>
      </c>
      <c r="Q697" s="116">
        <v>837.3</v>
      </c>
      <c r="R697">
        <v>95246</v>
      </c>
    </row>
    <row r="698" spans="1:18" x14ac:dyDescent="0.25">
      <c r="A698" s="170">
        <v>43031</v>
      </c>
      <c r="B698" s="116">
        <v>854.6</v>
      </c>
      <c r="C698" s="116">
        <v>849.75</v>
      </c>
      <c r="D698" s="116">
        <v>826</v>
      </c>
      <c r="E698" s="116">
        <v>848</v>
      </c>
      <c r="F698" s="116">
        <v>849.75</v>
      </c>
      <c r="G698">
        <v>55824</v>
      </c>
      <c r="H698" s="116"/>
      <c r="I698" s="116"/>
      <c r="L698" s="170">
        <v>43031</v>
      </c>
      <c r="M698" s="116">
        <v>850</v>
      </c>
      <c r="N698" s="116">
        <v>855.4</v>
      </c>
      <c r="O698" s="116">
        <v>821.2</v>
      </c>
      <c r="P698" s="116">
        <v>842</v>
      </c>
      <c r="Q698" s="116">
        <v>850</v>
      </c>
      <c r="R698">
        <v>293889</v>
      </c>
    </row>
    <row r="699" spans="1:18" x14ac:dyDescent="0.25">
      <c r="A699" s="170">
        <v>43032</v>
      </c>
      <c r="B699" s="116">
        <v>862</v>
      </c>
      <c r="C699" s="116">
        <v>853.3</v>
      </c>
      <c r="D699" s="116">
        <v>847</v>
      </c>
      <c r="E699" s="116">
        <v>852</v>
      </c>
      <c r="F699" s="116">
        <v>853.3</v>
      </c>
      <c r="G699">
        <v>37724</v>
      </c>
      <c r="H699" s="116"/>
      <c r="I699" s="116"/>
      <c r="L699" s="170">
        <v>43032</v>
      </c>
      <c r="M699" s="116">
        <v>852.35</v>
      </c>
      <c r="N699" s="116">
        <v>862.7</v>
      </c>
      <c r="O699" s="116">
        <v>845.15</v>
      </c>
      <c r="P699" s="116">
        <v>850</v>
      </c>
      <c r="Q699" s="116">
        <v>852.35</v>
      </c>
      <c r="R699">
        <v>350829</v>
      </c>
    </row>
    <row r="700" spans="1:18" x14ac:dyDescent="0.25">
      <c r="A700" s="170">
        <v>43033</v>
      </c>
      <c r="B700" s="116">
        <v>888</v>
      </c>
      <c r="C700" s="116">
        <v>864.45</v>
      </c>
      <c r="D700" s="116">
        <v>835.35</v>
      </c>
      <c r="E700" s="116">
        <v>850.05</v>
      </c>
      <c r="F700" s="116">
        <v>864.45</v>
      </c>
      <c r="G700">
        <v>142542</v>
      </c>
      <c r="H700" s="116"/>
      <c r="I700" s="116"/>
      <c r="L700" s="170">
        <v>43033</v>
      </c>
      <c r="M700" s="116">
        <v>863.95</v>
      </c>
      <c r="N700" s="116">
        <v>888</v>
      </c>
      <c r="O700" s="116">
        <v>837.3</v>
      </c>
      <c r="P700" s="116">
        <v>856</v>
      </c>
      <c r="Q700" s="116">
        <v>863.95</v>
      </c>
      <c r="R700">
        <v>1156840</v>
      </c>
    </row>
    <row r="701" spans="1:18" x14ac:dyDescent="0.25">
      <c r="A701" s="170">
        <v>43034</v>
      </c>
      <c r="B701" s="116">
        <v>865.5</v>
      </c>
      <c r="C701" s="116">
        <v>841.65</v>
      </c>
      <c r="D701" s="116">
        <v>836</v>
      </c>
      <c r="E701" s="116">
        <v>855.1</v>
      </c>
      <c r="F701" s="116">
        <v>841.65</v>
      </c>
      <c r="G701">
        <v>55875</v>
      </c>
      <c r="H701" s="116"/>
      <c r="I701" s="116"/>
      <c r="L701" s="170">
        <v>43034</v>
      </c>
      <c r="M701" s="116">
        <v>840.2</v>
      </c>
      <c r="N701" s="116">
        <v>865.7</v>
      </c>
      <c r="O701" s="116">
        <v>835</v>
      </c>
      <c r="P701" s="116">
        <v>865.7</v>
      </c>
      <c r="Q701" s="116">
        <v>840.2</v>
      </c>
      <c r="R701">
        <v>491554</v>
      </c>
    </row>
    <row r="702" spans="1:18" x14ac:dyDescent="0.25">
      <c r="A702" s="170">
        <v>43035</v>
      </c>
      <c r="B702" s="116">
        <v>852.95</v>
      </c>
      <c r="C702" s="116">
        <v>839.95</v>
      </c>
      <c r="D702" s="116">
        <v>838</v>
      </c>
      <c r="E702" s="116">
        <v>842.35</v>
      </c>
      <c r="F702" s="116">
        <v>839.95</v>
      </c>
      <c r="G702">
        <v>36749</v>
      </c>
      <c r="H702" s="116"/>
      <c r="I702" s="116"/>
      <c r="L702" s="170">
        <v>43035</v>
      </c>
      <c r="M702" s="116">
        <v>842</v>
      </c>
      <c r="N702" s="116">
        <v>852</v>
      </c>
      <c r="O702" s="116">
        <v>839.95</v>
      </c>
      <c r="P702" s="116">
        <v>840.7</v>
      </c>
      <c r="Q702" s="116">
        <v>842</v>
      </c>
      <c r="R702">
        <v>252057</v>
      </c>
    </row>
    <row r="703" spans="1:18" x14ac:dyDescent="0.25">
      <c r="A703" s="170">
        <v>43038</v>
      </c>
      <c r="B703" s="116">
        <v>850.9</v>
      </c>
      <c r="C703" s="116">
        <v>835.1</v>
      </c>
      <c r="D703" s="116">
        <v>831</v>
      </c>
      <c r="E703" s="116">
        <v>846</v>
      </c>
      <c r="F703" s="116">
        <v>835.1</v>
      </c>
      <c r="G703">
        <v>48029</v>
      </c>
      <c r="H703" s="116"/>
      <c r="I703" s="116"/>
      <c r="L703" s="170">
        <v>43038</v>
      </c>
      <c r="M703" s="116">
        <v>836.15</v>
      </c>
      <c r="N703" s="116">
        <v>851.4</v>
      </c>
      <c r="O703" s="116">
        <v>832.5</v>
      </c>
      <c r="P703" s="116">
        <v>842.5</v>
      </c>
      <c r="Q703" s="116">
        <v>836.15</v>
      </c>
      <c r="R703">
        <v>296146</v>
      </c>
    </row>
    <row r="704" spans="1:18" x14ac:dyDescent="0.25">
      <c r="A704" s="170">
        <v>43039</v>
      </c>
      <c r="B704" s="116">
        <v>845.25</v>
      </c>
      <c r="C704" s="116">
        <v>837.95</v>
      </c>
      <c r="D704" s="116">
        <v>830.15</v>
      </c>
      <c r="E704" s="116">
        <v>839.55</v>
      </c>
      <c r="F704" s="116">
        <v>837.95</v>
      </c>
      <c r="G704">
        <v>48817</v>
      </c>
      <c r="H704" s="116"/>
      <c r="I704" s="116"/>
      <c r="L704" s="170">
        <v>43039</v>
      </c>
      <c r="M704" s="116">
        <v>839.65</v>
      </c>
      <c r="N704" s="116">
        <v>845.7</v>
      </c>
      <c r="O704" s="116">
        <v>829.2</v>
      </c>
      <c r="P704" s="116">
        <v>840.25</v>
      </c>
      <c r="Q704" s="116">
        <v>839.65</v>
      </c>
      <c r="R704">
        <v>276605</v>
      </c>
    </row>
    <row r="705" spans="1:18" x14ac:dyDescent="0.25">
      <c r="A705" s="170">
        <v>43040</v>
      </c>
      <c r="B705" s="116">
        <v>860</v>
      </c>
      <c r="C705" s="116">
        <v>852.65</v>
      </c>
      <c r="D705" s="116">
        <v>842.3</v>
      </c>
      <c r="E705" s="116">
        <v>843.1</v>
      </c>
      <c r="F705" s="116">
        <v>852.65</v>
      </c>
      <c r="G705">
        <v>67399</v>
      </c>
      <c r="H705" s="116"/>
      <c r="I705" s="116"/>
      <c r="L705" s="170">
        <v>43040</v>
      </c>
      <c r="M705" s="116">
        <v>853.55</v>
      </c>
      <c r="N705" s="116">
        <v>860</v>
      </c>
      <c r="O705" s="116">
        <v>842.35</v>
      </c>
      <c r="P705" s="116">
        <v>844.05</v>
      </c>
      <c r="Q705" s="116">
        <v>853.55</v>
      </c>
      <c r="R705">
        <v>460879</v>
      </c>
    </row>
    <row r="706" spans="1:18" x14ac:dyDescent="0.25">
      <c r="A706" s="170">
        <v>43041</v>
      </c>
      <c r="B706" s="116">
        <v>876.8</v>
      </c>
      <c r="C706" s="116">
        <v>868.5</v>
      </c>
      <c r="D706" s="116">
        <v>855.25</v>
      </c>
      <c r="E706" s="116">
        <v>860</v>
      </c>
      <c r="F706" s="116">
        <v>868.5</v>
      </c>
      <c r="G706">
        <v>158858</v>
      </c>
      <c r="H706" s="116"/>
      <c r="I706" s="116"/>
      <c r="L706" s="170">
        <v>43041</v>
      </c>
      <c r="M706" s="116">
        <v>866.1</v>
      </c>
      <c r="N706" s="116">
        <v>876</v>
      </c>
      <c r="O706" s="116">
        <v>854.95</v>
      </c>
      <c r="P706" s="116">
        <v>855</v>
      </c>
      <c r="Q706" s="116">
        <v>866.1</v>
      </c>
      <c r="R706">
        <v>805578</v>
      </c>
    </row>
    <row r="707" spans="1:18" x14ac:dyDescent="0.25">
      <c r="A707" s="170">
        <v>43042</v>
      </c>
      <c r="B707" s="116">
        <v>869.9</v>
      </c>
      <c r="C707" s="116">
        <v>858.65</v>
      </c>
      <c r="D707" s="116">
        <v>855</v>
      </c>
      <c r="E707" s="116">
        <v>869.9</v>
      </c>
      <c r="F707" s="116">
        <v>858.65</v>
      </c>
      <c r="G707">
        <v>48536</v>
      </c>
      <c r="H707" s="116"/>
      <c r="I707" s="116"/>
      <c r="L707" s="170">
        <v>43042</v>
      </c>
      <c r="M707" s="116">
        <v>858.5</v>
      </c>
      <c r="N707" s="116">
        <v>869.7</v>
      </c>
      <c r="O707" s="116">
        <v>854.05</v>
      </c>
      <c r="P707" s="116">
        <v>866.85</v>
      </c>
      <c r="Q707" s="116">
        <v>858.5</v>
      </c>
      <c r="R707">
        <v>230232</v>
      </c>
    </row>
    <row r="708" spans="1:18" x14ac:dyDescent="0.25">
      <c r="A708" s="170">
        <v>43045</v>
      </c>
      <c r="B708" s="116">
        <v>870.05</v>
      </c>
      <c r="C708" s="116">
        <v>864.75</v>
      </c>
      <c r="D708" s="116">
        <v>855.3</v>
      </c>
      <c r="E708" s="116">
        <v>860.15</v>
      </c>
      <c r="F708" s="116">
        <v>864.75</v>
      </c>
      <c r="G708">
        <v>51087</v>
      </c>
      <c r="H708" s="116"/>
      <c r="I708" s="116"/>
      <c r="L708" s="170">
        <v>43045</v>
      </c>
      <c r="M708" s="116">
        <v>862.9</v>
      </c>
      <c r="N708" s="116">
        <v>869.4</v>
      </c>
      <c r="O708" s="116">
        <v>854.05</v>
      </c>
      <c r="P708" s="116">
        <v>858.7</v>
      </c>
      <c r="Q708" s="116">
        <v>862.9</v>
      </c>
      <c r="R708">
        <v>246867</v>
      </c>
    </row>
    <row r="709" spans="1:18" x14ac:dyDescent="0.25">
      <c r="A709" s="170">
        <v>43046</v>
      </c>
      <c r="B709" s="116">
        <v>894</v>
      </c>
      <c r="C709" s="116">
        <v>868.75</v>
      </c>
      <c r="D709" s="116">
        <v>841.75</v>
      </c>
      <c r="E709" s="116">
        <v>865.9</v>
      </c>
      <c r="F709" s="116">
        <v>868.75</v>
      </c>
      <c r="G709">
        <v>257194</v>
      </c>
      <c r="H709" s="116"/>
      <c r="I709" s="116"/>
      <c r="L709" s="170">
        <v>43046</v>
      </c>
      <c r="M709" s="116">
        <v>871.45</v>
      </c>
      <c r="N709" s="116">
        <v>894.55</v>
      </c>
      <c r="O709" s="116">
        <v>839.7</v>
      </c>
      <c r="P709" s="116">
        <v>865</v>
      </c>
      <c r="Q709" s="116">
        <v>871.45</v>
      </c>
      <c r="R709">
        <v>1431511</v>
      </c>
    </row>
    <row r="710" spans="1:18" x14ac:dyDescent="0.25">
      <c r="A710" s="170">
        <v>43047</v>
      </c>
      <c r="B710" s="116">
        <v>912.3</v>
      </c>
      <c r="C710" s="116">
        <v>889.8</v>
      </c>
      <c r="D710" s="116">
        <v>872</v>
      </c>
      <c r="E710" s="116">
        <v>872</v>
      </c>
      <c r="F710" s="116">
        <v>889.8</v>
      </c>
      <c r="G710">
        <v>249397</v>
      </c>
      <c r="H710" s="116"/>
      <c r="I710" s="116"/>
      <c r="L710" s="170">
        <v>43047</v>
      </c>
      <c r="M710" s="116">
        <v>884.2</v>
      </c>
      <c r="N710" s="116">
        <v>912.8</v>
      </c>
      <c r="O710" s="116">
        <v>874.9</v>
      </c>
      <c r="P710" s="116">
        <v>875.75</v>
      </c>
      <c r="Q710" s="116">
        <v>884.2</v>
      </c>
      <c r="R710">
        <v>2166315</v>
      </c>
    </row>
    <row r="711" spans="1:18" x14ac:dyDescent="0.25">
      <c r="A711" s="170">
        <v>43048</v>
      </c>
      <c r="B711" s="116">
        <v>912.3</v>
      </c>
      <c r="C711" s="116">
        <v>908.7</v>
      </c>
      <c r="D711" s="116">
        <v>885</v>
      </c>
      <c r="E711" s="116">
        <v>894</v>
      </c>
      <c r="F711" s="116">
        <v>908.7</v>
      </c>
      <c r="G711">
        <v>77948</v>
      </c>
      <c r="H711" s="116"/>
      <c r="I711" s="116"/>
      <c r="L711" s="170">
        <v>43048</v>
      </c>
      <c r="M711" s="116">
        <v>908.6</v>
      </c>
      <c r="N711" s="116">
        <v>912</v>
      </c>
      <c r="O711" s="116">
        <v>884.25</v>
      </c>
      <c r="P711" s="116">
        <v>890.5</v>
      </c>
      <c r="Q711" s="116">
        <v>908.6</v>
      </c>
      <c r="R711">
        <v>891357</v>
      </c>
    </row>
    <row r="712" spans="1:18" x14ac:dyDescent="0.25">
      <c r="A712" s="170">
        <v>43049</v>
      </c>
      <c r="B712" s="116">
        <v>910.55</v>
      </c>
      <c r="C712" s="116">
        <v>899.95</v>
      </c>
      <c r="D712" s="116">
        <v>891</v>
      </c>
      <c r="E712" s="116">
        <v>910</v>
      </c>
      <c r="F712" s="116">
        <v>899.95</v>
      </c>
      <c r="G712">
        <v>71336</v>
      </c>
      <c r="H712" s="116"/>
      <c r="I712" s="116"/>
      <c r="L712" s="170">
        <v>43049</v>
      </c>
      <c r="M712" s="116">
        <v>900.25</v>
      </c>
      <c r="N712" s="116">
        <v>911.45</v>
      </c>
      <c r="O712" s="116">
        <v>891</v>
      </c>
      <c r="P712" s="116">
        <v>909</v>
      </c>
      <c r="Q712" s="116">
        <v>900.25</v>
      </c>
      <c r="R712">
        <v>496728</v>
      </c>
    </row>
    <row r="713" spans="1:18" x14ac:dyDescent="0.25">
      <c r="A713" s="170">
        <v>43052</v>
      </c>
      <c r="B713" s="116">
        <v>924.9</v>
      </c>
      <c r="C713" s="116">
        <v>905.95</v>
      </c>
      <c r="D713" s="116">
        <v>901.5</v>
      </c>
      <c r="E713" s="116">
        <v>905.15</v>
      </c>
      <c r="F713" s="116">
        <v>905.95</v>
      </c>
      <c r="G713">
        <v>148164</v>
      </c>
      <c r="H713" s="116"/>
      <c r="I713" s="116"/>
      <c r="L713" s="170">
        <v>43052</v>
      </c>
      <c r="M713" s="116">
        <v>906.3</v>
      </c>
      <c r="N713" s="116">
        <v>923.9</v>
      </c>
      <c r="O713" s="116">
        <v>901.95</v>
      </c>
      <c r="P713" s="116">
        <v>903</v>
      </c>
      <c r="Q713" s="116">
        <v>906.3</v>
      </c>
      <c r="R713">
        <v>1148730</v>
      </c>
    </row>
    <row r="714" spans="1:18" x14ac:dyDescent="0.25">
      <c r="A714" s="170">
        <v>43053</v>
      </c>
      <c r="B714" s="116">
        <v>917.5</v>
      </c>
      <c r="C714" s="116">
        <v>897.85</v>
      </c>
      <c r="D714" s="116">
        <v>892.05</v>
      </c>
      <c r="E714" s="116">
        <v>910.2</v>
      </c>
      <c r="F714" s="116">
        <v>897.85</v>
      </c>
      <c r="G714">
        <v>54199</v>
      </c>
      <c r="H714" s="116"/>
      <c r="I714" s="116"/>
      <c r="L714" s="170">
        <v>43053</v>
      </c>
      <c r="M714" s="116">
        <v>896.3</v>
      </c>
      <c r="N714" s="116">
        <v>918</v>
      </c>
      <c r="O714" s="116">
        <v>892</v>
      </c>
      <c r="P714" s="116">
        <v>911</v>
      </c>
      <c r="Q714" s="116">
        <v>896.3</v>
      </c>
      <c r="R714">
        <v>447956</v>
      </c>
    </row>
    <row r="715" spans="1:18" x14ac:dyDescent="0.25">
      <c r="A715" s="170">
        <v>43054</v>
      </c>
      <c r="B715" s="116">
        <v>900.95</v>
      </c>
      <c r="C715" s="116">
        <v>871.6</v>
      </c>
      <c r="D715" s="116">
        <v>864.05</v>
      </c>
      <c r="E715" s="116">
        <v>896.95</v>
      </c>
      <c r="F715" s="116">
        <v>871.6</v>
      </c>
      <c r="G715">
        <v>83518</v>
      </c>
      <c r="H715" s="116"/>
      <c r="I715" s="116"/>
      <c r="L715" s="170">
        <v>43054</v>
      </c>
      <c r="M715" s="116">
        <v>872.5</v>
      </c>
      <c r="N715" s="116">
        <v>901.5</v>
      </c>
      <c r="O715" s="116">
        <v>864</v>
      </c>
      <c r="P715" s="116">
        <v>880</v>
      </c>
      <c r="Q715" s="116">
        <v>872.5</v>
      </c>
      <c r="R715">
        <v>454129</v>
      </c>
    </row>
    <row r="716" spans="1:18" x14ac:dyDescent="0.25">
      <c r="A716" s="170">
        <v>43055</v>
      </c>
      <c r="B716" s="116">
        <v>898.95</v>
      </c>
      <c r="C716" s="116">
        <v>895</v>
      </c>
      <c r="D716" s="116">
        <v>864</v>
      </c>
      <c r="E716" s="116">
        <v>880.6</v>
      </c>
      <c r="F716" s="116">
        <v>895</v>
      </c>
      <c r="G716">
        <v>70803</v>
      </c>
      <c r="H716" s="116"/>
      <c r="I716" s="116"/>
      <c r="L716" s="170">
        <v>43055</v>
      </c>
      <c r="M716" s="116">
        <v>895.6</v>
      </c>
      <c r="N716" s="116">
        <v>900</v>
      </c>
      <c r="O716" s="116">
        <v>862.8</v>
      </c>
      <c r="P716" s="116">
        <v>877.65</v>
      </c>
      <c r="Q716" s="116">
        <v>895.6</v>
      </c>
      <c r="R716">
        <v>552550</v>
      </c>
    </row>
    <row r="717" spans="1:18" x14ac:dyDescent="0.25">
      <c r="A717" s="170">
        <v>43056</v>
      </c>
      <c r="B717" s="116">
        <v>905</v>
      </c>
      <c r="C717" s="116">
        <v>892.7</v>
      </c>
      <c r="D717" s="116">
        <v>889</v>
      </c>
      <c r="E717" s="116">
        <v>896.25</v>
      </c>
      <c r="F717" s="116">
        <v>892.7</v>
      </c>
      <c r="G717">
        <v>53513</v>
      </c>
      <c r="H717" s="116"/>
      <c r="I717" s="116"/>
      <c r="L717" s="170">
        <v>43056</v>
      </c>
      <c r="M717" s="116">
        <v>893.9</v>
      </c>
      <c r="N717" s="116">
        <v>905.9</v>
      </c>
      <c r="O717" s="116">
        <v>887.4</v>
      </c>
      <c r="P717" s="116">
        <v>904</v>
      </c>
      <c r="Q717" s="116">
        <v>893.9</v>
      </c>
      <c r="R717">
        <v>391763</v>
      </c>
    </row>
    <row r="718" spans="1:18" x14ac:dyDescent="0.25">
      <c r="A718" s="170">
        <v>43059</v>
      </c>
      <c r="B718" s="116">
        <v>939</v>
      </c>
      <c r="C718" s="116">
        <v>932.55</v>
      </c>
      <c r="D718" s="116">
        <v>885</v>
      </c>
      <c r="E718" s="116">
        <v>894</v>
      </c>
      <c r="F718" s="116">
        <v>932.55</v>
      </c>
      <c r="G718">
        <v>138464</v>
      </c>
      <c r="H718" s="116"/>
      <c r="I718" s="116"/>
      <c r="L718" s="170">
        <v>43059</v>
      </c>
      <c r="M718" s="116">
        <v>932.8</v>
      </c>
      <c r="N718" s="116">
        <v>939</v>
      </c>
      <c r="O718" s="116">
        <v>884</v>
      </c>
      <c r="P718" s="116">
        <v>897.4</v>
      </c>
      <c r="Q718" s="116">
        <v>932.8</v>
      </c>
      <c r="R718">
        <v>1083250</v>
      </c>
    </row>
    <row r="719" spans="1:18" x14ac:dyDescent="0.25">
      <c r="A719" s="170">
        <v>43060</v>
      </c>
      <c r="B719" s="116">
        <v>947.4</v>
      </c>
      <c r="C719" s="116">
        <v>931.65</v>
      </c>
      <c r="D719" s="116">
        <v>926.3</v>
      </c>
      <c r="E719" s="116">
        <v>941.1</v>
      </c>
      <c r="F719" s="116">
        <v>931.65</v>
      </c>
      <c r="G719">
        <v>122897</v>
      </c>
      <c r="H719" s="116"/>
      <c r="I719" s="116"/>
      <c r="L719" s="170">
        <v>43060</v>
      </c>
      <c r="M719" s="116">
        <v>932.3</v>
      </c>
      <c r="N719" s="116">
        <v>945.85</v>
      </c>
      <c r="O719" s="116">
        <v>926.5</v>
      </c>
      <c r="P719" s="116">
        <v>945</v>
      </c>
      <c r="Q719" s="116">
        <v>932.3</v>
      </c>
      <c r="R719">
        <v>938133</v>
      </c>
    </row>
    <row r="720" spans="1:18" x14ac:dyDescent="0.25">
      <c r="A720" s="170">
        <v>43061</v>
      </c>
      <c r="B720" s="116">
        <v>960.7</v>
      </c>
      <c r="C720" s="116">
        <v>948.35</v>
      </c>
      <c r="D720" s="116">
        <v>928</v>
      </c>
      <c r="E720" s="116">
        <v>939</v>
      </c>
      <c r="F720" s="116">
        <v>948.35</v>
      </c>
      <c r="G720">
        <v>163139</v>
      </c>
      <c r="H720" s="116"/>
      <c r="I720" s="116"/>
      <c r="L720" s="170">
        <v>43061</v>
      </c>
      <c r="M720" s="116">
        <v>949.45</v>
      </c>
      <c r="N720" s="116">
        <v>960</v>
      </c>
      <c r="O720" s="116">
        <v>928.2</v>
      </c>
      <c r="P720" s="116">
        <v>937.7</v>
      </c>
      <c r="Q720" s="116">
        <v>949.45</v>
      </c>
      <c r="R720">
        <v>1206030</v>
      </c>
    </row>
    <row r="721" spans="1:18" x14ac:dyDescent="0.25">
      <c r="A721" s="170">
        <v>43062</v>
      </c>
      <c r="B721" s="116">
        <v>966.85</v>
      </c>
      <c r="C721" s="116">
        <v>949.2</v>
      </c>
      <c r="D721" s="116">
        <v>941.5</v>
      </c>
      <c r="E721" s="116">
        <v>953</v>
      </c>
      <c r="F721" s="116">
        <v>949.2</v>
      </c>
      <c r="G721">
        <v>147637</v>
      </c>
      <c r="H721" s="116"/>
      <c r="I721" s="116"/>
      <c r="L721" s="170">
        <v>43062</v>
      </c>
      <c r="M721" s="116">
        <v>949.3</v>
      </c>
      <c r="N721" s="116">
        <v>967.95</v>
      </c>
      <c r="O721" s="116">
        <v>938.15</v>
      </c>
      <c r="P721" s="116">
        <v>951.95</v>
      </c>
      <c r="Q721" s="116">
        <v>949.3</v>
      </c>
      <c r="R721">
        <v>1375363</v>
      </c>
    </row>
    <row r="722" spans="1:18" x14ac:dyDescent="0.25">
      <c r="A722" s="170">
        <v>43063</v>
      </c>
      <c r="B722" s="116">
        <v>964.4</v>
      </c>
      <c r="C722" s="116">
        <v>951.85</v>
      </c>
      <c r="D722" s="116">
        <v>947.85</v>
      </c>
      <c r="E722" s="116">
        <v>949.6</v>
      </c>
      <c r="F722" s="116">
        <v>951.85</v>
      </c>
      <c r="G722">
        <v>76644</v>
      </c>
      <c r="H722" s="116"/>
      <c r="I722" s="116"/>
      <c r="L722" s="170">
        <v>43063</v>
      </c>
      <c r="M722" s="116">
        <v>951.4</v>
      </c>
      <c r="N722" s="116">
        <v>964</v>
      </c>
      <c r="O722" s="116">
        <v>945.1</v>
      </c>
      <c r="P722" s="116">
        <v>952.85</v>
      </c>
      <c r="Q722" s="116">
        <v>951.4</v>
      </c>
      <c r="R722">
        <v>563094</v>
      </c>
    </row>
    <row r="723" spans="1:18" x14ac:dyDescent="0.25">
      <c r="A723" s="170">
        <v>43066</v>
      </c>
      <c r="B723" s="116">
        <v>976</v>
      </c>
      <c r="C723" s="116">
        <v>970.85</v>
      </c>
      <c r="D723" s="116">
        <v>944.5</v>
      </c>
      <c r="E723" s="116">
        <v>952</v>
      </c>
      <c r="F723" s="116">
        <v>970.85</v>
      </c>
      <c r="G723">
        <v>94160</v>
      </c>
      <c r="H723" s="116"/>
      <c r="I723" s="116"/>
      <c r="L723" s="170">
        <v>43066</v>
      </c>
      <c r="M723" s="116">
        <v>971.5</v>
      </c>
      <c r="N723" s="116">
        <v>975.75</v>
      </c>
      <c r="O723" s="116">
        <v>945</v>
      </c>
      <c r="P723" s="116">
        <v>950.8</v>
      </c>
      <c r="Q723" s="116">
        <v>971.5</v>
      </c>
      <c r="R723">
        <v>731202</v>
      </c>
    </row>
    <row r="724" spans="1:18" x14ac:dyDescent="0.25">
      <c r="A724" s="170">
        <v>43067</v>
      </c>
      <c r="B724" s="116">
        <v>975</v>
      </c>
      <c r="C724" s="116">
        <v>966.6</v>
      </c>
      <c r="D724" s="116">
        <v>961.05</v>
      </c>
      <c r="E724" s="116">
        <v>970</v>
      </c>
      <c r="F724" s="116">
        <v>966.6</v>
      </c>
      <c r="G724">
        <v>79482</v>
      </c>
      <c r="H724" s="116"/>
      <c r="I724" s="116"/>
      <c r="L724" s="170">
        <v>43067</v>
      </c>
      <c r="M724" s="116">
        <v>966.2</v>
      </c>
      <c r="N724" s="116">
        <v>975</v>
      </c>
      <c r="O724" s="116">
        <v>960.7</v>
      </c>
      <c r="P724" s="116">
        <v>973.55</v>
      </c>
      <c r="Q724" s="116">
        <v>966.2</v>
      </c>
      <c r="R724">
        <v>524526</v>
      </c>
    </row>
    <row r="725" spans="1:18" x14ac:dyDescent="0.25">
      <c r="A725" s="170">
        <v>43068</v>
      </c>
      <c r="B725" s="116">
        <v>968.45</v>
      </c>
      <c r="C725" s="116">
        <v>956.2</v>
      </c>
      <c r="D725" s="116">
        <v>950</v>
      </c>
      <c r="E725" s="116">
        <v>965</v>
      </c>
      <c r="F725" s="116">
        <v>956.2</v>
      </c>
      <c r="G725">
        <v>44151</v>
      </c>
      <c r="H725" s="116"/>
      <c r="I725" s="116"/>
      <c r="L725" s="170">
        <v>43068</v>
      </c>
      <c r="M725" s="116">
        <v>957.1</v>
      </c>
      <c r="N725" s="116">
        <v>968.7</v>
      </c>
      <c r="O725" s="116">
        <v>954.2</v>
      </c>
      <c r="P725" s="116">
        <v>966.6</v>
      </c>
      <c r="Q725" s="116">
        <v>957.1</v>
      </c>
      <c r="R725">
        <v>285092</v>
      </c>
    </row>
    <row r="726" spans="1:18" x14ac:dyDescent="0.25">
      <c r="A726" s="170">
        <v>43069</v>
      </c>
      <c r="B726" s="116">
        <v>959.2</v>
      </c>
      <c r="C726" s="116">
        <v>942.9</v>
      </c>
      <c r="D726" s="116">
        <v>940.15</v>
      </c>
      <c r="E726" s="116">
        <v>956.2</v>
      </c>
      <c r="F726" s="116">
        <v>942.9</v>
      </c>
      <c r="G726">
        <v>35046</v>
      </c>
      <c r="H726" s="116"/>
      <c r="I726" s="116"/>
      <c r="L726" s="170">
        <v>43069</v>
      </c>
      <c r="M726" s="116">
        <v>942.8</v>
      </c>
      <c r="N726" s="116">
        <v>959.5</v>
      </c>
      <c r="O726" s="116">
        <v>938.3</v>
      </c>
      <c r="P726" s="116">
        <v>955.1</v>
      </c>
      <c r="Q726" s="116">
        <v>942.8</v>
      </c>
      <c r="R726">
        <v>286206</v>
      </c>
    </row>
    <row r="727" spans="1:18" x14ac:dyDescent="0.25">
      <c r="A727" s="170">
        <v>43070</v>
      </c>
      <c r="B727" s="116">
        <v>955.75</v>
      </c>
      <c r="C727" s="116">
        <v>917.7</v>
      </c>
      <c r="D727" s="116">
        <v>910.05</v>
      </c>
      <c r="E727" s="116">
        <v>943</v>
      </c>
      <c r="F727" s="116">
        <v>917.7</v>
      </c>
      <c r="G727">
        <v>69663</v>
      </c>
      <c r="H727" s="116"/>
      <c r="I727" s="116"/>
      <c r="L727" s="170">
        <v>43070</v>
      </c>
      <c r="M727" s="116">
        <v>920.3</v>
      </c>
      <c r="N727" s="116">
        <v>955.9</v>
      </c>
      <c r="O727" s="116">
        <v>911.5</v>
      </c>
      <c r="P727" s="116">
        <v>945</v>
      </c>
      <c r="Q727" s="116">
        <v>920.3</v>
      </c>
      <c r="R727">
        <v>323883</v>
      </c>
    </row>
    <row r="728" spans="1:18" x14ac:dyDescent="0.25">
      <c r="A728" s="170">
        <v>43073</v>
      </c>
      <c r="B728" s="116">
        <v>938.05</v>
      </c>
      <c r="C728" s="116">
        <v>925.2</v>
      </c>
      <c r="D728" s="116">
        <v>910</v>
      </c>
      <c r="E728" s="116">
        <v>927.8</v>
      </c>
      <c r="F728" s="116">
        <v>925.2</v>
      </c>
      <c r="G728">
        <v>51378</v>
      </c>
      <c r="H728" s="116"/>
      <c r="I728" s="116"/>
      <c r="L728" s="170">
        <v>43073</v>
      </c>
      <c r="M728" s="116">
        <v>923.05</v>
      </c>
      <c r="N728" s="116">
        <v>939</v>
      </c>
      <c r="O728" s="116">
        <v>909.05</v>
      </c>
      <c r="P728" s="116">
        <v>924.7</v>
      </c>
      <c r="Q728" s="116">
        <v>923.05</v>
      </c>
      <c r="R728">
        <v>392699</v>
      </c>
    </row>
    <row r="729" spans="1:18" x14ac:dyDescent="0.25">
      <c r="A729" s="170">
        <v>43074</v>
      </c>
      <c r="B729" s="116">
        <v>940.65</v>
      </c>
      <c r="C729" s="116">
        <v>934.95</v>
      </c>
      <c r="D729" s="116">
        <v>920.55</v>
      </c>
      <c r="E729" s="116">
        <v>924.25</v>
      </c>
      <c r="F729" s="116">
        <v>934.95</v>
      </c>
      <c r="G729">
        <v>64663</v>
      </c>
      <c r="H729" s="116"/>
      <c r="I729" s="116"/>
      <c r="L729" s="170">
        <v>43074</v>
      </c>
      <c r="M729" s="116">
        <v>934.55</v>
      </c>
      <c r="N729" s="116">
        <v>941.8</v>
      </c>
      <c r="O729" s="116">
        <v>918.1</v>
      </c>
      <c r="P729" s="116">
        <v>923.05</v>
      </c>
      <c r="Q729" s="116">
        <v>934.55</v>
      </c>
      <c r="R729">
        <v>557961</v>
      </c>
    </row>
    <row r="730" spans="1:18" x14ac:dyDescent="0.25">
      <c r="A730" s="170">
        <v>43075</v>
      </c>
      <c r="B730" s="116">
        <v>934</v>
      </c>
      <c r="C730" s="116">
        <v>909.9</v>
      </c>
      <c r="D730" s="116">
        <v>905</v>
      </c>
      <c r="E730" s="116">
        <v>926</v>
      </c>
      <c r="F730" s="116">
        <v>909.9</v>
      </c>
      <c r="G730">
        <v>37291</v>
      </c>
      <c r="H730" s="116"/>
      <c r="I730" s="116"/>
      <c r="L730" s="170">
        <v>43075</v>
      </c>
      <c r="M730" s="116">
        <v>909.85</v>
      </c>
      <c r="N730" s="116">
        <v>933.8</v>
      </c>
      <c r="O730" s="116">
        <v>904.35</v>
      </c>
      <c r="P730" s="116">
        <v>930</v>
      </c>
      <c r="Q730" s="116">
        <v>909.85</v>
      </c>
      <c r="R730">
        <v>351936</v>
      </c>
    </row>
    <row r="731" spans="1:18" x14ac:dyDescent="0.25">
      <c r="A731" s="170">
        <v>43076</v>
      </c>
      <c r="B731" s="116">
        <v>935.85</v>
      </c>
      <c r="C731" s="116">
        <v>931.9</v>
      </c>
      <c r="D731" s="116">
        <v>911.5</v>
      </c>
      <c r="E731" s="116">
        <v>915</v>
      </c>
      <c r="F731" s="116">
        <v>931.9</v>
      </c>
      <c r="G731">
        <v>62061</v>
      </c>
      <c r="H731" s="116"/>
      <c r="I731" s="116"/>
      <c r="L731" s="170">
        <v>43076</v>
      </c>
      <c r="M731" s="116">
        <v>932.85</v>
      </c>
      <c r="N731" s="116">
        <v>936</v>
      </c>
      <c r="O731" s="116">
        <v>910</v>
      </c>
      <c r="P731" s="116">
        <v>911.8</v>
      </c>
      <c r="Q731" s="116">
        <v>932.85</v>
      </c>
      <c r="R731">
        <v>617611</v>
      </c>
    </row>
    <row r="732" spans="1:18" x14ac:dyDescent="0.25">
      <c r="A732" s="170">
        <v>43077</v>
      </c>
      <c r="B732" s="116">
        <v>941.9</v>
      </c>
      <c r="C732" s="116">
        <v>927.45</v>
      </c>
      <c r="D732" s="116">
        <v>923</v>
      </c>
      <c r="E732" s="116">
        <v>932</v>
      </c>
      <c r="F732" s="116">
        <v>927.45</v>
      </c>
      <c r="G732">
        <v>30008</v>
      </c>
      <c r="H732" s="116"/>
      <c r="I732" s="116"/>
      <c r="L732" s="170">
        <v>43077</v>
      </c>
      <c r="M732" s="116">
        <v>927.7</v>
      </c>
      <c r="N732" s="116">
        <v>941.5</v>
      </c>
      <c r="O732" s="116">
        <v>921.2</v>
      </c>
      <c r="P732" s="116">
        <v>937.35</v>
      </c>
      <c r="Q732" s="116">
        <v>927.7</v>
      </c>
      <c r="R732">
        <v>349535</v>
      </c>
    </row>
    <row r="733" spans="1:18" x14ac:dyDescent="0.25">
      <c r="A733" s="170">
        <v>43080</v>
      </c>
      <c r="B733" s="116">
        <v>954</v>
      </c>
      <c r="C733" s="116">
        <v>948.4</v>
      </c>
      <c r="D733" s="116">
        <v>928.05</v>
      </c>
      <c r="E733" s="116">
        <v>931.15</v>
      </c>
      <c r="F733" s="116">
        <v>948.4</v>
      </c>
      <c r="G733">
        <v>59982</v>
      </c>
      <c r="H733" s="116"/>
      <c r="I733" s="116"/>
      <c r="L733" s="170">
        <v>43080</v>
      </c>
      <c r="M733" s="116">
        <v>948.8</v>
      </c>
      <c r="N733" s="116">
        <v>954.8</v>
      </c>
      <c r="O733" s="116">
        <v>927.1</v>
      </c>
      <c r="P733" s="116">
        <v>930.5</v>
      </c>
      <c r="Q733" s="116">
        <v>948.8</v>
      </c>
      <c r="R733">
        <v>649474</v>
      </c>
    </row>
    <row r="734" spans="1:18" x14ac:dyDescent="0.25">
      <c r="A734" s="170">
        <v>43081</v>
      </c>
      <c r="B734" s="116">
        <v>952.2</v>
      </c>
      <c r="C734" s="116">
        <v>931.85</v>
      </c>
      <c r="D734" s="116">
        <v>929.75</v>
      </c>
      <c r="E734" s="116">
        <v>949</v>
      </c>
      <c r="F734" s="116">
        <v>931.85</v>
      </c>
      <c r="G734">
        <v>31142</v>
      </c>
      <c r="H734" s="116"/>
      <c r="I734" s="116"/>
      <c r="L734" s="170">
        <v>43081</v>
      </c>
      <c r="M734" s="116">
        <v>932.7</v>
      </c>
      <c r="N734" s="116">
        <v>953.7</v>
      </c>
      <c r="O734" s="116">
        <v>928.8</v>
      </c>
      <c r="P734" s="116">
        <v>953.7</v>
      </c>
      <c r="Q734" s="116">
        <v>932.7</v>
      </c>
      <c r="R734">
        <v>337991</v>
      </c>
    </row>
    <row r="735" spans="1:18" x14ac:dyDescent="0.25">
      <c r="A735" s="170">
        <v>43082</v>
      </c>
      <c r="B735" s="116">
        <v>942.75</v>
      </c>
      <c r="C735" s="116">
        <v>919.65</v>
      </c>
      <c r="D735" s="116">
        <v>915.2</v>
      </c>
      <c r="E735" s="116">
        <v>936.35</v>
      </c>
      <c r="F735" s="116">
        <v>919.65</v>
      </c>
      <c r="G735">
        <v>36301</v>
      </c>
      <c r="H735" s="116"/>
      <c r="I735" s="116"/>
      <c r="L735" s="170">
        <v>43082</v>
      </c>
      <c r="M735" s="116">
        <v>919.55</v>
      </c>
      <c r="N735" s="116">
        <v>943</v>
      </c>
      <c r="O735" s="116">
        <v>914.5</v>
      </c>
      <c r="P735" s="116">
        <v>936.4</v>
      </c>
      <c r="Q735" s="116">
        <v>919.55</v>
      </c>
      <c r="R735">
        <v>352450</v>
      </c>
    </row>
    <row r="736" spans="1:18" x14ac:dyDescent="0.25">
      <c r="A736" s="170">
        <v>43083</v>
      </c>
      <c r="B736" s="116">
        <v>930</v>
      </c>
      <c r="C736" s="116">
        <v>916.65</v>
      </c>
      <c r="D736" s="116">
        <v>885</v>
      </c>
      <c r="E736" s="116">
        <v>930</v>
      </c>
      <c r="F736" s="116">
        <v>916.65</v>
      </c>
      <c r="G736">
        <v>53963</v>
      </c>
      <c r="H736" s="116"/>
      <c r="I736" s="116"/>
      <c r="L736" s="170">
        <v>43083</v>
      </c>
      <c r="M736" s="116">
        <v>915.8</v>
      </c>
      <c r="N736" s="116">
        <v>927</v>
      </c>
      <c r="O736" s="116">
        <v>882.4</v>
      </c>
      <c r="P736" s="116">
        <v>927</v>
      </c>
      <c r="Q736" s="116">
        <v>915.8</v>
      </c>
      <c r="R736">
        <v>611659</v>
      </c>
    </row>
    <row r="737" spans="1:18" x14ac:dyDescent="0.25">
      <c r="A737" s="170">
        <v>43084</v>
      </c>
      <c r="B737" s="116">
        <v>933.65</v>
      </c>
      <c r="C737" s="116">
        <v>924.55</v>
      </c>
      <c r="D737" s="116">
        <v>918.65</v>
      </c>
      <c r="E737" s="116">
        <v>920.05</v>
      </c>
      <c r="F737" s="116">
        <v>924.55</v>
      </c>
      <c r="G737">
        <v>26047</v>
      </c>
      <c r="H737" s="116"/>
      <c r="I737" s="116"/>
      <c r="L737" s="170">
        <v>43084</v>
      </c>
      <c r="M737" s="116">
        <v>924.75</v>
      </c>
      <c r="N737" s="116">
        <v>934.65</v>
      </c>
      <c r="O737" s="116">
        <v>918</v>
      </c>
      <c r="P737" s="116">
        <v>925</v>
      </c>
      <c r="Q737" s="116">
        <v>924.75</v>
      </c>
      <c r="R737">
        <v>328782</v>
      </c>
    </row>
    <row r="738" spans="1:18" x14ac:dyDescent="0.25">
      <c r="A738" s="170">
        <v>43087</v>
      </c>
      <c r="B738" s="116">
        <v>940.95</v>
      </c>
      <c r="C738" s="116">
        <v>929.35</v>
      </c>
      <c r="D738" s="116">
        <v>885</v>
      </c>
      <c r="E738" s="116">
        <v>923.95</v>
      </c>
      <c r="F738" s="116">
        <v>929.35</v>
      </c>
      <c r="G738">
        <v>45028</v>
      </c>
      <c r="H738" s="116"/>
      <c r="I738" s="116"/>
      <c r="L738" s="170">
        <v>43087</v>
      </c>
      <c r="M738" s="116">
        <v>931.25</v>
      </c>
      <c r="N738" s="116">
        <v>941.5</v>
      </c>
      <c r="O738" s="116">
        <v>893</v>
      </c>
      <c r="P738" s="116">
        <v>920</v>
      </c>
      <c r="Q738" s="116">
        <v>931.25</v>
      </c>
      <c r="R738">
        <v>371533</v>
      </c>
    </row>
    <row r="739" spans="1:18" x14ac:dyDescent="0.25">
      <c r="A739" s="170">
        <v>43088</v>
      </c>
      <c r="B739" s="116">
        <v>945.85</v>
      </c>
      <c r="C739" s="116">
        <v>939.2</v>
      </c>
      <c r="D739" s="116">
        <v>930.1</v>
      </c>
      <c r="E739" s="116">
        <v>933</v>
      </c>
      <c r="F739" s="116">
        <v>939.2</v>
      </c>
      <c r="G739">
        <v>25323</v>
      </c>
      <c r="H739" s="116"/>
      <c r="I739" s="116"/>
      <c r="L739" s="170">
        <v>43088</v>
      </c>
      <c r="M739" s="116">
        <v>939.05</v>
      </c>
      <c r="N739" s="116">
        <v>946.2</v>
      </c>
      <c r="O739" s="116">
        <v>931</v>
      </c>
      <c r="P739" s="116">
        <v>934.45</v>
      </c>
      <c r="Q739" s="116">
        <v>939.05</v>
      </c>
      <c r="R739">
        <v>357127</v>
      </c>
    </row>
    <row r="740" spans="1:18" x14ac:dyDescent="0.25">
      <c r="A740" s="170">
        <v>43089</v>
      </c>
      <c r="B740" s="116">
        <v>966.6</v>
      </c>
      <c r="C740" s="116">
        <v>960.8</v>
      </c>
      <c r="D740" s="116">
        <v>935.2</v>
      </c>
      <c r="E740" s="116">
        <v>935.55</v>
      </c>
      <c r="F740" s="116">
        <v>960.8</v>
      </c>
      <c r="G740">
        <v>105623</v>
      </c>
      <c r="H740" s="116"/>
      <c r="I740" s="116"/>
      <c r="L740" s="170">
        <v>43089</v>
      </c>
      <c r="M740" s="116">
        <v>960.15</v>
      </c>
      <c r="N740" s="116">
        <v>967.45</v>
      </c>
      <c r="O740" s="116">
        <v>934.9</v>
      </c>
      <c r="P740" s="116">
        <v>935</v>
      </c>
      <c r="Q740" s="116">
        <v>960.15</v>
      </c>
      <c r="R740">
        <v>810937</v>
      </c>
    </row>
    <row r="741" spans="1:18" x14ac:dyDescent="0.25">
      <c r="A741" s="170">
        <v>43090</v>
      </c>
      <c r="B741" s="116">
        <v>967.5</v>
      </c>
      <c r="C741" s="116">
        <v>951.2</v>
      </c>
      <c r="D741" s="116">
        <v>948.65</v>
      </c>
      <c r="E741" s="116">
        <v>965.8</v>
      </c>
      <c r="F741" s="116">
        <v>951.2</v>
      </c>
      <c r="G741">
        <v>36117</v>
      </c>
      <c r="H741" s="116"/>
      <c r="I741" s="116"/>
      <c r="L741" s="170">
        <v>43090</v>
      </c>
      <c r="M741" s="116">
        <v>951.6</v>
      </c>
      <c r="N741" s="116">
        <v>967.75</v>
      </c>
      <c r="O741" s="116">
        <v>948.7</v>
      </c>
      <c r="P741" s="116">
        <v>967.75</v>
      </c>
      <c r="Q741" s="116">
        <v>951.6</v>
      </c>
      <c r="R741">
        <v>353105</v>
      </c>
    </row>
    <row r="742" spans="1:18" x14ac:dyDescent="0.25">
      <c r="A742" s="170">
        <v>43091</v>
      </c>
      <c r="B742" s="116">
        <v>968.1</v>
      </c>
      <c r="C742" s="116">
        <v>958.2</v>
      </c>
      <c r="D742" s="116">
        <v>946</v>
      </c>
      <c r="E742" s="116">
        <v>948.1</v>
      </c>
      <c r="F742" s="116">
        <v>958.2</v>
      </c>
      <c r="G742">
        <v>51120</v>
      </c>
      <c r="H742" s="116"/>
      <c r="I742" s="116"/>
      <c r="L742" s="170">
        <v>43091</v>
      </c>
      <c r="M742" s="116">
        <v>956.8</v>
      </c>
      <c r="N742" s="116">
        <v>969.5</v>
      </c>
      <c r="O742" s="116">
        <v>944.4</v>
      </c>
      <c r="P742" s="116">
        <v>956.8</v>
      </c>
      <c r="Q742" s="116">
        <v>956.8</v>
      </c>
      <c r="R742">
        <v>589186</v>
      </c>
    </row>
    <row r="743" spans="1:18" x14ac:dyDescent="0.25">
      <c r="A743" s="170">
        <v>43095</v>
      </c>
      <c r="B743" s="116">
        <v>964.75</v>
      </c>
      <c r="C743" s="116">
        <v>960.1</v>
      </c>
      <c r="D743" s="116">
        <v>949</v>
      </c>
      <c r="E743" s="116">
        <v>949</v>
      </c>
      <c r="F743" s="116">
        <v>960.1</v>
      </c>
      <c r="G743">
        <v>17270</v>
      </c>
      <c r="H743" s="116"/>
      <c r="I743" s="116"/>
      <c r="L743" s="170">
        <v>43095</v>
      </c>
      <c r="M743" s="116">
        <v>961.55</v>
      </c>
      <c r="N743" s="116">
        <v>964</v>
      </c>
      <c r="O743" s="116">
        <v>950</v>
      </c>
      <c r="P743" s="116">
        <v>957.5</v>
      </c>
      <c r="Q743" s="116">
        <v>961.55</v>
      </c>
      <c r="R743">
        <v>304014</v>
      </c>
    </row>
    <row r="744" spans="1:18" x14ac:dyDescent="0.25">
      <c r="A744" s="170">
        <v>43096</v>
      </c>
      <c r="B744" s="116">
        <v>970</v>
      </c>
      <c r="C744" s="116">
        <v>952.85</v>
      </c>
      <c r="D744" s="116">
        <v>945.85</v>
      </c>
      <c r="E744" s="116">
        <v>961.55</v>
      </c>
      <c r="F744" s="116">
        <v>952.85</v>
      </c>
      <c r="G744">
        <v>26591</v>
      </c>
      <c r="H744" s="116"/>
      <c r="I744" s="116"/>
      <c r="L744" s="170">
        <v>43096</v>
      </c>
      <c r="M744" s="116">
        <v>952</v>
      </c>
      <c r="N744" s="116">
        <v>971</v>
      </c>
      <c r="O744" s="116">
        <v>946</v>
      </c>
      <c r="P744" s="116">
        <v>964.8</v>
      </c>
      <c r="Q744" s="116">
        <v>952</v>
      </c>
      <c r="R744">
        <v>412791</v>
      </c>
    </row>
    <row r="745" spans="1:18" x14ac:dyDescent="0.25">
      <c r="A745" s="170">
        <v>43097</v>
      </c>
      <c r="B745" s="116">
        <v>958</v>
      </c>
      <c r="C745" s="116">
        <v>944.7</v>
      </c>
      <c r="D745" s="116">
        <v>940</v>
      </c>
      <c r="E745" s="116">
        <v>951.8</v>
      </c>
      <c r="F745" s="116">
        <v>944.7</v>
      </c>
      <c r="G745">
        <v>15359</v>
      </c>
      <c r="H745" s="116"/>
      <c r="I745" s="116"/>
      <c r="L745" s="170">
        <v>43097</v>
      </c>
      <c r="M745" s="116">
        <v>943.65</v>
      </c>
      <c r="N745" s="116">
        <v>958</v>
      </c>
      <c r="O745" s="116">
        <v>938.75</v>
      </c>
      <c r="P745" s="116">
        <v>954.05</v>
      </c>
      <c r="Q745" s="116">
        <v>943.65</v>
      </c>
      <c r="R745">
        <v>290806</v>
      </c>
    </row>
    <row r="746" spans="1:18" x14ac:dyDescent="0.25">
      <c r="A746" s="170">
        <v>43098</v>
      </c>
      <c r="B746" s="116">
        <v>983.9</v>
      </c>
      <c r="C746" s="116">
        <v>976.65</v>
      </c>
      <c r="D746" s="116">
        <v>944.85</v>
      </c>
      <c r="E746" s="116">
        <v>945</v>
      </c>
      <c r="F746" s="116">
        <v>976.65</v>
      </c>
      <c r="G746">
        <v>98958</v>
      </c>
      <c r="H746" s="116"/>
      <c r="I746" s="116"/>
      <c r="L746" s="170">
        <v>43098</v>
      </c>
      <c r="M746" s="116">
        <v>977.15</v>
      </c>
      <c r="N746" s="116">
        <v>984.85</v>
      </c>
      <c r="O746" s="116">
        <v>945</v>
      </c>
      <c r="P746" s="116">
        <v>945</v>
      </c>
      <c r="Q746" s="116">
        <v>977.15</v>
      </c>
      <c r="R746">
        <v>1318993</v>
      </c>
    </row>
    <row r="747" spans="1:18" x14ac:dyDescent="0.25">
      <c r="A747" s="170">
        <v>43101</v>
      </c>
      <c r="B747" s="116">
        <v>978</v>
      </c>
      <c r="C747" s="116">
        <v>965.75</v>
      </c>
      <c r="D747" s="116">
        <v>959</v>
      </c>
      <c r="E747" s="116">
        <v>977.7</v>
      </c>
      <c r="F747" s="116">
        <v>965.75</v>
      </c>
      <c r="G747">
        <v>33559</v>
      </c>
      <c r="H747" s="116"/>
      <c r="I747" s="116"/>
      <c r="L747" s="170">
        <v>43101</v>
      </c>
      <c r="M747" s="116">
        <v>964.05</v>
      </c>
      <c r="N747" s="116">
        <v>977.95</v>
      </c>
      <c r="O747" s="116">
        <v>958.3</v>
      </c>
      <c r="P747" s="116">
        <v>977.95</v>
      </c>
      <c r="Q747" s="116">
        <v>964.05</v>
      </c>
      <c r="R747">
        <v>362876</v>
      </c>
    </row>
    <row r="748" spans="1:18" x14ac:dyDescent="0.25">
      <c r="A748" s="170">
        <v>43102</v>
      </c>
      <c r="B748" s="116">
        <v>983</v>
      </c>
      <c r="C748" s="116">
        <v>976.1</v>
      </c>
      <c r="D748" s="116">
        <v>951.35</v>
      </c>
      <c r="E748" s="116">
        <v>970.45</v>
      </c>
      <c r="F748" s="116">
        <v>976.1</v>
      </c>
      <c r="G748">
        <v>54104</v>
      </c>
      <c r="H748" s="116"/>
      <c r="I748" s="116"/>
      <c r="L748" s="170">
        <v>43102</v>
      </c>
      <c r="M748" s="116">
        <v>977.85</v>
      </c>
      <c r="N748" s="116">
        <v>983.5</v>
      </c>
      <c r="O748" s="116">
        <v>950.15</v>
      </c>
      <c r="P748" s="116">
        <v>968.75</v>
      </c>
      <c r="Q748" s="116">
        <v>977.85</v>
      </c>
      <c r="R748">
        <v>665737</v>
      </c>
    </row>
    <row r="749" spans="1:18" x14ac:dyDescent="0.25">
      <c r="A749" s="170">
        <v>43103</v>
      </c>
      <c r="B749" s="116">
        <v>1006.5</v>
      </c>
      <c r="C749" s="116">
        <v>996.2</v>
      </c>
      <c r="D749" s="116">
        <v>977.55</v>
      </c>
      <c r="E749" s="116">
        <v>981</v>
      </c>
      <c r="F749" s="116">
        <v>996.2</v>
      </c>
      <c r="G749">
        <v>136076</v>
      </c>
      <c r="H749" s="116"/>
      <c r="I749" s="116"/>
      <c r="L749" s="170">
        <v>43103</v>
      </c>
      <c r="M749" s="116">
        <v>994.05</v>
      </c>
      <c r="N749" s="116">
        <v>1006</v>
      </c>
      <c r="O749" s="116">
        <v>976.85</v>
      </c>
      <c r="P749" s="116">
        <v>985</v>
      </c>
      <c r="Q749" s="116">
        <v>994.05</v>
      </c>
      <c r="R749">
        <v>1303199</v>
      </c>
    </row>
    <row r="750" spans="1:18" x14ac:dyDescent="0.25">
      <c r="A750" s="170">
        <v>43104</v>
      </c>
      <c r="B750" s="116">
        <v>1006.25</v>
      </c>
      <c r="C750" s="116">
        <v>997.5</v>
      </c>
      <c r="D750" s="116">
        <v>988.05</v>
      </c>
      <c r="E750" s="116">
        <v>1003</v>
      </c>
      <c r="F750" s="116">
        <v>997.5</v>
      </c>
      <c r="G750">
        <v>44771</v>
      </c>
      <c r="H750" s="116"/>
      <c r="I750" s="116"/>
      <c r="L750" s="170">
        <v>43104</v>
      </c>
      <c r="M750" s="116">
        <v>998.35</v>
      </c>
      <c r="N750" s="116">
        <v>1005</v>
      </c>
      <c r="O750" s="116">
        <v>990.7</v>
      </c>
      <c r="P750" s="116">
        <v>999.5</v>
      </c>
      <c r="Q750" s="116">
        <v>998.35</v>
      </c>
      <c r="R750">
        <v>404734</v>
      </c>
    </row>
    <row r="751" spans="1:18" x14ac:dyDescent="0.25">
      <c r="A751" s="170">
        <v>43105</v>
      </c>
      <c r="B751" s="116">
        <v>1014</v>
      </c>
      <c r="C751" s="116">
        <v>1005.55</v>
      </c>
      <c r="D751" s="116">
        <v>998.5</v>
      </c>
      <c r="E751" s="116">
        <v>1000</v>
      </c>
      <c r="F751" s="116">
        <v>1005.55</v>
      </c>
      <c r="G751">
        <v>65810</v>
      </c>
      <c r="H751" s="116"/>
      <c r="I751" s="116"/>
      <c r="L751" s="170">
        <v>43105</v>
      </c>
      <c r="M751" s="116">
        <v>1005.85</v>
      </c>
      <c r="N751" s="116">
        <v>1015</v>
      </c>
      <c r="O751" s="116">
        <v>999.5</v>
      </c>
      <c r="P751" s="116">
        <v>1000.85</v>
      </c>
      <c r="Q751" s="116">
        <v>1005.85</v>
      </c>
      <c r="R751">
        <v>699783</v>
      </c>
    </row>
    <row r="752" spans="1:18" x14ac:dyDescent="0.25">
      <c r="A752" s="170">
        <v>43108</v>
      </c>
      <c r="B752" s="116">
        <v>1018</v>
      </c>
      <c r="C752" s="116">
        <v>1008.85</v>
      </c>
      <c r="D752" s="116">
        <v>1003.1</v>
      </c>
      <c r="E752" s="116">
        <v>1010.5</v>
      </c>
      <c r="F752" s="116">
        <v>1008.85</v>
      </c>
      <c r="G752">
        <v>32435</v>
      </c>
      <c r="H752" s="116"/>
      <c r="I752" s="116"/>
      <c r="L752" s="170">
        <v>43108</v>
      </c>
      <c r="M752" s="116">
        <v>1009</v>
      </c>
      <c r="N752" s="116">
        <v>1018.5</v>
      </c>
      <c r="O752" s="116">
        <v>1005.5</v>
      </c>
      <c r="P752" s="116">
        <v>1006.9</v>
      </c>
      <c r="Q752" s="116">
        <v>1009</v>
      </c>
      <c r="R752">
        <v>317396</v>
      </c>
    </row>
    <row r="753" spans="1:18" x14ac:dyDescent="0.25">
      <c r="A753" s="170">
        <v>43109</v>
      </c>
      <c r="B753" s="116">
        <v>1013.85</v>
      </c>
      <c r="C753" s="116">
        <v>1004.1</v>
      </c>
      <c r="D753" s="116">
        <v>998</v>
      </c>
      <c r="E753" s="116">
        <v>1011.05</v>
      </c>
      <c r="F753" s="116">
        <v>1004.1</v>
      </c>
      <c r="G753">
        <v>24007</v>
      </c>
      <c r="H753" s="116"/>
      <c r="I753" s="116"/>
      <c r="L753" s="170">
        <v>43109</v>
      </c>
      <c r="M753" s="116">
        <v>1006.9</v>
      </c>
      <c r="N753" s="116">
        <v>1013.45</v>
      </c>
      <c r="O753" s="116">
        <v>996.1</v>
      </c>
      <c r="P753" s="116">
        <v>1010</v>
      </c>
      <c r="Q753" s="116">
        <v>1006.9</v>
      </c>
      <c r="R753">
        <v>222252</v>
      </c>
    </row>
    <row r="754" spans="1:18" x14ac:dyDescent="0.25">
      <c r="A754" s="170">
        <v>43110</v>
      </c>
      <c r="B754" s="116">
        <v>1053</v>
      </c>
      <c r="C754" s="116">
        <v>1042.05</v>
      </c>
      <c r="D754" s="116">
        <v>995.95</v>
      </c>
      <c r="E754" s="116">
        <v>1004.1</v>
      </c>
      <c r="F754" s="116">
        <v>1042.05</v>
      </c>
      <c r="G754">
        <v>201281</v>
      </c>
      <c r="H754" s="116"/>
      <c r="I754" s="116"/>
      <c r="L754" s="170">
        <v>43110</v>
      </c>
      <c r="M754" s="116">
        <v>1041.95</v>
      </c>
      <c r="N754" s="116">
        <v>1054</v>
      </c>
      <c r="O754" s="116">
        <v>998</v>
      </c>
      <c r="P754" s="116">
        <v>1007.8</v>
      </c>
      <c r="Q754" s="116">
        <v>1041.95</v>
      </c>
      <c r="R754">
        <v>1783807</v>
      </c>
    </row>
    <row r="755" spans="1:18" x14ac:dyDescent="0.25">
      <c r="A755" s="170">
        <v>43111</v>
      </c>
      <c r="B755" s="116">
        <v>1056</v>
      </c>
      <c r="C755" s="116">
        <v>1037.55</v>
      </c>
      <c r="D755" s="116">
        <v>1015</v>
      </c>
      <c r="E755" s="116">
        <v>1015</v>
      </c>
      <c r="F755" s="116">
        <v>1037.55</v>
      </c>
      <c r="G755">
        <v>70691</v>
      </c>
      <c r="H755" s="116"/>
      <c r="I755" s="116"/>
      <c r="L755" s="170">
        <v>43111</v>
      </c>
      <c r="M755" s="116">
        <v>1038.0999999999999</v>
      </c>
      <c r="N755" s="116">
        <v>1057.2</v>
      </c>
      <c r="O755" s="116">
        <v>1025.8499999999999</v>
      </c>
      <c r="P755" s="116">
        <v>1032.5</v>
      </c>
      <c r="Q755" s="116">
        <v>1038.0999999999999</v>
      </c>
      <c r="R755">
        <v>808209</v>
      </c>
    </row>
    <row r="756" spans="1:18" x14ac:dyDescent="0.25">
      <c r="A756" s="170">
        <v>43112</v>
      </c>
      <c r="B756" s="116">
        <v>1056.8</v>
      </c>
      <c r="C756" s="116">
        <v>1034.75</v>
      </c>
      <c r="D756" s="116">
        <v>1025.2</v>
      </c>
      <c r="E756" s="116">
        <v>1035</v>
      </c>
      <c r="F756" s="116">
        <v>1034.75</v>
      </c>
      <c r="G756">
        <v>67434</v>
      </c>
      <c r="H756" s="116"/>
      <c r="I756" s="116"/>
      <c r="L756" s="170">
        <v>43112</v>
      </c>
      <c r="M756" s="116">
        <v>1038.3499999999999</v>
      </c>
      <c r="N756" s="116">
        <v>1056.5</v>
      </c>
      <c r="O756" s="116">
        <v>1023.05</v>
      </c>
      <c r="P756" s="116">
        <v>1037</v>
      </c>
      <c r="Q756" s="116">
        <v>1038.3499999999999</v>
      </c>
      <c r="R756">
        <v>786081</v>
      </c>
    </row>
    <row r="757" spans="1:18" x14ac:dyDescent="0.25">
      <c r="A757" s="170">
        <v>43115</v>
      </c>
      <c r="B757" s="116">
        <v>1052</v>
      </c>
      <c r="C757" s="116">
        <v>1043.0999999999999</v>
      </c>
      <c r="D757" s="116">
        <v>1031.95</v>
      </c>
      <c r="E757" s="116">
        <v>1040</v>
      </c>
      <c r="F757" s="116">
        <v>1043.0999999999999</v>
      </c>
      <c r="G757">
        <v>52876</v>
      </c>
      <c r="H757" s="116"/>
      <c r="I757" s="116"/>
      <c r="L757" s="170">
        <v>43115</v>
      </c>
      <c r="M757" s="116">
        <v>1044.25</v>
      </c>
      <c r="N757" s="116">
        <v>1053</v>
      </c>
      <c r="O757" s="116">
        <v>1039.9000000000001</v>
      </c>
      <c r="P757" s="116">
        <v>1040</v>
      </c>
      <c r="Q757" s="116">
        <v>1044.25</v>
      </c>
      <c r="R757">
        <v>401856</v>
      </c>
    </row>
    <row r="758" spans="1:18" x14ac:dyDescent="0.25">
      <c r="A758" s="170">
        <v>43116</v>
      </c>
      <c r="B758" s="116">
        <v>1076.3</v>
      </c>
      <c r="C758" s="116">
        <v>1045</v>
      </c>
      <c r="D758" s="116">
        <v>1040.05</v>
      </c>
      <c r="E758" s="116">
        <v>1048.95</v>
      </c>
      <c r="F758" s="116">
        <v>1045</v>
      </c>
      <c r="G758">
        <v>102158</v>
      </c>
      <c r="H758" s="116"/>
      <c r="I758" s="116"/>
      <c r="L758" s="170">
        <v>43116</v>
      </c>
      <c r="M758" s="116">
        <v>1045.75</v>
      </c>
      <c r="N758" s="116">
        <v>1075</v>
      </c>
      <c r="O758" s="116">
        <v>1040.3</v>
      </c>
      <c r="P758" s="116">
        <v>1045</v>
      </c>
      <c r="Q758" s="116">
        <v>1045.75</v>
      </c>
      <c r="R758">
        <v>1012534</v>
      </c>
    </row>
    <row r="759" spans="1:18" x14ac:dyDescent="0.25">
      <c r="A759" s="170">
        <v>43117</v>
      </c>
      <c r="B759" s="116">
        <v>1061.45</v>
      </c>
      <c r="C759" s="116">
        <v>1045.4000000000001</v>
      </c>
      <c r="D759" s="116">
        <v>1026.9000000000001</v>
      </c>
      <c r="E759" s="116">
        <v>1044.9000000000001</v>
      </c>
      <c r="F759" s="116">
        <v>1045.4000000000001</v>
      </c>
      <c r="G759">
        <v>66404</v>
      </c>
      <c r="H759" s="116"/>
      <c r="I759" s="116"/>
      <c r="L759" s="170">
        <v>43117</v>
      </c>
      <c r="M759" s="116">
        <v>1047.2</v>
      </c>
      <c r="N759" s="116">
        <v>1060</v>
      </c>
      <c r="O759" s="116">
        <v>1027.0999999999999</v>
      </c>
      <c r="P759" s="116">
        <v>1044.9000000000001</v>
      </c>
      <c r="Q759" s="116">
        <v>1047.2</v>
      </c>
      <c r="R759">
        <v>531231</v>
      </c>
    </row>
    <row r="760" spans="1:18" x14ac:dyDescent="0.25">
      <c r="A760" s="170">
        <v>43118</v>
      </c>
      <c r="B760" s="116">
        <v>1064</v>
      </c>
      <c r="C760" s="116">
        <v>1033.2</v>
      </c>
      <c r="D760" s="116">
        <v>1026</v>
      </c>
      <c r="E760" s="116">
        <v>1045.5</v>
      </c>
      <c r="F760" s="116">
        <v>1033.2</v>
      </c>
      <c r="G760">
        <v>47469</v>
      </c>
      <c r="H760" s="116"/>
      <c r="I760" s="116"/>
      <c r="L760" s="170">
        <v>43118</v>
      </c>
      <c r="M760" s="116">
        <v>1033.3</v>
      </c>
      <c r="N760" s="116">
        <v>1064.3</v>
      </c>
      <c r="O760" s="116">
        <v>1025.7</v>
      </c>
      <c r="P760" s="116">
        <v>1052</v>
      </c>
      <c r="Q760" s="116">
        <v>1033.3</v>
      </c>
      <c r="R760">
        <v>528131</v>
      </c>
    </row>
    <row r="761" spans="1:18" x14ac:dyDescent="0.25">
      <c r="A761" s="170">
        <v>43119</v>
      </c>
      <c r="B761" s="116">
        <v>1051</v>
      </c>
      <c r="C761" s="116">
        <v>1038.55</v>
      </c>
      <c r="D761" s="116">
        <v>1018.9</v>
      </c>
      <c r="E761" s="116">
        <v>1040</v>
      </c>
      <c r="F761" s="116">
        <v>1038.55</v>
      </c>
      <c r="G761">
        <v>69812</v>
      </c>
      <c r="H761" s="116"/>
      <c r="I761" s="116"/>
      <c r="L761" s="170">
        <v>43119</v>
      </c>
      <c r="M761" s="116">
        <v>1037.95</v>
      </c>
      <c r="N761" s="116">
        <v>1052.45</v>
      </c>
      <c r="O761" s="116">
        <v>1017.1</v>
      </c>
      <c r="P761" s="116">
        <v>1035.95</v>
      </c>
      <c r="Q761" s="116">
        <v>1037.95</v>
      </c>
      <c r="R761">
        <v>853690</v>
      </c>
    </row>
    <row r="762" spans="1:18" x14ac:dyDescent="0.25">
      <c r="A762" s="170">
        <v>43122</v>
      </c>
      <c r="B762" s="116">
        <v>1084</v>
      </c>
      <c r="C762" s="116">
        <v>1078.0999999999999</v>
      </c>
      <c r="D762" s="116">
        <v>1030.95</v>
      </c>
      <c r="E762" s="116">
        <v>1038.55</v>
      </c>
      <c r="F762" s="116">
        <v>1078.0999999999999</v>
      </c>
      <c r="G762">
        <v>78624</v>
      </c>
      <c r="H762" s="116"/>
      <c r="I762" s="116"/>
      <c r="L762" s="170">
        <v>43122</v>
      </c>
      <c r="M762" s="116">
        <v>1078.75</v>
      </c>
      <c r="N762" s="116">
        <v>1085</v>
      </c>
      <c r="O762" s="116">
        <v>1029.05</v>
      </c>
      <c r="P762" s="116">
        <v>1039.9000000000001</v>
      </c>
      <c r="Q762" s="116">
        <v>1078.75</v>
      </c>
      <c r="R762">
        <v>1088524</v>
      </c>
    </row>
    <row r="763" spans="1:18" x14ac:dyDescent="0.25">
      <c r="A763" s="170">
        <v>43123</v>
      </c>
      <c r="B763" s="116">
        <v>1095.5999999999999</v>
      </c>
      <c r="C763" s="116">
        <v>1077.25</v>
      </c>
      <c r="D763" s="116">
        <v>1072.25</v>
      </c>
      <c r="E763" s="116">
        <v>1080.1500000000001</v>
      </c>
      <c r="F763" s="116">
        <v>1077.25</v>
      </c>
      <c r="G763">
        <v>50733</v>
      </c>
      <c r="H763" s="116"/>
      <c r="I763" s="116"/>
      <c r="L763" s="170">
        <v>43123</v>
      </c>
      <c r="M763" s="116">
        <v>1077.25</v>
      </c>
      <c r="N763" s="116">
        <v>1095</v>
      </c>
      <c r="O763" s="116">
        <v>1071.5</v>
      </c>
      <c r="P763" s="116">
        <v>1084.8499999999999</v>
      </c>
      <c r="Q763" s="116">
        <v>1077.25</v>
      </c>
      <c r="R763">
        <v>708020</v>
      </c>
    </row>
    <row r="764" spans="1:18" x14ac:dyDescent="0.25">
      <c r="A764" s="170">
        <v>43124</v>
      </c>
      <c r="B764" s="116">
        <v>1123.05</v>
      </c>
      <c r="C764" s="116">
        <v>1094.3499999999999</v>
      </c>
      <c r="D764" s="116">
        <v>1070</v>
      </c>
      <c r="E764" s="116">
        <v>1077</v>
      </c>
      <c r="F764" s="116">
        <v>1094.3499999999999</v>
      </c>
      <c r="G764">
        <v>152423</v>
      </c>
      <c r="H764" s="116"/>
      <c r="I764" s="116"/>
      <c r="L764" s="170">
        <v>43124</v>
      </c>
      <c r="M764" s="116">
        <v>1094.4000000000001</v>
      </c>
      <c r="N764" s="116">
        <v>1123.25</v>
      </c>
      <c r="O764" s="116">
        <v>1068.3</v>
      </c>
      <c r="P764" s="116">
        <v>1075.0999999999999</v>
      </c>
      <c r="Q764" s="116">
        <v>1094.4000000000001</v>
      </c>
      <c r="R764">
        <v>1361443</v>
      </c>
    </row>
    <row r="765" spans="1:18" x14ac:dyDescent="0.25">
      <c r="A765" s="170">
        <v>43125</v>
      </c>
      <c r="B765" s="116">
        <v>1111.3</v>
      </c>
      <c r="C765" s="116">
        <v>1086.95</v>
      </c>
      <c r="D765" s="116">
        <v>1080</v>
      </c>
      <c r="E765" s="116">
        <v>1103</v>
      </c>
      <c r="F765" s="116">
        <v>1086.95</v>
      </c>
      <c r="G765">
        <v>55748</v>
      </c>
      <c r="H765" s="116"/>
      <c r="I765" s="116"/>
      <c r="L765" s="170">
        <v>43125</v>
      </c>
      <c r="M765" s="116">
        <v>1087.7</v>
      </c>
      <c r="N765" s="116">
        <v>1111.5</v>
      </c>
      <c r="O765" s="116">
        <v>1078.5</v>
      </c>
      <c r="P765" s="116">
        <v>1097.4000000000001</v>
      </c>
      <c r="Q765" s="116">
        <v>1087.7</v>
      </c>
      <c r="R765">
        <v>728501</v>
      </c>
    </row>
    <row r="766" spans="1:18" x14ac:dyDescent="0.25">
      <c r="A766" s="170">
        <v>43129</v>
      </c>
      <c r="B766" s="116">
        <v>1118.25</v>
      </c>
      <c r="C766" s="116">
        <v>1087.95</v>
      </c>
      <c r="D766" s="116">
        <v>1078.2</v>
      </c>
      <c r="E766" s="116">
        <v>1088</v>
      </c>
      <c r="F766" s="116">
        <v>1087.95</v>
      </c>
      <c r="G766">
        <v>63348</v>
      </c>
      <c r="H766" s="116"/>
      <c r="I766" s="116"/>
      <c r="L766" s="170">
        <v>43129</v>
      </c>
      <c r="M766" s="116">
        <v>1086.05</v>
      </c>
      <c r="N766" s="116">
        <v>1118</v>
      </c>
      <c r="O766" s="116">
        <v>1080.5</v>
      </c>
      <c r="P766" s="116">
        <v>1092.7</v>
      </c>
      <c r="Q766" s="116">
        <v>1086.05</v>
      </c>
      <c r="R766">
        <v>607552</v>
      </c>
    </row>
    <row r="767" spans="1:18" x14ac:dyDescent="0.25">
      <c r="A767" s="170">
        <v>43130</v>
      </c>
      <c r="B767" s="116">
        <v>1096</v>
      </c>
      <c r="C767" s="116">
        <v>1083.0999999999999</v>
      </c>
      <c r="D767" s="116">
        <v>1074</v>
      </c>
      <c r="E767" s="116">
        <v>1087.95</v>
      </c>
      <c r="F767" s="116">
        <v>1083.0999999999999</v>
      </c>
      <c r="G767">
        <v>29428</v>
      </c>
      <c r="H767" s="116"/>
      <c r="I767" s="116"/>
      <c r="L767" s="170">
        <v>43130</v>
      </c>
      <c r="M767" s="116">
        <v>1082.8</v>
      </c>
      <c r="N767" s="116">
        <v>1096.5</v>
      </c>
      <c r="O767" s="116">
        <v>1072.55</v>
      </c>
      <c r="P767" s="116">
        <v>1087.7</v>
      </c>
      <c r="Q767" s="116">
        <v>1082.8</v>
      </c>
      <c r="R767">
        <v>339462</v>
      </c>
    </row>
    <row r="768" spans="1:18" x14ac:dyDescent="0.25">
      <c r="A768" s="170">
        <v>43131</v>
      </c>
      <c r="B768" s="116">
        <v>1087.1500000000001</v>
      </c>
      <c r="C768" s="116">
        <v>1062.1500000000001</v>
      </c>
      <c r="D768" s="116">
        <v>1046.5999999999999</v>
      </c>
      <c r="E768" s="116">
        <v>1079.8</v>
      </c>
      <c r="F768" s="116">
        <v>1062.1500000000001</v>
      </c>
      <c r="G768">
        <v>44937</v>
      </c>
      <c r="H768" s="116"/>
      <c r="I768" s="116"/>
      <c r="L768" s="170">
        <v>43131</v>
      </c>
      <c r="M768" s="116">
        <v>1059.8</v>
      </c>
      <c r="N768" s="116">
        <v>1088.45</v>
      </c>
      <c r="O768" s="116">
        <v>1046.25</v>
      </c>
      <c r="P768" s="116">
        <v>1082</v>
      </c>
      <c r="Q768" s="116">
        <v>1059.8</v>
      </c>
      <c r="R768">
        <v>320365</v>
      </c>
    </row>
    <row r="769" spans="1:18" x14ac:dyDescent="0.25">
      <c r="A769" s="170">
        <v>43132</v>
      </c>
      <c r="B769" s="116">
        <v>1075.45</v>
      </c>
      <c r="C769" s="116">
        <v>1025.55</v>
      </c>
      <c r="D769" s="116">
        <v>981.85</v>
      </c>
      <c r="E769" s="116">
        <v>1063.9000000000001</v>
      </c>
      <c r="F769" s="116">
        <v>1025.55</v>
      </c>
      <c r="G769">
        <v>106452</v>
      </c>
      <c r="H769" s="116"/>
      <c r="I769" s="116"/>
      <c r="L769" s="170">
        <v>43132</v>
      </c>
      <c r="M769" s="116">
        <v>1024.5999999999999</v>
      </c>
      <c r="N769" s="116">
        <v>1076.45</v>
      </c>
      <c r="O769" s="116">
        <v>980</v>
      </c>
      <c r="P769" s="116">
        <v>1064.5</v>
      </c>
      <c r="Q769" s="116">
        <v>1024.5999999999999</v>
      </c>
      <c r="R769">
        <v>645607</v>
      </c>
    </row>
    <row r="770" spans="1:18" x14ac:dyDescent="0.25">
      <c r="A770" s="170">
        <v>43133</v>
      </c>
      <c r="B770" s="116">
        <v>1034.7</v>
      </c>
      <c r="C770" s="116">
        <v>993.85</v>
      </c>
      <c r="D770" s="116">
        <v>990</v>
      </c>
      <c r="E770" s="116">
        <v>1015</v>
      </c>
      <c r="F770" s="116">
        <v>993.85</v>
      </c>
      <c r="G770">
        <v>68853</v>
      </c>
      <c r="H770" s="116"/>
      <c r="I770" s="116"/>
      <c r="L770" s="170">
        <v>43133</v>
      </c>
      <c r="M770" s="116">
        <v>993.05</v>
      </c>
      <c r="N770" s="116">
        <v>1034.8499999999999</v>
      </c>
      <c r="O770" s="116">
        <v>990</v>
      </c>
      <c r="P770" s="116">
        <v>1005</v>
      </c>
      <c r="Q770" s="116">
        <v>993.05</v>
      </c>
      <c r="R770">
        <v>463070</v>
      </c>
    </row>
    <row r="771" spans="1:18" x14ac:dyDescent="0.25">
      <c r="A771" s="170">
        <v>43136</v>
      </c>
      <c r="B771" s="116">
        <v>1015</v>
      </c>
      <c r="C771" s="116">
        <v>1005.4</v>
      </c>
      <c r="D771" s="116">
        <v>960.9</v>
      </c>
      <c r="E771" s="116">
        <v>966</v>
      </c>
      <c r="F771" s="116">
        <v>1005.4</v>
      </c>
      <c r="G771">
        <v>49019</v>
      </c>
      <c r="H771" s="116"/>
      <c r="I771" s="116"/>
      <c r="L771" s="170">
        <v>43136</v>
      </c>
      <c r="M771" s="116">
        <v>1006.45</v>
      </c>
      <c r="N771" s="116">
        <v>1018</v>
      </c>
      <c r="O771" s="116">
        <v>956.65</v>
      </c>
      <c r="P771" s="116">
        <v>979</v>
      </c>
      <c r="Q771" s="116">
        <v>1006.45</v>
      </c>
      <c r="R771">
        <v>460391</v>
      </c>
    </row>
    <row r="772" spans="1:18" x14ac:dyDescent="0.25">
      <c r="A772" s="170">
        <v>43137</v>
      </c>
      <c r="B772" s="116">
        <v>979</v>
      </c>
      <c r="C772" s="116">
        <v>967.05</v>
      </c>
      <c r="D772" s="116">
        <v>927</v>
      </c>
      <c r="E772" s="116">
        <v>979</v>
      </c>
      <c r="F772" s="116">
        <v>967.05</v>
      </c>
      <c r="G772">
        <v>77446</v>
      </c>
      <c r="H772" s="116"/>
      <c r="I772" s="116"/>
      <c r="L772" s="170">
        <v>43137</v>
      </c>
      <c r="M772" s="116">
        <v>969</v>
      </c>
      <c r="N772" s="116">
        <v>979.9</v>
      </c>
      <c r="O772" s="116">
        <v>923.25</v>
      </c>
      <c r="P772" s="116">
        <v>930</v>
      </c>
      <c r="Q772" s="116">
        <v>969</v>
      </c>
      <c r="R772">
        <v>535781</v>
      </c>
    </row>
    <row r="773" spans="1:18" x14ac:dyDescent="0.25">
      <c r="A773" s="170">
        <v>43138</v>
      </c>
      <c r="B773" s="116">
        <v>998.5</v>
      </c>
      <c r="C773" s="116">
        <v>973.2</v>
      </c>
      <c r="D773" s="116">
        <v>965</v>
      </c>
      <c r="E773" s="116">
        <v>996</v>
      </c>
      <c r="F773" s="116">
        <v>973.2</v>
      </c>
      <c r="G773">
        <v>47280</v>
      </c>
      <c r="H773" s="116"/>
      <c r="I773" s="116"/>
      <c r="L773" s="170">
        <v>43138</v>
      </c>
      <c r="M773" s="116">
        <v>972.85</v>
      </c>
      <c r="N773" s="116">
        <v>998.95</v>
      </c>
      <c r="O773" s="116">
        <v>964.05</v>
      </c>
      <c r="P773" s="116">
        <v>987</v>
      </c>
      <c r="Q773" s="116">
        <v>972.85</v>
      </c>
      <c r="R773">
        <v>301733</v>
      </c>
    </row>
    <row r="774" spans="1:18" x14ac:dyDescent="0.25">
      <c r="A774" s="170">
        <v>43139</v>
      </c>
      <c r="B774" s="116">
        <v>1007.95</v>
      </c>
      <c r="C774" s="116">
        <v>994.75</v>
      </c>
      <c r="D774" s="116">
        <v>972</v>
      </c>
      <c r="E774" s="116">
        <v>972</v>
      </c>
      <c r="F774" s="116">
        <v>994.75</v>
      </c>
      <c r="G774">
        <v>65205</v>
      </c>
      <c r="H774" s="116"/>
      <c r="I774" s="116"/>
      <c r="L774" s="170">
        <v>43139</v>
      </c>
      <c r="M774" s="116">
        <v>995.9</v>
      </c>
      <c r="N774" s="116">
        <v>1009.5</v>
      </c>
      <c r="O774" s="116">
        <v>976.2</v>
      </c>
      <c r="P774" s="116">
        <v>978.7</v>
      </c>
      <c r="Q774" s="116">
        <v>995.9</v>
      </c>
      <c r="R774">
        <v>475024</v>
      </c>
    </row>
    <row r="775" spans="1:18" x14ac:dyDescent="0.25">
      <c r="A775" s="170">
        <v>43140</v>
      </c>
      <c r="B775" s="116">
        <v>1008.4</v>
      </c>
      <c r="C775" s="116">
        <v>999.85</v>
      </c>
      <c r="D775" s="116">
        <v>960</v>
      </c>
      <c r="E775" s="116">
        <v>960</v>
      </c>
      <c r="F775" s="116">
        <v>999.85</v>
      </c>
      <c r="G775">
        <v>217518</v>
      </c>
      <c r="H775" s="116"/>
      <c r="I775" s="116"/>
      <c r="L775" s="170">
        <v>43140</v>
      </c>
      <c r="M775" s="116">
        <v>998.25</v>
      </c>
      <c r="N775" s="116">
        <v>1008</v>
      </c>
      <c r="O775" s="116">
        <v>960</v>
      </c>
      <c r="P775" s="116">
        <v>960</v>
      </c>
      <c r="Q775" s="116">
        <v>998.25</v>
      </c>
      <c r="R775">
        <v>390409</v>
      </c>
    </row>
    <row r="776" spans="1:18" x14ac:dyDescent="0.25">
      <c r="A776" s="170">
        <v>43143</v>
      </c>
      <c r="B776" s="116">
        <v>1022</v>
      </c>
      <c r="C776" s="116">
        <v>1006.3</v>
      </c>
      <c r="D776" s="116">
        <v>1001</v>
      </c>
      <c r="E776" s="116">
        <v>1020</v>
      </c>
      <c r="F776" s="116">
        <v>1006.3</v>
      </c>
      <c r="G776">
        <v>32856</v>
      </c>
      <c r="H776" s="116"/>
      <c r="I776" s="116"/>
      <c r="L776" s="170">
        <v>43143</v>
      </c>
      <c r="M776" s="116">
        <v>1007.65</v>
      </c>
      <c r="N776" s="116">
        <v>1023</v>
      </c>
      <c r="O776" s="116">
        <v>1002</v>
      </c>
      <c r="P776" s="116">
        <v>1002</v>
      </c>
      <c r="Q776" s="116">
        <v>1007.65</v>
      </c>
      <c r="R776">
        <v>419067</v>
      </c>
    </row>
    <row r="777" spans="1:18" x14ac:dyDescent="0.25">
      <c r="A777" s="170">
        <v>43145</v>
      </c>
      <c r="B777" s="116">
        <v>1035.25</v>
      </c>
      <c r="C777" s="116">
        <v>1019.9</v>
      </c>
      <c r="D777" s="116">
        <v>1009.15</v>
      </c>
      <c r="E777" s="116">
        <v>1013.1</v>
      </c>
      <c r="F777" s="116">
        <v>1019.9</v>
      </c>
      <c r="G777">
        <v>39642</v>
      </c>
      <c r="H777" s="116"/>
      <c r="I777" s="116"/>
      <c r="L777" s="170">
        <v>43145</v>
      </c>
      <c r="M777" s="116">
        <v>1021.65</v>
      </c>
      <c r="N777" s="116">
        <v>1036.3</v>
      </c>
      <c r="O777" s="116">
        <v>1011.95</v>
      </c>
      <c r="P777" s="116">
        <v>1012</v>
      </c>
      <c r="Q777" s="116">
        <v>1021.65</v>
      </c>
      <c r="R777">
        <v>476881</v>
      </c>
    </row>
    <row r="778" spans="1:18" x14ac:dyDescent="0.25">
      <c r="A778" s="170">
        <v>43146</v>
      </c>
      <c r="B778" s="116">
        <v>1036.8</v>
      </c>
      <c r="C778" s="116">
        <v>1012.95</v>
      </c>
      <c r="D778" s="116">
        <v>1005.5</v>
      </c>
      <c r="E778" s="116">
        <v>1021</v>
      </c>
      <c r="F778" s="116">
        <v>1012.95</v>
      </c>
      <c r="G778">
        <v>21796</v>
      </c>
      <c r="H778" s="116"/>
      <c r="I778" s="116"/>
      <c r="L778" s="170">
        <v>43146</v>
      </c>
      <c r="M778" s="116">
        <v>1013.15</v>
      </c>
      <c r="N778" s="116">
        <v>1037.9000000000001</v>
      </c>
      <c r="O778" s="116">
        <v>1005.35</v>
      </c>
      <c r="P778" s="116">
        <v>1025</v>
      </c>
      <c r="Q778" s="116">
        <v>1013.15</v>
      </c>
      <c r="R778">
        <v>343282</v>
      </c>
    </row>
    <row r="779" spans="1:18" x14ac:dyDescent="0.25">
      <c r="A779" s="170">
        <v>43147</v>
      </c>
      <c r="B779" s="116">
        <v>1030</v>
      </c>
      <c r="C779" s="116">
        <v>1000.3</v>
      </c>
      <c r="D779" s="116">
        <v>995.95</v>
      </c>
      <c r="E779" s="116">
        <v>1010</v>
      </c>
      <c r="F779" s="116">
        <v>1000.3</v>
      </c>
      <c r="G779">
        <v>30350</v>
      </c>
      <c r="H779" s="116"/>
      <c r="I779" s="116"/>
      <c r="L779" s="170">
        <v>43147</v>
      </c>
      <c r="M779" s="116">
        <v>1002.55</v>
      </c>
      <c r="N779" s="116">
        <v>1031.05</v>
      </c>
      <c r="O779" s="116">
        <v>996.6</v>
      </c>
      <c r="P779" s="116">
        <v>1014</v>
      </c>
      <c r="Q779" s="116">
        <v>1002.55</v>
      </c>
      <c r="R779">
        <v>445965</v>
      </c>
    </row>
    <row r="780" spans="1:18" x14ac:dyDescent="0.25">
      <c r="A780" s="170">
        <v>43150</v>
      </c>
      <c r="B780" s="116">
        <v>1012.4</v>
      </c>
      <c r="C780" s="116">
        <v>984.15</v>
      </c>
      <c r="D780" s="116">
        <v>975.85</v>
      </c>
      <c r="E780" s="116">
        <v>1010</v>
      </c>
      <c r="F780" s="116">
        <v>984.15</v>
      </c>
      <c r="G780">
        <v>40662</v>
      </c>
      <c r="H780" s="116"/>
      <c r="I780" s="116"/>
      <c r="L780" s="170">
        <v>43150</v>
      </c>
      <c r="M780" s="116">
        <v>986.55</v>
      </c>
      <c r="N780" s="116">
        <v>1008.4</v>
      </c>
      <c r="O780" s="116">
        <v>974.65</v>
      </c>
      <c r="P780" s="116">
        <v>1004</v>
      </c>
      <c r="Q780" s="116">
        <v>986.55</v>
      </c>
      <c r="R780">
        <v>397194</v>
      </c>
    </row>
    <row r="781" spans="1:18" x14ac:dyDescent="0.25">
      <c r="A781" s="170">
        <v>43151</v>
      </c>
      <c r="B781" s="116">
        <v>997.85</v>
      </c>
      <c r="C781" s="116">
        <v>988.3</v>
      </c>
      <c r="D781" s="116">
        <v>980</v>
      </c>
      <c r="E781" s="116">
        <v>980</v>
      </c>
      <c r="F781" s="116">
        <v>988.3</v>
      </c>
      <c r="G781">
        <v>25793</v>
      </c>
      <c r="H781" s="116"/>
      <c r="I781" s="116"/>
      <c r="L781" s="170">
        <v>43151</v>
      </c>
      <c r="M781" s="116">
        <v>988.1</v>
      </c>
      <c r="N781" s="116">
        <v>998.8</v>
      </c>
      <c r="O781" s="116">
        <v>982</v>
      </c>
      <c r="P781" s="116">
        <v>986.55</v>
      </c>
      <c r="Q781" s="116">
        <v>988.1</v>
      </c>
      <c r="R781">
        <v>290568</v>
      </c>
    </row>
    <row r="782" spans="1:18" x14ac:dyDescent="0.25">
      <c r="A782" s="170">
        <v>43152</v>
      </c>
      <c r="B782" s="116">
        <v>1000.8</v>
      </c>
      <c r="C782" s="116">
        <v>991.8</v>
      </c>
      <c r="D782" s="116">
        <v>985</v>
      </c>
      <c r="E782" s="116">
        <v>989.05</v>
      </c>
      <c r="F782" s="116">
        <v>991.8</v>
      </c>
      <c r="G782">
        <v>21461</v>
      </c>
      <c r="H782" s="116"/>
      <c r="I782" s="116"/>
      <c r="L782" s="170">
        <v>43152</v>
      </c>
      <c r="M782" s="116">
        <v>991.65</v>
      </c>
      <c r="N782" s="116">
        <v>1001.85</v>
      </c>
      <c r="O782" s="116">
        <v>984.1</v>
      </c>
      <c r="P782" s="116">
        <v>991.7</v>
      </c>
      <c r="Q782" s="116">
        <v>991.65</v>
      </c>
      <c r="R782">
        <v>353589</v>
      </c>
    </row>
    <row r="783" spans="1:18" x14ac:dyDescent="0.25">
      <c r="A783" s="170">
        <v>43153</v>
      </c>
      <c r="B783" s="116">
        <v>1012</v>
      </c>
      <c r="C783" s="116">
        <v>996.5</v>
      </c>
      <c r="D783" s="116">
        <v>986.05</v>
      </c>
      <c r="E783" s="116">
        <v>1000</v>
      </c>
      <c r="F783" s="116">
        <v>996.5</v>
      </c>
      <c r="G783">
        <v>35700</v>
      </c>
      <c r="H783" s="116"/>
      <c r="I783" s="116"/>
      <c r="L783" s="170">
        <v>43153</v>
      </c>
      <c r="M783" s="116">
        <v>997.85</v>
      </c>
      <c r="N783" s="116">
        <v>1011.9</v>
      </c>
      <c r="O783" s="116">
        <v>986.55</v>
      </c>
      <c r="P783" s="116">
        <v>989.5</v>
      </c>
      <c r="Q783" s="116">
        <v>997.85</v>
      </c>
      <c r="R783">
        <v>700084</v>
      </c>
    </row>
    <row r="784" spans="1:18" x14ac:dyDescent="0.25">
      <c r="A784" s="170">
        <v>43154</v>
      </c>
      <c r="B784" s="116">
        <v>1023</v>
      </c>
      <c r="C784" s="116">
        <v>1019.45</v>
      </c>
      <c r="D784" s="116">
        <v>1000.1</v>
      </c>
      <c r="E784" s="116">
        <v>1003.4</v>
      </c>
      <c r="F784" s="116">
        <v>1019.45</v>
      </c>
      <c r="G784">
        <v>31983</v>
      </c>
      <c r="H784" s="116"/>
      <c r="I784" s="116"/>
      <c r="L784" s="170">
        <v>43154</v>
      </c>
      <c r="M784" s="116">
        <v>1019.75</v>
      </c>
      <c r="N784" s="116">
        <v>1023.5</v>
      </c>
      <c r="O784" s="116">
        <v>999.15</v>
      </c>
      <c r="P784" s="116">
        <v>1003.95</v>
      </c>
      <c r="Q784" s="116">
        <v>1019.75</v>
      </c>
      <c r="R784">
        <v>488284</v>
      </c>
    </row>
    <row r="785" spans="1:18" x14ac:dyDescent="0.25">
      <c r="A785" s="170">
        <v>43157</v>
      </c>
      <c r="B785" s="116">
        <v>1051</v>
      </c>
      <c r="C785" s="116">
        <v>1045.45</v>
      </c>
      <c r="D785" s="116">
        <v>1018.55</v>
      </c>
      <c r="E785" s="116">
        <v>1028.7</v>
      </c>
      <c r="F785" s="116">
        <v>1045.45</v>
      </c>
      <c r="G785">
        <v>61006</v>
      </c>
      <c r="H785" s="116"/>
      <c r="I785" s="116"/>
      <c r="L785" s="170">
        <v>43157</v>
      </c>
      <c r="M785" s="116">
        <v>1048.7</v>
      </c>
      <c r="N785" s="116">
        <v>1052.3</v>
      </c>
      <c r="O785" s="116">
        <v>1018.05</v>
      </c>
      <c r="P785" s="116">
        <v>1020</v>
      </c>
      <c r="Q785" s="116">
        <v>1048.7</v>
      </c>
      <c r="R785">
        <v>901256</v>
      </c>
    </row>
    <row r="786" spans="1:18" x14ac:dyDescent="0.25">
      <c r="A786" s="170">
        <v>43158</v>
      </c>
      <c r="B786" s="116">
        <v>1057</v>
      </c>
      <c r="C786" s="116">
        <v>1040</v>
      </c>
      <c r="D786" s="116">
        <v>1035</v>
      </c>
      <c r="E786" s="116">
        <v>1050</v>
      </c>
      <c r="F786" s="116">
        <v>1040</v>
      </c>
      <c r="G786">
        <v>33452</v>
      </c>
      <c r="H786" s="116"/>
      <c r="I786" s="116"/>
      <c r="L786" s="170">
        <v>43158</v>
      </c>
      <c r="M786" s="116">
        <v>1038.9000000000001</v>
      </c>
      <c r="N786" s="116">
        <v>1056.45</v>
      </c>
      <c r="O786" s="116">
        <v>1036</v>
      </c>
      <c r="P786" s="116">
        <v>1054.8</v>
      </c>
      <c r="Q786" s="116">
        <v>1038.9000000000001</v>
      </c>
      <c r="R786">
        <v>504563</v>
      </c>
    </row>
    <row r="787" spans="1:18" x14ac:dyDescent="0.25">
      <c r="A787" s="170">
        <v>43159</v>
      </c>
      <c r="B787" s="116">
        <v>1066.9000000000001</v>
      </c>
      <c r="C787" s="116">
        <v>1053.0999999999999</v>
      </c>
      <c r="D787" s="116">
        <v>1024.8499999999999</v>
      </c>
      <c r="E787" s="116">
        <v>1039</v>
      </c>
      <c r="F787" s="116">
        <v>1053.0999999999999</v>
      </c>
      <c r="G787">
        <v>83336</v>
      </c>
      <c r="H787" s="116"/>
      <c r="I787" s="116"/>
      <c r="L787" s="170">
        <v>43159</v>
      </c>
      <c r="M787" s="116">
        <v>1053.25</v>
      </c>
      <c r="N787" s="116">
        <v>1068</v>
      </c>
      <c r="O787" s="116">
        <v>1025.0999999999999</v>
      </c>
      <c r="P787" s="116">
        <v>1034.0999999999999</v>
      </c>
      <c r="Q787" s="116">
        <v>1053.25</v>
      </c>
      <c r="R787">
        <v>875941</v>
      </c>
    </row>
    <row r="788" spans="1:18" x14ac:dyDescent="0.25">
      <c r="A788" s="170">
        <v>43160</v>
      </c>
      <c r="B788" s="116">
        <v>1068.25</v>
      </c>
      <c r="C788" s="116">
        <v>1044.5999999999999</v>
      </c>
      <c r="D788" s="116">
        <v>1041.75</v>
      </c>
      <c r="E788" s="116">
        <v>1053</v>
      </c>
      <c r="F788" s="116">
        <v>1044.5999999999999</v>
      </c>
      <c r="G788">
        <v>25416</v>
      </c>
      <c r="H788" s="116"/>
      <c r="I788" s="116"/>
      <c r="L788" s="170">
        <v>43160</v>
      </c>
      <c r="M788" s="116">
        <v>1044.55</v>
      </c>
      <c r="N788" s="116">
        <v>1067.3</v>
      </c>
      <c r="O788" s="116">
        <v>1041</v>
      </c>
      <c r="P788" s="116">
        <v>1052.5</v>
      </c>
      <c r="Q788" s="116">
        <v>1044.55</v>
      </c>
      <c r="R788">
        <v>296768</v>
      </c>
    </row>
    <row r="789" spans="1:18" x14ac:dyDescent="0.25">
      <c r="A789" s="170">
        <v>43164</v>
      </c>
      <c r="B789" s="116">
        <v>1070</v>
      </c>
      <c r="C789" s="116">
        <v>1037.4000000000001</v>
      </c>
      <c r="D789" s="116">
        <v>1018.7</v>
      </c>
      <c r="E789" s="116">
        <v>1040</v>
      </c>
      <c r="F789" s="116">
        <v>1037.4000000000001</v>
      </c>
      <c r="G789">
        <v>62871</v>
      </c>
      <c r="H789" s="116"/>
      <c r="I789" s="116"/>
      <c r="L789" s="170">
        <v>43164</v>
      </c>
      <c r="M789" s="116">
        <v>1041.7</v>
      </c>
      <c r="N789" s="116">
        <v>1051.7</v>
      </c>
      <c r="O789" s="116">
        <v>1016.9</v>
      </c>
      <c r="P789" s="116">
        <v>1042</v>
      </c>
      <c r="Q789" s="116">
        <v>1041.7</v>
      </c>
      <c r="R789">
        <v>396817</v>
      </c>
    </row>
    <row r="790" spans="1:18" x14ac:dyDescent="0.25">
      <c r="A790" s="170">
        <v>43165</v>
      </c>
      <c r="B790" s="116">
        <v>1065</v>
      </c>
      <c r="C790" s="116">
        <v>1034.8</v>
      </c>
      <c r="D790" s="116">
        <v>1028.55</v>
      </c>
      <c r="E790" s="116">
        <v>1065</v>
      </c>
      <c r="F790" s="116">
        <v>1034.8</v>
      </c>
      <c r="G790">
        <v>36935</v>
      </c>
      <c r="H790" s="116"/>
      <c r="I790" s="116"/>
      <c r="L790" s="170">
        <v>43165</v>
      </c>
      <c r="M790" s="116">
        <v>1031.55</v>
      </c>
      <c r="N790" s="116">
        <v>1066</v>
      </c>
      <c r="O790" s="116">
        <v>1027</v>
      </c>
      <c r="P790" s="116">
        <v>1055</v>
      </c>
      <c r="Q790" s="116">
        <v>1031.55</v>
      </c>
      <c r="R790">
        <v>470841</v>
      </c>
    </row>
    <row r="791" spans="1:18" x14ac:dyDescent="0.25">
      <c r="A791" s="170">
        <v>43166</v>
      </c>
      <c r="B791" s="116">
        <v>1040.0999999999999</v>
      </c>
      <c r="C791" s="116">
        <v>992.5</v>
      </c>
      <c r="D791" s="116">
        <v>987.35</v>
      </c>
      <c r="E791" s="116">
        <v>1025.9000000000001</v>
      </c>
      <c r="F791" s="116">
        <v>992.5</v>
      </c>
      <c r="G791">
        <v>65544</v>
      </c>
      <c r="H791" s="116"/>
      <c r="I791" s="116"/>
      <c r="L791" s="170">
        <v>43166</v>
      </c>
      <c r="M791" s="116">
        <v>995.5</v>
      </c>
      <c r="N791" s="116">
        <v>1043</v>
      </c>
      <c r="O791" s="116">
        <v>990.5</v>
      </c>
      <c r="P791" s="116">
        <v>1031.45</v>
      </c>
      <c r="Q791" s="116">
        <v>995.5</v>
      </c>
      <c r="R791">
        <v>523787</v>
      </c>
    </row>
    <row r="792" spans="1:18" x14ac:dyDescent="0.25">
      <c r="A792" s="170">
        <v>43167</v>
      </c>
      <c r="B792" s="116">
        <v>1011.05</v>
      </c>
      <c r="C792" s="116">
        <v>1003.85</v>
      </c>
      <c r="D792" s="116">
        <v>992</v>
      </c>
      <c r="E792" s="116">
        <v>1002</v>
      </c>
      <c r="F792" s="116">
        <v>1003.85</v>
      </c>
      <c r="G792">
        <v>22784</v>
      </c>
      <c r="H792" s="116"/>
      <c r="I792" s="116"/>
      <c r="L792" s="170">
        <v>43167</v>
      </c>
      <c r="M792" s="116">
        <v>1001.95</v>
      </c>
      <c r="N792" s="116">
        <v>1012</v>
      </c>
      <c r="O792" s="116">
        <v>991.55</v>
      </c>
      <c r="P792" s="116">
        <v>1005.7</v>
      </c>
      <c r="Q792" s="116">
        <v>1001.95</v>
      </c>
      <c r="R792">
        <v>290746</v>
      </c>
    </row>
    <row r="793" spans="1:18" x14ac:dyDescent="0.25">
      <c r="A793" s="170">
        <v>43168</v>
      </c>
      <c r="B793" s="116">
        <v>1018</v>
      </c>
      <c r="C793" s="116">
        <v>1003.4</v>
      </c>
      <c r="D793" s="116">
        <v>994</v>
      </c>
      <c r="E793" s="116">
        <v>1018</v>
      </c>
      <c r="F793" s="116">
        <v>1003.4</v>
      </c>
      <c r="G793">
        <v>19573</v>
      </c>
      <c r="H793" s="116"/>
      <c r="I793" s="116"/>
      <c r="L793" s="170">
        <v>43168</v>
      </c>
      <c r="M793" s="116">
        <v>1002.35</v>
      </c>
      <c r="N793" s="116">
        <v>1012.6</v>
      </c>
      <c r="O793" s="116">
        <v>994</v>
      </c>
      <c r="P793" s="116">
        <v>1009.7</v>
      </c>
      <c r="Q793" s="116">
        <v>1002.35</v>
      </c>
      <c r="R793">
        <v>246935</v>
      </c>
    </row>
    <row r="794" spans="1:18" x14ac:dyDescent="0.25">
      <c r="A794" s="170">
        <v>43171</v>
      </c>
      <c r="B794" s="116">
        <v>1019.6</v>
      </c>
      <c r="C794" s="116">
        <v>1014.65</v>
      </c>
      <c r="D794" s="116">
        <v>1005</v>
      </c>
      <c r="E794" s="116">
        <v>1006</v>
      </c>
      <c r="F794" s="116">
        <v>1014.65</v>
      </c>
      <c r="G794">
        <v>23412</v>
      </c>
      <c r="H794" s="116"/>
      <c r="I794" s="116"/>
      <c r="L794" s="170">
        <v>43171</v>
      </c>
      <c r="M794" s="116">
        <v>1013.55</v>
      </c>
      <c r="N794" s="116">
        <v>1020</v>
      </c>
      <c r="O794" s="116">
        <v>1005.15</v>
      </c>
      <c r="P794" s="116">
        <v>1010.9</v>
      </c>
      <c r="Q794" s="116">
        <v>1013.55</v>
      </c>
      <c r="R794">
        <v>250781</v>
      </c>
    </row>
    <row r="795" spans="1:18" x14ac:dyDescent="0.25">
      <c r="A795" s="170">
        <v>43172</v>
      </c>
      <c r="B795" s="116">
        <v>1022.45</v>
      </c>
      <c r="C795" s="116">
        <v>1011.3</v>
      </c>
      <c r="D795" s="116">
        <v>1001</v>
      </c>
      <c r="E795" s="116">
        <v>1020</v>
      </c>
      <c r="F795" s="116">
        <v>1011.3</v>
      </c>
      <c r="G795">
        <v>14151</v>
      </c>
      <c r="H795" s="116"/>
      <c r="I795" s="116"/>
      <c r="L795" s="170">
        <v>43172</v>
      </c>
      <c r="M795" s="116">
        <v>1010.7</v>
      </c>
      <c r="N795" s="116">
        <v>1023</v>
      </c>
      <c r="O795" s="116">
        <v>999.1</v>
      </c>
      <c r="P795" s="116">
        <v>1013.95</v>
      </c>
      <c r="Q795" s="116">
        <v>1010.7</v>
      </c>
      <c r="R795">
        <v>267919</v>
      </c>
    </row>
    <row r="796" spans="1:18" x14ac:dyDescent="0.25">
      <c r="A796" s="170">
        <v>43173</v>
      </c>
      <c r="B796" s="116">
        <v>1016.95</v>
      </c>
      <c r="C796" s="116">
        <v>1010.3</v>
      </c>
      <c r="D796" s="116">
        <v>1001</v>
      </c>
      <c r="E796" s="116">
        <v>1001</v>
      </c>
      <c r="F796" s="116">
        <v>1010.3</v>
      </c>
      <c r="G796">
        <v>14772</v>
      </c>
      <c r="H796" s="116"/>
      <c r="I796" s="116"/>
      <c r="L796" s="170">
        <v>43173</v>
      </c>
      <c r="M796" s="116">
        <v>1010.3</v>
      </c>
      <c r="N796" s="116">
        <v>1017.9</v>
      </c>
      <c r="O796" s="116">
        <v>1001</v>
      </c>
      <c r="P796" s="116">
        <v>1008</v>
      </c>
      <c r="Q796" s="116">
        <v>1010.3</v>
      </c>
      <c r="R796">
        <v>335484</v>
      </c>
    </row>
    <row r="797" spans="1:18" x14ac:dyDescent="0.25">
      <c r="A797" s="170">
        <v>43174</v>
      </c>
      <c r="B797" s="116">
        <v>1046.8</v>
      </c>
      <c r="C797" s="116">
        <v>1039</v>
      </c>
      <c r="D797" s="116">
        <v>1000.05</v>
      </c>
      <c r="E797" s="116">
        <v>1000.05</v>
      </c>
      <c r="F797" s="116">
        <v>1039</v>
      </c>
      <c r="G797">
        <v>28004</v>
      </c>
      <c r="H797" s="116"/>
      <c r="I797" s="116"/>
      <c r="L797" s="170">
        <v>43174</v>
      </c>
      <c r="M797" s="116">
        <v>1037.6500000000001</v>
      </c>
      <c r="N797" s="116">
        <v>1048</v>
      </c>
      <c r="O797" s="116">
        <v>1008.95</v>
      </c>
      <c r="P797" s="116">
        <v>1009.4</v>
      </c>
      <c r="Q797" s="116">
        <v>1037.6500000000001</v>
      </c>
      <c r="R797">
        <v>507111</v>
      </c>
    </row>
    <row r="798" spans="1:18" x14ac:dyDescent="0.25">
      <c r="A798" s="170">
        <v>43175</v>
      </c>
      <c r="B798" s="116">
        <v>1048</v>
      </c>
      <c r="C798" s="116">
        <v>1015.25</v>
      </c>
      <c r="D798" s="116">
        <v>1000</v>
      </c>
      <c r="E798" s="116">
        <v>1048</v>
      </c>
      <c r="F798" s="116">
        <v>1015.25</v>
      </c>
      <c r="G798">
        <v>47112</v>
      </c>
      <c r="H798" s="116"/>
      <c r="I798" s="116"/>
      <c r="L798" s="170">
        <v>43175</v>
      </c>
      <c r="M798" s="116">
        <v>1012.75</v>
      </c>
      <c r="N798" s="116">
        <v>1046.9000000000001</v>
      </c>
      <c r="O798" s="116">
        <v>996.8</v>
      </c>
      <c r="P798" s="116">
        <v>1041.9000000000001</v>
      </c>
      <c r="Q798" s="116">
        <v>1012.75</v>
      </c>
      <c r="R798">
        <v>557433</v>
      </c>
    </row>
    <row r="799" spans="1:18" x14ac:dyDescent="0.25">
      <c r="A799" s="170">
        <v>43178</v>
      </c>
      <c r="B799" s="116">
        <v>1015.15</v>
      </c>
      <c r="C799" s="116">
        <v>980.1</v>
      </c>
      <c r="D799" s="116">
        <v>976.05</v>
      </c>
      <c r="E799" s="116">
        <v>1015.15</v>
      </c>
      <c r="F799" s="116">
        <v>980.1</v>
      </c>
      <c r="G799">
        <v>29020</v>
      </c>
      <c r="H799" s="116"/>
      <c r="I799" s="116"/>
      <c r="L799" s="170">
        <v>43178</v>
      </c>
      <c r="M799" s="116">
        <v>979.2</v>
      </c>
      <c r="N799" s="116">
        <v>1017.85</v>
      </c>
      <c r="O799" s="116">
        <v>976.1</v>
      </c>
      <c r="P799" s="116">
        <v>1013.5</v>
      </c>
      <c r="Q799" s="116">
        <v>979.2</v>
      </c>
      <c r="R799">
        <v>374276</v>
      </c>
    </row>
    <row r="800" spans="1:18" x14ac:dyDescent="0.25">
      <c r="A800" s="170">
        <v>43179</v>
      </c>
      <c r="B800" s="116">
        <v>989</v>
      </c>
      <c r="C800" s="116">
        <v>984.4</v>
      </c>
      <c r="D800" s="116">
        <v>955.8</v>
      </c>
      <c r="E800" s="116">
        <v>976</v>
      </c>
      <c r="F800" s="116">
        <v>984.4</v>
      </c>
      <c r="G800">
        <v>36425</v>
      </c>
      <c r="H800" s="116"/>
      <c r="I800" s="116"/>
      <c r="L800" s="170">
        <v>43179</v>
      </c>
      <c r="M800" s="116">
        <v>985.25</v>
      </c>
      <c r="N800" s="116">
        <v>990.75</v>
      </c>
      <c r="O800" s="116">
        <v>956.25</v>
      </c>
      <c r="P800" s="116">
        <v>975</v>
      </c>
      <c r="Q800" s="116">
        <v>985.25</v>
      </c>
      <c r="R800">
        <v>513794</v>
      </c>
    </row>
    <row r="801" spans="1:18" x14ac:dyDescent="0.25">
      <c r="A801" s="170">
        <v>43180</v>
      </c>
      <c r="B801" s="116">
        <v>1010.6</v>
      </c>
      <c r="C801" s="116">
        <v>994.6</v>
      </c>
      <c r="D801" s="116">
        <v>989.7</v>
      </c>
      <c r="E801" s="116">
        <v>990</v>
      </c>
      <c r="F801" s="116">
        <v>994.6</v>
      </c>
      <c r="G801">
        <v>27031</v>
      </c>
      <c r="H801" s="116"/>
      <c r="I801" s="116"/>
      <c r="L801" s="170">
        <v>43180</v>
      </c>
      <c r="M801" s="116">
        <v>993.95</v>
      </c>
      <c r="N801" s="116">
        <v>1011.35</v>
      </c>
      <c r="O801" s="116">
        <v>988.55</v>
      </c>
      <c r="P801" s="116">
        <v>994.7</v>
      </c>
      <c r="Q801" s="116">
        <v>993.95</v>
      </c>
      <c r="R801">
        <v>431897</v>
      </c>
    </row>
    <row r="802" spans="1:18" x14ac:dyDescent="0.25">
      <c r="A802" s="170">
        <v>43181</v>
      </c>
      <c r="B802" s="116">
        <v>1002.5</v>
      </c>
      <c r="C802" s="116">
        <v>990.75</v>
      </c>
      <c r="D802" s="116">
        <v>987</v>
      </c>
      <c r="E802" s="116">
        <v>994</v>
      </c>
      <c r="F802" s="116">
        <v>990.75</v>
      </c>
      <c r="G802">
        <v>20739</v>
      </c>
      <c r="H802" s="116"/>
      <c r="I802" s="116"/>
      <c r="L802" s="170">
        <v>43181</v>
      </c>
      <c r="M802" s="116">
        <v>992.25</v>
      </c>
      <c r="N802" s="116">
        <v>1004</v>
      </c>
      <c r="O802" s="116">
        <v>988.05</v>
      </c>
      <c r="P802" s="116">
        <v>994.35</v>
      </c>
      <c r="Q802" s="116">
        <v>992.25</v>
      </c>
      <c r="R802">
        <v>273022</v>
      </c>
    </row>
    <row r="803" spans="1:18" x14ac:dyDescent="0.25">
      <c r="A803" s="170">
        <v>43182</v>
      </c>
      <c r="B803" s="116">
        <v>982.55</v>
      </c>
      <c r="C803" s="116">
        <v>965.8</v>
      </c>
      <c r="D803" s="116">
        <v>955.45</v>
      </c>
      <c r="E803" s="116">
        <v>982.55</v>
      </c>
      <c r="F803" s="116">
        <v>965.8</v>
      </c>
      <c r="G803">
        <v>42671</v>
      </c>
      <c r="H803" s="116"/>
      <c r="I803" s="116"/>
      <c r="L803" s="170">
        <v>43182</v>
      </c>
      <c r="M803" s="116">
        <v>965.9</v>
      </c>
      <c r="N803" s="116">
        <v>979.95</v>
      </c>
      <c r="O803" s="116">
        <v>955.85</v>
      </c>
      <c r="P803" s="116">
        <v>974.8</v>
      </c>
      <c r="Q803" s="116">
        <v>965.9</v>
      </c>
      <c r="R803">
        <v>333012</v>
      </c>
    </row>
    <row r="804" spans="1:18" x14ac:dyDescent="0.25">
      <c r="A804" s="170">
        <v>43185</v>
      </c>
      <c r="B804" s="116">
        <v>982.5</v>
      </c>
      <c r="C804" s="116">
        <v>977.95</v>
      </c>
      <c r="D804" s="116">
        <v>958</v>
      </c>
      <c r="E804" s="116">
        <v>958</v>
      </c>
      <c r="F804" s="116">
        <v>977.95</v>
      </c>
      <c r="G804">
        <v>31584</v>
      </c>
      <c r="H804" s="116"/>
      <c r="I804" s="116"/>
      <c r="L804" s="170">
        <v>43185</v>
      </c>
      <c r="M804" s="116">
        <v>977.35</v>
      </c>
      <c r="N804" s="116">
        <v>980</v>
      </c>
      <c r="O804" s="116">
        <v>966.3</v>
      </c>
      <c r="P804" s="116">
        <v>967</v>
      </c>
      <c r="Q804" s="116">
        <v>977.35</v>
      </c>
      <c r="R804">
        <v>393767</v>
      </c>
    </row>
    <row r="805" spans="1:18" x14ac:dyDescent="0.25">
      <c r="A805" s="170">
        <v>43186</v>
      </c>
      <c r="B805" s="116">
        <v>1010</v>
      </c>
      <c r="C805" s="116">
        <v>1006.35</v>
      </c>
      <c r="D805" s="116">
        <v>975</v>
      </c>
      <c r="E805" s="116">
        <v>985</v>
      </c>
      <c r="F805" s="116">
        <v>1006.35</v>
      </c>
      <c r="G805">
        <v>49479</v>
      </c>
      <c r="H805" s="116"/>
      <c r="I805" s="116"/>
      <c r="L805" s="170">
        <v>43186</v>
      </c>
      <c r="M805" s="116">
        <v>1007.25</v>
      </c>
      <c r="N805" s="116">
        <v>1010</v>
      </c>
      <c r="O805" s="116">
        <v>974.25</v>
      </c>
      <c r="P805" s="116">
        <v>981.8</v>
      </c>
      <c r="Q805" s="116">
        <v>1007.25</v>
      </c>
      <c r="R805">
        <v>637940</v>
      </c>
    </row>
    <row r="806" spans="1:18" x14ac:dyDescent="0.25">
      <c r="A806" s="170">
        <v>43187</v>
      </c>
      <c r="B806" s="116">
        <v>1017.9</v>
      </c>
      <c r="C806" s="116">
        <v>985.15</v>
      </c>
      <c r="D806" s="116">
        <v>981</v>
      </c>
      <c r="E806" s="116">
        <v>1005</v>
      </c>
      <c r="F806" s="116">
        <v>985.15</v>
      </c>
      <c r="G806">
        <v>33625</v>
      </c>
      <c r="H806" s="116"/>
      <c r="I806" s="116"/>
      <c r="L806" s="170">
        <v>43187</v>
      </c>
      <c r="M806" s="116">
        <v>985.35</v>
      </c>
      <c r="N806" s="116">
        <v>1019</v>
      </c>
      <c r="O806" s="116">
        <v>978.45</v>
      </c>
      <c r="P806" s="116">
        <v>1004.1</v>
      </c>
      <c r="Q806" s="116">
        <v>985.35</v>
      </c>
      <c r="R806">
        <v>754559</v>
      </c>
    </row>
    <row r="807" spans="1:18" x14ac:dyDescent="0.25">
      <c r="A807" s="170">
        <v>43192</v>
      </c>
      <c r="B807" s="116">
        <v>1007.75</v>
      </c>
      <c r="C807" s="116">
        <v>1004.05</v>
      </c>
      <c r="D807" s="116">
        <v>987</v>
      </c>
      <c r="E807" s="116">
        <v>987</v>
      </c>
      <c r="F807" s="116">
        <v>1004.05</v>
      </c>
      <c r="G807">
        <v>23445</v>
      </c>
      <c r="H807" s="116"/>
      <c r="I807" s="116"/>
      <c r="L807" s="170">
        <v>43192</v>
      </c>
      <c r="M807" s="116">
        <v>1002.05</v>
      </c>
      <c r="N807" s="116">
        <v>1009</v>
      </c>
      <c r="O807" s="116">
        <v>986.55</v>
      </c>
      <c r="P807" s="116">
        <v>991</v>
      </c>
      <c r="Q807" s="116">
        <v>1002.05</v>
      </c>
      <c r="R807">
        <v>514571</v>
      </c>
    </row>
    <row r="808" spans="1:18" x14ac:dyDescent="0.25">
      <c r="A808" s="170">
        <v>43193</v>
      </c>
      <c r="B808" s="116">
        <v>1007.85</v>
      </c>
      <c r="C808" s="116">
        <v>1004.95</v>
      </c>
      <c r="D808" s="116">
        <v>994.6</v>
      </c>
      <c r="E808" s="116">
        <v>998.1</v>
      </c>
      <c r="F808" s="116">
        <v>1004.95</v>
      </c>
      <c r="G808">
        <v>15557</v>
      </c>
      <c r="H808" s="116"/>
      <c r="I808" s="116"/>
      <c r="L808" s="170">
        <v>43193</v>
      </c>
      <c r="M808" s="116">
        <v>1004.7</v>
      </c>
      <c r="N808" s="116">
        <v>1009.6</v>
      </c>
      <c r="O808" s="116">
        <v>994.15</v>
      </c>
      <c r="P808" s="116">
        <v>1000.15</v>
      </c>
      <c r="Q808" s="116">
        <v>1004.7</v>
      </c>
      <c r="R808">
        <v>285091</v>
      </c>
    </row>
    <row r="809" spans="1:18" x14ac:dyDescent="0.25">
      <c r="A809" s="170">
        <v>43194</v>
      </c>
      <c r="B809" s="116">
        <v>1039</v>
      </c>
      <c r="C809" s="116">
        <v>1002.8</v>
      </c>
      <c r="D809" s="116">
        <v>997.4</v>
      </c>
      <c r="E809" s="116">
        <v>1010</v>
      </c>
      <c r="F809" s="116">
        <v>1002.8</v>
      </c>
      <c r="G809">
        <v>75430</v>
      </c>
      <c r="H809" s="116"/>
      <c r="I809" s="116"/>
      <c r="L809" s="170">
        <v>43194</v>
      </c>
      <c r="M809" s="116">
        <v>1003.3</v>
      </c>
      <c r="N809" s="116">
        <v>1040</v>
      </c>
      <c r="O809" s="116">
        <v>998</v>
      </c>
      <c r="P809" s="116">
        <v>1011.7</v>
      </c>
      <c r="Q809" s="116">
        <v>1003.3</v>
      </c>
      <c r="R809">
        <v>1136562</v>
      </c>
    </row>
    <row r="810" spans="1:18" x14ac:dyDescent="0.25">
      <c r="A810" s="170">
        <v>43195</v>
      </c>
      <c r="B810" s="116">
        <v>1027</v>
      </c>
      <c r="C810" s="116">
        <v>1021.4</v>
      </c>
      <c r="D810" s="116">
        <v>1014</v>
      </c>
      <c r="E810" s="116">
        <v>1014</v>
      </c>
      <c r="F810" s="116">
        <v>1021.4</v>
      </c>
      <c r="G810">
        <v>27047</v>
      </c>
      <c r="H810" s="116"/>
      <c r="I810" s="116"/>
      <c r="L810" s="170">
        <v>43195</v>
      </c>
      <c r="M810" s="116">
        <v>1020.3</v>
      </c>
      <c r="N810" s="116">
        <v>1028</v>
      </c>
      <c r="O810" s="116">
        <v>1014.45</v>
      </c>
      <c r="P810" s="116">
        <v>1021.75</v>
      </c>
      <c r="Q810" s="116">
        <v>1020.3</v>
      </c>
      <c r="R810">
        <v>288666</v>
      </c>
    </row>
    <row r="811" spans="1:18" x14ac:dyDescent="0.25">
      <c r="A811" s="170">
        <v>43196</v>
      </c>
      <c r="B811" s="116">
        <v>1033.5</v>
      </c>
      <c r="C811" s="116">
        <v>1027.05</v>
      </c>
      <c r="D811" s="116">
        <v>1014.55</v>
      </c>
      <c r="E811" s="116">
        <v>1029.9000000000001</v>
      </c>
      <c r="F811" s="116">
        <v>1027.05</v>
      </c>
      <c r="G811">
        <v>19954</v>
      </c>
      <c r="H811" s="116"/>
      <c r="I811" s="116"/>
      <c r="L811" s="170">
        <v>43196</v>
      </c>
      <c r="M811" s="116">
        <v>1024.5999999999999</v>
      </c>
      <c r="N811" s="116">
        <v>1035</v>
      </c>
      <c r="O811" s="116">
        <v>1010</v>
      </c>
      <c r="P811" s="116">
        <v>1010</v>
      </c>
      <c r="Q811" s="116">
        <v>1024.5999999999999</v>
      </c>
      <c r="R811">
        <v>333564</v>
      </c>
    </row>
    <row r="812" spans="1:18" x14ac:dyDescent="0.25">
      <c r="A812" s="170">
        <v>43199</v>
      </c>
      <c r="B812" s="116">
        <v>1045</v>
      </c>
      <c r="C812" s="116">
        <v>1041.5999999999999</v>
      </c>
      <c r="D812" s="116">
        <v>1025.8</v>
      </c>
      <c r="E812" s="116">
        <v>1032</v>
      </c>
      <c r="F812" s="116">
        <v>1041.5999999999999</v>
      </c>
      <c r="G812">
        <v>33942</v>
      </c>
      <c r="H812" s="116"/>
      <c r="I812" s="116"/>
      <c r="L812" s="170">
        <v>43199</v>
      </c>
      <c r="M812" s="116">
        <v>1042</v>
      </c>
      <c r="N812" s="116">
        <v>1046.9000000000001</v>
      </c>
      <c r="O812" s="116">
        <v>1025.7</v>
      </c>
      <c r="P812" s="116">
        <v>1027.7</v>
      </c>
      <c r="Q812" s="116">
        <v>1042</v>
      </c>
      <c r="R812">
        <v>524710</v>
      </c>
    </row>
    <row r="813" spans="1:18" x14ac:dyDescent="0.25">
      <c r="A813" s="170">
        <v>43200</v>
      </c>
      <c r="B813" s="116">
        <v>1063.5</v>
      </c>
      <c r="C813" s="116">
        <v>1033.05</v>
      </c>
      <c r="D813" s="116">
        <v>1029.9000000000001</v>
      </c>
      <c r="E813" s="116">
        <v>1041.5999999999999</v>
      </c>
      <c r="F813" s="116">
        <v>1033.05</v>
      </c>
      <c r="G813">
        <v>24555</v>
      </c>
      <c r="H813" s="116"/>
      <c r="I813" s="116"/>
      <c r="L813" s="170">
        <v>43200</v>
      </c>
      <c r="M813" s="116">
        <v>1033.3499999999999</v>
      </c>
      <c r="N813" s="116">
        <v>1054</v>
      </c>
      <c r="O813" s="116">
        <v>1030</v>
      </c>
      <c r="P813" s="116">
        <v>1047.7</v>
      </c>
      <c r="Q813" s="116">
        <v>1033.3499999999999</v>
      </c>
      <c r="R813">
        <v>437606</v>
      </c>
    </row>
    <row r="814" spans="1:18" x14ac:dyDescent="0.25">
      <c r="A814" s="170">
        <v>43201</v>
      </c>
      <c r="B814" s="116">
        <v>1047.5999999999999</v>
      </c>
      <c r="C814" s="116">
        <v>1045.25</v>
      </c>
      <c r="D814" s="116">
        <v>1026.8</v>
      </c>
      <c r="E814" s="116">
        <v>1038.3</v>
      </c>
      <c r="F814" s="116">
        <v>1045.25</v>
      </c>
      <c r="G814">
        <v>40635</v>
      </c>
      <c r="H814" s="116"/>
      <c r="I814" s="116"/>
      <c r="L814" s="170">
        <v>43201</v>
      </c>
      <c r="M814" s="116">
        <v>1042.5999999999999</v>
      </c>
      <c r="N814" s="116">
        <v>1046.3499999999999</v>
      </c>
      <c r="O814" s="116">
        <v>1025.3499999999999</v>
      </c>
      <c r="P814" s="116">
        <v>1038</v>
      </c>
      <c r="Q814" s="116">
        <v>1042.5999999999999</v>
      </c>
      <c r="R814">
        <v>361592</v>
      </c>
    </row>
    <row r="815" spans="1:18" x14ac:dyDescent="0.25">
      <c r="A815" s="170">
        <v>43202</v>
      </c>
      <c r="B815" s="116">
        <v>1079</v>
      </c>
      <c r="C815" s="116">
        <v>1070.7</v>
      </c>
      <c r="D815" s="116">
        <v>1041.4000000000001</v>
      </c>
      <c r="E815" s="116">
        <v>1042</v>
      </c>
      <c r="F815" s="116">
        <v>1070.7</v>
      </c>
      <c r="G815">
        <v>124130</v>
      </c>
      <c r="H815" s="116"/>
      <c r="I815" s="116"/>
      <c r="L815" s="170">
        <v>43202</v>
      </c>
      <c r="M815" s="116">
        <v>1069.9000000000001</v>
      </c>
      <c r="N815" s="116">
        <v>1079.6500000000001</v>
      </c>
      <c r="O815" s="116">
        <v>1041</v>
      </c>
      <c r="P815" s="116">
        <v>1042.5</v>
      </c>
      <c r="Q815" s="116">
        <v>1069.9000000000001</v>
      </c>
      <c r="R815">
        <v>1360731</v>
      </c>
    </row>
    <row r="816" spans="1:18" x14ac:dyDescent="0.25">
      <c r="A816" s="170">
        <v>43203</v>
      </c>
      <c r="B816" s="116">
        <v>1090</v>
      </c>
      <c r="C816" s="116">
        <v>1073.8499999999999</v>
      </c>
      <c r="D816" s="116">
        <v>1071</v>
      </c>
      <c r="E816" s="116">
        <v>1078</v>
      </c>
      <c r="F816" s="116">
        <v>1073.8499999999999</v>
      </c>
      <c r="G816">
        <v>48270</v>
      </c>
      <c r="H816" s="116"/>
      <c r="I816" s="116"/>
      <c r="L816" s="170">
        <v>43203</v>
      </c>
      <c r="M816" s="116">
        <v>1073.5999999999999</v>
      </c>
      <c r="N816" s="116">
        <v>1090</v>
      </c>
      <c r="O816" s="116">
        <v>1070</v>
      </c>
      <c r="P816" s="116">
        <v>1077.5</v>
      </c>
      <c r="Q816" s="116">
        <v>1073.5999999999999</v>
      </c>
      <c r="R816">
        <v>980350</v>
      </c>
    </row>
    <row r="817" spans="1:18" x14ac:dyDescent="0.25">
      <c r="A817" s="170">
        <v>43206</v>
      </c>
      <c r="B817" s="116">
        <v>1076.75</v>
      </c>
      <c r="C817" s="116">
        <v>1071.45</v>
      </c>
      <c r="D817" s="116">
        <v>1051.6500000000001</v>
      </c>
      <c r="E817" s="116">
        <v>1060.25</v>
      </c>
      <c r="F817" s="116">
        <v>1071.45</v>
      </c>
      <c r="G817">
        <v>23092</v>
      </c>
      <c r="H817" s="116"/>
      <c r="I817" s="116"/>
      <c r="L817" s="170">
        <v>43206</v>
      </c>
      <c r="M817" s="116">
        <v>1071.7</v>
      </c>
      <c r="N817" s="116">
        <v>1076.5</v>
      </c>
      <c r="O817" s="116">
        <v>1050.1500000000001</v>
      </c>
      <c r="P817" s="116">
        <v>1066</v>
      </c>
      <c r="Q817" s="116">
        <v>1071.7</v>
      </c>
      <c r="R817">
        <v>361111</v>
      </c>
    </row>
    <row r="818" spans="1:18" x14ac:dyDescent="0.25">
      <c r="A818" s="170">
        <v>43207</v>
      </c>
      <c r="B818" s="116">
        <v>1085</v>
      </c>
      <c r="C818" s="116">
        <v>1071.25</v>
      </c>
      <c r="D818" s="116">
        <v>1065.8499999999999</v>
      </c>
      <c r="E818" s="116">
        <v>1077</v>
      </c>
      <c r="F818" s="116">
        <v>1071.25</v>
      </c>
      <c r="G818">
        <v>23865</v>
      </c>
      <c r="H818" s="116"/>
      <c r="I818" s="116"/>
      <c r="L818" s="170">
        <v>43207</v>
      </c>
      <c r="M818" s="116">
        <v>1071.3</v>
      </c>
      <c r="N818" s="116">
        <v>1084.95</v>
      </c>
      <c r="O818" s="116">
        <v>1065.05</v>
      </c>
      <c r="P818" s="116">
        <v>1070</v>
      </c>
      <c r="Q818" s="116">
        <v>1071.3</v>
      </c>
      <c r="R818">
        <v>390080</v>
      </c>
    </row>
    <row r="819" spans="1:18" x14ac:dyDescent="0.25">
      <c r="A819" s="170">
        <v>43208</v>
      </c>
      <c r="B819" s="116">
        <v>1078.3</v>
      </c>
      <c r="C819" s="116">
        <v>1064.3</v>
      </c>
      <c r="D819" s="116">
        <v>1059.5</v>
      </c>
      <c r="E819" s="116">
        <v>1078.0999999999999</v>
      </c>
      <c r="F819" s="116">
        <v>1064.3</v>
      </c>
      <c r="G819">
        <v>15884</v>
      </c>
      <c r="H819" s="116"/>
      <c r="I819" s="116"/>
      <c r="L819" s="170">
        <v>43208</v>
      </c>
      <c r="M819" s="116">
        <v>1064.3499999999999</v>
      </c>
      <c r="N819" s="116">
        <v>1079</v>
      </c>
      <c r="O819" s="116">
        <v>1057.5999999999999</v>
      </c>
      <c r="P819" s="116">
        <v>1076</v>
      </c>
      <c r="Q819" s="116">
        <v>1064.3499999999999</v>
      </c>
      <c r="R819">
        <v>246797</v>
      </c>
    </row>
    <row r="820" spans="1:18" x14ac:dyDescent="0.25">
      <c r="A820" s="170">
        <v>43209</v>
      </c>
      <c r="B820" s="116">
        <v>1111</v>
      </c>
      <c r="C820" s="116">
        <v>1108.3499999999999</v>
      </c>
      <c r="D820" s="116">
        <v>1067.2</v>
      </c>
      <c r="E820" s="116">
        <v>1070</v>
      </c>
      <c r="F820" s="116">
        <v>1108.3499999999999</v>
      </c>
      <c r="G820">
        <v>101545</v>
      </c>
      <c r="H820" s="116"/>
      <c r="I820" s="116"/>
      <c r="L820" s="170">
        <v>43209</v>
      </c>
      <c r="M820" s="116">
        <v>1108.4000000000001</v>
      </c>
      <c r="N820" s="116">
        <v>1110.75</v>
      </c>
      <c r="O820" s="116">
        <v>1066.25</v>
      </c>
      <c r="P820" s="116">
        <v>1069.7</v>
      </c>
      <c r="Q820" s="116">
        <v>1108.4000000000001</v>
      </c>
      <c r="R820">
        <v>1002930</v>
      </c>
    </row>
    <row r="821" spans="1:18" x14ac:dyDescent="0.25">
      <c r="A821" s="170">
        <v>43210</v>
      </c>
      <c r="B821" s="116">
        <v>1148.7</v>
      </c>
      <c r="C821" s="116">
        <v>1142.5</v>
      </c>
      <c r="D821" s="116">
        <v>1102.2</v>
      </c>
      <c r="E821" s="116">
        <v>1111.45</v>
      </c>
      <c r="F821" s="116">
        <v>1142.5</v>
      </c>
      <c r="G821">
        <v>137794</v>
      </c>
      <c r="H821" s="116"/>
      <c r="I821" s="116"/>
      <c r="L821" s="170">
        <v>43210</v>
      </c>
      <c r="M821" s="116">
        <v>1142.75</v>
      </c>
      <c r="N821" s="116">
        <v>1148.7</v>
      </c>
      <c r="O821" s="116">
        <v>1103.05</v>
      </c>
      <c r="P821" s="116">
        <v>1107.8</v>
      </c>
      <c r="Q821" s="116">
        <v>1142.75</v>
      </c>
      <c r="R821">
        <v>1493000</v>
      </c>
    </row>
    <row r="822" spans="1:18" x14ac:dyDescent="0.25">
      <c r="A822" s="170">
        <v>43213</v>
      </c>
      <c r="B822" s="116">
        <v>1244</v>
      </c>
      <c r="C822" s="116">
        <v>1204.2</v>
      </c>
      <c r="D822" s="116">
        <v>1140</v>
      </c>
      <c r="E822" s="116">
        <v>1145.05</v>
      </c>
      <c r="F822" s="116">
        <v>1204.2</v>
      </c>
      <c r="G822">
        <v>304749</v>
      </c>
      <c r="H822" s="116"/>
      <c r="I822" s="116"/>
      <c r="L822" s="170">
        <v>43213</v>
      </c>
      <c r="M822" s="116">
        <v>1203.3</v>
      </c>
      <c r="N822" s="116">
        <v>1244.5</v>
      </c>
      <c r="O822" s="116">
        <v>1140.05</v>
      </c>
      <c r="P822" s="116">
        <v>1143</v>
      </c>
      <c r="Q822" s="116">
        <v>1203.3</v>
      </c>
      <c r="R822">
        <v>3824215</v>
      </c>
    </row>
    <row r="823" spans="1:18" x14ac:dyDescent="0.25">
      <c r="A823" s="170">
        <v>43214</v>
      </c>
      <c r="B823" s="116">
        <v>1224</v>
      </c>
      <c r="C823" s="116">
        <v>1205.2</v>
      </c>
      <c r="D823" s="116">
        <v>1185</v>
      </c>
      <c r="E823" s="116">
        <v>1210</v>
      </c>
      <c r="F823" s="116">
        <v>1205.2</v>
      </c>
      <c r="G823">
        <v>92682</v>
      </c>
      <c r="H823" s="116"/>
      <c r="I823" s="116"/>
      <c r="L823" s="170">
        <v>43214</v>
      </c>
      <c r="M823" s="116">
        <v>1204.05</v>
      </c>
      <c r="N823" s="116">
        <v>1223.95</v>
      </c>
      <c r="O823" s="116">
        <v>1184</v>
      </c>
      <c r="P823" s="116">
        <v>1208</v>
      </c>
      <c r="Q823" s="116">
        <v>1204.05</v>
      </c>
      <c r="R823">
        <v>1281892</v>
      </c>
    </row>
    <row r="824" spans="1:18" x14ac:dyDescent="0.25">
      <c r="A824" s="170">
        <v>43215</v>
      </c>
      <c r="B824" s="116">
        <v>1247.9000000000001</v>
      </c>
      <c r="C824" s="116">
        <v>1228.3</v>
      </c>
      <c r="D824" s="116">
        <v>1195.3</v>
      </c>
      <c r="E824" s="116">
        <v>1208.9000000000001</v>
      </c>
      <c r="F824" s="116">
        <v>1228.3</v>
      </c>
      <c r="G824">
        <v>115974</v>
      </c>
      <c r="H824" s="116"/>
      <c r="I824" s="116"/>
      <c r="L824" s="170">
        <v>43215</v>
      </c>
      <c r="M824" s="116">
        <v>1228.55</v>
      </c>
      <c r="N824" s="116">
        <v>1247.95</v>
      </c>
      <c r="O824" s="116">
        <v>1196.3499999999999</v>
      </c>
      <c r="P824" s="116">
        <v>1204</v>
      </c>
      <c r="Q824" s="116">
        <v>1228.55</v>
      </c>
      <c r="R824">
        <v>2040311</v>
      </c>
    </row>
    <row r="825" spans="1:18" x14ac:dyDescent="0.25">
      <c r="A825" s="170">
        <v>43216</v>
      </c>
      <c r="B825" s="116">
        <v>1257.25</v>
      </c>
      <c r="C825" s="116">
        <v>1217.1500000000001</v>
      </c>
      <c r="D825" s="116">
        <v>1196.8</v>
      </c>
      <c r="E825" s="116">
        <v>1232.05</v>
      </c>
      <c r="F825" s="116">
        <v>1217.1500000000001</v>
      </c>
      <c r="G825">
        <v>223220</v>
      </c>
      <c r="H825" s="116"/>
      <c r="I825" s="116"/>
      <c r="L825" s="170">
        <v>43216</v>
      </c>
      <c r="M825" s="116">
        <v>1217.3499999999999</v>
      </c>
      <c r="N825" s="116">
        <v>1259.9000000000001</v>
      </c>
      <c r="O825" s="116">
        <v>1199.0999999999999</v>
      </c>
      <c r="P825" s="116">
        <v>1230</v>
      </c>
      <c r="Q825" s="116">
        <v>1217.3499999999999</v>
      </c>
      <c r="R825">
        <v>2848481</v>
      </c>
    </row>
    <row r="826" spans="1:18" x14ac:dyDescent="0.25">
      <c r="A826" s="170">
        <v>43217</v>
      </c>
      <c r="B826" s="116">
        <v>1229.45</v>
      </c>
      <c r="C826" s="116">
        <v>1199.3</v>
      </c>
      <c r="D826" s="116">
        <v>1190.7</v>
      </c>
      <c r="E826" s="116">
        <v>1222</v>
      </c>
      <c r="F826" s="116">
        <v>1199.3</v>
      </c>
      <c r="G826">
        <v>78159</v>
      </c>
      <c r="H826" s="116"/>
      <c r="I826" s="116"/>
      <c r="L826" s="170">
        <v>43217</v>
      </c>
      <c r="M826" s="116">
        <v>1198.6500000000001</v>
      </c>
      <c r="N826" s="116">
        <v>1228.3499999999999</v>
      </c>
      <c r="O826" s="116">
        <v>1190.25</v>
      </c>
      <c r="P826" s="116">
        <v>1224.7</v>
      </c>
      <c r="Q826" s="116">
        <v>1198.6500000000001</v>
      </c>
      <c r="R826">
        <v>809515</v>
      </c>
    </row>
    <row r="827" spans="1:18" x14ac:dyDescent="0.25">
      <c r="A827" s="170">
        <v>43220</v>
      </c>
      <c r="B827" s="116">
        <v>1242</v>
      </c>
      <c r="C827" s="116">
        <v>1236.75</v>
      </c>
      <c r="D827" s="116">
        <v>1195</v>
      </c>
      <c r="E827" s="116">
        <v>1209.9000000000001</v>
      </c>
      <c r="F827" s="116">
        <v>1236.75</v>
      </c>
      <c r="G827">
        <v>70887</v>
      </c>
      <c r="H827" s="116"/>
      <c r="I827" s="116"/>
      <c r="L827" s="170">
        <v>43220</v>
      </c>
      <c r="M827" s="116">
        <v>1237.8</v>
      </c>
      <c r="N827" s="116">
        <v>1242.5</v>
      </c>
      <c r="O827" s="116">
        <v>1193.95</v>
      </c>
      <c r="P827" s="116">
        <v>1206</v>
      </c>
      <c r="Q827" s="116">
        <v>1237.8</v>
      </c>
      <c r="R827">
        <v>856449</v>
      </c>
    </row>
    <row r="828" spans="1:18" x14ac:dyDescent="0.25">
      <c r="A828" s="170">
        <v>43222</v>
      </c>
      <c r="B828" s="116">
        <v>1244.9000000000001</v>
      </c>
      <c r="C828" s="116">
        <v>1214.4000000000001</v>
      </c>
      <c r="D828" s="116">
        <v>1205.55</v>
      </c>
      <c r="E828" s="116">
        <v>1244.9000000000001</v>
      </c>
      <c r="F828" s="116">
        <v>1214.4000000000001</v>
      </c>
      <c r="G828">
        <v>36602</v>
      </c>
      <c r="H828" s="116"/>
      <c r="I828" s="116"/>
      <c r="L828" s="170">
        <v>43222</v>
      </c>
      <c r="M828" s="116">
        <v>1215.2</v>
      </c>
      <c r="N828" s="116">
        <v>1242.4000000000001</v>
      </c>
      <c r="O828" s="116">
        <v>1205.5999999999999</v>
      </c>
      <c r="P828" s="116">
        <v>1239</v>
      </c>
      <c r="Q828" s="116">
        <v>1215.2</v>
      </c>
      <c r="R828">
        <v>549492</v>
      </c>
    </row>
    <row r="829" spans="1:18" x14ac:dyDescent="0.25">
      <c r="A829" s="170">
        <v>43223</v>
      </c>
      <c r="B829" s="116">
        <v>1237.7</v>
      </c>
      <c r="C829" s="116">
        <v>1223.5999999999999</v>
      </c>
      <c r="D829" s="116">
        <v>1195.05</v>
      </c>
      <c r="E829" s="116">
        <v>1214</v>
      </c>
      <c r="F829" s="116">
        <v>1223.5999999999999</v>
      </c>
      <c r="G829">
        <v>67796</v>
      </c>
      <c r="H829" s="116"/>
      <c r="I829" s="116"/>
      <c r="L829" s="170">
        <v>43223</v>
      </c>
      <c r="M829" s="116">
        <v>1224.55</v>
      </c>
      <c r="N829" s="116">
        <v>1238</v>
      </c>
      <c r="O829" s="116">
        <v>1194.25</v>
      </c>
      <c r="P829" s="116">
        <v>1216</v>
      </c>
      <c r="Q829" s="116">
        <v>1224.55</v>
      </c>
      <c r="R829">
        <v>939366</v>
      </c>
    </row>
    <row r="830" spans="1:18" x14ac:dyDescent="0.25">
      <c r="A830" s="170">
        <v>43224</v>
      </c>
      <c r="B830" s="116">
        <v>1229</v>
      </c>
      <c r="C830" s="116">
        <v>1160.7</v>
      </c>
      <c r="D830" s="116">
        <v>1154.8499999999999</v>
      </c>
      <c r="E830" s="116">
        <v>1229</v>
      </c>
      <c r="F830" s="116">
        <v>1160.7</v>
      </c>
      <c r="G830">
        <v>83056</v>
      </c>
      <c r="H830" s="116"/>
      <c r="I830" s="116"/>
      <c r="L830" s="170">
        <v>43224</v>
      </c>
      <c r="M830" s="116">
        <v>1160.55</v>
      </c>
      <c r="N830" s="116">
        <v>1223.5</v>
      </c>
      <c r="O830" s="116">
        <v>1152.75</v>
      </c>
      <c r="P830" s="116">
        <v>1223.25</v>
      </c>
      <c r="Q830" s="116">
        <v>1160.55</v>
      </c>
      <c r="R830">
        <v>1355350</v>
      </c>
    </row>
    <row r="831" spans="1:18" x14ac:dyDescent="0.25">
      <c r="A831" s="170">
        <v>43227</v>
      </c>
      <c r="B831" s="116">
        <v>1201.25</v>
      </c>
      <c r="C831" s="116">
        <v>1143.5</v>
      </c>
      <c r="D831" s="116">
        <v>1120.55</v>
      </c>
      <c r="E831" s="116">
        <v>1175</v>
      </c>
      <c r="F831" s="116">
        <v>1143.5</v>
      </c>
      <c r="G831">
        <v>83414</v>
      </c>
      <c r="H831" s="116"/>
      <c r="I831" s="116"/>
      <c r="L831" s="170">
        <v>43227</v>
      </c>
      <c r="M831" s="116">
        <v>1140.8</v>
      </c>
      <c r="N831" s="116">
        <v>1170.95</v>
      </c>
      <c r="O831" s="116">
        <v>1118.8</v>
      </c>
      <c r="P831" s="116">
        <v>1162</v>
      </c>
      <c r="Q831" s="116">
        <v>1140.8</v>
      </c>
      <c r="R831">
        <v>1121561</v>
      </c>
    </row>
    <row r="832" spans="1:18" x14ac:dyDescent="0.25">
      <c r="A832" s="170">
        <v>43228</v>
      </c>
      <c r="B832" s="116">
        <v>1183.1500000000001</v>
      </c>
      <c r="C832" s="116">
        <v>1174.4000000000001</v>
      </c>
      <c r="D832" s="116">
        <v>1137.5</v>
      </c>
      <c r="E832" s="116">
        <v>1137.5</v>
      </c>
      <c r="F832" s="116">
        <v>1174.4000000000001</v>
      </c>
      <c r="G832">
        <v>76626</v>
      </c>
      <c r="H832" s="116"/>
      <c r="I832" s="116"/>
      <c r="L832" s="170">
        <v>43228</v>
      </c>
      <c r="M832" s="116">
        <v>1179.0999999999999</v>
      </c>
      <c r="N832" s="116">
        <v>1184</v>
      </c>
      <c r="O832" s="116">
        <v>1140</v>
      </c>
      <c r="P832" s="116">
        <v>1144</v>
      </c>
      <c r="Q832" s="116">
        <v>1179.0999999999999</v>
      </c>
      <c r="R832">
        <v>840152</v>
      </c>
    </row>
    <row r="833" spans="1:18" x14ac:dyDescent="0.25">
      <c r="A833" s="170">
        <v>43229</v>
      </c>
      <c r="B833" s="116">
        <v>1205.95</v>
      </c>
      <c r="C833" s="116">
        <v>1192.2</v>
      </c>
      <c r="D833" s="116">
        <v>1179.75</v>
      </c>
      <c r="E833" s="116">
        <v>1199</v>
      </c>
      <c r="F833" s="116">
        <v>1192.2</v>
      </c>
      <c r="G833">
        <v>44737</v>
      </c>
      <c r="H833" s="116"/>
      <c r="I833" s="116"/>
      <c r="L833" s="170">
        <v>43229</v>
      </c>
      <c r="M833" s="116">
        <v>1192.45</v>
      </c>
      <c r="N833" s="116">
        <v>1205</v>
      </c>
      <c r="O833" s="116">
        <v>1180.45</v>
      </c>
      <c r="P833" s="116">
        <v>1189</v>
      </c>
      <c r="Q833" s="116">
        <v>1192.45</v>
      </c>
      <c r="R833">
        <v>888147</v>
      </c>
    </row>
    <row r="834" spans="1:18" x14ac:dyDescent="0.25">
      <c r="A834" s="170">
        <v>43230</v>
      </c>
      <c r="B834" s="116">
        <v>1213</v>
      </c>
      <c r="C834" s="116">
        <v>1177.3499999999999</v>
      </c>
      <c r="D834" s="116">
        <v>1160.0999999999999</v>
      </c>
      <c r="E834" s="116">
        <v>1160.0999999999999</v>
      </c>
      <c r="F834" s="116">
        <v>1177.3499999999999</v>
      </c>
      <c r="G834">
        <v>60071</v>
      </c>
      <c r="H834" s="116"/>
      <c r="I834" s="116"/>
      <c r="L834" s="170">
        <v>43230</v>
      </c>
      <c r="M834" s="116">
        <v>1175.5999999999999</v>
      </c>
      <c r="N834" s="116">
        <v>1212</v>
      </c>
      <c r="O834" s="116">
        <v>1169.95</v>
      </c>
      <c r="P834" s="116">
        <v>1180</v>
      </c>
      <c r="Q834" s="116">
        <v>1175.5999999999999</v>
      </c>
      <c r="R834">
        <v>743804</v>
      </c>
    </row>
    <row r="835" spans="1:18" x14ac:dyDescent="0.25">
      <c r="A835" s="170">
        <v>43231</v>
      </c>
      <c r="B835" s="116">
        <v>1199</v>
      </c>
      <c r="C835" s="116">
        <v>1184.3499999999999</v>
      </c>
      <c r="D835" s="116">
        <v>1179</v>
      </c>
      <c r="E835" s="116">
        <v>1180.2</v>
      </c>
      <c r="F835" s="116">
        <v>1184.3499999999999</v>
      </c>
      <c r="G835">
        <v>47850</v>
      </c>
      <c r="H835" s="116"/>
      <c r="I835" s="116"/>
      <c r="L835" s="170">
        <v>43231</v>
      </c>
      <c r="M835" s="116">
        <v>1183.4000000000001</v>
      </c>
      <c r="N835" s="116">
        <v>1201</v>
      </c>
      <c r="O835" s="116">
        <v>1177.5</v>
      </c>
      <c r="P835" s="116">
        <v>1181.9000000000001</v>
      </c>
      <c r="Q835" s="116">
        <v>1183.4000000000001</v>
      </c>
      <c r="R835">
        <v>795280</v>
      </c>
    </row>
    <row r="836" spans="1:18" x14ac:dyDescent="0.25">
      <c r="A836" s="170">
        <v>43234</v>
      </c>
      <c r="B836" s="116">
        <v>1187.3</v>
      </c>
      <c r="C836" s="116">
        <v>1157.3499999999999</v>
      </c>
      <c r="D836" s="116">
        <v>1148.5</v>
      </c>
      <c r="E836" s="116">
        <v>1187.3</v>
      </c>
      <c r="F836" s="116">
        <v>1157.3499999999999</v>
      </c>
      <c r="G836">
        <v>32278</v>
      </c>
      <c r="H836" s="116"/>
      <c r="I836" s="116"/>
      <c r="L836" s="170">
        <v>43234</v>
      </c>
      <c r="M836" s="116">
        <v>1153.55</v>
      </c>
      <c r="N836" s="116">
        <v>1193.5</v>
      </c>
      <c r="O836" s="116">
        <v>1146.1500000000001</v>
      </c>
      <c r="P836" s="116">
        <v>1187.5</v>
      </c>
      <c r="Q836" s="116">
        <v>1153.55</v>
      </c>
      <c r="R836">
        <v>448627</v>
      </c>
    </row>
    <row r="837" spans="1:18" x14ac:dyDescent="0.25">
      <c r="A837" s="170">
        <v>43235</v>
      </c>
      <c r="B837" s="116">
        <v>1182.1500000000001</v>
      </c>
      <c r="C837" s="116">
        <v>1147.8</v>
      </c>
      <c r="D837" s="116">
        <v>1136</v>
      </c>
      <c r="E837" s="116">
        <v>1157.75</v>
      </c>
      <c r="F837" s="116">
        <v>1147.8</v>
      </c>
      <c r="G837">
        <v>41365</v>
      </c>
      <c r="H837" s="116"/>
      <c r="I837" s="116"/>
      <c r="L837" s="170">
        <v>43235</v>
      </c>
      <c r="M837" s="116">
        <v>1144.3</v>
      </c>
      <c r="N837" s="116">
        <v>1182</v>
      </c>
      <c r="O837" s="116">
        <v>1132.25</v>
      </c>
      <c r="P837" s="116">
        <v>1159.7</v>
      </c>
      <c r="Q837" s="116">
        <v>1144.3</v>
      </c>
      <c r="R837">
        <v>620515</v>
      </c>
    </row>
    <row r="838" spans="1:18" x14ac:dyDescent="0.25">
      <c r="A838" s="170">
        <v>43236</v>
      </c>
      <c r="B838" s="116">
        <v>1180</v>
      </c>
      <c r="C838" s="116">
        <v>1166.05</v>
      </c>
      <c r="D838" s="116">
        <v>1124.05</v>
      </c>
      <c r="E838" s="116">
        <v>1124.05</v>
      </c>
      <c r="F838" s="116">
        <v>1166.05</v>
      </c>
      <c r="G838">
        <v>43834</v>
      </c>
      <c r="H838" s="116"/>
      <c r="I838" s="116"/>
      <c r="L838" s="170">
        <v>43236</v>
      </c>
      <c r="M838" s="116">
        <v>1167.55</v>
      </c>
      <c r="N838" s="116">
        <v>1180.75</v>
      </c>
      <c r="O838" s="116">
        <v>1136.8499999999999</v>
      </c>
      <c r="P838" s="116">
        <v>1143.5999999999999</v>
      </c>
      <c r="Q838" s="116">
        <v>1167.55</v>
      </c>
      <c r="R838">
        <v>657434</v>
      </c>
    </row>
    <row r="839" spans="1:18" x14ac:dyDescent="0.25">
      <c r="A839" s="170">
        <v>43237</v>
      </c>
      <c r="B839" s="116">
        <v>1188.45</v>
      </c>
      <c r="C839" s="116">
        <v>1183.05</v>
      </c>
      <c r="D839" s="116">
        <v>1163.2</v>
      </c>
      <c r="E839" s="116">
        <v>1173.8</v>
      </c>
      <c r="F839" s="116">
        <v>1183.05</v>
      </c>
      <c r="G839">
        <v>38587</v>
      </c>
      <c r="H839" s="116"/>
      <c r="I839" s="116"/>
      <c r="L839" s="170">
        <v>43237</v>
      </c>
      <c r="M839" s="116">
        <v>1184.95</v>
      </c>
      <c r="N839" s="116">
        <v>1189.45</v>
      </c>
      <c r="O839" s="116">
        <v>1162.5</v>
      </c>
      <c r="P839" s="116">
        <v>1170</v>
      </c>
      <c r="Q839" s="116">
        <v>1184.95</v>
      </c>
      <c r="R839">
        <v>608400</v>
      </c>
    </row>
    <row r="840" spans="1:18" x14ac:dyDescent="0.25">
      <c r="A840" s="170">
        <v>43238</v>
      </c>
      <c r="B840" s="116">
        <v>1189</v>
      </c>
      <c r="C840" s="116">
        <v>1151.9000000000001</v>
      </c>
      <c r="D840" s="116">
        <v>1146.05</v>
      </c>
      <c r="E840" s="116">
        <v>1189</v>
      </c>
      <c r="F840" s="116">
        <v>1151.9000000000001</v>
      </c>
      <c r="G840">
        <v>24682</v>
      </c>
      <c r="H840" s="116"/>
      <c r="I840" s="116"/>
      <c r="L840" s="170">
        <v>43238</v>
      </c>
      <c r="M840" s="116">
        <v>1152.1500000000001</v>
      </c>
      <c r="N840" s="116">
        <v>1191.05</v>
      </c>
      <c r="O840" s="116">
        <v>1146</v>
      </c>
      <c r="P840" s="116">
        <v>1191.05</v>
      </c>
      <c r="Q840" s="116">
        <v>1152.1500000000001</v>
      </c>
      <c r="R840">
        <v>309490</v>
      </c>
    </row>
    <row r="841" spans="1:18" x14ac:dyDescent="0.25">
      <c r="A841" s="170">
        <v>43241</v>
      </c>
      <c r="B841" s="116">
        <v>1170.5999999999999</v>
      </c>
      <c r="C841" s="116">
        <v>1160.5</v>
      </c>
      <c r="D841" s="116">
        <v>1138</v>
      </c>
      <c r="E841" s="116">
        <v>1167</v>
      </c>
      <c r="F841" s="116">
        <v>1160.5</v>
      </c>
      <c r="G841">
        <v>40076</v>
      </c>
      <c r="H841" s="116"/>
      <c r="I841" s="116"/>
      <c r="L841" s="170">
        <v>43241</v>
      </c>
      <c r="M841" s="116">
        <v>1163.5</v>
      </c>
      <c r="N841" s="116">
        <v>1172.25</v>
      </c>
      <c r="O841" s="116">
        <v>1136.3499999999999</v>
      </c>
      <c r="P841" s="116">
        <v>1153.1500000000001</v>
      </c>
      <c r="Q841" s="116">
        <v>1163.5</v>
      </c>
      <c r="R841">
        <v>658514</v>
      </c>
    </row>
    <row r="842" spans="1:18" x14ac:dyDescent="0.25">
      <c r="A842" s="170">
        <v>43242</v>
      </c>
      <c r="B842" s="116">
        <v>1176.9000000000001</v>
      </c>
      <c r="C842" s="116">
        <v>1167.25</v>
      </c>
      <c r="D842" s="116">
        <v>1159.05</v>
      </c>
      <c r="E842" s="116">
        <v>1170</v>
      </c>
      <c r="F842" s="116">
        <v>1167.25</v>
      </c>
      <c r="G842">
        <v>24091</v>
      </c>
      <c r="H842" s="116"/>
      <c r="I842" s="116"/>
      <c r="L842" s="170">
        <v>43242</v>
      </c>
      <c r="M842" s="116">
        <v>1169.45</v>
      </c>
      <c r="N842" s="116">
        <v>1177.8</v>
      </c>
      <c r="O842" s="116">
        <v>1160.4000000000001</v>
      </c>
      <c r="P842" s="116">
        <v>1167.95</v>
      </c>
      <c r="Q842" s="116">
        <v>1169.45</v>
      </c>
      <c r="R842">
        <v>388378</v>
      </c>
    </row>
    <row r="843" spans="1:18" x14ac:dyDescent="0.25">
      <c r="A843" s="170">
        <v>43243</v>
      </c>
      <c r="B843" s="116">
        <v>1216.4000000000001</v>
      </c>
      <c r="C843" s="116">
        <v>1197</v>
      </c>
      <c r="D843" s="116">
        <v>1160.0999999999999</v>
      </c>
      <c r="E843" s="116">
        <v>1160.0999999999999</v>
      </c>
      <c r="F843" s="116">
        <v>1197</v>
      </c>
      <c r="G843">
        <v>75836</v>
      </c>
      <c r="H843" s="116"/>
      <c r="I843" s="116"/>
      <c r="L843" s="170">
        <v>43243</v>
      </c>
      <c r="M843" s="116">
        <v>1200.9000000000001</v>
      </c>
      <c r="N843" s="116">
        <v>1219</v>
      </c>
      <c r="O843" s="116">
        <v>1161.5999999999999</v>
      </c>
      <c r="P843" s="116">
        <v>1173.5999999999999</v>
      </c>
      <c r="Q843" s="116">
        <v>1200.9000000000001</v>
      </c>
      <c r="R843">
        <v>1115230</v>
      </c>
    </row>
    <row r="844" spans="1:18" x14ac:dyDescent="0.25">
      <c r="A844" s="170">
        <v>43244</v>
      </c>
      <c r="B844" s="116">
        <v>1225</v>
      </c>
      <c r="C844" s="116">
        <v>1196.0999999999999</v>
      </c>
      <c r="D844" s="116">
        <v>1188.05</v>
      </c>
      <c r="E844" s="116">
        <v>1197</v>
      </c>
      <c r="F844" s="116">
        <v>1196.0999999999999</v>
      </c>
      <c r="G844">
        <v>28949</v>
      </c>
      <c r="H844" s="116"/>
      <c r="I844" s="116"/>
      <c r="L844" s="170">
        <v>43244</v>
      </c>
      <c r="M844" s="116">
        <v>1194.95</v>
      </c>
      <c r="N844" s="116">
        <v>1226.1500000000001</v>
      </c>
      <c r="O844" s="116">
        <v>1186.3</v>
      </c>
      <c r="P844" s="116">
        <v>1213.25</v>
      </c>
      <c r="Q844" s="116">
        <v>1194.95</v>
      </c>
      <c r="R844">
        <v>725273</v>
      </c>
    </row>
    <row r="845" spans="1:18" x14ac:dyDescent="0.25">
      <c r="A845" s="170">
        <v>43245</v>
      </c>
      <c r="B845" s="116">
        <v>1241</v>
      </c>
      <c r="C845" s="116">
        <v>1232.3499999999999</v>
      </c>
      <c r="D845" s="116">
        <v>1196</v>
      </c>
      <c r="E845" s="116">
        <v>1196.0999999999999</v>
      </c>
      <c r="F845" s="116">
        <v>1232.3499999999999</v>
      </c>
      <c r="G845">
        <v>96249</v>
      </c>
      <c r="H845" s="116"/>
      <c r="I845" s="116"/>
      <c r="L845" s="170">
        <v>43245</v>
      </c>
      <c r="M845" s="116">
        <v>1232.7</v>
      </c>
      <c r="N845" s="116">
        <v>1242</v>
      </c>
      <c r="O845" s="116">
        <v>1195.5</v>
      </c>
      <c r="P845" s="116">
        <v>1200</v>
      </c>
      <c r="Q845" s="116">
        <v>1232.7</v>
      </c>
      <c r="R845">
        <v>1010904</v>
      </c>
    </row>
    <row r="846" spans="1:18" x14ac:dyDescent="0.25">
      <c r="A846" s="170">
        <v>43248</v>
      </c>
      <c r="B846" s="116">
        <v>1240</v>
      </c>
      <c r="C846" s="116">
        <v>1211.7</v>
      </c>
      <c r="D846" s="116">
        <v>1204</v>
      </c>
      <c r="E846" s="116">
        <v>1240</v>
      </c>
      <c r="F846" s="116">
        <v>1211.7</v>
      </c>
      <c r="G846">
        <v>45856</v>
      </c>
      <c r="H846" s="116"/>
      <c r="I846" s="116"/>
      <c r="L846" s="170">
        <v>43248</v>
      </c>
      <c r="M846" s="116">
        <v>1208.3</v>
      </c>
      <c r="N846" s="116">
        <v>1239</v>
      </c>
      <c r="O846" s="116">
        <v>1203.0999999999999</v>
      </c>
      <c r="P846" s="116">
        <v>1239</v>
      </c>
      <c r="Q846" s="116">
        <v>1208.3</v>
      </c>
      <c r="R846">
        <v>445802</v>
      </c>
    </row>
    <row r="847" spans="1:18" x14ac:dyDescent="0.25">
      <c r="A847" s="170">
        <v>43249</v>
      </c>
      <c r="B847" s="116">
        <v>1244</v>
      </c>
      <c r="C847" s="116">
        <v>1228.3499999999999</v>
      </c>
      <c r="D847" s="116">
        <v>1208.5999999999999</v>
      </c>
      <c r="E847" s="116">
        <v>1217.95</v>
      </c>
      <c r="F847" s="116">
        <v>1228.3499999999999</v>
      </c>
      <c r="G847">
        <v>46408</v>
      </c>
      <c r="H847" s="116"/>
      <c r="I847" s="116"/>
      <c r="L847" s="170">
        <v>43249</v>
      </c>
      <c r="M847" s="116">
        <v>1227.4000000000001</v>
      </c>
      <c r="N847" s="116">
        <v>1244.8</v>
      </c>
      <c r="O847" s="116">
        <v>1208</v>
      </c>
      <c r="P847" s="116">
        <v>1209</v>
      </c>
      <c r="Q847" s="116">
        <v>1227.4000000000001</v>
      </c>
      <c r="R847">
        <v>652766</v>
      </c>
    </row>
    <row r="848" spans="1:18" x14ac:dyDescent="0.25">
      <c r="A848" s="170">
        <v>43250</v>
      </c>
      <c r="B848" s="116">
        <v>1257.6500000000001</v>
      </c>
      <c r="C848" s="116">
        <v>1234.8499999999999</v>
      </c>
      <c r="D848" s="116">
        <v>1225</v>
      </c>
      <c r="E848" s="116">
        <v>1234.5</v>
      </c>
      <c r="F848" s="116">
        <v>1234.8499999999999</v>
      </c>
      <c r="G848">
        <v>66683</v>
      </c>
      <c r="H848" s="116"/>
      <c r="I848" s="116"/>
      <c r="L848" s="170">
        <v>43250</v>
      </c>
      <c r="M848" s="116">
        <v>1238.25</v>
      </c>
      <c r="N848" s="116">
        <v>1256.9000000000001</v>
      </c>
      <c r="O848" s="116">
        <v>1225.0999999999999</v>
      </c>
      <c r="P848" s="116">
        <v>1228</v>
      </c>
      <c r="Q848" s="116">
        <v>1238.25</v>
      </c>
      <c r="R848">
        <v>811822</v>
      </c>
    </row>
    <row r="849" spans="1:18" x14ac:dyDescent="0.25">
      <c r="A849" s="170">
        <v>43251</v>
      </c>
      <c r="B849" s="116">
        <v>1255.95</v>
      </c>
      <c r="C849" s="116">
        <v>1234.7</v>
      </c>
      <c r="D849" s="116">
        <v>1226.5</v>
      </c>
      <c r="E849" s="116">
        <v>1236.4000000000001</v>
      </c>
      <c r="F849" s="116">
        <v>1234.7</v>
      </c>
      <c r="G849">
        <v>42345</v>
      </c>
      <c r="H849" s="116"/>
      <c r="I849" s="116"/>
      <c r="L849" s="170">
        <v>43251</v>
      </c>
      <c r="M849" s="116">
        <v>1237.0999999999999</v>
      </c>
      <c r="N849" s="116">
        <v>1256</v>
      </c>
      <c r="O849" s="116">
        <v>1226.1500000000001</v>
      </c>
      <c r="P849" s="116">
        <v>1245</v>
      </c>
      <c r="Q849" s="116">
        <v>1237.0999999999999</v>
      </c>
      <c r="R849">
        <v>922878</v>
      </c>
    </row>
    <row r="850" spans="1:18" x14ac:dyDescent="0.25">
      <c r="A850" s="170">
        <v>43252</v>
      </c>
      <c r="B850" s="116">
        <v>1250.8499999999999</v>
      </c>
      <c r="C850" s="116">
        <v>1215.2</v>
      </c>
      <c r="D850" s="116">
        <v>1205</v>
      </c>
      <c r="E850" s="116">
        <v>1237.05</v>
      </c>
      <c r="F850" s="116">
        <v>1215.2</v>
      </c>
      <c r="G850">
        <v>46687</v>
      </c>
      <c r="H850" s="116"/>
      <c r="I850" s="116"/>
      <c r="L850" s="170">
        <v>43252</v>
      </c>
      <c r="M850" s="116">
        <v>1213.05</v>
      </c>
      <c r="N850" s="116">
        <v>1251.6500000000001</v>
      </c>
      <c r="O850" s="116">
        <v>1205.05</v>
      </c>
      <c r="P850" s="116">
        <v>1238.3499999999999</v>
      </c>
      <c r="Q850" s="116">
        <v>1213.05</v>
      </c>
      <c r="R850">
        <v>524857</v>
      </c>
    </row>
    <row r="851" spans="1:18" x14ac:dyDescent="0.25">
      <c r="A851" s="170">
        <v>43255</v>
      </c>
      <c r="B851" s="116">
        <v>1221.95</v>
      </c>
      <c r="C851" s="116">
        <v>1204.7</v>
      </c>
      <c r="D851" s="116">
        <v>1197.5</v>
      </c>
      <c r="E851" s="116">
        <v>1218</v>
      </c>
      <c r="F851" s="116">
        <v>1204.7</v>
      </c>
      <c r="G851">
        <v>38237</v>
      </c>
      <c r="H851" s="116"/>
      <c r="I851" s="116"/>
      <c r="L851" s="170">
        <v>43255</v>
      </c>
      <c r="M851" s="116">
        <v>1203.8499999999999</v>
      </c>
      <c r="N851" s="116">
        <v>1221.9000000000001</v>
      </c>
      <c r="O851" s="116">
        <v>1196.05</v>
      </c>
      <c r="P851" s="116">
        <v>1216.2</v>
      </c>
      <c r="Q851" s="116">
        <v>1203.8499999999999</v>
      </c>
      <c r="R851">
        <v>368549</v>
      </c>
    </row>
    <row r="852" spans="1:18" x14ac:dyDescent="0.25">
      <c r="A852" s="170">
        <v>43256</v>
      </c>
      <c r="B852" s="116">
        <v>1217.6500000000001</v>
      </c>
      <c r="C852" s="116">
        <v>1163.5999999999999</v>
      </c>
      <c r="D852" s="116">
        <v>1139.9000000000001</v>
      </c>
      <c r="E852" s="116">
        <v>1200</v>
      </c>
      <c r="F852" s="116">
        <v>1163.5999999999999</v>
      </c>
      <c r="G852">
        <v>75185</v>
      </c>
      <c r="H852" s="116"/>
      <c r="I852" s="116"/>
      <c r="L852" s="170">
        <v>43256</v>
      </c>
      <c r="M852" s="116">
        <v>1161.0999999999999</v>
      </c>
      <c r="N852" s="116">
        <v>1219.5</v>
      </c>
      <c r="O852" s="116">
        <v>1138.8</v>
      </c>
      <c r="P852" s="116">
        <v>1204</v>
      </c>
      <c r="Q852" s="116">
        <v>1161.0999999999999</v>
      </c>
      <c r="R852">
        <v>751553</v>
      </c>
    </row>
    <row r="853" spans="1:18" x14ac:dyDescent="0.25">
      <c r="A853" s="170">
        <v>43257</v>
      </c>
      <c r="B853" s="116">
        <v>1195</v>
      </c>
      <c r="C853" s="116">
        <v>1188.9000000000001</v>
      </c>
      <c r="D853" s="116">
        <v>1136.7</v>
      </c>
      <c r="E853" s="116">
        <v>1160</v>
      </c>
      <c r="F853" s="116">
        <v>1188.9000000000001</v>
      </c>
      <c r="G853">
        <v>68212</v>
      </c>
      <c r="H853" s="116"/>
      <c r="I853" s="116"/>
      <c r="L853" s="170">
        <v>43257</v>
      </c>
      <c r="M853" s="116">
        <v>1192.5</v>
      </c>
      <c r="N853" s="116">
        <v>1198.95</v>
      </c>
      <c r="O853" s="116">
        <v>1137.3</v>
      </c>
      <c r="P853" s="116">
        <v>1165.8499999999999</v>
      </c>
      <c r="Q853" s="116">
        <v>1192.5</v>
      </c>
      <c r="R853">
        <v>756304</v>
      </c>
    </row>
    <row r="854" spans="1:18" x14ac:dyDescent="0.25">
      <c r="A854" s="170">
        <v>43258</v>
      </c>
      <c r="B854" s="116">
        <v>1218</v>
      </c>
      <c r="C854" s="116">
        <v>1209</v>
      </c>
      <c r="D854" s="116">
        <v>1192.0999999999999</v>
      </c>
      <c r="E854" s="116">
        <v>1192.0999999999999</v>
      </c>
      <c r="F854" s="116">
        <v>1209</v>
      </c>
      <c r="G854">
        <v>23221</v>
      </c>
      <c r="H854" s="116"/>
      <c r="I854" s="116"/>
      <c r="L854" s="170">
        <v>43258</v>
      </c>
      <c r="M854" s="116">
        <v>1210.8</v>
      </c>
      <c r="N854" s="116">
        <v>1218.5</v>
      </c>
      <c r="O854" s="116">
        <v>1193.55</v>
      </c>
      <c r="P854" s="116">
        <v>1201</v>
      </c>
      <c r="Q854" s="116">
        <v>1210.8</v>
      </c>
      <c r="R854">
        <v>346232</v>
      </c>
    </row>
    <row r="855" spans="1:18" x14ac:dyDescent="0.25">
      <c r="A855" s="170">
        <v>43259</v>
      </c>
      <c r="B855" s="116">
        <v>1248.95</v>
      </c>
      <c r="C855" s="116">
        <v>1233.3499999999999</v>
      </c>
      <c r="D855" s="116">
        <v>1211</v>
      </c>
      <c r="E855" s="116">
        <v>1215</v>
      </c>
      <c r="F855" s="116">
        <v>1233.3499999999999</v>
      </c>
      <c r="G855">
        <v>78309</v>
      </c>
      <c r="H855" s="116"/>
      <c r="I855" s="116"/>
      <c r="L855" s="170">
        <v>43259</v>
      </c>
      <c r="M855" s="116">
        <v>1232.4000000000001</v>
      </c>
      <c r="N855" s="116">
        <v>1249.95</v>
      </c>
      <c r="O855" s="116">
        <v>1211.05</v>
      </c>
      <c r="P855" s="116">
        <v>1212.4000000000001</v>
      </c>
      <c r="Q855" s="116">
        <v>1232.4000000000001</v>
      </c>
      <c r="R855">
        <v>1081524</v>
      </c>
    </row>
    <row r="856" spans="1:18" x14ac:dyDescent="0.25">
      <c r="A856" s="170">
        <v>43262</v>
      </c>
      <c r="B856" s="116">
        <v>1249.8</v>
      </c>
      <c r="C856" s="116">
        <v>1226.75</v>
      </c>
      <c r="D856" s="116">
        <v>1220.5</v>
      </c>
      <c r="E856" s="116">
        <v>1249.8</v>
      </c>
      <c r="F856" s="116">
        <v>1226.75</v>
      </c>
      <c r="G856">
        <v>23412</v>
      </c>
      <c r="H856" s="116"/>
      <c r="I856" s="116"/>
      <c r="L856" s="170">
        <v>43262</v>
      </c>
      <c r="M856" s="116">
        <v>1226.05</v>
      </c>
      <c r="N856" s="116">
        <v>1241</v>
      </c>
      <c r="O856" s="116">
        <v>1220.1500000000001</v>
      </c>
      <c r="P856" s="116">
        <v>1239.95</v>
      </c>
      <c r="Q856" s="116">
        <v>1226.05</v>
      </c>
      <c r="R856">
        <v>404692</v>
      </c>
    </row>
    <row r="857" spans="1:18" x14ac:dyDescent="0.25">
      <c r="A857" s="170">
        <v>43263</v>
      </c>
      <c r="B857" s="116">
        <v>1283.7</v>
      </c>
      <c r="C857" s="116">
        <v>1277.4000000000001</v>
      </c>
      <c r="D857" s="116">
        <v>1227</v>
      </c>
      <c r="E857" s="116">
        <v>1242</v>
      </c>
      <c r="F857" s="116">
        <v>1277.4000000000001</v>
      </c>
      <c r="G857">
        <v>167955</v>
      </c>
      <c r="H857" s="116"/>
      <c r="I857" s="116"/>
      <c r="L857" s="170">
        <v>43263</v>
      </c>
      <c r="M857" s="116">
        <v>1277.9000000000001</v>
      </c>
      <c r="N857" s="116">
        <v>1283.5</v>
      </c>
      <c r="O857" s="116">
        <v>1226</v>
      </c>
      <c r="P857" s="116">
        <v>1229</v>
      </c>
      <c r="Q857" s="116">
        <v>1277.9000000000001</v>
      </c>
      <c r="R857">
        <v>2225236</v>
      </c>
    </row>
    <row r="858" spans="1:18" x14ac:dyDescent="0.25">
      <c r="A858" s="170">
        <v>43264</v>
      </c>
      <c r="B858" s="116">
        <v>1296</v>
      </c>
      <c r="C858" s="116">
        <v>1277.8</v>
      </c>
      <c r="D858" s="116">
        <v>1273</v>
      </c>
      <c r="E858" s="116">
        <v>1285</v>
      </c>
      <c r="F858" s="116">
        <v>1277.8</v>
      </c>
      <c r="G858">
        <v>73860</v>
      </c>
      <c r="H858" s="116"/>
      <c r="I858" s="116"/>
      <c r="L858" s="170">
        <v>43264</v>
      </c>
      <c r="M858" s="116">
        <v>1280.2</v>
      </c>
      <c r="N858" s="116">
        <v>1297.2</v>
      </c>
      <c r="O858" s="116">
        <v>1273.05</v>
      </c>
      <c r="P858" s="116">
        <v>1288</v>
      </c>
      <c r="Q858" s="116">
        <v>1280.2</v>
      </c>
      <c r="R858">
        <v>905610</v>
      </c>
    </row>
    <row r="859" spans="1:18" x14ac:dyDescent="0.25">
      <c r="A859" s="170">
        <v>43265</v>
      </c>
      <c r="B859" s="116">
        <v>1340</v>
      </c>
      <c r="C859" s="116">
        <v>1285.45</v>
      </c>
      <c r="D859" s="116">
        <v>1263.5999999999999</v>
      </c>
      <c r="E859" s="116">
        <v>1340</v>
      </c>
      <c r="F859" s="116">
        <v>1285.45</v>
      </c>
      <c r="G859">
        <v>46033</v>
      </c>
      <c r="H859" s="116"/>
      <c r="I859" s="116"/>
      <c r="L859" s="170">
        <v>43265</v>
      </c>
      <c r="M859" s="116">
        <v>1287.3</v>
      </c>
      <c r="N859" s="116">
        <v>1294.9000000000001</v>
      </c>
      <c r="O859" s="116">
        <v>1263.3</v>
      </c>
      <c r="P859" s="116">
        <v>1279.9000000000001</v>
      </c>
      <c r="Q859" s="116">
        <v>1287.3</v>
      </c>
      <c r="R859">
        <v>666613</v>
      </c>
    </row>
    <row r="860" spans="1:18" x14ac:dyDescent="0.25">
      <c r="A860" s="170">
        <v>43266</v>
      </c>
      <c r="B860" s="116">
        <v>1316.9</v>
      </c>
      <c r="C860" s="116">
        <v>1303.8</v>
      </c>
      <c r="D860" s="116">
        <v>1291</v>
      </c>
      <c r="E860" s="116">
        <v>1291</v>
      </c>
      <c r="F860" s="116">
        <v>1303.8</v>
      </c>
      <c r="G860">
        <v>86790</v>
      </c>
      <c r="H860" s="116"/>
      <c r="I860" s="116"/>
      <c r="L860" s="170">
        <v>43266</v>
      </c>
      <c r="M860" s="116">
        <v>1304.55</v>
      </c>
      <c r="N860" s="116">
        <v>1316</v>
      </c>
      <c r="O860" s="116">
        <v>1290.1500000000001</v>
      </c>
      <c r="P860" s="116">
        <v>1290.55</v>
      </c>
      <c r="Q860" s="116">
        <v>1304.55</v>
      </c>
      <c r="R860">
        <v>1356195</v>
      </c>
    </row>
    <row r="861" spans="1:18" x14ac:dyDescent="0.25">
      <c r="A861" s="170">
        <v>43269</v>
      </c>
      <c r="B861" s="116">
        <v>1312</v>
      </c>
      <c r="C861" s="116">
        <v>1294.25</v>
      </c>
      <c r="D861" s="116">
        <v>1290</v>
      </c>
      <c r="E861" s="116">
        <v>1309</v>
      </c>
      <c r="F861" s="116">
        <v>1294.25</v>
      </c>
      <c r="G861">
        <v>30598</v>
      </c>
      <c r="H861" s="116"/>
      <c r="I861" s="116"/>
      <c r="L861" s="170">
        <v>43269</v>
      </c>
      <c r="M861" s="116">
        <v>1295.8</v>
      </c>
      <c r="N861" s="116">
        <v>1306.5</v>
      </c>
      <c r="O861" s="116">
        <v>1288.2</v>
      </c>
      <c r="P861" s="116">
        <v>1304.9000000000001</v>
      </c>
      <c r="Q861" s="116">
        <v>1295.8</v>
      </c>
      <c r="R861">
        <v>335779</v>
      </c>
    </row>
    <row r="862" spans="1:18" x14ac:dyDescent="0.25">
      <c r="A862" s="170">
        <v>43270</v>
      </c>
      <c r="B862" s="116">
        <v>1322.4</v>
      </c>
      <c r="C862" s="116">
        <v>1309.55</v>
      </c>
      <c r="D862" s="116">
        <v>1287.75</v>
      </c>
      <c r="E862" s="116">
        <v>1298</v>
      </c>
      <c r="F862" s="116">
        <v>1309.55</v>
      </c>
      <c r="G862">
        <v>88443</v>
      </c>
      <c r="H862" s="116"/>
      <c r="I862" s="116"/>
      <c r="L862" s="170">
        <v>43270</v>
      </c>
      <c r="M862" s="116">
        <v>1309.6500000000001</v>
      </c>
      <c r="N862" s="116">
        <v>1321.95</v>
      </c>
      <c r="O862" s="116">
        <v>1286.95</v>
      </c>
      <c r="P862" s="116">
        <v>1292</v>
      </c>
      <c r="Q862" s="116">
        <v>1309.6500000000001</v>
      </c>
      <c r="R862">
        <v>1107248</v>
      </c>
    </row>
    <row r="863" spans="1:18" x14ac:dyDescent="0.25">
      <c r="A863" s="170">
        <v>43271</v>
      </c>
      <c r="B863" s="116">
        <v>1336.4</v>
      </c>
      <c r="C863" s="116">
        <v>1320.5</v>
      </c>
      <c r="D863" s="116">
        <v>1309</v>
      </c>
      <c r="E863" s="116">
        <v>1309</v>
      </c>
      <c r="F863" s="116">
        <v>1320.5</v>
      </c>
      <c r="G863">
        <v>93860</v>
      </c>
      <c r="H863" s="116"/>
      <c r="I863" s="116"/>
      <c r="L863" s="170">
        <v>43271</v>
      </c>
      <c r="M863" s="116">
        <v>1320.75</v>
      </c>
      <c r="N863" s="116">
        <v>1336</v>
      </c>
      <c r="O863" s="116">
        <v>1312.5</v>
      </c>
      <c r="P863" s="116">
        <v>1312.8</v>
      </c>
      <c r="Q863" s="116">
        <v>1320.75</v>
      </c>
      <c r="R863">
        <v>1347798</v>
      </c>
    </row>
    <row r="864" spans="1:18" x14ac:dyDescent="0.25">
      <c r="A864" s="170">
        <v>43272</v>
      </c>
      <c r="B864" s="116">
        <v>1331.95</v>
      </c>
      <c r="C864" s="116">
        <v>1322.05</v>
      </c>
      <c r="D864" s="116">
        <v>1315</v>
      </c>
      <c r="E864" s="116">
        <v>1323</v>
      </c>
      <c r="F864" s="116">
        <v>1322.05</v>
      </c>
      <c r="G864">
        <v>32803</v>
      </c>
      <c r="H864" s="116"/>
      <c r="I864" s="116"/>
      <c r="L864" s="170">
        <v>43272</v>
      </c>
      <c r="M864" s="116">
        <v>1323.05</v>
      </c>
      <c r="N864" s="116">
        <v>1332.4</v>
      </c>
      <c r="O864" s="116">
        <v>1314.6</v>
      </c>
      <c r="P864" s="116">
        <v>1320.75</v>
      </c>
      <c r="Q864" s="116">
        <v>1323.05</v>
      </c>
      <c r="R864">
        <v>606720</v>
      </c>
    </row>
    <row r="865" spans="1:18" x14ac:dyDescent="0.25">
      <c r="A865" s="170">
        <v>43273</v>
      </c>
      <c r="B865" s="116">
        <v>1331.65</v>
      </c>
      <c r="C865" s="116">
        <v>1314.3</v>
      </c>
      <c r="D865" s="116">
        <v>1304</v>
      </c>
      <c r="E865" s="116">
        <v>1323</v>
      </c>
      <c r="F865" s="116">
        <v>1314.3</v>
      </c>
      <c r="G865">
        <v>32325</v>
      </c>
      <c r="H865" s="116"/>
      <c r="I865" s="116"/>
      <c r="L865" s="170">
        <v>43273</v>
      </c>
      <c r="M865" s="116">
        <v>1318.55</v>
      </c>
      <c r="N865" s="116">
        <v>1327</v>
      </c>
      <c r="O865" s="116">
        <v>1303.4000000000001</v>
      </c>
      <c r="P865" s="116">
        <v>1324.65</v>
      </c>
      <c r="Q865" s="116">
        <v>1318.55</v>
      </c>
      <c r="R865">
        <v>336087</v>
      </c>
    </row>
    <row r="866" spans="1:18" x14ac:dyDescent="0.25">
      <c r="A866" s="170">
        <v>43276</v>
      </c>
      <c r="B866" s="116">
        <v>1346</v>
      </c>
      <c r="C866" s="116">
        <v>1341.05</v>
      </c>
      <c r="D866" s="116">
        <v>1318</v>
      </c>
      <c r="E866" s="116">
        <v>1322</v>
      </c>
      <c r="F866" s="116">
        <v>1341.05</v>
      </c>
      <c r="G866">
        <v>54934</v>
      </c>
      <c r="H866" s="116"/>
      <c r="I866" s="116"/>
      <c r="L866" s="170">
        <v>43276</v>
      </c>
      <c r="M866" s="116">
        <v>1342.95</v>
      </c>
      <c r="N866" s="116">
        <v>1348</v>
      </c>
      <c r="O866" s="116">
        <v>1318.6</v>
      </c>
      <c r="P866" s="116">
        <v>1321.85</v>
      </c>
      <c r="Q866" s="116">
        <v>1342.95</v>
      </c>
      <c r="R866">
        <v>839824</v>
      </c>
    </row>
    <row r="867" spans="1:18" x14ac:dyDescent="0.25">
      <c r="A867" s="170">
        <v>43277</v>
      </c>
      <c r="B867" s="116">
        <v>1357.5</v>
      </c>
      <c r="C867" s="116">
        <v>1349.85</v>
      </c>
      <c r="D867" s="116">
        <v>1334.85</v>
      </c>
      <c r="E867" s="116">
        <v>1350</v>
      </c>
      <c r="F867" s="116">
        <v>1349.85</v>
      </c>
      <c r="G867">
        <v>65455</v>
      </c>
      <c r="H867" s="116"/>
      <c r="I867" s="116"/>
      <c r="L867" s="170">
        <v>43277</v>
      </c>
      <c r="M867" s="116">
        <v>1349.05</v>
      </c>
      <c r="N867" s="116">
        <v>1358.35</v>
      </c>
      <c r="O867" s="116">
        <v>1333.5</v>
      </c>
      <c r="P867" s="116">
        <v>1349.8</v>
      </c>
      <c r="Q867" s="116">
        <v>1349.05</v>
      </c>
      <c r="R867">
        <v>954560</v>
      </c>
    </row>
    <row r="868" spans="1:18" x14ac:dyDescent="0.25">
      <c r="A868" s="170">
        <v>43278</v>
      </c>
      <c r="B868" s="116">
        <v>1357</v>
      </c>
      <c r="C868" s="116">
        <v>1328.7</v>
      </c>
      <c r="D868" s="116">
        <v>1317</v>
      </c>
      <c r="E868" s="116">
        <v>1350</v>
      </c>
      <c r="F868" s="116">
        <v>1328.7</v>
      </c>
      <c r="G868">
        <v>40336</v>
      </c>
      <c r="H868" s="116"/>
      <c r="I868" s="116"/>
      <c r="L868" s="170">
        <v>43278</v>
      </c>
      <c r="M868" s="116">
        <v>1331.5</v>
      </c>
      <c r="N868" s="116">
        <v>1357.2</v>
      </c>
      <c r="O868" s="116">
        <v>1315.6</v>
      </c>
      <c r="P868" s="116">
        <v>1354</v>
      </c>
      <c r="Q868" s="116">
        <v>1331.5</v>
      </c>
      <c r="R868">
        <v>536410</v>
      </c>
    </row>
    <row r="869" spans="1:18" x14ac:dyDescent="0.25">
      <c r="A869" s="170">
        <v>43279</v>
      </c>
      <c r="B869" s="116">
        <v>1328.4</v>
      </c>
      <c r="C869" s="116">
        <v>1286.2</v>
      </c>
      <c r="D869" s="116">
        <v>1280.5</v>
      </c>
      <c r="E869" s="116">
        <v>1328.4</v>
      </c>
      <c r="F869" s="116">
        <v>1286.2</v>
      </c>
      <c r="G869">
        <v>45254</v>
      </c>
      <c r="H869" s="116"/>
      <c r="I869" s="116"/>
      <c r="L869" s="170">
        <v>43279</v>
      </c>
      <c r="M869" s="116">
        <v>1284.9000000000001</v>
      </c>
      <c r="N869" s="116">
        <v>1331</v>
      </c>
      <c r="O869" s="116">
        <v>1280.1500000000001</v>
      </c>
      <c r="P869" s="116">
        <v>1331</v>
      </c>
      <c r="Q869" s="116">
        <v>1284.9000000000001</v>
      </c>
      <c r="R869">
        <v>673515</v>
      </c>
    </row>
    <row r="870" spans="1:18" x14ac:dyDescent="0.25">
      <c r="A870" s="170">
        <v>43280</v>
      </c>
      <c r="B870" s="116">
        <v>1343.8</v>
      </c>
      <c r="C870" s="116">
        <v>1335.5</v>
      </c>
      <c r="D870" s="116">
        <v>1290</v>
      </c>
      <c r="E870" s="116">
        <v>1290</v>
      </c>
      <c r="F870" s="116">
        <v>1335.5</v>
      </c>
      <c r="G870">
        <v>57033</v>
      </c>
      <c r="H870" s="116"/>
      <c r="I870" s="116"/>
      <c r="L870" s="170">
        <v>43280</v>
      </c>
      <c r="M870" s="116">
        <v>1334.7</v>
      </c>
      <c r="N870" s="116">
        <v>1340</v>
      </c>
      <c r="O870" s="116">
        <v>1292.4000000000001</v>
      </c>
      <c r="P870" s="116">
        <v>1297</v>
      </c>
      <c r="Q870" s="116">
        <v>1334.7</v>
      </c>
      <c r="R870">
        <v>576857</v>
      </c>
    </row>
    <row r="871" spans="1:18" x14ac:dyDescent="0.25">
      <c r="A871" s="170">
        <v>43283</v>
      </c>
      <c r="B871" s="116">
        <v>1353.9</v>
      </c>
      <c r="C871" s="116">
        <v>1345.95</v>
      </c>
      <c r="D871" s="116">
        <v>1323</v>
      </c>
      <c r="E871" s="116">
        <v>1350</v>
      </c>
      <c r="F871" s="116">
        <v>1345.95</v>
      </c>
      <c r="G871">
        <v>65499</v>
      </c>
      <c r="H871" s="116"/>
      <c r="I871" s="116"/>
      <c r="L871" s="170">
        <v>43283</v>
      </c>
      <c r="M871" s="116">
        <v>1343.75</v>
      </c>
      <c r="N871" s="116">
        <v>1353</v>
      </c>
      <c r="O871" s="116">
        <v>1321.85</v>
      </c>
      <c r="P871" s="116">
        <v>1340</v>
      </c>
      <c r="Q871" s="116">
        <v>1343.75</v>
      </c>
      <c r="R871">
        <v>626411</v>
      </c>
    </row>
    <row r="872" spans="1:18" x14ac:dyDescent="0.25">
      <c r="A872" s="170">
        <v>43284</v>
      </c>
      <c r="B872" s="116">
        <v>1373</v>
      </c>
      <c r="C872" s="116">
        <v>1367</v>
      </c>
      <c r="D872" s="116">
        <v>1332.65</v>
      </c>
      <c r="E872" s="116">
        <v>1345.95</v>
      </c>
      <c r="F872" s="116">
        <v>1367</v>
      </c>
      <c r="G872">
        <v>71286</v>
      </c>
      <c r="H872" s="116"/>
      <c r="I872" s="116"/>
      <c r="L872" s="170">
        <v>43284</v>
      </c>
      <c r="M872" s="116">
        <v>1366.5</v>
      </c>
      <c r="N872" s="116">
        <v>1373.5</v>
      </c>
      <c r="O872" s="116">
        <v>1331.15</v>
      </c>
      <c r="P872" s="116">
        <v>1347</v>
      </c>
      <c r="Q872" s="116">
        <v>1366.5</v>
      </c>
      <c r="R872">
        <v>845039</v>
      </c>
    </row>
    <row r="873" spans="1:18" x14ac:dyDescent="0.25">
      <c r="A873" s="170">
        <v>43285</v>
      </c>
      <c r="B873" s="116">
        <v>1374.95</v>
      </c>
      <c r="C873" s="116">
        <v>1356.9</v>
      </c>
      <c r="D873" s="116">
        <v>1350.6</v>
      </c>
      <c r="E873" s="116">
        <v>1374.95</v>
      </c>
      <c r="F873" s="116">
        <v>1356.9</v>
      </c>
      <c r="G873">
        <v>68290</v>
      </c>
      <c r="H873" s="116"/>
      <c r="I873" s="116"/>
      <c r="L873" s="170">
        <v>43285</v>
      </c>
      <c r="M873" s="116">
        <v>1359.5</v>
      </c>
      <c r="N873" s="116">
        <v>1371.9</v>
      </c>
      <c r="O873" s="116">
        <v>1350.1</v>
      </c>
      <c r="P873" s="116">
        <v>1370</v>
      </c>
      <c r="Q873" s="116">
        <v>1359.5</v>
      </c>
      <c r="R873">
        <v>493055</v>
      </c>
    </row>
    <row r="874" spans="1:18" x14ac:dyDescent="0.25">
      <c r="A874" s="170">
        <v>43286</v>
      </c>
      <c r="B874" s="116">
        <v>1368.7</v>
      </c>
      <c r="C874" s="116">
        <v>1350.6</v>
      </c>
      <c r="D874" s="116">
        <v>1344</v>
      </c>
      <c r="E874" s="116">
        <v>1350.5</v>
      </c>
      <c r="F874" s="116">
        <v>1350.6</v>
      </c>
      <c r="G874">
        <v>27572</v>
      </c>
      <c r="H874" s="116"/>
      <c r="I874" s="116"/>
      <c r="L874" s="170">
        <v>43286</v>
      </c>
      <c r="M874" s="116">
        <v>1349.05</v>
      </c>
      <c r="N874" s="116">
        <v>1369.1</v>
      </c>
      <c r="O874" s="116">
        <v>1342.2</v>
      </c>
      <c r="P874" s="116">
        <v>1354</v>
      </c>
      <c r="Q874" s="116">
        <v>1349.05</v>
      </c>
      <c r="R874">
        <v>410376</v>
      </c>
    </row>
    <row r="875" spans="1:18" x14ac:dyDescent="0.25">
      <c r="A875" s="170">
        <v>43287</v>
      </c>
      <c r="B875" s="116">
        <v>1370.5</v>
      </c>
      <c r="C875" s="116">
        <v>1362.55</v>
      </c>
      <c r="D875" s="116">
        <v>1345.2</v>
      </c>
      <c r="E875" s="116">
        <v>1345.2</v>
      </c>
      <c r="F875" s="116">
        <v>1362.55</v>
      </c>
      <c r="G875">
        <v>38827</v>
      </c>
      <c r="H875" s="116"/>
      <c r="I875" s="116"/>
      <c r="L875" s="170">
        <v>43287</v>
      </c>
      <c r="M875" s="116">
        <v>1364.95</v>
      </c>
      <c r="N875" s="116">
        <v>1369</v>
      </c>
      <c r="O875" s="116">
        <v>1346.7</v>
      </c>
      <c r="P875" s="116">
        <v>1351</v>
      </c>
      <c r="Q875" s="116">
        <v>1364.95</v>
      </c>
      <c r="R875">
        <v>485383</v>
      </c>
    </row>
    <row r="876" spans="1:18" x14ac:dyDescent="0.25">
      <c r="A876" s="170">
        <v>43290</v>
      </c>
      <c r="B876" s="116">
        <v>1391.7</v>
      </c>
      <c r="C876" s="116">
        <v>1381.1</v>
      </c>
      <c r="D876" s="116">
        <v>1364</v>
      </c>
      <c r="E876" s="116">
        <v>1372</v>
      </c>
      <c r="F876" s="116">
        <v>1381.1</v>
      </c>
      <c r="G876">
        <v>65199</v>
      </c>
      <c r="H876" s="116"/>
      <c r="I876" s="116"/>
      <c r="L876" s="170">
        <v>43290</v>
      </c>
      <c r="M876" s="116">
        <v>1381.55</v>
      </c>
      <c r="N876" s="116">
        <v>1389.4</v>
      </c>
      <c r="O876" s="116">
        <v>1362.25</v>
      </c>
      <c r="P876" s="116">
        <v>1374</v>
      </c>
      <c r="Q876" s="116">
        <v>1381.55</v>
      </c>
      <c r="R876">
        <v>634227</v>
      </c>
    </row>
    <row r="877" spans="1:18" x14ac:dyDescent="0.25">
      <c r="A877" s="170">
        <v>43291</v>
      </c>
      <c r="B877" s="116">
        <v>1402.5</v>
      </c>
      <c r="C877" s="116">
        <v>1389.6</v>
      </c>
      <c r="D877" s="116">
        <v>1384.25</v>
      </c>
      <c r="E877" s="116">
        <v>1398</v>
      </c>
      <c r="F877" s="116">
        <v>1389.6</v>
      </c>
      <c r="G877">
        <v>49337</v>
      </c>
      <c r="H877" s="116"/>
      <c r="I877" s="116"/>
      <c r="L877" s="170">
        <v>43291</v>
      </c>
      <c r="M877" s="116">
        <v>1392.45</v>
      </c>
      <c r="N877" s="116">
        <v>1401.3</v>
      </c>
      <c r="O877" s="116">
        <v>1385.4</v>
      </c>
      <c r="P877" s="116">
        <v>1392.45</v>
      </c>
      <c r="Q877" s="116">
        <v>1392.45</v>
      </c>
      <c r="R877">
        <v>468326</v>
      </c>
    </row>
    <row r="878" spans="1:18" x14ac:dyDescent="0.25">
      <c r="A878" s="170">
        <v>43292</v>
      </c>
      <c r="B878" s="116">
        <v>1453.3</v>
      </c>
      <c r="C878" s="116">
        <v>1444.4</v>
      </c>
      <c r="D878" s="116">
        <v>1390.6</v>
      </c>
      <c r="E878" s="116">
        <v>1390.6</v>
      </c>
      <c r="F878" s="116">
        <v>1444.4</v>
      </c>
      <c r="G878">
        <v>147269</v>
      </c>
      <c r="H878" s="116"/>
      <c r="I878" s="116"/>
      <c r="L878" s="170">
        <v>43292</v>
      </c>
      <c r="M878" s="116">
        <v>1445</v>
      </c>
      <c r="N878" s="116">
        <v>1454.45</v>
      </c>
      <c r="O878" s="116">
        <v>1393</v>
      </c>
      <c r="P878" s="116">
        <v>1399</v>
      </c>
      <c r="Q878" s="116">
        <v>1445</v>
      </c>
      <c r="R878">
        <v>1538513</v>
      </c>
    </row>
    <row r="879" spans="1:18" x14ac:dyDescent="0.25">
      <c r="A879" s="170">
        <v>43293</v>
      </c>
      <c r="B879" s="116">
        <v>1448.6</v>
      </c>
      <c r="C879" s="116">
        <v>1431.05</v>
      </c>
      <c r="D879" s="116">
        <v>1417.5</v>
      </c>
      <c r="E879" s="116">
        <v>1444.45</v>
      </c>
      <c r="F879" s="116">
        <v>1431.05</v>
      </c>
      <c r="G879">
        <v>54890</v>
      </c>
      <c r="H879" s="116"/>
      <c r="I879" s="116"/>
      <c r="L879" s="170">
        <v>43293</v>
      </c>
      <c r="M879" s="116">
        <v>1429.25</v>
      </c>
      <c r="N879" s="116">
        <v>1448.9</v>
      </c>
      <c r="O879" s="116">
        <v>1416.1</v>
      </c>
      <c r="P879" s="116">
        <v>1448.9</v>
      </c>
      <c r="Q879" s="116">
        <v>1429.25</v>
      </c>
      <c r="R879">
        <v>697395</v>
      </c>
    </row>
    <row r="880" spans="1:18" x14ac:dyDescent="0.25">
      <c r="A880" s="170">
        <v>43294</v>
      </c>
      <c r="B880" s="116">
        <v>1452</v>
      </c>
      <c r="C880" s="116">
        <v>1429.55</v>
      </c>
      <c r="D880" s="116">
        <v>1421.2</v>
      </c>
      <c r="E880" s="116">
        <v>1431.05</v>
      </c>
      <c r="F880" s="116">
        <v>1429.55</v>
      </c>
      <c r="G880">
        <v>101095</v>
      </c>
      <c r="H880" s="116"/>
      <c r="I880" s="116"/>
      <c r="L880" s="170">
        <v>43294</v>
      </c>
      <c r="M880" s="116">
        <v>1429.8</v>
      </c>
      <c r="N880" s="116">
        <v>1452.9</v>
      </c>
      <c r="O880" s="116">
        <v>1419.05</v>
      </c>
      <c r="P880" s="116">
        <v>1429.25</v>
      </c>
      <c r="Q880" s="116">
        <v>1429.8</v>
      </c>
      <c r="R880">
        <v>690067</v>
      </c>
    </row>
    <row r="881" spans="1:18" x14ac:dyDescent="0.25">
      <c r="A881" s="170">
        <v>43297</v>
      </c>
      <c r="B881" s="116">
        <v>1440</v>
      </c>
      <c r="C881" s="116">
        <v>1421.45</v>
      </c>
      <c r="D881" s="116">
        <v>1407</v>
      </c>
      <c r="E881" s="116">
        <v>1423.55</v>
      </c>
      <c r="F881" s="116">
        <v>1421.45</v>
      </c>
      <c r="G881">
        <v>49056</v>
      </c>
      <c r="H881" s="116"/>
      <c r="I881" s="116"/>
      <c r="L881" s="170">
        <v>43297</v>
      </c>
      <c r="M881" s="116">
        <v>1420.55</v>
      </c>
      <c r="N881" s="116">
        <v>1441</v>
      </c>
      <c r="O881" s="116">
        <v>1406</v>
      </c>
      <c r="P881" s="116">
        <v>1421</v>
      </c>
      <c r="Q881" s="116">
        <v>1420.55</v>
      </c>
      <c r="R881">
        <v>599513</v>
      </c>
    </row>
    <row r="882" spans="1:18" x14ac:dyDescent="0.25">
      <c r="A882" s="170">
        <v>43298</v>
      </c>
      <c r="B882" s="116">
        <v>1425.6</v>
      </c>
      <c r="C882" s="116">
        <v>1410.2</v>
      </c>
      <c r="D882" s="116">
        <v>1402</v>
      </c>
      <c r="E882" s="116">
        <v>1421.55</v>
      </c>
      <c r="F882" s="116">
        <v>1410.2</v>
      </c>
      <c r="G882">
        <v>50121</v>
      </c>
      <c r="H882" s="116"/>
      <c r="I882" s="116"/>
      <c r="L882" s="170">
        <v>43298</v>
      </c>
      <c r="M882" s="116">
        <v>1410.35</v>
      </c>
      <c r="N882" s="116">
        <v>1426</v>
      </c>
      <c r="O882" s="116">
        <v>1402.45</v>
      </c>
      <c r="P882" s="116">
        <v>1420</v>
      </c>
      <c r="Q882" s="116">
        <v>1410.35</v>
      </c>
      <c r="R882">
        <v>404537</v>
      </c>
    </row>
    <row r="883" spans="1:18" x14ac:dyDescent="0.25">
      <c r="A883" s="170">
        <v>43299</v>
      </c>
      <c r="B883" s="116">
        <v>1438.95</v>
      </c>
      <c r="C883" s="116">
        <v>1417.7</v>
      </c>
      <c r="D883" s="116">
        <v>1406.75</v>
      </c>
      <c r="E883" s="116">
        <v>1415</v>
      </c>
      <c r="F883" s="116">
        <v>1417.7</v>
      </c>
      <c r="G883">
        <v>51661</v>
      </c>
      <c r="H883" s="116"/>
      <c r="I883" s="116"/>
      <c r="L883" s="170">
        <v>43299</v>
      </c>
      <c r="M883" s="116">
        <v>1417</v>
      </c>
      <c r="N883" s="116">
        <v>1438.9</v>
      </c>
      <c r="O883" s="116">
        <v>1406.7</v>
      </c>
      <c r="P883" s="116">
        <v>1413.9</v>
      </c>
      <c r="Q883" s="116">
        <v>1417</v>
      </c>
      <c r="R883">
        <v>636915</v>
      </c>
    </row>
    <row r="884" spans="1:18" x14ac:dyDescent="0.25">
      <c r="A884" s="170">
        <v>43300</v>
      </c>
      <c r="B884" s="116">
        <v>1430</v>
      </c>
      <c r="C884" s="116">
        <v>1373.6</v>
      </c>
      <c r="D884" s="116">
        <v>1357.4</v>
      </c>
      <c r="E884" s="116">
        <v>1424</v>
      </c>
      <c r="F884" s="116">
        <v>1373.6</v>
      </c>
      <c r="G884">
        <v>65590</v>
      </c>
      <c r="H884" s="116"/>
      <c r="I884" s="116"/>
      <c r="L884" s="170">
        <v>43300</v>
      </c>
      <c r="M884" s="116">
        <v>1374.6</v>
      </c>
      <c r="N884" s="116">
        <v>1431.4</v>
      </c>
      <c r="O884" s="116">
        <v>1358</v>
      </c>
      <c r="P884" s="116">
        <v>1426</v>
      </c>
      <c r="Q884" s="116">
        <v>1374.6</v>
      </c>
      <c r="R884">
        <v>711513</v>
      </c>
    </row>
    <row r="885" spans="1:18" x14ac:dyDescent="0.25">
      <c r="A885" s="170">
        <v>43301</v>
      </c>
      <c r="B885" s="116">
        <v>1400.35</v>
      </c>
      <c r="C885" s="116">
        <v>1393.9</v>
      </c>
      <c r="D885" s="116">
        <v>1374</v>
      </c>
      <c r="E885" s="116">
        <v>1374</v>
      </c>
      <c r="F885" s="116">
        <v>1393.9</v>
      </c>
      <c r="G885">
        <v>31938</v>
      </c>
      <c r="H885" s="116"/>
      <c r="I885" s="116"/>
      <c r="L885" s="170">
        <v>43301</v>
      </c>
      <c r="M885" s="116">
        <v>1394.5</v>
      </c>
      <c r="N885" s="116">
        <v>1400</v>
      </c>
      <c r="O885" s="116">
        <v>1376.05</v>
      </c>
      <c r="P885" s="116">
        <v>1378.9</v>
      </c>
      <c r="Q885" s="116">
        <v>1394.5</v>
      </c>
      <c r="R885">
        <v>422231</v>
      </c>
    </row>
    <row r="886" spans="1:18" x14ac:dyDescent="0.25">
      <c r="A886" s="170">
        <v>43304</v>
      </c>
      <c r="B886" s="116">
        <v>1399.05</v>
      </c>
      <c r="C886" s="116">
        <v>1380.7</v>
      </c>
      <c r="D886" s="116">
        <v>1369.4</v>
      </c>
      <c r="E886" s="116">
        <v>1394.05</v>
      </c>
      <c r="F886" s="116">
        <v>1380.7</v>
      </c>
      <c r="G886">
        <v>33114</v>
      </c>
      <c r="H886" s="116"/>
      <c r="I886" s="116"/>
      <c r="L886" s="170">
        <v>43304</v>
      </c>
      <c r="M886" s="116">
        <v>1380.4</v>
      </c>
      <c r="N886" s="116">
        <v>1401.5</v>
      </c>
      <c r="O886" s="116">
        <v>1369</v>
      </c>
      <c r="P886" s="116">
        <v>1395</v>
      </c>
      <c r="Q886" s="116">
        <v>1380.4</v>
      </c>
      <c r="R886">
        <v>339615</v>
      </c>
    </row>
    <row r="887" spans="1:18" x14ac:dyDescent="0.25">
      <c r="A887" s="170">
        <v>43305</v>
      </c>
      <c r="B887" s="116">
        <v>1395.05</v>
      </c>
      <c r="C887" s="116">
        <v>1378.35</v>
      </c>
      <c r="D887" s="116">
        <v>1366.45</v>
      </c>
      <c r="E887" s="116">
        <v>1381</v>
      </c>
      <c r="F887" s="116">
        <v>1378.35</v>
      </c>
      <c r="G887">
        <v>47466</v>
      </c>
      <c r="H887" s="116"/>
      <c r="I887" s="116"/>
      <c r="L887" s="170">
        <v>43305</v>
      </c>
      <c r="M887" s="116">
        <v>1378.6</v>
      </c>
      <c r="N887" s="116">
        <v>1395</v>
      </c>
      <c r="O887" s="116">
        <v>1365</v>
      </c>
      <c r="P887" s="116">
        <v>1384</v>
      </c>
      <c r="Q887" s="116">
        <v>1378.6</v>
      </c>
      <c r="R887">
        <v>495033</v>
      </c>
    </row>
    <row r="888" spans="1:18" x14ac:dyDescent="0.25">
      <c r="A888" s="170">
        <v>43306</v>
      </c>
      <c r="B888" s="116">
        <v>1478</v>
      </c>
      <c r="C888" s="116">
        <v>1464.45</v>
      </c>
      <c r="D888" s="116">
        <v>1328.6</v>
      </c>
      <c r="E888" s="116">
        <v>1376</v>
      </c>
      <c r="F888" s="116">
        <v>1464.45</v>
      </c>
      <c r="G888">
        <v>363151</v>
      </c>
      <c r="H888" s="116"/>
      <c r="I888" s="116"/>
      <c r="L888" s="170">
        <v>43306</v>
      </c>
      <c r="M888" s="116">
        <v>1465.45</v>
      </c>
      <c r="N888" s="116">
        <v>1479</v>
      </c>
      <c r="O888" s="116">
        <v>1326</v>
      </c>
      <c r="P888" s="116">
        <v>1380</v>
      </c>
      <c r="Q888" s="116">
        <v>1465.45</v>
      </c>
      <c r="R888">
        <v>5190627</v>
      </c>
    </row>
    <row r="889" spans="1:18" x14ac:dyDescent="0.25">
      <c r="A889" s="170">
        <v>43307</v>
      </c>
      <c r="B889" s="116">
        <v>1491.75</v>
      </c>
      <c r="C889" s="116">
        <v>1449.2</v>
      </c>
      <c r="D889" s="116">
        <v>1428.95</v>
      </c>
      <c r="E889" s="116">
        <v>1466</v>
      </c>
      <c r="F889" s="116">
        <v>1449.2</v>
      </c>
      <c r="G889">
        <v>176123</v>
      </c>
      <c r="H889" s="116"/>
      <c r="I889" s="116"/>
      <c r="L889" s="170">
        <v>43307</v>
      </c>
      <c r="M889" s="116">
        <v>1449.85</v>
      </c>
      <c r="N889" s="116">
        <v>1490.9</v>
      </c>
      <c r="O889" s="116">
        <v>1427</v>
      </c>
      <c r="P889" s="116">
        <v>1454</v>
      </c>
      <c r="Q889" s="116">
        <v>1449.85</v>
      </c>
      <c r="R889">
        <v>2546147</v>
      </c>
    </row>
    <row r="890" spans="1:18" x14ac:dyDescent="0.25">
      <c r="A890" s="170">
        <v>43308</v>
      </c>
      <c r="B890" s="116">
        <v>1470.45</v>
      </c>
      <c r="C890" s="116">
        <v>1450.8</v>
      </c>
      <c r="D890" s="116">
        <v>1440.1</v>
      </c>
      <c r="E890" s="116">
        <v>1454</v>
      </c>
      <c r="F890" s="116">
        <v>1450.8</v>
      </c>
      <c r="G890">
        <v>55472</v>
      </c>
      <c r="H890" s="116"/>
      <c r="I890" s="116"/>
      <c r="L890" s="170">
        <v>43308</v>
      </c>
      <c r="M890" s="116">
        <v>1451.35</v>
      </c>
      <c r="N890" s="116">
        <v>1471.4</v>
      </c>
      <c r="O890" s="116">
        <v>1439.2</v>
      </c>
      <c r="P890" s="116">
        <v>1454</v>
      </c>
      <c r="Q890" s="116">
        <v>1451.35</v>
      </c>
      <c r="R890">
        <v>696778</v>
      </c>
    </row>
    <row r="891" spans="1:18" x14ac:dyDescent="0.25">
      <c r="A891" s="170">
        <v>43311</v>
      </c>
      <c r="B891" s="116">
        <v>1454.95</v>
      </c>
      <c r="C891" s="116">
        <v>1424.75</v>
      </c>
      <c r="D891" s="116">
        <v>1418.2</v>
      </c>
      <c r="E891" s="116">
        <v>1450</v>
      </c>
      <c r="F891" s="116">
        <v>1424.75</v>
      </c>
      <c r="G891">
        <v>56483</v>
      </c>
      <c r="H891" s="116"/>
      <c r="I891" s="116"/>
      <c r="L891" s="170">
        <v>43311</v>
      </c>
      <c r="M891" s="116">
        <v>1425.25</v>
      </c>
      <c r="N891" s="116">
        <v>1454.85</v>
      </c>
      <c r="O891" s="116">
        <v>1418.3</v>
      </c>
      <c r="P891" s="116">
        <v>1454.85</v>
      </c>
      <c r="Q891" s="116">
        <v>1425.25</v>
      </c>
      <c r="R891">
        <v>395510</v>
      </c>
    </row>
    <row r="892" spans="1:18" x14ac:dyDescent="0.25">
      <c r="A892" s="170">
        <v>43312</v>
      </c>
      <c r="B892" s="116">
        <v>1444</v>
      </c>
      <c r="C892" s="116">
        <v>1427.8</v>
      </c>
      <c r="D892" s="116">
        <v>1402</v>
      </c>
      <c r="E892" s="116">
        <v>1402</v>
      </c>
      <c r="F892" s="116">
        <v>1427.8</v>
      </c>
      <c r="G892">
        <v>40242</v>
      </c>
      <c r="H892" s="116"/>
      <c r="I892" s="116"/>
      <c r="L892" s="170">
        <v>43312</v>
      </c>
      <c r="M892" s="116">
        <v>1428.2</v>
      </c>
      <c r="N892" s="116">
        <v>1444.5</v>
      </c>
      <c r="O892" s="116">
        <v>1415.35</v>
      </c>
      <c r="P892" s="116">
        <v>1425</v>
      </c>
      <c r="Q892" s="116">
        <v>1428.2</v>
      </c>
      <c r="R892">
        <v>574008</v>
      </c>
    </row>
    <row r="893" spans="1:18" x14ac:dyDescent="0.25">
      <c r="A893" s="170">
        <v>43313</v>
      </c>
      <c r="B893" s="116">
        <v>1457.2</v>
      </c>
      <c r="C893" s="116">
        <v>1434.6</v>
      </c>
      <c r="D893" s="116">
        <v>1407.05</v>
      </c>
      <c r="E893" s="116">
        <v>1407.05</v>
      </c>
      <c r="F893" s="116">
        <v>1434.6</v>
      </c>
      <c r="G893">
        <v>59915</v>
      </c>
      <c r="H893" s="116"/>
      <c r="I893" s="116"/>
      <c r="L893" s="170">
        <v>43313</v>
      </c>
      <c r="M893" s="116">
        <v>1434.8</v>
      </c>
      <c r="N893" s="116">
        <v>1457.7</v>
      </c>
      <c r="O893" s="116">
        <v>1426.5</v>
      </c>
      <c r="P893" s="116">
        <v>1426.5</v>
      </c>
      <c r="Q893" s="116">
        <v>1434.8</v>
      </c>
      <c r="R893">
        <v>651731</v>
      </c>
    </row>
    <row r="894" spans="1:18" x14ac:dyDescent="0.25">
      <c r="A894" s="170">
        <v>43314</v>
      </c>
      <c r="B894" s="116">
        <v>1441.8</v>
      </c>
      <c r="C894" s="116">
        <v>1406.2</v>
      </c>
      <c r="D894" s="116">
        <v>1400.75</v>
      </c>
      <c r="E894" s="116">
        <v>1441.8</v>
      </c>
      <c r="F894" s="116">
        <v>1406.2</v>
      </c>
      <c r="G894">
        <v>116905</v>
      </c>
      <c r="H894" s="116"/>
      <c r="I894" s="116"/>
      <c r="L894" s="170">
        <v>43314</v>
      </c>
      <c r="M894" s="116">
        <v>1407.4</v>
      </c>
      <c r="N894" s="116">
        <v>1442.95</v>
      </c>
      <c r="O894" s="116">
        <v>1401.6</v>
      </c>
      <c r="P894" s="116">
        <v>1431</v>
      </c>
      <c r="Q894" s="116">
        <v>1407.4</v>
      </c>
      <c r="R894">
        <v>399538</v>
      </c>
    </row>
    <row r="895" spans="1:18" x14ac:dyDescent="0.25">
      <c r="A895" s="170">
        <v>43315</v>
      </c>
      <c r="B895" s="116">
        <v>1437.75</v>
      </c>
      <c r="C895" s="116">
        <v>1419.8</v>
      </c>
      <c r="D895" s="116">
        <v>1400</v>
      </c>
      <c r="E895" s="116">
        <v>1400</v>
      </c>
      <c r="F895" s="116">
        <v>1419.8</v>
      </c>
      <c r="G895">
        <v>75714</v>
      </c>
      <c r="H895" s="116"/>
      <c r="I895" s="116"/>
      <c r="L895" s="170">
        <v>43315</v>
      </c>
      <c r="M895" s="116">
        <v>1416.95</v>
      </c>
      <c r="N895" s="116">
        <v>1427.5</v>
      </c>
      <c r="O895" s="116">
        <v>1411.1</v>
      </c>
      <c r="P895" s="116">
        <v>1412.8</v>
      </c>
      <c r="Q895" s="116">
        <v>1416.95</v>
      </c>
      <c r="R895">
        <v>431389</v>
      </c>
    </row>
    <row r="896" spans="1:18" x14ac:dyDescent="0.25">
      <c r="A896" s="170">
        <v>43318</v>
      </c>
      <c r="B896" s="116">
        <v>1427.5</v>
      </c>
      <c r="C896" s="116">
        <v>1399.45</v>
      </c>
      <c r="D896" s="116">
        <v>1391.85</v>
      </c>
      <c r="E896" s="116">
        <v>1416</v>
      </c>
      <c r="F896" s="116">
        <v>1399.45</v>
      </c>
      <c r="G896">
        <v>43964</v>
      </c>
      <c r="H896" s="116"/>
      <c r="I896" s="116"/>
      <c r="L896" s="170">
        <v>43318</v>
      </c>
      <c r="M896" s="116">
        <v>1401.4</v>
      </c>
      <c r="N896" s="116">
        <v>1427.5</v>
      </c>
      <c r="O896" s="116">
        <v>1395.75</v>
      </c>
      <c r="P896" s="116">
        <v>1419.8</v>
      </c>
      <c r="Q896" s="116">
        <v>1401.4</v>
      </c>
      <c r="R896">
        <v>310183</v>
      </c>
    </row>
    <row r="897" spans="1:18" x14ac:dyDescent="0.25">
      <c r="A897" s="170">
        <v>43319</v>
      </c>
      <c r="B897" s="116">
        <v>1410</v>
      </c>
      <c r="C897" s="116">
        <v>1386.75</v>
      </c>
      <c r="D897" s="116">
        <v>1377</v>
      </c>
      <c r="E897" s="116">
        <v>1410</v>
      </c>
      <c r="F897" s="116">
        <v>1386.75</v>
      </c>
      <c r="G897">
        <v>34865</v>
      </c>
      <c r="H897" s="116"/>
      <c r="I897" s="116"/>
      <c r="L897" s="170">
        <v>43319</v>
      </c>
      <c r="M897" s="116">
        <v>1385.45</v>
      </c>
      <c r="N897" s="116">
        <v>1411</v>
      </c>
      <c r="O897" s="116">
        <v>1375.05</v>
      </c>
      <c r="P897" s="116">
        <v>1405.5</v>
      </c>
      <c r="Q897" s="116">
        <v>1385.45</v>
      </c>
      <c r="R897">
        <v>519791</v>
      </c>
    </row>
    <row r="898" spans="1:18" x14ac:dyDescent="0.25">
      <c r="A898" s="170">
        <v>43320</v>
      </c>
      <c r="B898" s="116">
        <v>1423</v>
      </c>
      <c r="C898" s="116">
        <v>1408.3</v>
      </c>
      <c r="D898" s="116">
        <v>1381</v>
      </c>
      <c r="E898" s="116">
        <v>1388</v>
      </c>
      <c r="F898" s="116">
        <v>1408.3</v>
      </c>
      <c r="G898">
        <v>71135</v>
      </c>
      <c r="H898" s="116"/>
      <c r="I898" s="116"/>
      <c r="L898" s="170">
        <v>43320</v>
      </c>
      <c r="M898" s="116">
        <v>1407.85</v>
      </c>
      <c r="N898" s="116">
        <v>1422.5</v>
      </c>
      <c r="O898" s="116">
        <v>1381</v>
      </c>
      <c r="P898" s="116">
        <v>1388.45</v>
      </c>
      <c r="Q898" s="116">
        <v>1407.85</v>
      </c>
      <c r="R898">
        <v>1027420</v>
      </c>
    </row>
    <row r="899" spans="1:18" x14ac:dyDescent="0.25">
      <c r="A899" s="170">
        <v>43321</v>
      </c>
      <c r="B899" s="116">
        <v>1419.95</v>
      </c>
      <c r="C899" s="116">
        <v>1388.25</v>
      </c>
      <c r="D899" s="116">
        <v>1385</v>
      </c>
      <c r="E899" s="116">
        <v>1414</v>
      </c>
      <c r="F899" s="116">
        <v>1388.25</v>
      </c>
      <c r="G899">
        <v>72300</v>
      </c>
      <c r="H899" s="116"/>
      <c r="I899" s="116"/>
      <c r="L899" s="170">
        <v>43321</v>
      </c>
      <c r="M899" s="116">
        <v>1388.5</v>
      </c>
      <c r="N899" s="116">
        <v>1414.25</v>
      </c>
      <c r="O899" s="116">
        <v>1385.35</v>
      </c>
      <c r="P899" s="116">
        <v>1410</v>
      </c>
      <c r="Q899" s="116">
        <v>1388.5</v>
      </c>
      <c r="R899">
        <v>440694</v>
      </c>
    </row>
    <row r="900" spans="1:18" x14ac:dyDescent="0.25">
      <c r="A900" s="170">
        <v>43322</v>
      </c>
      <c r="B900" s="116">
        <v>1418.65</v>
      </c>
      <c r="C900" s="116">
        <v>1396.9</v>
      </c>
      <c r="D900" s="116">
        <v>1389</v>
      </c>
      <c r="E900" s="116">
        <v>1395.55</v>
      </c>
      <c r="F900" s="116">
        <v>1396.9</v>
      </c>
      <c r="G900">
        <v>48684</v>
      </c>
      <c r="H900" s="116"/>
      <c r="I900" s="116"/>
      <c r="L900" s="170">
        <v>43322</v>
      </c>
      <c r="M900" s="116">
        <v>1395.55</v>
      </c>
      <c r="N900" s="116">
        <v>1419.55</v>
      </c>
      <c r="O900" s="116">
        <v>1388.35</v>
      </c>
      <c r="P900" s="116">
        <v>1392.75</v>
      </c>
      <c r="Q900" s="116">
        <v>1395.55</v>
      </c>
      <c r="R900">
        <v>686490</v>
      </c>
    </row>
    <row r="901" spans="1:18" x14ac:dyDescent="0.25">
      <c r="A901" s="170">
        <v>43325</v>
      </c>
      <c r="B901" s="116">
        <v>1431.7</v>
      </c>
      <c r="C901" s="116">
        <v>1414.05</v>
      </c>
      <c r="D901" s="116">
        <v>1395.05</v>
      </c>
      <c r="E901" s="116">
        <v>1396.9</v>
      </c>
      <c r="F901" s="116">
        <v>1414.05</v>
      </c>
      <c r="G901">
        <v>111756</v>
      </c>
      <c r="H901" s="116"/>
      <c r="I901" s="116"/>
      <c r="L901" s="170">
        <v>43325</v>
      </c>
      <c r="M901" s="116">
        <v>1414.75</v>
      </c>
      <c r="N901" s="116">
        <v>1430.95</v>
      </c>
      <c r="O901" s="116">
        <v>1392.65</v>
      </c>
      <c r="P901" s="116">
        <v>1395</v>
      </c>
      <c r="Q901" s="116">
        <v>1414.75</v>
      </c>
      <c r="R901">
        <v>1105299</v>
      </c>
    </row>
    <row r="902" spans="1:18" x14ac:dyDescent="0.25">
      <c r="A902" s="170">
        <v>43326</v>
      </c>
      <c r="B902" s="116">
        <v>1439.7</v>
      </c>
      <c r="C902" s="116">
        <v>1434.35</v>
      </c>
      <c r="D902" s="116">
        <v>1408</v>
      </c>
      <c r="E902" s="116">
        <v>1417</v>
      </c>
      <c r="F902" s="116">
        <v>1434.35</v>
      </c>
      <c r="G902">
        <v>112156</v>
      </c>
      <c r="H902" s="116"/>
      <c r="I902" s="116"/>
      <c r="L902" s="170">
        <v>43326</v>
      </c>
      <c r="M902" s="116">
        <v>1434.1</v>
      </c>
      <c r="N902" s="116">
        <v>1440</v>
      </c>
      <c r="O902" s="116">
        <v>1406.35</v>
      </c>
      <c r="P902" s="116">
        <v>1423.8</v>
      </c>
      <c r="Q902" s="116">
        <v>1434.1</v>
      </c>
      <c r="R902">
        <v>873562</v>
      </c>
    </row>
    <row r="903" spans="1:18" x14ac:dyDescent="0.25">
      <c r="A903" s="170">
        <v>43328</v>
      </c>
      <c r="B903" s="116">
        <v>1454.1</v>
      </c>
      <c r="C903" s="116">
        <v>1435.6</v>
      </c>
      <c r="D903" s="116">
        <v>1425</v>
      </c>
      <c r="E903" s="116">
        <v>1438.5</v>
      </c>
      <c r="F903" s="116">
        <v>1435.6</v>
      </c>
      <c r="G903">
        <v>55736</v>
      </c>
      <c r="H903" s="116"/>
      <c r="I903" s="116"/>
      <c r="L903" s="170">
        <v>43328</v>
      </c>
      <c r="M903" s="116">
        <v>1434.15</v>
      </c>
      <c r="N903" s="116">
        <v>1454</v>
      </c>
      <c r="O903" s="116">
        <v>1423.35</v>
      </c>
      <c r="P903" s="116">
        <v>1441.85</v>
      </c>
      <c r="Q903" s="116">
        <v>1434.15</v>
      </c>
      <c r="R903">
        <v>1005006</v>
      </c>
    </row>
    <row r="904" spans="1:18" x14ac:dyDescent="0.25">
      <c r="A904" s="170">
        <v>43329</v>
      </c>
      <c r="B904" s="116">
        <v>1449</v>
      </c>
      <c r="C904" s="116">
        <v>1432</v>
      </c>
      <c r="D904" s="116">
        <v>1424.85</v>
      </c>
      <c r="E904" s="116">
        <v>1449</v>
      </c>
      <c r="F904" s="116">
        <v>1432</v>
      </c>
      <c r="G904">
        <v>24442</v>
      </c>
      <c r="H904" s="116"/>
      <c r="I904" s="116"/>
      <c r="L904" s="170">
        <v>43329</v>
      </c>
      <c r="M904" s="116">
        <v>1432.1</v>
      </c>
      <c r="N904" s="116">
        <v>1445.7</v>
      </c>
      <c r="O904" s="116">
        <v>1425.5</v>
      </c>
      <c r="P904" s="116">
        <v>1442.8</v>
      </c>
      <c r="Q904" s="116">
        <v>1432.1</v>
      </c>
      <c r="R904">
        <v>421037</v>
      </c>
    </row>
    <row r="905" spans="1:18" x14ac:dyDescent="0.25">
      <c r="A905" s="170">
        <v>43332</v>
      </c>
      <c r="B905" s="116">
        <v>1432</v>
      </c>
      <c r="C905" s="116">
        <v>1419.55</v>
      </c>
      <c r="D905" s="116">
        <v>1417</v>
      </c>
      <c r="E905" s="116">
        <v>1432</v>
      </c>
      <c r="F905" s="116">
        <v>1419.55</v>
      </c>
      <c r="G905">
        <v>20616</v>
      </c>
      <c r="H905" s="116"/>
      <c r="I905" s="116"/>
      <c r="L905" s="170">
        <v>43332</v>
      </c>
      <c r="M905" s="116">
        <v>1419.75</v>
      </c>
      <c r="N905" s="116">
        <v>1433.75</v>
      </c>
      <c r="O905" s="116">
        <v>1414.65</v>
      </c>
      <c r="P905" s="116">
        <v>1430</v>
      </c>
      <c r="Q905" s="116">
        <v>1419.75</v>
      </c>
      <c r="R905">
        <v>283498</v>
      </c>
    </row>
    <row r="906" spans="1:18" x14ac:dyDescent="0.25">
      <c r="A906" s="170">
        <v>43333</v>
      </c>
      <c r="B906" s="116">
        <v>1448.3</v>
      </c>
      <c r="C906" s="116">
        <v>1440.8</v>
      </c>
      <c r="D906" s="116">
        <v>1412.6</v>
      </c>
      <c r="E906" s="116">
        <v>1422</v>
      </c>
      <c r="F906" s="116">
        <v>1440.8</v>
      </c>
      <c r="G906">
        <v>51788</v>
      </c>
      <c r="H906" s="116"/>
      <c r="I906" s="116"/>
      <c r="L906" s="170">
        <v>43333</v>
      </c>
      <c r="M906" s="116">
        <v>1441.65</v>
      </c>
      <c r="N906" s="116">
        <v>1448</v>
      </c>
      <c r="O906" s="116">
        <v>1412</v>
      </c>
      <c r="P906" s="116">
        <v>1415</v>
      </c>
      <c r="Q906" s="116">
        <v>1441.65</v>
      </c>
      <c r="R906">
        <v>745323</v>
      </c>
    </row>
    <row r="907" spans="1:18" x14ac:dyDescent="0.25">
      <c r="A907" s="170">
        <v>43335</v>
      </c>
      <c r="B907" s="116">
        <v>1462</v>
      </c>
      <c r="C907" s="116">
        <v>1446.5</v>
      </c>
      <c r="D907" s="116">
        <v>1439</v>
      </c>
      <c r="E907" s="116">
        <v>1450</v>
      </c>
      <c r="F907" s="116">
        <v>1446.5</v>
      </c>
      <c r="G907">
        <v>50436</v>
      </c>
      <c r="H907" s="116"/>
      <c r="I907" s="116"/>
      <c r="L907" s="170">
        <v>43335</v>
      </c>
      <c r="M907" s="116">
        <v>1446.4</v>
      </c>
      <c r="N907" s="116">
        <v>1462</v>
      </c>
      <c r="O907" s="116">
        <v>1436.7</v>
      </c>
      <c r="P907" s="116">
        <v>1452</v>
      </c>
      <c r="Q907" s="116">
        <v>1446.4</v>
      </c>
      <c r="R907">
        <v>701099</v>
      </c>
    </row>
    <row r="908" spans="1:18" x14ac:dyDescent="0.25">
      <c r="A908" s="170">
        <v>43336</v>
      </c>
      <c r="B908" s="116">
        <v>1453</v>
      </c>
      <c r="C908" s="116">
        <v>1420.9</v>
      </c>
      <c r="D908" s="116">
        <v>1410.05</v>
      </c>
      <c r="E908" s="116">
        <v>1439.05</v>
      </c>
      <c r="F908" s="116">
        <v>1420.9</v>
      </c>
      <c r="G908">
        <v>26385</v>
      </c>
      <c r="H908" s="116"/>
      <c r="I908" s="116"/>
      <c r="L908" s="170">
        <v>43336</v>
      </c>
      <c r="M908" s="116">
        <v>1418.85</v>
      </c>
      <c r="N908" s="116">
        <v>1454.2</v>
      </c>
      <c r="O908" s="116">
        <v>1409.7</v>
      </c>
      <c r="P908" s="116">
        <v>1447.4</v>
      </c>
      <c r="Q908" s="116">
        <v>1418.85</v>
      </c>
      <c r="R908">
        <v>372633</v>
      </c>
    </row>
    <row r="909" spans="1:18" x14ac:dyDescent="0.25">
      <c r="A909" s="170">
        <v>43339</v>
      </c>
      <c r="B909" s="116">
        <v>1436.45</v>
      </c>
      <c r="C909" s="116">
        <v>1426.4</v>
      </c>
      <c r="D909" s="116">
        <v>1410.5</v>
      </c>
      <c r="E909" s="116">
        <v>1410.5</v>
      </c>
      <c r="F909" s="116">
        <v>1426.4</v>
      </c>
      <c r="G909">
        <v>28157</v>
      </c>
      <c r="H909" s="116"/>
      <c r="I909" s="116"/>
      <c r="L909" s="170">
        <v>43339</v>
      </c>
      <c r="M909" s="116">
        <v>1424.75</v>
      </c>
      <c r="N909" s="116">
        <v>1435.7</v>
      </c>
      <c r="O909" s="116">
        <v>1414.65</v>
      </c>
      <c r="P909" s="116">
        <v>1418</v>
      </c>
      <c r="Q909" s="116">
        <v>1424.75</v>
      </c>
      <c r="R909">
        <v>367521</v>
      </c>
    </row>
    <row r="910" spans="1:18" x14ac:dyDescent="0.25">
      <c r="A910" s="170">
        <v>43340</v>
      </c>
      <c r="B910" s="116">
        <v>1438.1</v>
      </c>
      <c r="C910" s="116">
        <v>1418.3</v>
      </c>
      <c r="D910" s="116">
        <v>1415</v>
      </c>
      <c r="E910" s="116">
        <v>1426</v>
      </c>
      <c r="F910" s="116">
        <v>1418.3</v>
      </c>
      <c r="G910">
        <v>13534</v>
      </c>
      <c r="H910" s="116"/>
      <c r="I910" s="116"/>
      <c r="L910" s="170">
        <v>43340</v>
      </c>
      <c r="M910" s="116">
        <v>1417.6</v>
      </c>
      <c r="N910" s="116">
        <v>1439.55</v>
      </c>
      <c r="O910" s="116">
        <v>1415</v>
      </c>
      <c r="P910" s="116">
        <v>1429</v>
      </c>
      <c r="Q910" s="116">
        <v>1417.6</v>
      </c>
      <c r="R910">
        <v>227378</v>
      </c>
    </row>
    <row r="911" spans="1:18" x14ac:dyDescent="0.25">
      <c r="A911" s="170">
        <v>43341</v>
      </c>
      <c r="B911" s="116">
        <v>1420.05</v>
      </c>
      <c r="C911" s="116">
        <v>1398.6</v>
      </c>
      <c r="D911" s="116">
        <v>1392</v>
      </c>
      <c r="E911" s="116">
        <v>1418.05</v>
      </c>
      <c r="F911" s="116">
        <v>1398.6</v>
      </c>
      <c r="G911">
        <v>38960</v>
      </c>
      <c r="H911" s="116"/>
      <c r="I911" s="116"/>
      <c r="L911" s="170">
        <v>43341</v>
      </c>
      <c r="M911" s="116">
        <v>1396.15</v>
      </c>
      <c r="N911" s="116">
        <v>1419</v>
      </c>
      <c r="O911" s="116">
        <v>1388.6</v>
      </c>
      <c r="P911" s="116">
        <v>1418.1</v>
      </c>
      <c r="Q911" s="116">
        <v>1396.15</v>
      </c>
      <c r="R911">
        <v>440177</v>
      </c>
    </row>
    <row r="912" spans="1:18" x14ac:dyDescent="0.25">
      <c r="A912" s="170">
        <v>43342</v>
      </c>
      <c r="B912" s="116">
        <v>1417.45</v>
      </c>
      <c r="C912" s="116">
        <v>1407.3</v>
      </c>
      <c r="D912" s="116">
        <v>1390.2</v>
      </c>
      <c r="E912" s="116">
        <v>1395</v>
      </c>
      <c r="F912" s="116">
        <v>1407.3</v>
      </c>
      <c r="G912">
        <v>45655</v>
      </c>
      <c r="H912" s="116"/>
      <c r="I912" s="116"/>
      <c r="L912" s="170">
        <v>43342</v>
      </c>
      <c r="M912" s="116">
        <v>1407.3</v>
      </c>
      <c r="N912" s="116">
        <v>1417.75</v>
      </c>
      <c r="O912" s="116">
        <v>1389.35</v>
      </c>
      <c r="P912" s="116">
        <v>1398.9</v>
      </c>
      <c r="Q912" s="116">
        <v>1407.3</v>
      </c>
      <c r="R912">
        <v>438030</v>
      </c>
    </row>
    <row r="913" spans="1:18" x14ac:dyDescent="0.25">
      <c r="A913" s="170">
        <v>43343</v>
      </c>
      <c r="B913" s="116">
        <v>1444.75</v>
      </c>
      <c r="C913" s="116">
        <v>1435.75</v>
      </c>
      <c r="D913" s="116">
        <v>1403.55</v>
      </c>
      <c r="E913" s="116">
        <v>1410</v>
      </c>
      <c r="F913" s="116">
        <v>1435.75</v>
      </c>
      <c r="G913">
        <v>51873</v>
      </c>
      <c r="H913" s="116"/>
      <c r="I913" s="116"/>
      <c r="L913" s="170">
        <v>43343</v>
      </c>
      <c r="M913" s="116">
        <v>1435.85</v>
      </c>
      <c r="N913" s="116">
        <v>1444.8</v>
      </c>
      <c r="O913" s="116">
        <v>1401.2</v>
      </c>
      <c r="P913" s="116">
        <v>1405</v>
      </c>
      <c r="Q913" s="116">
        <v>1435.85</v>
      </c>
      <c r="R913">
        <v>912171</v>
      </c>
    </row>
    <row r="914" spans="1:18" x14ac:dyDescent="0.25">
      <c r="A914" s="170">
        <v>43346</v>
      </c>
      <c r="B914" s="116">
        <v>1470</v>
      </c>
      <c r="C914" s="116">
        <v>1446.6</v>
      </c>
      <c r="D914" s="116">
        <v>1437.5</v>
      </c>
      <c r="E914" s="116">
        <v>1440.05</v>
      </c>
      <c r="F914" s="116">
        <v>1446.6</v>
      </c>
      <c r="G914">
        <v>81840</v>
      </c>
      <c r="H914" s="116"/>
      <c r="I914" s="116"/>
      <c r="L914" s="170">
        <v>43346</v>
      </c>
      <c r="M914" s="116">
        <v>1445.2</v>
      </c>
      <c r="N914" s="116">
        <v>1470</v>
      </c>
      <c r="O914" s="116">
        <v>1436.25</v>
      </c>
      <c r="P914" s="116">
        <v>1440</v>
      </c>
      <c r="Q914" s="116">
        <v>1445.2</v>
      </c>
      <c r="R914">
        <v>1086963</v>
      </c>
    </row>
    <row r="915" spans="1:18" x14ac:dyDescent="0.25">
      <c r="A915" s="170">
        <v>43347</v>
      </c>
      <c r="B915" s="116">
        <v>1466.85</v>
      </c>
      <c r="C915" s="116">
        <v>1414.8</v>
      </c>
      <c r="D915" s="116">
        <v>1400.3</v>
      </c>
      <c r="E915" s="116">
        <v>1450</v>
      </c>
      <c r="F915" s="116">
        <v>1414.8</v>
      </c>
      <c r="G915">
        <v>53349</v>
      </c>
      <c r="H915" s="116"/>
      <c r="I915" s="116"/>
      <c r="L915" s="170">
        <v>43347</v>
      </c>
      <c r="M915" s="116">
        <v>1414.05</v>
      </c>
      <c r="N915" s="116">
        <v>1466.95</v>
      </c>
      <c r="O915" s="116">
        <v>1397.15</v>
      </c>
      <c r="P915" s="116">
        <v>1449.95</v>
      </c>
      <c r="Q915" s="116">
        <v>1414.05</v>
      </c>
      <c r="R915">
        <v>680875</v>
      </c>
    </row>
    <row r="916" spans="1:18" x14ac:dyDescent="0.25">
      <c r="A916" s="170">
        <v>43348</v>
      </c>
      <c r="B916" s="116">
        <v>1425</v>
      </c>
      <c r="C916" s="116">
        <v>1382.1</v>
      </c>
      <c r="D916" s="116">
        <v>1351.55</v>
      </c>
      <c r="E916" s="116">
        <v>1419.8</v>
      </c>
      <c r="F916" s="116">
        <v>1382.1</v>
      </c>
      <c r="G916">
        <v>53569</v>
      </c>
      <c r="H916" s="116"/>
      <c r="I916" s="116"/>
      <c r="L916" s="170">
        <v>43348</v>
      </c>
      <c r="M916" s="116">
        <v>1380.7</v>
      </c>
      <c r="N916" s="116">
        <v>1425</v>
      </c>
      <c r="O916" s="116">
        <v>1351.05</v>
      </c>
      <c r="P916" s="116">
        <v>1416.4</v>
      </c>
      <c r="Q916" s="116">
        <v>1380.7</v>
      </c>
      <c r="R916">
        <v>663928</v>
      </c>
    </row>
    <row r="917" spans="1:18" x14ac:dyDescent="0.25">
      <c r="A917" s="170">
        <v>43349</v>
      </c>
      <c r="B917" s="116">
        <v>1375</v>
      </c>
      <c r="C917" s="116">
        <v>1352.15</v>
      </c>
      <c r="D917" s="116">
        <v>1336</v>
      </c>
      <c r="E917" s="116">
        <v>1375</v>
      </c>
      <c r="F917" s="116">
        <v>1352.15</v>
      </c>
      <c r="G917">
        <v>67772</v>
      </c>
      <c r="H917" s="116"/>
      <c r="I917" s="116"/>
      <c r="L917" s="170">
        <v>43349</v>
      </c>
      <c r="M917" s="116">
        <v>1352.5</v>
      </c>
      <c r="N917" s="116">
        <v>1376.95</v>
      </c>
      <c r="O917" s="116">
        <v>1335.3</v>
      </c>
      <c r="P917" s="116">
        <v>1376</v>
      </c>
      <c r="Q917" s="116">
        <v>1352.5</v>
      </c>
      <c r="R917">
        <v>783438</v>
      </c>
    </row>
    <row r="918" spans="1:18" x14ac:dyDescent="0.25">
      <c r="A918" s="170">
        <v>43350</v>
      </c>
      <c r="B918" s="116">
        <v>1379.25</v>
      </c>
      <c r="C918" s="116">
        <v>1364.2</v>
      </c>
      <c r="D918" s="116">
        <v>1343.4</v>
      </c>
      <c r="E918" s="116">
        <v>1365</v>
      </c>
      <c r="F918" s="116">
        <v>1364.2</v>
      </c>
      <c r="G918">
        <v>35888</v>
      </c>
      <c r="H918" s="116"/>
      <c r="I918" s="116"/>
      <c r="L918" s="170">
        <v>43350</v>
      </c>
      <c r="M918" s="116">
        <v>1363.05</v>
      </c>
      <c r="N918" s="116">
        <v>1379.4</v>
      </c>
      <c r="O918" s="116">
        <v>1342</v>
      </c>
      <c r="P918" s="116">
        <v>1353.9</v>
      </c>
      <c r="Q918" s="116">
        <v>1363.05</v>
      </c>
      <c r="R918">
        <v>509051</v>
      </c>
    </row>
    <row r="919" spans="1:18" x14ac:dyDescent="0.25">
      <c r="A919" s="170">
        <v>43353</v>
      </c>
      <c r="B919" s="116">
        <v>1375.2</v>
      </c>
      <c r="C919" s="116">
        <v>1349.6</v>
      </c>
      <c r="D919" s="116">
        <v>1346</v>
      </c>
      <c r="E919" s="116">
        <v>1365</v>
      </c>
      <c r="F919" s="116">
        <v>1349.6</v>
      </c>
      <c r="G919">
        <v>31209</v>
      </c>
      <c r="H919" s="116"/>
      <c r="I919" s="116"/>
      <c r="L919" s="170">
        <v>43353</v>
      </c>
      <c r="M919" s="116">
        <v>1349.65</v>
      </c>
      <c r="N919" s="116">
        <v>1375</v>
      </c>
      <c r="O919" s="116">
        <v>1345</v>
      </c>
      <c r="P919" s="116">
        <v>1363</v>
      </c>
      <c r="Q919" s="116">
        <v>1349.65</v>
      </c>
      <c r="R919">
        <v>447087</v>
      </c>
    </row>
    <row r="920" spans="1:18" x14ac:dyDescent="0.25">
      <c r="A920" s="170">
        <v>43354</v>
      </c>
      <c r="B920" s="116">
        <v>1354</v>
      </c>
      <c r="C920" s="116">
        <v>1310.75</v>
      </c>
      <c r="D920" s="116">
        <v>1305.55</v>
      </c>
      <c r="E920" s="116">
        <v>1345</v>
      </c>
      <c r="F920" s="116">
        <v>1310.75</v>
      </c>
      <c r="G920">
        <v>58818</v>
      </c>
      <c r="H920" s="116"/>
      <c r="I920" s="116"/>
      <c r="L920" s="170">
        <v>43354</v>
      </c>
      <c r="M920" s="116">
        <v>1311.9</v>
      </c>
      <c r="N920" s="116">
        <v>1355</v>
      </c>
      <c r="O920" s="116">
        <v>1306.55</v>
      </c>
      <c r="P920" s="116">
        <v>1353.6</v>
      </c>
      <c r="Q920" s="116">
        <v>1311.9</v>
      </c>
      <c r="R920">
        <v>698408</v>
      </c>
    </row>
    <row r="921" spans="1:18" x14ac:dyDescent="0.25">
      <c r="A921" s="170">
        <v>43355</v>
      </c>
      <c r="B921" s="116">
        <v>1343.95</v>
      </c>
      <c r="C921" s="116">
        <v>1330.55</v>
      </c>
      <c r="D921" s="116">
        <v>1287.05</v>
      </c>
      <c r="E921" s="116">
        <v>1309</v>
      </c>
      <c r="F921" s="116">
        <v>1330.55</v>
      </c>
      <c r="G921">
        <v>64277</v>
      </c>
      <c r="H921" s="116"/>
      <c r="I921" s="116"/>
      <c r="L921" s="170">
        <v>43355</v>
      </c>
      <c r="M921" s="116">
        <v>1334.15</v>
      </c>
      <c r="N921" s="116">
        <v>1345</v>
      </c>
      <c r="O921" s="116">
        <v>1285.8</v>
      </c>
      <c r="P921" s="116">
        <v>1307.5</v>
      </c>
      <c r="Q921" s="116">
        <v>1334.15</v>
      </c>
      <c r="R921">
        <v>754305</v>
      </c>
    </row>
    <row r="922" spans="1:18" x14ac:dyDescent="0.25">
      <c r="A922" s="170">
        <v>43357</v>
      </c>
      <c r="B922" s="116">
        <v>1356.65</v>
      </c>
      <c r="C922" s="116">
        <v>1347.25</v>
      </c>
      <c r="D922" s="116">
        <v>1321.9</v>
      </c>
      <c r="E922" s="116">
        <v>1335</v>
      </c>
      <c r="F922" s="116">
        <v>1347.25</v>
      </c>
      <c r="G922">
        <v>28988</v>
      </c>
      <c r="H922" s="116"/>
      <c r="I922" s="116"/>
      <c r="L922" s="170">
        <v>43357</v>
      </c>
      <c r="M922" s="116">
        <v>1345.95</v>
      </c>
      <c r="N922" s="116">
        <v>1357</v>
      </c>
      <c r="O922" s="116">
        <v>1323.1</v>
      </c>
      <c r="P922" s="116">
        <v>1338.5</v>
      </c>
      <c r="Q922" s="116">
        <v>1345.95</v>
      </c>
      <c r="R922">
        <v>528257</v>
      </c>
    </row>
    <row r="923" spans="1:18" x14ac:dyDescent="0.25">
      <c r="A923" s="170">
        <v>43360</v>
      </c>
      <c r="B923" s="116">
        <v>1376</v>
      </c>
      <c r="C923" s="116">
        <v>1361.55</v>
      </c>
      <c r="D923" s="116">
        <v>1334.1</v>
      </c>
      <c r="E923" s="116">
        <v>1350</v>
      </c>
      <c r="F923" s="116">
        <v>1361.55</v>
      </c>
      <c r="G923">
        <v>38244</v>
      </c>
      <c r="H923" s="116"/>
      <c r="I923" s="116"/>
      <c r="L923" s="170">
        <v>43360</v>
      </c>
      <c r="M923" s="116">
        <v>1365</v>
      </c>
      <c r="N923" s="116">
        <v>1378</v>
      </c>
      <c r="O923" s="116">
        <v>1332.15</v>
      </c>
      <c r="P923" s="116">
        <v>1345</v>
      </c>
      <c r="Q923" s="116">
        <v>1365</v>
      </c>
      <c r="R923">
        <v>654525</v>
      </c>
    </row>
    <row r="924" spans="1:18" x14ac:dyDescent="0.25">
      <c r="A924" s="170">
        <v>43361</v>
      </c>
      <c r="B924" s="116">
        <v>1376.6</v>
      </c>
      <c r="C924" s="116">
        <v>1326.85</v>
      </c>
      <c r="D924" s="116">
        <v>1319</v>
      </c>
      <c r="E924" s="116">
        <v>1376.6</v>
      </c>
      <c r="F924" s="116">
        <v>1326.85</v>
      </c>
      <c r="G924">
        <v>26764</v>
      </c>
      <c r="H924" s="116"/>
      <c r="I924" s="116"/>
      <c r="L924" s="170">
        <v>43361</v>
      </c>
      <c r="M924" s="116">
        <v>1325.95</v>
      </c>
      <c r="N924" s="116">
        <v>1372</v>
      </c>
      <c r="O924" s="116">
        <v>1319.7</v>
      </c>
      <c r="P924" s="116">
        <v>1369</v>
      </c>
      <c r="Q924" s="116">
        <v>1325.95</v>
      </c>
      <c r="R924">
        <v>337963</v>
      </c>
    </row>
    <row r="925" spans="1:18" x14ac:dyDescent="0.25">
      <c r="A925" s="170">
        <v>43362</v>
      </c>
      <c r="B925" s="116">
        <v>1352.95</v>
      </c>
      <c r="C925" s="116">
        <v>1329.9</v>
      </c>
      <c r="D925" s="116">
        <v>1317</v>
      </c>
      <c r="E925" s="116">
        <v>1330</v>
      </c>
      <c r="F925" s="116">
        <v>1329.9</v>
      </c>
      <c r="G925">
        <v>42464</v>
      </c>
      <c r="H925" s="116"/>
      <c r="I925" s="116"/>
      <c r="L925" s="170">
        <v>43362</v>
      </c>
      <c r="M925" s="116">
        <v>1332.85</v>
      </c>
      <c r="N925" s="116">
        <v>1352.4</v>
      </c>
      <c r="O925" s="116">
        <v>1317</v>
      </c>
      <c r="P925" s="116">
        <v>1333.5</v>
      </c>
      <c r="Q925" s="116">
        <v>1332.85</v>
      </c>
      <c r="R925">
        <v>491563</v>
      </c>
    </row>
    <row r="926" spans="1:18" x14ac:dyDescent="0.25">
      <c r="A926" s="170">
        <v>43364</v>
      </c>
      <c r="B926" s="116">
        <v>1349</v>
      </c>
      <c r="C926" s="116">
        <v>1291</v>
      </c>
      <c r="D926" s="116">
        <v>1210.55</v>
      </c>
      <c r="E926" s="116">
        <v>1345.5</v>
      </c>
      <c r="F926" s="116">
        <v>1291</v>
      </c>
      <c r="G926">
        <v>37781</v>
      </c>
      <c r="H926" s="116"/>
      <c r="I926" s="116"/>
      <c r="L926" s="170">
        <v>43364</v>
      </c>
      <c r="M926" s="116">
        <v>1295.6500000000001</v>
      </c>
      <c r="N926" s="116">
        <v>1350</v>
      </c>
      <c r="O926" s="116">
        <v>1209.6500000000001</v>
      </c>
      <c r="P926" s="116">
        <v>1340</v>
      </c>
      <c r="Q926" s="116">
        <v>1295.6500000000001</v>
      </c>
      <c r="R926">
        <v>618629</v>
      </c>
    </row>
    <row r="927" spans="1:18" x14ac:dyDescent="0.25">
      <c r="A927" s="170">
        <v>43367</v>
      </c>
      <c r="B927" s="116">
        <v>1293</v>
      </c>
      <c r="C927" s="116">
        <v>1264</v>
      </c>
      <c r="D927" s="116">
        <v>1250</v>
      </c>
      <c r="E927" s="116">
        <v>1280.05</v>
      </c>
      <c r="F927" s="116">
        <v>1264</v>
      </c>
      <c r="G927">
        <v>32332</v>
      </c>
      <c r="H927" s="116"/>
      <c r="I927" s="116"/>
      <c r="L927" s="170">
        <v>43367</v>
      </c>
      <c r="M927" s="116">
        <v>1261.4000000000001</v>
      </c>
      <c r="N927" s="116">
        <v>1297.4000000000001</v>
      </c>
      <c r="O927" s="116">
        <v>1250</v>
      </c>
      <c r="P927" s="116">
        <v>1296</v>
      </c>
      <c r="Q927" s="116">
        <v>1261.4000000000001</v>
      </c>
      <c r="R927">
        <v>388558</v>
      </c>
    </row>
    <row r="928" spans="1:18" x14ac:dyDescent="0.25">
      <c r="A928" s="170">
        <v>43368</v>
      </c>
      <c r="B928" s="116">
        <v>1265.6500000000001</v>
      </c>
      <c r="C928" s="116">
        <v>1232.7</v>
      </c>
      <c r="D928" s="116">
        <v>1208.4000000000001</v>
      </c>
      <c r="E928" s="116">
        <v>1255.05</v>
      </c>
      <c r="F928" s="116">
        <v>1232.7</v>
      </c>
      <c r="G928">
        <v>50907</v>
      </c>
      <c r="H928" s="116"/>
      <c r="I928" s="116"/>
      <c r="L928" s="170">
        <v>43368</v>
      </c>
      <c r="M928" s="116">
        <v>1233.9000000000001</v>
      </c>
      <c r="N928" s="116">
        <v>1264.95</v>
      </c>
      <c r="O928" s="116">
        <v>1204.8</v>
      </c>
      <c r="P928" s="116">
        <v>1258.9000000000001</v>
      </c>
      <c r="Q928" s="116">
        <v>1233.9000000000001</v>
      </c>
      <c r="R928">
        <v>598109</v>
      </c>
    </row>
    <row r="929" spans="1:18" x14ac:dyDescent="0.25">
      <c r="A929" s="170">
        <v>43369</v>
      </c>
      <c r="B929" s="116">
        <v>1241.25</v>
      </c>
      <c r="C929" s="116">
        <v>1186.8</v>
      </c>
      <c r="D929" s="116">
        <v>1180.8499999999999</v>
      </c>
      <c r="E929" s="116">
        <v>1235.05</v>
      </c>
      <c r="F929" s="116">
        <v>1186.8</v>
      </c>
      <c r="G929">
        <v>72786</v>
      </c>
      <c r="H929" s="116"/>
      <c r="I929" s="116"/>
      <c r="L929" s="170">
        <v>43369</v>
      </c>
      <c r="M929" s="116">
        <v>1186.8499999999999</v>
      </c>
      <c r="N929" s="116">
        <v>1238.95</v>
      </c>
      <c r="O929" s="116">
        <v>1178.1500000000001</v>
      </c>
      <c r="P929" s="116">
        <v>1238.95</v>
      </c>
      <c r="Q929" s="116">
        <v>1186.8499999999999</v>
      </c>
      <c r="R929">
        <v>824655</v>
      </c>
    </row>
    <row r="930" spans="1:18" x14ac:dyDescent="0.25">
      <c r="A930" s="170">
        <v>43370</v>
      </c>
      <c r="B930" s="116">
        <v>1199</v>
      </c>
      <c r="C930" s="116">
        <v>1173.95</v>
      </c>
      <c r="D930" s="116">
        <v>1165</v>
      </c>
      <c r="E930" s="116">
        <v>1185</v>
      </c>
      <c r="F930" s="116">
        <v>1173.95</v>
      </c>
      <c r="G930">
        <v>46325</v>
      </c>
      <c r="H930" s="116"/>
      <c r="I930" s="116"/>
      <c r="L930" s="170">
        <v>43370</v>
      </c>
      <c r="M930" s="116">
        <v>1175.9000000000001</v>
      </c>
      <c r="N930" s="116">
        <v>1200.7</v>
      </c>
      <c r="O930" s="116">
        <v>1164</v>
      </c>
      <c r="P930" s="116">
        <v>1186.8</v>
      </c>
      <c r="Q930" s="116">
        <v>1175.9000000000001</v>
      </c>
      <c r="R930">
        <v>628163</v>
      </c>
    </row>
    <row r="931" spans="1:18" x14ac:dyDescent="0.25">
      <c r="A931" s="170">
        <v>43371</v>
      </c>
      <c r="B931" s="116">
        <v>1199</v>
      </c>
      <c r="C931" s="116">
        <v>1153.5</v>
      </c>
      <c r="D931" s="116">
        <v>1130.3</v>
      </c>
      <c r="E931" s="116">
        <v>1180</v>
      </c>
      <c r="F931" s="116">
        <v>1153.5</v>
      </c>
      <c r="G931">
        <v>54696</v>
      </c>
      <c r="H931" s="116"/>
      <c r="I931" s="116"/>
      <c r="L931" s="170">
        <v>43371</v>
      </c>
      <c r="M931" s="116">
        <v>1156</v>
      </c>
      <c r="N931" s="116">
        <v>1200</v>
      </c>
      <c r="O931" s="116">
        <v>1131.0999999999999</v>
      </c>
      <c r="P931" s="116">
        <v>1187.7</v>
      </c>
      <c r="Q931" s="116">
        <v>1156</v>
      </c>
      <c r="R931">
        <v>821358</v>
      </c>
    </row>
    <row r="932" spans="1:18" x14ac:dyDescent="0.25">
      <c r="A932" s="170">
        <v>43374</v>
      </c>
      <c r="B932" s="116">
        <v>1177.9000000000001</v>
      </c>
      <c r="C932" s="116">
        <v>1163.25</v>
      </c>
      <c r="D932" s="116">
        <v>1113</v>
      </c>
      <c r="E932" s="116">
        <v>1153.5999999999999</v>
      </c>
      <c r="F932" s="116">
        <v>1163.25</v>
      </c>
      <c r="G932">
        <v>80598</v>
      </c>
      <c r="H932" s="116"/>
      <c r="I932" s="116"/>
      <c r="L932" s="170">
        <v>43374</v>
      </c>
      <c r="M932" s="116">
        <v>1161.75</v>
      </c>
      <c r="N932" s="116">
        <v>1179.95</v>
      </c>
      <c r="O932" s="116">
        <v>1111</v>
      </c>
      <c r="P932" s="116">
        <v>1152.25</v>
      </c>
      <c r="Q932" s="116">
        <v>1161.75</v>
      </c>
      <c r="R932">
        <v>1028536</v>
      </c>
    </row>
    <row r="933" spans="1:18" x14ac:dyDescent="0.25">
      <c r="A933" s="170">
        <v>43376</v>
      </c>
      <c r="B933" s="116">
        <v>1210.6500000000001</v>
      </c>
      <c r="C933" s="116">
        <v>1184.95</v>
      </c>
      <c r="D933" s="116">
        <v>1164.45</v>
      </c>
      <c r="E933" s="116">
        <v>1178.7</v>
      </c>
      <c r="F933" s="116">
        <v>1184.95</v>
      </c>
      <c r="G933">
        <v>71101</v>
      </c>
      <c r="H933" s="116"/>
      <c r="I933" s="116"/>
      <c r="L933" s="170">
        <v>43376</v>
      </c>
      <c r="M933" s="116">
        <v>1187.4000000000001</v>
      </c>
      <c r="N933" s="116">
        <v>1211.4000000000001</v>
      </c>
      <c r="O933" s="116">
        <v>1161.1500000000001</v>
      </c>
      <c r="P933" s="116">
        <v>1166.25</v>
      </c>
      <c r="Q933" s="116">
        <v>1187.4000000000001</v>
      </c>
      <c r="R933">
        <v>1037247</v>
      </c>
    </row>
    <row r="934" spans="1:18" x14ac:dyDescent="0.25">
      <c r="A934" s="170">
        <v>43377</v>
      </c>
      <c r="B934" s="116">
        <v>1190.5</v>
      </c>
      <c r="C934" s="116">
        <v>1151.45</v>
      </c>
      <c r="D934" s="116">
        <v>1140.2</v>
      </c>
      <c r="E934" s="116">
        <v>1184.95</v>
      </c>
      <c r="F934" s="116">
        <v>1151.45</v>
      </c>
      <c r="G934">
        <v>50566</v>
      </c>
      <c r="H934" s="116"/>
      <c r="I934" s="116"/>
      <c r="L934" s="170">
        <v>43377</v>
      </c>
      <c r="M934" s="116">
        <v>1151.05</v>
      </c>
      <c r="N934" s="116">
        <v>1190</v>
      </c>
      <c r="O934" s="116">
        <v>1141.3</v>
      </c>
      <c r="P934" s="116">
        <v>1172</v>
      </c>
      <c r="Q934" s="116">
        <v>1151.05</v>
      </c>
      <c r="R934">
        <v>557405</v>
      </c>
    </row>
    <row r="935" spans="1:18" x14ac:dyDescent="0.25">
      <c r="A935" s="170">
        <v>43378</v>
      </c>
      <c r="B935" s="116">
        <v>1168.5</v>
      </c>
      <c r="C935" s="116">
        <v>1140.1500000000001</v>
      </c>
      <c r="D935" s="116">
        <v>1127.05</v>
      </c>
      <c r="E935" s="116">
        <v>1154</v>
      </c>
      <c r="F935" s="116">
        <v>1140.1500000000001</v>
      </c>
      <c r="G935">
        <v>66745</v>
      </c>
      <c r="H935" s="116"/>
      <c r="I935" s="116"/>
      <c r="L935" s="170">
        <v>43378</v>
      </c>
      <c r="M935" s="116">
        <v>1138.1500000000001</v>
      </c>
      <c r="N935" s="116">
        <v>1170</v>
      </c>
      <c r="O935" s="116">
        <v>1126.0999999999999</v>
      </c>
      <c r="P935" s="116">
        <v>1147</v>
      </c>
      <c r="Q935" s="116">
        <v>1138.1500000000001</v>
      </c>
      <c r="R935">
        <v>600787</v>
      </c>
    </row>
    <row r="936" spans="1:18" x14ac:dyDescent="0.25">
      <c r="A936" s="170">
        <v>43381</v>
      </c>
      <c r="B936" s="116">
        <v>1162.05</v>
      </c>
      <c r="C936" s="116">
        <v>1007.7</v>
      </c>
      <c r="D936" s="116">
        <v>958</v>
      </c>
      <c r="E936" s="116">
        <v>1141.25</v>
      </c>
      <c r="F936" s="116">
        <v>1007.7</v>
      </c>
      <c r="G936">
        <v>253717</v>
      </c>
      <c r="H936" s="116"/>
      <c r="I936" s="116"/>
      <c r="L936" s="170">
        <v>43381</v>
      </c>
      <c r="M936" s="116">
        <v>1006.95</v>
      </c>
      <c r="N936" s="116">
        <v>1163.5999999999999</v>
      </c>
      <c r="O936" s="116">
        <v>922</v>
      </c>
      <c r="P936" s="116">
        <v>1145.0999999999999</v>
      </c>
      <c r="Q936" s="116">
        <v>1006.95</v>
      </c>
      <c r="R936">
        <v>3139486</v>
      </c>
    </row>
    <row r="937" spans="1:18" x14ac:dyDescent="0.25">
      <c r="A937" s="170">
        <v>43382</v>
      </c>
      <c r="B937" s="116">
        <v>1019</v>
      </c>
      <c r="C937" s="116">
        <v>970.9</v>
      </c>
      <c r="D937" s="116">
        <v>953.95</v>
      </c>
      <c r="E937" s="116">
        <v>1019</v>
      </c>
      <c r="F937" s="116">
        <v>970.9</v>
      </c>
      <c r="G937">
        <v>251497</v>
      </c>
      <c r="H937" s="116"/>
      <c r="I937" s="116"/>
      <c r="L937" s="170">
        <v>43382</v>
      </c>
      <c r="M937" s="116">
        <v>968.2</v>
      </c>
      <c r="N937" s="116">
        <v>1002</v>
      </c>
      <c r="O937" s="116">
        <v>951.6</v>
      </c>
      <c r="P937" s="116">
        <v>1000</v>
      </c>
      <c r="Q937" s="116">
        <v>968.2</v>
      </c>
      <c r="R937">
        <v>2837487</v>
      </c>
    </row>
    <row r="938" spans="1:18" x14ac:dyDescent="0.25">
      <c r="A938" s="170">
        <v>43383</v>
      </c>
      <c r="B938" s="116">
        <v>1025.5</v>
      </c>
      <c r="C938" s="116">
        <v>1015.2</v>
      </c>
      <c r="D938" s="116">
        <v>970</v>
      </c>
      <c r="E938" s="116">
        <v>970.9</v>
      </c>
      <c r="F938" s="116">
        <v>1015.2</v>
      </c>
      <c r="G938">
        <v>108294</v>
      </c>
      <c r="H938" s="116"/>
      <c r="I938" s="116"/>
      <c r="L938" s="170">
        <v>43383</v>
      </c>
      <c r="M938" s="116">
        <v>1016.55</v>
      </c>
      <c r="N938" s="116">
        <v>1025</v>
      </c>
      <c r="O938" s="116">
        <v>968.15</v>
      </c>
      <c r="P938" s="116">
        <v>968.2</v>
      </c>
      <c r="Q938" s="116">
        <v>1016.55</v>
      </c>
      <c r="R938">
        <v>1294588</v>
      </c>
    </row>
    <row r="939" spans="1:18" x14ac:dyDescent="0.25">
      <c r="A939" s="170">
        <v>43384</v>
      </c>
      <c r="B939" s="116">
        <v>1005.9</v>
      </c>
      <c r="C939" s="116">
        <v>977.25</v>
      </c>
      <c r="D939" s="116">
        <v>965.2</v>
      </c>
      <c r="E939" s="116">
        <v>979</v>
      </c>
      <c r="F939" s="116">
        <v>977.25</v>
      </c>
      <c r="G939">
        <v>65742</v>
      </c>
      <c r="H939" s="116"/>
      <c r="I939" s="116"/>
      <c r="L939" s="170">
        <v>43384</v>
      </c>
      <c r="M939" s="116">
        <v>975.2</v>
      </c>
      <c r="N939" s="116">
        <v>1005.5</v>
      </c>
      <c r="O939" s="116">
        <v>965.1</v>
      </c>
      <c r="P939" s="116">
        <v>983</v>
      </c>
      <c r="Q939" s="116">
        <v>975.2</v>
      </c>
      <c r="R939">
        <v>859089</v>
      </c>
    </row>
    <row r="940" spans="1:18" x14ac:dyDescent="0.25">
      <c r="A940" s="170">
        <v>43385</v>
      </c>
      <c r="B940" s="116">
        <v>1009</v>
      </c>
      <c r="C940" s="116">
        <v>972.75</v>
      </c>
      <c r="D940" s="116">
        <v>970</v>
      </c>
      <c r="E940" s="116">
        <v>992.15</v>
      </c>
      <c r="F940" s="116">
        <v>972.75</v>
      </c>
      <c r="G940">
        <v>94247</v>
      </c>
      <c r="H940" s="116"/>
      <c r="I940" s="116"/>
      <c r="L940" s="170">
        <v>43385</v>
      </c>
      <c r="M940" s="116">
        <v>973.15</v>
      </c>
      <c r="N940" s="116">
        <v>1008.4</v>
      </c>
      <c r="O940" s="116">
        <v>968.95</v>
      </c>
      <c r="P940" s="116">
        <v>993.25</v>
      </c>
      <c r="Q940" s="116">
        <v>973.15</v>
      </c>
      <c r="R940">
        <v>1023856</v>
      </c>
    </row>
    <row r="941" spans="1:18" x14ac:dyDescent="0.25">
      <c r="A941" s="170">
        <v>43388</v>
      </c>
      <c r="B941" s="116">
        <v>999.95</v>
      </c>
      <c r="C941" s="116">
        <v>987.9</v>
      </c>
      <c r="D941" s="116">
        <v>979.05</v>
      </c>
      <c r="E941" s="116">
        <v>999.95</v>
      </c>
      <c r="F941" s="116">
        <v>987.9</v>
      </c>
      <c r="G941">
        <v>47101</v>
      </c>
      <c r="H941" s="116"/>
      <c r="I941" s="116"/>
      <c r="L941" s="170">
        <v>43388</v>
      </c>
      <c r="M941" s="116">
        <v>988.15</v>
      </c>
      <c r="N941" s="116">
        <v>999.75</v>
      </c>
      <c r="O941" s="116">
        <v>978</v>
      </c>
      <c r="P941" s="116">
        <v>978</v>
      </c>
      <c r="Q941" s="116">
        <v>988.15</v>
      </c>
      <c r="R941">
        <v>658740</v>
      </c>
    </row>
    <row r="942" spans="1:18" x14ac:dyDescent="0.25">
      <c r="A942" s="170">
        <v>43389</v>
      </c>
      <c r="B942" s="116">
        <v>1043.4000000000001</v>
      </c>
      <c r="C942" s="116">
        <v>1039.3499999999999</v>
      </c>
      <c r="D942" s="116">
        <v>992.5</v>
      </c>
      <c r="E942" s="116">
        <v>997</v>
      </c>
      <c r="F942" s="116">
        <v>1039.3499999999999</v>
      </c>
      <c r="G942">
        <v>71653</v>
      </c>
      <c r="H942" s="116"/>
      <c r="I942" s="116"/>
      <c r="L942" s="170">
        <v>43389</v>
      </c>
      <c r="M942" s="116">
        <v>1040.7</v>
      </c>
      <c r="N942" s="116">
        <v>1045</v>
      </c>
      <c r="O942" s="116">
        <v>991.8</v>
      </c>
      <c r="P942" s="116">
        <v>993.8</v>
      </c>
      <c r="Q942" s="116">
        <v>1040.7</v>
      </c>
      <c r="R942">
        <v>1144001</v>
      </c>
    </row>
    <row r="943" spans="1:18" x14ac:dyDescent="0.25">
      <c r="A943" s="170">
        <v>43390</v>
      </c>
      <c r="B943" s="116">
        <v>1078</v>
      </c>
      <c r="C943" s="116">
        <v>991.95</v>
      </c>
      <c r="D943" s="116">
        <v>985.25</v>
      </c>
      <c r="E943" s="116">
        <v>1078</v>
      </c>
      <c r="F943" s="116">
        <v>991.95</v>
      </c>
      <c r="G943">
        <v>82836</v>
      </c>
      <c r="H943" s="116"/>
      <c r="I943" s="116"/>
      <c r="L943" s="170">
        <v>43390</v>
      </c>
      <c r="M943" s="116">
        <v>990.95</v>
      </c>
      <c r="N943" s="116">
        <v>1055.9000000000001</v>
      </c>
      <c r="O943" s="116">
        <v>984.6</v>
      </c>
      <c r="P943" s="116">
        <v>1055</v>
      </c>
      <c r="Q943" s="116">
        <v>990.95</v>
      </c>
      <c r="R943">
        <v>1083306</v>
      </c>
    </row>
    <row r="944" spans="1:18" x14ac:dyDescent="0.25">
      <c r="A944" s="170">
        <v>43392</v>
      </c>
      <c r="B944" s="116">
        <v>996</v>
      </c>
      <c r="C944" s="116">
        <v>982.5</v>
      </c>
      <c r="D944" s="116">
        <v>955</v>
      </c>
      <c r="E944" s="116">
        <v>986</v>
      </c>
      <c r="F944" s="116">
        <v>982.5</v>
      </c>
      <c r="G944">
        <v>70606</v>
      </c>
      <c r="H944" s="116"/>
      <c r="I944" s="116"/>
      <c r="L944" s="170">
        <v>43392</v>
      </c>
      <c r="M944" s="116">
        <v>982.65</v>
      </c>
      <c r="N944" s="116">
        <v>994.25</v>
      </c>
      <c r="O944" s="116">
        <v>953</v>
      </c>
      <c r="P944" s="116">
        <v>989.9</v>
      </c>
      <c r="Q944" s="116">
        <v>982.65</v>
      </c>
      <c r="R944">
        <v>814011</v>
      </c>
    </row>
    <row r="945" spans="1:18" x14ac:dyDescent="0.25">
      <c r="A945" s="170">
        <v>43395</v>
      </c>
      <c r="B945" s="116">
        <v>1014</v>
      </c>
      <c r="C945" s="116">
        <v>995.95</v>
      </c>
      <c r="D945" s="116">
        <v>963.25</v>
      </c>
      <c r="E945" s="116">
        <v>995.95</v>
      </c>
      <c r="F945" s="116">
        <v>995.95</v>
      </c>
      <c r="G945">
        <v>59668</v>
      </c>
      <c r="H945" s="116"/>
      <c r="I945" s="116"/>
      <c r="L945" s="170">
        <v>43395</v>
      </c>
      <c r="M945" s="116">
        <v>998.35</v>
      </c>
      <c r="N945" s="116">
        <v>1015</v>
      </c>
      <c r="O945" s="116">
        <v>961</v>
      </c>
      <c r="P945" s="116">
        <v>992.4</v>
      </c>
      <c r="Q945" s="116">
        <v>998.35</v>
      </c>
      <c r="R945">
        <v>839503</v>
      </c>
    </row>
    <row r="946" spans="1:18" x14ac:dyDescent="0.25">
      <c r="A946" s="170">
        <v>43396</v>
      </c>
      <c r="B946" s="116">
        <v>994</v>
      </c>
      <c r="C946" s="116">
        <v>973</v>
      </c>
      <c r="D946" s="116">
        <v>960.8</v>
      </c>
      <c r="E946" s="116">
        <v>988.5</v>
      </c>
      <c r="F946" s="116">
        <v>973</v>
      </c>
      <c r="G946">
        <v>55010</v>
      </c>
      <c r="H946" s="116"/>
      <c r="I946" s="116"/>
      <c r="L946" s="170">
        <v>43396</v>
      </c>
      <c r="M946" s="116">
        <v>973.15</v>
      </c>
      <c r="N946" s="116">
        <v>994.6</v>
      </c>
      <c r="O946" s="116">
        <v>960</v>
      </c>
      <c r="P946" s="116">
        <v>987.1</v>
      </c>
      <c r="Q946" s="116">
        <v>973.15</v>
      </c>
      <c r="R946">
        <v>710778</v>
      </c>
    </row>
    <row r="947" spans="1:18" x14ac:dyDescent="0.25">
      <c r="A947" s="170">
        <v>43397</v>
      </c>
      <c r="B947" s="116">
        <v>986.8</v>
      </c>
      <c r="C947" s="116">
        <v>971.6</v>
      </c>
      <c r="D947" s="116">
        <v>947.5</v>
      </c>
      <c r="E947" s="116">
        <v>982.9</v>
      </c>
      <c r="F947" s="116">
        <v>971.6</v>
      </c>
      <c r="G947">
        <v>86728</v>
      </c>
      <c r="H947" s="116"/>
      <c r="I947" s="116"/>
      <c r="L947" s="170">
        <v>43397</v>
      </c>
      <c r="M947" s="116">
        <v>974.65</v>
      </c>
      <c r="N947" s="116">
        <v>986.5</v>
      </c>
      <c r="O947" s="116">
        <v>946.15</v>
      </c>
      <c r="P947" s="116">
        <v>980</v>
      </c>
      <c r="Q947" s="116">
        <v>974.65</v>
      </c>
      <c r="R947">
        <v>988550</v>
      </c>
    </row>
    <row r="948" spans="1:18" x14ac:dyDescent="0.25">
      <c r="A948" s="170">
        <v>43398</v>
      </c>
      <c r="B948" s="116">
        <v>969.95</v>
      </c>
      <c r="C948" s="116">
        <v>958.05</v>
      </c>
      <c r="D948" s="116">
        <v>953.5</v>
      </c>
      <c r="E948" s="116">
        <v>963.95</v>
      </c>
      <c r="F948" s="116">
        <v>958.05</v>
      </c>
      <c r="G948">
        <v>67971</v>
      </c>
      <c r="H948" s="116"/>
      <c r="I948" s="116"/>
      <c r="L948" s="170">
        <v>43398</v>
      </c>
      <c r="M948" s="116">
        <v>955.35</v>
      </c>
      <c r="N948" s="116">
        <v>970</v>
      </c>
      <c r="O948" s="116">
        <v>952.4</v>
      </c>
      <c r="P948" s="116">
        <v>962.1</v>
      </c>
      <c r="Q948" s="116">
        <v>955.35</v>
      </c>
      <c r="R948">
        <v>562811</v>
      </c>
    </row>
    <row r="949" spans="1:18" x14ac:dyDescent="0.25">
      <c r="A949" s="170">
        <v>43399</v>
      </c>
      <c r="B949" s="116">
        <v>972</v>
      </c>
      <c r="C949" s="116">
        <v>965.1</v>
      </c>
      <c r="D949" s="116">
        <v>926</v>
      </c>
      <c r="E949" s="116">
        <v>946</v>
      </c>
      <c r="F949" s="116">
        <v>965.1</v>
      </c>
      <c r="G949">
        <v>86351</v>
      </c>
      <c r="H949" s="116"/>
      <c r="I949" s="116"/>
      <c r="L949" s="170">
        <v>43399</v>
      </c>
      <c r="M949" s="116">
        <v>967.1</v>
      </c>
      <c r="N949" s="116">
        <v>976</v>
      </c>
      <c r="O949" s="116">
        <v>923.85</v>
      </c>
      <c r="P949" s="116">
        <v>958</v>
      </c>
      <c r="Q949" s="116">
        <v>967.1</v>
      </c>
      <c r="R949">
        <v>737378</v>
      </c>
    </row>
    <row r="950" spans="1:18" x14ac:dyDescent="0.25">
      <c r="A950" s="170">
        <v>43402</v>
      </c>
      <c r="B950" s="116">
        <v>994.8</v>
      </c>
      <c r="C950" s="116">
        <v>989.65</v>
      </c>
      <c r="D950" s="116">
        <v>962.4</v>
      </c>
      <c r="E950" s="116">
        <v>969.05</v>
      </c>
      <c r="F950" s="116">
        <v>989.65</v>
      </c>
      <c r="G950">
        <v>39856</v>
      </c>
      <c r="H950" s="116"/>
      <c r="I950" s="116"/>
      <c r="L950" s="170">
        <v>43402</v>
      </c>
      <c r="M950" s="116">
        <v>990.15</v>
      </c>
      <c r="N950" s="116">
        <v>994.5</v>
      </c>
      <c r="O950" s="116">
        <v>960.5</v>
      </c>
      <c r="P950" s="116">
        <v>970</v>
      </c>
      <c r="Q950" s="116">
        <v>990.15</v>
      </c>
      <c r="R950">
        <v>476998</v>
      </c>
    </row>
    <row r="951" spans="1:18" x14ac:dyDescent="0.25">
      <c r="A951" s="170">
        <v>43403</v>
      </c>
      <c r="B951" s="116">
        <v>1019</v>
      </c>
      <c r="C951" s="116">
        <v>1009.05</v>
      </c>
      <c r="D951" s="116">
        <v>982.7</v>
      </c>
      <c r="E951" s="116">
        <v>997.95</v>
      </c>
      <c r="F951" s="116">
        <v>1009.05</v>
      </c>
      <c r="G951">
        <v>44609</v>
      </c>
      <c r="H951" s="116"/>
      <c r="I951" s="116"/>
      <c r="L951" s="170">
        <v>43403</v>
      </c>
      <c r="M951" s="116">
        <v>1010.4</v>
      </c>
      <c r="N951" s="116">
        <v>1019</v>
      </c>
      <c r="O951" s="116">
        <v>983</v>
      </c>
      <c r="P951" s="116">
        <v>989</v>
      </c>
      <c r="Q951" s="116">
        <v>1010.4</v>
      </c>
      <c r="R951">
        <v>695637</v>
      </c>
    </row>
    <row r="952" spans="1:18" x14ac:dyDescent="0.25">
      <c r="A952" s="170">
        <v>43404</v>
      </c>
      <c r="B952" s="116">
        <v>1037.45</v>
      </c>
      <c r="C952" s="116">
        <v>1033.3499999999999</v>
      </c>
      <c r="D952" s="116">
        <v>1008.05</v>
      </c>
      <c r="E952" s="116">
        <v>1010</v>
      </c>
      <c r="F952" s="116">
        <v>1033.3499999999999</v>
      </c>
      <c r="G952">
        <v>52788</v>
      </c>
      <c r="H952" s="116"/>
      <c r="I952" s="116"/>
      <c r="L952" s="170">
        <v>43404</v>
      </c>
      <c r="M952" s="116">
        <v>1034.95</v>
      </c>
      <c r="N952" s="116">
        <v>1040</v>
      </c>
      <c r="O952" s="116">
        <v>1007.4</v>
      </c>
      <c r="P952" s="116">
        <v>1017</v>
      </c>
      <c r="Q952" s="116">
        <v>1034.95</v>
      </c>
      <c r="R952">
        <v>786249</v>
      </c>
    </row>
    <row r="953" spans="1:18" x14ac:dyDescent="0.25">
      <c r="A953" s="170">
        <v>43405</v>
      </c>
      <c r="B953" s="116">
        <v>1082</v>
      </c>
      <c r="C953" s="116">
        <v>1072.6500000000001</v>
      </c>
      <c r="D953" s="116">
        <v>1037.55</v>
      </c>
      <c r="E953" s="116">
        <v>1040.05</v>
      </c>
      <c r="F953" s="116">
        <v>1072.6500000000001</v>
      </c>
      <c r="G953">
        <v>89627</v>
      </c>
      <c r="H953" s="116"/>
      <c r="I953" s="116"/>
      <c r="L953" s="170">
        <v>43405</v>
      </c>
      <c r="M953" s="116">
        <v>1074.8</v>
      </c>
      <c r="N953" s="116">
        <v>1082</v>
      </c>
      <c r="O953" s="116">
        <v>1037.0999999999999</v>
      </c>
      <c r="P953" s="116">
        <v>1043.95</v>
      </c>
      <c r="Q953" s="116">
        <v>1074.8</v>
      </c>
      <c r="R953">
        <v>1178992</v>
      </c>
    </row>
    <row r="954" spans="1:18" x14ac:dyDescent="0.25">
      <c r="A954" s="170">
        <v>43406</v>
      </c>
      <c r="B954" s="116">
        <v>1084</v>
      </c>
      <c r="C954" s="116">
        <v>1046.45</v>
      </c>
      <c r="D954" s="116">
        <v>1041</v>
      </c>
      <c r="E954" s="116">
        <v>1076.9000000000001</v>
      </c>
      <c r="F954" s="116">
        <v>1046.45</v>
      </c>
      <c r="G954">
        <v>51228</v>
      </c>
      <c r="H954" s="116"/>
      <c r="I954" s="116"/>
      <c r="L954" s="170">
        <v>43406</v>
      </c>
      <c r="M954" s="116">
        <v>1047.3</v>
      </c>
      <c r="N954" s="116">
        <v>1085.5</v>
      </c>
      <c r="O954" s="116">
        <v>1041.45</v>
      </c>
      <c r="P954" s="116">
        <v>1082.25</v>
      </c>
      <c r="Q954" s="116">
        <v>1047.3</v>
      </c>
      <c r="R954">
        <v>565657</v>
      </c>
    </row>
    <row r="955" spans="1:18" x14ac:dyDescent="0.25">
      <c r="A955" s="170">
        <v>43409</v>
      </c>
      <c r="B955" s="116">
        <v>1089.9000000000001</v>
      </c>
      <c r="C955" s="116">
        <v>1066.1500000000001</v>
      </c>
      <c r="D955" s="116">
        <v>1040.55</v>
      </c>
      <c r="E955" s="116">
        <v>1046</v>
      </c>
      <c r="F955" s="116">
        <v>1066.1500000000001</v>
      </c>
      <c r="G955">
        <v>66154</v>
      </c>
      <c r="H955" s="116"/>
      <c r="I955" s="116"/>
      <c r="L955" s="170">
        <v>43409</v>
      </c>
      <c r="M955" s="116">
        <v>1064.1500000000001</v>
      </c>
      <c r="N955" s="116">
        <v>1090</v>
      </c>
      <c r="O955" s="116">
        <v>1040.3</v>
      </c>
      <c r="P955" s="116">
        <v>1051.9000000000001</v>
      </c>
      <c r="Q955" s="116">
        <v>1064.1500000000001</v>
      </c>
      <c r="R955">
        <v>969015</v>
      </c>
    </row>
    <row r="956" spans="1:18" x14ac:dyDescent="0.25">
      <c r="A956" s="170">
        <v>43410</v>
      </c>
      <c r="B956" s="116">
        <v>1080.55</v>
      </c>
      <c r="C956" s="116">
        <v>1049.5999999999999</v>
      </c>
      <c r="D956" s="116">
        <v>1042</v>
      </c>
      <c r="E956" s="116">
        <v>1066.1500000000001</v>
      </c>
      <c r="F956" s="116">
        <v>1049.5999999999999</v>
      </c>
      <c r="G956">
        <v>29434</v>
      </c>
      <c r="H956" s="116"/>
      <c r="I956" s="116"/>
      <c r="L956" s="170">
        <v>43410</v>
      </c>
      <c r="M956" s="116">
        <v>1048.05</v>
      </c>
      <c r="N956" s="116">
        <v>1080.8</v>
      </c>
      <c r="O956" s="116">
        <v>1041.9000000000001</v>
      </c>
      <c r="P956" s="116">
        <v>1065</v>
      </c>
      <c r="Q956" s="116">
        <v>1048.05</v>
      </c>
      <c r="R956">
        <v>486773</v>
      </c>
    </row>
    <row r="957" spans="1:18" x14ac:dyDescent="0.25">
      <c r="A957" s="170">
        <v>43411</v>
      </c>
      <c r="B957" s="116">
        <v>1065</v>
      </c>
      <c r="C957" s="116">
        <v>1058.2</v>
      </c>
      <c r="D957" s="116">
        <v>1051.2</v>
      </c>
      <c r="E957" s="116">
        <v>1065</v>
      </c>
      <c r="F957" s="116">
        <v>1058.2</v>
      </c>
      <c r="G957">
        <v>9275</v>
      </c>
      <c r="H957" s="116"/>
      <c r="I957" s="116"/>
      <c r="L957" s="170">
        <v>43411</v>
      </c>
      <c r="M957" s="116">
        <v>1056.75</v>
      </c>
      <c r="N957" s="116">
        <v>1062</v>
      </c>
      <c r="O957" s="116">
        <v>1053.0999999999999</v>
      </c>
      <c r="P957" s="116">
        <v>1053.0999999999999</v>
      </c>
      <c r="Q957" s="116">
        <v>1056.75</v>
      </c>
      <c r="R957">
        <v>58492</v>
      </c>
    </row>
    <row r="958" spans="1:18" x14ac:dyDescent="0.25">
      <c r="A958" s="170">
        <v>43413</v>
      </c>
      <c r="B958" s="116">
        <v>1058.95</v>
      </c>
      <c r="C958" s="116">
        <v>1028.3</v>
      </c>
      <c r="D958" s="116">
        <v>1023</v>
      </c>
      <c r="E958" s="116">
        <v>1050.55</v>
      </c>
      <c r="F958" s="116">
        <v>1028.3</v>
      </c>
      <c r="G958">
        <v>35619</v>
      </c>
      <c r="H958" s="116"/>
      <c r="I958" s="116"/>
      <c r="L958" s="170">
        <v>43413</v>
      </c>
      <c r="M958" s="116">
        <v>1028.55</v>
      </c>
      <c r="N958" s="116">
        <v>1058.9000000000001</v>
      </c>
      <c r="O958" s="116">
        <v>1022.5</v>
      </c>
      <c r="P958" s="116">
        <v>1049</v>
      </c>
      <c r="Q958" s="116">
        <v>1028.55</v>
      </c>
      <c r="R958">
        <v>525735</v>
      </c>
    </row>
    <row r="959" spans="1:18" x14ac:dyDescent="0.25">
      <c r="A959" s="170">
        <v>43416</v>
      </c>
      <c r="B959" s="116">
        <v>1047.9000000000001</v>
      </c>
      <c r="C959" s="116">
        <v>996.55</v>
      </c>
      <c r="D959" s="116">
        <v>993.55</v>
      </c>
      <c r="E959" s="116">
        <v>1039.95</v>
      </c>
      <c r="F959" s="116">
        <v>996.55</v>
      </c>
      <c r="G959">
        <v>68794</v>
      </c>
      <c r="H959" s="116"/>
      <c r="I959" s="116"/>
      <c r="L959" s="170">
        <v>43416</v>
      </c>
      <c r="M959" s="116">
        <v>996.25</v>
      </c>
      <c r="N959" s="116">
        <v>1034.7</v>
      </c>
      <c r="O959" s="116">
        <v>992</v>
      </c>
      <c r="P959" s="116">
        <v>1031.5</v>
      </c>
      <c r="Q959" s="116">
        <v>996.25</v>
      </c>
      <c r="R959">
        <v>931101</v>
      </c>
    </row>
    <row r="960" spans="1:18" x14ac:dyDescent="0.25">
      <c r="A960" s="170">
        <v>43417</v>
      </c>
      <c r="B960" s="116">
        <v>1012</v>
      </c>
      <c r="C960" s="116">
        <v>1009.8</v>
      </c>
      <c r="D960" s="116">
        <v>984</v>
      </c>
      <c r="E960" s="116">
        <v>996</v>
      </c>
      <c r="F960" s="116">
        <v>1009.8</v>
      </c>
      <c r="G960">
        <v>44670</v>
      </c>
      <c r="H960" s="116"/>
      <c r="I960" s="116"/>
      <c r="L960" s="170">
        <v>43417</v>
      </c>
      <c r="M960" s="116">
        <v>1008.8</v>
      </c>
      <c r="N960" s="116">
        <v>1012.7</v>
      </c>
      <c r="O960" s="116">
        <v>985</v>
      </c>
      <c r="P960" s="116">
        <v>992.25</v>
      </c>
      <c r="Q960" s="116">
        <v>1008.8</v>
      </c>
      <c r="R960">
        <v>611643</v>
      </c>
    </row>
    <row r="961" spans="1:18" x14ac:dyDescent="0.25">
      <c r="A961" s="170">
        <v>43418</v>
      </c>
      <c r="B961" s="116">
        <v>1018.75</v>
      </c>
      <c r="C961" s="116">
        <v>994.2</v>
      </c>
      <c r="D961" s="116">
        <v>987.15</v>
      </c>
      <c r="E961" s="116">
        <v>1018.75</v>
      </c>
      <c r="F961" s="116">
        <v>994.2</v>
      </c>
      <c r="G961">
        <v>35564</v>
      </c>
      <c r="H961" s="116"/>
      <c r="I961" s="116"/>
      <c r="L961" s="170">
        <v>43418</v>
      </c>
      <c r="M961" s="116">
        <v>993.95</v>
      </c>
      <c r="N961" s="116">
        <v>1016.75</v>
      </c>
      <c r="O961" s="116">
        <v>987.5</v>
      </c>
      <c r="P961" s="116">
        <v>1013.8</v>
      </c>
      <c r="Q961" s="116">
        <v>993.95</v>
      </c>
      <c r="R961">
        <v>634760</v>
      </c>
    </row>
    <row r="962" spans="1:18" x14ac:dyDescent="0.25">
      <c r="A962" s="170">
        <v>43419</v>
      </c>
      <c r="B962" s="116">
        <v>1010.5</v>
      </c>
      <c r="C962" s="116">
        <v>997.65</v>
      </c>
      <c r="D962" s="116">
        <v>990.9</v>
      </c>
      <c r="E962" s="116">
        <v>1010</v>
      </c>
      <c r="F962" s="116">
        <v>997.65</v>
      </c>
      <c r="G962">
        <v>26471</v>
      </c>
      <c r="H962" s="116"/>
      <c r="I962" s="116"/>
      <c r="L962" s="170">
        <v>43419</v>
      </c>
      <c r="M962" s="116">
        <v>997.3</v>
      </c>
      <c r="N962" s="116">
        <v>1010.75</v>
      </c>
      <c r="O962" s="116">
        <v>993</v>
      </c>
      <c r="P962" s="116">
        <v>995.5</v>
      </c>
      <c r="Q962" s="116">
        <v>997.3</v>
      </c>
      <c r="R962">
        <v>402804</v>
      </c>
    </row>
    <row r="963" spans="1:18" x14ac:dyDescent="0.25">
      <c r="A963" s="170">
        <v>43420</v>
      </c>
      <c r="B963" s="116">
        <v>1005.25</v>
      </c>
      <c r="C963" s="116">
        <v>963.45</v>
      </c>
      <c r="D963" s="116">
        <v>958.5</v>
      </c>
      <c r="E963" s="116">
        <v>1005.25</v>
      </c>
      <c r="F963" s="116">
        <v>963.45</v>
      </c>
      <c r="G963">
        <v>66050</v>
      </c>
      <c r="H963" s="116"/>
      <c r="I963" s="116"/>
      <c r="L963" s="170">
        <v>43420</v>
      </c>
      <c r="M963" s="116">
        <v>962.55</v>
      </c>
      <c r="N963" s="116">
        <v>1005.95</v>
      </c>
      <c r="O963" s="116">
        <v>957</v>
      </c>
      <c r="P963" s="116">
        <v>1002.8</v>
      </c>
      <c r="Q963" s="116">
        <v>962.55</v>
      </c>
      <c r="R963">
        <v>1172774</v>
      </c>
    </row>
    <row r="964" spans="1:18" x14ac:dyDescent="0.25">
      <c r="A964" s="170">
        <v>43423</v>
      </c>
      <c r="B964" s="116">
        <v>990</v>
      </c>
      <c r="C964" s="116">
        <v>984.65</v>
      </c>
      <c r="D964" s="116">
        <v>952</v>
      </c>
      <c r="E964" s="116">
        <v>957.1</v>
      </c>
      <c r="F964" s="116">
        <v>984.65</v>
      </c>
      <c r="G964">
        <v>61289</v>
      </c>
      <c r="H964" s="116"/>
      <c r="I964" s="116"/>
      <c r="L964" s="170">
        <v>43423</v>
      </c>
      <c r="M964" s="116">
        <v>982.7</v>
      </c>
      <c r="N964" s="116">
        <v>987</v>
      </c>
      <c r="O964" s="116">
        <v>952.7</v>
      </c>
      <c r="P964" s="116">
        <v>962.55</v>
      </c>
      <c r="Q964" s="116">
        <v>982.7</v>
      </c>
      <c r="R964">
        <v>774806</v>
      </c>
    </row>
    <row r="965" spans="1:18" x14ac:dyDescent="0.25">
      <c r="A965" s="170">
        <v>43424</v>
      </c>
      <c r="B965" s="116">
        <v>1005</v>
      </c>
      <c r="C965" s="116">
        <v>988.95</v>
      </c>
      <c r="D965" s="116">
        <v>975</v>
      </c>
      <c r="E965" s="116">
        <v>984.65</v>
      </c>
      <c r="F965" s="116">
        <v>988.95</v>
      </c>
      <c r="G965">
        <v>54617</v>
      </c>
      <c r="H965" s="116"/>
      <c r="I965" s="116"/>
      <c r="L965" s="170">
        <v>43424</v>
      </c>
      <c r="M965" s="116">
        <v>989.1</v>
      </c>
      <c r="N965" s="116">
        <v>1007</v>
      </c>
      <c r="O965" s="116">
        <v>972.7</v>
      </c>
      <c r="P965" s="116">
        <v>982</v>
      </c>
      <c r="Q965" s="116">
        <v>989.1</v>
      </c>
      <c r="R965">
        <v>762892</v>
      </c>
    </row>
    <row r="966" spans="1:18" x14ac:dyDescent="0.25">
      <c r="A966" s="170">
        <v>43425</v>
      </c>
      <c r="B966" s="116">
        <v>988.95</v>
      </c>
      <c r="C966" s="116">
        <v>972.25</v>
      </c>
      <c r="D966" s="116">
        <v>957.6</v>
      </c>
      <c r="E966" s="116">
        <v>988.95</v>
      </c>
      <c r="F966" s="116">
        <v>972.25</v>
      </c>
      <c r="G966">
        <v>77845</v>
      </c>
      <c r="H966" s="116"/>
      <c r="I966" s="116"/>
      <c r="L966" s="170">
        <v>43425</v>
      </c>
      <c r="M966" s="116">
        <v>973.4</v>
      </c>
      <c r="N966" s="116">
        <v>987</v>
      </c>
      <c r="O966" s="116">
        <v>957</v>
      </c>
      <c r="P966" s="116">
        <v>986.8</v>
      </c>
      <c r="Q966" s="116">
        <v>973.4</v>
      </c>
      <c r="R966">
        <v>1000494</v>
      </c>
    </row>
    <row r="967" spans="1:18" x14ac:dyDescent="0.25">
      <c r="A967" s="170">
        <v>43426</v>
      </c>
      <c r="B967" s="116">
        <v>1009</v>
      </c>
      <c r="C967" s="116">
        <v>991.4</v>
      </c>
      <c r="D967" s="116">
        <v>973.8</v>
      </c>
      <c r="E967" s="116">
        <v>975.05</v>
      </c>
      <c r="F967" s="116">
        <v>991.4</v>
      </c>
      <c r="G967">
        <v>60985</v>
      </c>
      <c r="H967" s="116"/>
      <c r="I967" s="116"/>
      <c r="L967" s="170">
        <v>43426</v>
      </c>
      <c r="M967" s="116">
        <v>992</v>
      </c>
      <c r="N967" s="116">
        <v>1002</v>
      </c>
      <c r="O967" s="116">
        <v>977</v>
      </c>
      <c r="P967" s="116">
        <v>979.9</v>
      </c>
      <c r="Q967" s="116">
        <v>992</v>
      </c>
      <c r="R967">
        <v>987210</v>
      </c>
    </row>
    <row r="968" spans="1:18" x14ac:dyDescent="0.25">
      <c r="A968" s="170">
        <v>43430</v>
      </c>
      <c r="B968" s="116">
        <v>1000.65</v>
      </c>
      <c r="C968" s="116">
        <v>995.75</v>
      </c>
      <c r="D968" s="116">
        <v>960</v>
      </c>
      <c r="E968" s="116">
        <v>991.9</v>
      </c>
      <c r="F968" s="116">
        <v>995.75</v>
      </c>
      <c r="G968">
        <v>88698</v>
      </c>
      <c r="H968" s="116"/>
      <c r="I968" s="116"/>
      <c r="L968" s="170">
        <v>43430</v>
      </c>
      <c r="M968" s="116">
        <v>994.15</v>
      </c>
      <c r="N968" s="116">
        <v>997</v>
      </c>
      <c r="O968" s="116">
        <v>958.25</v>
      </c>
      <c r="P968" s="116">
        <v>989.25</v>
      </c>
      <c r="Q968" s="116">
        <v>994.15</v>
      </c>
      <c r="R968">
        <v>1019523</v>
      </c>
    </row>
    <row r="969" spans="1:18" x14ac:dyDescent="0.25">
      <c r="A969" s="170">
        <v>43431</v>
      </c>
      <c r="B969" s="116">
        <v>1015</v>
      </c>
      <c r="C969" s="116">
        <v>1004.05</v>
      </c>
      <c r="D969" s="116">
        <v>994.9</v>
      </c>
      <c r="E969" s="116">
        <v>995.95</v>
      </c>
      <c r="F969" s="116">
        <v>1004.05</v>
      </c>
      <c r="G969">
        <v>57045</v>
      </c>
      <c r="H969" s="116"/>
      <c r="I969" s="116"/>
      <c r="L969" s="170">
        <v>43431</v>
      </c>
      <c r="M969" s="116">
        <v>1002.1</v>
      </c>
      <c r="N969" s="116">
        <v>1015.25</v>
      </c>
      <c r="O969" s="116">
        <v>995.4</v>
      </c>
      <c r="P969" s="116">
        <v>996.3</v>
      </c>
      <c r="Q969" s="116">
        <v>1002.1</v>
      </c>
      <c r="R969">
        <v>965929</v>
      </c>
    </row>
    <row r="970" spans="1:18" x14ac:dyDescent="0.25">
      <c r="A970" s="170">
        <v>43432</v>
      </c>
      <c r="B970" s="116">
        <v>1028.3</v>
      </c>
      <c r="C970" s="116">
        <v>1016.75</v>
      </c>
      <c r="D970" s="116">
        <v>1006.05</v>
      </c>
      <c r="E970" s="116">
        <v>1008.95</v>
      </c>
      <c r="F970" s="116">
        <v>1016.75</v>
      </c>
      <c r="G970">
        <v>72558</v>
      </c>
      <c r="H970" s="116"/>
      <c r="I970" s="116"/>
      <c r="L970" s="170">
        <v>43432</v>
      </c>
      <c r="M970" s="116">
        <v>1016.7</v>
      </c>
      <c r="N970" s="116">
        <v>1028.5</v>
      </c>
      <c r="O970" s="116">
        <v>1006</v>
      </c>
      <c r="P970" s="116">
        <v>1009.8</v>
      </c>
      <c r="Q970" s="116">
        <v>1016.7</v>
      </c>
      <c r="R970">
        <v>966896</v>
      </c>
    </row>
    <row r="971" spans="1:18" x14ac:dyDescent="0.25">
      <c r="A971" s="170">
        <v>43433</v>
      </c>
      <c r="B971" s="116">
        <v>1038</v>
      </c>
      <c r="C971" s="116">
        <v>999.15</v>
      </c>
      <c r="D971" s="116">
        <v>994.3</v>
      </c>
      <c r="E971" s="116">
        <v>1021.2</v>
      </c>
      <c r="F971" s="116">
        <v>999.15</v>
      </c>
      <c r="G971">
        <v>53376</v>
      </c>
      <c r="H971" s="116"/>
      <c r="I971" s="116"/>
      <c r="L971" s="170">
        <v>43433</v>
      </c>
      <c r="M971" s="116">
        <v>1002.45</v>
      </c>
      <c r="N971" s="116">
        <v>1023.05</v>
      </c>
      <c r="O971" s="116">
        <v>998.7</v>
      </c>
      <c r="P971" s="116">
        <v>1018.9</v>
      </c>
      <c r="Q971" s="116">
        <v>1002.45</v>
      </c>
      <c r="R971">
        <v>499266</v>
      </c>
    </row>
    <row r="972" spans="1:18" x14ac:dyDescent="0.25">
      <c r="A972" s="170">
        <v>43434</v>
      </c>
      <c r="B972" s="116">
        <v>1027.5999999999999</v>
      </c>
      <c r="C972" s="116">
        <v>1022.9</v>
      </c>
      <c r="D972" s="116">
        <v>991</v>
      </c>
      <c r="E972" s="116">
        <v>991</v>
      </c>
      <c r="F972" s="116">
        <v>1022.9</v>
      </c>
      <c r="G972">
        <v>68203</v>
      </c>
      <c r="H972" s="116"/>
      <c r="I972" s="116"/>
      <c r="L972" s="170">
        <v>43434</v>
      </c>
      <c r="M972" s="116">
        <v>1024.05</v>
      </c>
      <c r="N972" s="116">
        <v>1029</v>
      </c>
      <c r="O972" s="116">
        <v>1006</v>
      </c>
      <c r="P972" s="116">
        <v>1006</v>
      </c>
      <c r="Q972" s="116">
        <v>1024.05</v>
      </c>
      <c r="R972">
        <v>763019</v>
      </c>
    </row>
    <row r="973" spans="1:18" x14ac:dyDescent="0.25">
      <c r="A973" s="170">
        <v>43437</v>
      </c>
      <c r="B973" s="116">
        <v>1048</v>
      </c>
      <c r="C973" s="116">
        <v>1029.9000000000001</v>
      </c>
      <c r="D973" s="116">
        <v>1025.55</v>
      </c>
      <c r="E973" s="116">
        <v>1031.05</v>
      </c>
      <c r="F973" s="116">
        <v>1029.9000000000001</v>
      </c>
      <c r="G973">
        <v>53921</v>
      </c>
      <c r="H973" s="116"/>
      <c r="I973" s="116"/>
      <c r="L973" s="170">
        <v>43437</v>
      </c>
      <c r="M973" s="116">
        <v>1030.95</v>
      </c>
      <c r="N973" s="116">
        <v>1047.75</v>
      </c>
      <c r="O973" s="116">
        <v>1025.95</v>
      </c>
      <c r="P973" s="116">
        <v>1035</v>
      </c>
      <c r="Q973" s="116">
        <v>1030.95</v>
      </c>
      <c r="R973">
        <v>564812</v>
      </c>
    </row>
    <row r="974" spans="1:18" x14ac:dyDescent="0.25">
      <c r="A974" s="170">
        <v>43438</v>
      </c>
      <c r="B974" s="116">
        <v>1054.5</v>
      </c>
      <c r="C974" s="116">
        <v>1037.05</v>
      </c>
      <c r="D974" s="116">
        <v>1030</v>
      </c>
      <c r="E974" s="116">
        <v>1030</v>
      </c>
      <c r="F974" s="116">
        <v>1037.05</v>
      </c>
      <c r="G974">
        <v>59778</v>
      </c>
      <c r="H974" s="116"/>
      <c r="I974" s="116"/>
      <c r="L974" s="170">
        <v>43438</v>
      </c>
      <c r="M974" s="116">
        <v>1035.4000000000001</v>
      </c>
      <c r="N974" s="116">
        <v>1056</v>
      </c>
      <c r="O974" s="116">
        <v>1030.95</v>
      </c>
      <c r="P974" s="116">
        <v>1032.95</v>
      </c>
      <c r="Q974" s="116">
        <v>1035.4000000000001</v>
      </c>
      <c r="R974">
        <v>869781</v>
      </c>
    </row>
    <row r="975" spans="1:18" x14ac:dyDescent="0.25">
      <c r="A975" s="170">
        <v>43439</v>
      </c>
      <c r="B975" s="116">
        <v>1052.95</v>
      </c>
      <c r="C975" s="116">
        <v>1042.5999999999999</v>
      </c>
      <c r="D975" s="116">
        <v>1027</v>
      </c>
      <c r="E975" s="116">
        <v>1037.05</v>
      </c>
      <c r="F975" s="116">
        <v>1042.5999999999999</v>
      </c>
      <c r="G975">
        <v>36284</v>
      </c>
      <c r="H975" s="116"/>
      <c r="I975" s="116"/>
      <c r="L975" s="170">
        <v>43439</v>
      </c>
      <c r="M975" s="116">
        <v>1043.75</v>
      </c>
      <c r="N975" s="116">
        <v>1052.95</v>
      </c>
      <c r="O975" s="116">
        <v>1026.45</v>
      </c>
      <c r="P975" s="116">
        <v>1034.9000000000001</v>
      </c>
      <c r="Q975" s="116">
        <v>1043.75</v>
      </c>
      <c r="R975">
        <v>821951</v>
      </c>
    </row>
    <row r="976" spans="1:18" x14ac:dyDescent="0.25">
      <c r="A976" s="170">
        <v>43440</v>
      </c>
      <c r="B976" s="116">
        <v>1043.9000000000001</v>
      </c>
      <c r="C976" s="116">
        <v>1011</v>
      </c>
      <c r="D976" s="116">
        <v>1005</v>
      </c>
      <c r="E976" s="116">
        <v>1041</v>
      </c>
      <c r="F976" s="116">
        <v>1011</v>
      </c>
      <c r="G976">
        <v>35057</v>
      </c>
      <c r="H976" s="116"/>
      <c r="I976" s="116"/>
      <c r="L976" s="170">
        <v>43440</v>
      </c>
      <c r="M976" s="116">
        <v>1011</v>
      </c>
      <c r="N976" s="116">
        <v>1043.8499999999999</v>
      </c>
      <c r="O976" s="116">
        <v>1006.3</v>
      </c>
      <c r="P976" s="116">
        <v>1043</v>
      </c>
      <c r="Q976" s="116">
        <v>1011</v>
      </c>
      <c r="R976">
        <v>454483</v>
      </c>
    </row>
    <row r="977" spans="1:18" x14ac:dyDescent="0.25">
      <c r="A977" s="170">
        <v>43441</v>
      </c>
      <c r="B977" s="116">
        <v>1017.5</v>
      </c>
      <c r="C977" s="116">
        <v>1008.7</v>
      </c>
      <c r="D977" s="116">
        <v>995.95</v>
      </c>
      <c r="E977" s="116">
        <v>1006.05</v>
      </c>
      <c r="F977" s="116">
        <v>1008.7</v>
      </c>
      <c r="G977">
        <v>19471</v>
      </c>
      <c r="H977" s="116"/>
      <c r="I977" s="116"/>
      <c r="L977" s="170">
        <v>43441</v>
      </c>
      <c r="M977" s="116">
        <v>1008.05</v>
      </c>
      <c r="N977" s="116">
        <v>1019.95</v>
      </c>
      <c r="O977" s="116">
        <v>995.1</v>
      </c>
      <c r="P977" s="116">
        <v>1014</v>
      </c>
      <c r="Q977" s="116">
        <v>1008.05</v>
      </c>
      <c r="R977">
        <v>338032</v>
      </c>
    </row>
    <row r="978" spans="1:18" x14ac:dyDescent="0.25">
      <c r="A978" s="170">
        <v>43444</v>
      </c>
      <c r="B978" s="116">
        <v>1009.4</v>
      </c>
      <c r="C978" s="116">
        <v>978.75</v>
      </c>
      <c r="D978" s="116">
        <v>975.1</v>
      </c>
      <c r="E978" s="116">
        <v>991.6</v>
      </c>
      <c r="F978" s="116">
        <v>978.75</v>
      </c>
      <c r="G978">
        <v>36101</v>
      </c>
      <c r="H978" s="116"/>
      <c r="I978" s="116"/>
      <c r="L978" s="170">
        <v>43444</v>
      </c>
      <c r="M978" s="116">
        <v>977.5</v>
      </c>
      <c r="N978" s="116">
        <v>1011.95</v>
      </c>
      <c r="O978" s="116">
        <v>972.1</v>
      </c>
      <c r="P978" s="116">
        <v>994.95</v>
      </c>
      <c r="Q978" s="116">
        <v>977.5</v>
      </c>
      <c r="R978">
        <v>513330</v>
      </c>
    </row>
    <row r="979" spans="1:18" x14ac:dyDescent="0.25">
      <c r="A979" s="170">
        <v>43445</v>
      </c>
      <c r="B979" s="116">
        <v>1010</v>
      </c>
      <c r="C979" s="116">
        <v>1003.35</v>
      </c>
      <c r="D979" s="116">
        <v>954.7</v>
      </c>
      <c r="E979" s="116">
        <v>972</v>
      </c>
      <c r="F979" s="116">
        <v>1003.35</v>
      </c>
      <c r="G979">
        <v>89177</v>
      </c>
      <c r="H979" s="116"/>
      <c r="I979" s="116"/>
      <c r="L979" s="170">
        <v>43445</v>
      </c>
      <c r="M979" s="116">
        <v>1002.5</v>
      </c>
      <c r="N979" s="116">
        <v>1009</v>
      </c>
      <c r="O979" s="116">
        <v>952.55</v>
      </c>
      <c r="P979" s="116">
        <v>961</v>
      </c>
      <c r="Q979" s="116">
        <v>1002.5</v>
      </c>
      <c r="R979">
        <v>970668</v>
      </c>
    </row>
    <row r="980" spans="1:18" x14ac:dyDescent="0.25">
      <c r="A980" s="170">
        <v>43446</v>
      </c>
      <c r="B980" s="116">
        <v>1034</v>
      </c>
      <c r="C980" s="116">
        <v>1028.45</v>
      </c>
      <c r="D980" s="116">
        <v>1006</v>
      </c>
      <c r="E980" s="116">
        <v>1006.15</v>
      </c>
      <c r="F980" s="116">
        <v>1028.45</v>
      </c>
      <c r="G980">
        <v>32913</v>
      </c>
      <c r="H980" s="116"/>
      <c r="I980" s="116"/>
      <c r="L980" s="170">
        <v>43446</v>
      </c>
      <c r="M980" s="116">
        <v>1028.5999999999999</v>
      </c>
      <c r="N980" s="116">
        <v>1036.5</v>
      </c>
      <c r="O980" s="116">
        <v>1005.2</v>
      </c>
      <c r="P980" s="116">
        <v>1012</v>
      </c>
      <c r="Q980" s="116">
        <v>1028.5999999999999</v>
      </c>
      <c r="R980">
        <v>525122</v>
      </c>
    </row>
    <row r="981" spans="1:18" x14ac:dyDescent="0.25">
      <c r="A981" s="170">
        <v>43447</v>
      </c>
      <c r="B981" s="116">
        <v>1036.5</v>
      </c>
      <c r="C981" s="116">
        <v>1026.5</v>
      </c>
      <c r="D981" s="116">
        <v>1017.3</v>
      </c>
      <c r="E981" s="116">
        <v>1028</v>
      </c>
      <c r="F981" s="116">
        <v>1026.5</v>
      </c>
      <c r="G981">
        <v>30516</v>
      </c>
      <c r="H981" s="116"/>
      <c r="I981" s="116"/>
      <c r="L981" s="170">
        <v>43447</v>
      </c>
      <c r="M981" s="116">
        <v>1026.5</v>
      </c>
      <c r="N981" s="116">
        <v>1036.6500000000001</v>
      </c>
      <c r="O981" s="116">
        <v>1017</v>
      </c>
      <c r="P981" s="116">
        <v>1032</v>
      </c>
      <c r="Q981" s="116">
        <v>1026.5</v>
      </c>
      <c r="R981">
        <v>445820</v>
      </c>
    </row>
    <row r="982" spans="1:18" x14ac:dyDescent="0.25">
      <c r="A982" s="170">
        <v>43448</v>
      </c>
      <c r="B982" s="116">
        <v>1041.45</v>
      </c>
      <c r="C982" s="116">
        <v>1036.3</v>
      </c>
      <c r="D982" s="116">
        <v>1018</v>
      </c>
      <c r="E982" s="116">
        <v>1023</v>
      </c>
      <c r="F982" s="116">
        <v>1036.3</v>
      </c>
      <c r="G982">
        <v>29694</v>
      </c>
      <c r="H982" s="116"/>
      <c r="I982" s="116"/>
      <c r="L982" s="170">
        <v>43448</v>
      </c>
      <c r="M982" s="116">
        <v>1037.75</v>
      </c>
      <c r="N982" s="116">
        <v>1042.8499999999999</v>
      </c>
      <c r="O982" s="116">
        <v>1015</v>
      </c>
      <c r="P982" s="116">
        <v>1029</v>
      </c>
      <c r="Q982" s="116">
        <v>1037.75</v>
      </c>
      <c r="R982">
        <v>583285</v>
      </c>
    </row>
    <row r="983" spans="1:18" x14ac:dyDescent="0.25">
      <c r="A983" s="170">
        <v>43451</v>
      </c>
      <c r="B983" s="116">
        <v>1045</v>
      </c>
      <c r="C983" s="116">
        <v>1022.55</v>
      </c>
      <c r="D983" s="116">
        <v>1016.5</v>
      </c>
      <c r="E983" s="116">
        <v>1040</v>
      </c>
      <c r="F983" s="116">
        <v>1022.55</v>
      </c>
      <c r="G983">
        <v>32682</v>
      </c>
      <c r="H983" s="116"/>
      <c r="I983" s="116"/>
      <c r="L983" s="170">
        <v>43451</v>
      </c>
      <c r="M983" s="116">
        <v>1021.95</v>
      </c>
      <c r="N983" s="116">
        <v>1046.1500000000001</v>
      </c>
      <c r="O983" s="116">
        <v>1015.35</v>
      </c>
      <c r="P983" s="116">
        <v>1044.4000000000001</v>
      </c>
      <c r="Q983" s="116">
        <v>1021.95</v>
      </c>
      <c r="R983">
        <v>657279</v>
      </c>
    </row>
    <row r="984" spans="1:18" x14ac:dyDescent="0.25">
      <c r="A984" s="170">
        <v>43452</v>
      </c>
      <c r="B984" s="116">
        <v>1027.45</v>
      </c>
      <c r="C984" s="116">
        <v>1016.25</v>
      </c>
      <c r="D984" s="116">
        <v>1009</v>
      </c>
      <c r="E984" s="116">
        <v>1019.05</v>
      </c>
      <c r="F984" s="116">
        <v>1016.25</v>
      </c>
      <c r="G984">
        <v>28756</v>
      </c>
      <c r="H984" s="116"/>
      <c r="I984" s="116"/>
      <c r="L984" s="170">
        <v>43452</v>
      </c>
      <c r="M984" s="116">
        <v>1016.25</v>
      </c>
      <c r="N984" s="116">
        <v>1027.6500000000001</v>
      </c>
      <c r="O984" s="116">
        <v>1005</v>
      </c>
      <c r="P984" s="116">
        <v>1005</v>
      </c>
      <c r="Q984" s="116">
        <v>1016.25</v>
      </c>
      <c r="R984">
        <v>461047</v>
      </c>
    </row>
    <row r="985" spans="1:18" x14ac:dyDescent="0.25">
      <c r="A985" s="170">
        <v>43453</v>
      </c>
      <c r="B985" s="116">
        <v>1020.25</v>
      </c>
      <c r="C985" s="116">
        <v>1004.75</v>
      </c>
      <c r="D985" s="116">
        <v>994.4</v>
      </c>
      <c r="E985" s="116">
        <v>1018.45</v>
      </c>
      <c r="F985" s="116">
        <v>1004.75</v>
      </c>
      <c r="G985">
        <v>49588</v>
      </c>
      <c r="H985" s="116"/>
      <c r="I985" s="116"/>
      <c r="L985" s="170">
        <v>43453</v>
      </c>
      <c r="M985" s="116">
        <v>1003.75</v>
      </c>
      <c r="N985" s="116">
        <v>1021.35</v>
      </c>
      <c r="O985" s="116">
        <v>994</v>
      </c>
      <c r="P985" s="116">
        <v>1016.25</v>
      </c>
      <c r="Q985" s="116">
        <v>1003.75</v>
      </c>
      <c r="R985">
        <v>877957</v>
      </c>
    </row>
    <row r="986" spans="1:18" x14ac:dyDescent="0.25">
      <c r="A986" s="170">
        <v>43454</v>
      </c>
      <c r="B986" s="116">
        <v>1019.95</v>
      </c>
      <c r="C986" s="116">
        <v>1010.05</v>
      </c>
      <c r="D986" s="116">
        <v>1003.05</v>
      </c>
      <c r="E986" s="116">
        <v>1006</v>
      </c>
      <c r="F986" s="116">
        <v>1010.05</v>
      </c>
      <c r="G986">
        <v>23433</v>
      </c>
      <c r="H986" s="116"/>
      <c r="I986" s="116"/>
      <c r="L986" s="170">
        <v>43454</v>
      </c>
      <c r="M986" s="116">
        <v>1008.8</v>
      </c>
      <c r="N986" s="116">
        <v>1019.7</v>
      </c>
      <c r="O986" s="116">
        <v>1000.2</v>
      </c>
      <c r="P986" s="116">
        <v>1000.2</v>
      </c>
      <c r="Q986" s="116">
        <v>1008.8</v>
      </c>
      <c r="R986">
        <v>359208</v>
      </c>
    </row>
    <row r="987" spans="1:18" x14ac:dyDescent="0.25">
      <c r="A987" s="170">
        <v>43455</v>
      </c>
      <c r="B987" s="116">
        <v>1017.2</v>
      </c>
      <c r="C987" s="116">
        <v>999.05</v>
      </c>
      <c r="D987" s="116">
        <v>992.8</v>
      </c>
      <c r="E987" s="116">
        <v>1013.3</v>
      </c>
      <c r="F987" s="116">
        <v>999.05</v>
      </c>
      <c r="G987">
        <v>32365</v>
      </c>
      <c r="H987" s="116"/>
      <c r="I987" s="116"/>
      <c r="L987" s="170">
        <v>43455</v>
      </c>
      <c r="M987" s="116">
        <v>998.5</v>
      </c>
      <c r="N987" s="116">
        <v>1016.9</v>
      </c>
      <c r="O987" s="116">
        <v>992</v>
      </c>
      <c r="P987" s="116">
        <v>1013.95</v>
      </c>
      <c r="Q987" s="116">
        <v>998.5</v>
      </c>
      <c r="R987">
        <v>513574</v>
      </c>
    </row>
    <row r="988" spans="1:18" x14ac:dyDescent="0.25">
      <c r="A988" s="170">
        <v>43458</v>
      </c>
      <c r="B988" s="116">
        <v>1010.85</v>
      </c>
      <c r="C988" s="116">
        <v>991.95</v>
      </c>
      <c r="D988" s="116">
        <v>988.05</v>
      </c>
      <c r="E988" s="116">
        <v>1003.55</v>
      </c>
      <c r="F988" s="116">
        <v>991.95</v>
      </c>
      <c r="G988">
        <v>25558</v>
      </c>
      <c r="H988" s="116"/>
      <c r="I988" s="116"/>
      <c r="L988" s="170">
        <v>43458</v>
      </c>
      <c r="M988" s="116">
        <v>990.75</v>
      </c>
      <c r="N988" s="116">
        <v>1010.9</v>
      </c>
      <c r="O988" s="116">
        <v>987.5</v>
      </c>
      <c r="P988" s="116">
        <v>998.5</v>
      </c>
      <c r="Q988" s="116">
        <v>990.75</v>
      </c>
      <c r="R988">
        <v>375742</v>
      </c>
    </row>
    <row r="989" spans="1:18" x14ac:dyDescent="0.25">
      <c r="A989" s="170">
        <v>43460</v>
      </c>
      <c r="B989" s="116">
        <v>994.85</v>
      </c>
      <c r="C989" s="116">
        <v>989.2</v>
      </c>
      <c r="D989" s="116">
        <v>972.7</v>
      </c>
      <c r="E989" s="116">
        <v>991</v>
      </c>
      <c r="F989" s="116">
        <v>989.2</v>
      </c>
      <c r="G989">
        <v>31459</v>
      </c>
      <c r="H989" s="116"/>
      <c r="I989" s="116"/>
      <c r="L989" s="170">
        <v>43460</v>
      </c>
      <c r="M989" s="116">
        <v>988.6</v>
      </c>
      <c r="N989" s="116">
        <v>993.65</v>
      </c>
      <c r="O989" s="116">
        <v>971.2</v>
      </c>
      <c r="P989" s="116">
        <v>990</v>
      </c>
      <c r="Q989" s="116">
        <v>988.6</v>
      </c>
      <c r="R989">
        <v>405975</v>
      </c>
    </row>
    <row r="990" spans="1:18" x14ac:dyDescent="0.25">
      <c r="A990" s="170">
        <v>43461</v>
      </c>
      <c r="B990" s="116">
        <v>1020</v>
      </c>
      <c r="C990" s="116">
        <v>1010</v>
      </c>
      <c r="D990" s="116">
        <v>998.15</v>
      </c>
      <c r="E990" s="116">
        <v>999</v>
      </c>
      <c r="F990" s="116">
        <v>1010</v>
      </c>
      <c r="G990">
        <v>65373</v>
      </c>
      <c r="H990" s="116"/>
      <c r="I990" s="116"/>
      <c r="L990" s="170">
        <v>43461</v>
      </c>
      <c r="M990" s="116">
        <v>1010.9</v>
      </c>
      <c r="N990" s="116">
        <v>1020</v>
      </c>
      <c r="O990" s="116">
        <v>996.75</v>
      </c>
      <c r="P990" s="116">
        <v>999</v>
      </c>
      <c r="Q990" s="116">
        <v>1010.9</v>
      </c>
      <c r="R990">
        <v>938968</v>
      </c>
    </row>
    <row r="991" spans="1:18" x14ac:dyDescent="0.25">
      <c r="A991" s="170">
        <v>43462</v>
      </c>
      <c r="B991" s="116">
        <v>1023</v>
      </c>
      <c r="C991" s="116">
        <v>1013.1</v>
      </c>
      <c r="D991" s="116">
        <v>1009</v>
      </c>
      <c r="E991" s="116">
        <v>1019</v>
      </c>
      <c r="F991" s="116">
        <v>1013.1</v>
      </c>
      <c r="G991">
        <v>28076</v>
      </c>
      <c r="H991" s="116"/>
      <c r="I991" s="116"/>
      <c r="L991" s="170">
        <v>43462</v>
      </c>
      <c r="M991" s="116">
        <v>1012.7</v>
      </c>
      <c r="N991" s="116">
        <v>1023</v>
      </c>
      <c r="O991" s="116">
        <v>1008</v>
      </c>
      <c r="P991" s="116">
        <v>1016</v>
      </c>
      <c r="Q991" s="116">
        <v>1012.7</v>
      </c>
      <c r="R991">
        <v>503526</v>
      </c>
    </row>
    <row r="992" spans="1:18" x14ac:dyDescent="0.25">
      <c r="A992" s="170">
        <v>43465</v>
      </c>
      <c r="B992" s="116">
        <v>1026</v>
      </c>
      <c r="C992" s="116">
        <v>1020.7</v>
      </c>
      <c r="D992" s="116">
        <v>1011.9</v>
      </c>
      <c r="E992" s="116">
        <v>1016.15</v>
      </c>
      <c r="F992" s="116">
        <v>1020.7</v>
      </c>
      <c r="G992">
        <v>30870</v>
      </c>
      <c r="H992" s="116"/>
      <c r="I992" s="116"/>
      <c r="L992" s="170">
        <v>43465</v>
      </c>
      <c r="M992" s="116">
        <v>1020.4</v>
      </c>
      <c r="N992" s="116">
        <v>1026.3</v>
      </c>
      <c r="O992" s="116">
        <v>1012.45</v>
      </c>
      <c r="P992" s="116">
        <v>1017.9</v>
      </c>
      <c r="Q992" s="116">
        <v>1020.4</v>
      </c>
      <c r="R992">
        <v>384489</v>
      </c>
    </row>
    <row r="993" spans="1:18" x14ac:dyDescent="0.25">
      <c r="A993" s="170">
        <v>43466</v>
      </c>
      <c r="B993" s="116">
        <v>1036.8</v>
      </c>
      <c r="C993" s="116">
        <v>1026.7</v>
      </c>
      <c r="D993" s="116">
        <v>1020.7</v>
      </c>
      <c r="E993" s="116">
        <v>1024.0999999999999</v>
      </c>
      <c r="F993" s="116">
        <v>1026.7</v>
      </c>
      <c r="G993">
        <v>70769</v>
      </c>
      <c r="H993" s="116"/>
      <c r="I993" s="116"/>
      <c r="L993" s="170">
        <v>43466</v>
      </c>
      <c r="M993" s="116">
        <v>1026.75</v>
      </c>
      <c r="N993" s="116">
        <v>1035.5</v>
      </c>
      <c r="O993" s="116">
        <v>1020.85</v>
      </c>
      <c r="P993" s="116">
        <v>1024.45</v>
      </c>
      <c r="Q993" s="116">
        <v>1026.75</v>
      </c>
      <c r="R993">
        <v>671934</v>
      </c>
    </row>
    <row r="994" spans="1:18" x14ac:dyDescent="0.25">
      <c r="A994" s="170">
        <v>43467</v>
      </c>
      <c r="B994" s="116">
        <v>1041.95</v>
      </c>
      <c r="C994" s="116">
        <v>1025.0999999999999</v>
      </c>
      <c r="D994" s="116">
        <v>1020.65</v>
      </c>
      <c r="E994" s="116">
        <v>1030</v>
      </c>
      <c r="F994" s="116">
        <v>1025.0999999999999</v>
      </c>
      <c r="G994">
        <v>59674</v>
      </c>
      <c r="H994" s="116"/>
      <c r="I994" s="116"/>
      <c r="L994" s="170">
        <v>43467</v>
      </c>
      <c r="M994" s="116">
        <v>1024.8</v>
      </c>
      <c r="N994" s="116">
        <v>1042</v>
      </c>
      <c r="O994" s="116">
        <v>1020</v>
      </c>
      <c r="P994" s="116">
        <v>1029</v>
      </c>
      <c r="Q994" s="116">
        <v>1024.8</v>
      </c>
      <c r="R994">
        <v>827581</v>
      </c>
    </row>
    <row r="995" spans="1:18" x14ac:dyDescent="0.25">
      <c r="A995" s="170">
        <v>43468</v>
      </c>
      <c r="B995" s="116">
        <v>1039.5</v>
      </c>
      <c r="C995" s="116">
        <v>1030.4000000000001</v>
      </c>
      <c r="D995" s="116">
        <v>1025.55</v>
      </c>
      <c r="E995" s="116">
        <v>1028.95</v>
      </c>
      <c r="F995" s="116">
        <v>1030.4000000000001</v>
      </c>
      <c r="G995">
        <v>41967</v>
      </c>
      <c r="H995" s="116"/>
      <c r="I995" s="116"/>
      <c r="L995" s="170">
        <v>43468</v>
      </c>
      <c r="M995" s="116">
        <v>1029.7</v>
      </c>
      <c r="N995" s="116">
        <v>1037.9000000000001</v>
      </c>
      <c r="O995" s="116">
        <v>1025</v>
      </c>
      <c r="P995" s="116">
        <v>1030</v>
      </c>
      <c r="Q995" s="116">
        <v>1029.7</v>
      </c>
      <c r="R995">
        <v>477746</v>
      </c>
    </row>
    <row r="996" spans="1:18" x14ac:dyDescent="0.25">
      <c r="A996" s="170">
        <v>43469</v>
      </c>
      <c r="B996" s="116">
        <v>1034.5</v>
      </c>
      <c r="C996" s="116">
        <v>1003.7</v>
      </c>
      <c r="D996" s="116">
        <v>985.5</v>
      </c>
      <c r="E996" s="116">
        <v>1030.05</v>
      </c>
      <c r="F996" s="116">
        <v>1003.7</v>
      </c>
      <c r="G996">
        <v>121834</v>
      </c>
      <c r="H996" s="116"/>
      <c r="I996" s="116"/>
      <c r="L996" s="170">
        <v>43469</v>
      </c>
      <c r="M996" s="116">
        <v>1003.9</v>
      </c>
      <c r="N996" s="116">
        <v>1035</v>
      </c>
      <c r="O996" s="116">
        <v>984.05</v>
      </c>
      <c r="P996" s="116">
        <v>1030</v>
      </c>
      <c r="Q996" s="116">
        <v>1003.9</v>
      </c>
      <c r="R996">
        <v>1194424</v>
      </c>
    </row>
    <row r="997" spans="1:18" x14ac:dyDescent="0.25">
      <c r="A997" s="170">
        <v>43472</v>
      </c>
      <c r="B997" s="116">
        <v>1013.75</v>
      </c>
      <c r="C997" s="116">
        <v>979.25</v>
      </c>
      <c r="D997" s="116">
        <v>970.9</v>
      </c>
      <c r="E997" s="116">
        <v>1010</v>
      </c>
      <c r="F997" s="116">
        <v>979.25</v>
      </c>
      <c r="G997">
        <v>116463</v>
      </c>
      <c r="H997" s="116"/>
      <c r="I997" s="116"/>
      <c r="L997" s="170">
        <v>43472</v>
      </c>
      <c r="M997" s="116">
        <v>978.45</v>
      </c>
      <c r="N997" s="116">
        <v>1013.6</v>
      </c>
      <c r="O997" s="116">
        <v>970</v>
      </c>
      <c r="P997" s="116">
        <v>1011</v>
      </c>
      <c r="Q997" s="116">
        <v>978.45</v>
      </c>
      <c r="R997">
        <v>1225753</v>
      </c>
    </row>
    <row r="998" spans="1:18" x14ac:dyDescent="0.25">
      <c r="A998" s="170">
        <v>43473</v>
      </c>
      <c r="B998" s="116">
        <v>990.5</v>
      </c>
      <c r="C998" s="116">
        <v>973.35</v>
      </c>
      <c r="D998" s="116">
        <v>960.1</v>
      </c>
      <c r="E998" s="116">
        <v>974</v>
      </c>
      <c r="F998" s="116">
        <v>973.35</v>
      </c>
      <c r="G998">
        <v>265947</v>
      </c>
      <c r="H998" s="116"/>
      <c r="I998" s="116"/>
      <c r="L998" s="170">
        <v>43473</v>
      </c>
      <c r="M998" s="116">
        <v>972.25</v>
      </c>
      <c r="N998" s="116">
        <v>991.65</v>
      </c>
      <c r="O998" s="116">
        <v>960</v>
      </c>
      <c r="P998" s="116">
        <v>975</v>
      </c>
      <c r="Q998" s="116">
        <v>972.25</v>
      </c>
      <c r="R998">
        <v>4365760</v>
      </c>
    </row>
    <row r="999" spans="1:18" x14ac:dyDescent="0.25">
      <c r="A999" s="170">
        <v>43474</v>
      </c>
      <c r="B999" s="116">
        <v>993</v>
      </c>
      <c r="C999" s="116">
        <v>969.9</v>
      </c>
      <c r="D999" s="116">
        <v>964.5</v>
      </c>
      <c r="E999" s="116">
        <v>971.1</v>
      </c>
      <c r="F999" s="116">
        <v>969.9</v>
      </c>
      <c r="G999">
        <v>105697</v>
      </c>
      <c r="H999" s="116"/>
      <c r="I999" s="116"/>
      <c r="L999" s="170">
        <v>43474</v>
      </c>
      <c r="M999" s="116">
        <v>970.05</v>
      </c>
      <c r="N999" s="116">
        <v>994</v>
      </c>
      <c r="O999" s="116">
        <v>963</v>
      </c>
      <c r="P999" s="116">
        <v>975</v>
      </c>
      <c r="Q999" s="116">
        <v>970.05</v>
      </c>
      <c r="R999">
        <v>1345457</v>
      </c>
    </row>
    <row r="1000" spans="1:18" x14ac:dyDescent="0.25">
      <c r="A1000" s="170">
        <v>43475</v>
      </c>
      <c r="B1000" s="116">
        <v>977.8</v>
      </c>
      <c r="C1000" s="116">
        <v>969.2</v>
      </c>
      <c r="D1000" s="116">
        <v>965</v>
      </c>
      <c r="E1000" s="116">
        <v>977.8</v>
      </c>
      <c r="F1000" s="116">
        <v>969.2</v>
      </c>
      <c r="G1000">
        <v>33825</v>
      </c>
      <c r="H1000" s="116"/>
      <c r="I1000" s="116"/>
      <c r="L1000" s="170">
        <v>43475</v>
      </c>
      <c r="M1000" s="116">
        <v>969.5</v>
      </c>
      <c r="N1000" s="116">
        <v>977</v>
      </c>
      <c r="O1000" s="116">
        <v>966</v>
      </c>
      <c r="P1000" s="116">
        <v>973</v>
      </c>
      <c r="Q1000" s="116">
        <v>969.5</v>
      </c>
      <c r="R1000">
        <v>473621</v>
      </c>
    </row>
    <row r="1001" spans="1:18" x14ac:dyDescent="0.25">
      <c r="A1001" s="170">
        <v>43476</v>
      </c>
      <c r="B1001" s="116">
        <v>972</v>
      </c>
      <c r="C1001" s="116">
        <v>961.65</v>
      </c>
      <c r="D1001" s="116">
        <v>949</v>
      </c>
      <c r="E1001" s="116">
        <v>966.8</v>
      </c>
      <c r="F1001" s="116">
        <v>961.65</v>
      </c>
      <c r="G1001">
        <v>90373</v>
      </c>
      <c r="H1001" s="116"/>
      <c r="I1001" s="116"/>
      <c r="L1001" s="170">
        <v>43476</v>
      </c>
      <c r="M1001" s="116">
        <v>961.95</v>
      </c>
      <c r="N1001" s="116">
        <v>974.1</v>
      </c>
      <c r="O1001" s="116">
        <v>948.1</v>
      </c>
      <c r="P1001" s="116">
        <v>974</v>
      </c>
      <c r="Q1001" s="116">
        <v>961.95</v>
      </c>
      <c r="R1001">
        <v>1410190</v>
      </c>
    </row>
    <row r="1002" spans="1:18" x14ac:dyDescent="0.25">
      <c r="A1002" s="170">
        <v>43479</v>
      </c>
      <c r="B1002" s="116">
        <v>974</v>
      </c>
      <c r="C1002" s="116">
        <v>969.85</v>
      </c>
      <c r="D1002" s="116">
        <v>956</v>
      </c>
      <c r="E1002" s="116">
        <v>970</v>
      </c>
      <c r="F1002" s="116">
        <v>969.85</v>
      </c>
      <c r="G1002">
        <v>32254</v>
      </c>
      <c r="H1002" s="116"/>
      <c r="I1002" s="116"/>
      <c r="L1002" s="170">
        <v>43479</v>
      </c>
      <c r="M1002" s="116">
        <v>968.95</v>
      </c>
      <c r="N1002" s="116">
        <v>974.4</v>
      </c>
      <c r="O1002" s="116">
        <v>956</v>
      </c>
      <c r="P1002" s="116">
        <v>964.45</v>
      </c>
      <c r="Q1002" s="116">
        <v>968.95</v>
      </c>
      <c r="R1002">
        <v>479983</v>
      </c>
    </row>
    <row r="1003" spans="1:18" x14ac:dyDescent="0.25">
      <c r="A1003" s="170">
        <v>43480</v>
      </c>
      <c r="B1003" s="116">
        <v>984.6</v>
      </c>
      <c r="C1003" s="116">
        <v>978.35</v>
      </c>
      <c r="D1003" s="116">
        <v>970.35</v>
      </c>
      <c r="E1003" s="116">
        <v>972</v>
      </c>
      <c r="F1003" s="116">
        <v>978.35</v>
      </c>
      <c r="G1003">
        <v>45825</v>
      </c>
      <c r="H1003" s="116"/>
      <c r="I1003" s="116"/>
      <c r="L1003" s="170">
        <v>43480</v>
      </c>
      <c r="M1003" s="116">
        <v>979.2</v>
      </c>
      <c r="N1003" s="116">
        <v>984.3</v>
      </c>
      <c r="O1003" s="116">
        <v>970.5</v>
      </c>
      <c r="P1003" s="116">
        <v>970.5</v>
      </c>
      <c r="Q1003" s="116">
        <v>979.2</v>
      </c>
      <c r="R1003">
        <v>657468</v>
      </c>
    </row>
    <row r="1004" spans="1:18" x14ac:dyDescent="0.25">
      <c r="A1004" s="170">
        <v>43481</v>
      </c>
      <c r="B1004" s="116">
        <v>985.1</v>
      </c>
      <c r="C1004" s="116">
        <v>970.9</v>
      </c>
      <c r="D1004" s="116">
        <v>967.3</v>
      </c>
      <c r="E1004" s="116">
        <v>984.35</v>
      </c>
      <c r="F1004" s="116">
        <v>970.9</v>
      </c>
      <c r="G1004">
        <v>33007</v>
      </c>
      <c r="H1004" s="116"/>
      <c r="I1004" s="116"/>
      <c r="L1004" s="170">
        <v>43481</v>
      </c>
      <c r="M1004" s="116">
        <v>970.5</v>
      </c>
      <c r="N1004" s="116">
        <v>984.65</v>
      </c>
      <c r="O1004" s="116">
        <v>967.25</v>
      </c>
      <c r="P1004" s="116">
        <v>981.5</v>
      </c>
      <c r="Q1004" s="116">
        <v>970.5</v>
      </c>
      <c r="R1004">
        <v>327270</v>
      </c>
    </row>
    <row r="1005" spans="1:18" x14ac:dyDescent="0.25">
      <c r="A1005" s="170">
        <v>43482</v>
      </c>
      <c r="B1005" s="116">
        <v>979.45</v>
      </c>
      <c r="C1005" s="116">
        <v>967.15</v>
      </c>
      <c r="D1005" s="116">
        <v>963</v>
      </c>
      <c r="E1005" s="116">
        <v>979.2</v>
      </c>
      <c r="F1005" s="116">
        <v>967.15</v>
      </c>
      <c r="G1005">
        <v>39413</v>
      </c>
      <c r="H1005" s="116"/>
      <c r="I1005" s="116"/>
      <c r="L1005" s="170">
        <v>43482</v>
      </c>
      <c r="M1005" s="116">
        <v>968.4</v>
      </c>
      <c r="N1005" s="116">
        <v>979.65</v>
      </c>
      <c r="O1005" s="116">
        <v>964</v>
      </c>
      <c r="P1005" s="116">
        <v>974.8</v>
      </c>
      <c r="Q1005" s="116">
        <v>968.4</v>
      </c>
      <c r="R1005">
        <v>478499</v>
      </c>
    </row>
    <row r="1006" spans="1:18" x14ac:dyDescent="0.25">
      <c r="A1006" s="170">
        <v>43483</v>
      </c>
      <c r="B1006" s="116">
        <v>976.7</v>
      </c>
      <c r="C1006" s="116">
        <v>962.55</v>
      </c>
      <c r="D1006" s="116">
        <v>959.3</v>
      </c>
      <c r="E1006" s="116">
        <v>975.65</v>
      </c>
      <c r="F1006" s="116">
        <v>962.55</v>
      </c>
      <c r="G1006">
        <v>33726</v>
      </c>
      <c r="H1006" s="116"/>
      <c r="I1006" s="116"/>
      <c r="L1006" s="170">
        <v>43483</v>
      </c>
      <c r="M1006" s="116">
        <v>962.9</v>
      </c>
      <c r="N1006" s="116">
        <v>973.15</v>
      </c>
      <c r="O1006" s="116">
        <v>959.1</v>
      </c>
      <c r="P1006" s="116">
        <v>970</v>
      </c>
      <c r="Q1006" s="116">
        <v>962.9</v>
      </c>
      <c r="R1006">
        <v>366679</v>
      </c>
    </row>
    <row r="1007" spans="1:18" x14ac:dyDescent="0.25">
      <c r="A1007" s="170">
        <v>43486</v>
      </c>
      <c r="B1007" s="116">
        <v>981.25</v>
      </c>
      <c r="C1007" s="116">
        <v>963.65</v>
      </c>
      <c r="D1007" s="116">
        <v>957.55</v>
      </c>
      <c r="E1007" s="116">
        <v>963</v>
      </c>
      <c r="F1007" s="116">
        <v>963.65</v>
      </c>
      <c r="G1007">
        <v>52070</v>
      </c>
      <c r="H1007" s="116"/>
      <c r="I1007" s="116"/>
      <c r="L1007" s="170">
        <v>43486</v>
      </c>
      <c r="M1007" s="116">
        <v>963.45</v>
      </c>
      <c r="N1007" s="116">
        <v>981.4</v>
      </c>
      <c r="O1007" s="116">
        <v>956.45</v>
      </c>
      <c r="P1007" s="116">
        <v>960.2</v>
      </c>
      <c r="Q1007" s="116">
        <v>963.45</v>
      </c>
      <c r="R1007">
        <v>556855</v>
      </c>
    </row>
    <row r="1008" spans="1:18" x14ac:dyDescent="0.25">
      <c r="A1008" s="170">
        <v>43487</v>
      </c>
      <c r="B1008" s="116">
        <v>971.5</v>
      </c>
      <c r="C1008" s="116">
        <v>967.05</v>
      </c>
      <c r="D1008" s="116">
        <v>960.55</v>
      </c>
      <c r="E1008" s="116">
        <v>965</v>
      </c>
      <c r="F1008" s="116">
        <v>967.05</v>
      </c>
      <c r="G1008">
        <v>19833</v>
      </c>
      <c r="H1008" s="116"/>
      <c r="I1008" s="116"/>
      <c r="L1008" s="170">
        <v>43487</v>
      </c>
      <c r="M1008" s="116">
        <v>967.85</v>
      </c>
      <c r="N1008" s="116">
        <v>972</v>
      </c>
      <c r="O1008" s="116">
        <v>961.1</v>
      </c>
      <c r="P1008" s="116">
        <v>962.05</v>
      </c>
      <c r="Q1008" s="116">
        <v>967.85</v>
      </c>
      <c r="R1008">
        <v>280798</v>
      </c>
    </row>
    <row r="1009" spans="1:18" x14ac:dyDescent="0.25">
      <c r="A1009" s="170">
        <v>43488</v>
      </c>
      <c r="B1009" s="116">
        <v>980</v>
      </c>
      <c r="C1009" s="116">
        <v>967</v>
      </c>
      <c r="D1009" s="116">
        <v>963.1</v>
      </c>
      <c r="E1009" s="116">
        <v>972.7</v>
      </c>
      <c r="F1009" s="116">
        <v>967</v>
      </c>
      <c r="G1009">
        <v>22364</v>
      </c>
      <c r="H1009" s="116"/>
      <c r="I1009" s="116"/>
      <c r="L1009" s="170">
        <v>43488</v>
      </c>
      <c r="M1009" s="116">
        <v>966.8</v>
      </c>
      <c r="N1009" s="116">
        <v>981.4</v>
      </c>
      <c r="O1009" s="116">
        <v>962</v>
      </c>
      <c r="P1009" s="116">
        <v>970</v>
      </c>
      <c r="Q1009" s="116">
        <v>966.8</v>
      </c>
      <c r="R1009">
        <v>349506</v>
      </c>
    </row>
    <row r="1010" spans="1:18" x14ac:dyDescent="0.25">
      <c r="A1010" s="170">
        <v>43489</v>
      </c>
      <c r="B1010" s="116">
        <v>966.05</v>
      </c>
      <c r="C1010" s="116">
        <v>933.55</v>
      </c>
      <c r="D1010" s="116">
        <v>929.6</v>
      </c>
      <c r="E1010" s="116">
        <v>964</v>
      </c>
      <c r="F1010" s="116">
        <v>933.55</v>
      </c>
      <c r="G1010">
        <v>101918</v>
      </c>
      <c r="H1010" s="116"/>
      <c r="I1010" s="116"/>
      <c r="L1010" s="170">
        <v>43489</v>
      </c>
      <c r="M1010" s="116">
        <v>933.3</v>
      </c>
      <c r="N1010" s="116">
        <v>966.15</v>
      </c>
      <c r="O1010" s="116">
        <v>929.15</v>
      </c>
      <c r="P1010" s="116">
        <v>962.4</v>
      </c>
      <c r="Q1010" s="116">
        <v>933.3</v>
      </c>
      <c r="R1010">
        <v>1357593</v>
      </c>
    </row>
    <row r="1011" spans="1:18" x14ac:dyDescent="0.25">
      <c r="A1011" s="170">
        <v>43490</v>
      </c>
      <c r="B1011" s="116">
        <v>945.05</v>
      </c>
      <c r="C1011" s="116">
        <v>913.2</v>
      </c>
      <c r="D1011" s="116">
        <v>905</v>
      </c>
      <c r="E1011" s="116">
        <v>945.05</v>
      </c>
      <c r="F1011" s="116">
        <v>913.2</v>
      </c>
      <c r="G1011">
        <v>65287</v>
      </c>
      <c r="H1011" s="116"/>
      <c r="I1011" s="116"/>
      <c r="L1011" s="170">
        <v>43490</v>
      </c>
      <c r="M1011" s="116">
        <v>912.8</v>
      </c>
      <c r="N1011" s="116">
        <v>939.6</v>
      </c>
      <c r="O1011" s="116">
        <v>908.1</v>
      </c>
      <c r="P1011" s="116">
        <v>937.4</v>
      </c>
      <c r="Q1011" s="116">
        <v>912.8</v>
      </c>
      <c r="R1011">
        <v>798253</v>
      </c>
    </row>
    <row r="1012" spans="1:18" x14ac:dyDescent="0.25">
      <c r="A1012" s="170">
        <v>43493</v>
      </c>
      <c r="B1012" s="116">
        <v>917</v>
      </c>
      <c r="C1012" s="116">
        <v>876.65</v>
      </c>
      <c r="D1012" s="116">
        <v>873.55</v>
      </c>
      <c r="E1012" s="116">
        <v>917</v>
      </c>
      <c r="F1012" s="116">
        <v>876.65</v>
      </c>
      <c r="G1012">
        <v>48910</v>
      </c>
      <c r="H1012" s="116"/>
      <c r="I1012" s="116"/>
      <c r="L1012" s="170">
        <v>43493</v>
      </c>
      <c r="M1012" s="116">
        <v>875.1</v>
      </c>
      <c r="N1012" s="116">
        <v>917.5</v>
      </c>
      <c r="O1012" s="116">
        <v>872.1</v>
      </c>
      <c r="P1012" s="116">
        <v>914</v>
      </c>
      <c r="Q1012" s="116">
        <v>875.1</v>
      </c>
      <c r="R1012">
        <v>687170</v>
      </c>
    </row>
    <row r="1013" spans="1:18" x14ac:dyDescent="0.25">
      <c r="A1013" s="170">
        <v>43494</v>
      </c>
      <c r="B1013" s="116">
        <v>890.75</v>
      </c>
      <c r="C1013" s="116">
        <v>885.95</v>
      </c>
      <c r="D1013" s="116">
        <v>872</v>
      </c>
      <c r="E1013" s="116">
        <v>876.55</v>
      </c>
      <c r="F1013" s="116">
        <v>885.95</v>
      </c>
      <c r="G1013">
        <v>26917</v>
      </c>
      <c r="H1013" s="116"/>
      <c r="I1013" s="116"/>
      <c r="L1013" s="170">
        <v>43494</v>
      </c>
      <c r="M1013" s="116">
        <v>884.95</v>
      </c>
      <c r="N1013" s="116">
        <v>891.5</v>
      </c>
      <c r="O1013" s="116">
        <v>871</v>
      </c>
      <c r="P1013" s="116">
        <v>878.9</v>
      </c>
      <c r="Q1013" s="116">
        <v>884.95</v>
      </c>
      <c r="R1013">
        <v>382535</v>
      </c>
    </row>
    <row r="1014" spans="1:18" x14ac:dyDescent="0.25">
      <c r="A1014" s="170">
        <v>43495</v>
      </c>
      <c r="B1014" s="116">
        <v>899.5</v>
      </c>
      <c r="C1014" s="116">
        <v>878.65</v>
      </c>
      <c r="D1014" s="116">
        <v>866.8</v>
      </c>
      <c r="E1014" s="116">
        <v>899.5</v>
      </c>
      <c r="F1014" s="116">
        <v>878.65</v>
      </c>
      <c r="G1014">
        <v>36324</v>
      </c>
      <c r="H1014" s="116"/>
      <c r="I1014" s="116"/>
      <c r="L1014" s="170">
        <v>43495</v>
      </c>
      <c r="M1014" s="116">
        <v>879.3</v>
      </c>
      <c r="N1014" s="116">
        <v>895</v>
      </c>
      <c r="O1014" s="116">
        <v>866</v>
      </c>
      <c r="P1014" s="116">
        <v>892.9</v>
      </c>
      <c r="Q1014" s="116">
        <v>879.3</v>
      </c>
      <c r="R1014">
        <v>382653</v>
      </c>
    </row>
    <row r="1015" spans="1:18" x14ac:dyDescent="0.25">
      <c r="A1015" s="170">
        <v>43496</v>
      </c>
      <c r="B1015" s="116">
        <v>885</v>
      </c>
      <c r="C1015" s="116">
        <v>872.95</v>
      </c>
      <c r="D1015" s="116">
        <v>865</v>
      </c>
      <c r="E1015" s="116">
        <v>885</v>
      </c>
      <c r="F1015" s="116">
        <v>872.95</v>
      </c>
      <c r="G1015">
        <v>46705</v>
      </c>
      <c r="H1015" s="116"/>
      <c r="I1015" s="116"/>
      <c r="L1015" s="170">
        <v>43496</v>
      </c>
      <c r="M1015" s="116">
        <v>874</v>
      </c>
      <c r="N1015" s="116">
        <v>883.35</v>
      </c>
      <c r="O1015" s="116">
        <v>866.4</v>
      </c>
      <c r="P1015" s="116">
        <v>879.35</v>
      </c>
      <c r="Q1015" s="116">
        <v>874</v>
      </c>
      <c r="R1015">
        <v>405147</v>
      </c>
    </row>
    <row r="1016" spans="1:18" x14ac:dyDescent="0.25">
      <c r="A1016" s="170">
        <v>43497</v>
      </c>
      <c r="B1016" s="116">
        <v>893.6</v>
      </c>
      <c r="C1016" s="116">
        <v>888.35</v>
      </c>
      <c r="D1016" s="116">
        <v>875.7</v>
      </c>
      <c r="E1016" s="116">
        <v>875.7</v>
      </c>
      <c r="F1016" s="116">
        <v>888.35</v>
      </c>
      <c r="G1016">
        <v>50088</v>
      </c>
      <c r="H1016" s="116"/>
      <c r="I1016" s="116"/>
      <c r="L1016" s="170">
        <v>43497</v>
      </c>
      <c r="M1016" s="116">
        <v>889.3</v>
      </c>
      <c r="N1016" s="116">
        <v>893.95</v>
      </c>
      <c r="O1016" s="116">
        <v>874.05</v>
      </c>
      <c r="P1016" s="116">
        <v>877.6</v>
      </c>
      <c r="Q1016" s="116">
        <v>889.3</v>
      </c>
      <c r="R1016">
        <v>498559</v>
      </c>
    </row>
    <row r="1017" spans="1:18" x14ac:dyDescent="0.25">
      <c r="A1017" s="170">
        <v>43500</v>
      </c>
      <c r="B1017" s="116">
        <v>900.8</v>
      </c>
      <c r="C1017" s="116">
        <v>888.45</v>
      </c>
      <c r="D1017" s="116">
        <v>882.7</v>
      </c>
      <c r="E1017" s="116">
        <v>897.5</v>
      </c>
      <c r="F1017" s="116">
        <v>888.45</v>
      </c>
      <c r="G1017">
        <v>30574</v>
      </c>
      <c r="H1017" s="116"/>
      <c r="I1017" s="116"/>
      <c r="L1017" s="170">
        <v>43500</v>
      </c>
      <c r="M1017" s="116">
        <v>888.65</v>
      </c>
      <c r="N1017" s="116">
        <v>900.8</v>
      </c>
      <c r="O1017" s="116">
        <v>881.4</v>
      </c>
      <c r="P1017" s="116">
        <v>894</v>
      </c>
      <c r="Q1017" s="116">
        <v>888.65</v>
      </c>
      <c r="R1017">
        <v>649150</v>
      </c>
    </row>
    <row r="1018" spans="1:18" x14ac:dyDescent="0.25">
      <c r="A1018" s="170">
        <v>43501</v>
      </c>
      <c r="B1018" s="116">
        <v>904.4</v>
      </c>
      <c r="C1018" s="116">
        <v>897.25</v>
      </c>
      <c r="D1018" s="116">
        <v>879.2</v>
      </c>
      <c r="E1018" s="116">
        <v>890</v>
      </c>
      <c r="F1018" s="116">
        <v>897.25</v>
      </c>
      <c r="G1018">
        <v>39666</v>
      </c>
      <c r="H1018" s="116"/>
      <c r="I1018" s="116"/>
      <c r="L1018" s="170">
        <v>43501</v>
      </c>
      <c r="M1018" s="116">
        <v>897.4</v>
      </c>
      <c r="N1018" s="116">
        <v>904.2</v>
      </c>
      <c r="O1018" s="116">
        <v>879.75</v>
      </c>
      <c r="P1018" s="116">
        <v>890.5</v>
      </c>
      <c r="Q1018" s="116">
        <v>897.4</v>
      </c>
      <c r="R1018">
        <v>488902</v>
      </c>
    </row>
    <row r="1019" spans="1:18" x14ac:dyDescent="0.25">
      <c r="A1019" s="170">
        <v>43502</v>
      </c>
      <c r="B1019" s="116">
        <v>912.6</v>
      </c>
      <c r="C1019" s="116">
        <v>905.75</v>
      </c>
      <c r="D1019" s="116">
        <v>896.35</v>
      </c>
      <c r="E1019" s="116">
        <v>900</v>
      </c>
      <c r="F1019" s="116">
        <v>905.75</v>
      </c>
      <c r="G1019">
        <v>61409</v>
      </c>
      <c r="H1019" s="116"/>
      <c r="I1019" s="116"/>
      <c r="L1019" s="170">
        <v>43502</v>
      </c>
      <c r="M1019" s="116">
        <v>907.9</v>
      </c>
      <c r="N1019" s="116">
        <v>912.4</v>
      </c>
      <c r="O1019" s="116">
        <v>897.05</v>
      </c>
      <c r="P1019" s="116">
        <v>899.9</v>
      </c>
      <c r="Q1019" s="116">
        <v>907.9</v>
      </c>
      <c r="R1019">
        <v>672639</v>
      </c>
    </row>
    <row r="1020" spans="1:18" x14ac:dyDescent="0.25">
      <c r="A1020" s="170">
        <v>43503</v>
      </c>
      <c r="B1020" s="116">
        <v>928.65</v>
      </c>
      <c r="C1020" s="116">
        <v>920.55</v>
      </c>
      <c r="D1020" s="116">
        <v>905</v>
      </c>
      <c r="E1020" s="116">
        <v>911</v>
      </c>
      <c r="F1020" s="116">
        <v>920.55</v>
      </c>
      <c r="G1020">
        <v>37117</v>
      </c>
      <c r="H1020" s="116"/>
      <c r="I1020" s="116"/>
      <c r="L1020" s="170">
        <v>43503</v>
      </c>
      <c r="M1020" s="116">
        <v>922.9</v>
      </c>
      <c r="N1020" s="116">
        <v>929.9</v>
      </c>
      <c r="O1020" s="116">
        <v>905.2</v>
      </c>
      <c r="P1020" s="116">
        <v>906.1</v>
      </c>
      <c r="Q1020" s="116">
        <v>922.9</v>
      </c>
      <c r="R1020">
        <v>845227</v>
      </c>
    </row>
    <row r="1021" spans="1:18" x14ac:dyDescent="0.25">
      <c r="A1021" s="170">
        <v>43504</v>
      </c>
      <c r="B1021" s="116">
        <v>923.75</v>
      </c>
      <c r="C1021" s="116">
        <v>902.3</v>
      </c>
      <c r="D1021" s="116">
        <v>898</v>
      </c>
      <c r="E1021" s="116">
        <v>920</v>
      </c>
      <c r="F1021" s="116">
        <v>902.3</v>
      </c>
      <c r="G1021">
        <v>50498</v>
      </c>
      <c r="H1021" s="116"/>
      <c r="I1021" s="116"/>
      <c r="L1021" s="170">
        <v>43504</v>
      </c>
      <c r="M1021" s="116">
        <v>904.5</v>
      </c>
      <c r="N1021" s="116">
        <v>922.35</v>
      </c>
      <c r="O1021" s="116">
        <v>897.25</v>
      </c>
      <c r="P1021" s="116">
        <v>918.8</v>
      </c>
      <c r="Q1021" s="116">
        <v>904.5</v>
      </c>
      <c r="R1021">
        <v>543811</v>
      </c>
    </row>
    <row r="1022" spans="1:18" x14ac:dyDescent="0.25">
      <c r="A1022" s="170">
        <v>43507</v>
      </c>
      <c r="B1022" s="116">
        <v>920</v>
      </c>
      <c r="C1022" s="116">
        <v>905.05</v>
      </c>
      <c r="D1022" s="116">
        <v>889.7</v>
      </c>
      <c r="E1022" s="116">
        <v>920</v>
      </c>
      <c r="F1022" s="116">
        <v>905.05</v>
      </c>
      <c r="G1022">
        <v>20735</v>
      </c>
      <c r="H1022" s="116"/>
      <c r="I1022" s="116"/>
      <c r="L1022" s="170">
        <v>43507</v>
      </c>
      <c r="M1022" s="116">
        <v>903.8</v>
      </c>
      <c r="N1022" s="116">
        <v>908.4</v>
      </c>
      <c r="O1022" s="116">
        <v>889.05</v>
      </c>
      <c r="P1022" s="116">
        <v>900</v>
      </c>
      <c r="Q1022" s="116">
        <v>903.8</v>
      </c>
      <c r="R1022">
        <v>379046</v>
      </c>
    </row>
    <row r="1023" spans="1:18" x14ac:dyDescent="0.25">
      <c r="A1023" s="170">
        <v>43508</v>
      </c>
      <c r="B1023" s="116">
        <v>911</v>
      </c>
      <c r="C1023" s="116">
        <v>889.25</v>
      </c>
      <c r="D1023" s="116">
        <v>885.1</v>
      </c>
      <c r="E1023" s="116">
        <v>905.05</v>
      </c>
      <c r="F1023" s="116">
        <v>889.25</v>
      </c>
      <c r="G1023">
        <v>35330</v>
      </c>
      <c r="H1023" s="116"/>
      <c r="I1023" s="116"/>
      <c r="L1023" s="170">
        <v>43508</v>
      </c>
      <c r="M1023" s="116">
        <v>888.3</v>
      </c>
      <c r="N1023" s="116">
        <v>911.7</v>
      </c>
      <c r="O1023" s="116">
        <v>884.55</v>
      </c>
      <c r="P1023" s="116">
        <v>907</v>
      </c>
      <c r="Q1023" s="116">
        <v>888.3</v>
      </c>
      <c r="R1023">
        <v>391811</v>
      </c>
    </row>
    <row r="1024" spans="1:18" x14ac:dyDescent="0.25">
      <c r="A1024" s="170">
        <v>43509</v>
      </c>
      <c r="B1024" s="116">
        <v>900.3</v>
      </c>
      <c r="C1024" s="116">
        <v>876.9</v>
      </c>
      <c r="D1024" s="116">
        <v>871.7</v>
      </c>
      <c r="E1024" s="116">
        <v>888</v>
      </c>
      <c r="F1024" s="116">
        <v>876.9</v>
      </c>
      <c r="G1024">
        <v>32874</v>
      </c>
      <c r="H1024" s="116"/>
      <c r="I1024" s="116"/>
      <c r="L1024" s="170">
        <v>43509</v>
      </c>
      <c r="M1024" s="116">
        <v>876.8</v>
      </c>
      <c r="N1024" s="116">
        <v>901.5</v>
      </c>
      <c r="O1024" s="116">
        <v>872.1</v>
      </c>
      <c r="P1024" s="116">
        <v>888.3</v>
      </c>
      <c r="Q1024" s="116">
        <v>876.8</v>
      </c>
      <c r="R1024">
        <v>713315</v>
      </c>
    </row>
    <row r="1025" spans="1:18" x14ac:dyDescent="0.25">
      <c r="A1025" s="170">
        <v>43510</v>
      </c>
      <c r="B1025" s="116">
        <v>887.95</v>
      </c>
      <c r="C1025" s="116">
        <v>883.65</v>
      </c>
      <c r="D1025" s="116">
        <v>874.25</v>
      </c>
      <c r="E1025" s="116">
        <v>880.9</v>
      </c>
      <c r="F1025" s="116">
        <v>883.65</v>
      </c>
      <c r="G1025">
        <v>28459</v>
      </c>
      <c r="H1025" s="116"/>
      <c r="I1025" s="116"/>
      <c r="L1025" s="170">
        <v>43510</v>
      </c>
      <c r="M1025" s="116">
        <v>881.85</v>
      </c>
      <c r="N1025" s="116">
        <v>887.5</v>
      </c>
      <c r="O1025" s="116">
        <v>873.65</v>
      </c>
      <c r="P1025" s="116">
        <v>878.7</v>
      </c>
      <c r="Q1025" s="116">
        <v>881.85</v>
      </c>
      <c r="R1025">
        <v>366347</v>
      </c>
    </row>
    <row r="1026" spans="1:18" x14ac:dyDescent="0.25">
      <c r="A1026" s="170">
        <v>43511</v>
      </c>
      <c r="B1026" s="116">
        <v>891.05</v>
      </c>
      <c r="C1026" s="116">
        <v>860.4</v>
      </c>
      <c r="D1026" s="116">
        <v>849.95</v>
      </c>
      <c r="E1026" s="116">
        <v>886</v>
      </c>
      <c r="F1026" s="116">
        <v>860.4</v>
      </c>
      <c r="G1026">
        <v>50369</v>
      </c>
      <c r="H1026" s="116"/>
      <c r="I1026" s="116"/>
      <c r="L1026" s="170">
        <v>43511</v>
      </c>
      <c r="M1026" s="116">
        <v>860.05</v>
      </c>
      <c r="N1026" s="116">
        <v>891.65</v>
      </c>
      <c r="O1026" s="116">
        <v>848.4</v>
      </c>
      <c r="P1026" s="116">
        <v>883.9</v>
      </c>
      <c r="Q1026" s="116">
        <v>860.05</v>
      </c>
      <c r="R1026">
        <v>624416</v>
      </c>
    </row>
    <row r="1027" spans="1:18" x14ac:dyDescent="0.25">
      <c r="A1027" s="170">
        <v>43514</v>
      </c>
      <c r="B1027" s="116">
        <v>863.9</v>
      </c>
      <c r="C1027" s="116">
        <v>856.8</v>
      </c>
      <c r="D1027" s="116">
        <v>826</v>
      </c>
      <c r="E1027" s="116">
        <v>860.4</v>
      </c>
      <c r="F1027" s="116">
        <v>856.8</v>
      </c>
      <c r="G1027">
        <v>115050</v>
      </c>
      <c r="H1027" s="116"/>
      <c r="I1027" s="116"/>
      <c r="L1027" s="170">
        <v>43514</v>
      </c>
      <c r="M1027" s="116">
        <v>859.25</v>
      </c>
      <c r="N1027" s="116">
        <v>865.8</v>
      </c>
      <c r="O1027" s="116">
        <v>830.1</v>
      </c>
      <c r="P1027" s="116">
        <v>863.9</v>
      </c>
      <c r="Q1027" s="116">
        <v>859.25</v>
      </c>
      <c r="R1027">
        <v>1228547</v>
      </c>
    </row>
    <row r="1028" spans="1:18" x14ac:dyDescent="0.25">
      <c r="A1028" s="170">
        <v>43515</v>
      </c>
      <c r="B1028" s="116">
        <v>862.45</v>
      </c>
      <c r="C1028" s="116">
        <v>856.4</v>
      </c>
      <c r="D1028" s="116">
        <v>849.1</v>
      </c>
      <c r="E1028" s="116">
        <v>856.8</v>
      </c>
      <c r="F1028" s="116">
        <v>856.4</v>
      </c>
      <c r="G1028">
        <v>34212</v>
      </c>
      <c r="H1028" s="116"/>
      <c r="I1028" s="116"/>
      <c r="L1028" s="170">
        <v>43515</v>
      </c>
      <c r="M1028" s="116">
        <v>856.15</v>
      </c>
      <c r="N1028" s="116">
        <v>862.85</v>
      </c>
      <c r="O1028" s="116">
        <v>848.65</v>
      </c>
      <c r="P1028" s="116">
        <v>859.8</v>
      </c>
      <c r="Q1028" s="116">
        <v>856.15</v>
      </c>
      <c r="R1028">
        <v>440365</v>
      </c>
    </row>
    <row r="1029" spans="1:18" x14ac:dyDescent="0.25">
      <c r="A1029" s="170">
        <v>43516</v>
      </c>
      <c r="B1029" s="116">
        <v>897.7</v>
      </c>
      <c r="C1029" s="116">
        <v>889.7</v>
      </c>
      <c r="D1029" s="116">
        <v>851</v>
      </c>
      <c r="E1029" s="116">
        <v>857.25</v>
      </c>
      <c r="F1029" s="116">
        <v>889.7</v>
      </c>
      <c r="G1029">
        <v>53473</v>
      </c>
      <c r="H1029" s="116"/>
      <c r="I1029" s="116"/>
      <c r="L1029" s="170">
        <v>43516</v>
      </c>
      <c r="M1029" s="116">
        <v>889.6</v>
      </c>
      <c r="N1029" s="116">
        <v>899</v>
      </c>
      <c r="O1029" s="116">
        <v>849.9</v>
      </c>
      <c r="P1029" s="116">
        <v>855</v>
      </c>
      <c r="Q1029" s="116">
        <v>889.6</v>
      </c>
      <c r="R1029">
        <v>773933</v>
      </c>
    </row>
    <row r="1030" spans="1:18" x14ac:dyDescent="0.25">
      <c r="A1030" s="170">
        <v>43517</v>
      </c>
      <c r="B1030" s="116">
        <v>914</v>
      </c>
      <c r="C1030" s="116">
        <v>901.65</v>
      </c>
      <c r="D1030" s="116">
        <v>890</v>
      </c>
      <c r="E1030" s="116">
        <v>890</v>
      </c>
      <c r="F1030" s="116">
        <v>901.65</v>
      </c>
      <c r="G1030">
        <v>112608</v>
      </c>
      <c r="H1030" s="116"/>
      <c r="I1030" s="116"/>
      <c r="L1030" s="170">
        <v>43517</v>
      </c>
      <c r="M1030" s="116">
        <v>900.65</v>
      </c>
      <c r="N1030" s="116">
        <v>913.85</v>
      </c>
      <c r="O1030" s="116">
        <v>893.75</v>
      </c>
      <c r="P1030" s="116">
        <v>895</v>
      </c>
      <c r="Q1030" s="116">
        <v>900.65</v>
      </c>
      <c r="R1030">
        <v>915215</v>
      </c>
    </row>
    <row r="1031" spans="1:18" x14ac:dyDescent="0.25">
      <c r="A1031" s="170">
        <v>43518</v>
      </c>
      <c r="B1031" s="116">
        <v>914</v>
      </c>
      <c r="C1031" s="116">
        <v>905.15</v>
      </c>
      <c r="D1031" s="116">
        <v>900</v>
      </c>
      <c r="E1031" s="116">
        <v>907.4</v>
      </c>
      <c r="F1031" s="116">
        <v>905.15</v>
      </c>
      <c r="G1031">
        <v>23728</v>
      </c>
      <c r="H1031" s="116"/>
      <c r="I1031" s="116"/>
      <c r="L1031" s="170">
        <v>43518</v>
      </c>
      <c r="M1031" s="116">
        <v>905.2</v>
      </c>
      <c r="N1031" s="116">
        <v>914.95</v>
      </c>
      <c r="O1031" s="116">
        <v>899.55</v>
      </c>
      <c r="P1031" s="116">
        <v>903</v>
      </c>
      <c r="Q1031" s="116">
        <v>905.2</v>
      </c>
      <c r="R1031">
        <v>496669</v>
      </c>
    </row>
    <row r="1032" spans="1:18" x14ac:dyDescent="0.25">
      <c r="A1032" s="170">
        <v>43521</v>
      </c>
      <c r="B1032" s="116">
        <v>912</v>
      </c>
      <c r="C1032" s="116">
        <v>903.25</v>
      </c>
      <c r="D1032" s="116">
        <v>901.4</v>
      </c>
      <c r="E1032" s="116">
        <v>910</v>
      </c>
      <c r="F1032" s="116">
        <v>903.25</v>
      </c>
      <c r="G1032">
        <v>10560</v>
      </c>
      <c r="H1032" s="116"/>
      <c r="I1032" s="116"/>
      <c r="L1032" s="170">
        <v>43521</v>
      </c>
      <c r="M1032" s="116">
        <v>901.75</v>
      </c>
      <c r="N1032" s="116">
        <v>911.5</v>
      </c>
      <c r="O1032" s="116">
        <v>899.45</v>
      </c>
      <c r="P1032" s="116">
        <v>906</v>
      </c>
      <c r="Q1032" s="116">
        <v>901.75</v>
      </c>
      <c r="R1032">
        <v>249212</v>
      </c>
    </row>
    <row r="1033" spans="1:18" x14ac:dyDescent="0.25">
      <c r="A1033" s="170">
        <v>43522</v>
      </c>
      <c r="B1033" s="116">
        <v>900.3</v>
      </c>
      <c r="C1033" s="116">
        <v>884.05</v>
      </c>
      <c r="D1033" s="116">
        <v>875</v>
      </c>
      <c r="E1033" s="116">
        <v>891.1</v>
      </c>
      <c r="F1033" s="116">
        <v>884.05</v>
      </c>
      <c r="G1033">
        <v>30917</v>
      </c>
      <c r="H1033" s="116"/>
      <c r="I1033" s="116"/>
      <c r="L1033" s="170">
        <v>43522</v>
      </c>
      <c r="M1033" s="116">
        <v>882.15</v>
      </c>
      <c r="N1033" s="116">
        <v>903.55</v>
      </c>
      <c r="O1033" s="116">
        <v>874.15</v>
      </c>
      <c r="P1033" s="116">
        <v>903.5</v>
      </c>
      <c r="Q1033" s="116">
        <v>882.15</v>
      </c>
      <c r="R1033">
        <v>571939</v>
      </c>
    </row>
    <row r="1034" spans="1:18" x14ac:dyDescent="0.25">
      <c r="A1034" s="170">
        <v>43523</v>
      </c>
      <c r="B1034" s="116">
        <v>901</v>
      </c>
      <c r="C1034" s="116">
        <v>881.6</v>
      </c>
      <c r="D1034" s="116">
        <v>879</v>
      </c>
      <c r="E1034" s="116">
        <v>887</v>
      </c>
      <c r="F1034" s="116">
        <v>881.6</v>
      </c>
      <c r="G1034">
        <v>30008</v>
      </c>
      <c r="H1034" s="116"/>
      <c r="I1034" s="116"/>
      <c r="L1034" s="170">
        <v>43523</v>
      </c>
      <c r="M1034" s="116">
        <v>881.85</v>
      </c>
      <c r="N1034" s="116">
        <v>901</v>
      </c>
      <c r="O1034" s="116">
        <v>878</v>
      </c>
      <c r="P1034" s="116">
        <v>885.7</v>
      </c>
      <c r="Q1034" s="116">
        <v>881.85</v>
      </c>
      <c r="R1034">
        <v>378516</v>
      </c>
    </row>
    <row r="1035" spans="1:18" x14ac:dyDescent="0.25">
      <c r="A1035" s="170">
        <v>43524</v>
      </c>
      <c r="B1035" s="116">
        <v>892.75</v>
      </c>
      <c r="C1035" s="116">
        <v>885.2</v>
      </c>
      <c r="D1035" s="116">
        <v>879.1</v>
      </c>
      <c r="E1035" s="116">
        <v>889</v>
      </c>
      <c r="F1035" s="116">
        <v>885.2</v>
      </c>
      <c r="G1035">
        <v>21272</v>
      </c>
      <c r="H1035" s="116"/>
      <c r="I1035" s="116"/>
      <c r="L1035" s="170">
        <v>43524</v>
      </c>
      <c r="M1035" s="116">
        <v>884.85</v>
      </c>
      <c r="N1035" s="116">
        <v>892.25</v>
      </c>
      <c r="O1035" s="116">
        <v>878.3</v>
      </c>
      <c r="P1035" s="116">
        <v>887.4</v>
      </c>
      <c r="Q1035" s="116">
        <v>884.85</v>
      </c>
      <c r="R1035">
        <v>256509</v>
      </c>
    </row>
    <row r="1036" spans="1:18" x14ac:dyDescent="0.25">
      <c r="A1036" s="170">
        <v>43525</v>
      </c>
      <c r="B1036" s="116">
        <v>913.5</v>
      </c>
      <c r="C1036" s="116">
        <v>911.25</v>
      </c>
      <c r="D1036" s="116">
        <v>888.15</v>
      </c>
      <c r="E1036" s="116">
        <v>890.65</v>
      </c>
      <c r="F1036" s="116">
        <v>911.25</v>
      </c>
      <c r="G1036">
        <v>48588</v>
      </c>
      <c r="H1036" s="116"/>
      <c r="I1036" s="116"/>
      <c r="L1036" s="170">
        <v>43525</v>
      </c>
      <c r="M1036" s="116">
        <v>911.4</v>
      </c>
      <c r="N1036" s="116">
        <v>915</v>
      </c>
      <c r="O1036" s="116">
        <v>886</v>
      </c>
      <c r="P1036" s="116">
        <v>890</v>
      </c>
      <c r="Q1036" s="116">
        <v>911.4</v>
      </c>
      <c r="R1036">
        <v>553424</v>
      </c>
    </row>
    <row r="1037" spans="1:18" x14ac:dyDescent="0.25">
      <c r="A1037" s="170">
        <v>43529</v>
      </c>
      <c r="B1037" s="116">
        <v>929.9</v>
      </c>
      <c r="C1037" s="116">
        <v>924.3</v>
      </c>
      <c r="D1037" s="116">
        <v>918</v>
      </c>
      <c r="E1037" s="116">
        <v>918</v>
      </c>
      <c r="F1037" s="116">
        <v>924.3</v>
      </c>
      <c r="G1037">
        <v>30528</v>
      </c>
      <c r="H1037" s="116"/>
      <c r="I1037" s="116"/>
      <c r="L1037" s="170">
        <v>43529</v>
      </c>
      <c r="M1037" s="116">
        <v>926.05</v>
      </c>
      <c r="N1037" s="116">
        <v>934.05</v>
      </c>
      <c r="O1037" s="116">
        <v>915</v>
      </c>
      <c r="P1037" s="116">
        <v>915</v>
      </c>
      <c r="Q1037" s="116">
        <v>926.05</v>
      </c>
      <c r="R1037">
        <v>538136</v>
      </c>
    </row>
    <row r="1038" spans="1:18" x14ac:dyDescent="0.25">
      <c r="A1038" s="170">
        <v>43530</v>
      </c>
      <c r="B1038" s="116">
        <v>958</v>
      </c>
      <c r="C1038" s="116">
        <v>950.8</v>
      </c>
      <c r="D1038" s="116">
        <v>930</v>
      </c>
      <c r="E1038" s="116">
        <v>935</v>
      </c>
      <c r="F1038" s="116">
        <v>950.8</v>
      </c>
      <c r="G1038">
        <v>79864</v>
      </c>
      <c r="H1038" s="116"/>
      <c r="I1038" s="116"/>
      <c r="L1038" s="170">
        <v>43530</v>
      </c>
      <c r="M1038" s="116">
        <v>950.1</v>
      </c>
      <c r="N1038" s="116">
        <v>957.5</v>
      </c>
      <c r="O1038" s="116">
        <v>927</v>
      </c>
      <c r="P1038" s="116">
        <v>931.8</v>
      </c>
      <c r="Q1038" s="116">
        <v>950.1</v>
      </c>
      <c r="R1038">
        <v>1015237</v>
      </c>
    </row>
    <row r="1039" spans="1:18" x14ac:dyDescent="0.25">
      <c r="A1039" s="170">
        <v>43531</v>
      </c>
      <c r="B1039" s="116">
        <v>997.5</v>
      </c>
      <c r="C1039" s="116">
        <v>963</v>
      </c>
      <c r="D1039" s="116">
        <v>958</v>
      </c>
      <c r="E1039" s="116">
        <v>961.9</v>
      </c>
      <c r="F1039" s="116">
        <v>963</v>
      </c>
      <c r="G1039">
        <v>320073</v>
      </c>
      <c r="H1039" s="116"/>
      <c r="I1039" s="116"/>
      <c r="L1039" s="170">
        <v>43531</v>
      </c>
      <c r="M1039" s="116">
        <v>960.75</v>
      </c>
      <c r="N1039" s="116">
        <v>998</v>
      </c>
      <c r="O1039" s="116">
        <v>955.1</v>
      </c>
      <c r="P1039" s="116">
        <v>963</v>
      </c>
      <c r="Q1039" s="116">
        <v>960.75</v>
      </c>
      <c r="R1039">
        <v>4636310</v>
      </c>
    </row>
    <row r="1040" spans="1:18" x14ac:dyDescent="0.25">
      <c r="A1040" s="170">
        <v>43532</v>
      </c>
      <c r="B1040" s="116">
        <v>975.5</v>
      </c>
      <c r="C1040" s="116">
        <v>956.85</v>
      </c>
      <c r="D1040" s="116">
        <v>951.3</v>
      </c>
      <c r="E1040" s="116">
        <v>963</v>
      </c>
      <c r="F1040" s="116">
        <v>956.85</v>
      </c>
      <c r="G1040">
        <v>125394</v>
      </c>
      <c r="H1040" s="116"/>
      <c r="I1040" s="116"/>
      <c r="L1040" s="170">
        <v>43532</v>
      </c>
      <c r="M1040" s="116">
        <v>958</v>
      </c>
      <c r="N1040" s="116">
        <v>974</v>
      </c>
      <c r="O1040" s="116">
        <v>953</v>
      </c>
      <c r="P1040" s="116">
        <v>960</v>
      </c>
      <c r="Q1040" s="116">
        <v>958</v>
      </c>
      <c r="R1040">
        <v>1062106</v>
      </c>
    </row>
    <row r="1041" spans="1:18" x14ac:dyDescent="0.25">
      <c r="A1041" s="170">
        <v>43535</v>
      </c>
      <c r="B1041" s="116">
        <v>965.05</v>
      </c>
      <c r="C1041" s="116">
        <v>956.6</v>
      </c>
      <c r="D1041" s="116">
        <v>947.9</v>
      </c>
      <c r="E1041" s="116">
        <v>961.85</v>
      </c>
      <c r="F1041" s="116">
        <v>956.6</v>
      </c>
      <c r="G1041">
        <v>58286</v>
      </c>
      <c r="H1041" s="116"/>
      <c r="I1041" s="116"/>
      <c r="L1041" s="170">
        <v>43535</v>
      </c>
      <c r="M1041" s="116">
        <v>956.05</v>
      </c>
      <c r="N1041" s="116">
        <v>965</v>
      </c>
      <c r="O1041" s="116">
        <v>947</v>
      </c>
      <c r="P1041" s="116">
        <v>960.9</v>
      </c>
      <c r="Q1041" s="116">
        <v>956.05</v>
      </c>
      <c r="R1041">
        <v>648512</v>
      </c>
    </row>
    <row r="1042" spans="1:18" x14ac:dyDescent="0.25">
      <c r="A1042" s="170">
        <v>43536</v>
      </c>
      <c r="B1042" s="116">
        <v>971.5</v>
      </c>
      <c r="C1042" s="116">
        <v>960.25</v>
      </c>
      <c r="D1042" s="116">
        <v>956.2</v>
      </c>
      <c r="E1042" s="116">
        <v>965.15</v>
      </c>
      <c r="F1042" s="116">
        <v>960.25</v>
      </c>
      <c r="G1042">
        <v>38593</v>
      </c>
      <c r="H1042" s="116"/>
      <c r="I1042" s="116"/>
      <c r="L1042" s="170">
        <v>43536</v>
      </c>
      <c r="M1042" s="116">
        <v>959.7</v>
      </c>
      <c r="N1042" s="116">
        <v>971.95</v>
      </c>
      <c r="O1042" s="116">
        <v>955.65</v>
      </c>
      <c r="P1042" s="116">
        <v>960.05</v>
      </c>
      <c r="Q1042" s="116">
        <v>959.7</v>
      </c>
      <c r="R1042">
        <v>446366</v>
      </c>
    </row>
    <row r="1043" spans="1:18" x14ac:dyDescent="0.25">
      <c r="A1043" s="170">
        <v>43537</v>
      </c>
      <c r="B1043" s="116">
        <v>982.95</v>
      </c>
      <c r="C1043" s="116">
        <v>959.9</v>
      </c>
      <c r="D1043" s="116">
        <v>955.8</v>
      </c>
      <c r="E1043" s="116">
        <v>965</v>
      </c>
      <c r="F1043" s="116">
        <v>959.9</v>
      </c>
      <c r="G1043">
        <v>86956</v>
      </c>
      <c r="H1043" s="116"/>
      <c r="I1043" s="116"/>
      <c r="L1043" s="170">
        <v>43537</v>
      </c>
      <c r="M1043" s="116">
        <v>961.35</v>
      </c>
      <c r="N1043" s="116">
        <v>983</v>
      </c>
      <c r="O1043" s="116">
        <v>956</v>
      </c>
      <c r="P1043" s="116">
        <v>962</v>
      </c>
      <c r="Q1043" s="116">
        <v>961.35</v>
      </c>
      <c r="R1043">
        <v>1034800</v>
      </c>
    </row>
    <row r="1044" spans="1:18" x14ac:dyDescent="0.25">
      <c r="A1044" s="170">
        <v>43538</v>
      </c>
      <c r="B1044" s="116">
        <v>968.05</v>
      </c>
      <c r="C1044" s="116">
        <v>949.7</v>
      </c>
      <c r="D1044" s="116">
        <v>945.9</v>
      </c>
      <c r="E1044" s="116">
        <v>965.9</v>
      </c>
      <c r="F1044" s="116">
        <v>949.7</v>
      </c>
      <c r="G1044">
        <v>44514</v>
      </c>
      <c r="H1044" s="116"/>
      <c r="I1044" s="116"/>
      <c r="L1044" s="170">
        <v>43538</v>
      </c>
      <c r="M1044" s="116">
        <v>950.05</v>
      </c>
      <c r="N1044" s="116">
        <v>968.6</v>
      </c>
      <c r="O1044" s="116">
        <v>945</v>
      </c>
      <c r="P1044" s="116">
        <v>964</v>
      </c>
      <c r="Q1044" s="116">
        <v>950.05</v>
      </c>
      <c r="R1044">
        <v>683238</v>
      </c>
    </row>
    <row r="1045" spans="1:18" x14ac:dyDescent="0.25">
      <c r="A1045" s="170">
        <v>43539</v>
      </c>
      <c r="B1045" s="116">
        <v>985.5</v>
      </c>
      <c r="C1045" s="116">
        <v>979</v>
      </c>
      <c r="D1045" s="116">
        <v>947.35</v>
      </c>
      <c r="E1045" s="116">
        <v>953.1</v>
      </c>
      <c r="F1045" s="116">
        <v>979</v>
      </c>
      <c r="G1045">
        <v>129453</v>
      </c>
      <c r="H1045" s="116"/>
      <c r="I1045" s="116"/>
      <c r="L1045" s="170">
        <v>43539</v>
      </c>
      <c r="M1045" s="116">
        <v>979.75</v>
      </c>
      <c r="N1045" s="116">
        <v>986</v>
      </c>
      <c r="O1045" s="116">
        <v>946</v>
      </c>
      <c r="P1045" s="116">
        <v>951.9</v>
      </c>
      <c r="Q1045" s="116">
        <v>979.75</v>
      </c>
      <c r="R1045">
        <v>1478751</v>
      </c>
    </row>
    <row r="1046" spans="1:18" x14ac:dyDescent="0.25">
      <c r="A1046" s="170">
        <v>43542</v>
      </c>
      <c r="B1046" s="116">
        <v>995.25</v>
      </c>
      <c r="C1046" s="116">
        <v>982.6</v>
      </c>
      <c r="D1046" s="116">
        <v>980.05</v>
      </c>
      <c r="E1046" s="116">
        <v>987</v>
      </c>
      <c r="F1046" s="116">
        <v>982.6</v>
      </c>
      <c r="G1046">
        <v>88104</v>
      </c>
      <c r="H1046" s="116"/>
      <c r="I1046" s="116"/>
      <c r="L1046" s="170">
        <v>43542</v>
      </c>
      <c r="M1046" s="116">
        <v>983.2</v>
      </c>
      <c r="N1046" s="116">
        <v>994.9</v>
      </c>
      <c r="O1046" s="116">
        <v>979</v>
      </c>
      <c r="P1046" s="116">
        <v>985.85</v>
      </c>
      <c r="Q1046" s="116">
        <v>983.2</v>
      </c>
      <c r="R1046">
        <v>978693</v>
      </c>
    </row>
    <row r="1047" spans="1:18" x14ac:dyDescent="0.25">
      <c r="A1047" s="170">
        <v>43543</v>
      </c>
      <c r="B1047" s="116">
        <v>993.35</v>
      </c>
      <c r="C1047" s="116">
        <v>985.25</v>
      </c>
      <c r="D1047" s="116">
        <v>977.75</v>
      </c>
      <c r="E1047" s="116">
        <v>986</v>
      </c>
      <c r="F1047" s="116">
        <v>985.25</v>
      </c>
      <c r="G1047">
        <v>44950</v>
      </c>
      <c r="H1047" s="116"/>
      <c r="I1047" s="116"/>
      <c r="L1047" s="170">
        <v>43543</v>
      </c>
      <c r="M1047" s="116">
        <v>985.45</v>
      </c>
      <c r="N1047" s="116">
        <v>992.6</v>
      </c>
      <c r="O1047" s="116">
        <v>978.15</v>
      </c>
      <c r="P1047" s="116">
        <v>983.35</v>
      </c>
      <c r="Q1047" s="116">
        <v>985.45</v>
      </c>
      <c r="R1047">
        <v>481436</v>
      </c>
    </row>
    <row r="1048" spans="1:18" x14ac:dyDescent="0.25">
      <c r="A1048" s="170">
        <v>43544</v>
      </c>
      <c r="B1048" s="116">
        <v>1010.9</v>
      </c>
      <c r="C1048" s="116">
        <v>986.95</v>
      </c>
      <c r="D1048" s="116">
        <v>980.85</v>
      </c>
      <c r="E1048" s="116">
        <v>988</v>
      </c>
      <c r="F1048" s="116">
        <v>986.95</v>
      </c>
      <c r="G1048">
        <v>143397</v>
      </c>
      <c r="H1048" s="116"/>
      <c r="I1048" s="116"/>
      <c r="L1048" s="170">
        <v>43544</v>
      </c>
      <c r="M1048" s="116">
        <v>986.75</v>
      </c>
      <c r="N1048" s="116">
        <v>1010.95</v>
      </c>
      <c r="O1048" s="116">
        <v>981.5</v>
      </c>
      <c r="P1048" s="116">
        <v>984.4</v>
      </c>
      <c r="Q1048" s="116">
        <v>986.75</v>
      </c>
      <c r="R1048">
        <v>1316236</v>
      </c>
    </row>
    <row r="1049" spans="1:18" x14ac:dyDescent="0.25">
      <c r="A1049" s="170">
        <v>43546</v>
      </c>
      <c r="B1049" s="116">
        <v>998.2</v>
      </c>
      <c r="C1049" s="116">
        <v>979.7</v>
      </c>
      <c r="D1049" s="116">
        <v>975.8</v>
      </c>
      <c r="E1049" s="116">
        <v>988.05</v>
      </c>
      <c r="F1049" s="116">
        <v>979.7</v>
      </c>
      <c r="G1049">
        <v>80226</v>
      </c>
      <c r="H1049" s="116"/>
      <c r="I1049" s="116"/>
      <c r="L1049" s="170">
        <v>43546</v>
      </c>
      <c r="M1049" s="116">
        <v>980.3</v>
      </c>
      <c r="N1049" s="116">
        <v>997.6</v>
      </c>
      <c r="O1049" s="116">
        <v>977</v>
      </c>
      <c r="P1049" s="116">
        <v>991.85</v>
      </c>
      <c r="Q1049" s="116">
        <v>980.3</v>
      </c>
      <c r="R1049">
        <v>596051</v>
      </c>
    </row>
    <row r="1050" spans="1:18" x14ac:dyDescent="0.25">
      <c r="A1050" s="170">
        <v>43549</v>
      </c>
      <c r="B1050" s="116">
        <v>976.3</v>
      </c>
      <c r="C1050" s="116">
        <v>956.65</v>
      </c>
      <c r="D1050" s="116">
        <v>952</v>
      </c>
      <c r="E1050" s="116">
        <v>962.5</v>
      </c>
      <c r="F1050" s="116">
        <v>956.65</v>
      </c>
      <c r="G1050">
        <v>29894</v>
      </c>
      <c r="H1050" s="116"/>
      <c r="I1050" s="116"/>
      <c r="L1050" s="170">
        <v>43549</v>
      </c>
      <c r="M1050" s="116">
        <v>956.75</v>
      </c>
      <c r="N1050" s="116">
        <v>977</v>
      </c>
      <c r="O1050" s="116">
        <v>952</v>
      </c>
      <c r="P1050" s="116">
        <v>976.8</v>
      </c>
      <c r="Q1050" s="116">
        <v>956.75</v>
      </c>
      <c r="R1050">
        <v>382533</v>
      </c>
    </row>
    <row r="1051" spans="1:18" x14ac:dyDescent="0.25">
      <c r="A1051" s="170">
        <v>43550</v>
      </c>
      <c r="B1051" s="116">
        <v>961.95</v>
      </c>
      <c r="C1051" s="116">
        <v>957.8</v>
      </c>
      <c r="D1051" s="116">
        <v>945</v>
      </c>
      <c r="E1051" s="116">
        <v>956</v>
      </c>
      <c r="F1051" s="116">
        <v>957.8</v>
      </c>
      <c r="G1051">
        <v>33115</v>
      </c>
      <c r="H1051" s="116"/>
      <c r="I1051" s="116"/>
      <c r="L1051" s="170">
        <v>43550</v>
      </c>
      <c r="M1051" s="116">
        <v>957.95</v>
      </c>
      <c r="N1051" s="116">
        <v>962</v>
      </c>
      <c r="O1051" s="116">
        <v>944</v>
      </c>
      <c r="P1051" s="116">
        <v>954</v>
      </c>
      <c r="Q1051" s="116">
        <v>957.95</v>
      </c>
      <c r="R1051">
        <v>431580</v>
      </c>
    </row>
    <row r="1052" spans="1:18" x14ac:dyDescent="0.25">
      <c r="A1052" s="170">
        <v>43551</v>
      </c>
      <c r="B1052" s="116">
        <v>966.55</v>
      </c>
      <c r="C1052" s="116">
        <v>950.95</v>
      </c>
      <c r="D1052" s="116">
        <v>948.25</v>
      </c>
      <c r="E1052" s="116">
        <v>957.3</v>
      </c>
      <c r="F1052" s="116">
        <v>950.95</v>
      </c>
      <c r="G1052">
        <v>34702</v>
      </c>
      <c r="H1052" s="116"/>
      <c r="I1052" s="116"/>
      <c r="L1052" s="170">
        <v>43551</v>
      </c>
      <c r="M1052" s="116">
        <v>950.5</v>
      </c>
      <c r="N1052" s="116">
        <v>967.7</v>
      </c>
      <c r="O1052" s="116">
        <v>947.55</v>
      </c>
      <c r="P1052" s="116">
        <v>958.8</v>
      </c>
      <c r="Q1052" s="116">
        <v>950.5</v>
      </c>
      <c r="R1052">
        <v>356826</v>
      </c>
    </row>
    <row r="1053" spans="1:18" x14ac:dyDescent="0.25">
      <c r="A1053" s="170">
        <v>43552</v>
      </c>
      <c r="B1053" s="116">
        <v>964.8</v>
      </c>
      <c r="C1053" s="116">
        <v>959.8</v>
      </c>
      <c r="D1053" s="116">
        <v>949.05</v>
      </c>
      <c r="E1053" s="116">
        <v>954.45</v>
      </c>
      <c r="F1053" s="116">
        <v>959.8</v>
      </c>
      <c r="G1053">
        <v>45873</v>
      </c>
      <c r="H1053" s="116"/>
      <c r="I1053" s="116"/>
      <c r="L1053" s="170">
        <v>43552</v>
      </c>
      <c r="M1053" s="116">
        <v>958.55</v>
      </c>
      <c r="N1053" s="116">
        <v>962.85</v>
      </c>
      <c r="O1053" s="116">
        <v>948.3</v>
      </c>
      <c r="P1053" s="116">
        <v>952.55</v>
      </c>
      <c r="Q1053" s="116">
        <v>958.55</v>
      </c>
      <c r="R1053">
        <v>480893</v>
      </c>
    </row>
    <row r="1054" spans="1:18" x14ac:dyDescent="0.25">
      <c r="A1054" s="170">
        <v>43553</v>
      </c>
      <c r="B1054" s="116">
        <v>970.75</v>
      </c>
      <c r="C1054" s="116">
        <v>963.25</v>
      </c>
      <c r="D1054" s="116">
        <v>958.85</v>
      </c>
      <c r="E1054" s="116">
        <v>964</v>
      </c>
      <c r="F1054" s="116">
        <v>963.25</v>
      </c>
      <c r="G1054">
        <v>23120</v>
      </c>
      <c r="H1054" s="116"/>
      <c r="I1054" s="116"/>
      <c r="L1054" s="170">
        <v>43553</v>
      </c>
      <c r="M1054" s="116">
        <v>963.1</v>
      </c>
      <c r="N1054" s="116">
        <v>970.9</v>
      </c>
      <c r="O1054" s="116">
        <v>958.55</v>
      </c>
      <c r="P1054" s="116">
        <v>964.6</v>
      </c>
      <c r="Q1054" s="116">
        <v>963.1</v>
      </c>
      <c r="R1054">
        <v>332715</v>
      </c>
    </row>
    <row r="1055" spans="1:18" x14ac:dyDescent="0.25">
      <c r="A1055" s="170">
        <v>43556</v>
      </c>
      <c r="B1055" s="116">
        <v>977.1</v>
      </c>
      <c r="C1055" s="116">
        <v>961.95</v>
      </c>
      <c r="D1055" s="116">
        <v>957.1</v>
      </c>
      <c r="E1055" s="116">
        <v>963.35</v>
      </c>
      <c r="F1055" s="116">
        <v>961.95</v>
      </c>
      <c r="G1055">
        <v>36596</v>
      </c>
      <c r="H1055" s="116"/>
      <c r="I1055" s="116"/>
      <c r="L1055" s="170">
        <v>43556</v>
      </c>
      <c r="M1055" s="116">
        <v>960.75</v>
      </c>
      <c r="N1055" s="116">
        <v>976.5</v>
      </c>
      <c r="O1055" s="116">
        <v>955</v>
      </c>
      <c r="P1055" s="116">
        <v>965.1</v>
      </c>
      <c r="Q1055" s="116">
        <v>960.75</v>
      </c>
      <c r="R1055">
        <v>492878</v>
      </c>
    </row>
    <row r="1056" spans="1:18" x14ac:dyDescent="0.25">
      <c r="A1056" s="170">
        <v>43557</v>
      </c>
      <c r="B1056" s="116">
        <v>989</v>
      </c>
      <c r="C1056" s="116">
        <v>982.1</v>
      </c>
      <c r="D1056" s="116">
        <v>965</v>
      </c>
      <c r="E1056" s="116">
        <v>965</v>
      </c>
      <c r="F1056" s="116">
        <v>982.1</v>
      </c>
      <c r="G1056">
        <v>80711</v>
      </c>
      <c r="H1056" s="116"/>
      <c r="I1056" s="116"/>
      <c r="L1056" s="170">
        <v>43557</v>
      </c>
      <c r="M1056" s="116">
        <v>980.05</v>
      </c>
      <c r="N1056" s="116">
        <v>983</v>
      </c>
      <c r="O1056" s="116">
        <v>964.65</v>
      </c>
      <c r="P1056" s="116">
        <v>964.65</v>
      </c>
      <c r="Q1056" s="116">
        <v>980.05</v>
      </c>
      <c r="R1056">
        <v>1126399</v>
      </c>
    </row>
    <row r="1057" spans="1:18" x14ac:dyDescent="0.25">
      <c r="A1057" s="170">
        <v>43558</v>
      </c>
      <c r="B1057" s="116">
        <v>1000</v>
      </c>
      <c r="C1057" s="116">
        <v>974.3</v>
      </c>
      <c r="D1057" s="116">
        <v>970</v>
      </c>
      <c r="E1057" s="116">
        <v>993.2</v>
      </c>
      <c r="F1057" s="116">
        <v>974.3</v>
      </c>
      <c r="G1057">
        <v>72358</v>
      </c>
      <c r="H1057" s="116"/>
      <c r="I1057" s="116"/>
      <c r="L1057" s="170">
        <v>43558</v>
      </c>
      <c r="M1057" s="116">
        <v>975.05</v>
      </c>
      <c r="N1057" s="116">
        <v>1000.7</v>
      </c>
      <c r="O1057" s="116">
        <v>971.15</v>
      </c>
      <c r="P1057" s="116">
        <v>998.8</v>
      </c>
      <c r="Q1057" s="116">
        <v>975.05</v>
      </c>
      <c r="R1057">
        <v>1053259</v>
      </c>
    </row>
    <row r="1058" spans="1:18" x14ac:dyDescent="0.25">
      <c r="A1058" s="170">
        <v>43559</v>
      </c>
      <c r="B1058" s="116">
        <v>977.1</v>
      </c>
      <c r="C1058" s="116">
        <v>962.95</v>
      </c>
      <c r="D1058" s="116">
        <v>957.6</v>
      </c>
      <c r="E1058" s="116">
        <v>977.1</v>
      </c>
      <c r="F1058" s="116">
        <v>962.95</v>
      </c>
      <c r="G1058">
        <v>26885</v>
      </c>
      <c r="H1058" s="116"/>
      <c r="I1058" s="116"/>
      <c r="L1058" s="170">
        <v>43559</v>
      </c>
      <c r="M1058" s="116">
        <v>961.4</v>
      </c>
      <c r="N1058" s="116">
        <v>977.4</v>
      </c>
      <c r="O1058" s="116">
        <v>957.1</v>
      </c>
      <c r="P1058" s="116">
        <v>977.4</v>
      </c>
      <c r="Q1058" s="116">
        <v>961.4</v>
      </c>
      <c r="R1058">
        <v>422661</v>
      </c>
    </row>
    <row r="1059" spans="1:18" x14ac:dyDescent="0.25">
      <c r="A1059" s="170">
        <v>43560</v>
      </c>
      <c r="B1059" s="116">
        <v>973.1</v>
      </c>
      <c r="C1059" s="116">
        <v>964.4</v>
      </c>
      <c r="D1059" s="116">
        <v>962</v>
      </c>
      <c r="E1059" s="116">
        <v>966.8</v>
      </c>
      <c r="F1059" s="116">
        <v>964.4</v>
      </c>
      <c r="G1059">
        <v>23340</v>
      </c>
      <c r="H1059" s="116"/>
      <c r="I1059" s="116"/>
      <c r="L1059" s="170">
        <v>43560</v>
      </c>
      <c r="M1059" s="116">
        <v>965.1</v>
      </c>
      <c r="N1059" s="116">
        <v>972.75</v>
      </c>
      <c r="O1059" s="116">
        <v>961.9</v>
      </c>
      <c r="P1059" s="116">
        <v>965.65</v>
      </c>
      <c r="Q1059" s="116">
        <v>965.1</v>
      </c>
      <c r="R1059">
        <v>295544</v>
      </c>
    </row>
    <row r="1060" spans="1:18" x14ac:dyDescent="0.25">
      <c r="A1060" s="170">
        <v>43563</v>
      </c>
      <c r="B1060" s="116">
        <v>975.2</v>
      </c>
      <c r="C1060" s="116">
        <v>962.95</v>
      </c>
      <c r="D1060" s="116">
        <v>958.5</v>
      </c>
      <c r="E1060" s="116">
        <v>974</v>
      </c>
      <c r="F1060" s="116">
        <v>962.95</v>
      </c>
      <c r="G1060">
        <v>31640</v>
      </c>
      <c r="H1060" s="116"/>
      <c r="I1060" s="116"/>
      <c r="L1060" s="170">
        <v>43563</v>
      </c>
      <c r="M1060" s="116">
        <v>963.95</v>
      </c>
      <c r="N1060" s="116">
        <v>976</v>
      </c>
      <c r="O1060" s="116">
        <v>960</v>
      </c>
      <c r="P1060" s="116">
        <v>967</v>
      </c>
      <c r="Q1060" s="116">
        <v>963.95</v>
      </c>
      <c r="R1060">
        <v>294386</v>
      </c>
    </row>
    <row r="1061" spans="1:18" x14ac:dyDescent="0.25">
      <c r="A1061" s="170">
        <v>43564</v>
      </c>
      <c r="B1061" s="116">
        <v>968.4</v>
      </c>
      <c r="C1061" s="116">
        <v>964.65</v>
      </c>
      <c r="D1061" s="116">
        <v>953</v>
      </c>
      <c r="E1061" s="116">
        <v>964.05</v>
      </c>
      <c r="F1061" s="116">
        <v>964.65</v>
      </c>
      <c r="G1061">
        <v>25731</v>
      </c>
      <c r="H1061" s="116"/>
      <c r="I1061" s="116"/>
      <c r="L1061" s="170">
        <v>43564</v>
      </c>
      <c r="M1061" s="116">
        <v>963.5</v>
      </c>
      <c r="N1061" s="116">
        <v>968.4</v>
      </c>
      <c r="O1061" s="116">
        <v>952.2</v>
      </c>
      <c r="P1061" s="116">
        <v>965.9</v>
      </c>
      <c r="Q1061" s="116">
        <v>963.5</v>
      </c>
      <c r="R1061">
        <v>364138</v>
      </c>
    </row>
    <row r="1062" spans="1:18" x14ac:dyDescent="0.25">
      <c r="A1062" s="170">
        <v>43565</v>
      </c>
      <c r="B1062" s="116">
        <v>976.25</v>
      </c>
      <c r="C1062" s="116">
        <v>967.05</v>
      </c>
      <c r="D1062" s="116">
        <v>960</v>
      </c>
      <c r="E1062" s="116">
        <v>970</v>
      </c>
      <c r="F1062" s="116">
        <v>967.05</v>
      </c>
      <c r="G1062">
        <v>30207</v>
      </c>
      <c r="H1062" s="116"/>
      <c r="I1062" s="116"/>
      <c r="L1062" s="170">
        <v>43565</v>
      </c>
      <c r="M1062" s="116">
        <v>965.7</v>
      </c>
      <c r="N1062" s="116">
        <v>976.75</v>
      </c>
      <c r="O1062" s="116">
        <v>961</v>
      </c>
      <c r="P1062" s="116">
        <v>961.7</v>
      </c>
      <c r="Q1062" s="116">
        <v>965.7</v>
      </c>
      <c r="R1062">
        <v>276070</v>
      </c>
    </row>
    <row r="1063" spans="1:18" x14ac:dyDescent="0.25">
      <c r="A1063" s="170">
        <v>43566</v>
      </c>
      <c r="B1063" s="116">
        <v>965.9</v>
      </c>
      <c r="C1063" s="116">
        <v>958.3</v>
      </c>
      <c r="D1063" s="116">
        <v>956</v>
      </c>
      <c r="E1063" s="116">
        <v>965</v>
      </c>
      <c r="F1063" s="116">
        <v>958.3</v>
      </c>
      <c r="G1063">
        <v>20552</v>
      </c>
      <c r="H1063" s="116"/>
      <c r="I1063" s="116"/>
      <c r="L1063" s="170">
        <v>43566</v>
      </c>
      <c r="M1063" s="116">
        <v>958.25</v>
      </c>
      <c r="N1063" s="116">
        <v>966.7</v>
      </c>
      <c r="O1063" s="116">
        <v>955.45</v>
      </c>
      <c r="P1063" s="116">
        <v>965.95</v>
      </c>
      <c r="Q1063" s="116">
        <v>958.25</v>
      </c>
      <c r="R1063">
        <v>187554</v>
      </c>
    </row>
    <row r="1064" spans="1:18" x14ac:dyDescent="0.25">
      <c r="A1064" s="170">
        <v>43567</v>
      </c>
      <c r="B1064" s="116">
        <v>966.7</v>
      </c>
      <c r="C1064" s="116">
        <v>961.9</v>
      </c>
      <c r="D1064" s="116">
        <v>955.95</v>
      </c>
      <c r="E1064" s="116">
        <v>959</v>
      </c>
      <c r="F1064" s="116">
        <v>961.9</v>
      </c>
      <c r="G1064">
        <v>18037</v>
      </c>
      <c r="H1064" s="116"/>
      <c r="I1064" s="116"/>
      <c r="L1064" s="170">
        <v>43567</v>
      </c>
      <c r="M1064" s="116">
        <v>961.35</v>
      </c>
      <c r="N1064" s="116">
        <v>967</v>
      </c>
      <c r="O1064" s="116">
        <v>955.05</v>
      </c>
      <c r="P1064" s="116">
        <v>957.1</v>
      </c>
      <c r="Q1064" s="116">
        <v>961.35</v>
      </c>
      <c r="R1064">
        <v>233293</v>
      </c>
    </row>
    <row r="1065" spans="1:18" x14ac:dyDescent="0.25">
      <c r="A1065" s="170">
        <v>43570</v>
      </c>
      <c r="B1065" s="116">
        <v>997.55</v>
      </c>
      <c r="C1065" s="116">
        <v>992.7</v>
      </c>
      <c r="D1065" s="116">
        <v>965</v>
      </c>
      <c r="E1065" s="116">
        <v>967.65</v>
      </c>
      <c r="F1065" s="116">
        <v>992.7</v>
      </c>
      <c r="G1065">
        <v>86366</v>
      </c>
      <c r="H1065" s="116"/>
      <c r="I1065" s="116"/>
      <c r="L1065" s="170">
        <v>43570</v>
      </c>
      <c r="M1065" s="116">
        <v>991.85</v>
      </c>
      <c r="N1065" s="116">
        <v>995.6</v>
      </c>
      <c r="O1065" s="116">
        <v>963.8</v>
      </c>
      <c r="P1065" s="116">
        <v>966</v>
      </c>
      <c r="Q1065" s="116">
        <v>991.85</v>
      </c>
      <c r="R1065">
        <v>998092</v>
      </c>
    </row>
    <row r="1066" spans="1:18" x14ac:dyDescent="0.25">
      <c r="A1066" s="170">
        <v>43571</v>
      </c>
      <c r="B1066" s="116">
        <v>1001</v>
      </c>
      <c r="C1066" s="116">
        <v>982.7</v>
      </c>
      <c r="D1066" s="116">
        <v>980.05</v>
      </c>
      <c r="E1066" s="116">
        <v>992</v>
      </c>
      <c r="F1066" s="116">
        <v>982.7</v>
      </c>
      <c r="G1066">
        <v>30181</v>
      </c>
      <c r="H1066" s="116"/>
      <c r="I1066" s="116"/>
      <c r="L1066" s="170">
        <v>43571</v>
      </c>
      <c r="M1066" s="116">
        <v>983.1</v>
      </c>
      <c r="N1066" s="116">
        <v>999.6</v>
      </c>
      <c r="O1066" s="116">
        <v>980.3</v>
      </c>
      <c r="P1066" s="116">
        <v>996.9</v>
      </c>
      <c r="Q1066" s="116">
        <v>983.1</v>
      </c>
      <c r="R1066">
        <v>471121</v>
      </c>
    </row>
    <row r="1067" spans="1:18" x14ac:dyDescent="0.25">
      <c r="A1067" s="170">
        <v>43573</v>
      </c>
      <c r="B1067" s="116">
        <v>985.55</v>
      </c>
      <c r="C1067" s="116">
        <v>956.25</v>
      </c>
      <c r="D1067" s="116">
        <v>952.5</v>
      </c>
      <c r="E1067" s="116">
        <v>981.1</v>
      </c>
      <c r="F1067" s="116">
        <v>956.25</v>
      </c>
      <c r="G1067">
        <v>56169</v>
      </c>
      <c r="H1067" s="116"/>
      <c r="I1067" s="116"/>
      <c r="L1067" s="170">
        <v>43573</v>
      </c>
      <c r="M1067" s="116">
        <v>955.85</v>
      </c>
      <c r="N1067" s="116">
        <v>986.5</v>
      </c>
      <c r="O1067" s="116">
        <v>952.25</v>
      </c>
      <c r="P1067" s="116">
        <v>986.5</v>
      </c>
      <c r="Q1067" s="116">
        <v>955.85</v>
      </c>
      <c r="R1067">
        <v>575591</v>
      </c>
    </row>
    <row r="1068" spans="1:18" x14ac:dyDescent="0.25">
      <c r="A1068" s="170">
        <v>43577</v>
      </c>
      <c r="B1068" s="116">
        <v>973</v>
      </c>
      <c r="C1068" s="116">
        <v>958</v>
      </c>
      <c r="D1068" s="116">
        <v>950.15</v>
      </c>
      <c r="E1068" s="116">
        <v>954.95</v>
      </c>
      <c r="F1068" s="116">
        <v>958</v>
      </c>
      <c r="G1068">
        <v>33662</v>
      </c>
      <c r="H1068" s="116"/>
      <c r="I1068" s="116"/>
      <c r="L1068" s="170">
        <v>43577</v>
      </c>
      <c r="M1068" s="116">
        <v>956.4</v>
      </c>
      <c r="N1068" s="116">
        <v>973.15</v>
      </c>
      <c r="O1068" s="116">
        <v>950.05</v>
      </c>
      <c r="P1068" s="116">
        <v>952.3</v>
      </c>
      <c r="Q1068" s="116">
        <v>956.4</v>
      </c>
      <c r="R1068">
        <v>454240</v>
      </c>
    </row>
    <row r="1069" spans="1:18" x14ac:dyDescent="0.25">
      <c r="A1069" s="170">
        <v>43578</v>
      </c>
      <c r="B1069" s="116">
        <v>962.95</v>
      </c>
      <c r="C1069" s="116">
        <v>949.9</v>
      </c>
      <c r="D1069" s="116">
        <v>948</v>
      </c>
      <c r="E1069" s="116">
        <v>959.05</v>
      </c>
      <c r="F1069" s="116">
        <v>949.9</v>
      </c>
      <c r="G1069">
        <v>26623</v>
      </c>
      <c r="H1069" s="116"/>
      <c r="I1069" s="116"/>
      <c r="L1069" s="170">
        <v>43578</v>
      </c>
      <c r="M1069" s="116">
        <v>950.6</v>
      </c>
      <c r="N1069" s="116">
        <v>961.7</v>
      </c>
      <c r="O1069" s="116">
        <v>948.2</v>
      </c>
      <c r="P1069" s="116">
        <v>961.7</v>
      </c>
      <c r="Q1069" s="116">
        <v>950.6</v>
      </c>
      <c r="R1069">
        <v>275980</v>
      </c>
    </row>
    <row r="1070" spans="1:18" x14ac:dyDescent="0.25">
      <c r="A1070" s="170">
        <v>43579</v>
      </c>
      <c r="B1070" s="116">
        <v>957.6</v>
      </c>
      <c r="C1070" s="116">
        <v>930.3</v>
      </c>
      <c r="D1070" s="116">
        <v>927</v>
      </c>
      <c r="E1070" s="116">
        <v>955</v>
      </c>
      <c r="F1070" s="116">
        <v>930.3</v>
      </c>
      <c r="G1070">
        <v>112560</v>
      </c>
      <c r="H1070" s="116"/>
      <c r="I1070" s="116"/>
      <c r="L1070" s="170">
        <v>43579</v>
      </c>
      <c r="M1070" s="116">
        <v>929.75</v>
      </c>
      <c r="N1070" s="116">
        <v>957.85</v>
      </c>
      <c r="O1070" s="116">
        <v>926.25</v>
      </c>
      <c r="P1070" s="116">
        <v>954</v>
      </c>
      <c r="Q1070" s="116">
        <v>929.75</v>
      </c>
      <c r="R1070">
        <v>1627535</v>
      </c>
    </row>
    <row r="1071" spans="1:18" x14ac:dyDescent="0.25">
      <c r="A1071" s="170">
        <v>43580</v>
      </c>
      <c r="B1071" s="116">
        <v>934.85</v>
      </c>
      <c r="C1071" s="116">
        <v>927</v>
      </c>
      <c r="D1071" s="116">
        <v>923.5</v>
      </c>
      <c r="E1071" s="116">
        <v>930</v>
      </c>
      <c r="F1071" s="116">
        <v>927</v>
      </c>
      <c r="G1071">
        <v>55368</v>
      </c>
      <c r="H1071" s="116"/>
      <c r="I1071" s="116"/>
      <c r="L1071" s="170">
        <v>43580</v>
      </c>
      <c r="M1071" s="116">
        <v>927.3</v>
      </c>
      <c r="N1071" s="116">
        <v>934.4</v>
      </c>
      <c r="O1071" s="116">
        <v>923</v>
      </c>
      <c r="P1071" s="116">
        <v>930</v>
      </c>
      <c r="Q1071" s="116">
        <v>927.3</v>
      </c>
      <c r="R1071">
        <v>717900</v>
      </c>
    </row>
    <row r="1072" spans="1:18" x14ac:dyDescent="0.25">
      <c r="A1072" s="170">
        <v>43581</v>
      </c>
      <c r="B1072" s="116">
        <v>940</v>
      </c>
      <c r="C1072" s="116">
        <v>922.05</v>
      </c>
      <c r="D1072" s="116">
        <v>917.2</v>
      </c>
      <c r="E1072" s="116">
        <v>930.05</v>
      </c>
      <c r="F1072" s="116">
        <v>922.05</v>
      </c>
      <c r="G1072">
        <v>36137</v>
      </c>
      <c r="H1072" s="116"/>
      <c r="I1072" s="116"/>
      <c r="L1072" s="170">
        <v>43581</v>
      </c>
      <c r="M1072" s="116">
        <v>922.45</v>
      </c>
      <c r="N1072" s="116">
        <v>939.95</v>
      </c>
      <c r="O1072" s="116">
        <v>917.4</v>
      </c>
      <c r="P1072" s="116">
        <v>929.9</v>
      </c>
      <c r="Q1072" s="116">
        <v>922.45</v>
      </c>
      <c r="R1072">
        <v>538879</v>
      </c>
    </row>
    <row r="1073" spans="1:18" x14ac:dyDescent="0.25">
      <c r="A1073" s="170">
        <v>43585</v>
      </c>
      <c r="B1073" s="116">
        <v>936</v>
      </c>
      <c r="C1073" s="116">
        <v>930.25</v>
      </c>
      <c r="D1073" s="116">
        <v>916.35</v>
      </c>
      <c r="E1073" s="116">
        <v>924</v>
      </c>
      <c r="F1073" s="116">
        <v>930.25</v>
      </c>
      <c r="G1073">
        <v>32673</v>
      </c>
      <c r="H1073" s="116"/>
      <c r="I1073" s="116"/>
      <c r="L1073" s="170">
        <v>43585</v>
      </c>
      <c r="M1073" s="116">
        <v>930.4</v>
      </c>
      <c r="N1073" s="116">
        <v>936.25</v>
      </c>
      <c r="O1073" s="116">
        <v>915.9</v>
      </c>
      <c r="P1073" s="116">
        <v>924.4</v>
      </c>
      <c r="Q1073" s="116">
        <v>930.4</v>
      </c>
      <c r="R1073">
        <v>637498</v>
      </c>
    </row>
    <row r="1074" spans="1:18" x14ac:dyDescent="0.25">
      <c r="A1074" s="170">
        <v>43587</v>
      </c>
      <c r="B1074" s="116">
        <v>930.35</v>
      </c>
      <c r="C1074" s="116">
        <v>896.1</v>
      </c>
      <c r="D1074" s="116">
        <v>889.95</v>
      </c>
      <c r="E1074" s="116">
        <v>929</v>
      </c>
      <c r="F1074" s="116">
        <v>896.1</v>
      </c>
      <c r="G1074">
        <v>53795</v>
      </c>
      <c r="H1074" s="116"/>
      <c r="I1074" s="116"/>
      <c r="L1074" s="170">
        <v>43587</v>
      </c>
      <c r="M1074" s="116">
        <v>896.2</v>
      </c>
      <c r="N1074" s="116">
        <v>932.7</v>
      </c>
      <c r="O1074" s="116">
        <v>889</v>
      </c>
      <c r="P1074" s="116">
        <v>932.7</v>
      </c>
      <c r="Q1074" s="116">
        <v>896.2</v>
      </c>
      <c r="R1074">
        <v>760497</v>
      </c>
    </row>
    <row r="1075" spans="1:18" x14ac:dyDescent="0.25">
      <c r="A1075" s="170">
        <v>43588</v>
      </c>
      <c r="B1075" s="116">
        <v>890.4</v>
      </c>
      <c r="C1075" s="116">
        <v>873.65</v>
      </c>
      <c r="D1075" s="116">
        <v>868</v>
      </c>
      <c r="E1075" s="116">
        <v>888.7</v>
      </c>
      <c r="F1075" s="116">
        <v>873.65</v>
      </c>
      <c r="G1075">
        <v>53835</v>
      </c>
      <c r="H1075" s="116"/>
      <c r="I1075" s="116"/>
      <c r="L1075" s="170">
        <v>43588</v>
      </c>
      <c r="M1075" s="116">
        <v>873.6</v>
      </c>
      <c r="N1075" s="116">
        <v>890</v>
      </c>
      <c r="O1075" s="116">
        <v>870</v>
      </c>
      <c r="P1075" s="116">
        <v>885</v>
      </c>
      <c r="Q1075" s="116">
        <v>873.6</v>
      </c>
      <c r="R1075">
        <v>738848</v>
      </c>
    </row>
    <row r="1076" spans="1:18" x14ac:dyDescent="0.25">
      <c r="A1076" s="170">
        <v>43591</v>
      </c>
      <c r="B1076" s="116">
        <v>879</v>
      </c>
      <c r="C1076" s="116">
        <v>858.1</v>
      </c>
      <c r="D1076" s="116">
        <v>856.25</v>
      </c>
      <c r="E1076" s="116">
        <v>865</v>
      </c>
      <c r="F1076" s="116">
        <v>858.1</v>
      </c>
      <c r="G1076">
        <v>47359</v>
      </c>
      <c r="H1076" s="116"/>
      <c r="I1076" s="116"/>
      <c r="L1076" s="170">
        <v>43591</v>
      </c>
      <c r="M1076" s="116">
        <v>857.7</v>
      </c>
      <c r="N1076" s="116">
        <v>878.9</v>
      </c>
      <c r="O1076" s="116">
        <v>856</v>
      </c>
      <c r="P1076" s="116">
        <v>870</v>
      </c>
      <c r="Q1076" s="116">
        <v>857.7</v>
      </c>
      <c r="R1076">
        <v>472017</v>
      </c>
    </row>
    <row r="1077" spans="1:18" x14ac:dyDescent="0.25">
      <c r="A1077" s="170">
        <v>43592</v>
      </c>
      <c r="B1077" s="116">
        <v>879</v>
      </c>
      <c r="C1077" s="116">
        <v>859.35</v>
      </c>
      <c r="D1077" s="116">
        <v>857</v>
      </c>
      <c r="E1077" s="116">
        <v>864</v>
      </c>
      <c r="F1077" s="116">
        <v>859.35</v>
      </c>
      <c r="G1077">
        <v>43033</v>
      </c>
      <c r="H1077" s="116"/>
      <c r="I1077" s="116"/>
      <c r="L1077" s="170">
        <v>43592</v>
      </c>
      <c r="M1077" s="116">
        <v>859.65</v>
      </c>
      <c r="N1077" s="116">
        <v>879.85</v>
      </c>
      <c r="O1077" s="116">
        <v>857</v>
      </c>
      <c r="P1077" s="116">
        <v>860.05</v>
      </c>
      <c r="Q1077" s="116">
        <v>859.65</v>
      </c>
      <c r="R1077">
        <v>710267</v>
      </c>
    </row>
    <row r="1078" spans="1:18" x14ac:dyDescent="0.25">
      <c r="A1078" s="170">
        <v>43593</v>
      </c>
      <c r="B1078" s="116">
        <v>871.5</v>
      </c>
      <c r="C1078" s="116">
        <v>859.35</v>
      </c>
      <c r="D1078" s="116">
        <v>853</v>
      </c>
      <c r="E1078" s="116">
        <v>859.7</v>
      </c>
      <c r="F1078" s="116">
        <v>859.35</v>
      </c>
      <c r="G1078">
        <v>29283</v>
      </c>
      <c r="H1078" s="116"/>
      <c r="I1078" s="116"/>
      <c r="L1078" s="170">
        <v>43593</v>
      </c>
      <c r="M1078" s="116">
        <v>860.45</v>
      </c>
      <c r="N1078" s="116">
        <v>871.65</v>
      </c>
      <c r="O1078" s="116">
        <v>852.1</v>
      </c>
      <c r="P1078" s="116">
        <v>859</v>
      </c>
      <c r="Q1078" s="116">
        <v>860.45</v>
      </c>
      <c r="R1078">
        <v>392453</v>
      </c>
    </row>
    <row r="1079" spans="1:18" x14ac:dyDescent="0.25">
      <c r="A1079" s="170">
        <v>43594</v>
      </c>
      <c r="B1079" s="116">
        <v>869.8</v>
      </c>
      <c r="C1079" s="116">
        <v>863.1</v>
      </c>
      <c r="D1079" s="116">
        <v>854.15</v>
      </c>
      <c r="E1079" s="116">
        <v>860.1</v>
      </c>
      <c r="F1079" s="116">
        <v>863.1</v>
      </c>
      <c r="G1079">
        <v>36684</v>
      </c>
      <c r="H1079" s="116"/>
      <c r="I1079" s="116"/>
      <c r="L1079" s="170">
        <v>43594</v>
      </c>
      <c r="M1079" s="116">
        <v>863.35</v>
      </c>
      <c r="N1079" s="116">
        <v>870.2</v>
      </c>
      <c r="O1079" s="116">
        <v>854.5</v>
      </c>
      <c r="P1079" s="116">
        <v>860.45</v>
      </c>
      <c r="Q1079" s="116">
        <v>863.35</v>
      </c>
      <c r="R1079">
        <v>501408</v>
      </c>
    </row>
    <row r="1080" spans="1:18" x14ac:dyDescent="0.25">
      <c r="A1080" s="170">
        <v>43595</v>
      </c>
      <c r="B1080" s="116">
        <v>875</v>
      </c>
      <c r="C1080" s="116">
        <v>862.8</v>
      </c>
      <c r="D1080" s="116">
        <v>859.75</v>
      </c>
      <c r="E1080" s="116">
        <v>867</v>
      </c>
      <c r="F1080" s="116">
        <v>862.8</v>
      </c>
      <c r="G1080">
        <v>33516</v>
      </c>
      <c r="H1080" s="116"/>
      <c r="I1080" s="116"/>
      <c r="L1080" s="170">
        <v>43595</v>
      </c>
      <c r="M1080" s="116">
        <v>862.35</v>
      </c>
      <c r="N1080" s="116">
        <v>875.2</v>
      </c>
      <c r="O1080" s="116">
        <v>858.8</v>
      </c>
      <c r="P1080" s="116">
        <v>864</v>
      </c>
      <c r="Q1080" s="116">
        <v>862.35</v>
      </c>
      <c r="R1080">
        <v>296494</v>
      </c>
    </row>
    <row r="1081" spans="1:18" x14ac:dyDescent="0.25">
      <c r="A1081" s="170">
        <v>43598</v>
      </c>
      <c r="B1081" s="116">
        <v>865</v>
      </c>
      <c r="C1081" s="116">
        <v>845.85</v>
      </c>
      <c r="D1081" s="116">
        <v>842</v>
      </c>
      <c r="E1081" s="116">
        <v>865</v>
      </c>
      <c r="F1081" s="116">
        <v>845.85</v>
      </c>
      <c r="G1081">
        <v>24426</v>
      </c>
      <c r="H1081" s="116"/>
      <c r="I1081" s="116"/>
      <c r="L1081" s="170">
        <v>43598</v>
      </c>
      <c r="M1081" s="116">
        <v>845.45</v>
      </c>
      <c r="N1081" s="116">
        <v>862.6</v>
      </c>
      <c r="O1081" s="116">
        <v>842.55</v>
      </c>
      <c r="P1081" s="116">
        <v>862.1</v>
      </c>
      <c r="Q1081" s="116">
        <v>845.45</v>
      </c>
      <c r="R1081">
        <v>222645</v>
      </c>
    </row>
    <row r="1082" spans="1:18" x14ac:dyDescent="0.25">
      <c r="A1082" s="170">
        <v>43599</v>
      </c>
      <c r="B1082" s="116">
        <v>848</v>
      </c>
      <c r="C1082" s="116">
        <v>839.05</v>
      </c>
      <c r="D1082" s="116">
        <v>822.2</v>
      </c>
      <c r="E1082" s="116">
        <v>848</v>
      </c>
      <c r="F1082" s="116">
        <v>839.05</v>
      </c>
      <c r="G1082">
        <v>44228</v>
      </c>
      <c r="H1082" s="116"/>
      <c r="I1082" s="116"/>
      <c r="L1082" s="170">
        <v>43599</v>
      </c>
      <c r="M1082" s="116">
        <v>838.75</v>
      </c>
      <c r="N1082" s="116">
        <v>846.4</v>
      </c>
      <c r="O1082" s="116">
        <v>822.1</v>
      </c>
      <c r="P1082" s="116">
        <v>843</v>
      </c>
      <c r="Q1082" s="116">
        <v>838.75</v>
      </c>
      <c r="R1082">
        <v>591835</v>
      </c>
    </row>
    <row r="1083" spans="1:18" x14ac:dyDescent="0.25">
      <c r="A1083" s="170">
        <v>43600</v>
      </c>
      <c r="B1083" s="116">
        <v>864.5</v>
      </c>
      <c r="C1083" s="116">
        <v>847.8</v>
      </c>
      <c r="D1083" s="116">
        <v>831.1</v>
      </c>
      <c r="E1083" s="116">
        <v>843</v>
      </c>
      <c r="F1083" s="116">
        <v>847.8</v>
      </c>
      <c r="G1083">
        <v>34255</v>
      </c>
      <c r="H1083" s="116"/>
      <c r="I1083" s="116"/>
      <c r="L1083" s="170">
        <v>43600</v>
      </c>
      <c r="M1083" s="116">
        <v>849.2</v>
      </c>
      <c r="N1083" s="116">
        <v>864.7</v>
      </c>
      <c r="O1083" s="116">
        <v>840</v>
      </c>
      <c r="P1083" s="116">
        <v>844.8</v>
      </c>
      <c r="Q1083" s="116">
        <v>849.2</v>
      </c>
      <c r="R1083">
        <v>526973</v>
      </c>
    </row>
    <row r="1084" spans="1:18" x14ac:dyDescent="0.25">
      <c r="A1084" s="170">
        <v>43601</v>
      </c>
      <c r="B1084" s="116">
        <v>861.45</v>
      </c>
      <c r="C1084" s="116">
        <v>851.45</v>
      </c>
      <c r="D1084" s="116">
        <v>840.2</v>
      </c>
      <c r="E1084" s="116">
        <v>852</v>
      </c>
      <c r="F1084" s="116">
        <v>851.45</v>
      </c>
      <c r="G1084">
        <v>29836</v>
      </c>
      <c r="H1084" s="116"/>
      <c r="I1084" s="116"/>
      <c r="L1084" s="170">
        <v>43601</v>
      </c>
      <c r="M1084" s="116">
        <v>851.4</v>
      </c>
      <c r="N1084" s="116">
        <v>856.55</v>
      </c>
      <c r="O1084" s="116">
        <v>840.05</v>
      </c>
      <c r="P1084" s="116">
        <v>852</v>
      </c>
      <c r="Q1084" s="116">
        <v>851.4</v>
      </c>
      <c r="R1084">
        <v>275536</v>
      </c>
    </row>
    <row r="1085" spans="1:18" x14ac:dyDescent="0.25">
      <c r="A1085" s="170">
        <v>43602</v>
      </c>
      <c r="B1085" s="116">
        <v>869.75</v>
      </c>
      <c r="C1085" s="116">
        <v>863.6</v>
      </c>
      <c r="D1085" s="116">
        <v>849.95</v>
      </c>
      <c r="E1085" s="116">
        <v>852</v>
      </c>
      <c r="F1085" s="116">
        <v>863.6</v>
      </c>
      <c r="G1085">
        <v>31671</v>
      </c>
      <c r="H1085" s="116"/>
      <c r="I1085" s="116"/>
      <c r="L1085" s="170">
        <v>43602</v>
      </c>
      <c r="M1085" s="116">
        <v>864.85</v>
      </c>
      <c r="N1085" s="116">
        <v>869.95</v>
      </c>
      <c r="O1085" s="116">
        <v>848.9</v>
      </c>
      <c r="P1085" s="116">
        <v>848.9</v>
      </c>
      <c r="Q1085" s="116">
        <v>864.85</v>
      </c>
      <c r="R1085">
        <v>435328</v>
      </c>
    </row>
    <row r="1086" spans="1:18" x14ac:dyDescent="0.25">
      <c r="A1086" s="170">
        <v>43605</v>
      </c>
      <c r="B1086" s="116">
        <v>883.7</v>
      </c>
      <c r="C1086" s="116">
        <v>861.5</v>
      </c>
      <c r="D1086" s="116">
        <v>857.05</v>
      </c>
      <c r="E1086" s="116">
        <v>880</v>
      </c>
      <c r="F1086" s="116">
        <v>861.5</v>
      </c>
      <c r="G1086">
        <v>86758</v>
      </c>
      <c r="H1086" s="116"/>
      <c r="I1086" s="116"/>
      <c r="L1086" s="170">
        <v>43605</v>
      </c>
      <c r="M1086" s="116">
        <v>861.4</v>
      </c>
      <c r="N1086" s="116">
        <v>884.65</v>
      </c>
      <c r="O1086" s="116">
        <v>856.35</v>
      </c>
      <c r="P1086" s="116">
        <v>876</v>
      </c>
      <c r="Q1086" s="116">
        <v>861.4</v>
      </c>
      <c r="R1086">
        <v>623775</v>
      </c>
    </row>
    <row r="1087" spans="1:18" x14ac:dyDescent="0.25">
      <c r="A1087" s="170">
        <v>43606</v>
      </c>
      <c r="B1087" s="116">
        <v>868.65</v>
      </c>
      <c r="C1087" s="116">
        <v>840.1</v>
      </c>
      <c r="D1087" s="116">
        <v>834.15</v>
      </c>
      <c r="E1087" s="116">
        <v>866</v>
      </c>
      <c r="F1087" s="116">
        <v>840.1</v>
      </c>
      <c r="G1087">
        <v>47792</v>
      </c>
      <c r="H1087" s="116"/>
      <c r="I1087" s="116"/>
      <c r="L1087" s="170">
        <v>43606</v>
      </c>
      <c r="M1087" s="116">
        <v>840.95</v>
      </c>
      <c r="N1087" s="116">
        <v>866.9</v>
      </c>
      <c r="O1087" s="116">
        <v>834.65</v>
      </c>
      <c r="P1087" s="116">
        <v>865.9</v>
      </c>
      <c r="Q1087" s="116">
        <v>840.95</v>
      </c>
      <c r="R1087">
        <v>452877</v>
      </c>
    </row>
    <row r="1088" spans="1:18" x14ac:dyDescent="0.25">
      <c r="A1088" s="170">
        <v>43607</v>
      </c>
      <c r="B1088" s="116">
        <v>855</v>
      </c>
      <c r="C1088" s="116">
        <v>849.7</v>
      </c>
      <c r="D1088" s="116">
        <v>828</v>
      </c>
      <c r="E1088" s="116">
        <v>848.95</v>
      </c>
      <c r="F1088" s="116">
        <v>849.7</v>
      </c>
      <c r="G1088">
        <v>64311</v>
      </c>
      <c r="H1088" s="116"/>
      <c r="I1088" s="116"/>
      <c r="L1088" s="170">
        <v>43607</v>
      </c>
      <c r="M1088" s="116">
        <v>850.45</v>
      </c>
      <c r="N1088" s="116">
        <v>853</v>
      </c>
      <c r="O1088" s="116">
        <v>828</v>
      </c>
      <c r="P1088" s="116">
        <v>843.5</v>
      </c>
      <c r="Q1088" s="116">
        <v>850.45</v>
      </c>
      <c r="R1088">
        <v>483465</v>
      </c>
    </row>
    <row r="1089" spans="1:18" x14ac:dyDescent="0.25">
      <c r="A1089" s="170">
        <v>43608</v>
      </c>
      <c r="B1089" s="116">
        <v>861.75</v>
      </c>
      <c r="C1089" s="116">
        <v>847.65</v>
      </c>
      <c r="D1089" s="116">
        <v>843.1</v>
      </c>
      <c r="E1089" s="116">
        <v>856</v>
      </c>
      <c r="F1089" s="116">
        <v>847.65</v>
      </c>
      <c r="G1089">
        <v>37210</v>
      </c>
      <c r="H1089" s="116"/>
      <c r="I1089" s="116"/>
      <c r="L1089" s="170">
        <v>43608</v>
      </c>
      <c r="M1089" s="116">
        <v>847.7</v>
      </c>
      <c r="N1089" s="116">
        <v>861.25</v>
      </c>
      <c r="O1089" s="116">
        <v>843.7</v>
      </c>
      <c r="P1089" s="116">
        <v>857.2</v>
      </c>
      <c r="Q1089" s="116">
        <v>847.7</v>
      </c>
      <c r="R1089">
        <v>323746</v>
      </c>
    </row>
    <row r="1090" spans="1:18" x14ac:dyDescent="0.25">
      <c r="A1090" s="170">
        <v>43609</v>
      </c>
      <c r="B1090" s="116">
        <v>864.75</v>
      </c>
      <c r="C1090" s="116">
        <v>861.5</v>
      </c>
      <c r="D1090" s="116">
        <v>839.3</v>
      </c>
      <c r="E1090" s="116">
        <v>851.1</v>
      </c>
      <c r="F1090" s="116">
        <v>861.5</v>
      </c>
      <c r="G1090">
        <v>41805</v>
      </c>
      <c r="H1090" s="116"/>
      <c r="I1090" s="116"/>
      <c r="L1090" s="170">
        <v>43609</v>
      </c>
      <c r="M1090" s="116">
        <v>862.5</v>
      </c>
      <c r="N1090" s="116">
        <v>864.6</v>
      </c>
      <c r="O1090" s="116">
        <v>839.1</v>
      </c>
      <c r="P1090" s="116">
        <v>853.7</v>
      </c>
      <c r="Q1090" s="116">
        <v>862.5</v>
      </c>
      <c r="R1090">
        <v>368792</v>
      </c>
    </row>
    <row r="1091" spans="1:18" x14ac:dyDescent="0.25">
      <c r="A1091" s="170">
        <v>43612</v>
      </c>
      <c r="B1091" s="116">
        <v>880</v>
      </c>
      <c r="C1091" s="116">
        <v>874.9</v>
      </c>
      <c r="D1091" s="116">
        <v>860.25</v>
      </c>
      <c r="E1091" s="116">
        <v>872</v>
      </c>
      <c r="F1091" s="116">
        <v>874.9</v>
      </c>
      <c r="G1091">
        <v>35207</v>
      </c>
      <c r="H1091" s="116"/>
      <c r="I1091" s="116"/>
      <c r="L1091" s="170">
        <v>43612</v>
      </c>
      <c r="M1091" s="116">
        <v>874.15</v>
      </c>
      <c r="N1091" s="116">
        <v>879.9</v>
      </c>
      <c r="O1091" s="116">
        <v>860.25</v>
      </c>
      <c r="P1091" s="116">
        <v>865</v>
      </c>
      <c r="Q1091" s="116">
        <v>874.15</v>
      </c>
      <c r="R1091">
        <v>505365</v>
      </c>
    </row>
    <row r="1092" spans="1:18" x14ac:dyDescent="0.25">
      <c r="A1092" s="170">
        <v>43613</v>
      </c>
      <c r="B1092" s="116">
        <v>899.9</v>
      </c>
      <c r="C1092" s="116">
        <v>886.3</v>
      </c>
      <c r="D1092" s="116">
        <v>875</v>
      </c>
      <c r="E1092" s="116">
        <v>875</v>
      </c>
      <c r="F1092" s="116">
        <v>886.3</v>
      </c>
      <c r="G1092">
        <v>56287</v>
      </c>
      <c r="H1092" s="116"/>
      <c r="I1092" s="116"/>
      <c r="L1092" s="170">
        <v>43613</v>
      </c>
      <c r="M1092" s="116">
        <v>885.3</v>
      </c>
      <c r="N1092" s="116">
        <v>899.8</v>
      </c>
      <c r="O1092" s="116">
        <v>874.35</v>
      </c>
      <c r="P1092" s="116">
        <v>877.8</v>
      </c>
      <c r="Q1092" s="116">
        <v>885.3</v>
      </c>
      <c r="R1092">
        <v>871295</v>
      </c>
    </row>
    <row r="1093" spans="1:18" x14ac:dyDescent="0.25">
      <c r="A1093" s="170">
        <v>43614</v>
      </c>
      <c r="B1093" s="116">
        <v>909.8</v>
      </c>
      <c r="C1093" s="116">
        <v>888.55</v>
      </c>
      <c r="D1093" s="116">
        <v>885</v>
      </c>
      <c r="E1093" s="116">
        <v>888</v>
      </c>
      <c r="F1093" s="116">
        <v>888.55</v>
      </c>
      <c r="G1093">
        <v>86623</v>
      </c>
      <c r="H1093" s="116"/>
      <c r="I1093" s="116"/>
      <c r="L1093" s="170">
        <v>43614</v>
      </c>
      <c r="M1093" s="116">
        <v>888.6</v>
      </c>
      <c r="N1093" s="116">
        <v>909.5</v>
      </c>
      <c r="O1093" s="116">
        <v>884</v>
      </c>
      <c r="P1093" s="116">
        <v>884.7</v>
      </c>
      <c r="Q1093" s="116">
        <v>888.6</v>
      </c>
      <c r="R1093">
        <v>1074495</v>
      </c>
    </row>
    <row r="1094" spans="1:18" x14ac:dyDescent="0.25">
      <c r="A1094" s="170">
        <v>43615</v>
      </c>
      <c r="B1094" s="116">
        <v>892.35</v>
      </c>
      <c r="C1094" s="116">
        <v>884.85</v>
      </c>
      <c r="D1094" s="116">
        <v>882</v>
      </c>
      <c r="E1094" s="116">
        <v>891.4</v>
      </c>
      <c r="F1094" s="116">
        <v>884.85</v>
      </c>
      <c r="G1094">
        <v>30461</v>
      </c>
      <c r="H1094" s="116"/>
      <c r="I1094" s="116"/>
      <c r="L1094" s="170">
        <v>43615</v>
      </c>
      <c r="M1094" s="116">
        <v>884.5</v>
      </c>
      <c r="N1094" s="116">
        <v>892.4</v>
      </c>
      <c r="O1094" s="116">
        <v>882.2</v>
      </c>
      <c r="P1094" s="116">
        <v>891.7</v>
      </c>
      <c r="Q1094" s="116">
        <v>884.5</v>
      </c>
      <c r="R1094">
        <v>385885</v>
      </c>
    </row>
    <row r="1095" spans="1:18" x14ac:dyDescent="0.25">
      <c r="A1095" s="170">
        <v>43616</v>
      </c>
      <c r="B1095" s="116">
        <v>889.55</v>
      </c>
      <c r="C1095" s="116">
        <v>872.25</v>
      </c>
      <c r="D1095" s="116">
        <v>866.25</v>
      </c>
      <c r="E1095" s="116">
        <v>885</v>
      </c>
      <c r="F1095" s="116">
        <v>872.25</v>
      </c>
      <c r="G1095">
        <v>34938</v>
      </c>
      <c r="H1095" s="116"/>
      <c r="I1095" s="116"/>
      <c r="L1095" s="170">
        <v>43616</v>
      </c>
      <c r="M1095" s="116">
        <v>871.6</v>
      </c>
      <c r="N1095" s="116">
        <v>892.2</v>
      </c>
      <c r="O1095" s="116">
        <v>866.1</v>
      </c>
      <c r="P1095" s="116">
        <v>885.95</v>
      </c>
      <c r="Q1095" s="116">
        <v>871.6</v>
      </c>
      <c r="R1095">
        <v>431419</v>
      </c>
    </row>
    <row r="1096" spans="1:18" x14ac:dyDescent="0.25">
      <c r="A1096" s="170">
        <v>43619</v>
      </c>
      <c r="B1096" s="116">
        <v>884.6</v>
      </c>
      <c r="C1096" s="116">
        <v>880.15</v>
      </c>
      <c r="D1096" s="116">
        <v>863</v>
      </c>
      <c r="E1096" s="116">
        <v>870</v>
      </c>
      <c r="F1096" s="116">
        <v>880.15</v>
      </c>
      <c r="G1096">
        <v>36175</v>
      </c>
      <c r="H1096" s="116"/>
      <c r="I1096" s="116"/>
      <c r="L1096" s="170">
        <v>43619</v>
      </c>
      <c r="M1096" s="116">
        <v>880.15</v>
      </c>
      <c r="N1096" s="116">
        <v>884.85</v>
      </c>
      <c r="O1096" s="116">
        <v>863.3</v>
      </c>
      <c r="P1096" s="116">
        <v>874</v>
      </c>
      <c r="Q1096" s="116">
        <v>880.15</v>
      </c>
      <c r="R1096">
        <v>352391</v>
      </c>
    </row>
    <row r="1097" spans="1:18" x14ac:dyDescent="0.25">
      <c r="A1097" s="170">
        <v>43620</v>
      </c>
      <c r="B1097" s="116">
        <v>886.55</v>
      </c>
      <c r="C1097" s="116">
        <v>869.4</v>
      </c>
      <c r="D1097" s="116">
        <v>865</v>
      </c>
      <c r="E1097" s="116">
        <v>886.55</v>
      </c>
      <c r="F1097" s="116">
        <v>869.4</v>
      </c>
      <c r="G1097">
        <v>24861</v>
      </c>
      <c r="H1097" s="116"/>
      <c r="I1097" s="116"/>
      <c r="L1097" s="170">
        <v>43620</v>
      </c>
      <c r="M1097" s="116">
        <v>868</v>
      </c>
      <c r="N1097" s="116">
        <v>881.95</v>
      </c>
      <c r="O1097" s="116">
        <v>865.7</v>
      </c>
      <c r="P1097" s="116">
        <v>875</v>
      </c>
      <c r="Q1097" s="116">
        <v>868</v>
      </c>
      <c r="R1097">
        <v>377346</v>
      </c>
    </row>
    <row r="1098" spans="1:18" x14ac:dyDescent="0.25">
      <c r="A1098" s="170">
        <v>43622</v>
      </c>
      <c r="B1098" s="116">
        <v>872.8</v>
      </c>
      <c r="C1098" s="116">
        <v>856.1</v>
      </c>
      <c r="D1098" s="116">
        <v>850.5</v>
      </c>
      <c r="E1098" s="116">
        <v>870.05</v>
      </c>
      <c r="F1098" s="116">
        <v>856.1</v>
      </c>
      <c r="G1098">
        <v>34544</v>
      </c>
      <c r="H1098" s="116"/>
      <c r="I1098" s="116"/>
      <c r="L1098" s="170">
        <v>43622</v>
      </c>
      <c r="M1098" s="116">
        <v>855.35</v>
      </c>
      <c r="N1098" s="116">
        <v>872.1</v>
      </c>
      <c r="O1098" s="116">
        <v>852</v>
      </c>
      <c r="P1098" s="116">
        <v>869.8</v>
      </c>
      <c r="Q1098" s="116">
        <v>855.35</v>
      </c>
      <c r="R1098">
        <v>272183</v>
      </c>
    </row>
    <row r="1099" spans="1:18" x14ac:dyDescent="0.25">
      <c r="A1099" s="170">
        <v>43623</v>
      </c>
      <c r="B1099" s="116">
        <v>868.4</v>
      </c>
      <c r="C1099" s="116">
        <v>855.95</v>
      </c>
      <c r="D1099" s="116">
        <v>844.8</v>
      </c>
      <c r="E1099" s="116">
        <v>856</v>
      </c>
      <c r="F1099" s="116">
        <v>855.95</v>
      </c>
      <c r="G1099">
        <v>31662</v>
      </c>
      <c r="H1099" s="116"/>
      <c r="I1099" s="116"/>
      <c r="L1099" s="170">
        <v>43623</v>
      </c>
      <c r="M1099" s="116">
        <v>857.2</v>
      </c>
      <c r="N1099" s="116">
        <v>867.9</v>
      </c>
      <c r="O1099" s="116">
        <v>844</v>
      </c>
      <c r="P1099" s="116">
        <v>855</v>
      </c>
      <c r="Q1099" s="116">
        <v>857.2</v>
      </c>
      <c r="R1099">
        <v>263098</v>
      </c>
    </row>
    <row r="1100" spans="1:18" x14ac:dyDescent="0.25">
      <c r="A1100" s="170">
        <v>43626</v>
      </c>
      <c r="B1100" s="116">
        <v>867</v>
      </c>
      <c r="C1100" s="116">
        <v>859.4</v>
      </c>
      <c r="D1100" s="116">
        <v>856</v>
      </c>
      <c r="E1100" s="116">
        <v>864</v>
      </c>
      <c r="F1100" s="116">
        <v>859.4</v>
      </c>
      <c r="G1100">
        <v>30752</v>
      </c>
      <c r="H1100" s="116"/>
      <c r="I1100" s="116"/>
      <c r="L1100" s="170">
        <v>43626</v>
      </c>
      <c r="M1100" s="116">
        <v>857.2</v>
      </c>
      <c r="N1100" s="116">
        <v>866.15</v>
      </c>
      <c r="O1100" s="116">
        <v>855</v>
      </c>
      <c r="P1100" s="116">
        <v>859.5</v>
      </c>
      <c r="Q1100" s="116">
        <v>857.2</v>
      </c>
      <c r="R1100">
        <v>236516</v>
      </c>
    </row>
    <row r="1101" spans="1:18" x14ac:dyDescent="0.25">
      <c r="A1101" s="170">
        <v>43627</v>
      </c>
      <c r="B1101" s="116">
        <v>873.95</v>
      </c>
      <c r="C1101" s="116">
        <v>867.25</v>
      </c>
      <c r="D1101" s="116">
        <v>850.75</v>
      </c>
      <c r="E1101" s="116">
        <v>858.05</v>
      </c>
      <c r="F1101" s="116">
        <v>867.25</v>
      </c>
      <c r="G1101">
        <v>26097</v>
      </c>
      <c r="H1101" s="116"/>
      <c r="I1101" s="116"/>
      <c r="L1101" s="170">
        <v>43627</v>
      </c>
      <c r="M1101" s="116">
        <v>867.5</v>
      </c>
      <c r="N1101" s="116">
        <v>874.3</v>
      </c>
      <c r="O1101" s="116">
        <v>850.5</v>
      </c>
      <c r="P1101" s="116">
        <v>860</v>
      </c>
      <c r="Q1101" s="116">
        <v>867.5</v>
      </c>
      <c r="R1101">
        <v>468893</v>
      </c>
    </row>
    <row r="1102" spans="1:18" x14ac:dyDescent="0.25">
      <c r="A1102" s="170">
        <v>43628</v>
      </c>
      <c r="B1102" s="116">
        <v>870.65</v>
      </c>
      <c r="C1102" s="116">
        <v>856.1</v>
      </c>
      <c r="D1102" s="116">
        <v>853.6</v>
      </c>
      <c r="E1102" s="116">
        <v>862</v>
      </c>
      <c r="F1102" s="116">
        <v>856.1</v>
      </c>
      <c r="G1102">
        <v>24844</v>
      </c>
      <c r="H1102" s="116"/>
      <c r="I1102" s="116"/>
      <c r="L1102" s="170">
        <v>43628</v>
      </c>
      <c r="M1102" s="116">
        <v>855.55</v>
      </c>
      <c r="N1102" s="116">
        <v>868.45</v>
      </c>
      <c r="O1102" s="116">
        <v>853.2</v>
      </c>
      <c r="P1102" s="116">
        <v>867</v>
      </c>
      <c r="Q1102" s="116">
        <v>855.55</v>
      </c>
      <c r="R1102">
        <v>259898</v>
      </c>
    </row>
    <row r="1103" spans="1:18" x14ac:dyDescent="0.25">
      <c r="A1103" s="170">
        <v>43629</v>
      </c>
      <c r="B1103" s="116">
        <v>856.8</v>
      </c>
      <c r="C1103" s="116">
        <v>843.9</v>
      </c>
      <c r="D1103" s="116">
        <v>835.75</v>
      </c>
      <c r="E1103" s="116">
        <v>854</v>
      </c>
      <c r="F1103" s="116">
        <v>843.9</v>
      </c>
      <c r="G1103">
        <v>37272</v>
      </c>
      <c r="H1103" s="116"/>
      <c r="I1103" s="116"/>
      <c r="L1103" s="170">
        <v>43629</v>
      </c>
      <c r="M1103" s="116">
        <v>845.95</v>
      </c>
      <c r="N1103" s="116">
        <v>856.85</v>
      </c>
      <c r="O1103" s="116">
        <v>835.45</v>
      </c>
      <c r="P1103" s="116">
        <v>855.55</v>
      </c>
      <c r="Q1103" s="116">
        <v>845.95</v>
      </c>
      <c r="R1103">
        <v>317787</v>
      </c>
    </row>
    <row r="1104" spans="1:18" x14ac:dyDescent="0.25">
      <c r="A1104" s="170">
        <v>43630</v>
      </c>
      <c r="B1104" s="116">
        <v>867</v>
      </c>
      <c r="C1104" s="116">
        <v>858.9</v>
      </c>
      <c r="D1104" s="116">
        <v>841.8</v>
      </c>
      <c r="E1104" s="116">
        <v>847.15</v>
      </c>
      <c r="F1104" s="116">
        <v>858.9</v>
      </c>
      <c r="G1104">
        <v>41862</v>
      </c>
      <c r="H1104" s="116"/>
      <c r="I1104" s="116"/>
      <c r="L1104" s="170">
        <v>43630</v>
      </c>
      <c r="M1104" s="116">
        <v>861.4</v>
      </c>
      <c r="N1104" s="116">
        <v>867.9</v>
      </c>
      <c r="O1104" s="116">
        <v>841.75</v>
      </c>
      <c r="P1104" s="116">
        <v>847.7</v>
      </c>
      <c r="Q1104" s="116">
        <v>861.4</v>
      </c>
      <c r="R1104">
        <v>572644</v>
      </c>
    </row>
    <row r="1105" spans="1:18" x14ac:dyDescent="0.25">
      <c r="A1105" s="170">
        <v>43633</v>
      </c>
      <c r="B1105" s="116">
        <v>873</v>
      </c>
      <c r="C1105" s="116">
        <v>867.25</v>
      </c>
      <c r="D1105" s="116">
        <v>858.45</v>
      </c>
      <c r="E1105" s="116">
        <v>862.35</v>
      </c>
      <c r="F1105" s="116">
        <v>867.25</v>
      </c>
      <c r="G1105">
        <v>31499</v>
      </c>
      <c r="H1105" s="116"/>
      <c r="I1105" s="116"/>
      <c r="L1105" s="170">
        <v>43633</v>
      </c>
      <c r="M1105" s="116">
        <v>866.85</v>
      </c>
      <c r="N1105" s="116">
        <v>873.7</v>
      </c>
      <c r="O1105" s="116">
        <v>860.15</v>
      </c>
      <c r="P1105" s="116">
        <v>863.35</v>
      </c>
      <c r="Q1105" s="116">
        <v>866.85</v>
      </c>
      <c r="R1105">
        <v>498607</v>
      </c>
    </row>
    <row r="1106" spans="1:18" x14ac:dyDescent="0.25">
      <c r="A1106" s="170">
        <v>43634</v>
      </c>
      <c r="B1106" s="116">
        <v>882.45</v>
      </c>
      <c r="C1106" s="116">
        <v>869.85</v>
      </c>
      <c r="D1106" s="116">
        <v>863.5</v>
      </c>
      <c r="E1106" s="116">
        <v>868.55</v>
      </c>
      <c r="F1106" s="116">
        <v>869.85</v>
      </c>
      <c r="G1106">
        <v>45141</v>
      </c>
      <c r="H1106" s="116"/>
      <c r="I1106" s="116"/>
      <c r="L1106" s="170">
        <v>43634</v>
      </c>
      <c r="M1106" s="116">
        <v>870</v>
      </c>
      <c r="N1106" s="116">
        <v>882.6</v>
      </c>
      <c r="O1106" s="116">
        <v>863.25</v>
      </c>
      <c r="P1106" s="116">
        <v>868.75</v>
      </c>
      <c r="Q1106" s="116">
        <v>870</v>
      </c>
      <c r="R1106">
        <v>586681</v>
      </c>
    </row>
    <row r="1107" spans="1:18" x14ac:dyDescent="0.25">
      <c r="A1107" s="170">
        <v>43635</v>
      </c>
      <c r="B1107" s="116">
        <v>875.5</v>
      </c>
      <c r="C1107" s="116">
        <v>849.35</v>
      </c>
      <c r="D1107" s="116">
        <v>846</v>
      </c>
      <c r="E1107" s="116">
        <v>874.25</v>
      </c>
      <c r="F1107" s="116">
        <v>849.35</v>
      </c>
      <c r="G1107">
        <v>30327</v>
      </c>
      <c r="H1107" s="116"/>
      <c r="I1107" s="116"/>
      <c r="L1107" s="170">
        <v>43635</v>
      </c>
      <c r="M1107" s="116">
        <v>848.85</v>
      </c>
      <c r="N1107" s="116">
        <v>875.9</v>
      </c>
      <c r="O1107" s="116">
        <v>845.55</v>
      </c>
      <c r="P1107" s="116">
        <v>875.9</v>
      </c>
      <c r="Q1107" s="116">
        <v>848.85</v>
      </c>
      <c r="R1107">
        <v>374026</v>
      </c>
    </row>
    <row r="1108" spans="1:18" x14ac:dyDescent="0.25">
      <c r="A1108" s="170">
        <v>43636</v>
      </c>
      <c r="B1108" s="116">
        <v>856.6</v>
      </c>
      <c r="C1108" s="116">
        <v>854.3</v>
      </c>
      <c r="D1108" s="116">
        <v>834.8</v>
      </c>
      <c r="E1108" s="116">
        <v>849.35</v>
      </c>
      <c r="F1108" s="116">
        <v>854.3</v>
      </c>
      <c r="G1108">
        <v>39273</v>
      </c>
      <c r="H1108" s="116"/>
      <c r="I1108" s="116"/>
      <c r="L1108" s="170">
        <v>43636</v>
      </c>
      <c r="M1108" s="116">
        <v>854.55</v>
      </c>
      <c r="N1108" s="116">
        <v>857.45</v>
      </c>
      <c r="O1108" s="116">
        <v>834</v>
      </c>
      <c r="P1108" s="116">
        <v>845</v>
      </c>
      <c r="Q1108" s="116">
        <v>854.55</v>
      </c>
      <c r="R1108">
        <v>329527</v>
      </c>
    </row>
    <row r="1109" spans="1:18" x14ac:dyDescent="0.25">
      <c r="A1109" s="170">
        <v>43637</v>
      </c>
      <c r="B1109" s="116">
        <v>867.05</v>
      </c>
      <c r="C1109" s="116">
        <v>860.45</v>
      </c>
      <c r="D1109" s="116">
        <v>853.6</v>
      </c>
      <c r="E1109" s="116">
        <v>856.55</v>
      </c>
      <c r="F1109" s="116">
        <v>860.45</v>
      </c>
      <c r="G1109">
        <v>23278</v>
      </c>
      <c r="H1109" s="116"/>
      <c r="I1109" s="116"/>
      <c r="L1109" s="170">
        <v>43637</v>
      </c>
      <c r="M1109" s="116">
        <v>860.7</v>
      </c>
      <c r="N1109" s="116">
        <v>867</v>
      </c>
      <c r="O1109" s="116">
        <v>853.2</v>
      </c>
      <c r="P1109" s="116">
        <v>855.8</v>
      </c>
      <c r="Q1109" s="116">
        <v>860.7</v>
      </c>
      <c r="R1109">
        <v>197498</v>
      </c>
    </row>
    <row r="1110" spans="1:18" x14ac:dyDescent="0.25">
      <c r="A1110" s="170">
        <v>43640</v>
      </c>
      <c r="B1110" s="116">
        <v>868.5</v>
      </c>
      <c r="C1110" s="116">
        <v>851.6</v>
      </c>
      <c r="D1110" s="116">
        <v>849.1</v>
      </c>
      <c r="E1110" s="116">
        <v>862.35</v>
      </c>
      <c r="F1110" s="116">
        <v>851.6</v>
      </c>
      <c r="G1110">
        <v>18081</v>
      </c>
      <c r="H1110" s="116"/>
      <c r="I1110" s="116"/>
      <c r="L1110" s="170">
        <v>43640</v>
      </c>
      <c r="M1110" s="116">
        <v>851.6</v>
      </c>
      <c r="N1110" s="116">
        <v>869</v>
      </c>
      <c r="O1110" s="116">
        <v>849</v>
      </c>
      <c r="P1110" s="116">
        <v>862.7</v>
      </c>
      <c r="Q1110" s="116">
        <v>851.6</v>
      </c>
      <c r="R1110">
        <v>206148</v>
      </c>
    </row>
    <row r="1111" spans="1:18" x14ac:dyDescent="0.25">
      <c r="A1111" s="170">
        <v>43641</v>
      </c>
      <c r="B1111" s="116">
        <v>865</v>
      </c>
      <c r="C1111" s="116">
        <v>858</v>
      </c>
      <c r="D1111" s="116">
        <v>847.2</v>
      </c>
      <c r="E1111" s="116">
        <v>847.25</v>
      </c>
      <c r="F1111" s="116">
        <v>858</v>
      </c>
      <c r="G1111">
        <v>22852</v>
      </c>
      <c r="H1111" s="116"/>
      <c r="I1111" s="116"/>
      <c r="L1111" s="170">
        <v>43641</v>
      </c>
      <c r="M1111" s="116">
        <v>858.1</v>
      </c>
      <c r="N1111" s="116">
        <v>864.95</v>
      </c>
      <c r="O1111" s="116">
        <v>847.5</v>
      </c>
      <c r="P1111" s="116">
        <v>850.65</v>
      </c>
      <c r="Q1111" s="116">
        <v>858.1</v>
      </c>
      <c r="R1111">
        <v>245651</v>
      </c>
    </row>
    <row r="1112" spans="1:18" x14ac:dyDescent="0.25">
      <c r="A1112" s="170">
        <v>43642</v>
      </c>
      <c r="B1112" s="116">
        <v>871.4</v>
      </c>
      <c r="C1112" s="116">
        <v>866.65</v>
      </c>
      <c r="D1112" s="116">
        <v>858.05</v>
      </c>
      <c r="E1112" s="116">
        <v>858.5</v>
      </c>
      <c r="F1112" s="116">
        <v>866.65</v>
      </c>
      <c r="G1112">
        <v>25302</v>
      </c>
      <c r="H1112" s="116"/>
      <c r="I1112" s="116"/>
      <c r="L1112" s="170">
        <v>43642</v>
      </c>
      <c r="M1112" s="116">
        <v>866.5</v>
      </c>
      <c r="N1112" s="116">
        <v>872</v>
      </c>
      <c r="O1112" s="116">
        <v>857.95</v>
      </c>
      <c r="P1112" s="116">
        <v>858</v>
      </c>
      <c r="Q1112" s="116">
        <v>866.5</v>
      </c>
      <c r="R1112">
        <v>319731</v>
      </c>
    </row>
    <row r="1113" spans="1:18" x14ac:dyDescent="0.25">
      <c r="A1113" s="170">
        <v>43643</v>
      </c>
      <c r="B1113" s="116">
        <v>878.05</v>
      </c>
      <c r="C1113" s="116">
        <v>875.65</v>
      </c>
      <c r="D1113" s="116">
        <v>863.95</v>
      </c>
      <c r="E1113" s="116">
        <v>867.6</v>
      </c>
      <c r="F1113" s="116">
        <v>875.65</v>
      </c>
      <c r="G1113">
        <v>31822</v>
      </c>
      <c r="H1113" s="116"/>
      <c r="I1113" s="116"/>
      <c r="L1113" s="170">
        <v>43643</v>
      </c>
      <c r="M1113" s="116">
        <v>875.9</v>
      </c>
      <c r="N1113" s="116">
        <v>878.2</v>
      </c>
      <c r="O1113" s="116">
        <v>866</v>
      </c>
      <c r="P1113" s="116">
        <v>867</v>
      </c>
      <c r="Q1113" s="116">
        <v>875.9</v>
      </c>
      <c r="R1113">
        <v>283884</v>
      </c>
    </row>
    <row r="1114" spans="1:18" x14ac:dyDescent="0.25">
      <c r="A1114" s="170">
        <v>43644</v>
      </c>
      <c r="B1114" s="116">
        <v>892</v>
      </c>
      <c r="C1114" s="116">
        <v>885.55</v>
      </c>
      <c r="D1114" s="116">
        <v>875.7</v>
      </c>
      <c r="E1114" s="116">
        <v>876.5</v>
      </c>
      <c r="F1114" s="116">
        <v>885.55</v>
      </c>
      <c r="G1114">
        <v>34740</v>
      </c>
      <c r="H1114" s="116"/>
      <c r="I1114" s="116"/>
      <c r="L1114" s="170">
        <v>43644</v>
      </c>
      <c r="M1114" s="116">
        <v>884.9</v>
      </c>
      <c r="N1114" s="116">
        <v>892.5</v>
      </c>
      <c r="O1114" s="116">
        <v>875</v>
      </c>
      <c r="P1114" s="116">
        <v>876.4</v>
      </c>
      <c r="Q1114" s="116">
        <v>884.9</v>
      </c>
      <c r="R1114">
        <v>511883</v>
      </c>
    </row>
    <row r="1115" spans="1:18" x14ac:dyDescent="0.25">
      <c r="A1115" s="170">
        <v>43647</v>
      </c>
      <c r="B1115" s="116">
        <v>900</v>
      </c>
      <c r="C1115" s="116">
        <v>898.4</v>
      </c>
      <c r="D1115" s="116">
        <v>887.55</v>
      </c>
      <c r="E1115" s="116">
        <v>894.9</v>
      </c>
      <c r="F1115" s="116">
        <v>898.4</v>
      </c>
      <c r="G1115">
        <v>23934</v>
      </c>
      <c r="H1115" s="116"/>
      <c r="I1115" s="116"/>
      <c r="L1115" s="170">
        <v>43647</v>
      </c>
      <c r="M1115" s="116">
        <v>898.9</v>
      </c>
      <c r="N1115" s="116">
        <v>900.9</v>
      </c>
      <c r="O1115" s="116">
        <v>886.4</v>
      </c>
      <c r="P1115" s="116">
        <v>890.1</v>
      </c>
      <c r="Q1115" s="116">
        <v>898.9</v>
      </c>
      <c r="R1115">
        <v>335774</v>
      </c>
    </row>
    <row r="1116" spans="1:18" x14ac:dyDescent="0.25">
      <c r="A1116" s="170">
        <v>43648</v>
      </c>
      <c r="B1116" s="116">
        <v>924.65</v>
      </c>
      <c r="C1116" s="116">
        <v>921.3</v>
      </c>
      <c r="D1116" s="116">
        <v>901</v>
      </c>
      <c r="E1116" s="116">
        <v>902</v>
      </c>
      <c r="F1116" s="116">
        <v>921.3</v>
      </c>
      <c r="G1116">
        <v>94031</v>
      </c>
      <c r="H1116" s="116"/>
      <c r="I1116" s="116"/>
      <c r="L1116" s="170">
        <v>43648</v>
      </c>
      <c r="M1116" s="116">
        <v>920.8</v>
      </c>
      <c r="N1116" s="116">
        <v>924.95</v>
      </c>
      <c r="O1116" s="116">
        <v>901</v>
      </c>
      <c r="P1116" s="116">
        <v>903.85</v>
      </c>
      <c r="Q1116" s="116">
        <v>920.8</v>
      </c>
      <c r="R1116">
        <v>1128675</v>
      </c>
    </row>
    <row r="1117" spans="1:18" x14ac:dyDescent="0.25">
      <c r="A1117" s="170">
        <v>43649</v>
      </c>
      <c r="B1117" s="116">
        <v>925</v>
      </c>
      <c r="C1117" s="116">
        <v>921.1</v>
      </c>
      <c r="D1117" s="116">
        <v>913.1</v>
      </c>
      <c r="E1117" s="116">
        <v>925</v>
      </c>
      <c r="F1117" s="116">
        <v>921.1</v>
      </c>
      <c r="G1117">
        <v>31228</v>
      </c>
      <c r="H1117" s="116"/>
      <c r="I1117" s="116"/>
      <c r="L1117" s="170">
        <v>43649</v>
      </c>
      <c r="M1117" s="116">
        <v>921.25</v>
      </c>
      <c r="N1117" s="116">
        <v>924.95</v>
      </c>
      <c r="O1117" s="116">
        <v>913</v>
      </c>
      <c r="P1117" s="116">
        <v>924.95</v>
      </c>
      <c r="Q1117" s="116">
        <v>921.25</v>
      </c>
      <c r="R1117">
        <v>447980</v>
      </c>
    </row>
    <row r="1118" spans="1:18" x14ac:dyDescent="0.25">
      <c r="A1118" s="170">
        <v>43650</v>
      </c>
      <c r="B1118" s="116">
        <v>922</v>
      </c>
      <c r="C1118" s="116">
        <v>914.45</v>
      </c>
      <c r="D1118" s="116">
        <v>904.25</v>
      </c>
      <c r="E1118" s="116">
        <v>922</v>
      </c>
      <c r="F1118" s="116">
        <v>914.45</v>
      </c>
      <c r="G1118">
        <v>23569</v>
      </c>
      <c r="H1118" s="116"/>
      <c r="I1118" s="116"/>
      <c r="L1118" s="170">
        <v>43650</v>
      </c>
      <c r="M1118" s="116">
        <v>914.35</v>
      </c>
      <c r="N1118" s="116">
        <v>922.1</v>
      </c>
      <c r="O1118" s="116">
        <v>904.2</v>
      </c>
      <c r="P1118" s="116">
        <v>921</v>
      </c>
      <c r="Q1118" s="116">
        <v>914.35</v>
      </c>
      <c r="R1118">
        <v>297118</v>
      </c>
    </row>
    <row r="1119" spans="1:18" x14ac:dyDescent="0.25">
      <c r="A1119" s="170">
        <v>43651</v>
      </c>
      <c r="B1119" s="116">
        <v>929</v>
      </c>
      <c r="C1119" s="116">
        <v>891</v>
      </c>
      <c r="D1119" s="116">
        <v>886.3</v>
      </c>
      <c r="E1119" s="116">
        <v>929</v>
      </c>
      <c r="F1119" s="116">
        <v>891</v>
      </c>
      <c r="G1119">
        <v>40495</v>
      </c>
      <c r="H1119" s="116"/>
      <c r="I1119" s="116"/>
      <c r="L1119" s="170">
        <v>43651</v>
      </c>
      <c r="M1119" s="116">
        <v>889.85</v>
      </c>
      <c r="N1119" s="116">
        <v>919.35</v>
      </c>
      <c r="O1119" s="116">
        <v>885.75</v>
      </c>
      <c r="P1119" s="116">
        <v>918.8</v>
      </c>
      <c r="Q1119" s="116">
        <v>889.85</v>
      </c>
      <c r="R1119">
        <v>369947</v>
      </c>
    </row>
    <row r="1120" spans="1:18" x14ac:dyDescent="0.25">
      <c r="A1120" s="170">
        <v>43654</v>
      </c>
      <c r="B1120" s="116">
        <v>880</v>
      </c>
      <c r="C1120" s="116">
        <v>856.05</v>
      </c>
      <c r="D1120" s="116">
        <v>848.45</v>
      </c>
      <c r="E1120" s="116">
        <v>880</v>
      </c>
      <c r="F1120" s="116">
        <v>856.05</v>
      </c>
      <c r="G1120">
        <v>32736</v>
      </c>
      <c r="H1120" s="116"/>
      <c r="I1120" s="116"/>
      <c r="L1120" s="170">
        <v>43654</v>
      </c>
      <c r="M1120" s="116">
        <v>856.9</v>
      </c>
      <c r="N1120" s="116">
        <v>869.9</v>
      </c>
      <c r="O1120" s="116">
        <v>848.5</v>
      </c>
      <c r="P1120" s="116">
        <v>866.1</v>
      </c>
      <c r="Q1120" s="116">
        <v>856.9</v>
      </c>
      <c r="R1120">
        <v>479443</v>
      </c>
    </row>
    <row r="1121" spans="1:18" x14ac:dyDescent="0.25">
      <c r="A1121" s="170">
        <v>43655</v>
      </c>
      <c r="B1121" s="116">
        <v>864.8</v>
      </c>
      <c r="C1121" s="116">
        <v>854</v>
      </c>
      <c r="D1121" s="116">
        <v>845</v>
      </c>
      <c r="E1121" s="116">
        <v>857.55</v>
      </c>
      <c r="F1121" s="116">
        <v>854</v>
      </c>
      <c r="G1121">
        <v>15810</v>
      </c>
      <c r="H1121" s="116"/>
      <c r="I1121" s="116"/>
      <c r="L1121" s="170">
        <v>43655</v>
      </c>
      <c r="M1121" s="116">
        <v>853.9</v>
      </c>
      <c r="N1121" s="116">
        <v>864.9</v>
      </c>
      <c r="O1121" s="116">
        <v>844.05</v>
      </c>
      <c r="P1121" s="116">
        <v>859</v>
      </c>
      <c r="Q1121" s="116">
        <v>853.9</v>
      </c>
      <c r="R1121">
        <v>230084</v>
      </c>
    </row>
    <row r="1122" spans="1:18" x14ac:dyDescent="0.25">
      <c r="A1122" s="170">
        <v>43656</v>
      </c>
      <c r="B1122" s="116">
        <v>864.55</v>
      </c>
      <c r="C1122" s="116">
        <v>849.3</v>
      </c>
      <c r="D1122" s="116">
        <v>845.65</v>
      </c>
      <c r="E1122" s="116">
        <v>850.05</v>
      </c>
      <c r="F1122" s="116">
        <v>849.3</v>
      </c>
      <c r="G1122">
        <v>18882</v>
      </c>
      <c r="H1122" s="116"/>
      <c r="I1122" s="116"/>
      <c r="L1122" s="170">
        <v>43656</v>
      </c>
      <c r="M1122" s="116">
        <v>849.65</v>
      </c>
      <c r="N1122" s="116">
        <v>865.55</v>
      </c>
      <c r="O1122" s="116">
        <v>846</v>
      </c>
      <c r="P1122" s="116">
        <v>850</v>
      </c>
      <c r="Q1122" s="116">
        <v>849.65</v>
      </c>
      <c r="R1122">
        <v>243879</v>
      </c>
    </row>
    <row r="1123" spans="1:18" x14ac:dyDescent="0.25">
      <c r="A1123" s="170">
        <v>43657</v>
      </c>
      <c r="B1123" s="116">
        <v>856</v>
      </c>
      <c r="C1123" s="116">
        <v>843.4</v>
      </c>
      <c r="D1123" s="116">
        <v>836.5</v>
      </c>
      <c r="E1123" s="116">
        <v>855.7</v>
      </c>
      <c r="F1123" s="116">
        <v>843.4</v>
      </c>
      <c r="G1123">
        <v>24630</v>
      </c>
      <c r="H1123" s="116"/>
      <c r="I1123" s="116"/>
      <c r="L1123" s="170">
        <v>43657</v>
      </c>
      <c r="M1123" s="116">
        <v>843.05</v>
      </c>
      <c r="N1123" s="116">
        <v>855.95</v>
      </c>
      <c r="O1123" s="116">
        <v>835.5</v>
      </c>
      <c r="P1123" s="116">
        <v>854</v>
      </c>
      <c r="Q1123" s="116">
        <v>843.05</v>
      </c>
      <c r="R1123">
        <v>292683</v>
      </c>
    </row>
    <row r="1124" spans="1:18" x14ac:dyDescent="0.25">
      <c r="A1124" s="170">
        <v>43658</v>
      </c>
      <c r="B1124" s="116">
        <v>852.75</v>
      </c>
      <c r="C1124" s="116">
        <v>849.05</v>
      </c>
      <c r="D1124" s="116">
        <v>841.15</v>
      </c>
      <c r="E1124" s="116">
        <v>845</v>
      </c>
      <c r="F1124" s="116">
        <v>849.05</v>
      </c>
      <c r="G1124">
        <v>18414</v>
      </c>
      <c r="H1124" s="116"/>
      <c r="I1124" s="116"/>
      <c r="L1124" s="170">
        <v>43658</v>
      </c>
      <c r="M1124" s="116">
        <v>849.5</v>
      </c>
      <c r="N1124" s="116">
        <v>852.8</v>
      </c>
      <c r="O1124" s="116">
        <v>841.2</v>
      </c>
      <c r="P1124" s="116">
        <v>843.05</v>
      </c>
      <c r="Q1124" s="116">
        <v>849.5</v>
      </c>
      <c r="R1124">
        <v>271207</v>
      </c>
    </row>
    <row r="1125" spans="1:18" x14ac:dyDescent="0.25">
      <c r="A1125" s="170">
        <v>43661</v>
      </c>
      <c r="B1125" s="116">
        <v>856.45</v>
      </c>
      <c r="C1125" s="116">
        <v>815.95</v>
      </c>
      <c r="D1125" s="116">
        <v>809.1</v>
      </c>
      <c r="E1125" s="116">
        <v>855.2</v>
      </c>
      <c r="F1125" s="116">
        <v>815.95</v>
      </c>
      <c r="G1125">
        <v>92343</v>
      </c>
      <c r="H1125" s="116"/>
      <c r="I1125" s="116"/>
      <c r="L1125" s="170">
        <v>43661</v>
      </c>
      <c r="M1125" s="116">
        <v>816.5</v>
      </c>
      <c r="N1125" s="116">
        <v>857</v>
      </c>
      <c r="O1125" s="116">
        <v>808.85</v>
      </c>
      <c r="P1125" s="116">
        <v>855</v>
      </c>
      <c r="Q1125" s="116">
        <v>816.5</v>
      </c>
      <c r="R1125">
        <v>1058298</v>
      </c>
    </row>
    <row r="1126" spans="1:18" x14ac:dyDescent="0.25">
      <c r="A1126" s="170">
        <v>43662</v>
      </c>
      <c r="B1126" s="116">
        <v>823.25</v>
      </c>
      <c r="C1126" s="116">
        <v>814.95</v>
      </c>
      <c r="D1126" s="116">
        <v>804.4</v>
      </c>
      <c r="E1126" s="116">
        <v>812.8</v>
      </c>
      <c r="F1126" s="116">
        <v>814.95</v>
      </c>
      <c r="G1126">
        <v>40032</v>
      </c>
      <c r="H1126" s="116"/>
      <c r="I1126" s="116"/>
      <c r="L1126" s="170">
        <v>43662</v>
      </c>
      <c r="M1126" s="116">
        <v>814.7</v>
      </c>
      <c r="N1126" s="116">
        <v>823</v>
      </c>
      <c r="O1126" s="116">
        <v>803.9</v>
      </c>
      <c r="P1126" s="116">
        <v>815</v>
      </c>
      <c r="Q1126" s="116">
        <v>814.7</v>
      </c>
      <c r="R1126">
        <v>791908</v>
      </c>
    </row>
    <row r="1127" spans="1:18" x14ac:dyDescent="0.25">
      <c r="A1127" s="170">
        <v>43663</v>
      </c>
      <c r="B1127" s="116">
        <v>814</v>
      </c>
      <c r="C1127" s="116">
        <v>742.4</v>
      </c>
      <c r="D1127" s="116">
        <v>735.3</v>
      </c>
      <c r="E1127" s="116">
        <v>814</v>
      </c>
      <c r="F1127" s="116">
        <v>742.4</v>
      </c>
      <c r="G1127">
        <v>615342</v>
      </c>
      <c r="H1127" s="116"/>
      <c r="I1127" s="116"/>
      <c r="L1127" s="170">
        <v>43663</v>
      </c>
      <c r="M1127" s="116">
        <v>742.45</v>
      </c>
      <c r="N1127" s="116">
        <v>811.4</v>
      </c>
      <c r="O1127" s="116">
        <v>735.8</v>
      </c>
      <c r="P1127" s="116">
        <v>811.1</v>
      </c>
      <c r="Q1127" s="116">
        <v>742.45</v>
      </c>
      <c r="R1127">
        <v>9825204</v>
      </c>
    </row>
    <row r="1128" spans="1:18" x14ac:dyDescent="0.25">
      <c r="A1128" s="170">
        <v>43664</v>
      </c>
      <c r="B1128" s="116">
        <v>749</v>
      </c>
      <c r="C1128" s="116">
        <v>731.65</v>
      </c>
      <c r="D1128" s="116">
        <v>722.8</v>
      </c>
      <c r="E1128" s="116">
        <v>740</v>
      </c>
      <c r="F1128" s="116">
        <v>731.65</v>
      </c>
      <c r="G1128">
        <v>167975</v>
      </c>
      <c r="H1128" s="116"/>
      <c r="I1128" s="116"/>
      <c r="L1128" s="170">
        <v>43664</v>
      </c>
      <c r="M1128" s="116">
        <v>732.05</v>
      </c>
      <c r="N1128" s="116">
        <v>749.95</v>
      </c>
      <c r="O1128" s="116">
        <v>722.35</v>
      </c>
      <c r="P1128" s="116">
        <v>737.5</v>
      </c>
      <c r="Q1128" s="116">
        <v>732.05</v>
      </c>
      <c r="R1128">
        <v>2553544</v>
      </c>
    </row>
    <row r="1129" spans="1:18" x14ac:dyDescent="0.25">
      <c r="A1129" s="170">
        <v>43665</v>
      </c>
      <c r="B1129" s="116">
        <v>749.7</v>
      </c>
      <c r="C1129" s="116">
        <v>701.4</v>
      </c>
      <c r="D1129" s="116">
        <v>696.55</v>
      </c>
      <c r="E1129" s="116">
        <v>733.1</v>
      </c>
      <c r="F1129" s="116">
        <v>701.4</v>
      </c>
      <c r="G1129">
        <v>214482</v>
      </c>
      <c r="H1129" s="116"/>
      <c r="I1129" s="116"/>
      <c r="L1129" s="170">
        <v>43665</v>
      </c>
      <c r="M1129" s="116">
        <v>701.45</v>
      </c>
      <c r="N1129" s="116">
        <v>750</v>
      </c>
      <c r="O1129" s="116">
        <v>696.2</v>
      </c>
      <c r="P1129" s="116">
        <v>733</v>
      </c>
      <c r="Q1129" s="116">
        <v>701.45</v>
      </c>
      <c r="R1129">
        <v>2501071</v>
      </c>
    </row>
    <row r="1130" spans="1:18" x14ac:dyDescent="0.25">
      <c r="A1130" s="170">
        <v>43668</v>
      </c>
      <c r="B1130" s="116">
        <v>707.25</v>
      </c>
      <c r="C1130" s="116">
        <v>679.4</v>
      </c>
      <c r="D1130" s="116">
        <v>675.75</v>
      </c>
      <c r="E1130" s="116">
        <v>701.5</v>
      </c>
      <c r="F1130" s="116">
        <v>679.4</v>
      </c>
      <c r="G1130">
        <v>107266</v>
      </c>
      <c r="H1130" s="116"/>
      <c r="I1130" s="116"/>
      <c r="L1130" s="170">
        <v>43668</v>
      </c>
      <c r="M1130" s="116">
        <v>679.75</v>
      </c>
      <c r="N1130" s="116">
        <v>707.65</v>
      </c>
      <c r="O1130" s="116">
        <v>676</v>
      </c>
      <c r="P1130" s="116">
        <v>700</v>
      </c>
      <c r="Q1130" s="116">
        <v>679.75</v>
      </c>
      <c r="R1130">
        <v>1254828</v>
      </c>
    </row>
    <row r="1131" spans="1:18" x14ac:dyDescent="0.25">
      <c r="A1131" s="170">
        <v>43669</v>
      </c>
      <c r="B1131" s="116">
        <v>687</v>
      </c>
      <c r="C1131" s="116">
        <v>672.3</v>
      </c>
      <c r="D1131" s="116">
        <v>669.5</v>
      </c>
      <c r="E1131" s="116">
        <v>682</v>
      </c>
      <c r="F1131" s="116">
        <v>672.3</v>
      </c>
      <c r="G1131">
        <v>110489</v>
      </c>
      <c r="H1131" s="116"/>
      <c r="I1131" s="116"/>
      <c r="L1131" s="170">
        <v>43669</v>
      </c>
      <c r="M1131" s="116">
        <v>672.2</v>
      </c>
      <c r="N1131" s="116">
        <v>687.95</v>
      </c>
      <c r="O1131" s="116">
        <v>669</v>
      </c>
      <c r="P1131" s="116">
        <v>680.8</v>
      </c>
      <c r="Q1131" s="116">
        <v>672.2</v>
      </c>
      <c r="R1131">
        <v>1246592</v>
      </c>
    </row>
    <row r="1132" spans="1:18" x14ac:dyDescent="0.25">
      <c r="A1132" s="170">
        <v>43670</v>
      </c>
      <c r="B1132" s="116">
        <v>680.4</v>
      </c>
      <c r="C1132" s="116">
        <v>657.85</v>
      </c>
      <c r="D1132" s="116">
        <v>655.15</v>
      </c>
      <c r="E1132" s="116">
        <v>675</v>
      </c>
      <c r="F1132" s="116">
        <v>657.85</v>
      </c>
      <c r="G1132">
        <v>79962</v>
      </c>
      <c r="H1132" s="116"/>
      <c r="I1132" s="116"/>
      <c r="L1132" s="170">
        <v>43670</v>
      </c>
      <c r="M1132" s="116">
        <v>657.3</v>
      </c>
      <c r="N1132" s="116">
        <v>681</v>
      </c>
      <c r="O1132" s="116">
        <v>654.65</v>
      </c>
      <c r="P1132" s="116">
        <v>676</v>
      </c>
      <c r="Q1132" s="116">
        <v>657.3</v>
      </c>
      <c r="R1132">
        <v>955525</v>
      </c>
    </row>
    <row r="1133" spans="1:18" x14ac:dyDescent="0.25">
      <c r="A1133" s="170">
        <v>43671</v>
      </c>
      <c r="B1133" s="116">
        <v>666.35</v>
      </c>
      <c r="C1133" s="116">
        <v>653.04999999999995</v>
      </c>
      <c r="D1133" s="116">
        <v>643.85</v>
      </c>
      <c r="E1133" s="116">
        <v>655.04999999999995</v>
      </c>
      <c r="F1133" s="116">
        <v>653.04999999999995</v>
      </c>
      <c r="G1133">
        <v>129450</v>
      </c>
      <c r="H1133" s="116"/>
      <c r="I1133" s="116"/>
      <c r="L1133" s="170">
        <v>43671</v>
      </c>
      <c r="M1133" s="116">
        <v>653.79999999999995</v>
      </c>
      <c r="N1133" s="116">
        <v>666.8</v>
      </c>
      <c r="O1133" s="116">
        <v>643.54999999999995</v>
      </c>
      <c r="P1133" s="116">
        <v>655</v>
      </c>
      <c r="Q1133" s="116">
        <v>653.79999999999995</v>
      </c>
      <c r="R1133">
        <v>1634604</v>
      </c>
    </row>
    <row r="1134" spans="1:18" x14ac:dyDescent="0.25">
      <c r="A1134" s="170">
        <v>43672</v>
      </c>
      <c r="B1134" s="116">
        <v>661</v>
      </c>
      <c r="C1134" s="116">
        <v>646.15</v>
      </c>
      <c r="D1134" s="116">
        <v>643.5</v>
      </c>
      <c r="E1134" s="116">
        <v>655</v>
      </c>
      <c r="F1134" s="116">
        <v>646.15</v>
      </c>
      <c r="G1134">
        <v>74647</v>
      </c>
      <c r="H1134" s="116"/>
      <c r="I1134" s="116"/>
      <c r="L1134" s="170">
        <v>43672</v>
      </c>
      <c r="M1134" s="116">
        <v>645.54999999999995</v>
      </c>
      <c r="N1134" s="116">
        <v>660.95</v>
      </c>
      <c r="O1134" s="116">
        <v>642.65</v>
      </c>
      <c r="P1134" s="116">
        <v>653.79999999999995</v>
      </c>
      <c r="Q1134" s="116">
        <v>645.54999999999995</v>
      </c>
      <c r="R1134">
        <v>799250</v>
      </c>
    </row>
    <row r="1135" spans="1:18" x14ac:dyDescent="0.25">
      <c r="A1135" s="170">
        <v>43675</v>
      </c>
      <c r="B1135" s="116">
        <v>650.9</v>
      </c>
      <c r="C1135" s="116">
        <v>638.75</v>
      </c>
      <c r="D1135" s="116">
        <v>635.54999999999995</v>
      </c>
      <c r="E1135" s="116">
        <v>643</v>
      </c>
      <c r="F1135" s="116">
        <v>638.75</v>
      </c>
      <c r="G1135">
        <v>53477</v>
      </c>
      <c r="H1135" s="116"/>
      <c r="I1135" s="116"/>
      <c r="L1135" s="170">
        <v>43675</v>
      </c>
      <c r="M1135" s="116">
        <v>638.45000000000005</v>
      </c>
      <c r="N1135" s="116">
        <v>651.04999999999995</v>
      </c>
      <c r="O1135" s="116">
        <v>635.1</v>
      </c>
      <c r="P1135" s="116">
        <v>646.79999999999995</v>
      </c>
      <c r="Q1135" s="116">
        <v>638.45000000000005</v>
      </c>
      <c r="R1135">
        <v>627264</v>
      </c>
    </row>
    <row r="1136" spans="1:18" x14ac:dyDescent="0.25">
      <c r="A1136" s="170">
        <v>43676</v>
      </c>
      <c r="B1136" s="116">
        <v>644.6</v>
      </c>
      <c r="C1136" s="116">
        <v>619.54999999999995</v>
      </c>
      <c r="D1136" s="116">
        <v>617</v>
      </c>
      <c r="E1136" s="116">
        <v>640.45000000000005</v>
      </c>
      <c r="F1136" s="116">
        <v>619.54999999999995</v>
      </c>
      <c r="G1136">
        <v>62312</v>
      </c>
      <c r="H1136" s="116"/>
      <c r="I1136" s="116"/>
      <c r="L1136" s="170">
        <v>43676</v>
      </c>
      <c r="M1136" s="116">
        <v>619.20000000000005</v>
      </c>
      <c r="N1136" s="116">
        <v>644.6</v>
      </c>
      <c r="O1136" s="116">
        <v>616.4</v>
      </c>
      <c r="P1136" s="116">
        <v>639</v>
      </c>
      <c r="Q1136" s="116">
        <v>619.20000000000005</v>
      </c>
      <c r="R1136">
        <v>774765</v>
      </c>
    </row>
    <row r="1137" spans="1:18" x14ac:dyDescent="0.25">
      <c r="A1137" s="170">
        <v>43677</v>
      </c>
      <c r="B1137" s="116">
        <v>640.29999999999995</v>
      </c>
      <c r="C1137" s="116">
        <v>637.79999999999995</v>
      </c>
      <c r="D1137" s="116">
        <v>609.45000000000005</v>
      </c>
      <c r="E1137" s="116">
        <v>618.85</v>
      </c>
      <c r="F1137" s="116">
        <v>637.79999999999995</v>
      </c>
      <c r="G1137">
        <v>114170</v>
      </c>
      <c r="H1137" s="116"/>
      <c r="I1137" s="116"/>
      <c r="L1137" s="170">
        <v>43677</v>
      </c>
      <c r="M1137" s="116">
        <v>636.85</v>
      </c>
      <c r="N1137" s="116">
        <v>640</v>
      </c>
      <c r="O1137" s="116">
        <v>608.5</v>
      </c>
      <c r="P1137" s="116">
        <v>614.9</v>
      </c>
      <c r="Q1137" s="116">
        <v>636.85</v>
      </c>
      <c r="R1137">
        <v>1004613</v>
      </c>
    </row>
    <row r="1138" spans="1:18" x14ac:dyDescent="0.25">
      <c r="A1138" s="170">
        <v>43678</v>
      </c>
      <c r="B1138" s="116">
        <v>638.65</v>
      </c>
      <c r="C1138" s="116">
        <v>615.45000000000005</v>
      </c>
      <c r="D1138" s="116">
        <v>609.1</v>
      </c>
      <c r="E1138" s="116">
        <v>635</v>
      </c>
      <c r="F1138" s="116">
        <v>615.45000000000005</v>
      </c>
      <c r="G1138">
        <v>79962</v>
      </c>
      <c r="H1138" s="116"/>
      <c r="I1138" s="116"/>
      <c r="L1138" s="170">
        <v>43678</v>
      </c>
      <c r="M1138" s="116">
        <v>615</v>
      </c>
      <c r="N1138" s="116">
        <v>638.5</v>
      </c>
      <c r="O1138" s="116">
        <v>609</v>
      </c>
      <c r="P1138" s="116">
        <v>634</v>
      </c>
      <c r="Q1138" s="116">
        <v>615</v>
      </c>
      <c r="R1138">
        <v>893290</v>
      </c>
    </row>
    <row r="1139" spans="1:18" x14ac:dyDescent="0.25">
      <c r="A1139" s="170">
        <v>43679</v>
      </c>
      <c r="B1139" s="116">
        <v>626</v>
      </c>
      <c r="C1139" s="116">
        <v>622</v>
      </c>
      <c r="D1139" s="116">
        <v>602.65</v>
      </c>
      <c r="E1139" s="116">
        <v>610</v>
      </c>
      <c r="F1139" s="116">
        <v>622</v>
      </c>
      <c r="G1139">
        <v>109573</v>
      </c>
      <c r="H1139" s="116"/>
      <c r="I1139" s="116"/>
      <c r="L1139" s="170">
        <v>43679</v>
      </c>
      <c r="M1139" s="116">
        <v>622.04999999999995</v>
      </c>
      <c r="N1139" s="116">
        <v>626</v>
      </c>
      <c r="O1139" s="116">
        <v>602.20000000000005</v>
      </c>
      <c r="P1139" s="116">
        <v>610.5</v>
      </c>
      <c r="Q1139" s="116">
        <v>622.04999999999995</v>
      </c>
      <c r="R1139">
        <v>920373</v>
      </c>
    </row>
    <row r="1140" spans="1:18" x14ac:dyDescent="0.25">
      <c r="A1140" s="170">
        <v>43682</v>
      </c>
      <c r="B1140" s="116">
        <v>622</v>
      </c>
      <c r="C1140" s="116">
        <v>604.35</v>
      </c>
      <c r="D1140" s="116">
        <v>601.9</v>
      </c>
      <c r="E1140" s="116">
        <v>622</v>
      </c>
      <c r="F1140" s="116">
        <v>604.35</v>
      </c>
      <c r="G1140">
        <v>63027</v>
      </c>
      <c r="H1140" s="116"/>
      <c r="I1140" s="116"/>
      <c r="L1140" s="170">
        <v>43682</v>
      </c>
      <c r="M1140" s="116">
        <v>604.5</v>
      </c>
      <c r="N1140" s="116">
        <v>618.29999999999995</v>
      </c>
      <c r="O1140" s="116">
        <v>602.1</v>
      </c>
      <c r="P1140" s="116">
        <v>615</v>
      </c>
      <c r="Q1140" s="116">
        <v>604.5</v>
      </c>
      <c r="R1140">
        <v>728747</v>
      </c>
    </row>
    <row r="1141" spans="1:18" x14ac:dyDescent="0.25">
      <c r="A1141" s="170">
        <v>43683</v>
      </c>
      <c r="B1141" s="116">
        <v>629.9</v>
      </c>
      <c r="C1141" s="116">
        <v>626.4</v>
      </c>
      <c r="D1141" s="116">
        <v>602.6</v>
      </c>
      <c r="E1141" s="116">
        <v>602.6</v>
      </c>
      <c r="F1141" s="116">
        <v>626.4</v>
      </c>
      <c r="G1141">
        <v>70790</v>
      </c>
      <c r="H1141" s="116"/>
      <c r="I1141" s="116"/>
      <c r="L1141" s="170">
        <v>43683</v>
      </c>
      <c r="M1141" s="116">
        <v>626.5</v>
      </c>
      <c r="N1141" s="116">
        <v>629.9</v>
      </c>
      <c r="O1141" s="116">
        <v>602</v>
      </c>
      <c r="P1141" s="116">
        <v>602.79999999999995</v>
      </c>
      <c r="Q1141" s="116">
        <v>626.5</v>
      </c>
      <c r="R1141">
        <v>890129</v>
      </c>
    </row>
    <row r="1142" spans="1:18" x14ac:dyDescent="0.25">
      <c r="A1142" s="170">
        <v>43684</v>
      </c>
      <c r="B1142" s="116">
        <v>639.85</v>
      </c>
      <c r="C1142" s="116">
        <v>618.65</v>
      </c>
      <c r="D1142" s="116">
        <v>615</v>
      </c>
      <c r="E1142" s="116">
        <v>628</v>
      </c>
      <c r="F1142" s="116">
        <v>618.65</v>
      </c>
      <c r="G1142">
        <v>95474</v>
      </c>
      <c r="H1142" s="116"/>
      <c r="I1142" s="116"/>
      <c r="L1142" s="170">
        <v>43684</v>
      </c>
      <c r="M1142" s="116">
        <v>619</v>
      </c>
      <c r="N1142" s="116">
        <v>639.75</v>
      </c>
      <c r="O1142" s="116">
        <v>615.15</v>
      </c>
      <c r="P1142" s="116">
        <v>628.29999999999995</v>
      </c>
      <c r="Q1142" s="116">
        <v>619</v>
      </c>
      <c r="R1142">
        <v>1020853</v>
      </c>
    </row>
    <row r="1143" spans="1:18" x14ac:dyDescent="0.25">
      <c r="A1143" s="170">
        <v>43685</v>
      </c>
      <c r="B1143" s="116">
        <v>635</v>
      </c>
      <c r="C1143" s="116">
        <v>632.79999999999995</v>
      </c>
      <c r="D1143" s="116">
        <v>616.95000000000005</v>
      </c>
      <c r="E1143" s="116">
        <v>618.65</v>
      </c>
      <c r="F1143" s="116">
        <v>632.79999999999995</v>
      </c>
      <c r="G1143">
        <v>48726</v>
      </c>
      <c r="H1143" s="116"/>
      <c r="I1143" s="116"/>
      <c r="L1143" s="170">
        <v>43685</v>
      </c>
      <c r="M1143" s="116">
        <v>631.45000000000005</v>
      </c>
      <c r="N1143" s="116">
        <v>634.9</v>
      </c>
      <c r="O1143" s="116">
        <v>617</v>
      </c>
      <c r="P1143" s="116">
        <v>620.4</v>
      </c>
      <c r="Q1143" s="116">
        <v>631.45000000000005</v>
      </c>
      <c r="R1143">
        <v>627739</v>
      </c>
    </row>
    <row r="1144" spans="1:18" x14ac:dyDescent="0.25">
      <c r="A1144" s="170">
        <v>43686</v>
      </c>
      <c r="B1144" s="116">
        <v>643.5</v>
      </c>
      <c r="C1144" s="116">
        <v>630.85</v>
      </c>
      <c r="D1144" s="116">
        <v>625.6</v>
      </c>
      <c r="E1144" s="116">
        <v>633</v>
      </c>
      <c r="F1144" s="116">
        <v>630.85</v>
      </c>
      <c r="G1144">
        <v>70472</v>
      </c>
      <c r="H1144" s="116"/>
      <c r="I1144" s="116"/>
      <c r="L1144" s="170">
        <v>43686</v>
      </c>
      <c r="M1144" s="116">
        <v>631.5</v>
      </c>
      <c r="N1144" s="116">
        <v>643.75</v>
      </c>
      <c r="O1144" s="116">
        <v>625.29999999999995</v>
      </c>
      <c r="P1144" s="116">
        <v>634.29999999999995</v>
      </c>
      <c r="Q1144" s="116">
        <v>631.5</v>
      </c>
      <c r="R1144">
        <v>555417</v>
      </c>
    </row>
    <row r="1145" spans="1:18" x14ac:dyDescent="0.25">
      <c r="A1145" s="170">
        <v>43690</v>
      </c>
      <c r="B1145" s="116">
        <v>633.6</v>
      </c>
      <c r="C1145" s="116">
        <v>610.65</v>
      </c>
      <c r="D1145" s="116">
        <v>606.6</v>
      </c>
      <c r="E1145" s="116">
        <v>633.35</v>
      </c>
      <c r="F1145" s="116">
        <v>610.65</v>
      </c>
      <c r="G1145">
        <v>82046</v>
      </c>
      <c r="H1145" s="116"/>
      <c r="I1145" s="116"/>
      <c r="L1145" s="170">
        <v>43690</v>
      </c>
      <c r="M1145" s="116">
        <v>610.85</v>
      </c>
      <c r="N1145" s="116">
        <v>633</v>
      </c>
      <c r="O1145" s="116">
        <v>606.29999999999995</v>
      </c>
      <c r="P1145" s="116">
        <v>631.54999999999995</v>
      </c>
      <c r="Q1145" s="116">
        <v>610.85</v>
      </c>
      <c r="R1145">
        <v>819803</v>
      </c>
    </row>
    <row r="1146" spans="1:18" x14ac:dyDescent="0.25">
      <c r="A1146" s="170">
        <v>43691</v>
      </c>
      <c r="B1146" s="116">
        <v>616.29999999999995</v>
      </c>
      <c r="C1146" s="116">
        <v>613.29999999999995</v>
      </c>
      <c r="D1146" s="116">
        <v>593</v>
      </c>
      <c r="E1146" s="116">
        <v>605.04999999999995</v>
      </c>
      <c r="F1146" s="116">
        <v>613.29999999999995</v>
      </c>
      <c r="G1146">
        <v>66602</v>
      </c>
      <c r="H1146" s="116"/>
      <c r="I1146" s="116"/>
      <c r="L1146" s="170">
        <v>43691</v>
      </c>
      <c r="M1146" s="116">
        <v>612.85</v>
      </c>
      <c r="N1146" s="116">
        <v>618.35</v>
      </c>
      <c r="O1146" s="116">
        <v>592.25</v>
      </c>
      <c r="P1146" s="116">
        <v>611.9</v>
      </c>
      <c r="Q1146" s="116">
        <v>612.85</v>
      </c>
      <c r="R1146">
        <v>746224</v>
      </c>
    </row>
    <row r="1147" spans="1:18" x14ac:dyDescent="0.25">
      <c r="A1147" s="170">
        <v>43693</v>
      </c>
      <c r="B1147" s="116">
        <v>631.79999999999995</v>
      </c>
      <c r="C1147" s="116">
        <v>623.45000000000005</v>
      </c>
      <c r="D1147" s="116">
        <v>601.5</v>
      </c>
      <c r="E1147" s="116">
        <v>612.1</v>
      </c>
      <c r="F1147" s="116">
        <v>623.45000000000005</v>
      </c>
      <c r="G1147">
        <v>91478</v>
      </c>
      <c r="H1147" s="116"/>
      <c r="I1147" s="116"/>
      <c r="L1147" s="170">
        <v>43693</v>
      </c>
      <c r="M1147" s="116">
        <v>623.45000000000005</v>
      </c>
      <c r="N1147" s="116">
        <v>632.04999999999995</v>
      </c>
      <c r="O1147" s="116">
        <v>601.25</v>
      </c>
      <c r="P1147" s="116">
        <v>613.6</v>
      </c>
      <c r="Q1147" s="116">
        <v>623.45000000000005</v>
      </c>
      <c r="R1147">
        <v>887759</v>
      </c>
    </row>
    <row r="1148" spans="1:18" x14ac:dyDescent="0.25">
      <c r="A1148" s="170">
        <v>43696</v>
      </c>
      <c r="B1148" s="116">
        <v>640.70000000000005</v>
      </c>
      <c r="C1148" s="116">
        <v>629.54999999999995</v>
      </c>
      <c r="D1148" s="116">
        <v>624.95000000000005</v>
      </c>
      <c r="E1148" s="116">
        <v>627.4</v>
      </c>
      <c r="F1148" s="116">
        <v>629.54999999999995</v>
      </c>
      <c r="G1148">
        <v>84881</v>
      </c>
      <c r="H1148" s="116"/>
      <c r="I1148" s="116"/>
      <c r="L1148" s="170">
        <v>43696</v>
      </c>
      <c r="M1148" s="116">
        <v>629.5</v>
      </c>
      <c r="N1148" s="116">
        <v>641</v>
      </c>
      <c r="O1148" s="116">
        <v>624.5</v>
      </c>
      <c r="P1148" s="116">
        <v>626.20000000000005</v>
      </c>
      <c r="Q1148" s="116">
        <v>629.5</v>
      </c>
      <c r="R1148">
        <v>586040</v>
      </c>
    </row>
    <row r="1149" spans="1:18" x14ac:dyDescent="0.25">
      <c r="A1149" s="170">
        <v>43697</v>
      </c>
      <c r="B1149" s="116">
        <v>636.70000000000005</v>
      </c>
      <c r="C1149" s="116">
        <v>620</v>
      </c>
      <c r="D1149" s="116">
        <v>616.20000000000005</v>
      </c>
      <c r="E1149" s="116">
        <v>630</v>
      </c>
      <c r="F1149" s="116">
        <v>620</v>
      </c>
      <c r="G1149">
        <v>61018</v>
      </c>
      <c r="H1149" s="116"/>
      <c r="I1149" s="116"/>
      <c r="L1149" s="170">
        <v>43697</v>
      </c>
      <c r="M1149" s="116">
        <v>619.45000000000005</v>
      </c>
      <c r="N1149" s="116">
        <v>637.70000000000005</v>
      </c>
      <c r="O1149" s="116">
        <v>615.25</v>
      </c>
      <c r="P1149" s="116">
        <v>629.79999999999995</v>
      </c>
      <c r="Q1149" s="116">
        <v>619.45000000000005</v>
      </c>
      <c r="R1149">
        <v>586008</v>
      </c>
    </row>
    <row r="1150" spans="1:18" x14ac:dyDescent="0.25">
      <c r="A1150" s="170">
        <v>43698</v>
      </c>
      <c r="B1150" s="116">
        <v>638.04999999999995</v>
      </c>
      <c r="C1150" s="116">
        <v>633.29999999999995</v>
      </c>
      <c r="D1150" s="116">
        <v>618</v>
      </c>
      <c r="E1150" s="116">
        <v>618</v>
      </c>
      <c r="F1150" s="116">
        <v>633.29999999999995</v>
      </c>
      <c r="G1150">
        <v>83024</v>
      </c>
      <c r="H1150" s="116"/>
      <c r="I1150" s="116"/>
      <c r="L1150" s="170">
        <v>43698</v>
      </c>
      <c r="M1150" s="116">
        <v>633.54999999999995</v>
      </c>
      <c r="N1150" s="116">
        <v>638</v>
      </c>
      <c r="O1150" s="116">
        <v>619.45000000000005</v>
      </c>
      <c r="P1150" s="116">
        <v>619.95000000000005</v>
      </c>
      <c r="Q1150" s="116">
        <v>633.54999999999995</v>
      </c>
      <c r="R1150">
        <v>973942</v>
      </c>
    </row>
    <row r="1151" spans="1:18" x14ac:dyDescent="0.25">
      <c r="A1151" s="170">
        <v>43699</v>
      </c>
      <c r="B1151" s="116">
        <v>638.75</v>
      </c>
      <c r="C1151" s="116">
        <v>606.75</v>
      </c>
      <c r="D1151" s="116">
        <v>603.54999999999995</v>
      </c>
      <c r="E1151" s="116">
        <v>634.9</v>
      </c>
      <c r="F1151" s="116">
        <v>606.75</v>
      </c>
      <c r="G1151">
        <v>71816</v>
      </c>
      <c r="H1151" s="116"/>
      <c r="I1151" s="116"/>
      <c r="L1151" s="170">
        <v>43699</v>
      </c>
      <c r="M1151" s="116">
        <v>606.75</v>
      </c>
      <c r="N1151" s="116">
        <v>639.1</v>
      </c>
      <c r="O1151" s="116">
        <v>602.6</v>
      </c>
      <c r="P1151" s="116">
        <v>634.20000000000005</v>
      </c>
      <c r="Q1151" s="116">
        <v>606.75</v>
      </c>
      <c r="R1151">
        <v>1031865</v>
      </c>
    </row>
    <row r="1152" spans="1:18" x14ac:dyDescent="0.25">
      <c r="A1152" s="170">
        <v>43700</v>
      </c>
      <c r="B1152" s="116">
        <v>652.6</v>
      </c>
      <c r="C1152" s="116">
        <v>649.1</v>
      </c>
      <c r="D1152" s="116">
        <v>607.35</v>
      </c>
      <c r="E1152" s="116">
        <v>610</v>
      </c>
      <c r="F1152" s="116">
        <v>649.1</v>
      </c>
      <c r="G1152">
        <v>145761</v>
      </c>
      <c r="H1152" s="116"/>
      <c r="I1152" s="116"/>
      <c r="L1152" s="170">
        <v>43700</v>
      </c>
      <c r="M1152" s="116">
        <v>649.25</v>
      </c>
      <c r="N1152" s="116">
        <v>652.95000000000005</v>
      </c>
      <c r="O1152" s="116">
        <v>607</v>
      </c>
      <c r="P1152" s="116">
        <v>607.70000000000005</v>
      </c>
      <c r="Q1152" s="116">
        <v>649.25</v>
      </c>
      <c r="R1152">
        <v>1744663</v>
      </c>
    </row>
    <row r="1153" spans="1:18" x14ac:dyDescent="0.25">
      <c r="A1153" s="170">
        <v>43703</v>
      </c>
      <c r="B1153" s="116">
        <v>661.35</v>
      </c>
      <c r="C1153" s="116">
        <v>646.79999999999995</v>
      </c>
      <c r="D1153" s="116">
        <v>640.25</v>
      </c>
      <c r="E1153" s="116">
        <v>657.8</v>
      </c>
      <c r="F1153" s="116">
        <v>646.79999999999995</v>
      </c>
      <c r="G1153">
        <v>91020</v>
      </c>
      <c r="H1153" s="116"/>
      <c r="I1153" s="116"/>
      <c r="L1153" s="170">
        <v>43703</v>
      </c>
      <c r="M1153" s="116">
        <v>647.20000000000005</v>
      </c>
      <c r="N1153" s="116">
        <v>663</v>
      </c>
      <c r="O1153" s="116">
        <v>639.45000000000005</v>
      </c>
      <c r="P1153" s="116">
        <v>660</v>
      </c>
      <c r="Q1153" s="116">
        <v>647.20000000000005</v>
      </c>
      <c r="R1153">
        <v>1279863</v>
      </c>
    </row>
    <row r="1154" spans="1:18" x14ac:dyDescent="0.25">
      <c r="A1154" s="170">
        <v>43704</v>
      </c>
      <c r="B1154" s="116">
        <v>666.55</v>
      </c>
      <c r="C1154" s="116">
        <v>652.20000000000005</v>
      </c>
      <c r="D1154" s="116">
        <v>646.4</v>
      </c>
      <c r="E1154" s="116">
        <v>650.6</v>
      </c>
      <c r="F1154" s="116">
        <v>652.20000000000005</v>
      </c>
      <c r="G1154">
        <v>93845</v>
      </c>
      <c r="H1154" s="116"/>
      <c r="I1154" s="116"/>
      <c r="L1154" s="170">
        <v>43704</v>
      </c>
      <c r="M1154" s="116">
        <v>651.75</v>
      </c>
      <c r="N1154" s="116">
        <v>666.5</v>
      </c>
      <c r="O1154" s="116">
        <v>646.1</v>
      </c>
      <c r="P1154" s="116">
        <v>647.9</v>
      </c>
      <c r="Q1154" s="116">
        <v>651.75</v>
      </c>
      <c r="R1154">
        <v>962086</v>
      </c>
    </row>
    <row r="1155" spans="1:18" x14ac:dyDescent="0.25">
      <c r="A1155" s="170">
        <v>43705</v>
      </c>
      <c r="B1155" s="116">
        <v>669</v>
      </c>
      <c r="C1155" s="116">
        <v>648.75</v>
      </c>
      <c r="D1155" s="116">
        <v>643</v>
      </c>
      <c r="E1155" s="116">
        <v>657</v>
      </c>
      <c r="F1155" s="116">
        <v>648.75</v>
      </c>
      <c r="G1155">
        <v>92895</v>
      </c>
      <c r="H1155" s="116"/>
      <c r="I1155" s="116"/>
      <c r="L1155" s="170">
        <v>43705</v>
      </c>
      <c r="M1155" s="116">
        <v>648.6</v>
      </c>
      <c r="N1155" s="116">
        <v>669</v>
      </c>
      <c r="O1155" s="116">
        <v>642.45000000000005</v>
      </c>
      <c r="P1155" s="116">
        <v>655</v>
      </c>
      <c r="Q1155" s="116">
        <v>648.6</v>
      </c>
      <c r="R1155">
        <v>1157017</v>
      </c>
    </row>
    <row r="1156" spans="1:18" x14ac:dyDescent="0.25">
      <c r="A1156" s="170">
        <v>43706</v>
      </c>
      <c r="B1156" s="116">
        <v>650.65</v>
      </c>
      <c r="C1156" s="116">
        <v>629.1</v>
      </c>
      <c r="D1156" s="116">
        <v>626.65</v>
      </c>
      <c r="E1156" s="116">
        <v>649.54999999999995</v>
      </c>
      <c r="F1156" s="116">
        <v>629.1</v>
      </c>
      <c r="G1156">
        <v>58697</v>
      </c>
      <c r="H1156" s="116"/>
      <c r="I1156" s="116"/>
      <c r="L1156" s="170">
        <v>43706</v>
      </c>
      <c r="M1156" s="116">
        <v>628.79999999999995</v>
      </c>
      <c r="N1156" s="116">
        <v>650</v>
      </c>
      <c r="O1156" s="116">
        <v>626.04999999999995</v>
      </c>
      <c r="P1156" s="116">
        <v>649.9</v>
      </c>
      <c r="Q1156" s="116">
        <v>628.79999999999995</v>
      </c>
      <c r="R1156">
        <v>810449</v>
      </c>
    </row>
    <row r="1157" spans="1:18" x14ac:dyDescent="0.25">
      <c r="A1157" s="170">
        <v>43707</v>
      </c>
      <c r="B1157" s="116">
        <v>636.5</v>
      </c>
      <c r="C1157" s="116">
        <v>632</v>
      </c>
      <c r="D1157" s="116">
        <v>621.54999999999995</v>
      </c>
      <c r="E1157" s="116">
        <v>636.5</v>
      </c>
      <c r="F1157" s="116">
        <v>632</v>
      </c>
      <c r="G1157">
        <v>66546</v>
      </c>
      <c r="H1157" s="116"/>
      <c r="I1157" s="116"/>
      <c r="L1157" s="170">
        <v>43707</v>
      </c>
      <c r="M1157" s="116">
        <v>632.25</v>
      </c>
      <c r="N1157" s="116">
        <v>635.35</v>
      </c>
      <c r="O1157" s="116">
        <v>621.4</v>
      </c>
      <c r="P1157" s="116">
        <v>633</v>
      </c>
      <c r="Q1157" s="116">
        <v>632.25</v>
      </c>
      <c r="R1157">
        <v>569664</v>
      </c>
    </row>
    <row r="1158" spans="1:18" x14ac:dyDescent="0.25">
      <c r="A1158" s="170">
        <v>43711</v>
      </c>
      <c r="B1158" s="116">
        <v>643.65</v>
      </c>
      <c r="C1158" s="116">
        <v>627.25</v>
      </c>
      <c r="D1158" s="116">
        <v>625.35</v>
      </c>
      <c r="E1158" s="116">
        <v>632</v>
      </c>
      <c r="F1158" s="116">
        <v>627.25</v>
      </c>
      <c r="G1158">
        <v>87917</v>
      </c>
      <c r="H1158" s="116"/>
      <c r="I1158" s="116"/>
      <c r="L1158" s="170">
        <v>43711</v>
      </c>
      <c r="M1158" s="116">
        <v>627.45000000000005</v>
      </c>
      <c r="N1158" s="116">
        <v>644</v>
      </c>
      <c r="O1158" s="116">
        <v>625.1</v>
      </c>
      <c r="P1158" s="116">
        <v>632</v>
      </c>
      <c r="Q1158" s="116">
        <v>627.45000000000005</v>
      </c>
      <c r="R1158">
        <v>607064</v>
      </c>
    </row>
    <row r="1159" spans="1:18" x14ac:dyDescent="0.25">
      <c r="A1159" s="170">
        <v>43712</v>
      </c>
      <c r="B1159" s="116">
        <v>636.20000000000005</v>
      </c>
      <c r="C1159" s="116">
        <v>610.20000000000005</v>
      </c>
      <c r="D1159" s="116">
        <v>606.15</v>
      </c>
      <c r="E1159" s="116">
        <v>632</v>
      </c>
      <c r="F1159" s="116">
        <v>610.20000000000005</v>
      </c>
      <c r="G1159">
        <v>68623</v>
      </c>
      <c r="H1159" s="116"/>
      <c r="I1159" s="116"/>
      <c r="L1159" s="170">
        <v>43712</v>
      </c>
      <c r="M1159" s="116">
        <v>610.25</v>
      </c>
      <c r="N1159" s="116">
        <v>635</v>
      </c>
      <c r="O1159" s="116">
        <v>606</v>
      </c>
      <c r="P1159" s="116">
        <v>631.35</v>
      </c>
      <c r="Q1159" s="116">
        <v>610.25</v>
      </c>
      <c r="R1159">
        <v>1026040</v>
      </c>
    </row>
    <row r="1160" spans="1:18" x14ac:dyDescent="0.25">
      <c r="A1160" s="170">
        <v>43713</v>
      </c>
      <c r="B1160" s="116">
        <v>621.45000000000005</v>
      </c>
      <c r="C1160" s="116">
        <v>618.70000000000005</v>
      </c>
      <c r="D1160" s="116">
        <v>613</v>
      </c>
      <c r="E1160" s="116">
        <v>615.95000000000005</v>
      </c>
      <c r="F1160" s="116">
        <v>618.70000000000005</v>
      </c>
      <c r="G1160">
        <v>44842</v>
      </c>
      <c r="H1160" s="116"/>
      <c r="I1160" s="116"/>
      <c r="L1160" s="170">
        <v>43713</v>
      </c>
      <c r="M1160" s="116">
        <v>618.70000000000005</v>
      </c>
      <c r="N1160" s="116">
        <v>621.95000000000005</v>
      </c>
      <c r="O1160" s="116">
        <v>611.25</v>
      </c>
      <c r="P1160" s="116">
        <v>611.25</v>
      </c>
      <c r="Q1160" s="116">
        <v>618.70000000000005</v>
      </c>
      <c r="R1160">
        <v>570377</v>
      </c>
    </row>
    <row r="1161" spans="1:18" x14ac:dyDescent="0.25">
      <c r="A1161" s="170">
        <v>43714</v>
      </c>
      <c r="B1161" s="116">
        <v>638</v>
      </c>
      <c r="C1161" s="116">
        <v>629.54999999999995</v>
      </c>
      <c r="D1161" s="116">
        <v>620.1</v>
      </c>
      <c r="E1161" s="116">
        <v>620.1</v>
      </c>
      <c r="F1161" s="116">
        <v>629.54999999999995</v>
      </c>
      <c r="G1161">
        <v>62896</v>
      </c>
      <c r="H1161" s="116"/>
      <c r="I1161" s="116"/>
      <c r="L1161" s="170">
        <v>43714</v>
      </c>
      <c r="M1161" s="116">
        <v>629.70000000000005</v>
      </c>
      <c r="N1161" s="116">
        <v>638</v>
      </c>
      <c r="O1161" s="116">
        <v>619</v>
      </c>
      <c r="P1161" s="116">
        <v>619</v>
      </c>
      <c r="Q1161" s="116">
        <v>629.70000000000005</v>
      </c>
      <c r="R1161">
        <v>809039</v>
      </c>
    </row>
    <row r="1162" spans="1:18" x14ac:dyDescent="0.25">
      <c r="A1162" s="170">
        <v>43717</v>
      </c>
      <c r="B1162" s="116">
        <v>640.85</v>
      </c>
      <c r="C1162" s="116">
        <v>637.9</v>
      </c>
      <c r="D1162" s="116">
        <v>632</v>
      </c>
      <c r="E1162" s="116">
        <v>633</v>
      </c>
      <c r="F1162" s="116">
        <v>637.9</v>
      </c>
      <c r="G1162">
        <v>35139</v>
      </c>
      <c r="H1162" s="116"/>
      <c r="I1162" s="116"/>
      <c r="L1162" s="170">
        <v>43717</v>
      </c>
      <c r="M1162" s="116">
        <v>638.15</v>
      </c>
      <c r="N1162" s="116">
        <v>640.9</v>
      </c>
      <c r="O1162" s="116">
        <v>629.75</v>
      </c>
      <c r="P1162" s="116">
        <v>631</v>
      </c>
      <c r="Q1162" s="116">
        <v>638.15</v>
      </c>
      <c r="R1162">
        <v>484397</v>
      </c>
    </row>
    <row r="1163" spans="1:18" x14ac:dyDescent="0.25">
      <c r="A1163" s="170">
        <v>43719</v>
      </c>
      <c r="B1163" s="116">
        <v>652.5</v>
      </c>
      <c r="C1163" s="116">
        <v>645</v>
      </c>
      <c r="D1163" s="116">
        <v>636.65</v>
      </c>
      <c r="E1163" s="116">
        <v>640.25</v>
      </c>
      <c r="F1163" s="116">
        <v>645</v>
      </c>
      <c r="G1163">
        <v>59089</v>
      </c>
      <c r="H1163" s="116"/>
      <c r="I1163" s="116"/>
      <c r="L1163" s="170">
        <v>43719</v>
      </c>
      <c r="M1163" s="116">
        <v>644.9</v>
      </c>
      <c r="N1163" s="116">
        <v>652.45000000000005</v>
      </c>
      <c r="O1163" s="116">
        <v>636.65</v>
      </c>
      <c r="P1163" s="116">
        <v>639.4</v>
      </c>
      <c r="Q1163" s="116">
        <v>644.9</v>
      </c>
      <c r="R1163">
        <v>480936</v>
      </c>
    </row>
    <row r="1164" spans="1:18" x14ac:dyDescent="0.25">
      <c r="A1164" s="170">
        <v>43720</v>
      </c>
      <c r="B1164" s="116">
        <v>657</v>
      </c>
      <c r="C1164" s="116">
        <v>645.35</v>
      </c>
      <c r="D1164" s="116">
        <v>642.04999999999995</v>
      </c>
      <c r="E1164" s="116">
        <v>648</v>
      </c>
      <c r="F1164" s="116">
        <v>645.35</v>
      </c>
      <c r="G1164">
        <v>60743</v>
      </c>
      <c r="H1164" s="116"/>
      <c r="I1164" s="116"/>
      <c r="L1164" s="170">
        <v>43720</v>
      </c>
      <c r="M1164" s="116">
        <v>645.5</v>
      </c>
      <c r="N1164" s="116">
        <v>657.2</v>
      </c>
      <c r="O1164" s="116">
        <v>642.1</v>
      </c>
      <c r="P1164" s="116">
        <v>646</v>
      </c>
      <c r="Q1164" s="116">
        <v>645.5</v>
      </c>
      <c r="R1164">
        <v>382518</v>
      </c>
    </row>
    <row r="1165" spans="1:18" x14ac:dyDescent="0.25">
      <c r="A1165" s="170">
        <v>43721</v>
      </c>
      <c r="B1165" s="116">
        <v>649.54999999999995</v>
      </c>
      <c r="C1165" s="116">
        <v>647.5</v>
      </c>
      <c r="D1165" s="116">
        <v>633.9</v>
      </c>
      <c r="E1165" s="116">
        <v>647</v>
      </c>
      <c r="F1165" s="116">
        <v>647.5</v>
      </c>
      <c r="G1165">
        <v>52257</v>
      </c>
      <c r="H1165" s="116"/>
      <c r="I1165" s="116"/>
      <c r="L1165" s="170">
        <v>43721</v>
      </c>
      <c r="M1165" s="116">
        <v>647.4</v>
      </c>
      <c r="N1165" s="116">
        <v>649.5</v>
      </c>
      <c r="O1165" s="116">
        <v>634.1</v>
      </c>
      <c r="P1165" s="116">
        <v>648</v>
      </c>
      <c r="Q1165" s="116">
        <v>647.4</v>
      </c>
      <c r="R1165">
        <v>326196</v>
      </c>
    </row>
    <row r="1166" spans="1:18" x14ac:dyDescent="0.25">
      <c r="A1166" s="170">
        <v>43724</v>
      </c>
      <c r="B1166" s="116">
        <v>664.5</v>
      </c>
      <c r="C1166" s="116">
        <v>661.55</v>
      </c>
      <c r="D1166" s="116">
        <v>642.75</v>
      </c>
      <c r="E1166" s="116">
        <v>644</v>
      </c>
      <c r="F1166" s="116">
        <v>661.55</v>
      </c>
      <c r="G1166">
        <v>128395</v>
      </c>
      <c r="H1166" s="116"/>
      <c r="I1166" s="116"/>
      <c r="L1166" s="170">
        <v>43724</v>
      </c>
      <c r="M1166" s="116">
        <v>661.5</v>
      </c>
      <c r="N1166" s="116">
        <v>664.7</v>
      </c>
      <c r="O1166" s="116">
        <v>640.04999999999995</v>
      </c>
      <c r="P1166" s="116">
        <v>642.1</v>
      </c>
      <c r="Q1166" s="116">
        <v>661.5</v>
      </c>
      <c r="R1166">
        <v>979764</v>
      </c>
    </row>
    <row r="1167" spans="1:18" x14ac:dyDescent="0.25">
      <c r="A1167" s="170">
        <v>43725</v>
      </c>
      <c r="B1167" s="116">
        <v>665</v>
      </c>
      <c r="C1167" s="116">
        <v>635</v>
      </c>
      <c r="D1167" s="116">
        <v>630.79999999999995</v>
      </c>
      <c r="E1167" s="116">
        <v>665</v>
      </c>
      <c r="F1167" s="116">
        <v>635</v>
      </c>
      <c r="G1167">
        <v>58065</v>
      </c>
      <c r="H1167" s="116"/>
      <c r="I1167" s="116"/>
      <c r="L1167" s="170">
        <v>43725</v>
      </c>
      <c r="M1167" s="116">
        <v>634.45000000000005</v>
      </c>
      <c r="N1167" s="116">
        <v>664.55</v>
      </c>
      <c r="O1167" s="116">
        <v>630.25</v>
      </c>
      <c r="P1167" s="116">
        <v>664.55</v>
      </c>
      <c r="Q1167" s="116">
        <v>634.45000000000005</v>
      </c>
      <c r="R1167">
        <v>684294</v>
      </c>
    </row>
    <row r="1168" spans="1:18" x14ac:dyDescent="0.25">
      <c r="A1168" s="170">
        <v>43726</v>
      </c>
      <c r="B1168" s="116">
        <v>651.25</v>
      </c>
      <c r="C1168" s="116">
        <v>638.54999999999995</v>
      </c>
      <c r="D1168" s="116">
        <v>637</v>
      </c>
      <c r="E1168" s="116">
        <v>638</v>
      </c>
      <c r="F1168" s="116">
        <v>638.54999999999995</v>
      </c>
      <c r="G1168">
        <v>55548</v>
      </c>
      <c r="H1168" s="116"/>
      <c r="I1168" s="116"/>
      <c r="L1168" s="170">
        <v>43726</v>
      </c>
      <c r="M1168" s="116">
        <v>638.29999999999995</v>
      </c>
      <c r="N1168" s="116">
        <v>651.9</v>
      </c>
      <c r="O1168" s="116">
        <v>636.1</v>
      </c>
      <c r="P1168" s="116">
        <v>637.25</v>
      </c>
      <c r="Q1168" s="116">
        <v>638.29999999999995</v>
      </c>
      <c r="R1168">
        <v>621594</v>
      </c>
    </row>
    <row r="1169" spans="1:18" x14ac:dyDescent="0.25">
      <c r="A1169" s="170">
        <v>43727</v>
      </c>
      <c r="B1169" s="116">
        <v>639.95000000000005</v>
      </c>
      <c r="C1169" s="116">
        <v>627.15</v>
      </c>
      <c r="D1169" s="116">
        <v>619.95000000000005</v>
      </c>
      <c r="E1169" s="116">
        <v>638</v>
      </c>
      <c r="F1169" s="116">
        <v>627.15</v>
      </c>
      <c r="G1169">
        <v>52778</v>
      </c>
      <c r="H1169" s="116"/>
      <c r="I1169" s="116"/>
      <c r="L1169" s="170">
        <v>43727</v>
      </c>
      <c r="M1169" s="116">
        <v>626.5</v>
      </c>
      <c r="N1169" s="116">
        <v>640.4</v>
      </c>
      <c r="O1169" s="116">
        <v>620.20000000000005</v>
      </c>
      <c r="P1169" s="116">
        <v>639.70000000000005</v>
      </c>
      <c r="Q1169" s="116">
        <v>626.5</v>
      </c>
      <c r="R1169">
        <v>426455</v>
      </c>
    </row>
    <row r="1170" spans="1:18" x14ac:dyDescent="0.25">
      <c r="A1170" s="170">
        <v>43728</v>
      </c>
      <c r="B1170" s="116">
        <v>651.65</v>
      </c>
      <c r="C1170" s="116">
        <v>644.45000000000005</v>
      </c>
      <c r="D1170" s="116">
        <v>617.75</v>
      </c>
      <c r="E1170" s="116">
        <v>629.85</v>
      </c>
      <c r="F1170" s="116">
        <v>644.45000000000005</v>
      </c>
      <c r="G1170">
        <v>78031</v>
      </c>
      <c r="H1170" s="116"/>
      <c r="I1170" s="116"/>
      <c r="L1170" s="170">
        <v>43728</v>
      </c>
      <c r="M1170" s="116">
        <v>644.20000000000005</v>
      </c>
      <c r="N1170" s="116">
        <v>652</v>
      </c>
      <c r="O1170" s="116">
        <v>617.20000000000005</v>
      </c>
      <c r="P1170" s="116">
        <v>629.4</v>
      </c>
      <c r="Q1170" s="116">
        <v>644.20000000000005</v>
      </c>
      <c r="R1170">
        <v>945969</v>
      </c>
    </row>
    <row r="1171" spans="1:18" x14ac:dyDescent="0.25">
      <c r="A1171" s="170">
        <v>43731</v>
      </c>
      <c r="B1171" s="116">
        <v>657</v>
      </c>
      <c r="C1171" s="116">
        <v>648.9</v>
      </c>
      <c r="D1171" s="116">
        <v>631.5</v>
      </c>
      <c r="E1171" s="116">
        <v>656.5</v>
      </c>
      <c r="F1171" s="116">
        <v>648.9</v>
      </c>
      <c r="G1171">
        <v>97614</v>
      </c>
      <c r="H1171" s="116"/>
      <c r="I1171" s="116"/>
      <c r="L1171" s="170">
        <v>43731</v>
      </c>
      <c r="M1171" s="116">
        <v>649.20000000000005</v>
      </c>
      <c r="N1171" s="116">
        <v>657.85</v>
      </c>
      <c r="O1171" s="116">
        <v>631</v>
      </c>
      <c r="P1171" s="116">
        <v>651</v>
      </c>
      <c r="Q1171" s="116">
        <v>649.20000000000005</v>
      </c>
      <c r="R1171">
        <v>727766</v>
      </c>
    </row>
    <row r="1172" spans="1:18" x14ac:dyDescent="0.25">
      <c r="A1172" s="170">
        <v>43732</v>
      </c>
      <c r="B1172" s="116">
        <v>700.6</v>
      </c>
      <c r="C1172" s="116">
        <v>685.1</v>
      </c>
      <c r="D1172" s="116">
        <v>645.45000000000005</v>
      </c>
      <c r="E1172" s="116">
        <v>650</v>
      </c>
      <c r="F1172" s="116">
        <v>685.1</v>
      </c>
      <c r="G1172">
        <v>338491</v>
      </c>
      <c r="H1172" s="116"/>
      <c r="I1172" s="116"/>
      <c r="L1172" s="170">
        <v>43732</v>
      </c>
      <c r="M1172" s="116">
        <v>685.5</v>
      </c>
      <c r="N1172" s="116">
        <v>700.9</v>
      </c>
      <c r="O1172" s="116">
        <v>645.04999999999995</v>
      </c>
      <c r="P1172" s="116">
        <v>650</v>
      </c>
      <c r="Q1172" s="116">
        <v>685.5</v>
      </c>
      <c r="R1172">
        <v>3280239</v>
      </c>
    </row>
    <row r="1173" spans="1:18" x14ac:dyDescent="0.25">
      <c r="A1173" s="170">
        <v>43733</v>
      </c>
      <c r="B1173" s="116">
        <v>699.95</v>
      </c>
      <c r="C1173" s="116">
        <v>666.7</v>
      </c>
      <c r="D1173" s="116">
        <v>660.3</v>
      </c>
      <c r="E1173" s="116">
        <v>684.95</v>
      </c>
      <c r="F1173" s="116">
        <v>666.7</v>
      </c>
      <c r="G1173">
        <v>169750</v>
      </c>
      <c r="H1173" s="116"/>
      <c r="I1173" s="116"/>
      <c r="L1173" s="170">
        <v>43733</v>
      </c>
      <c r="M1173" s="116">
        <v>667.4</v>
      </c>
      <c r="N1173" s="116">
        <v>700.6</v>
      </c>
      <c r="O1173" s="116">
        <v>660</v>
      </c>
      <c r="P1173" s="116">
        <v>681</v>
      </c>
      <c r="Q1173" s="116">
        <v>667.4</v>
      </c>
      <c r="R1173">
        <v>2089065</v>
      </c>
    </row>
    <row r="1174" spans="1:18" x14ac:dyDescent="0.25">
      <c r="A1174" s="170">
        <v>43734</v>
      </c>
      <c r="B1174" s="116">
        <v>687.85</v>
      </c>
      <c r="C1174" s="116">
        <v>685.4</v>
      </c>
      <c r="D1174" s="116">
        <v>670.2</v>
      </c>
      <c r="E1174" s="116">
        <v>671.05</v>
      </c>
      <c r="F1174" s="116">
        <v>685.4</v>
      </c>
      <c r="G1174">
        <v>100031</v>
      </c>
      <c r="H1174" s="116"/>
      <c r="I1174" s="116"/>
      <c r="L1174" s="170">
        <v>43734</v>
      </c>
      <c r="M1174" s="116">
        <v>685.7</v>
      </c>
      <c r="N1174" s="116">
        <v>688</v>
      </c>
      <c r="O1174" s="116">
        <v>670.35</v>
      </c>
      <c r="P1174" s="116">
        <v>670.35</v>
      </c>
      <c r="Q1174" s="116">
        <v>685.7</v>
      </c>
      <c r="R1174">
        <v>1045513</v>
      </c>
    </row>
    <row r="1175" spans="1:18" x14ac:dyDescent="0.25">
      <c r="A1175" s="170">
        <v>43735</v>
      </c>
      <c r="B1175" s="116">
        <v>701.05</v>
      </c>
      <c r="C1175" s="116">
        <v>682.65</v>
      </c>
      <c r="D1175" s="116">
        <v>681.05</v>
      </c>
      <c r="E1175" s="116">
        <v>686.35</v>
      </c>
      <c r="F1175" s="116">
        <v>682.65</v>
      </c>
      <c r="G1175">
        <v>105519</v>
      </c>
      <c r="H1175" s="116"/>
      <c r="I1175" s="116"/>
      <c r="L1175" s="170">
        <v>43735</v>
      </c>
      <c r="M1175" s="116">
        <v>682.65</v>
      </c>
      <c r="N1175" s="116">
        <v>701.2</v>
      </c>
      <c r="O1175" s="116">
        <v>681</v>
      </c>
      <c r="P1175" s="116">
        <v>686</v>
      </c>
      <c r="Q1175" s="116">
        <v>682.65</v>
      </c>
      <c r="R1175">
        <v>1268379</v>
      </c>
    </row>
    <row r="1176" spans="1:18" x14ac:dyDescent="0.25">
      <c r="A1176" s="170">
        <v>43738</v>
      </c>
      <c r="B1176" s="116">
        <v>686.4</v>
      </c>
      <c r="C1176" s="116">
        <v>676.05</v>
      </c>
      <c r="D1176" s="116">
        <v>672.6</v>
      </c>
      <c r="E1176" s="116">
        <v>685</v>
      </c>
      <c r="F1176" s="116">
        <v>676.05</v>
      </c>
      <c r="G1176">
        <v>56876</v>
      </c>
      <c r="H1176" s="116"/>
      <c r="I1176" s="116"/>
      <c r="L1176" s="170">
        <v>43738</v>
      </c>
      <c r="M1176" s="116">
        <v>677.25</v>
      </c>
      <c r="N1176" s="116">
        <v>687.75</v>
      </c>
      <c r="O1176" s="116">
        <v>671.45</v>
      </c>
      <c r="P1176" s="116">
        <v>685</v>
      </c>
      <c r="Q1176" s="116">
        <v>677.25</v>
      </c>
      <c r="R1176">
        <v>671679</v>
      </c>
    </row>
    <row r="1177" spans="1:18" x14ac:dyDescent="0.25">
      <c r="A1177" s="170">
        <v>43739</v>
      </c>
      <c r="B1177" s="116">
        <v>685</v>
      </c>
      <c r="C1177" s="116">
        <v>674.45</v>
      </c>
      <c r="D1177" s="116">
        <v>665</v>
      </c>
      <c r="E1177" s="116">
        <v>671.1</v>
      </c>
      <c r="F1177" s="116">
        <v>674.45</v>
      </c>
      <c r="G1177">
        <v>34274</v>
      </c>
      <c r="H1177" s="116"/>
      <c r="I1177" s="116"/>
      <c r="L1177" s="170">
        <v>43739</v>
      </c>
      <c r="M1177" s="116">
        <v>675.05</v>
      </c>
      <c r="N1177" s="116">
        <v>684.9</v>
      </c>
      <c r="O1177" s="116">
        <v>664.3</v>
      </c>
      <c r="P1177" s="116">
        <v>681</v>
      </c>
      <c r="Q1177" s="116">
        <v>675.05</v>
      </c>
      <c r="R1177">
        <v>679666</v>
      </c>
    </row>
    <row r="1178" spans="1:18" x14ac:dyDescent="0.25">
      <c r="A1178" s="170">
        <v>43741</v>
      </c>
      <c r="B1178" s="116">
        <v>692.55</v>
      </c>
      <c r="C1178" s="116">
        <v>687</v>
      </c>
      <c r="D1178" s="116">
        <v>672.1</v>
      </c>
      <c r="E1178" s="116">
        <v>673</v>
      </c>
      <c r="F1178" s="116">
        <v>687</v>
      </c>
      <c r="G1178">
        <v>44630</v>
      </c>
      <c r="H1178" s="116"/>
      <c r="I1178" s="116"/>
      <c r="L1178" s="170">
        <v>43741</v>
      </c>
      <c r="M1178" s="116">
        <v>687.3</v>
      </c>
      <c r="N1178" s="116">
        <v>692.3</v>
      </c>
      <c r="O1178" s="116">
        <v>672</v>
      </c>
      <c r="P1178" s="116">
        <v>674.5</v>
      </c>
      <c r="Q1178" s="116">
        <v>687.3</v>
      </c>
      <c r="R1178">
        <v>760953</v>
      </c>
    </row>
    <row r="1179" spans="1:18" x14ac:dyDescent="0.25">
      <c r="A1179" s="170">
        <v>43742</v>
      </c>
      <c r="B1179" s="116">
        <v>696</v>
      </c>
      <c r="C1179" s="116">
        <v>682</v>
      </c>
      <c r="D1179" s="116">
        <v>680.6</v>
      </c>
      <c r="E1179" s="116">
        <v>695</v>
      </c>
      <c r="F1179" s="116">
        <v>682</v>
      </c>
      <c r="G1179">
        <v>68489</v>
      </c>
      <c r="H1179" s="116"/>
      <c r="I1179" s="116"/>
      <c r="L1179" s="170">
        <v>43742</v>
      </c>
      <c r="M1179" s="116">
        <v>682.6</v>
      </c>
      <c r="N1179" s="116">
        <v>695.8</v>
      </c>
      <c r="O1179" s="116">
        <v>681.7</v>
      </c>
      <c r="P1179" s="116">
        <v>692</v>
      </c>
      <c r="Q1179" s="116">
        <v>682.6</v>
      </c>
      <c r="R1179">
        <v>564521</v>
      </c>
    </row>
    <row r="1180" spans="1:18" x14ac:dyDescent="0.25">
      <c r="A1180" s="170">
        <v>43745</v>
      </c>
      <c r="B1180" s="116">
        <v>691.2</v>
      </c>
      <c r="C1180" s="116">
        <v>680.4</v>
      </c>
      <c r="D1180" s="116">
        <v>676.8</v>
      </c>
      <c r="E1180" s="116">
        <v>685.25</v>
      </c>
      <c r="F1180" s="116">
        <v>680.4</v>
      </c>
      <c r="G1180">
        <v>25477</v>
      </c>
      <c r="H1180" s="116"/>
      <c r="I1180" s="116"/>
      <c r="L1180" s="170">
        <v>43745</v>
      </c>
      <c r="M1180" s="116">
        <v>680.25</v>
      </c>
      <c r="N1180" s="116">
        <v>691.25</v>
      </c>
      <c r="O1180" s="116">
        <v>677</v>
      </c>
      <c r="P1180" s="116">
        <v>685.7</v>
      </c>
      <c r="Q1180" s="116">
        <v>680.25</v>
      </c>
      <c r="R1180">
        <v>407029</v>
      </c>
    </row>
    <row r="1181" spans="1:18" x14ac:dyDescent="0.25">
      <c r="A1181" s="170">
        <v>43747</v>
      </c>
      <c r="B1181" s="116">
        <v>683.7</v>
      </c>
      <c r="C1181" s="116">
        <v>637.79999999999995</v>
      </c>
      <c r="D1181" s="116">
        <v>621.1</v>
      </c>
      <c r="E1181" s="116">
        <v>683.7</v>
      </c>
      <c r="F1181" s="116">
        <v>637.79999999999995</v>
      </c>
      <c r="G1181">
        <v>177628</v>
      </c>
      <c r="H1181" s="116"/>
      <c r="I1181" s="116"/>
      <c r="L1181" s="170">
        <v>43747</v>
      </c>
      <c r="M1181" s="116">
        <v>637.75</v>
      </c>
      <c r="N1181" s="116">
        <v>682.7</v>
      </c>
      <c r="O1181" s="116">
        <v>621</v>
      </c>
      <c r="P1181" s="116">
        <v>682.7</v>
      </c>
      <c r="Q1181" s="116">
        <v>637.75</v>
      </c>
      <c r="R1181">
        <v>2843285</v>
      </c>
    </row>
    <row r="1182" spans="1:18" x14ac:dyDescent="0.25">
      <c r="A1182" s="170">
        <v>43748</v>
      </c>
      <c r="B1182" s="116">
        <v>633.04999999999995</v>
      </c>
      <c r="C1182" s="116">
        <v>619.1</v>
      </c>
      <c r="D1182" s="116">
        <v>615.15</v>
      </c>
      <c r="E1182" s="116">
        <v>630.79999999999995</v>
      </c>
      <c r="F1182" s="116">
        <v>619.1</v>
      </c>
      <c r="G1182">
        <v>76497</v>
      </c>
      <c r="H1182" s="116"/>
      <c r="I1182" s="116"/>
      <c r="L1182" s="170">
        <v>43748</v>
      </c>
      <c r="M1182" s="116">
        <v>618.85</v>
      </c>
      <c r="N1182" s="116">
        <v>632.79999999999995</v>
      </c>
      <c r="O1182" s="116">
        <v>615</v>
      </c>
      <c r="P1182" s="116">
        <v>630.75</v>
      </c>
      <c r="Q1182" s="116">
        <v>618.85</v>
      </c>
      <c r="R1182">
        <v>1137992</v>
      </c>
    </row>
    <row r="1183" spans="1:18" x14ac:dyDescent="0.25">
      <c r="A1183" s="170">
        <v>43749</v>
      </c>
      <c r="B1183" s="116">
        <v>635.65</v>
      </c>
      <c r="C1183" s="116">
        <v>632.04999999999995</v>
      </c>
      <c r="D1183" s="116">
        <v>610</v>
      </c>
      <c r="E1183" s="116">
        <v>619</v>
      </c>
      <c r="F1183" s="116">
        <v>632.04999999999995</v>
      </c>
      <c r="G1183">
        <v>87806</v>
      </c>
      <c r="H1183" s="116"/>
      <c r="I1183" s="116"/>
      <c r="L1183" s="170">
        <v>43749</v>
      </c>
      <c r="M1183" s="116">
        <v>632.29999999999995</v>
      </c>
      <c r="N1183" s="116">
        <v>635.9</v>
      </c>
      <c r="O1183" s="116">
        <v>610</v>
      </c>
      <c r="P1183" s="116">
        <v>615</v>
      </c>
      <c r="Q1183" s="116">
        <v>632.29999999999995</v>
      </c>
      <c r="R1183">
        <v>961678</v>
      </c>
    </row>
    <row r="1184" spans="1:18" x14ac:dyDescent="0.25">
      <c r="A1184" s="170">
        <v>43752</v>
      </c>
      <c r="B1184" s="116">
        <v>656.75</v>
      </c>
      <c r="C1184" s="116">
        <v>646</v>
      </c>
      <c r="D1184" s="116">
        <v>629</v>
      </c>
      <c r="E1184" s="116">
        <v>634</v>
      </c>
      <c r="F1184" s="116">
        <v>646</v>
      </c>
      <c r="G1184">
        <v>85034</v>
      </c>
      <c r="H1184" s="116"/>
      <c r="I1184" s="116"/>
      <c r="L1184" s="170">
        <v>43752</v>
      </c>
      <c r="M1184" s="116">
        <v>646.4</v>
      </c>
      <c r="N1184" s="116">
        <v>657</v>
      </c>
      <c r="O1184" s="116">
        <v>628.6</v>
      </c>
      <c r="P1184" s="116">
        <v>636.25</v>
      </c>
      <c r="Q1184" s="116">
        <v>646.4</v>
      </c>
      <c r="R1184">
        <v>1031550</v>
      </c>
    </row>
    <row r="1185" spans="1:18" x14ac:dyDescent="0.25">
      <c r="A1185" s="170">
        <v>43753</v>
      </c>
      <c r="B1185" s="116">
        <v>657.5</v>
      </c>
      <c r="C1185" s="116">
        <v>650.79999999999995</v>
      </c>
      <c r="D1185" s="116">
        <v>633.1</v>
      </c>
      <c r="E1185" s="116">
        <v>657.5</v>
      </c>
      <c r="F1185" s="116">
        <v>650.79999999999995</v>
      </c>
      <c r="G1185">
        <v>55204</v>
      </c>
      <c r="H1185" s="116"/>
      <c r="I1185" s="116"/>
      <c r="L1185" s="170">
        <v>43753</v>
      </c>
      <c r="M1185" s="116">
        <v>650.95000000000005</v>
      </c>
      <c r="N1185" s="116">
        <v>653.79999999999995</v>
      </c>
      <c r="O1185" s="116">
        <v>640</v>
      </c>
      <c r="P1185" s="116">
        <v>649.65</v>
      </c>
      <c r="Q1185" s="116">
        <v>650.95000000000005</v>
      </c>
      <c r="R1185">
        <v>441562</v>
      </c>
    </row>
    <row r="1186" spans="1:18" x14ac:dyDescent="0.25">
      <c r="A1186" s="170">
        <v>43754</v>
      </c>
      <c r="B1186" s="116">
        <v>676.05</v>
      </c>
      <c r="C1186" s="116">
        <v>672.65</v>
      </c>
      <c r="D1186" s="116">
        <v>648.6</v>
      </c>
      <c r="E1186" s="116">
        <v>660</v>
      </c>
      <c r="F1186" s="116">
        <v>672.65</v>
      </c>
      <c r="G1186">
        <v>91511</v>
      </c>
      <c r="H1186" s="116"/>
      <c r="I1186" s="116"/>
      <c r="L1186" s="170">
        <v>43754</v>
      </c>
      <c r="M1186" s="116">
        <v>671.9</v>
      </c>
      <c r="N1186" s="116">
        <v>676.35</v>
      </c>
      <c r="O1186" s="116">
        <v>648.75</v>
      </c>
      <c r="P1186" s="116">
        <v>653.9</v>
      </c>
      <c r="Q1186" s="116">
        <v>671.9</v>
      </c>
      <c r="R1186">
        <v>1224257</v>
      </c>
    </row>
    <row r="1187" spans="1:18" x14ac:dyDescent="0.25">
      <c r="A1187" s="170">
        <v>43755</v>
      </c>
      <c r="B1187" s="116">
        <v>725.3</v>
      </c>
      <c r="C1187" s="116">
        <v>709.05</v>
      </c>
      <c r="D1187" s="116">
        <v>666.8</v>
      </c>
      <c r="E1187" s="116">
        <v>674</v>
      </c>
      <c r="F1187" s="116">
        <v>709.05</v>
      </c>
      <c r="G1187">
        <v>118922</v>
      </c>
      <c r="H1187" s="116"/>
      <c r="I1187" s="116"/>
      <c r="L1187" s="170">
        <v>43755</v>
      </c>
      <c r="M1187" s="116">
        <v>708.1</v>
      </c>
      <c r="N1187" s="116">
        <v>725</v>
      </c>
      <c r="O1187" s="116">
        <v>666.3</v>
      </c>
      <c r="P1187" s="116">
        <v>675.9</v>
      </c>
      <c r="Q1187" s="116">
        <v>708.1</v>
      </c>
      <c r="R1187">
        <v>1261063</v>
      </c>
    </row>
    <row r="1188" spans="1:18" x14ac:dyDescent="0.25">
      <c r="A1188" s="170">
        <v>43756</v>
      </c>
      <c r="B1188" s="116">
        <v>721.9</v>
      </c>
      <c r="C1188" s="116">
        <v>708.4</v>
      </c>
      <c r="D1188" s="116">
        <v>702.7</v>
      </c>
      <c r="E1188" s="116">
        <v>712</v>
      </c>
      <c r="F1188" s="116">
        <v>708.4</v>
      </c>
      <c r="G1188">
        <v>100682</v>
      </c>
      <c r="H1188" s="116"/>
      <c r="I1188" s="116"/>
      <c r="L1188" s="170">
        <v>43756</v>
      </c>
      <c r="M1188" s="116">
        <v>708.3</v>
      </c>
      <c r="N1188" s="116">
        <v>721.95</v>
      </c>
      <c r="O1188" s="116">
        <v>702.55</v>
      </c>
      <c r="P1188" s="116">
        <v>715.2</v>
      </c>
      <c r="Q1188" s="116">
        <v>708.3</v>
      </c>
      <c r="R1188">
        <v>1266825</v>
      </c>
    </row>
    <row r="1189" spans="1:18" x14ac:dyDescent="0.25">
      <c r="A1189" s="170">
        <v>43760</v>
      </c>
      <c r="B1189" s="116">
        <v>705.6</v>
      </c>
      <c r="C1189" s="116">
        <v>702.05</v>
      </c>
      <c r="D1189" s="116">
        <v>675.05</v>
      </c>
      <c r="E1189" s="116">
        <v>699</v>
      </c>
      <c r="F1189" s="116">
        <v>702.05</v>
      </c>
      <c r="G1189">
        <v>118638</v>
      </c>
      <c r="H1189" s="116"/>
      <c r="I1189" s="116"/>
      <c r="L1189" s="170">
        <v>43760</v>
      </c>
      <c r="M1189" s="116">
        <v>702.3</v>
      </c>
      <c r="N1189" s="116">
        <v>705.9</v>
      </c>
      <c r="O1189" s="116">
        <v>675.2</v>
      </c>
      <c r="P1189" s="116">
        <v>692</v>
      </c>
      <c r="Q1189" s="116">
        <v>702.3</v>
      </c>
      <c r="R1189">
        <v>1669101</v>
      </c>
    </row>
    <row r="1190" spans="1:18" x14ac:dyDescent="0.25">
      <c r="A1190" s="170">
        <v>43761</v>
      </c>
      <c r="B1190" s="116">
        <v>725.4</v>
      </c>
      <c r="C1190" s="116">
        <v>716.35</v>
      </c>
      <c r="D1190" s="116">
        <v>699.95</v>
      </c>
      <c r="E1190" s="116">
        <v>700.2</v>
      </c>
      <c r="F1190" s="116">
        <v>716.35</v>
      </c>
      <c r="G1190">
        <v>129511</v>
      </c>
      <c r="H1190" s="116"/>
      <c r="I1190" s="116"/>
      <c r="L1190" s="170">
        <v>43761</v>
      </c>
      <c r="M1190" s="116">
        <v>716.1</v>
      </c>
      <c r="N1190" s="116">
        <v>725.55</v>
      </c>
      <c r="O1190" s="116">
        <v>700</v>
      </c>
      <c r="P1190" s="116">
        <v>700</v>
      </c>
      <c r="Q1190" s="116">
        <v>716.1</v>
      </c>
      <c r="R1190">
        <v>1824687</v>
      </c>
    </row>
    <row r="1191" spans="1:18" x14ac:dyDescent="0.25">
      <c r="A1191" s="170">
        <v>43762</v>
      </c>
      <c r="B1191" s="116">
        <v>761.95</v>
      </c>
      <c r="C1191" s="116">
        <v>756.45</v>
      </c>
      <c r="D1191" s="116">
        <v>718.05</v>
      </c>
      <c r="E1191" s="116">
        <v>720</v>
      </c>
      <c r="F1191" s="116">
        <v>756.45</v>
      </c>
      <c r="G1191">
        <v>228025</v>
      </c>
      <c r="H1191" s="116"/>
      <c r="I1191" s="116"/>
      <c r="L1191" s="170">
        <v>43762</v>
      </c>
      <c r="M1191" s="116">
        <v>756.5</v>
      </c>
      <c r="N1191" s="116">
        <v>762.6</v>
      </c>
      <c r="O1191" s="116">
        <v>716.4</v>
      </c>
      <c r="P1191" s="116">
        <v>716.4</v>
      </c>
      <c r="Q1191" s="116">
        <v>756.5</v>
      </c>
      <c r="R1191">
        <v>3185222</v>
      </c>
    </row>
    <row r="1192" spans="1:18" x14ac:dyDescent="0.25">
      <c r="A1192" s="170">
        <v>43763</v>
      </c>
      <c r="B1192" s="116">
        <v>765</v>
      </c>
      <c r="C1192" s="116">
        <v>761.55</v>
      </c>
      <c r="D1192" s="116">
        <v>748</v>
      </c>
      <c r="E1192" s="116">
        <v>757</v>
      </c>
      <c r="F1192" s="116">
        <v>761.55</v>
      </c>
      <c r="G1192">
        <v>104746</v>
      </c>
      <c r="H1192" s="116"/>
      <c r="I1192" s="116"/>
      <c r="L1192" s="170">
        <v>43763</v>
      </c>
      <c r="M1192" s="116">
        <v>761.5</v>
      </c>
      <c r="N1192" s="116">
        <v>766</v>
      </c>
      <c r="O1192" s="116">
        <v>747.55</v>
      </c>
      <c r="P1192" s="116">
        <v>757.9</v>
      </c>
      <c r="Q1192" s="116">
        <v>761.5</v>
      </c>
      <c r="R1192">
        <v>1356741</v>
      </c>
    </row>
    <row r="1193" spans="1:18" x14ac:dyDescent="0.25">
      <c r="A1193" s="170">
        <v>43765</v>
      </c>
      <c r="B1193" s="116">
        <v>792.9</v>
      </c>
      <c r="C1193" s="116">
        <v>786.3</v>
      </c>
      <c r="D1193" s="116">
        <v>776.3</v>
      </c>
      <c r="E1193" s="116">
        <v>776.3</v>
      </c>
      <c r="F1193" s="116">
        <v>786.3</v>
      </c>
      <c r="G1193">
        <v>41190</v>
      </c>
      <c r="H1193" s="116"/>
      <c r="I1193" s="116"/>
      <c r="L1193" s="170">
        <v>43765</v>
      </c>
      <c r="M1193" s="116">
        <v>787.3</v>
      </c>
      <c r="N1193" s="116">
        <v>793</v>
      </c>
      <c r="O1193" s="116">
        <v>778.4</v>
      </c>
      <c r="P1193" s="116">
        <v>781</v>
      </c>
      <c r="Q1193" s="116">
        <v>787.3</v>
      </c>
      <c r="R1193">
        <v>529897</v>
      </c>
    </row>
    <row r="1194" spans="1:18" x14ac:dyDescent="0.25">
      <c r="A1194" s="170">
        <v>43767</v>
      </c>
      <c r="B1194" s="116">
        <v>817.75</v>
      </c>
      <c r="C1194" s="116">
        <v>802.5</v>
      </c>
      <c r="D1194" s="116">
        <v>782.4</v>
      </c>
      <c r="E1194" s="116">
        <v>791</v>
      </c>
      <c r="F1194" s="116">
        <v>802.5</v>
      </c>
      <c r="G1194">
        <v>103987</v>
      </c>
      <c r="H1194" s="116"/>
      <c r="I1194" s="116"/>
      <c r="L1194" s="170">
        <v>43767</v>
      </c>
      <c r="M1194" s="116">
        <v>802.7</v>
      </c>
      <c r="N1194" s="116">
        <v>817.7</v>
      </c>
      <c r="O1194" s="116">
        <v>781.75</v>
      </c>
      <c r="P1194" s="116">
        <v>791</v>
      </c>
      <c r="Q1194" s="116">
        <v>802.7</v>
      </c>
      <c r="R1194">
        <v>1305598</v>
      </c>
    </row>
    <row r="1195" spans="1:18" x14ac:dyDescent="0.25">
      <c r="A1195" s="170">
        <v>43768</v>
      </c>
      <c r="B1195" s="116">
        <v>827</v>
      </c>
      <c r="C1195" s="116">
        <v>823.45</v>
      </c>
      <c r="D1195" s="116">
        <v>801.2</v>
      </c>
      <c r="E1195" s="116">
        <v>805</v>
      </c>
      <c r="F1195" s="116">
        <v>823.45</v>
      </c>
      <c r="G1195">
        <v>75216</v>
      </c>
      <c r="H1195" s="116"/>
      <c r="I1195" s="116"/>
      <c r="L1195" s="170">
        <v>43768</v>
      </c>
      <c r="M1195" s="116">
        <v>823.15</v>
      </c>
      <c r="N1195" s="116">
        <v>827.7</v>
      </c>
      <c r="O1195" s="116">
        <v>801</v>
      </c>
      <c r="P1195" s="116">
        <v>803.9</v>
      </c>
      <c r="Q1195" s="116">
        <v>823.15</v>
      </c>
      <c r="R1195">
        <v>1248559</v>
      </c>
    </row>
    <row r="1196" spans="1:18" x14ac:dyDescent="0.25">
      <c r="A1196" s="170">
        <v>43769</v>
      </c>
      <c r="B1196" s="116">
        <v>831</v>
      </c>
      <c r="C1196" s="116">
        <v>818.9</v>
      </c>
      <c r="D1196" s="116">
        <v>816.2</v>
      </c>
      <c r="E1196" s="116">
        <v>826</v>
      </c>
      <c r="F1196" s="116">
        <v>818.9</v>
      </c>
      <c r="G1196">
        <v>39222</v>
      </c>
      <c r="H1196" s="116"/>
      <c r="I1196" s="116"/>
      <c r="L1196" s="170">
        <v>43769</v>
      </c>
      <c r="M1196" s="116">
        <v>818.95</v>
      </c>
      <c r="N1196" s="116">
        <v>831</v>
      </c>
      <c r="O1196" s="116">
        <v>815.85</v>
      </c>
      <c r="P1196" s="116">
        <v>827</v>
      </c>
      <c r="Q1196" s="116">
        <v>818.95</v>
      </c>
      <c r="R1196">
        <v>896680</v>
      </c>
    </row>
    <row r="1197" spans="1:18" x14ac:dyDescent="0.25">
      <c r="A1197" s="170">
        <v>43770</v>
      </c>
      <c r="B1197" s="116">
        <v>836.8</v>
      </c>
      <c r="C1197" s="116">
        <v>829.35</v>
      </c>
      <c r="D1197" s="116">
        <v>812.55</v>
      </c>
      <c r="E1197" s="116">
        <v>819</v>
      </c>
      <c r="F1197" s="116">
        <v>829.35</v>
      </c>
      <c r="G1197">
        <v>57718</v>
      </c>
      <c r="H1197" s="116"/>
      <c r="I1197" s="116"/>
      <c r="L1197" s="170">
        <v>43770</v>
      </c>
      <c r="M1197" s="116">
        <v>829.5</v>
      </c>
      <c r="N1197" s="116">
        <v>836.7</v>
      </c>
      <c r="O1197" s="116">
        <v>811.8</v>
      </c>
      <c r="P1197" s="116">
        <v>818.5</v>
      </c>
      <c r="Q1197" s="116">
        <v>829.5</v>
      </c>
      <c r="R1197">
        <v>817934</v>
      </c>
    </row>
    <row r="1198" spans="1:18" x14ac:dyDescent="0.25">
      <c r="A1198" s="170">
        <v>43773</v>
      </c>
      <c r="B1198" s="116">
        <v>838.75</v>
      </c>
      <c r="C1198" s="116">
        <v>828.2</v>
      </c>
      <c r="D1198" s="116">
        <v>823.6</v>
      </c>
      <c r="E1198" s="116">
        <v>833</v>
      </c>
      <c r="F1198" s="116">
        <v>828.2</v>
      </c>
      <c r="G1198">
        <v>35957</v>
      </c>
      <c r="H1198" s="116"/>
      <c r="I1198" s="116"/>
      <c r="L1198" s="170">
        <v>43773</v>
      </c>
      <c r="M1198" s="116">
        <v>828.2</v>
      </c>
      <c r="N1198" s="116">
        <v>839</v>
      </c>
      <c r="O1198" s="116">
        <v>823.4</v>
      </c>
      <c r="P1198" s="116">
        <v>830</v>
      </c>
      <c r="Q1198" s="116">
        <v>828.2</v>
      </c>
      <c r="R1198">
        <v>450327</v>
      </c>
    </row>
    <row r="1199" spans="1:18" x14ac:dyDescent="0.25">
      <c r="A1199" s="170">
        <v>43774</v>
      </c>
      <c r="B1199" s="116">
        <v>830.25</v>
      </c>
      <c r="C1199" s="116">
        <v>809.5</v>
      </c>
      <c r="D1199" s="116">
        <v>807.2</v>
      </c>
      <c r="E1199" s="116">
        <v>828.2</v>
      </c>
      <c r="F1199" s="116">
        <v>809.5</v>
      </c>
      <c r="G1199">
        <v>36840</v>
      </c>
      <c r="H1199" s="116"/>
      <c r="I1199" s="116"/>
      <c r="L1199" s="170">
        <v>43774</v>
      </c>
      <c r="M1199" s="116">
        <v>809.7</v>
      </c>
      <c r="N1199" s="116">
        <v>831.9</v>
      </c>
      <c r="O1199" s="116">
        <v>807.1</v>
      </c>
      <c r="P1199" s="116">
        <v>828</v>
      </c>
      <c r="Q1199" s="116">
        <v>809.7</v>
      </c>
      <c r="R1199">
        <v>451242</v>
      </c>
    </row>
    <row r="1200" spans="1:18" x14ac:dyDescent="0.25">
      <c r="A1200" s="170">
        <v>43775</v>
      </c>
      <c r="B1200" s="116">
        <v>822.05</v>
      </c>
      <c r="C1200" s="116">
        <v>809.8</v>
      </c>
      <c r="D1200" s="116">
        <v>807.85</v>
      </c>
      <c r="E1200" s="116">
        <v>810</v>
      </c>
      <c r="F1200" s="116">
        <v>809.8</v>
      </c>
      <c r="G1200">
        <v>35442</v>
      </c>
      <c r="H1200" s="116"/>
      <c r="I1200" s="116"/>
      <c r="L1200" s="170">
        <v>43775</v>
      </c>
      <c r="M1200" s="116">
        <v>810.2</v>
      </c>
      <c r="N1200" s="116">
        <v>823.3</v>
      </c>
      <c r="O1200" s="116">
        <v>807.6</v>
      </c>
      <c r="P1200" s="116">
        <v>810</v>
      </c>
      <c r="Q1200" s="116">
        <v>810.2</v>
      </c>
      <c r="R1200">
        <v>426033</v>
      </c>
    </row>
    <row r="1201" spans="1:18" x14ac:dyDescent="0.25">
      <c r="A1201" s="170">
        <v>43776</v>
      </c>
      <c r="B1201" s="116">
        <v>823.8</v>
      </c>
      <c r="C1201" s="116">
        <v>813.7</v>
      </c>
      <c r="D1201" s="116">
        <v>801</v>
      </c>
      <c r="E1201" s="116">
        <v>812</v>
      </c>
      <c r="F1201" s="116">
        <v>813.7</v>
      </c>
      <c r="G1201">
        <v>49336</v>
      </c>
      <c r="H1201" s="116"/>
      <c r="I1201" s="116"/>
      <c r="L1201" s="170">
        <v>43776</v>
      </c>
      <c r="M1201" s="116">
        <v>815.15</v>
      </c>
      <c r="N1201" s="116">
        <v>823.55</v>
      </c>
      <c r="O1201" s="116">
        <v>801</v>
      </c>
      <c r="P1201" s="116">
        <v>813</v>
      </c>
      <c r="Q1201" s="116">
        <v>815.15</v>
      </c>
      <c r="R1201">
        <v>553647</v>
      </c>
    </row>
    <row r="1202" spans="1:18" x14ac:dyDescent="0.25">
      <c r="A1202" s="170">
        <v>43777</v>
      </c>
      <c r="B1202" s="116">
        <v>841.05</v>
      </c>
      <c r="C1202" s="116">
        <v>810.85</v>
      </c>
      <c r="D1202" s="116">
        <v>807.05</v>
      </c>
      <c r="E1202" s="116">
        <v>818.95</v>
      </c>
      <c r="F1202" s="116">
        <v>810.85</v>
      </c>
      <c r="G1202">
        <v>83968</v>
      </c>
      <c r="H1202" s="116"/>
      <c r="I1202" s="116"/>
      <c r="L1202" s="170">
        <v>43777</v>
      </c>
      <c r="M1202" s="116">
        <v>811</v>
      </c>
      <c r="N1202" s="116">
        <v>841.4</v>
      </c>
      <c r="O1202" s="116">
        <v>807.15</v>
      </c>
      <c r="P1202" s="116">
        <v>819.25</v>
      </c>
      <c r="Q1202" s="116">
        <v>811</v>
      </c>
      <c r="R1202">
        <v>1101014</v>
      </c>
    </row>
    <row r="1203" spans="1:18" x14ac:dyDescent="0.25">
      <c r="A1203" s="170">
        <v>43780</v>
      </c>
      <c r="B1203" s="116">
        <v>815.35</v>
      </c>
      <c r="C1203" s="116">
        <v>807.4</v>
      </c>
      <c r="D1203" s="116">
        <v>802.5</v>
      </c>
      <c r="E1203" s="116">
        <v>811</v>
      </c>
      <c r="F1203" s="116">
        <v>807.4</v>
      </c>
      <c r="G1203">
        <v>22850</v>
      </c>
      <c r="H1203" s="116"/>
      <c r="I1203" s="116"/>
      <c r="L1203" s="170">
        <v>43780</v>
      </c>
      <c r="M1203" s="116">
        <v>807.4</v>
      </c>
      <c r="N1203" s="116">
        <v>815.3</v>
      </c>
      <c r="O1203" s="116">
        <v>802.2</v>
      </c>
      <c r="P1203" s="116">
        <v>812</v>
      </c>
      <c r="Q1203" s="116">
        <v>807.4</v>
      </c>
      <c r="R1203">
        <v>446368</v>
      </c>
    </row>
    <row r="1204" spans="1:18" x14ac:dyDescent="0.25">
      <c r="A1204" s="170">
        <v>43782</v>
      </c>
      <c r="B1204" s="116">
        <v>813.2</v>
      </c>
      <c r="C1204" s="116">
        <v>791.75</v>
      </c>
      <c r="D1204" s="116">
        <v>788.05</v>
      </c>
      <c r="E1204" s="116">
        <v>807.4</v>
      </c>
      <c r="F1204" s="116">
        <v>791.75</v>
      </c>
      <c r="G1204">
        <v>50440</v>
      </c>
      <c r="H1204" s="116"/>
      <c r="I1204" s="116"/>
      <c r="L1204" s="170">
        <v>43782</v>
      </c>
      <c r="M1204" s="116">
        <v>791.9</v>
      </c>
      <c r="N1204" s="116">
        <v>813</v>
      </c>
      <c r="O1204" s="116">
        <v>785</v>
      </c>
      <c r="P1204" s="116">
        <v>808</v>
      </c>
      <c r="Q1204" s="116">
        <v>791.9</v>
      </c>
      <c r="R1204">
        <v>628471</v>
      </c>
    </row>
    <row r="1205" spans="1:18" x14ac:dyDescent="0.25">
      <c r="A1205" s="170">
        <v>43783</v>
      </c>
      <c r="B1205" s="116">
        <v>797</v>
      </c>
      <c r="C1205" s="116">
        <v>792.7</v>
      </c>
      <c r="D1205" s="116">
        <v>784</v>
      </c>
      <c r="E1205" s="116">
        <v>793.05</v>
      </c>
      <c r="F1205" s="116">
        <v>792.7</v>
      </c>
      <c r="G1205">
        <v>30418</v>
      </c>
      <c r="H1205" s="116"/>
      <c r="I1205" s="116"/>
      <c r="L1205" s="170">
        <v>43783</v>
      </c>
      <c r="M1205" s="116">
        <v>791.7</v>
      </c>
      <c r="N1205" s="116">
        <v>797.15</v>
      </c>
      <c r="O1205" s="116">
        <v>783.9</v>
      </c>
      <c r="P1205" s="116">
        <v>796</v>
      </c>
      <c r="Q1205" s="116">
        <v>791.7</v>
      </c>
      <c r="R1205">
        <v>406715</v>
      </c>
    </row>
    <row r="1206" spans="1:18" x14ac:dyDescent="0.25">
      <c r="A1206" s="170">
        <v>43784</v>
      </c>
      <c r="B1206" s="116">
        <v>807.6</v>
      </c>
      <c r="C1206" s="116">
        <v>792.7</v>
      </c>
      <c r="D1206" s="116">
        <v>786.8</v>
      </c>
      <c r="E1206" s="116">
        <v>796.8</v>
      </c>
      <c r="F1206" s="116">
        <v>792.7</v>
      </c>
      <c r="G1206">
        <v>36823</v>
      </c>
      <c r="H1206" s="116"/>
      <c r="I1206" s="116"/>
      <c r="L1206" s="170">
        <v>43784</v>
      </c>
      <c r="M1206" s="116">
        <v>792.45</v>
      </c>
      <c r="N1206" s="116">
        <v>807.95</v>
      </c>
      <c r="O1206" s="116">
        <v>786.2</v>
      </c>
      <c r="P1206" s="116">
        <v>795.65</v>
      </c>
      <c r="Q1206" s="116">
        <v>792.45</v>
      </c>
      <c r="R1206">
        <v>396566</v>
      </c>
    </row>
    <row r="1207" spans="1:18" x14ac:dyDescent="0.25">
      <c r="A1207" s="170">
        <v>43787</v>
      </c>
      <c r="B1207" s="116">
        <v>800</v>
      </c>
      <c r="C1207" s="116">
        <v>790.85</v>
      </c>
      <c r="D1207" s="116">
        <v>782.9</v>
      </c>
      <c r="E1207" s="116">
        <v>800</v>
      </c>
      <c r="F1207" s="116">
        <v>790.85</v>
      </c>
      <c r="G1207">
        <v>14522</v>
      </c>
      <c r="H1207" s="116"/>
      <c r="I1207" s="116"/>
      <c r="L1207" s="170">
        <v>43787</v>
      </c>
      <c r="M1207" s="116">
        <v>790.45</v>
      </c>
      <c r="N1207" s="116">
        <v>799.4</v>
      </c>
      <c r="O1207" s="116">
        <v>782.45</v>
      </c>
      <c r="P1207" s="116">
        <v>792.5</v>
      </c>
      <c r="Q1207" s="116">
        <v>790.45</v>
      </c>
      <c r="R1207">
        <v>281014</v>
      </c>
    </row>
    <row r="1208" spans="1:18" x14ac:dyDescent="0.25">
      <c r="A1208" s="170">
        <v>43788</v>
      </c>
      <c r="B1208" s="116">
        <v>830</v>
      </c>
      <c r="C1208" s="116">
        <v>809.7</v>
      </c>
      <c r="D1208" s="116">
        <v>793.8</v>
      </c>
      <c r="E1208" s="116">
        <v>794.35</v>
      </c>
      <c r="F1208" s="116">
        <v>809.7</v>
      </c>
      <c r="G1208">
        <v>102942</v>
      </c>
      <c r="H1208" s="116"/>
      <c r="I1208" s="116"/>
      <c r="L1208" s="170">
        <v>43788</v>
      </c>
      <c r="M1208" s="116">
        <v>809.7</v>
      </c>
      <c r="N1208" s="116">
        <v>831.3</v>
      </c>
      <c r="O1208" s="116">
        <v>791.8</v>
      </c>
      <c r="P1208" s="116">
        <v>791.8</v>
      </c>
      <c r="Q1208" s="116">
        <v>809.7</v>
      </c>
      <c r="R1208">
        <v>2045547</v>
      </c>
    </row>
    <row r="1209" spans="1:18" x14ac:dyDescent="0.25">
      <c r="A1209" s="170">
        <v>43789</v>
      </c>
      <c r="B1209" s="116">
        <v>816</v>
      </c>
      <c r="C1209" s="116">
        <v>812.7</v>
      </c>
      <c r="D1209" s="116">
        <v>796.35</v>
      </c>
      <c r="E1209" s="116">
        <v>816</v>
      </c>
      <c r="F1209" s="116">
        <v>812.7</v>
      </c>
      <c r="G1209">
        <v>38564</v>
      </c>
      <c r="H1209" s="116"/>
      <c r="I1209" s="116"/>
      <c r="L1209" s="170">
        <v>43789</v>
      </c>
      <c r="M1209" s="116">
        <v>813.05</v>
      </c>
      <c r="N1209" s="116">
        <v>816</v>
      </c>
      <c r="O1209" s="116">
        <v>796.05</v>
      </c>
      <c r="P1209" s="116">
        <v>814</v>
      </c>
      <c r="Q1209" s="116">
        <v>813.05</v>
      </c>
      <c r="R1209">
        <v>650086</v>
      </c>
    </row>
    <row r="1210" spans="1:18" x14ac:dyDescent="0.25">
      <c r="A1210" s="170">
        <v>43790</v>
      </c>
      <c r="B1210" s="116">
        <v>822.75</v>
      </c>
      <c r="C1210" s="116">
        <v>798.7</v>
      </c>
      <c r="D1210" s="116">
        <v>795.75</v>
      </c>
      <c r="E1210" s="116">
        <v>816</v>
      </c>
      <c r="F1210" s="116">
        <v>798.7</v>
      </c>
      <c r="G1210">
        <v>26467</v>
      </c>
      <c r="H1210" s="116"/>
      <c r="I1210" s="116"/>
      <c r="L1210" s="170">
        <v>43790</v>
      </c>
      <c r="M1210" s="116">
        <v>799.85</v>
      </c>
      <c r="N1210" s="116">
        <v>822.75</v>
      </c>
      <c r="O1210" s="116">
        <v>795.4</v>
      </c>
      <c r="P1210" s="116">
        <v>815.9</v>
      </c>
      <c r="Q1210" s="116">
        <v>799.85</v>
      </c>
      <c r="R1210">
        <v>492751</v>
      </c>
    </row>
    <row r="1211" spans="1:18" x14ac:dyDescent="0.25">
      <c r="A1211" s="170">
        <v>43791</v>
      </c>
      <c r="B1211" s="116">
        <v>801.1</v>
      </c>
      <c r="C1211" s="116">
        <v>788.3</v>
      </c>
      <c r="D1211" s="116">
        <v>783.55</v>
      </c>
      <c r="E1211" s="116">
        <v>800.95</v>
      </c>
      <c r="F1211" s="116">
        <v>788.3</v>
      </c>
      <c r="G1211">
        <v>21658</v>
      </c>
      <c r="H1211" s="116"/>
      <c r="I1211" s="116"/>
      <c r="L1211" s="170">
        <v>43791</v>
      </c>
      <c r="M1211" s="116">
        <v>788.3</v>
      </c>
      <c r="N1211" s="116">
        <v>803.4</v>
      </c>
      <c r="O1211" s="116">
        <v>783</v>
      </c>
      <c r="P1211" s="116">
        <v>803.4</v>
      </c>
      <c r="Q1211" s="116">
        <v>788.3</v>
      </c>
      <c r="R1211">
        <v>445776</v>
      </c>
    </row>
    <row r="1212" spans="1:18" x14ac:dyDescent="0.25">
      <c r="A1212" s="170">
        <v>43794</v>
      </c>
      <c r="B1212" s="116">
        <v>804</v>
      </c>
      <c r="C1212" s="116">
        <v>798.55</v>
      </c>
      <c r="D1212" s="116">
        <v>785.5</v>
      </c>
      <c r="E1212" s="116">
        <v>789</v>
      </c>
      <c r="F1212" s="116">
        <v>798.55</v>
      </c>
      <c r="G1212">
        <v>34569</v>
      </c>
      <c r="H1212" s="116"/>
      <c r="I1212" s="116"/>
      <c r="L1212" s="170">
        <v>43794</v>
      </c>
      <c r="M1212" s="116">
        <v>798.3</v>
      </c>
      <c r="N1212" s="116">
        <v>803.5</v>
      </c>
      <c r="O1212" s="116">
        <v>785</v>
      </c>
      <c r="P1212" s="116">
        <v>788.3</v>
      </c>
      <c r="Q1212" s="116">
        <v>798.3</v>
      </c>
      <c r="R1212">
        <v>392635</v>
      </c>
    </row>
    <row r="1213" spans="1:18" x14ac:dyDescent="0.25">
      <c r="A1213" s="170">
        <v>43795</v>
      </c>
      <c r="B1213" s="116">
        <v>825.35</v>
      </c>
      <c r="C1213" s="116">
        <v>796.25</v>
      </c>
      <c r="D1213" s="116">
        <v>792</v>
      </c>
      <c r="E1213" s="116">
        <v>800</v>
      </c>
      <c r="F1213" s="116">
        <v>796.25</v>
      </c>
      <c r="G1213">
        <v>76004</v>
      </c>
      <c r="H1213" s="116"/>
      <c r="I1213" s="116"/>
      <c r="L1213" s="170">
        <v>43795</v>
      </c>
      <c r="M1213" s="116">
        <v>796.75</v>
      </c>
      <c r="N1213" s="116">
        <v>825.8</v>
      </c>
      <c r="O1213" s="116">
        <v>791.7</v>
      </c>
      <c r="P1213" s="116">
        <v>800</v>
      </c>
      <c r="Q1213" s="116">
        <v>796.75</v>
      </c>
      <c r="R1213">
        <v>1092836</v>
      </c>
    </row>
    <row r="1214" spans="1:18" x14ac:dyDescent="0.25">
      <c r="A1214" s="170">
        <v>43796</v>
      </c>
      <c r="B1214" s="116">
        <v>808</v>
      </c>
      <c r="C1214" s="116">
        <v>797.7</v>
      </c>
      <c r="D1214" s="116">
        <v>791.1</v>
      </c>
      <c r="E1214" s="116">
        <v>799.8</v>
      </c>
      <c r="F1214" s="116">
        <v>797.7</v>
      </c>
      <c r="G1214">
        <v>46197</v>
      </c>
      <c r="H1214" s="116"/>
      <c r="I1214" s="116"/>
      <c r="L1214" s="170">
        <v>43796</v>
      </c>
      <c r="M1214" s="116">
        <v>798.25</v>
      </c>
      <c r="N1214" s="116">
        <v>808</v>
      </c>
      <c r="O1214" s="116">
        <v>790.15</v>
      </c>
      <c r="P1214" s="116">
        <v>797.5</v>
      </c>
      <c r="Q1214" s="116">
        <v>798.25</v>
      </c>
      <c r="R1214">
        <v>568010</v>
      </c>
    </row>
    <row r="1215" spans="1:18" x14ac:dyDescent="0.25">
      <c r="A1215" s="170">
        <v>43797</v>
      </c>
      <c r="B1215" s="116">
        <v>805.5</v>
      </c>
      <c r="C1215" s="116">
        <v>799.2</v>
      </c>
      <c r="D1215" s="116">
        <v>788.8</v>
      </c>
      <c r="E1215" s="116">
        <v>800.85</v>
      </c>
      <c r="F1215" s="116">
        <v>799.2</v>
      </c>
      <c r="G1215">
        <v>31867</v>
      </c>
      <c r="H1215" s="116"/>
      <c r="I1215" s="116"/>
      <c r="L1215" s="170">
        <v>43797</v>
      </c>
      <c r="M1215" s="116">
        <v>799.35</v>
      </c>
      <c r="N1215" s="116">
        <v>805.9</v>
      </c>
      <c r="O1215" s="116">
        <v>788.7</v>
      </c>
      <c r="P1215" s="116">
        <v>800.85</v>
      </c>
      <c r="Q1215" s="116">
        <v>799.35</v>
      </c>
      <c r="R1215">
        <v>446686</v>
      </c>
    </row>
    <row r="1216" spans="1:18" x14ac:dyDescent="0.25">
      <c r="A1216" s="170">
        <v>43798</v>
      </c>
      <c r="B1216" s="116">
        <v>816.5</v>
      </c>
      <c r="C1216" s="116">
        <v>806.55</v>
      </c>
      <c r="D1216" s="116">
        <v>799.75</v>
      </c>
      <c r="E1216" s="116">
        <v>801</v>
      </c>
      <c r="F1216" s="116">
        <v>806.55</v>
      </c>
      <c r="G1216">
        <v>36196</v>
      </c>
      <c r="H1216" s="116"/>
      <c r="I1216" s="116"/>
      <c r="L1216" s="170">
        <v>43798</v>
      </c>
      <c r="M1216" s="116">
        <v>806.95</v>
      </c>
      <c r="N1216" s="116">
        <v>816.5</v>
      </c>
      <c r="O1216" s="116">
        <v>799.15</v>
      </c>
      <c r="P1216" s="116">
        <v>801</v>
      </c>
      <c r="Q1216" s="116">
        <v>806.95</v>
      </c>
      <c r="R1216">
        <v>535459</v>
      </c>
    </row>
    <row r="1217" spans="1:18" x14ac:dyDescent="0.25">
      <c r="A1217" s="170">
        <v>43801</v>
      </c>
      <c r="B1217" s="116">
        <v>809.8</v>
      </c>
      <c r="C1217" s="116">
        <v>788.6</v>
      </c>
      <c r="D1217" s="116">
        <v>785.8</v>
      </c>
      <c r="E1217" s="116">
        <v>807</v>
      </c>
      <c r="F1217" s="116">
        <v>788.6</v>
      </c>
      <c r="G1217">
        <v>27411</v>
      </c>
      <c r="H1217" s="116"/>
      <c r="I1217" s="116"/>
      <c r="L1217" s="170">
        <v>43801</v>
      </c>
      <c r="M1217" s="116">
        <v>788.45</v>
      </c>
      <c r="N1217" s="116">
        <v>811</v>
      </c>
      <c r="O1217" s="116">
        <v>786</v>
      </c>
      <c r="P1217" s="116">
        <v>810.8</v>
      </c>
      <c r="Q1217" s="116">
        <v>788.45</v>
      </c>
      <c r="R1217">
        <v>416819</v>
      </c>
    </row>
    <row r="1218" spans="1:18" x14ac:dyDescent="0.25">
      <c r="A1218" s="170">
        <v>43802</v>
      </c>
      <c r="B1218" s="116">
        <v>795</v>
      </c>
      <c r="C1218" s="116">
        <v>787.55</v>
      </c>
      <c r="D1218" s="116">
        <v>778.5</v>
      </c>
      <c r="E1218" s="116">
        <v>791.35</v>
      </c>
      <c r="F1218" s="116">
        <v>787.55</v>
      </c>
      <c r="G1218">
        <v>34997</v>
      </c>
      <c r="H1218" s="116"/>
      <c r="I1218" s="116"/>
      <c r="L1218" s="170">
        <v>43802</v>
      </c>
      <c r="M1218" s="116">
        <v>788.25</v>
      </c>
      <c r="N1218" s="116">
        <v>795.15</v>
      </c>
      <c r="O1218" s="116">
        <v>778</v>
      </c>
      <c r="P1218" s="116">
        <v>793</v>
      </c>
      <c r="Q1218" s="116">
        <v>788.25</v>
      </c>
      <c r="R1218">
        <v>500760</v>
      </c>
    </row>
    <row r="1219" spans="1:18" x14ac:dyDescent="0.25">
      <c r="A1219" s="170">
        <v>43803</v>
      </c>
      <c r="B1219" s="116">
        <v>810.1</v>
      </c>
      <c r="C1219" s="116">
        <v>807.15</v>
      </c>
      <c r="D1219" s="116">
        <v>781.55</v>
      </c>
      <c r="E1219" s="116">
        <v>781.55</v>
      </c>
      <c r="F1219" s="116">
        <v>807.15</v>
      </c>
      <c r="G1219">
        <v>52388</v>
      </c>
      <c r="H1219" s="116"/>
      <c r="I1219" s="116"/>
      <c r="L1219" s="170">
        <v>43803</v>
      </c>
      <c r="M1219" s="116">
        <v>806.75</v>
      </c>
      <c r="N1219" s="116">
        <v>810.9</v>
      </c>
      <c r="O1219" s="116">
        <v>782.2</v>
      </c>
      <c r="P1219" s="116">
        <v>787.8</v>
      </c>
      <c r="Q1219" s="116">
        <v>806.75</v>
      </c>
      <c r="R1219">
        <v>728523</v>
      </c>
    </row>
    <row r="1220" spans="1:18" x14ac:dyDescent="0.25">
      <c r="A1220" s="170">
        <v>43804</v>
      </c>
      <c r="B1220" s="116">
        <v>867.95</v>
      </c>
      <c r="C1220" s="116">
        <v>862.5</v>
      </c>
      <c r="D1220" s="116">
        <v>807.45</v>
      </c>
      <c r="E1220" s="116">
        <v>808.5</v>
      </c>
      <c r="F1220" s="116">
        <v>862.5</v>
      </c>
      <c r="G1220">
        <v>264692</v>
      </c>
      <c r="H1220" s="116"/>
      <c r="I1220" s="116"/>
      <c r="L1220" s="170">
        <v>43804</v>
      </c>
      <c r="M1220" s="116">
        <v>862.4</v>
      </c>
      <c r="N1220" s="116">
        <v>868.3</v>
      </c>
      <c r="O1220" s="116">
        <v>808.05</v>
      </c>
      <c r="P1220" s="116">
        <v>809</v>
      </c>
      <c r="Q1220" s="116">
        <v>862.4</v>
      </c>
      <c r="R1220">
        <v>5130968</v>
      </c>
    </row>
    <row r="1221" spans="1:18" x14ac:dyDescent="0.25">
      <c r="A1221" s="170">
        <v>43805</v>
      </c>
      <c r="B1221" s="116">
        <v>869</v>
      </c>
      <c r="C1221" s="116">
        <v>850.05</v>
      </c>
      <c r="D1221" s="116">
        <v>843.75</v>
      </c>
      <c r="E1221" s="116">
        <v>863</v>
      </c>
      <c r="F1221" s="116">
        <v>850.05</v>
      </c>
      <c r="G1221">
        <v>88953</v>
      </c>
      <c r="H1221" s="116"/>
      <c r="I1221" s="116"/>
      <c r="L1221" s="170">
        <v>43805</v>
      </c>
      <c r="M1221" s="116">
        <v>849.95</v>
      </c>
      <c r="N1221" s="116">
        <v>869.8</v>
      </c>
      <c r="O1221" s="116">
        <v>843.75</v>
      </c>
      <c r="P1221" s="116">
        <v>862.45</v>
      </c>
      <c r="Q1221" s="116">
        <v>849.95</v>
      </c>
      <c r="R1221">
        <v>1856349</v>
      </c>
    </row>
    <row r="1222" spans="1:18" x14ac:dyDescent="0.25">
      <c r="A1222" s="170">
        <v>43808</v>
      </c>
      <c r="B1222" s="116">
        <v>879.5</v>
      </c>
      <c r="C1222" s="116">
        <v>856.9</v>
      </c>
      <c r="D1222" s="116">
        <v>847.5</v>
      </c>
      <c r="E1222" s="116">
        <v>855.9</v>
      </c>
      <c r="F1222" s="116">
        <v>856.9</v>
      </c>
      <c r="G1222">
        <v>113250</v>
      </c>
      <c r="H1222" s="116"/>
      <c r="I1222" s="116"/>
      <c r="L1222" s="170">
        <v>43808</v>
      </c>
      <c r="M1222" s="116">
        <v>856.95</v>
      </c>
      <c r="N1222" s="116">
        <v>879.5</v>
      </c>
      <c r="O1222" s="116">
        <v>847.25</v>
      </c>
      <c r="P1222" s="116">
        <v>850.8</v>
      </c>
      <c r="Q1222" s="116">
        <v>856.95</v>
      </c>
      <c r="R1222">
        <v>2256619</v>
      </c>
    </row>
    <row r="1223" spans="1:18" x14ac:dyDescent="0.25">
      <c r="A1223" s="170">
        <v>43809</v>
      </c>
      <c r="B1223" s="116">
        <v>864.7</v>
      </c>
      <c r="C1223" s="116">
        <v>839.2</v>
      </c>
      <c r="D1223" s="116">
        <v>831.55</v>
      </c>
      <c r="E1223" s="116">
        <v>856.8</v>
      </c>
      <c r="F1223" s="116">
        <v>839.2</v>
      </c>
      <c r="G1223">
        <v>76554</v>
      </c>
      <c r="H1223" s="116"/>
      <c r="I1223" s="116"/>
      <c r="L1223" s="170">
        <v>43809</v>
      </c>
      <c r="M1223" s="116">
        <v>839.35</v>
      </c>
      <c r="N1223" s="116">
        <v>864.8</v>
      </c>
      <c r="O1223" s="116">
        <v>831.6</v>
      </c>
      <c r="P1223" s="116">
        <v>855.65</v>
      </c>
      <c r="Q1223" s="116">
        <v>839.35</v>
      </c>
      <c r="R1223">
        <v>1206219</v>
      </c>
    </row>
    <row r="1224" spans="1:18" x14ac:dyDescent="0.25">
      <c r="A1224" s="170">
        <v>43810</v>
      </c>
      <c r="B1224" s="116">
        <v>849.25</v>
      </c>
      <c r="C1224" s="116">
        <v>828.55</v>
      </c>
      <c r="D1224" s="116">
        <v>815.85</v>
      </c>
      <c r="E1224" s="116">
        <v>839</v>
      </c>
      <c r="F1224" s="116">
        <v>828.55</v>
      </c>
      <c r="G1224">
        <v>82062</v>
      </c>
      <c r="H1224" s="116"/>
      <c r="I1224" s="116"/>
      <c r="L1224" s="170">
        <v>43810</v>
      </c>
      <c r="M1224" s="116">
        <v>828.9</v>
      </c>
      <c r="N1224" s="116">
        <v>848.8</v>
      </c>
      <c r="O1224" s="116">
        <v>817.5</v>
      </c>
      <c r="P1224" s="116">
        <v>841.9</v>
      </c>
      <c r="Q1224" s="116">
        <v>828.9</v>
      </c>
      <c r="R1224">
        <v>999603</v>
      </c>
    </row>
    <row r="1225" spans="1:18" x14ac:dyDescent="0.25">
      <c r="A1225" s="170">
        <v>43811</v>
      </c>
      <c r="B1225" s="116">
        <v>855</v>
      </c>
      <c r="C1225" s="116">
        <v>848.05</v>
      </c>
      <c r="D1225" s="116">
        <v>826.6</v>
      </c>
      <c r="E1225" s="116">
        <v>835.05</v>
      </c>
      <c r="F1225" s="116">
        <v>848.05</v>
      </c>
      <c r="G1225">
        <v>88817</v>
      </c>
      <c r="H1225" s="116"/>
      <c r="I1225" s="116"/>
      <c r="L1225" s="170">
        <v>43811</v>
      </c>
      <c r="M1225" s="116">
        <v>848.05</v>
      </c>
      <c r="N1225" s="116">
        <v>854.9</v>
      </c>
      <c r="O1225" s="116">
        <v>826.35</v>
      </c>
      <c r="P1225" s="116">
        <v>832.25</v>
      </c>
      <c r="Q1225" s="116">
        <v>848.05</v>
      </c>
      <c r="R1225">
        <v>995626</v>
      </c>
    </row>
    <row r="1226" spans="1:18" x14ac:dyDescent="0.25">
      <c r="A1226" s="170">
        <v>43812</v>
      </c>
      <c r="B1226" s="116">
        <v>879.8</v>
      </c>
      <c r="C1226" s="116">
        <v>858.8</v>
      </c>
      <c r="D1226" s="116">
        <v>854.65</v>
      </c>
      <c r="E1226" s="116">
        <v>855.45</v>
      </c>
      <c r="F1226" s="116">
        <v>858.8</v>
      </c>
      <c r="G1226">
        <v>119357</v>
      </c>
      <c r="H1226" s="116"/>
      <c r="I1226" s="116"/>
      <c r="L1226" s="170">
        <v>43812</v>
      </c>
      <c r="M1226" s="116">
        <v>858.65</v>
      </c>
      <c r="N1226" s="116">
        <v>879.75</v>
      </c>
      <c r="O1226" s="116">
        <v>853</v>
      </c>
      <c r="P1226" s="116">
        <v>853.35</v>
      </c>
      <c r="Q1226" s="116">
        <v>858.65</v>
      </c>
      <c r="R1226">
        <v>2208206</v>
      </c>
    </row>
    <row r="1227" spans="1:18" x14ac:dyDescent="0.25">
      <c r="A1227" s="170">
        <v>43815</v>
      </c>
      <c r="B1227" s="116">
        <v>864.1</v>
      </c>
      <c r="C1227" s="116">
        <v>852.5</v>
      </c>
      <c r="D1227" s="116">
        <v>847.3</v>
      </c>
      <c r="E1227" s="116">
        <v>860</v>
      </c>
      <c r="F1227" s="116">
        <v>852.5</v>
      </c>
      <c r="G1227">
        <v>49605</v>
      </c>
      <c r="H1227" s="116"/>
      <c r="I1227" s="116"/>
      <c r="L1227" s="170">
        <v>43815</v>
      </c>
      <c r="M1227" s="116">
        <v>853.05</v>
      </c>
      <c r="N1227" s="116">
        <v>864.15</v>
      </c>
      <c r="O1227" s="116">
        <v>847.2</v>
      </c>
      <c r="P1227" s="116">
        <v>858.5</v>
      </c>
      <c r="Q1227" s="116">
        <v>853.05</v>
      </c>
      <c r="R1227">
        <v>942886</v>
      </c>
    </row>
    <row r="1228" spans="1:18" x14ac:dyDescent="0.25">
      <c r="A1228" s="170">
        <v>43816</v>
      </c>
      <c r="B1228" s="116">
        <v>870.25</v>
      </c>
      <c r="C1228" s="116">
        <v>856.05</v>
      </c>
      <c r="D1228" s="116">
        <v>845.15</v>
      </c>
      <c r="E1228" s="116">
        <v>845.15</v>
      </c>
      <c r="F1228" s="116">
        <v>856.05</v>
      </c>
      <c r="G1228">
        <v>61923</v>
      </c>
      <c r="H1228" s="116"/>
      <c r="I1228" s="116"/>
      <c r="L1228" s="170">
        <v>43816</v>
      </c>
      <c r="M1228" s="116">
        <v>856.15</v>
      </c>
      <c r="N1228" s="116">
        <v>870.2</v>
      </c>
      <c r="O1228" s="116">
        <v>853.55</v>
      </c>
      <c r="P1228" s="116">
        <v>855.75</v>
      </c>
      <c r="Q1228" s="116">
        <v>856.15</v>
      </c>
      <c r="R1228">
        <v>996252</v>
      </c>
    </row>
    <row r="1229" spans="1:18" x14ac:dyDescent="0.25">
      <c r="A1229" s="170">
        <v>43817</v>
      </c>
      <c r="B1229" s="116">
        <v>899</v>
      </c>
      <c r="C1229" s="116">
        <v>869.15</v>
      </c>
      <c r="D1229" s="116">
        <v>853.25</v>
      </c>
      <c r="E1229" s="116">
        <v>858</v>
      </c>
      <c r="F1229" s="116">
        <v>869.15</v>
      </c>
      <c r="G1229">
        <v>218670</v>
      </c>
      <c r="H1229" s="116"/>
      <c r="I1229" s="116"/>
      <c r="L1229" s="170">
        <v>43817</v>
      </c>
      <c r="M1229" s="116">
        <v>868.35</v>
      </c>
      <c r="N1229" s="116">
        <v>899</v>
      </c>
      <c r="O1229" s="116">
        <v>852.8</v>
      </c>
      <c r="P1229" s="116">
        <v>858.5</v>
      </c>
      <c r="Q1229" s="116">
        <v>868.35</v>
      </c>
      <c r="R1229">
        <v>4833180</v>
      </c>
    </row>
    <row r="1230" spans="1:18" x14ac:dyDescent="0.25">
      <c r="A1230" s="170">
        <v>43818</v>
      </c>
      <c r="B1230" s="116">
        <v>879.9</v>
      </c>
      <c r="C1230" s="116">
        <v>857</v>
      </c>
      <c r="D1230" s="116">
        <v>851</v>
      </c>
      <c r="E1230" s="116">
        <v>872</v>
      </c>
      <c r="F1230" s="116">
        <v>857</v>
      </c>
      <c r="G1230">
        <v>101541</v>
      </c>
      <c r="H1230" s="116"/>
      <c r="I1230" s="116"/>
      <c r="L1230" s="170">
        <v>43818</v>
      </c>
      <c r="M1230" s="116">
        <v>857.1</v>
      </c>
      <c r="N1230" s="116">
        <v>879.8</v>
      </c>
      <c r="O1230" s="116">
        <v>850.55</v>
      </c>
      <c r="P1230" s="116">
        <v>870</v>
      </c>
      <c r="Q1230" s="116">
        <v>857.1</v>
      </c>
      <c r="R1230">
        <v>1506612</v>
      </c>
    </row>
    <row r="1231" spans="1:18" x14ac:dyDescent="0.25">
      <c r="A1231" s="170">
        <v>43819</v>
      </c>
      <c r="B1231" s="116">
        <v>869.35</v>
      </c>
      <c r="C1231" s="116">
        <v>858.1</v>
      </c>
      <c r="D1231" s="116">
        <v>854.35</v>
      </c>
      <c r="E1231" s="116">
        <v>869</v>
      </c>
      <c r="F1231" s="116">
        <v>858.1</v>
      </c>
      <c r="G1231">
        <v>55546</v>
      </c>
      <c r="H1231" s="116"/>
      <c r="I1231" s="116"/>
      <c r="L1231" s="170">
        <v>43819</v>
      </c>
      <c r="M1231" s="116">
        <v>858.5</v>
      </c>
      <c r="N1231" s="116">
        <v>869.5</v>
      </c>
      <c r="O1231" s="116">
        <v>854</v>
      </c>
      <c r="P1231" s="116">
        <v>860</v>
      </c>
      <c r="Q1231" s="116">
        <v>858.5</v>
      </c>
      <c r="R1231">
        <v>959236</v>
      </c>
    </row>
    <row r="1232" spans="1:18" x14ac:dyDescent="0.25">
      <c r="A1232" s="170">
        <v>43822</v>
      </c>
      <c r="B1232" s="116">
        <v>871.6</v>
      </c>
      <c r="C1232" s="116">
        <v>855.75</v>
      </c>
      <c r="D1232" s="116">
        <v>852.75</v>
      </c>
      <c r="E1232" s="116">
        <v>870</v>
      </c>
      <c r="F1232" s="116">
        <v>855.75</v>
      </c>
      <c r="G1232">
        <v>59261</v>
      </c>
      <c r="H1232" s="116"/>
      <c r="I1232" s="116"/>
      <c r="L1232" s="170">
        <v>43822</v>
      </c>
      <c r="M1232" s="116">
        <v>855.65</v>
      </c>
      <c r="N1232" s="116">
        <v>871.4</v>
      </c>
      <c r="O1232" s="116">
        <v>852.25</v>
      </c>
      <c r="P1232" s="116">
        <v>858.5</v>
      </c>
      <c r="Q1232" s="116">
        <v>855.65</v>
      </c>
      <c r="R1232">
        <v>821369</v>
      </c>
    </row>
    <row r="1233" spans="1:18" x14ac:dyDescent="0.25">
      <c r="A1233" s="170">
        <v>43823</v>
      </c>
      <c r="B1233" s="116">
        <v>863</v>
      </c>
      <c r="C1233" s="116">
        <v>842</v>
      </c>
      <c r="D1233" s="116">
        <v>837.1</v>
      </c>
      <c r="E1233" s="116">
        <v>857.3</v>
      </c>
      <c r="F1233" s="116">
        <v>842</v>
      </c>
      <c r="G1233">
        <v>49465</v>
      </c>
      <c r="H1233" s="116"/>
      <c r="I1233" s="116"/>
      <c r="L1233" s="170">
        <v>43823</v>
      </c>
      <c r="M1233" s="116">
        <v>842</v>
      </c>
      <c r="N1233" s="116">
        <v>864.4</v>
      </c>
      <c r="O1233" s="116">
        <v>836.55</v>
      </c>
      <c r="P1233" s="116">
        <v>856.8</v>
      </c>
      <c r="Q1233" s="116">
        <v>842</v>
      </c>
      <c r="R1233">
        <v>1032459</v>
      </c>
    </row>
    <row r="1234" spans="1:18" x14ac:dyDescent="0.25">
      <c r="A1234" s="170">
        <v>43825</v>
      </c>
      <c r="B1234" s="116">
        <v>851.4</v>
      </c>
      <c r="C1234" s="116">
        <v>815.6</v>
      </c>
      <c r="D1234" s="116">
        <v>811.15</v>
      </c>
      <c r="E1234" s="116">
        <v>850</v>
      </c>
      <c r="F1234" s="116">
        <v>815.6</v>
      </c>
      <c r="G1234">
        <v>75349</v>
      </c>
      <c r="H1234" s="116"/>
      <c r="I1234" s="116"/>
      <c r="L1234" s="170">
        <v>43825</v>
      </c>
      <c r="M1234" s="116">
        <v>814.95</v>
      </c>
      <c r="N1234" s="116">
        <v>851</v>
      </c>
      <c r="O1234" s="116">
        <v>810.55</v>
      </c>
      <c r="P1234" s="116">
        <v>850</v>
      </c>
      <c r="Q1234" s="116">
        <v>814.95</v>
      </c>
      <c r="R1234">
        <v>1764020</v>
      </c>
    </row>
    <row r="1235" spans="1:18" x14ac:dyDescent="0.25">
      <c r="A1235" s="170">
        <v>43826</v>
      </c>
      <c r="B1235" s="116">
        <v>828.85</v>
      </c>
      <c r="C1235" s="116">
        <v>826.2</v>
      </c>
      <c r="D1235" s="116">
        <v>814.6</v>
      </c>
      <c r="E1235" s="116">
        <v>817</v>
      </c>
      <c r="F1235" s="116">
        <v>826.2</v>
      </c>
      <c r="G1235">
        <v>48000</v>
      </c>
      <c r="H1235" s="116"/>
      <c r="I1235" s="116"/>
      <c r="L1235" s="170">
        <v>43826</v>
      </c>
      <c r="M1235" s="116">
        <v>826.05</v>
      </c>
      <c r="N1235" s="116">
        <v>829</v>
      </c>
      <c r="O1235" s="116">
        <v>814.5</v>
      </c>
      <c r="P1235" s="116">
        <v>819</v>
      </c>
      <c r="Q1235" s="116">
        <v>826.05</v>
      </c>
      <c r="R1235">
        <v>841583</v>
      </c>
    </row>
    <row r="1236" spans="1:18" x14ac:dyDescent="0.25">
      <c r="A1236" s="170">
        <v>43829</v>
      </c>
      <c r="B1236" s="116">
        <v>836.2</v>
      </c>
      <c r="C1236" s="116">
        <v>833.6</v>
      </c>
      <c r="D1236" s="116">
        <v>825.45</v>
      </c>
      <c r="E1236" s="116">
        <v>828</v>
      </c>
      <c r="F1236" s="116">
        <v>833.6</v>
      </c>
      <c r="G1236">
        <v>23121</v>
      </c>
      <c r="H1236" s="116"/>
      <c r="I1236" s="116"/>
      <c r="L1236" s="170">
        <v>43829</v>
      </c>
      <c r="M1236" s="116">
        <v>832.85</v>
      </c>
      <c r="N1236" s="116">
        <v>836.45</v>
      </c>
      <c r="O1236" s="116">
        <v>825</v>
      </c>
      <c r="P1236" s="116">
        <v>826.9</v>
      </c>
      <c r="Q1236" s="116">
        <v>832.85</v>
      </c>
      <c r="R1236">
        <v>497365</v>
      </c>
    </row>
    <row r="1237" spans="1:18" x14ac:dyDescent="0.25">
      <c r="A1237" s="170">
        <v>43830</v>
      </c>
      <c r="B1237" s="116">
        <v>837</v>
      </c>
      <c r="C1237" s="116">
        <v>825.6</v>
      </c>
      <c r="D1237" s="116">
        <v>822.8</v>
      </c>
      <c r="E1237" s="116">
        <v>837</v>
      </c>
      <c r="F1237" s="116">
        <v>825.6</v>
      </c>
      <c r="G1237">
        <v>20077</v>
      </c>
      <c r="H1237" s="116"/>
      <c r="I1237" s="116"/>
      <c r="L1237" s="170">
        <v>43830</v>
      </c>
      <c r="M1237" s="116">
        <v>825.95</v>
      </c>
      <c r="N1237" s="116">
        <v>833.8</v>
      </c>
      <c r="O1237" s="116">
        <v>821.2</v>
      </c>
      <c r="P1237" s="116">
        <v>831</v>
      </c>
      <c r="Q1237" s="116">
        <v>825.95</v>
      </c>
      <c r="R1237">
        <v>330997</v>
      </c>
    </row>
    <row r="1238" spans="1:18" x14ac:dyDescent="0.25">
      <c r="A1238" s="170">
        <v>43831</v>
      </c>
      <c r="B1238" s="116">
        <v>831.35</v>
      </c>
      <c r="C1238" s="116">
        <v>827.85</v>
      </c>
      <c r="D1238" s="116">
        <v>821.35</v>
      </c>
      <c r="E1238" s="116">
        <v>828</v>
      </c>
      <c r="F1238" s="116">
        <v>827.85</v>
      </c>
      <c r="G1238">
        <v>18146</v>
      </c>
      <c r="H1238" s="116"/>
      <c r="I1238" s="116"/>
      <c r="L1238" s="170">
        <v>43831</v>
      </c>
      <c r="M1238" s="116">
        <v>827.85</v>
      </c>
      <c r="N1238" s="116">
        <v>831.4</v>
      </c>
      <c r="O1238" s="116">
        <v>821</v>
      </c>
      <c r="P1238" s="116">
        <v>827.9</v>
      </c>
      <c r="Q1238" s="116">
        <v>827.85</v>
      </c>
      <c r="R1238">
        <v>263807</v>
      </c>
    </row>
    <row r="1239" spans="1:18" x14ac:dyDescent="0.25">
      <c r="A1239" s="170">
        <v>43832</v>
      </c>
      <c r="B1239" s="116">
        <v>836</v>
      </c>
      <c r="C1239" s="116">
        <v>827.9</v>
      </c>
      <c r="D1239" s="116">
        <v>823.5</v>
      </c>
      <c r="E1239" s="116">
        <v>828.6</v>
      </c>
      <c r="F1239" s="116">
        <v>827.9</v>
      </c>
      <c r="G1239">
        <v>22159</v>
      </c>
      <c r="H1239" s="116"/>
      <c r="I1239" s="116"/>
      <c r="L1239" s="170">
        <v>43832</v>
      </c>
      <c r="M1239" s="116">
        <v>828.25</v>
      </c>
      <c r="N1239" s="116">
        <v>835.8</v>
      </c>
      <c r="O1239" s="116">
        <v>823.3</v>
      </c>
      <c r="P1239" s="116">
        <v>829.8</v>
      </c>
      <c r="Q1239" s="116">
        <v>828.25</v>
      </c>
      <c r="R1239">
        <v>294367</v>
      </c>
    </row>
    <row r="1240" spans="1:18" x14ac:dyDescent="0.25">
      <c r="A1240" s="170">
        <v>43833</v>
      </c>
      <c r="B1240" s="116">
        <v>842</v>
      </c>
      <c r="C1240" s="116">
        <v>838.1</v>
      </c>
      <c r="D1240" s="116">
        <v>824</v>
      </c>
      <c r="E1240" s="116">
        <v>830</v>
      </c>
      <c r="F1240" s="116">
        <v>838.1</v>
      </c>
      <c r="G1240">
        <v>37872</v>
      </c>
      <c r="H1240" s="116"/>
      <c r="I1240" s="116"/>
      <c r="L1240" s="170">
        <v>43833</v>
      </c>
      <c r="M1240" s="116">
        <v>838.1</v>
      </c>
      <c r="N1240" s="116">
        <v>842</v>
      </c>
      <c r="O1240" s="116">
        <v>821.55</v>
      </c>
      <c r="P1240" s="116">
        <v>828</v>
      </c>
      <c r="Q1240" s="116">
        <v>838.1</v>
      </c>
      <c r="R1240">
        <v>666116</v>
      </c>
    </row>
    <row r="1241" spans="1:18" x14ac:dyDescent="0.25">
      <c r="A1241" s="170">
        <v>43836</v>
      </c>
      <c r="B1241" s="116">
        <v>838</v>
      </c>
      <c r="C1241" s="116">
        <v>822.85</v>
      </c>
      <c r="D1241" s="116">
        <v>817.05</v>
      </c>
      <c r="E1241" s="116">
        <v>838</v>
      </c>
      <c r="F1241" s="116">
        <v>822.85</v>
      </c>
      <c r="G1241">
        <v>24024</v>
      </c>
      <c r="H1241" s="116"/>
      <c r="I1241" s="116"/>
      <c r="L1241" s="170">
        <v>43836</v>
      </c>
      <c r="M1241" s="116">
        <v>823.4</v>
      </c>
      <c r="N1241" s="116">
        <v>835</v>
      </c>
      <c r="O1241" s="116">
        <v>816.55</v>
      </c>
      <c r="P1241" s="116">
        <v>835</v>
      </c>
      <c r="Q1241" s="116">
        <v>823.4</v>
      </c>
      <c r="R1241">
        <v>301418</v>
      </c>
    </row>
    <row r="1242" spans="1:18" x14ac:dyDescent="0.25">
      <c r="A1242" s="170">
        <v>43837</v>
      </c>
      <c r="B1242" s="116">
        <v>833.05</v>
      </c>
      <c r="C1242" s="116">
        <v>826.4</v>
      </c>
      <c r="D1242" s="116">
        <v>821.8</v>
      </c>
      <c r="E1242" s="116">
        <v>822.3</v>
      </c>
      <c r="F1242" s="116">
        <v>826.4</v>
      </c>
      <c r="G1242">
        <v>11313</v>
      </c>
      <c r="H1242" s="116"/>
      <c r="I1242" s="116"/>
      <c r="L1242" s="170">
        <v>43837</v>
      </c>
      <c r="M1242" s="116">
        <v>826.85</v>
      </c>
      <c r="N1242" s="116">
        <v>832.8</v>
      </c>
      <c r="O1242" s="116">
        <v>821.75</v>
      </c>
      <c r="P1242" s="116">
        <v>830</v>
      </c>
      <c r="Q1242" s="116">
        <v>826.85</v>
      </c>
      <c r="R1242">
        <v>224550</v>
      </c>
    </row>
    <row r="1243" spans="1:18" x14ac:dyDescent="0.25">
      <c r="A1243" s="170">
        <v>43838</v>
      </c>
      <c r="B1243" s="116">
        <v>826.2</v>
      </c>
      <c r="C1243" s="116">
        <v>820.75</v>
      </c>
      <c r="D1243" s="116">
        <v>812.5</v>
      </c>
      <c r="E1243" s="116">
        <v>820</v>
      </c>
      <c r="F1243" s="116">
        <v>820.75</v>
      </c>
      <c r="G1243">
        <v>12865</v>
      </c>
      <c r="H1243" s="116"/>
      <c r="I1243" s="116"/>
      <c r="L1243" s="170">
        <v>43838</v>
      </c>
      <c r="M1243" s="116">
        <v>821.35</v>
      </c>
      <c r="N1243" s="116">
        <v>826.05</v>
      </c>
      <c r="O1243" s="116">
        <v>812.6</v>
      </c>
      <c r="P1243" s="116">
        <v>820</v>
      </c>
      <c r="Q1243" s="116">
        <v>821.35</v>
      </c>
      <c r="R1243">
        <v>222281</v>
      </c>
    </row>
    <row r="1244" spans="1:18" x14ac:dyDescent="0.25">
      <c r="A1244" s="170">
        <v>43839</v>
      </c>
      <c r="B1244" s="116">
        <v>851.5</v>
      </c>
      <c r="C1244" s="116">
        <v>841.2</v>
      </c>
      <c r="D1244" s="116">
        <v>825.5</v>
      </c>
      <c r="E1244" s="116">
        <v>828.3</v>
      </c>
      <c r="F1244" s="116">
        <v>841.2</v>
      </c>
      <c r="G1244">
        <v>28907</v>
      </c>
      <c r="H1244" s="116"/>
      <c r="I1244" s="116"/>
      <c r="L1244" s="170">
        <v>43839</v>
      </c>
      <c r="M1244" s="116">
        <v>843.15</v>
      </c>
      <c r="N1244" s="116">
        <v>851.7</v>
      </c>
      <c r="O1244" s="116">
        <v>825</v>
      </c>
      <c r="P1244" s="116">
        <v>826.9</v>
      </c>
      <c r="Q1244" s="116">
        <v>843.15</v>
      </c>
      <c r="R1244">
        <v>469880</v>
      </c>
    </row>
    <row r="1245" spans="1:18" x14ac:dyDescent="0.25">
      <c r="A1245" s="170">
        <v>43840</v>
      </c>
      <c r="B1245" s="116">
        <v>858.9</v>
      </c>
      <c r="C1245" s="116">
        <v>847.35</v>
      </c>
      <c r="D1245" s="116">
        <v>840.65</v>
      </c>
      <c r="E1245" s="116">
        <v>847.7</v>
      </c>
      <c r="F1245" s="116">
        <v>847.35</v>
      </c>
      <c r="G1245">
        <v>46207</v>
      </c>
      <c r="H1245" s="116"/>
      <c r="I1245" s="116"/>
      <c r="L1245" s="170">
        <v>43840</v>
      </c>
      <c r="M1245" s="116">
        <v>848.55</v>
      </c>
      <c r="N1245" s="116">
        <v>859</v>
      </c>
      <c r="O1245" s="116">
        <v>841</v>
      </c>
      <c r="P1245" s="116">
        <v>845</v>
      </c>
      <c r="Q1245" s="116">
        <v>848.55</v>
      </c>
      <c r="R1245">
        <v>519361</v>
      </c>
    </row>
    <row r="1246" spans="1:18" x14ac:dyDescent="0.25">
      <c r="A1246" s="170">
        <v>43843</v>
      </c>
      <c r="B1246" s="116">
        <v>899.1</v>
      </c>
      <c r="C1246" s="116">
        <v>891.2</v>
      </c>
      <c r="D1246" s="116">
        <v>853.25</v>
      </c>
      <c r="E1246" s="116">
        <v>857.95</v>
      </c>
      <c r="F1246" s="116">
        <v>891.2</v>
      </c>
      <c r="G1246">
        <v>182062</v>
      </c>
      <c r="H1246" s="116"/>
      <c r="I1246" s="116"/>
      <c r="L1246" s="170">
        <v>43843</v>
      </c>
      <c r="M1246" s="116">
        <v>891.05</v>
      </c>
      <c r="N1246" s="116">
        <v>899.9</v>
      </c>
      <c r="O1246" s="116">
        <v>852.3</v>
      </c>
      <c r="P1246" s="116">
        <v>854</v>
      </c>
      <c r="Q1246" s="116">
        <v>891.05</v>
      </c>
      <c r="R1246">
        <v>4036332</v>
      </c>
    </row>
    <row r="1247" spans="1:18" x14ac:dyDescent="0.25">
      <c r="A1247" s="170">
        <v>43844</v>
      </c>
      <c r="B1247" s="116">
        <v>919.9</v>
      </c>
      <c r="C1247" s="116">
        <v>907.4</v>
      </c>
      <c r="D1247" s="116">
        <v>892</v>
      </c>
      <c r="E1247" s="116">
        <v>892.1</v>
      </c>
      <c r="F1247" s="116">
        <v>907.4</v>
      </c>
      <c r="G1247">
        <v>66189</v>
      </c>
      <c r="H1247" s="116"/>
      <c r="I1247" s="116"/>
      <c r="L1247" s="170">
        <v>43844</v>
      </c>
      <c r="M1247" s="116">
        <v>907.9</v>
      </c>
      <c r="N1247" s="116">
        <v>920</v>
      </c>
      <c r="O1247" s="116">
        <v>892</v>
      </c>
      <c r="P1247" s="116">
        <v>892</v>
      </c>
      <c r="Q1247" s="116">
        <v>907.9</v>
      </c>
      <c r="R1247">
        <v>2044123</v>
      </c>
    </row>
    <row r="1248" spans="1:18" x14ac:dyDescent="0.25">
      <c r="A1248" s="170">
        <v>43845</v>
      </c>
      <c r="B1248" s="116">
        <v>962.6</v>
      </c>
      <c r="C1248" s="116">
        <v>950</v>
      </c>
      <c r="D1248" s="116">
        <v>908.15</v>
      </c>
      <c r="E1248" s="116">
        <v>909</v>
      </c>
      <c r="F1248" s="116">
        <v>950</v>
      </c>
      <c r="G1248">
        <v>93935</v>
      </c>
      <c r="H1248" s="116"/>
      <c r="I1248" s="116"/>
      <c r="L1248" s="170">
        <v>43845</v>
      </c>
      <c r="M1248" s="116">
        <v>948.05</v>
      </c>
      <c r="N1248" s="116">
        <v>962.8</v>
      </c>
      <c r="O1248" s="116">
        <v>907</v>
      </c>
      <c r="P1248" s="116">
        <v>909</v>
      </c>
      <c r="Q1248" s="116">
        <v>948.05</v>
      </c>
      <c r="R1248">
        <v>1557991</v>
      </c>
    </row>
    <row r="1249" spans="1:18" x14ac:dyDescent="0.25">
      <c r="A1249" s="170">
        <v>43846</v>
      </c>
      <c r="B1249" s="116">
        <v>968.95</v>
      </c>
      <c r="C1249" s="116">
        <v>958.45</v>
      </c>
      <c r="D1249" s="116">
        <v>950.75</v>
      </c>
      <c r="E1249" s="116">
        <v>959.95</v>
      </c>
      <c r="F1249" s="116">
        <v>958.45</v>
      </c>
      <c r="G1249">
        <v>58598</v>
      </c>
      <c r="H1249" s="116"/>
      <c r="I1249" s="116"/>
      <c r="L1249" s="170">
        <v>43846</v>
      </c>
      <c r="M1249" s="116">
        <v>958.75</v>
      </c>
      <c r="N1249" s="116">
        <v>969.5</v>
      </c>
      <c r="O1249" s="116">
        <v>951.1</v>
      </c>
      <c r="P1249" s="116">
        <v>960</v>
      </c>
      <c r="Q1249" s="116">
        <v>958.75</v>
      </c>
      <c r="R1249">
        <v>936150</v>
      </c>
    </row>
    <row r="1250" spans="1:18" x14ac:dyDescent="0.25">
      <c r="A1250" s="170">
        <v>43847</v>
      </c>
      <c r="B1250" s="116">
        <v>963.5</v>
      </c>
      <c r="C1250" s="116">
        <v>946.6</v>
      </c>
      <c r="D1250" s="116">
        <v>941</v>
      </c>
      <c r="E1250" s="116">
        <v>959</v>
      </c>
      <c r="F1250" s="116">
        <v>946.6</v>
      </c>
      <c r="G1250">
        <v>24886</v>
      </c>
      <c r="H1250" s="116"/>
      <c r="I1250" s="116"/>
      <c r="L1250" s="170">
        <v>43847</v>
      </c>
      <c r="M1250" s="116">
        <v>947.15</v>
      </c>
      <c r="N1250" s="116">
        <v>964</v>
      </c>
      <c r="O1250" s="116">
        <v>940.25</v>
      </c>
      <c r="P1250" s="116">
        <v>963</v>
      </c>
      <c r="Q1250" s="116">
        <v>947.15</v>
      </c>
      <c r="R1250">
        <v>407274</v>
      </c>
    </row>
    <row r="1251" spans="1:18" x14ac:dyDescent="0.25">
      <c r="A1251" s="170">
        <v>43850</v>
      </c>
      <c r="B1251" s="116">
        <v>956.45</v>
      </c>
      <c r="C1251" s="116">
        <v>936.7</v>
      </c>
      <c r="D1251" s="116">
        <v>931.1</v>
      </c>
      <c r="E1251" s="116">
        <v>936.1</v>
      </c>
      <c r="F1251" s="116">
        <v>936.7</v>
      </c>
      <c r="G1251">
        <v>20576</v>
      </c>
      <c r="H1251" s="116"/>
      <c r="I1251" s="116"/>
      <c r="L1251" s="170">
        <v>43850</v>
      </c>
      <c r="M1251" s="116">
        <v>936.75</v>
      </c>
      <c r="N1251" s="116">
        <v>957.25</v>
      </c>
      <c r="O1251" s="116">
        <v>930.2</v>
      </c>
      <c r="P1251" s="116">
        <v>950</v>
      </c>
      <c r="Q1251" s="116">
        <v>936.75</v>
      </c>
      <c r="R1251">
        <v>266941</v>
      </c>
    </row>
    <row r="1252" spans="1:18" x14ac:dyDescent="0.25">
      <c r="A1252" s="170">
        <v>43851</v>
      </c>
      <c r="B1252" s="116">
        <v>963</v>
      </c>
      <c r="C1252" s="116">
        <v>954.7</v>
      </c>
      <c r="D1252" s="116">
        <v>926.1</v>
      </c>
      <c r="E1252" s="116">
        <v>939</v>
      </c>
      <c r="F1252" s="116">
        <v>954.7</v>
      </c>
      <c r="G1252">
        <v>36200</v>
      </c>
      <c r="H1252" s="116"/>
      <c r="I1252" s="116"/>
      <c r="L1252" s="170">
        <v>43851</v>
      </c>
      <c r="M1252" s="116">
        <v>954.7</v>
      </c>
      <c r="N1252" s="116">
        <v>964</v>
      </c>
      <c r="O1252" s="116">
        <v>925</v>
      </c>
      <c r="P1252" s="116">
        <v>935</v>
      </c>
      <c r="Q1252" s="116">
        <v>954.7</v>
      </c>
      <c r="R1252">
        <v>474265</v>
      </c>
    </row>
    <row r="1253" spans="1:18" x14ac:dyDescent="0.25">
      <c r="A1253" s="170">
        <v>43852</v>
      </c>
      <c r="B1253" s="116">
        <v>978.9</v>
      </c>
      <c r="C1253" s="116">
        <v>960.5</v>
      </c>
      <c r="D1253" s="116">
        <v>955</v>
      </c>
      <c r="E1253" s="116">
        <v>958.05</v>
      </c>
      <c r="F1253" s="116">
        <v>960.5</v>
      </c>
      <c r="G1253">
        <v>54761</v>
      </c>
      <c r="H1253" s="116"/>
      <c r="I1253" s="116"/>
      <c r="L1253" s="170">
        <v>43852</v>
      </c>
      <c r="M1253" s="116">
        <v>960.85</v>
      </c>
      <c r="N1253" s="116">
        <v>979</v>
      </c>
      <c r="O1253" s="116">
        <v>954.5</v>
      </c>
      <c r="P1253" s="116">
        <v>956.5</v>
      </c>
      <c r="Q1253" s="116">
        <v>960.85</v>
      </c>
      <c r="R1253">
        <v>898739</v>
      </c>
    </row>
    <row r="1254" spans="1:18" x14ac:dyDescent="0.25">
      <c r="A1254" s="170">
        <v>43853</v>
      </c>
      <c r="B1254" s="116">
        <v>978</v>
      </c>
      <c r="C1254" s="116">
        <v>967.25</v>
      </c>
      <c r="D1254" s="116">
        <v>961.6</v>
      </c>
      <c r="E1254" s="116">
        <v>962.8</v>
      </c>
      <c r="F1254" s="116">
        <v>967.25</v>
      </c>
      <c r="G1254">
        <v>17946</v>
      </c>
      <c r="H1254" s="116"/>
      <c r="I1254" s="116"/>
      <c r="L1254" s="170">
        <v>43853</v>
      </c>
      <c r="M1254" s="116">
        <v>968.3</v>
      </c>
      <c r="N1254" s="116">
        <v>978</v>
      </c>
      <c r="O1254" s="116">
        <v>961</v>
      </c>
      <c r="P1254" s="116">
        <v>963</v>
      </c>
      <c r="Q1254" s="116">
        <v>968.3</v>
      </c>
      <c r="R1254">
        <v>284158</v>
      </c>
    </row>
    <row r="1255" spans="1:18" x14ac:dyDescent="0.25">
      <c r="A1255" s="170">
        <v>43854</v>
      </c>
      <c r="B1255" s="116">
        <v>973.8</v>
      </c>
      <c r="C1255" s="116">
        <v>962.55</v>
      </c>
      <c r="D1255" s="116">
        <v>959.35</v>
      </c>
      <c r="E1255" s="116">
        <v>966.45</v>
      </c>
      <c r="F1255" s="116">
        <v>962.55</v>
      </c>
      <c r="G1255">
        <v>14406</v>
      </c>
      <c r="H1255" s="116"/>
      <c r="I1255" s="116"/>
      <c r="L1255" s="170">
        <v>43854</v>
      </c>
      <c r="M1255" s="116">
        <v>963.25</v>
      </c>
      <c r="N1255" s="116">
        <v>973</v>
      </c>
      <c r="O1255" s="116">
        <v>958.1</v>
      </c>
      <c r="P1255" s="116">
        <v>968.9</v>
      </c>
      <c r="Q1255" s="116">
        <v>963.25</v>
      </c>
      <c r="R1255">
        <v>220015</v>
      </c>
    </row>
    <row r="1256" spans="1:18" x14ac:dyDescent="0.25">
      <c r="A1256" s="170">
        <v>43857</v>
      </c>
      <c r="B1256" s="116">
        <v>966.6</v>
      </c>
      <c r="C1256" s="116">
        <v>942.55</v>
      </c>
      <c r="D1256" s="116">
        <v>931.3</v>
      </c>
      <c r="E1256" s="116">
        <v>960</v>
      </c>
      <c r="F1256" s="116">
        <v>942.55</v>
      </c>
      <c r="G1256">
        <v>20095</v>
      </c>
      <c r="H1256" s="116"/>
      <c r="I1256" s="116"/>
      <c r="L1256" s="170">
        <v>43857</v>
      </c>
      <c r="M1256" s="116">
        <v>942.75</v>
      </c>
      <c r="N1256" s="116">
        <v>968</v>
      </c>
      <c r="O1256" s="116">
        <v>929.1</v>
      </c>
      <c r="P1256" s="116">
        <v>960</v>
      </c>
      <c r="Q1256" s="116">
        <v>942.75</v>
      </c>
      <c r="R1256">
        <v>213047</v>
      </c>
    </row>
    <row r="1257" spans="1:18" x14ac:dyDescent="0.25">
      <c r="A1257" s="170">
        <v>43858</v>
      </c>
      <c r="B1257" s="116">
        <v>957.6</v>
      </c>
      <c r="C1257" s="116">
        <v>948.1</v>
      </c>
      <c r="D1257" s="116">
        <v>928</v>
      </c>
      <c r="E1257" s="116">
        <v>949</v>
      </c>
      <c r="F1257" s="116">
        <v>948.1</v>
      </c>
      <c r="G1257">
        <v>48520</v>
      </c>
      <c r="H1257" s="116"/>
      <c r="I1257" s="116"/>
      <c r="L1257" s="170">
        <v>43858</v>
      </c>
      <c r="M1257" s="116">
        <v>947.2</v>
      </c>
      <c r="N1257" s="116">
        <v>956.9</v>
      </c>
      <c r="O1257" s="116">
        <v>927.55</v>
      </c>
      <c r="P1257" s="116">
        <v>942.75</v>
      </c>
      <c r="Q1257" s="116">
        <v>947.2</v>
      </c>
      <c r="R1257">
        <v>321398</v>
      </c>
    </row>
    <row r="1258" spans="1:18" x14ac:dyDescent="0.25">
      <c r="A1258" s="170">
        <v>43859</v>
      </c>
      <c r="B1258" s="116">
        <v>962.45</v>
      </c>
      <c r="C1258" s="116">
        <v>931.35</v>
      </c>
      <c r="D1258" s="116">
        <v>924.45</v>
      </c>
      <c r="E1258" s="116">
        <v>957.7</v>
      </c>
      <c r="F1258" s="116">
        <v>931.35</v>
      </c>
      <c r="G1258">
        <v>24439</v>
      </c>
      <c r="H1258" s="116"/>
      <c r="I1258" s="116"/>
      <c r="L1258" s="170">
        <v>43859</v>
      </c>
      <c r="M1258" s="116">
        <v>932.6</v>
      </c>
      <c r="N1258" s="116">
        <v>961.9</v>
      </c>
      <c r="O1258" s="116">
        <v>925</v>
      </c>
      <c r="P1258" s="116">
        <v>950</v>
      </c>
      <c r="Q1258" s="116">
        <v>932.6</v>
      </c>
      <c r="R1258">
        <v>305850</v>
      </c>
    </row>
    <row r="1259" spans="1:18" x14ac:dyDescent="0.25">
      <c r="A1259" s="170">
        <v>43860</v>
      </c>
      <c r="B1259" s="116">
        <v>962</v>
      </c>
      <c r="C1259" s="116">
        <v>958.1</v>
      </c>
      <c r="D1259" s="116">
        <v>935.4</v>
      </c>
      <c r="E1259" s="116">
        <v>939.95</v>
      </c>
      <c r="F1259" s="116">
        <v>958.1</v>
      </c>
      <c r="G1259">
        <v>43086</v>
      </c>
      <c r="H1259" s="116"/>
      <c r="I1259" s="116"/>
      <c r="L1259" s="170">
        <v>43860</v>
      </c>
      <c r="M1259" s="116">
        <v>957.55</v>
      </c>
      <c r="N1259" s="116">
        <v>962</v>
      </c>
      <c r="O1259" s="116">
        <v>935</v>
      </c>
      <c r="P1259" s="116">
        <v>938</v>
      </c>
      <c r="Q1259" s="116">
        <v>957.55</v>
      </c>
      <c r="R1259">
        <v>695800</v>
      </c>
    </row>
    <row r="1260" spans="1:18" x14ac:dyDescent="0.25">
      <c r="A1260" s="170">
        <v>43861</v>
      </c>
      <c r="B1260" s="116">
        <v>966.05</v>
      </c>
      <c r="C1260" s="116">
        <v>948.85</v>
      </c>
      <c r="D1260" s="116">
        <v>942</v>
      </c>
      <c r="E1260" s="116">
        <v>960</v>
      </c>
      <c r="F1260" s="116">
        <v>948.85</v>
      </c>
      <c r="G1260">
        <v>23423</v>
      </c>
      <c r="H1260" s="116"/>
      <c r="I1260" s="116"/>
      <c r="L1260" s="170">
        <v>43861</v>
      </c>
      <c r="M1260" s="116">
        <v>949.2</v>
      </c>
      <c r="N1260" s="116">
        <v>966.5</v>
      </c>
      <c r="O1260" s="116">
        <v>941.8</v>
      </c>
      <c r="P1260" s="116">
        <v>957.95</v>
      </c>
      <c r="Q1260" s="116">
        <v>949.2</v>
      </c>
      <c r="R1260">
        <v>318313</v>
      </c>
    </row>
    <row r="1261" spans="1:18" x14ac:dyDescent="0.25">
      <c r="A1261" s="170">
        <v>43862</v>
      </c>
      <c r="B1261" s="116">
        <v>959.05</v>
      </c>
      <c r="C1261" s="116">
        <v>949.2</v>
      </c>
      <c r="D1261" s="116">
        <v>942.5</v>
      </c>
      <c r="E1261" s="116">
        <v>949</v>
      </c>
      <c r="F1261" s="116">
        <v>949.2</v>
      </c>
      <c r="G1261">
        <v>12924</v>
      </c>
      <c r="H1261" s="116"/>
      <c r="I1261" s="116"/>
      <c r="L1261" s="170">
        <v>43862</v>
      </c>
      <c r="M1261" s="116">
        <v>949.75</v>
      </c>
      <c r="N1261" s="116">
        <v>959.05</v>
      </c>
      <c r="O1261" s="116">
        <v>941.05</v>
      </c>
      <c r="P1261" s="116">
        <v>944</v>
      </c>
      <c r="Q1261" s="116">
        <v>949.75</v>
      </c>
      <c r="R1261">
        <v>157445</v>
      </c>
    </row>
    <row r="1262" spans="1:18" x14ac:dyDescent="0.25">
      <c r="A1262" s="170">
        <v>43864</v>
      </c>
      <c r="B1262" s="116">
        <v>979</v>
      </c>
      <c r="C1262" s="116">
        <v>955.55</v>
      </c>
      <c r="D1262" s="116">
        <v>928.2</v>
      </c>
      <c r="E1262" s="116">
        <v>949.1</v>
      </c>
      <c r="F1262" s="116">
        <v>955.55</v>
      </c>
      <c r="G1262">
        <v>36442</v>
      </c>
      <c r="H1262" s="116"/>
      <c r="I1262" s="116"/>
      <c r="L1262" s="170">
        <v>43864</v>
      </c>
      <c r="M1262" s="116">
        <v>957.1</v>
      </c>
      <c r="N1262" s="116">
        <v>979.9</v>
      </c>
      <c r="O1262" s="116">
        <v>926.4</v>
      </c>
      <c r="P1262" s="116">
        <v>950</v>
      </c>
      <c r="Q1262" s="116">
        <v>957.1</v>
      </c>
      <c r="R1262">
        <v>565209</v>
      </c>
    </row>
    <row r="1263" spans="1:18" x14ac:dyDescent="0.25">
      <c r="A1263" s="170">
        <v>43865</v>
      </c>
      <c r="B1263" s="116">
        <v>1037</v>
      </c>
      <c r="C1263" s="116">
        <v>1030.8</v>
      </c>
      <c r="D1263" s="116">
        <v>959</v>
      </c>
      <c r="E1263" s="116">
        <v>959</v>
      </c>
      <c r="F1263" s="116">
        <v>1030.8</v>
      </c>
      <c r="G1263">
        <v>134092</v>
      </c>
      <c r="H1263" s="116"/>
      <c r="I1263" s="116"/>
      <c r="L1263" s="170">
        <v>43865</v>
      </c>
      <c r="M1263" s="116">
        <v>1030.3499999999999</v>
      </c>
      <c r="N1263" s="116">
        <v>1037.3</v>
      </c>
      <c r="O1263" s="116">
        <v>960</v>
      </c>
      <c r="P1263" s="116">
        <v>961.9</v>
      </c>
      <c r="Q1263" s="116">
        <v>1030.3499999999999</v>
      </c>
      <c r="R1263">
        <v>2222832</v>
      </c>
    </row>
    <row r="1264" spans="1:18" x14ac:dyDescent="0.25">
      <c r="A1264" s="170">
        <v>43866</v>
      </c>
      <c r="B1264" s="116">
        <v>1057.8</v>
      </c>
      <c r="C1264" s="116">
        <v>1027.25</v>
      </c>
      <c r="D1264" s="116">
        <v>1015</v>
      </c>
      <c r="E1264" s="116">
        <v>1032</v>
      </c>
      <c r="F1264" s="116">
        <v>1027.25</v>
      </c>
      <c r="G1264">
        <v>67739</v>
      </c>
      <c r="H1264" s="116"/>
      <c r="I1264" s="116"/>
      <c r="L1264" s="170">
        <v>43866</v>
      </c>
      <c r="M1264" s="116">
        <v>1027.5</v>
      </c>
      <c r="N1264" s="116">
        <v>1058</v>
      </c>
      <c r="O1264" s="116">
        <v>1014.3</v>
      </c>
      <c r="P1264" s="116">
        <v>1031.3</v>
      </c>
      <c r="Q1264" s="116">
        <v>1027.5</v>
      </c>
      <c r="R1264">
        <v>796454</v>
      </c>
    </row>
    <row r="1265" spans="1:18" x14ac:dyDescent="0.25">
      <c r="A1265" s="170">
        <v>43867</v>
      </c>
      <c r="B1265" s="116">
        <v>1048</v>
      </c>
      <c r="C1265" s="116">
        <v>1036.5</v>
      </c>
      <c r="D1265" s="116">
        <v>1015</v>
      </c>
      <c r="E1265" s="116">
        <v>1026</v>
      </c>
      <c r="F1265" s="116">
        <v>1036.5</v>
      </c>
      <c r="G1265">
        <v>34659</v>
      </c>
      <c r="H1265" s="116"/>
      <c r="I1265" s="116"/>
      <c r="L1265" s="170">
        <v>43867</v>
      </c>
      <c r="M1265" s="116">
        <v>1035.45</v>
      </c>
      <c r="N1265" s="116">
        <v>1048</v>
      </c>
      <c r="O1265" s="116">
        <v>1013.35</v>
      </c>
      <c r="P1265" s="116">
        <v>1030</v>
      </c>
      <c r="Q1265" s="116">
        <v>1035.45</v>
      </c>
      <c r="R1265">
        <v>521590</v>
      </c>
    </row>
    <row r="1266" spans="1:18" x14ac:dyDescent="0.25">
      <c r="A1266" s="170">
        <v>43868</v>
      </c>
      <c r="B1266" s="116">
        <v>1057.8</v>
      </c>
      <c r="C1266" s="116">
        <v>1030.2</v>
      </c>
      <c r="D1266" s="116">
        <v>1022</v>
      </c>
      <c r="E1266" s="116">
        <v>1040</v>
      </c>
      <c r="F1266" s="116">
        <v>1030.2</v>
      </c>
      <c r="G1266">
        <v>50459</v>
      </c>
      <c r="H1266" s="116"/>
      <c r="I1266" s="116"/>
      <c r="L1266" s="170">
        <v>43868</v>
      </c>
      <c r="M1266" s="116">
        <v>1030.5</v>
      </c>
      <c r="N1266" s="116">
        <v>1057</v>
      </c>
      <c r="O1266" s="116">
        <v>1021</v>
      </c>
      <c r="P1266" s="116">
        <v>1036</v>
      </c>
      <c r="Q1266" s="116">
        <v>1030.5</v>
      </c>
      <c r="R1266">
        <v>636650</v>
      </c>
    </row>
    <row r="1267" spans="1:18" x14ac:dyDescent="0.25">
      <c r="A1267" s="170">
        <v>43871</v>
      </c>
      <c r="B1267" s="116">
        <v>1070.0999999999999</v>
      </c>
      <c r="C1267" s="116">
        <v>1060.2</v>
      </c>
      <c r="D1267" s="116">
        <v>1022</v>
      </c>
      <c r="E1267" s="116">
        <v>1030.2</v>
      </c>
      <c r="F1267" s="116">
        <v>1060.2</v>
      </c>
      <c r="G1267">
        <v>40133</v>
      </c>
      <c r="H1267" s="116"/>
      <c r="I1267" s="116"/>
      <c r="L1267" s="170">
        <v>43871</v>
      </c>
      <c r="M1267" s="116">
        <v>1058.5</v>
      </c>
      <c r="N1267" s="116">
        <v>1070.8</v>
      </c>
      <c r="O1267" s="116">
        <v>1021.1</v>
      </c>
      <c r="P1267" s="116">
        <v>1036.9000000000001</v>
      </c>
      <c r="Q1267" s="116">
        <v>1058.5</v>
      </c>
      <c r="R1267">
        <v>576348</v>
      </c>
    </row>
    <row r="1268" spans="1:18" x14ac:dyDescent="0.25">
      <c r="A1268" s="170">
        <v>43872</v>
      </c>
      <c r="B1268" s="116">
        <v>1086.9000000000001</v>
      </c>
      <c r="C1268" s="116">
        <v>1081.8499999999999</v>
      </c>
      <c r="D1268" s="116">
        <v>1059.95</v>
      </c>
      <c r="E1268" s="116">
        <v>1062.5</v>
      </c>
      <c r="F1268" s="116">
        <v>1081.8499999999999</v>
      </c>
      <c r="G1268">
        <v>90163</v>
      </c>
      <c r="H1268" s="116"/>
      <c r="I1268" s="116"/>
      <c r="L1268" s="170">
        <v>43872</v>
      </c>
      <c r="M1268" s="116">
        <v>1082.4000000000001</v>
      </c>
      <c r="N1268" s="116">
        <v>1088</v>
      </c>
      <c r="O1268" s="116">
        <v>1059.3</v>
      </c>
      <c r="P1268" s="116">
        <v>1064</v>
      </c>
      <c r="Q1268" s="116">
        <v>1082.4000000000001</v>
      </c>
      <c r="R1268">
        <v>638604</v>
      </c>
    </row>
    <row r="1269" spans="1:18" x14ac:dyDescent="0.25">
      <c r="A1269" s="170">
        <v>43873</v>
      </c>
      <c r="B1269" s="116">
        <v>1098.75</v>
      </c>
      <c r="C1269" s="116">
        <v>1061.8</v>
      </c>
      <c r="D1269" s="116">
        <v>1055.3</v>
      </c>
      <c r="E1269" s="116">
        <v>1082.05</v>
      </c>
      <c r="F1269" s="116">
        <v>1061.8</v>
      </c>
      <c r="G1269">
        <v>30803</v>
      </c>
      <c r="H1269" s="116"/>
      <c r="I1269" s="116"/>
      <c r="L1269" s="170">
        <v>43873</v>
      </c>
      <c r="M1269" s="116">
        <v>1060.9000000000001</v>
      </c>
      <c r="N1269" s="116">
        <v>1098.4000000000001</v>
      </c>
      <c r="O1269" s="116">
        <v>1054.5</v>
      </c>
      <c r="P1269" s="116">
        <v>1086</v>
      </c>
      <c r="Q1269" s="116">
        <v>1060.9000000000001</v>
      </c>
      <c r="R1269">
        <v>531180</v>
      </c>
    </row>
    <row r="1270" spans="1:18" x14ac:dyDescent="0.25">
      <c r="A1270" s="170">
        <v>43874</v>
      </c>
      <c r="B1270" s="116">
        <v>1097.05</v>
      </c>
      <c r="C1270" s="116">
        <v>1090.3</v>
      </c>
      <c r="D1270" s="116">
        <v>1058.8</v>
      </c>
      <c r="E1270" s="116">
        <v>1065</v>
      </c>
      <c r="F1270" s="116">
        <v>1090.3</v>
      </c>
      <c r="G1270">
        <v>35982</v>
      </c>
      <c r="H1270" s="116"/>
      <c r="I1270" s="116"/>
      <c r="L1270" s="170">
        <v>43874</v>
      </c>
      <c r="M1270" s="116">
        <v>1089.0999999999999</v>
      </c>
      <c r="N1270" s="116">
        <v>1096.55</v>
      </c>
      <c r="O1270" s="116">
        <v>1058.5</v>
      </c>
      <c r="P1270" s="116">
        <v>1067.8</v>
      </c>
      <c r="Q1270" s="116">
        <v>1089.0999999999999</v>
      </c>
      <c r="R1270">
        <v>487395</v>
      </c>
    </row>
    <row r="1271" spans="1:18" x14ac:dyDescent="0.25">
      <c r="A1271" s="170">
        <v>43875</v>
      </c>
      <c r="B1271" s="116">
        <v>1096</v>
      </c>
      <c r="C1271" s="116">
        <v>1034.5</v>
      </c>
      <c r="D1271" s="116">
        <v>1027.6500000000001</v>
      </c>
      <c r="E1271" s="116">
        <v>1094</v>
      </c>
      <c r="F1271" s="116">
        <v>1034.5</v>
      </c>
      <c r="G1271">
        <v>39247</v>
      </c>
      <c r="H1271" s="116"/>
      <c r="I1271" s="116"/>
      <c r="L1271" s="170">
        <v>43875</v>
      </c>
      <c r="M1271" s="116">
        <v>1035</v>
      </c>
      <c r="N1271" s="116">
        <v>1096.45</v>
      </c>
      <c r="O1271" s="116">
        <v>1025.0999999999999</v>
      </c>
      <c r="P1271" s="116">
        <v>1088</v>
      </c>
      <c r="Q1271" s="116">
        <v>1035</v>
      </c>
      <c r="R1271">
        <v>451945</v>
      </c>
    </row>
    <row r="1272" spans="1:18" x14ac:dyDescent="0.25">
      <c r="A1272" s="170">
        <v>43878</v>
      </c>
      <c r="B1272" s="116">
        <v>1043.55</v>
      </c>
      <c r="C1272" s="116">
        <v>987.2</v>
      </c>
      <c r="D1272" s="116">
        <v>977</v>
      </c>
      <c r="E1272" s="116">
        <v>1038</v>
      </c>
      <c r="F1272" s="116">
        <v>987.2</v>
      </c>
      <c r="G1272">
        <v>43844</v>
      </c>
      <c r="H1272" s="116"/>
      <c r="I1272" s="116"/>
      <c r="L1272" s="170">
        <v>43878</v>
      </c>
      <c r="M1272" s="116">
        <v>987.55</v>
      </c>
      <c r="N1272" s="116">
        <v>1043.3499999999999</v>
      </c>
      <c r="O1272" s="116">
        <v>975.95</v>
      </c>
      <c r="P1272" s="116">
        <v>1041</v>
      </c>
      <c r="Q1272" s="116">
        <v>987.55</v>
      </c>
      <c r="R1272">
        <v>866201</v>
      </c>
    </row>
    <row r="1273" spans="1:18" x14ac:dyDescent="0.25">
      <c r="A1273" s="170">
        <v>43879</v>
      </c>
      <c r="B1273" s="116">
        <v>991.65</v>
      </c>
      <c r="C1273" s="116">
        <v>968.05</v>
      </c>
      <c r="D1273" s="116">
        <v>936</v>
      </c>
      <c r="E1273" s="116">
        <v>985.95</v>
      </c>
      <c r="F1273" s="116">
        <v>968.05</v>
      </c>
      <c r="G1273">
        <v>91954</v>
      </c>
      <c r="H1273" s="116"/>
      <c r="I1273" s="116"/>
      <c r="L1273" s="170">
        <v>43879</v>
      </c>
      <c r="M1273" s="116">
        <v>970.05</v>
      </c>
      <c r="N1273" s="116">
        <v>992</v>
      </c>
      <c r="O1273" s="116">
        <v>934.8</v>
      </c>
      <c r="P1273" s="116">
        <v>980</v>
      </c>
      <c r="Q1273" s="116">
        <v>970.05</v>
      </c>
      <c r="R1273">
        <v>912440</v>
      </c>
    </row>
    <row r="1274" spans="1:18" x14ac:dyDescent="0.25">
      <c r="A1274" s="170">
        <v>43880</v>
      </c>
      <c r="B1274" s="116">
        <v>1014</v>
      </c>
      <c r="C1274" s="116">
        <v>1005.45</v>
      </c>
      <c r="D1274" s="116">
        <v>978</v>
      </c>
      <c r="E1274" s="116">
        <v>978</v>
      </c>
      <c r="F1274" s="116">
        <v>1005.45</v>
      </c>
      <c r="G1274">
        <v>84481</v>
      </c>
      <c r="H1274" s="116"/>
      <c r="I1274" s="116"/>
      <c r="L1274" s="170">
        <v>43880</v>
      </c>
      <c r="M1274" s="116">
        <v>1005.7</v>
      </c>
      <c r="N1274" s="116">
        <v>1014</v>
      </c>
      <c r="O1274" s="116">
        <v>978.05</v>
      </c>
      <c r="P1274" s="116">
        <v>980.1</v>
      </c>
      <c r="Q1274" s="116">
        <v>1005.7</v>
      </c>
      <c r="R1274">
        <v>627745</v>
      </c>
    </row>
    <row r="1275" spans="1:18" x14ac:dyDescent="0.25">
      <c r="A1275" s="170">
        <v>43881</v>
      </c>
      <c r="B1275" s="116">
        <v>1020.6</v>
      </c>
      <c r="C1275" s="116">
        <v>995.85</v>
      </c>
      <c r="D1275" s="116">
        <v>987</v>
      </c>
      <c r="E1275" s="116">
        <v>1005.5</v>
      </c>
      <c r="F1275" s="116">
        <v>995.85</v>
      </c>
      <c r="G1275">
        <v>53814</v>
      </c>
      <c r="H1275" s="116"/>
      <c r="I1275" s="116"/>
      <c r="L1275" s="170">
        <v>43881</v>
      </c>
      <c r="M1275" s="116">
        <v>996.4</v>
      </c>
      <c r="N1275" s="116">
        <v>1021</v>
      </c>
      <c r="O1275" s="116">
        <v>986</v>
      </c>
      <c r="P1275" s="116">
        <v>1005.7</v>
      </c>
      <c r="Q1275" s="116">
        <v>996.4</v>
      </c>
      <c r="R1275">
        <v>633182</v>
      </c>
    </row>
    <row r="1276" spans="1:18" x14ac:dyDescent="0.25">
      <c r="A1276" s="170">
        <v>43885</v>
      </c>
      <c r="B1276" s="116">
        <v>1012</v>
      </c>
      <c r="C1276" s="116">
        <v>1002.35</v>
      </c>
      <c r="D1276" s="116">
        <v>976</v>
      </c>
      <c r="E1276" s="116">
        <v>990</v>
      </c>
      <c r="F1276" s="116">
        <v>1002.35</v>
      </c>
      <c r="G1276">
        <v>36531</v>
      </c>
      <c r="H1276" s="116"/>
      <c r="I1276" s="116"/>
      <c r="L1276" s="170">
        <v>43885</v>
      </c>
      <c r="M1276" s="116">
        <v>1004.85</v>
      </c>
      <c r="N1276" s="116">
        <v>1013</v>
      </c>
      <c r="O1276" s="116">
        <v>971.45</v>
      </c>
      <c r="P1276" s="116">
        <v>991.5</v>
      </c>
      <c r="Q1276" s="116">
        <v>1004.85</v>
      </c>
      <c r="R1276">
        <v>585972</v>
      </c>
    </row>
    <row r="1277" spans="1:18" x14ac:dyDescent="0.25">
      <c r="A1277" s="170">
        <v>43886</v>
      </c>
      <c r="B1277" s="116">
        <v>1010</v>
      </c>
      <c r="C1277" s="116">
        <v>988.6</v>
      </c>
      <c r="D1277" s="116">
        <v>959</v>
      </c>
      <c r="E1277" s="116">
        <v>1010</v>
      </c>
      <c r="F1277" s="116">
        <v>988.6</v>
      </c>
      <c r="G1277">
        <v>21073</v>
      </c>
      <c r="H1277" s="116"/>
      <c r="I1277" s="116"/>
      <c r="L1277" s="170">
        <v>43886</v>
      </c>
      <c r="M1277" s="116">
        <v>989.25</v>
      </c>
      <c r="N1277" s="116">
        <v>1012.8</v>
      </c>
      <c r="O1277" s="116">
        <v>985.1</v>
      </c>
      <c r="P1277" s="116">
        <v>1012.8</v>
      </c>
      <c r="Q1277" s="116">
        <v>989.25</v>
      </c>
      <c r="R1277">
        <v>256244</v>
      </c>
    </row>
    <row r="1278" spans="1:18" x14ac:dyDescent="0.25">
      <c r="A1278" s="170">
        <v>43887</v>
      </c>
      <c r="B1278" s="116">
        <v>989.4</v>
      </c>
      <c r="C1278" s="116">
        <v>961.45</v>
      </c>
      <c r="D1278" s="116">
        <v>953</v>
      </c>
      <c r="E1278" s="116">
        <v>988</v>
      </c>
      <c r="F1278" s="116">
        <v>961.45</v>
      </c>
      <c r="G1278">
        <v>21456</v>
      </c>
      <c r="H1278" s="116"/>
      <c r="I1278" s="116"/>
      <c r="L1278" s="170">
        <v>43887</v>
      </c>
      <c r="M1278" s="116">
        <v>961.6</v>
      </c>
      <c r="N1278" s="116">
        <v>993</v>
      </c>
      <c r="O1278" s="116">
        <v>952.1</v>
      </c>
      <c r="P1278" s="116">
        <v>993</v>
      </c>
      <c r="Q1278" s="116">
        <v>961.6</v>
      </c>
      <c r="R1278">
        <v>277812</v>
      </c>
    </row>
    <row r="1279" spans="1:18" x14ac:dyDescent="0.25">
      <c r="A1279" s="170">
        <v>43888</v>
      </c>
      <c r="B1279" s="116">
        <v>955.15</v>
      </c>
      <c r="C1279" s="116">
        <v>930.65</v>
      </c>
      <c r="D1279" s="116">
        <v>915</v>
      </c>
      <c r="E1279" s="116">
        <v>955</v>
      </c>
      <c r="F1279" s="116">
        <v>930.65</v>
      </c>
      <c r="G1279">
        <v>33573</v>
      </c>
      <c r="H1279" s="116"/>
      <c r="I1279" s="116"/>
      <c r="L1279" s="170">
        <v>43888</v>
      </c>
      <c r="M1279" s="116">
        <v>930.4</v>
      </c>
      <c r="N1279" s="116">
        <v>955</v>
      </c>
      <c r="O1279" s="116">
        <v>915</v>
      </c>
      <c r="P1279" s="116">
        <v>955</v>
      </c>
      <c r="Q1279" s="116">
        <v>930.4</v>
      </c>
      <c r="R1279">
        <v>559388</v>
      </c>
    </row>
    <row r="1280" spans="1:18" x14ac:dyDescent="0.25">
      <c r="A1280" s="170">
        <v>43889</v>
      </c>
      <c r="B1280" s="116">
        <v>917</v>
      </c>
      <c r="C1280" s="116">
        <v>882.9</v>
      </c>
      <c r="D1280" s="116">
        <v>855</v>
      </c>
      <c r="E1280" s="116">
        <v>910.1</v>
      </c>
      <c r="F1280" s="116">
        <v>882.9</v>
      </c>
      <c r="G1280">
        <v>47555</v>
      </c>
      <c r="H1280" s="116"/>
      <c r="I1280" s="116"/>
      <c r="L1280" s="170">
        <v>43889</v>
      </c>
      <c r="M1280" s="116">
        <v>882.75</v>
      </c>
      <c r="N1280" s="116">
        <v>919.05</v>
      </c>
      <c r="O1280" s="116">
        <v>855.1</v>
      </c>
      <c r="P1280" s="116">
        <v>910</v>
      </c>
      <c r="Q1280" s="116">
        <v>882.75</v>
      </c>
      <c r="R1280">
        <v>629146</v>
      </c>
    </row>
    <row r="1281" spans="1:18" x14ac:dyDescent="0.25">
      <c r="A1281" s="170">
        <v>43892</v>
      </c>
      <c r="B1281" s="116">
        <v>964</v>
      </c>
      <c r="C1281" s="116">
        <v>943.15</v>
      </c>
      <c r="D1281" s="116">
        <v>890</v>
      </c>
      <c r="E1281" s="116">
        <v>900</v>
      </c>
      <c r="F1281" s="116">
        <v>943.15</v>
      </c>
      <c r="G1281">
        <v>49296</v>
      </c>
      <c r="H1281" s="116"/>
      <c r="I1281" s="116"/>
      <c r="L1281" s="170">
        <v>43892</v>
      </c>
      <c r="M1281" s="116">
        <v>941.25</v>
      </c>
      <c r="N1281" s="116">
        <v>965</v>
      </c>
      <c r="O1281" s="116">
        <v>887</v>
      </c>
      <c r="P1281" s="116">
        <v>887</v>
      </c>
      <c r="Q1281" s="116">
        <v>941.25</v>
      </c>
      <c r="R1281">
        <v>865946</v>
      </c>
    </row>
    <row r="1282" spans="1:18" x14ac:dyDescent="0.25">
      <c r="A1282" s="170">
        <v>43893</v>
      </c>
      <c r="B1282" s="116">
        <v>1071</v>
      </c>
      <c r="C1282" s="116">
        <v>1041.6500000000001</v>
      </c>
      <c r="D1282" s="116">
        <v>940.25</v>
      </c>
      <c r="E1282" s="116">
        <v>943</v>
      </c>
      <c r="F1282" s="116">
        <v>1041.6500000000001</v>
      </c>
      <c r="G1282">
        <v>98332</v>
      </c>
      <c r="H1282" s="116"/>
      <c r="I1282" s="116"/>
      <c r="L1282" s="170">
        <v>43893</v>
      </c>
      <c r="M1282" s="116">
        <v>1037.8499999999999</v>
      </c>
      <c r="N1282" s="116">
        <v>1071.25</v>
      </c>
      <c r="O1282" s="116">
        <v>940.45</v>
      </c>
      <c r="P1282" s="116">
        <v>962.25</v>
      </c>
      <c r="Q1282" s="116">
        <v>1037.8499999999999</v>
      </c>
      <c r="R1282">
        <v>1462319</v>
      </c>
    </row>
    <row r="1283" spans="1:18" x14ac:dyDescent="0.25">
      <c r="A1283" s="170">
        <v>43894</v>
      </c>
      <c r="B1283" s="116">
        <v>1055.4000000000001</v>
      </c>
      <c r="C1283" s="116">
        <v>982.75</v>
      </c>
      <c r="D1283" s="116">
        <v>948.55</v>
      </c>
      <c r="E1283" s="116">
        <v>1050</v>
      </c>
      <c r="F1283" s="116">
        <v>982.75</v>
      </c>
      <c r="G1283">
        <v>97254</v>
      </c>
      <c r="H1283" s="116"/>
      <c r="I1283" s="116"/>
      <c r="L1283" s="170">
        <v>43894</v>
      </c>
      <c r="M1283" s="116">
        <v>983.95</v>
      </c>
      <c r="N1283" s="116">
        <v>1057</v>
      </c>
      <c r="O1283" s="116">
        <v>947</v>
      </c>
      <c r="P1283" s="116">
        <v>1042</v>
      </c>
      <c r="Q1283" s="116">
        <v>983.95</v>
      </c>
      <c r="R1283">
        <v>1291087</v>
      </c>
    </row>
    <row r="1284" spans="1:18" x14ac:dyDescent="0.25">
      <c r="A1284" s="170">
        <v>43895</v>
      </c>
      <c r="B1284" s="116">
        <v>1024.3</v>
      </c>
      <c r="C1284" s="116">
        <v>987.65</v>
      </c>
      <c r="D1284" s="116">
        <v>975.1</v>
      </c>
      <c r="E1284" s="116">
        <v>1002</v>
      </c>
      <c r="F1284" s="116">
        <v>987.65</v>
      </c>
      <c r="G1284">
        <v>44972</v>
      </c>
      <c r="H1284" s="116"/>
      <c r="I1284" s="116"/>
      <c r="L1284" s="170">
        <v>43895</v>
      </c>
      <c r="M1284" s="116">
        <v>989.25</v>
      </c>
      <c r="N1284" s="116">
        <v>1025</v>
      </c>
      <c r="O1284" s="116">
        <v>972.55</v>
      </c>
      <c r="P1284" s="116">
        <v>994.5</v>
      </c>
      <c r="Q1284" s="116">
        <v>989.25</v>
      </c>
      <c r="R1284">
        <v>666066</v>
      </c>
    </row>
    <row r="1285" spans="1:18" x14ac:dyDescent="0.25">
      <c r="A1285" s="170">
        <v>43896</v>
      </c>
      <c r="B1285" s="116">
        <v>998.05</v>
      </c>
      <c r="C1285" s="116">
        <v>984.75</v>
      </c>
      <c r="D1285" s="116">
        <v>926.1</v>
      </c>
      <c r="E1285" s="116">
        <v>969.95</v>
      </c>
      <c r="F1285" s="116">
        <v>984.75</v>
      </c>
      <c r="G1285">
        <v>40042</v>
      </c>
      <c r="H1285" s="116"/>
      <c r="I1285" s="116"/>
      <c r="L1285" s="170">
        <v>43896</v>
      </c>
      <c r="M1285" s="116">
        <v>985.75</v>
      </c>
      <c r="N1285" s="116">
        <v>999</v>
      </c>
      <c r="O1285" s="116">
        <v>925.25</v>
      </c>
      <c r="P1285" s="116">
        <v>945</v>
      </c>
      <c r="Q1285" s="116">
        <v>985.75</v>
      </c>
      <c r="R1285">
        <v>478233</v>
      </c>
    </row>
    <row r="1286" spans="1:18" x14ac:dyDescent="0.25">
      <c r="A1286" s="170">
        <v>43899</v>
      </c>
      <c r="B1286" s="116">
        <v>967.2</v>
      </c>
      <c r="C1286" s="116">
        <v>932.2</v>
      </c>
      <c r="D1286" s="116">
        <v>903.05</v>
      </c>
      <c r="E1286" s="116">
        <v>954.75</v>
      </c>
      <c r="F1286" s="116">
        <v>932.2</v>
      </c>
      <c r="G1286">
        <v>43795</v>
      </c>
      <c r="H1286" s="116"/>
      <c r="I1286" s="116"/>
      <c r="L1286" s="170">
        <v>43899</v>
      </c>
      <c r="M1286" s="116">
        <v>932.4</v>
      </c>
      <c r="N1286" s="116">
        <v>969.85</v>
      </c>
      <c r="O1286" s="116">
        <v>903.5</v>
      </c>
      <c r="P1286" s="116">
        <v>945</v>
      </c>
      <c r="Q1286" s="116">
        <v>932.4</v>
      </c>
      <c r="R1286">
        <v>452272</v>
      </c>
    </row>
    <row r="1287" spans="1:18" x14ac:dyDescent="0.25">
      <c r="A1287" s="170">
        <v>43901</v>
      </c>
      <c r="B1287" s="116">
        <v>987.65</v>
      </c>
      <c r="C1287" s="116">
        <v>972.4</v>
      </c>
      <c r="D1287" s="116">
        <v>918</v>
      </c>
      <c r="E1287" s="116">
        <v>930</v>
      </c>
      <c r="F1287" s="116">
        <v>972.4</v>
      </c>
      <c r="G1287">
        <v>67095</v>
      </c>
      <c r="H1287" s="116"/>
      <c r="I1287" s="116"/>
      <c r="L1287" s="170">
        <v>43901</v>
      </c>
      <c r="M1287" s="116">
        <v>972.55</v>
      </c>
      <c r="N1287" s="116">
        <v>988.95</v>
      </c>
      <c r="O1287" s="116">
        <v>915.3</v>
      </c>
      <c r="P1287" s="116">
        <v>924</v>
      </c>
      <c r="Q1287" s="116">
        <v>972.55</v>
      </c>
      <c r="R1287">
        <v>849768</v>
      </c>
    </row>
    <row r="1288" spans="1:18" x14ac:dyDescent="0.25">
      <c r="A1288" s="170">
        <v>43902</v>
      </c>
      <c r="B1288" s="116">
        <v>950</v>
      </c>
      <c r="C1288" s="116">
        <v>878.15</v>
      </c>
      <c r="D1288" s="116">
        <v>868.65</v>
      </c>
      <c r="E1288" s="116">
        <v>950</v>
      </c>
      <c r="F1288" s="116">
        <v>878.15</v>
      </c>
      <c r="G1288">
        <v>49258</v>
      </c>
      <c r="H1288" s="116"/>
      <c r="I1288" s="116"/>
      <c r="L1288" s="170">
        <v>43902</v>
      </c>
      <c r="M1288" s="116">
        <v>878.25</v>
      </c>
      <c r="N1288" s="116">
        <v>935</v>
      </c>
      <c r="O1288" s="116">
        <v>868</v>
      </c>
      <c r="P1288" s="116">
        <v>935</v>
      </c>
      <c r="Q1288" s="116">
        <v>878.25</v>
      </c>
      <c r="R1288">
        <v>564875</v>
      </c>
    </row>
    <row r="1289" spans="1:18" x14ac:dyDescent="0.25">
      <c r="A1289" s="170">
        <v>43903</v>
      </c>
      <c r="B1289" s="116">
        <v>888</v>
      </c>
      <c r="C1289" s="116">
        <v>848.55</v>
      </c>
      <c r="D1289" s="116">
        <v>745.5</v>
      </c>
      <c r="E1289" s="116">
        <v>849.95</v>
      </c>
      <c r="F1289" s="116">
        <v>848.55</v>
      </c>
      <c r="G1289">
        <v>104327</v>
      </c>
      <c r="H1289" s="116"/>
      <c r="I1289" s="116"/>
      <c r="L1289" s="170">
        <v>43903</v>
      </c>
      <c r="M1289" s="116">
        <v>846.9</v>
      </c>
      <c r="N1289" s="116">
        <v>889.2</v>
      </c>
      <c r="O1289" s="116">
        <v>702.6</v>
      </c>
      <c r="P1289" s="116">
        <v>800</v>
      </c>
      <c r="Q1289" s="116">
        <v>846.9</v>
      </c>
      <c r="R1289">
        <v>622543</v>
      </c>
    </row>
    <row r="1290" spans="1:18" x14ac:dyDescent="0.25">
      <c r="A1290" s="170">
        <v>43906</v>
      </c>
      <c r="B1290" s="116">
        <v>849</v>
      </c>
      <c r="C1290" s="116">
        <v>771.75</v>
      </c>
      <c r="D1290" s="116">
        <v>761</v>
      </c>
      <c r="E1290" s="116">
        <v>849</v>
      </c>
      <c r="F1290" s="116">
        <v>771.75</v>
      </c>
      <c r="G1290">
        <v>54823</v>
      </c>
      <c r="H1290" s="116"/>
      <c r="I1290" s="116"/>
      <c r="L1290" s="170">
        <v>43906</v>
      </c>
      <c r="M1290" s="116">
        <v>770.7</v>
      </c>
      <c r="N1290" s="116">
        <v>824.8</v>
      </c>
      <c r="O1290" s="116">
        <v>761</v>
      </c>
      <c r="P1290" s="116">
        <v>801</v>
      </c>
      <c r="Q1290" s="116">
        <v>770.7</v>
      </c>
      <c r="R1290">
        <v>434866</v>
      </c>
    </row>
    <row r="1291" spans="1:18" x14ac:dyDescent="0.25">
      <c r="A1291" s="170">
        <v>43907</v>
      </c>
      <c r="B1291" s="116">
        <v>784.45</v>
      </c>
      <c r="C1291" s="116">
        <v>723.7</v>
      </c>
      <c r="D1291" s="116">
        <v>706.65</v>
      </c>
      <c r="E1291" s="116">
        <v>772</v>
      </c>
      <c r="F1291" s="116">
        <v>723.7</v>
      </c>
      <c r="G1291">
        <v>50384</v>
      </c>
      <c r="H1291" s="116"/>
      <c r="I1291" s="116"/>
      <c r="L1291" s="170">
        <v>43907</v>
      </c>
      <c r="M1291" s="116">
        <v>723.05</v>
      </c>
      <c r="N1291" s="116">
        <v>784.95</v>
      </c>
      <c r="O1291" s="116">
        <v>706.1</v>
      </c>
      <c r="P1291" s="116">
        <v>770.55</v>
      </c>
      <c r="Q1291" s="116">
        <v>723.05</v>
      </c>
      <c r="R1291">
        <v>384382</v>
      </c>
    </row>
    <row r="1292" spans="1:18" x14ac:dyDescent="0.25">
      <c r="A1292" s="170">
        <v>43908</v>
      </c>
      <c r="B1292" s="116">
        <v>748.2</v>
      </c>
      <c r="C1292" s="116">
        <v>677.8</v>
      </c>
      <c r="D1292" s="116">
        <v>670.5</v>
      </c>
      <c r="E1292" s="116">
        <v>733</v>
      </c>
      <c r="F1292" s="116">
        <v>677.8</v>
      </c>
      <c r="G1292">
        <v>50763</v>
      </c>
      <c r="H1292" s="116"/>
      <c r="I1292" s="116"/>
      <c r="L1292" s="170">
        <v>43908</v>
      </c>
      <c r="M1292" s="116">
        <v>677.55</v>
      </c>
      <c r="N1292" s="116">
        <v>754</v>
      </c>
      <c r="O1292" s="116">
        <v>670</v>
      </c>
      <c r="P1292" s="116">
        <v>754</v>
      </c>
      <c r="Q1292" s="116">
        <v>677.55</v>
      </c>
      <c r="R1292">
        <v>393149</v>
      </c>
    </row>
    <row r="1293" spans="1:18" x14ac:dyDescent="0.25">
      <c r="A1293" s="170">
        <v>43909</v>
      </c>
      <c r="B1293" s="116">
        <v>670</v>
      </c>
      <c r="C1293" s="116">
        <v>574.25</v>
      </c>
      <c r="D1293" s="116">
        <v>565</v>
      </c>
      <c r="E1293" s="116">
        <v>670</v>
      </c>
      <c r="F1293" s="116">
        <v>574.25</v>
      </c>
      <c r="G1293">
        <v>124739</v>
      </c>
      <c r="H1293" s="116"/>
      <c r="I1293" s="116"/>
      <c r="L1293" s="170">
        <v>43909</v>
      </c>
      <c r="M1293" s="116">
        <v>575.85</v>
      </c>
      <c r="N1293" s="116">
        <v>650</v>
      </c>
      <c r="O1293" s="116">
        <v>567.20000000000005</v>
      </c>
      <c r="P1293" s="116">
        <v>650</v>
      </c>
      <c r="Q1293" s="116">
        <v>575.85</v>
      </c>
      <c r="R1293">
        <v>993667</v>
      </c>
    </row>
    <row r="1294" spans="1:18" x14ac:dyDescent="0.25">
      <c r="A1294" s="170">
        <v>43910</v>
      </c>
      <c r="B1294" s="116">
        <v>631.65</v>
      </c>
      <c r="C1294" s="116">
        <v>599.1</v>
      </c>
      <c r="D1294" s="116">
        <v>572.79999999999995</v>
      </c>
      <c r="E1294" s="116">
        <v>581.15</v>
      </c>
      <c r="F1294" s="116">
        <v>599.1</v>
      </c>
      <c r="G1294">
        <v>93506</v>
      </c>
      <c r="H1294" s="116"/>
      <c r="I1294" s="116"/>
      <c r="L1294" s="170">
        <v>43910</v>
      </c>
      <c r="M1294" s="116">
        <v>598.6</v>
      </c>
      <c r="N1294" s="116">
        <v>633.4</v>
      </c>
      <c r="O1294" s="116">
        <v>572.5</v>
      </c>
      <c r="P1294" s="116">
        <v>585</v>
      </c>
      <c r="Q1294" s="116">
        <v>598.6</v>
      </c>
      <c r="R1294">
        <v>861237</v>
      </c>
    </row>
    <row r="1295" spans="1:18" x14ac:dyDescent="0.25">
      <c r="A1295" s="170">
        <v>43913</v>
      </c>
      <c r="B1295" s="116">
        <v>580</v>
      </c>
      <c r="C1295" s="116">
        <v>545.75</v>
      </c>
      <c r="D1295" s="116">
        <v>539.20000000000005</v>
      </c>
      <c r="E1295" s="116">
        <v>580</v>
      </c>
      <c r="F1295" s="116">
        <v>545.75</v>
      </c>
      <c r="G1295">
        <v>33927</v>
      </c>
      <c r="H1295" s="116"/>
      <c r="I1295" s="116"/>
      <c r="L1295" s="170">
        <v>43913</v>
      </c>
      <c r="M1295" s="116">
        <v>544.4</v>
      </c>
      <c r="N1295" s="116">
        <v>569</v>
      </c>
      <c r="O1295" s="116">
        <v>539</v>
      </c>
      <c r="P1295" s="116">
        <v>540</v>
      </c>
      <c r="Q1295" s="116">
        <v>544.4</v>
      </c>
      <c r="R1295">
        <v>266156</v>
      </c>
    </row>
    <row r="1296" spans="1:18" x14ac:dyDescent="0.25">
      <c r="A1296" s="170">
        <v>43914</v>
      </c>
      <c r="B1296" s="116">
        <v>577.20000000000005</v>
      </c>
      <c r="C1296" s="116">
        <v>551.65</v>
      </c>
      <c r="D1296" s="116">
        <v>530.45000000000005</v>
      </c>
      <c r="E1296" s="116">
        <v>558.79999999999995</v>
      </c>
      <c r="F1296" s="116">
        <v>551.65</v>
      </c>
      <c r="G1296">
        <v>35611</v>
      </c>
      <c r="H1296" s="116"/>
      <c r="I1296" s="116"/>
      <c r="L1296" s="170">
        <v>43914</v>
      </c>
      <c r="M1296" s="116">
        <v>550.20000000000005</v>
      </c>
      <c r="N1296" s="116">
        <v>581</v>
      </c>
      <c r="O1296" s="116">
        <v>530</v>
      </c>
      <c r="P1296" s="116">
        <v>569</v>
      </c>
      <c r="Q1296" s="116">
        <v>550.20000000000005</v>
      </c>
      <c r="R1296">
        <v>287848</v>
      </c>
    </row>
    <row r="1297" spans="1:18" x14ac:dyDescent="0.25">
      <c r="A1297" s="170">
        <v>43915</v>
      </c>
      <c r="B1297" s="116">
        <v>600</v>
      </c>
      <c r="C1297" s="116">
        <v>587.20000000000005</v>
      </c>
      <c r="D1297" s="116">
        <v>501</v>
      </c>
      <c r="E1297" s="116">
        <v>551</v>
      </c>
      <c r="F1297" s="116">
        <v>587.20000000000005</v>
      </c>
      <c r="G1297">
        <v>33381</v>
      </c>
      <c r="H1297" s="116"/>
      <c r="I1297" s="116"/>
      <c r="L1297" s="170">
        <v>43915</v>
      </c>
      <c r="M1297" s="116">
        <v>586</v>
      </c>
      <c r="N1297" s="116">
        <v>592</v>
      </c>
      <c r="O1297" s="116">
        <v>499.95</v>
      </c>
      <c r="P1297" s="116">
        <v>550</v>
      </c>
      <c r="Q1297" s="116">
        <v>586</v>
      </c>
      <c r="R1297">
        <v>398547</v>
      </c>
    </row>
    <row r="1298" spans="1:18" x14ac:dyDescent="0.25">
      <c r="A1298" s="170">
        <v>43916</v>
      </c>
      <c r="B1298" s="116">
        <v>640</v>
      </c>
      <c r="C1298" s="116">
        <v>619.45000000000005</v>
      </c>
      <c r="D1298" s="116">
        <v>592.85</v>
      </c>
      <c r="E1298" s="116">
        <v>592.85</v>
      </c>
      <c r="F1298" s="116">
        <v>619.45000000000005</v>
      </c>
      <c r="G1298">
        <v>48041</v>
      </c>
      <c r="H1298" s="116"/>
      <c r="I1298" s="116"/>
      <c r="L1298" s="170">
        <v>43916</v>
      </c>
      <c r="M1298" s="116">
        <v>620.54999999999995</v>
      </c>
      <c r="N1298" s="116">
        <v>640</v>
      </c>
      <c r="O1298" s="116">
        <v>595</v>
      </c>
      <c r="P1298" s="116">
        <v>595</v>
      </c>
      <c r="Q1298" s="116">
        <v>620.54999999999995</v>
      </c>
      <c r="R1298">
        <v>330218</v>
      </c>
    </row>
    <row r="1299" spans="1:18" x14ac:dyDescent="0.25">
      <c r="A1299" s="170">
        <v>43917</v>
      </c>
      <c r="B1299" s="116">
        <v>673.8</v>
      </c>
      <c r="C1299" s="116">
        <v>639.85</v>
      </c>
      <c r="D1299" s="116">
        <v>622.85</v>
      </c>
      <c r="E1299" s="116">
        <v>622.85</v>
      </c>
      <c r="F1299" s="116">
        <v>639.85</v>
      </c>
      <c r="G1299">
        <v>48308</v>
      </c>
      <c r="H1299" s="116"/>
      <c r="I1299" s="116"/>
      <c r="L1299" s="170">
        <v>43917</v>
      </c>
      <c r="M1299" s="116">
        <v>639.1</v>
      </c>
      <c r="N1299" s="116">
        <v>674</v>
      </c>
      <c r="O1299" s="116">
        <v>622.79999999999995</v>
      </c>
      <c r="P1299" s="116">
        <v>640</v>
      </c>
      <c r="Q1299" s="116">
        <v>639.1</v>
      </c>
      <c r="R1299">
        <v>490352</v>
      </c>
    </row>
    <row r="1300" spans="1:18" x14ac:dyDescent="0.25">
      <c r="A1300" s="170">
        <v>43920</v>
      </c>
      <c r="B1300" s="116">
        <v>630</v>
      </c>
      <c r="C1300" s="116">
        <v>603.1</v>
      </c>
      <c r="D1300" s="116">
        <v>595.35</v>
      </c>
      <c r="E1300" s="116">
        <v>630</v>
      </c>
      <c r="F1300" s="116">
        <v>603.1</v>
      </c>
      <c r="G1300">
        <v>22178</v>
      </c>
      <c r="H1300" s="116"/>
      <c r="I1300" s="116"/>
      <c r="L1300" s="170">
        <v>43920</v>
      </c>
      <c r="M1300" s="116">
        <v>603.15</v>
      </c>
      <c r="N1300" s="116">
        <v>621.29999999999995</v>
      </c>
      <c r="O1300" s="116">
        <v>595</v>
      </c>
      <c r="P1300" s="116">
        <v>607.35</v>
      </c>
      <c r="Q1300" s="116">
        <v>603.15</v>
      </c>
      <c r="R1300">
        <v>322832</v>
      </c>
    </row>
    <row r="1301" spans="1:18" x14ac:dyDescent="0.25">
      <c r="A1301" s="170">
        <v>43921</v>
      </c>
      <c r="B1301" s="116">
        <v>638</v>
      </c>
      <c r="C1301" s="116">
        <v>629.79999999999995</v>
      </c>
      <c r="D1301" s="116">
        <v>611.5</v>
      </c>
      <c r="E1301" s="116">
        <v>617.04999999999995</v>
      </c>
      <c r="F1301" s="116">
        <v>629.79999999999995</v>
      </c>
      <c r="G1301">
        <v>15954</v>
      </c>
      <c r="H1301" s="116"/>
      <c r="I1301" s="116"/>
      <c r="L1301" s="170">
        <v>43921</v>
      </c>
      <c r="M1301" s="116">
        <v>629.1</v>
      </c>
      <c r="N1301" s="116">
        <v>639</v>
      </c>
      <c r="O1301" s="116">
        <v>610.15</v>
      </c>
      <c r="P1301" s="116">
        <v>615.04999999999995</v>
      </c>
      <c r="Q1301" s="116">
        <v>629.1</v>
      </c>
      <c r="R1301">
        <v>298967</v>
      </c>
    </row>
    <row r="1302" spans="1:18" x14ac:dyDescent="0.25">
      <c r="A1302" s="170">
        <v>43922</v>
      </c>
      <c r="B1302" s="116">
        <v>652.5</v>
      </c>
      <c r="C1302" s="116">
        <v>608.1</v>
      </c>
      <c r="D1302" s="116">
        <v>601.29999999999995</v>
      </c>
      <c r="E1302" s="116">
        <v>634.85</v>
      </c>
      <c r="F1302" s="116">
        <v>608.1</v>
      </c>
      <c r="G1302">
        <v>22219</v>
      </c>
      <c r="H1302" s="116"/>
      <c r="I1302" s="116"/>
      <c r="L1302" s="170">
        <v>43922</v>
      </c>
      <c r="M1302" s="116">
        <v>607.20000000000005</v>
      </c>
      <c r="N1302" s="116">
        <v>653.1</v>
      </c>
      <c r="O1302" s="116">
        <v>601</v>
      </c>
      <c r="P1302" s="116">
        <v>636</v>
      </c>
      <c r="Q1302" s="116">
        <v>607.20000000000005</v>
      </c>
      <c r="R1302">
        <v>269956</v>
      </c>
    </row>
    <row r="1303" spans="1:18" x14ac:dyDescent="0.25">
      <c r="A1303" s="170">
        <v>43924</v>
      </c>
      <c r="B1303" s="116">
        <v>620.85</v>
      </c>
      <c r="C1303" s="116">
        <v>594.04999999999995</v>
      </c>
      <c r="D1303" s="116">
        <v>590</v>
      </c>
      <c r="E1303" s="116">
        <v>620.85</v>
      </c>
      <c r="F1303" s="116">
        <v>594.04999999999995</v>
      </c>
      <c r="G1303">
        <v>15019</v>
      </c>
      <c r="H1303" s="116"/>
      <c r="I1303" s="116"/>
      <c r="L1303" s="170">
        <v>43924</v>
      </c>
      <c r="M1303" s="116">
        <v>593.6</v>
      </c>
      <c r="N1303" s="116">
        <v>617</v>
      </c>
      <c r="O1303" s="116">
        <v>590.04999999999995</v>
      </c>
      <c r="P1303" s="116">
        <v>617</v>
      </c>
      <c r="Q1303" s="116">
        <v>593.6</v>
      </c>
      <c r="R1303">
        <v>214168</v>
      </c>
    </row>
    <row r="1304" spans="1:18" x14ac:dyDescent="0.25">
      <c r="A1304" s="170">
        <v>43928</v>
      </c>
      <c r="B1304" s="116">
        <v>652.95000000000005</v>
      </c>
      <c r="C1304" s="116">
        <v>637.35</v>
      </c>
      <c r="D1304" s="116">
        <v>605.54999999999995</v>
      </c>
      <c r="E1304" s="116">
        <v>606.85</v>
      </c>
      <c r="F1304" s="116">
        <v>637.35</v>
      </c>
      <c r="G1304">
        <v>36140</v>
      </c>
      <c r="H1304" s="116"/>
      <c r="I1304" s="116"/>
      <c r="L1304" s="170">
        <v>43928</v>
      </c>
      <c r="M1304" s="116">
        <v>638.75</v>
      </c>
      <c r="N1304" s="116">
        <v>652.95000000000005</v>
      </c>
      <c r="O1304" s="116">
        <v>603</v>
      </c>
      <c r="P1304" s="116">
        <v>621</v>
      </c>
      <c r="Q1304" s="116">
        <v>638.75</v>
      </c>
      <c r="R1304">
        <v>361001</v>
      </c>
    </row>
    <row r="1305" spans="1:18" x14ac:dyDescent="0.25">
      <c r="A1305" s="170">
        <v>43929</v>
      </c>
      <c r="B1305" s="116">
        <v>657.55</v>
      </c>
      <c r="C1305" s="116">
        <v>636.54999999999995</v>
      </c>
      <c r="D1305" s="116">
        <v>625.85</v>
      </c>
      <c r="E1305" s="116">
        <v>629</v>
      </c>
      <c r="F1305" s="116">
        <v>636.54999999999995</v>
      </c>
      <c r="G1305">
        <v>28012</v>
      </c>
      <c r="H1305" s="116"/>
      <c r="I1305" s="116"/>
      <c r="L1305" s="170">
        <v>43929</v>
      </c>
      <c r="M1305" s="116">
        <v>637.54999999999995</v>
      </c>
      <c r="N1305" s="116">
        <v>658</v>
      </c>
      <c r="O1305" s="116">
        <v>625.70000000000005</v>
      </c>
      <c r="P1305" s="116">
        <v>636</v>
      </c>
      <c r="Q1305" s="116">
        <v>637.54999999999995</v>
      </c>
      <c r="R1305">
        <v>312310</v>
      </c>
    </row>
    <row r="1306" spans="1:18" x14ac:dyDescent="0.25">
      <c r="A1306" s="170">
        <v>43930</v>
      </c>
      <c r="B1306" s="116">
        <v>712</v>
      </c>
      <c r="C1306" s="116">
        <v>698.15</v>
      </c>
      <c r="D1306" s="116">
        <v>650.45000000000005</v>
      </c>
      <c r="E1306" s="116">
        <v>654.15</v>
      </c>
      <c r="F1306" s="116">
        <v>698.15</v>
      </c>
      <c r="G1306">
        <v>61240</v>
      </c>
      <c r="H1306" s="116"/>
      <c r="I1306" s="116"/>
      <c r="L1306" s="170">
        <v>43930</v>
      </c>
      <c r="M1306" s="116">
        <v>699.6</v>
      </c>
      <c r="N1306" s="116">
        <v>712</v>
      </c>
      <c r="O1306" s="116">
        <v>650.04999999999995</v>
      </c>
      <c r="P1306" s="116">
        <v>659</v>
      </c>
      <c r="Q1306" s="116">
        <v>699.6</v>
      </c>
      <c r="R1306">
        <v>594041</v>
      </c>
    </row>
    <row r="1307" spans="1:18" x14ac:dyDescent="0.25">
      <c r="A1307" s="170">
        <v>43934</v>
      </c>
      <c r="B1307" s="116">
        <v>706.2</v>
      </c>
      <c r="C1307" s="116">
        <v>673.15</v>
      </c>
      <c r="D1307" s="116">
        <v>660.7</v>
      </c>
      <c r="E1307" s="116">
        <v>701.1</v>
      </c>
      <c r="F1307" s="116">
        <v>673.15</v>
      </c>
      <c r="G1307">
        <v>30314</v>
      </c>
      <c r="H1307" s="116"/>
      <c r="I1307" s="116"/>
      <c r="L1307" s="170">
        <v>43934</v>
      </c>
      <c r="M1307" s="116">
        <v>673.7</v>
      </c>
      <c r="N1307" s="116">
        <v>705</v>
      </c>
      <c r="O1307" s="116">
        <v>660</v>
      </c>
      <c r="P1307" s="116">
        <v>702</v>
      </c>
      <c r="Q1307" s="116">
        <v>673.7</v>
      </c>
      <c r="R1307">
        <v>311547</v>
      </c>
    </row>
    <row r="1308" spans="1:18" x14ac:dyDescent="0.25">
      <c r="A1308" s="170">
        <v>43936</v>
      </c>
      <c r="B1308" s="116">
        <v>743.45</v>
      </c>
      <c r="C1308" s="116">
        <v>733.15</v>
      </c>
      <c r="D1308" s="116">
        <v>685.4</v>
      </c>
      <c r="E1308" s="116">
        <v>702</v>
      </c>
      <c r="F1308" s="116">
        <v>733.15</v>
      </c>
      <c r="G1308">
        <v>71337</v>
      </c>
      <c r="H1308" s="116"/>
      <c r="I1308" s="116"/>
      <c r="L1308" s="170">
        <v>43936</v>
      </c>
      <c r="M1308" s="116">
        <v>734</v>
      </c>
      <c r="N1308" s="116">
        <v>743.9</v>
      </c>
      <c r="O1308" s="116">
        <v>682.8</v>
      </c>
      <c r="P1308" s="116">
        <v>686</v>
      </c>
      <c r="Q1308" s="116">
        <v>734</v>
      </c>
      <c r="R1308">
        <v>911879</v>
      </c>
    </row>
    <row r="1309" spans="1:18" x14ac:dyDescent="0.25">
      <c r="A1309" s="170">
        <v>43937</v>
      </c>
      <c r="B1309" s="116">
        <v>734.95</v>
      </c>
      <c r="C1309" s="116">
        <v>712.4</v>
      </c>
      <c r="D1309" s="116">
        <v>701.5</v>
      </c>
      <c r="E1309" s="116">
        <v>734.95</v>
      </c>
      <c r="F1309" s="116">
        <v>712.4</v>
      </c>
      <c r="G1309">
        <v>29709</v>
      </c>
      <c r="H1309" s="116"/>
      <c r="I1309" s="116"/>
      <c r="L1309" s="170">
        <v>43937</v>
      </c>
      <c r="M1309" s="116">
        <v>713.9</v>
      </c>
      <c r="N1309" s="116">
        <v>730</v>
      </c>
      <c r="O1309" s="116">
        <v>701</v>
      </c>
      <c r="P1309" s="116">
        <v>730</v>
      </c>
      <c r="Q1309" s="116">
        <v>713.9</v>
      </c>
      <c r="R1309">
        <v>435709</v>
      </c>
    </row>
    <row r="1310" spans="1:18" x14ac:dyDescent="0.25">
      <c r="A1310" s="170">
        <v>43938</v>
      </c>
      <c r="B1310" s="116">
        <v>740.3</v>
      </c>
      <c r="C1310" s="116">
        <v>712.5</v>
      </c>
      <c r="D1310" s="116">
        <v>696.6</v>
      </c>
      <c r="E1310" s="116">
        <v>732</v>
      </c>
      <c r="F1310" s="116">
        <v>712.5</v>
      </c>
      <c r="G1310">
        <v>31442</v>
      </c>
      <c r="H1310" s="116"/>
      <c r="I1310" s="116"/>
      <c r="L1310" s="170">
        <v>43938</v>
      </c>
      <c r="M1310" s="116">
        <v>713.2</v>
      </c>
      <c r="N1310" s="116">
        <v>748</v>
      </c>
      <c r="O1310" s="116">
        <v>696.55</v>
      </c>
      <c r="P1310" s="116">
        <v>748</v>
      </c>
      <c r="Q1310" s="116">
        <v>713.2</v>
      </c>
      <c r="R1310">
        <v>416692</v>
      </c>
    </row>
    <row r="1311" spans="1:18" x14ac:dyDescent="0.25">
      <c r="A1311" s="170">
        <v>43941</v>
      </c>
      <c r="B1311" s="116">
        <v>738</v>
      </c>
      <c r="C1311" s="116">
        <v>729.75</v>
      </c>
      <c r="D1311" s="116">
        <v>716.95</v>
      </c>
      <c r="E1311" s="116">
        <v>732</v>
      </c>
      <c r="F1311" s="116">
        <v>729.75</v>
      </c>
      <c r="G1311">
        <v>27903</v>
      </c>
      <c r="H1311" s="116"/>
      <c r="I1311" s="116"/>
      <c r="L1311" s="170">
        <v>43941</v>
      </c>
      <c r="M1311" s="116">
        <v>729.4</v>
      </c>
      <c r="N1311" s="116">
        <v>738</v>
      </c>
      <c r="O1311" s="116">
        <v>715</v>
      </c>
      <c r="P1311" s="116">
        <v>727.65</v>
      </c>
      <c r="Q1311" s="116">
        <v>729.4</v>
      </c>
      <c r="R1311">
        <v>381161</v>
      </c>
    </row>
    <row r="1312" spans="1:18" x14ac:dyDescent="0.25">
      <c r="A1312" s="170">
        <v>43942</v>
      </c>
      <c r="B1312" s="116">
        <v>760</v>
      </c>
      <c r="C1312" s="116">
        <v>724.75</v>
      </c>
      <c r="D1312" s="116">
        <v>717.75</v>
      </c>
      <c r="E1312" s="116">
        <v>741</v>
      </c>
      <c r="F1312" s="116">
        <v>724.75</v>
      </c>
      <c r="G1312">
        <v>54896</v>
      </c>
      <c r="H1312" s="116"/>
      <c r="I1312" s="116"/>
      <c r="L1312" s="170">
        <v>43942</v>
      </c>
      <c r="M1312" s="116">
        <v>725.1</v>
      </c>
      <c r="N1312" s="116">
        <v>759.4</v>
      </c>
      <c r="O1312" s="116">
        <v>717.5</v>
      </c>
      <c r="P1312" s="116">
        <v>735</v>
      </c>
      <c r="Q1312" s="116">
        <v>725.1</v>
      </c>
      <c r="R1312">
        <v>974282</v>
      </c>
    </row>
    <row r="1313" spans="1:18" x14ac:dyDescent="0.25">
      <c r="A1313" s="170">
        <v>43943</v>
      </c>
      <c r="B1313" s="116">
        <v>735</v>
      </c>
      <c r="C1313" s="116">
        <v>720.35</v>
      </c>
      <c r="D1313" s="116">
        <v>709.3</v>
      </c>
      <c r="E1313" s="116">
        <v>735</v>
      </c>
      <c r="F1313" s="116">
        <v>720.35</v>
      </c>
      <c r="G1313">
        <v>19806</v>
      </c>
      <c r="H1313" s="116"/>
      <c r="I1313" s="116"/>
      <c r="L1313" s="170">
        <v>43943</v>
      </c>
      <c r="M1313" s="116">
        <v>719.65</v>
      </c>
      <c r="N1313" s="116">
        <v>734</v>
      </c>
      <c r="O1313" s="116">
        <v>709</v>
      </c>
      <c r="P1313" s="116">
        <v>730</v>
      </c>
      <c r="Q1313" s="116">
        <v>719.65</v>
      </c>
      <c r="R1313">
        <v>346761</v>
      </c>
    </row>
    <row r="1314" spans="1:18" x14ac:dyDescent="0.25">
      <c r="A1314" s="170">
        <v>43944</v>
      </c>
      <c r="B1314" s="116">
        <v>737.15</v>
      </c>
      <c r="C1314" s="116">
        <v>723.65</v>
      </c>
      <c r="D1314" s="116">
        <v>722</v>
      </c>
      <c r="E1314" s="116">
        <v>723.55</v>
      </c>
      <c r="F1314" s="116">
        <v>723.65</v>
      </c>
      <c r="G1314">
        <v>16033</v>
      </c>
      <c r="H1314" s="116"/>
      <c r="I1314" s="116"/>
      <c r="L1314" s="170">
        <v>43944</v>
      </c>
      <c r="M1314" s="116">
        <v>724.05</v>
      </c>
      <c r="N1314" s="116">
        <v>737.65</v>
      </c>
      <c r="O1314" s="116">
        <v>720</v>
      </c>
      <c r="P1314" s="116">
        <v>720</v>
      </c>
      <c r="Q1314" s="116">
        <v>724.05</v>
      </c>
      <c r="R1314">
        <v>309756</v>
      </c>
    </row>
    <row r="1315" spans="1:18" x14ac:dyDescent="0.25">
      <c r="A1315" s="170">
        <v>43945</v>
      </c>
      <c r="B1315" s="116">
        <v>770.6</v>
      </c>
      <c r="C1315" s="116">
        <v>750.45</v>
      </c>
      <c r="D1315" s="116">
        <v>721</v>
      </c>
      <c r="E1315" s="116">
        <v>728.15</v>
      </c>
      <c r="F1315" s="116">
        <v>750.45</v>
      </c>
      <c r="G1315">
        <v>37859</v>
      </c>
      <c r="H1315" s="116"/>
      <c r="I1315" s="116"/>
      <c r="L1315" s="170">
        <v>43945</v>
      </c>
      <c r="M1315" s="116">
        <v>751.25</v>
      </c>
      <c r="N1315" s="116">
        <v>771.2</v>
      </c>
      <c r="O1315" s="116">
        <v>721</v>
      </c>
      <c r="P1315" s="116">
        <v>735</v>
      </c>
      <c r="Q1315" s="116">
        <v>751.25</v>
      </c>
      <c r="R1315">
        <v>781786</v>
      </c>
    </row>
    <row r="1316" spans="1:18" x14ac:dyDescent="0.25">
      <c r="A1316" s="170">
        <v>43948</v>
      </c>
      <c r="B1316" s="116">
        <v>860</v>
      </c>
      <c r="C1316" s="116">
        <v>828.7</v>
      </c>
      <c r="D1316" s="116">
        <v>757.6</v>
      </c>
      <c r="E1316" s="116">
        <v>765</v>
      </c>
      <c r="F1316" s="116">
        <v>828.7</v>
      </c>
      <c r="G1316">
        <v>195603</v>
      </c>
      <c r="H1316" s="116"/>
      <c r="I1316" s="116"/>
      <c r="L1316" s="170">
        <v>43948</v>
      </c>
      <c r="M1316" s="116">
        <v>829.15</v>
      </c>
      <c r="N1316" s="116">
        <v>860</v>
      </c>
      <c r="O1316" s="116">
        <v>755.1</v>
      </c>
      <c r="P1316" s="116">
        <v>760</v>
      </c>
      <c r="Q1316" s="116">
        <v>829.15</v>
      </c>
      <c r="R1316">
        <v>3146899</v>
      </c>
    </row>
    <row r="1317" spans="1:18" x14ac:dyDescent="0.25">
      <c r="A1317" s="170">
        <v>43949</v>
      </c>
      <c r="B1317" s="116">
        <v>854</v>
      </c>
      <c r="C1317" s="116">
        <v>815.45</v>
      </c>
      <c r="D1317" s="116">
        <v>811.2</v>
      </c>
      <c r="E1317" s="116">
        <v>834</v>
      </c>
      <c r="F1317" s="116">
        <v>815.45</v>
      </c>
      <c r="G1317">
        <v>26080</v>
      </c>
      <c r="H1317" s="116"/>
      <c r="I1317" s="116"/>
      <c r="L1317" s="170">
        <v>43949</v>
      </c>
      <c r="M1317" s="116">
        <v>815.5</v>
      </c>
      <c r="N1317" s="116">
        <v>854.65</v>
      </c>
      <c r="O1317" s="116">
        <v>810.55</v>
      </c>
      <c r="P1317" s="116">
        <v>831</v>
      </c>
      <c r="Q1317" s="116">
        <v>815.5</v>
      </c>
      <c r="R1317">
        <v>620909</v>
      </c>
    </row>
    <row r="1318" spans="1:18" x14ac:dyDescent="0.25">
      <c r="A1318" s="170">
        <v>43950</v>
      </c>
      <c r="B1318" s="116">
        <v>841.75</v>
      </c>
      <c r="C1318" s="116">
        <v>810.35</v>
      </c>
      <c r="D1318" s="116">
        <v>796.75</v>
      </c>
      <c r="E1318" s="116">
        <v>817</v>
      </c>
      <c r="F1318" s="116">
        <v>810.35</v>
      </c>
      <c r="G1318">
        <v>36390</v>
      </c>
      <c r="H1318" s="116"/>
      <c r="I1318" s="116"/>
      <c r="L1318" s="170">
        <v>43950</v>
      </c>
      <c r="M1318" s="116">
        <v>814.2</v>
      </c>
      <c r="N1318" s="116">
        <v>842</v>
      </c>
      <c r="O1318" s="116">
        <v>795.25</v>
      </c>
      <c r="P1318" s="116">
        <v>825</v>
      </c>
      <c r="Q1318" s="116">
        <v>814.2</v>
      </c>
      <c r="R1318">
        <v>789421</v>
      </c>
    </row>
    <row r="1319" spans="1:18" x14ac:dyDescent="0.25">
      <c r="A1319" s="170">
        <v>43951</v>
      </c>
      <c r="B1319" s="116">
        <v>840</v>
      </c>
      <c r="C1319" s="116">
        <v>802.75</v>
      </c>
      <c r="D1319" s="116">
        <v>798</v>
      </c>
      <c r="E1319" s="116">
        <v>840</v>
      </c>
      <c r="F1319" s="116">
        <v>802.75</v>
      </c>
      <c r="G1319">
        <v>31236</v>
      </c>
      <c r="H1319" s="116"/>
      <c r="I1319" s="116"/>
      <c r="L1319" s="170">
        <v>43951</v>
      </c>
      <c r="M1319" s="116">
        <v>802.85</v>
      </c>
      <c r="N1319" s="116">
        <v>838</v>
      </c>
      <c r="O1319" s="116">
        <v>798</v>
      </c>
      <c r="P1319" s="116">
        <v>834</v>
      </c>
      <c r="Q1319" s="116">
        <v>802.85</v>
      </c>
      <c r="R1319">
        <v>505620</v>
      </c>
    </row>
    <row r="1320" spans="1:18" x14ac:dyDescent="0.25">
      <c r="A1320" s="170">
        <v>43955</v>
      </c>
      <c r="B1320" s="116">
        <v>795</v>
      </c>
      <c r="C1320" s="116">
        <v>768</v>
      </c>
      <c r="D1320" s="116">
        <v>763.5</v>
      </c>
      <c r="E1320" s="116">
        <v>795</v>
      </c>
      <c r="F1320" s="116">
        <v>768</v>
      </c>
      <c r="G1320">
        <v>22065</v>
      </c>
      <c r="H1320" s="116"/>
      <c r="I1320" s="116"/>
      <c r="L1320" s="170">
        <v>43955</v>
      </c>
      <c r="M1320" s="116">
        <v>768.1</v>
      </c>
      <c r="N1320" s="116">
        <v>788.55</v>
      </c>
      <c r="O1320" s="116">
        <v>762.2</v>
      </c>
      <c r="P1320" s="116">
        <v>780</v>
      </c>
      <c r="Q1320" s="116">
        <v>768.1</v>
      </c>
      <c r="R1320">
        <v>309675</v>
      </c>
    </row>
    <row r="1321" spans="1:18" x14ac:dyDescent="0.25">
      <c r="A1321" s="170">
        <v>43956</v>
      </c>
      <c r="B1321" s="116">
        <v>794.4</v>
      </c>
      <c r="C1321" s="116">
        <v>769</v>
      </c>
      <c r="D1321" s="116">
        <v>765.05</v>
      </c>
      <c r="E1321" s="116">
        <v>777.85</v>
      </c>
      <c r="F1321" s="116">
        <v>769</v>
      </c>
      <c r="G1321">
        <v>18455</v>
      </c>
      <c r="H1321" s="116"/>
      <c r="I1321" s="116"/>
      <c r="L1321" s="170">
        <v>43956</v>
      </c>
      <c r="M1321" s="116">
        <v>771.05</v>
      </c>
      <c r="N1321" s="116">
        <v>795.2</v>
      </c>
      <c r="O1321" s="116">
        <v>765.05</v>
      </c>
      <c r="P1321" s="116">
        <v>779</v>
      </c>
      <c r="Q1321" s="116">
        <v>771.05</v>
      </c>
      <c r="R1321">
        <v>290754</v>
      </c>
    </row>
    <row r="1322" spans="1:18" x14ac:dyDescent="0.25">
      <c r="A1322" s="170">
        <v>43957</v>
      </c>
      <c r="B1322" s="116">
        <v>775.8</v>
      </c>
      <c r="C1322" s="116">
        <v>764.85</v>
      </c>
      <c r="D1322" s="116">
        <v>755.6</v>
      </c>
      <c r="E1322" s="116">
        <v>770</v>
      </c>
      <c r="F1322" s="116">
        <v>764.85</v>
      </c>
      <c r="G1322">
        <v>20949</v>
      </c>
      <c r="H1322" s="116"/>
      <c r="I1322" s="116"/>
      <c r="L1322" s="170">
        <v>43957</v>
      </c>
      <c r="M1322" s="116">
        <v>765.25</v>
      </c>
      <c r="N1322" s="116">
        <v>779</v>
      </c>
      <c r="O1322" s="116">
        <v>755</v>
      </c>
      <c r="P1322" s="116">
        <v>779</v>
      </c>
      <c r="Q1322" s="116">
        <v>765.25</v>
      </c>
      <c r="R1322">
        <v>281315</v>
      </c>
    </row>
    <row r="1323" spans="1:18" x14ac:dyDescent="0.25">
      <c r="A1323" s="170">
        <v>43958</v>
      </c>
      <c r="B1323" s="116">
        <v>797.75</v>
      </c>
      <c r="C1323" s="116">
        <v>790</v>
      </c>
      <c r="D1323" s="116">
        <v>755</v>
      </c>
      <c r="E1323" s="116">
        <v>755</v>
      </c>
      <c r="F1323" s="116">
        <v>790</v>
      </c>
      <c r="G1323">
        <v>25536</v>
      </c>
      <c r="H1323" s="116"/>
      <c r="I1323" s="116"/>
      <c r="L1323" s="170">
        <v>43958</v>
      </c>
      <c r="M1323" s="116">
        <v>789.55</v>
      </c>
      <c r="N1323" s="116">
        <v>797.9</v>
      </c>
      <c r="O1323" s="116">
        <v>760</v>
      </c>
      <c r="P1323" s="116">
        <v>760</v>
      </c>
      <c r="Q1323" s="116">
        <v>789.55</v>
      </c>
      <c r="R1323">
        <v>470393</v>
      </c>
    </row>
    <row r="1324" spans="1:18" x14ac:dyDescent="0.25">
      <c r="A1324" s="170">
        <v>43959</v>
      </c>
      <c r="B1324" s="116">
        <v>818.75</v>
      </c>
      <c r="C1324" s="116">
        <v>773.85</v>
      </c>
      <c r="D1324" s="116">
        <v>758.2</v>
      </c>
      <c r="E1324" s="116">
        <v>799.9</v>
      </c>
      <c r="F1324" s="116">
        <v>773.85</v>
      </c>
      <c r="G1324">
        <v>35396</v>
      </c>
      <c r="H1324" s="116"/>
      <c r="I1324" s="116"/>
      <c r="L1324" s="170">
        <v>43959</v>
      </c>
      <c r="M1324" s="116">
        <v>771.5</v>
      </c>
      <c r="N1324" s="116">
        <v>818.8</v>
      </c>
      <c r="O1324" s="116">
        <v>752.2</v>
      </c>
      <c r="P1324" s="116">
        <v>800</v>
      </c>
      <c r="Q1324" s="116">
        <v>771.5</v>
      </c>
      <c r="R1324">
        <v>775128</v>
      </c>
    </row>
    <row r="1325" spans="1:18" x14ac:dyDescent="0.25">
      <c r="A1325" s="170">
        <v>43962</v>
      </c>
      <c r="B1325" s="116">
        <v>797</v>
      </c>
      <c r="C1325" s="116">
        <v>777.3</v>
      </c>
      <c r="D1325" s="116">
        <v>770.55</v>
      </c>
      <c r="E1325" s="116">
        <v>797</v>
      </c>
      <c r="F1325" s="116">
        <v>777.3</v>
      </c>
      <c r="G1325">
        <v>16316</v>
      </c>
      <c r="H1325" s="116"/>
      <c r="I1325" s="116"/>
      <c r="L1325" s="170">
        <v>43962</v>
      </c>
      <c r="M1325" s="116">
        <v>776.75</v>
      </c>
      <c r="N1325" s="116">
        <v>793</v>
      </c>
      <c r="O1325" s="116">
        <v>770.05</v>
      </c>
      <c r="P1325" s="116">
        <v>780</v>
      </c>
      <c r="Q1325" s="116">
        <v>776.75</v>
      </c>
      <c r="R1325">
        <v>212322</v>
      </c>
    </row>
    <row r="1326" spans="1:18" x14ac:dyDescent="0.25">
      <c r="A1326" s="170">
        <v>43963</v>
      </c>
      <c r="B1326" s="116">
        <v>801.45</v>
      </c>
      <c r="C1326" s="116">
        <v>783.65</v>
      </c>
      <c r="D1326" s="116">
        <v>762.65</v>
      </c>
      <c r="E1326" s="116">
        <v>784.45</v>
      </c>
      <c r="F1326" s="116">
        <v>783.65</v>
      </c>
      <c r="G1326">
        <v>12602</v>
      </c>
      <c r="H1326" s="116"/>
      <c r="I1326" s="116"/>
      <c r="L1326" s="170">
        <v>43963</v>
      </c>
      <c r="M1326" s="116">
        <v>785.15</v>
      </c>
      <c r="N1326" s="116">
        <v>805</v>
      </c>
      <c r="O1326" s="116">
        <v>762.65</v>
      </c>
      <c r="P1326" s="116">
        <v>778</v>
      </c>
      <c r="Q1326" s="116">
        <v>785.15</v>
      </c>
      <c r="R1326">
        <v>254500</v>
      </c>
    </row>
    <row r="1327" spans="1:18" x14ac:dyDescent="0.25">
      <c r="A1327" s="170">
        <v>43964</v>
      </c>
      <c r="B1327" s="116">
        <v>818</v>
      </c>
      <c r="C1327" s="116">
        <v>785.25</v>
      </c>
      <c r="D1327" s="116">
        <v>771.6</v>
      </c>
      <c r="E1327" s="116">
        <v>806.05</v>
      </c>
      <c r="F1327" s="116">
        <v>785.25</v>
      </c>
      <c r="G1327">
        <v>22722</v>
      </c>
      <c r="H1327" s="116"/>
      <c r="I1327" s="116"/>
      <c r="L1327" s="170">
        <v>43964</v>
      </c>
      <c r="M1327" s="116">
        <v>783.65</v>
      </c>
      <c r="N1327" s="116">
        <v>815</v>
      </c>
      <c r="O1327" s="116">
        <v>772</v>
      </c>
      <c r="P1327" s="116">
        <v>815</v>
      </c>
      <c r="Q1327" s="116">
        <v>783.65</v>
      </c>
      <c r="R1327">
        <v>542549</v>
      </c>
    </row>
    <row r="1328" spans="1:18" x14ac:dyDescent="0.25">
      <c r="A1328" s="170">
        <v>43965</v>
      </c>
      <c r="B1328" s="116">
        <v>807</v>
      </c>
      <c r="C1328" s="116">
        <v>771.85</v>
      </c>
      <c r="D1328" s="116">
        <v>758.45</v>
      </c>
      <c r="E1328" s="116">
        <v>807</v>
      </c>
      <c r="F1328" s="116">
        <v>771.85</v>
      </c>
      <c r="G1328">
        <v>20016</v>
      </c>
      <c r="H1328" s="116"/>
      <c r="I1328" s="116"/>
      <c r="L1328" s="170">
        <v>43965</v>
      </c>
      <c r="M1328" s="116">
        <v>771.95</v>
      </c>
      <c r="N1328" s="116">
        <v>782.9</v>
      </c>
      <c r="O1328" s="116">
        <v>759</v>
      </c>
      <c r="P1328" s="116">
        <v>780</v>
      </c>
      <c r="Q1328" s="116">
        <v>771.95</v>
      </c>
      <c r="R1328">
        <v>236706</v>
      </c>
    </row>
    <row r="1329" spans="1:18" x14ac:dyDescent="0.25">
      <c r="A1329" s="170">
        <v>43966</v>
      </c>
      <c r="B1329" s="116">
        <v>788.45</v>
      </c>
      <c r="C1329" s="116">
        <v>774.35</v>
      </c>
      <c r="D1329" s="116">
        <v>746</v>
      </c>
      <c r="E1329" s="116">
        <v>776.55</v>
      </c>
      <c r="F1329" s="116">
        <v>774.35</v>
      </c>
      <c r="G1329">
        <v>32007</v>
      </c>
      <c r="H1329" s="116"/>
      <c r="I1329" s="116"/>
      <c r="L1329" s="170">
        <v>43966</v>
      </c>
      <c r="M1329" s="116">
        <v>777.85</v>
      </c>
      <c r="N1329" s="116">
        <v>788.4</v>
      </c>
      <c r="O1329" s="116">
        <v>746</v>
      </c>
      <c r="P1329" s="116">
        <v>779.8</v>
      </c>
      <c r="Q1329" s="116">
        <v>777.85</v>
      </c>
      <c r="R1329">
        <v>557092</v>
      </c>
    </row>
    <row r="1330" spans="1:18" x14ac:dyDescent="0.25">
      <c r="A1330" s="170">
        <v>43969</v>
      </c>
      <c r="B1330" s="116">
        <v>790</v>
      </c>
      <c r="C1330" s="116">
        <v>762.3</v>
      </c>
      <c r="D1330" s="116">
        <v>760</v>
      </c>
      <c r="E1330" s="116">
        <v>790</v>
      </c>
      <c r="F1330" s="116">
        <v>762.3</v>
      </c>
      <c r="G1330">
        <v>12368</v>
      </c>
      <c r="H1330" s="116"/>
      <c r="I1330" s="116"/>
      <c r="L1330" s="170">
        <v>43969</v>
      </c>
      <c r="M1330" s="116">
        <v>763.2</v>
      </c>
      <c r="N1330" s="116">
        <v>784.65</v>
      </c>
      <c r="O1330" s="116">
        <v>759</v>
      </c>
      <c r="P1330" s="116">
        <v>780</v>
      </c>
      <c r="Q1330" s="116">
        <v>763.2</v>
      </c>
      <c r="R1330">
        <v>215961</v>
      </c>
    </row>
    <row r="1331" spans="1:18" x14ac:dyDescent="0.25">
      <c r="A1331" s="170">
        <v>43970</v>
      </c>
      <c r="B1331" s="116">
        <v>786.6</v>
      </c>
      <c r="C1331" s="116">
        <v>772.1</v>
      </c>
      <c r="D1331" s="116">
        <v>768.05</v>
      </c>
      <c r="E1331" s="116">
        <v>776</v>
      </c>
      <c r="F1331" s="116">
        <v>772.1</v>
      </c>
      <c r="G1331">
        <v>16689</v>
      </c>
      <c r="H1331" s="116"/>
      <c r="I1331" s="116"/>
      <c r="L1331" s="170">
        <v>43970</v>
      </c>
      <c r="M1331" s="116">
        <v>772.85</v>
      </c>
      <c r="N1331" s="116">
        <v>784.2</v>
      </c>
      <c r="O1331" s="116">
        <v>767.1</v>
      </c>
      <c r="P1331" s="116">
        <v>775</v>
      </c>
      <c r="Q1331" s="116">
        <v>772.85</v>
      </c>
      <c r="R1331">
        <v>272414</v>
      </c>
    </row>
    <row r="1332" spans="1:18" x14ac:dyDescent="0.25">
      <c r="A1332" s="170">
        <v>43971</v>
      </c>
      <c r="B1332" s="116">
        <v>791</v>
      </c>
      <c r="C1332" s="116">
        <v>785.55</v>
      </c>
      <c r="D1332" s="116">
        <v>764.35</v>
      </c>
      <c r="E1332" s="116">
        <v>788</v>
      </c>
      <c r="F1332" s="116">
        <v>785.55</v>
      </c>
      <c r="G1332">
        <v>141749</v>
      </c>
      <c r="H1332" s="116"/>
      <c r="I1332" s="116"/>
      <c r="L1332" s="170">
        <v>43971</v>
      </c>
      <c r="M1332" s="116">
        <v>787.5</v>
      </c>
      <c r="N1332" s="116">
        <v>791</v>
      </c>
      <c r="O1332" s="116">
        <v>763.9</v>
      </c>
      <c r="P1332" s="116">
        <v>775.9</v>
      </c>
      <c r="Q1332" s="116">
        <v>787.5</v>
      </c>
      <c r="R1332">
        <v>251512</v>
      </c>
    </row>
    <row r="1333" spans="1:18" x14ac:dyDescent="0.25">
      <c r="A1333" s="170">
        <v>43972</v>
      </c>
      <c r="B1333" s="116">
        <v>795</v>
      </c>
      <c r="C1333" s="116">
        <v>770.95</v>
      </c>
      <c r="D1333" s="116">
        <v>769.25</v>
      </c>
      <c r="E1333" s="116">
        <v>795</v>
      </c>
      <c r="F1333" s="116">
        <v>770.95</v>
      </c>
      <c r="G1333">
        <v>101248</v>
      </c>
      <c r="H1333" s="116"/>
      <c r="I1333" s="116"/>
      <c r="L1333" s="170">
        <v>43972</v>
      </c>
      <c r="M1333" s="116">
        <v>771.55</v>
      </c>
      <c r="N1333" s="116">
        <v>794.75</v>
      </c>
      <c r="O1333" s="116">
        <v>769.35</v>
      </c>
      <c r="P1333" s="116">
        <v>793</v>
      </c>
      <c r="Q1333" s="116">
        <v>771.55</v>
      </c>
      <c r="R1333">
        <v>285548</v>
      </c>
    </row>
    <row r="1334" spans="1:18" x14ac:dyDescent="0.25">
      <c r="A1334" s="170">
        <v>43973</v>
      </c>
      <c r="B1334" s="116">
        <v>786.1</v>
      </c>
      <c r="C1334" s="116">
        <v>774.4</v>
      </c>
      <c r="D1334" s="116">
        <v>767</v>
      </c>
      <c r="E1334" s="116">
        <v>776.9</v>
      </c>
      <c r="F1334" s="116">
        <v>774.4</v>
      </c>
      <c r="G1334">
        <v>81512</v>
      </c>
      <c r="H1334" s="116"/>
      <c r="I1334" s="116"/>
      <c r="L1334" s="170">
        <v>43973</v>
      </c>
      <c r="M1334" s="116">
        <v>775</v>
      </c>
      <c r="N1334" s="116">
        <v>786.5</v>
      </c>
      <c r="O1334" s="116">
        <v>766</v>
      </c>
      <c r="P1334" s="116">
        <v>766</v>
      </c>
      <c r="Q1334" s="116">
        <v>775</v>
      </c>
      <c r="R1334">
        <v>283314</v>
      </c>
    </row>
    <row r="1335" spans="1:18" x14ac:dyDescent="0.25">
      <c r="A1335" s="170">
        <v>43977</v>
      </c>
      <c r="B1335" s="116">
        <v>794.95</v>
      </c>
      <c r="C1335" s="116">
        <v>759.7</v>
      </c>
      <c r="D1335" s="116">
        <v>757</v>
      </c>
      <c r="E1335" s="116">
        <v>785</v>
      </c>
      <c r="F1335" s="116">
        <v>759.7</v>
      </c>
      <c r="G1335">
        <v>161248</v>
      </c>
      <c r="H1335" s="116"/>
      <c r="I1335" s="116"/>
      <c r="L1335" s="170">
        <v>43977</v>
      </c>
      <c r="M1335" s="116">
        <v>759.7</v>
      </c>
      <c r="N1335" s="116">
        <v>782.3</v>
      </c>
      <c r="O1335" s="116">
        <v>756.1</v>
      </c>
      <c r="P1335" s="116">
        <v>782.3</v>
      </c>
      <c r="Q1335" s="116">
        <v>759.7</v>
      </c>
      <c r="R1335">
        <v>271938</v>
      </c>
    </row>
    <row r="1336" spans="1:18" x14ac:dyDescent="0.25">
      <c r="A1336" s="170">
        <v>43978</v>
      </c>
      <c r="B1336" s="116">
        <v>764.4</v>
      </c>
      <c r="C1336" s="116">
        <v>750.2</v>
      </c>
      <c r="D1336" s="116">
        <v>740.6</v>
      </c>
      <c r="E1336" s="116">
        <v>762</v>
      </c>
      <c r="F1336" s="116">
        <v>750.2</v>
      </c>
      <c r="G1336">
        <v>78489</v>
      </c>
      <c r="H1336" s="116"/>
      <c r="I1336" s="116"/>
      <c r="L1336" s="170">
        <v>43978</v>
      </c>
      <c r="M1336" s="116">
        <v>751</v>
      </c>
      <c r="N1336" s="116">
        <v>765.3</v>
      </c>
      <c r="O1336" s="116">
        <v>740.1</v>
      </c>
      <c r="P1336" s="116">
        <v>760.05</v>
      </c>
      <c r="Q1336" s="116">
        <v>751</v>
      </c>
      <c r="R1336">
        <v>356030</v>
      </c>
    </row>
    <row r="1337" spans="1:18" x14ac:dyDescent="0.25">
      <c r="A1337" s="170">
        <v>43979</v>
      </c>
      <c r="B1337" s="116">
        <v>762</v>
      </c>
      <c r="C1337" s="116">
        <v>755.15</v>
      </c>
      <c r="D1337" s="116">
        <v>750</v>
      </c>
      <c r="E1337" s="116">
        <v>756</v>
      </c>
      <c r="F1337" s="116">
        <v>755.15</v>
      </c>
      <c r="G1337">
        <v>92995</v>
      </c>
      <c r="H1337" s="116"/>
      <c r="I1337" s="116"/>
      <c r="L1337" s="170">
        <v>43979</v>
      </c>
      <c r="M1337" s="116">
        <v>755.8</v>
      </c>
      <c r="N1337" s="116">
        <v>763.4</v>
      </c>
      <c r="O1337" s="116">
        <v>748.65</v>
      </c>
      <c r="P1337" s="116">
        <v>755</v>
      </c>
      <c r="Q1337" s="116">
        <v>755.8</v>
      </c>
      <c r="R1337">
        <v>283412</v>
      </c>
    </row>
    <row r="1338" spans="1:18" x14ac:dyDescent="0.25">
      <c r="A1338" s="170">
        <v>43980</v>
      </c>
      <c r="B1338" s="116">
        <v>774.55</v>
      </c>
      <c r="C1338" s="116">
        <v>764.55</v>
      </c>
      <c r="D1338" s="116">
        <v>751.05</v>
      </c>
      <c r="E1338" s="116">
        <v>755</v>
      </c>
      <c r="F1338" s="116">
        <v>764.55</v>
      </c>
      <c r="G1338">
        <v>61813</v>
      </c>
      <c r="H1338" s="116"/>
      <c r="I1338" s="116"/>
      <c r="L1338" s="170">
        <v>43980</v>
      </c>
      <c r="M1338" s="116">
        <v>764.9</v>
      </c>
      <c r="N1338" s="116">
        <v>774.7</v>
      </c>
      <c r="O1338" s="116">
        <v>750.5</v>
      </c>
      <c r="P1338" s="116">
        <v>750.5</v>
      </c>
      <c r="Q1338" s="116">
        <v>764.9</v>
      </c>
      <c r="R1338">
        <v>320034</v>
      </c>
    </row>
    <row r="1339" spans="1:18" x14ac:dyDescent="0.25">
      <c r="A1339" s="170">
        <v>43983</v>
      </c>
      <c r="B1339" s="116">
        <v>795</v>
      </c>
      <c r="C1339" s="116">
        <v>778.65</v>
      </c>
      <c r="D1339" s="116">
        <v>768.6</v>
      </c>
      <c r="E1339" s="116">
        <v>775</v>
      </c>
      <c r="F1339" s="116">
        <v>778.65</v>
      </c>
      <c r="G1339">
        <v>113172</v>
      </c>
      <c r="H1339" s="116"/>
      <c r="I1339" s="116"/>
      <c r="L1339" s="170">
        <v>43983</v>
      </c>
      <c r="M1339" s="116">
        <v>778.9</v>
      </c>
      <c r="N1339" s="116">
        <v>794.9</v>
      </c>
      <c r="O1339" s="116">
        <v>767.35</v>
      </c>
      <c r="P1339" s="116">
        <v>775</v>
      </c>
      <c r="Q1339" s="116">
        <v>778.9</v>
      </c>
      <c r="R1339">
        <v>418754</v>
      </c>
    </row>
    <row r="1340" spans="1:18" x14ac:dyDescent="0.25">
      <c r="A1340" s="170">
        <v>43984</v>
      </c>
      <c r="B1340" s="116">
        <v>934.05</v>
      </c>
      <c r="C1340" s="116">
        <v>820.05</v>
      </c>
      <c r="D1340" s="116">
        <v>781</v>
      </c>
      <c r="E1340" s="116">
        <v>781</v>
      </c>
      <c r="F1340" s="116">
        <v>820.05</v>
      </c>
      <c r="G1340">
        <v>105375</v>
      </c>
      <c r="H1340" s="116"/>
      <c r="I1340" s="116"/>
      <c r="L1340" s="170">
        <v>43984</v>
      </c>
      <c r="M1340" s="116">
        <v>819.6</v>
      </c>
      <c r="N1340" s="116">
        <v>854.8</v>
      </c>
      <c r="O1340" s="116">
        <v>780</v>
      </c>
      <c r="P1340" s="116">
        <v>782</v>
      </c>
      <c r="Q1340" s="116">
        <v>819.6</v>
      </c>
      <c r="R1340">
        <v>2047233</v>
      </c>
    </row>
    <row r="1341" spans="1:18" x14ac:dyDescent="0.25">
      <c r="A1341" s="170">
        <v>43985</v>
      </c>
      <c r="B1341" s="116">
        <v>844.6</v>
      </c>
      <c r="C1341" s="116">
        <v>817.1</v>
      </c>
      <c r="D1341" s="116">
        <v>810</v>
      </c>
      <c r="E1341" s="116">
        <v>825.1</v>
      </c>
      <c r="F1341" s="116">
        <v>817.1</v>
      </c>
      <c r="G1341">
        <v>174866</v>
      </c>
      <c r="H1341" s="116"/>
      <c r="I1341" s="116"/>
      <c r="L1341" s="170">
        <v>43985</v>
      </c>
      <c r="M1341" s="116">
        <v>817</v>
      </c>
      <c r="N1341" s="116">
        <v>844.95</v>
      </c>
      <c r="O1341" s="116">
        <v>810</v>
      </c>
      <c r="P1341" s="116">
        <v>827.95</v>
      </c>
      <c r="Q1341" s="116">
        <v>817</v>
      </c>
      <c r="R1341">
        <v>957875</v>
      </c>
    </row>
    <row r="1342" spans="1:18" x14ac:dyDescent="0.25">
      <c r="A1342" s="170">
        <v>43986</v>
      </c>
      <c r="B1342" s="116">
        <v>837.75</v>
      </c>
      <c r="C1342" s="116">
        <v>823.05</v>
      </c>
      <c r="D1342" s="116">
        <v>811.25</v>
      </c>
      <c r="E1342" s="116">
        <v>825</v>
      </c>
      <c r="F1342" s="116">
        <v>823.05</v>
      </c>
      <c r="G1342">
        <v>145030</v>
      </c>
      <c r="H1342" s="116"/>
      <c r="I1342" s="116"/>
      <c r="L1342" s="170">
        <v>43986</v>
      </c>
      <c r="M1342" s="116">
        <v>823.05</v>
      </c>
      <c r="N1342" s="116">
        <v>837.9</v>
      </c>
      <c r="O1342" s="116">
        <v>811</v>
      </c>
      <c r="P1342" s="116">
        <v>821</v>
      </c>
      <c r="Q1342" s="116">
        <v>823.05</v>
      </c>
      <c r="R1342">
        <v>720571</v>
      </c>
    </row>
    <row r="1343" spans="1:18" x14ac:dyDescent="0.25">
      <c r="A1343" s="170">
        <v>43987</v>
      </c>
      <c r="B1343" s="116">
        <v>845</v>
      </c>
      <c r="C1343" s="116">
        <v>837.75</v>
      </c>
      <c r="D1343" s="116">
        <v>827</v>
      </c>
      <c r="E1343" s="116">
        <v>827.7</v>
      </c>
      <c r="F1343" s="116">
        <v>837.75</v>
      </c>
      <c r="G1343">
        <v>54984</v>
      </c>
      <c r="H1343" s="116"/>
      <c r="I1343" s="116"/>
      <c r="L1343" s="170">
        <v>43987</v>
      </c>
      <c r="M1343" s="116">
        <v>837.8</v>
      </c>
      <c r="N1343" s="116">
        <v>845</v>
      </c>
      <c r="O1343" s="116">
        <v>826.05</v>
      </c>
      <c r="P1343" s="116">
        <v>834.5</v>
      </c>
      <c r="Q1343" s="116">
        <v>837.8</v>
      </c>
      <c r="R1343">
        <v>706471</v>
      </c>
    </row>
    <row r="1344" spans="1:18" x14ac:dyDescent="0.25">
      <c r="A1344" s="170">
        <v>43990</v>
      </c>
      <c r="B1344" s="116">
        <v>846</v>
      </c>
      <c r="C1344" s="116">
        <v>829.2</v>
      </c>
      <c r="D1344" s="116">
        <v>826</v>
      </c>
      <c r="E1344" s="116">
        <v>845.45</v>
      </c>
      <c r="F1344" s="116">
        <v>829.2</v>
      </c>
      <c r="G1344">
        <v>92300</v>
      </c>
      <c r="H1344" s="116"/>
      <c r="I1344" s="116"/>
      <c r="L1344" s="170">
        <v>43990</v>
      </c>
      <c r="M1344" s="116">
        <v>829.1</v>
      </c>
      <c r="N1344" s="116">
        <v>845.35</v>
      </c>
      <c r="O1344" s="116">
        <v>826.1</v>
      </c>
      <c r="P1344" s="116">
        <v>844.7</v>
      </c>
      <c r="Q1344" s="116">
        <v>829.1</v>
      </c>
      <c r="R1344">
        <v>400621</v>
      </c>
    </row>
    <row r="1345" spans="1:18" x14ac:dyDescent="0.25">
      <c r="A1345" s="170">
        <v>43991</v>
      </c>
      <c r="B1345" s="116">
        <v>862.65</v>
      </c>
      <c r="C1345" s="116">
        <v>837.65</v>
      </c>
      <c r="D1345" s="116">
        <v>827.45</v>
      </c>
      <c r="E1345" s="116">
        <v>829</v>
      </c>
      <c r="F1345" s="116">
        <v>837.65</v>
      </c>
      <c r="G1345">
        <v>57555</v>
      </c>
      <c r="H1345" s="116"/>
      <c r="I1345" s="116"/>
      <c r="L1345" s="170">
        <v>43991</v>
      </c>
      <c r="M1345" s="116">
        <v>837.85</v>
      </c>
      <c r="N1345" s="116">
        <v>863.45</v>
      </c>
      <c r="O1345" s="116">
        <v>827</v>
      </c>
      <c r="P1345" s="116">
        <v>832</v>
      </c>
      <c r="Q1345" s="116">
        <v>837.85</v>
      </c>
      <c r="R1345">
        <v>1336384</v>
      </c>
    </row>
    <row r="1346" spans="1:18" x14ac:dyDescent="0.25">
      <c r="A1346" s="170">
        <v>43992</v>
      </c>
      <c r="B1346" s="116">
        <v>889</v>
      </c>
      <c r="C1346" s="116">
        <v>883.45</v>
      </c>
      <c r="D1346" s="116">
        <v>830.4</v>
      </c>
      <c r="E1346" s="116">
        <v>847.7</v>
      </c>
      <c r="F1346" s="116">
        <v>883.45</v>
      </c>
      <c r="G1346">
        <v>85923</v>
      </c>
      <c r="H1346" s="116"/>
      <c r="I1346" s="116"/>
      <c r="L1346" s="170">
        <v>43992</v>
      </c>
      <c r="M1346" s="116">
        <v>884</v>
      </c>
      <c r="N1346" s="116">
        <v>890</v>
      </c>
      <c r="O1346" s="116">
        <v>830</v>
      </c>
      <c r="P1346" s="116">
        <v>844</v>
      </c>
      <c r="Q1346" s="116">
        <v>884</v>
      </c>
      <c r="R1346">
        <v>1146853</v>
      </c>
    </row>
    <row r="1347" spans="1:18" x14ac:dyDescent="0.25">
      <c r="A1347" s="170">
        <v>43993</v>
      </c>
      <c r="B1347" s="116">
        <v>942.65</v>
      </c>
      <c r="C1347" s="116">
        <v>887.15</v>
      </c>
      <c r="D1347" s="116">
        <v>879</v>
      </c>
      <c r="E1347" s="116">
        <v>909.95</v>
      </c>
      <c r="F1347" s="116">
        <v>887.15</v>
      </c>
      <c r="G1347">
        <v>197388</v>
      </c>
      <c r="H1347" s="116"/>
      <c r="I1347" s="116"/>
      <c r="L1347" s="170">
        <v>43993</v>
      </c>
      <c r="M1347" s="116">
        <v>889.55</v>
      </c>
      <c r="N1347" s="116">
        <v>943</v>
      </c>
      <c r="O1347" s="116">
        <v>878.05</v>
      </c>
      <c r="P1347" s="116">
        <v>906</v>
      </c>
      <c r="Q1347" s="116">
        <v>889.55</v>
      </c>
      <c r="R1347">
        <v>3510038</v>
      </c>
    </row>
    <row r="1348" spans="1:18" x14ac:dyDescent="0.25">
      <c r="A1348" s="170">
        <v>43994</v>
      </c>
      <c r="B1348" s="116">
        <v>894.95</v>
      </c>
      <c r="C1348" s="116">
        <v>889.2</v>
      </c>
      <c r="D1348" s="116">
        <v>845</v>
      </c>
      <c r="E1348" s="116">
        <v>862</v>
      </c>
      <c r="F1348" s="116">
        <v>889.2</v>
      </c>
      <c r="G1348">
        <v>41230</v>
      </c>
      <c r="H1348" s="116"/>
      <c r="I1348" s="116"/>
      <c r="L1348" s="170">
        <v>43994</v>
      </c>
      <c r="M1348" s="116">
        <v>888.9</v>
      </c>
      <c r="N1348" s="116">
        <v>895.15</v>
      </c>
      <c r="O1348" s="116">
        <v>847</v>
      </c>
      <c r="P1348" s="116">
        <v>847</v>
      </c>
      <c r="Q1348" s="116">
        <v>888.9</v>
      </c>
      <c r="R1348">
        <v>542228</v>
      </c>
    </row>
    <row r="1349" spans="1:18" x14ac:dyDescent="0.25">
      <c r="A1349" s="170">
        <v>43997</v>
      </c>
      <c r="B1349" s="116">
        <v>906.05</v>
      </c>
      <c r="C1349" s="116">
        <v>886.4</v>
      </c>
      <c r="D1349" s="116">
        <v>875.25</v>
      </c>
      <c r="E1349" s="116">
        <v>890</v>
      </c>
      <c r="F1349" s="116">
        <v>886.4</v>
      </c>
      <c r="G1349">
        <v>94609</v>
      </c>
      <c r="H1349" s="116"/>
      <c r="I1349" s="116"/>
      <c r="L1349" s="170">
        <v>43997</v>
      </c>
      <c r="M1349" s="116">
        <v>886.75</v>
      </c>
      <c r="N1349" s="116">
        <v>906</v>
      </c>
      <c r="O1349" s="116">
        <v>875</v>
      </c>
      <c r="P1349" s="116">
        <v>888.95</v>
      </c>
      <c r="Q1349" s="116">
        <v>886.75</v>
      </c>
      <c r="R1349">
        <v>560583</v>
      </c>
    </row>
    <row r="1350" spans="1:18" x14ac:dyDescent="0.25">
      <c r="A1350" s="170">
        <v>43998</v>
      </c>
      <c r="B1350" s="116">
        <v>909</v>
      </c>
      <c r="C1350" s="116">
        <v>874.55</v>
      </c>
      <c r="D1350" s="116">
        <v>855</v>
      </c>
      <c r="E1350" s="116">
        <v>908</v>
      </c>
      <c r="F1350" s="116">
        <v>874.55</v>
      </c>
      <c r="G1350">
        <v>102580</v>
      </c>
      <c r="H1350" s="116"/>
      <c r="I1350" s="116"/>
      <c r="L1350" s="170">
        <v>43998</v>
      </c>
      <c r="M1350" s="116">
        <v>875.55</v>
      </c>
      <c r="N1350" s="116">
        <v>903.9</v>
      </c>
      <c r="O1350" s="116">
        <v>855</v>
      </c>
      <c r="P1350" s="116">
        <v>902</v>
      </c>
      <c r="Q1350" s="116">
        <v>875.55</v>
      </c>
      <c r="R1350">
        <v>449993</v>
      </c>
    </row>
    <row r="1351" spans="1:18" x14ac:dyDescent="0.25">
      <c r="A1351" s="170">
        <v>43999</v>
      </c>
      <c r="B1351" s="116">
        <v>886.75</v>
      </c>
      <c r="C1351" s="116">
        <v>866.3</v>
      </c>
      <c r="D1351" s="116">
        <v>862.15</v>
      </c>
      <c r="E1351" s="116">
        <v>875</v>
      </c>
      <c r="F1351" s="116">
        <v>866.3</v>
      </c>
      <c r="G1351">
        <v>26567</v>
      </c>
      <c r="H1351" s="116"/>
      <c r="I1351" s="116"/>
      <c r="L1351" s="170">
        <v>43999</v>
      </c>
      <c r="M1351" s="116">
        <v>867</v>
      </c>
      <c r="N1351" s="116">
        <v>886.9</v>
      </c>
      <c r="O1351" s="116">
        <v>862.95</v>
      </c>
      <c r="P1351" s="116">
        <v>869.95</v>
      </c>
      <c r="Q1351" s="116">
        <v>867</v>
      </c>
      <c r="R1351">
        <v>253580</v>
      </c>
    </row>
    <row r="1352" spans="1:18" x14ac:dyDescent="0.25">
      <c r="A1352" s="170">
        <v>44000</v>
      </c>
      <c r="B1352" s="116">
        <v>882.15</v>
      </c>
      <c r="C1352" s="116">
        <v>874.95</v>
      </c>
      <c r="D1352" s="116">
        <v>868.45</v>
      </c>
      <c r="E1352" s="116">
        <v>869.9</v>
      </c>
      <c r="F1352" s="116">
        <v>874.95</v>
      </c>
      <c r="G1352">
        <v>58431</v>
      </c>
      <c r="H1352" s="116"/>
      <c r="I1352" s="116"/>
      <c r="L1352" s="170">
        <v>44000</v>
      </c>
      <c r="M1352" s="116">
        <v>874.8</v>
      </c>
      <c r="N1352" s="116">
        <v>883</v>
      </c>
      <c r="O1352" s="116">
        <v>867.5</v>
      </c>
      <c r="P1352" s="116">
        <v>868</v>
      </c>
      <c r="Q1352" s="116">
        <v>874.8</v>
      </c>
      <c r="R1352">
        <v>293341</v>
      </c>
    </row>
    <row r="1353" spans="1:18" x14ac:dyDescent="0.25">
      <c r="A1353" s="170">
        <v>44001</v>
      </c>
      <c r="B1353" s="116">
        <v>891.95</v>
      </c>
      <c r="C1353" s="116">
        <v>875.1</v>
      </c>
      <c r="D1353" s="116">
        <v>869.5</v>
      </c>
      <c r="E1353" s="116">
        <v>884.8</v>
      </c>
      <c r="F1353" s="116">
        <v>875.1</v>
      </c>
      <c r="G1353">
        <v>85230</v>
      </c>
      <c r="H1353" s="116"/>
      <c r="I1353" s="116"/>
      <c r="L1353" s="170">
        <v>44001</v>
      </c>
      <c r="M1353" s="116">
        <v>874.9</v>
      </c>
      <c r="N1353" s="116">
        <v>892.3</v>
      </c>
      <c r="O1353" s="116">
        <v>869.15</v>
      </c>
      <c r="P1353" s="116">
        <v>876.9</v>
      </c>
      <c r="Q1353" s="116">
        <v>874.9</v>
      </c>
      <c r="R1353">
        <v>361337</v>
      </c>
    </row>
    <row r="1354" spans="1:18" x14ac:dyDescent="0.25">
      <c r="A1354" s="170">
        <v>44004</v>
      </c>
      <c r="B1354" s="116">
        <v>887.15</v>
      </c>
      <c r="C1354" s="116">
        <v>877.05</v>
      </c>
      <c r="D1354" s="116">
        <v>870.05</v>
      </c>
      <c r="E1354" s="116">
        <v>870.05</v>
      </c>
      <c r="F1354" s="116">
        <v>877.05</v>
      </c>
      <c r="G1354">
        <v>86465</v>
      </c>
      <c r="H1354" s="116"/>
      <c r="I1354" s="116"/>
      <c r="L1354" s="170">
        <v>44004</v>
      </c>
      <c r="M1354" s="116">
        <v>877.95</v>
      </c>
      <c r="N1354" s="116">
        <v>887.9</v>
      </c>
      <c r="O1354" s="116">
        <v>872.8</v>
      </c>
      <c r="P1354" s="116">
        <v>877.95</v>
      </c>
      <c r="Q1354" s="116">
        <v>877.95</v>
      </c>
      <c r="R1354">
        <v>237176</v>
      </c>
    </row>
    <row r="1355" spans="1:18" x14ac:dyDescent="0.25">
      <c r="A1355" s="170">
        <v>44005</v>
      </c>
      <c r="B1355" s="116">
        <v>901.1</v>
      </c>
      <c r="C1355" s="116">
        <v>882.4</v>
      </c>
      <c r="D1355" s="116">
        <v>877</v>
      </c>
      <c r="E1355" s="116">
        <v>878</v>
      </c>
      <c r="F1355" s="116">
        <v>882.4</v>
      </c>
      <c r="G1355">
        <v>87054</v>
      </c>
      <c r="H1355" s="116"/>
      <c r="I1355" s="116"/>
      <c r="L1355" s="170">
        <v>44005</v>
      </c>
      <c r="M1355" s="116">
        <v>881.65</v>
      </c>
      <c r="N1355" s="116">
        <v>901.9</v>
      </c>
      <c r="O1355" s="116">
        <v>877</v>
      </c>
      <c r="P1355" s="116">
        <v>877.95</v>
      </c>
      <c r="Q1355" s="116">
        <v>881.65</v>
      </c>
      <c r="R1355">
        <v>636717</v>
      </c>
    </row>
    <row r="1356" spans="1:18" x14ac:dyDescent="0.25">
      <c r="A1356" s="170">
        <v>44006</v>
      </c>
      <c r="B1356" s="116">
        <v>892.4</v>
      </c>
      <c r="C1356" s="116">
        <v>872</v>
      </c>
      <c r="D1356" s="116">
        <v>868.4</v>
      </c>
      <c r="E1356" s="116">
        <v>888</v>
      </c>
      <c r="F1356" s="116">
        <v>872</v>
      </c>
      <c r="G1356">
        <v>24084</v>
      </c>
      <c r="H1356" s="116"/>
      <c r="I1356" s="116"/>
      <c r="L1356" s="170">
        <v>44006</v>
      </c>
      <c r="M1356" s="116">
        <v>873.05</v>
      </c>
      <c r="N1356" s="116">
        <v>892</v>
      </c>
      <c r="O1356" s="116">
        <v>868.6</v>
      </c>
      <c r="P1356" s="116">
        <v>884</v>
      </c>
      <c r="Q1356" s="116">
        <v>873.05</v>
      </c>
      <c r="R1356">
        <v>250930</v>
      </c>
    </row>
    <row r="1357" spans="1:18" x14ac:dyDescent="0.25">
      <c r="A1357" s="170">
        <v>44007</v>
      </c>
      <c r="B1357" s="116">
        <v>881.4</v>
      </c>
      <c r="C1357" s="116">
        <v>868.15</v>
      </c>
      <c r="D1357" s="116">
        <v>864.3</v>
      </c>
      <c r="E1357" s="116">
        <v>865</v>
      </c>
      <c r="F1357" s="116">
        <v>868.15</v>
      </c>
      <c r="G1357">
        <v>80493</v>
      </c>
      <c r="H1357" s="116"/>
      <c r="I1357" s="116"/>
      <c r="L1357" s="170">
        <v>44007</v>
      </c>
      <c r="M1357" s="116">
        <v>868.65</v>
      </c>
      <c r="N1357" s="116">
        <v>881.65</v>
      </c>
      <c r="O1357" s="116">
        <v>863</v>
      </c>
      <c r="P1357" s="116">
        <v>870</v>
      </c>
      <c r="Q1357" s="116">
        <v>868.65</v>
      </c>
      <c r="R1357">
        <v>218018</v>
      </c>
    </row>
    <row r="1358" spans="1:18" x14ac:dyDescent="0.25">
      <c r="A1358" s="170">
        <v>44008</v>
      </c>
      <c r="B1358" s="116">
        <v>916.7</v>
      </c>
      <c r="C1358" s="116">
        <v>900.2</v>
      </c>
      <c r="D1358" s="116">
        <v>872.9</v>
      </c>
      <c r="E1358" s="116">
        <v>880</v>
      </c>
      <c r="F1358" s="116">
        <v>900.2</v>
      </c>
      <c r="G1358">
        <v>151301</v>
      </c>
      <c r="H1358" s="116"/>
      <c r="I1358" s="116"/>
      <c r="L1358" s="170">
        <v>44008</v>
      </c>
      <c r="M1358" s="116">
        <v>901</v>
      </c>
      <c r="N1358" s="116">
        <v>917</v>
      </c>
      <c r="O1358" s="116">
        <v>872.1</v>
      </c>
      <c r="P1358" s="116">
        <v>874</v>
      </c>
      <c r="Q1358" s="116">
        <v>901</v>
      </c>
      <c r="R1358">
        <v>1378037</v>
      </c>
    </row>
    <row r="1359" spans="1:18" x14ac:dyDescent="0.25">
      <c r="A1359" s="170">
        <v>44011</v>
      </c>
      <c r="B1359" s="116">
        <v>909.35</v>
      </c>
      <c r="C1359" s="116">
        <v>897.7</v>
      </c>
      <c r="D1359" s="116">
        <v>880.2</v>
      </c>
      <c r="E1359" s="116">
        <v>909</v>
      </c>
      <c r="F1359" s="116">
        <v>897.7</v>
      </c>
      <c r="G1359">
        <v>51035</v>
      </c>
      <c r="H1359" s="116"/>
      <c r="I1359" s="116"/>
      <c r="L1359" s="170">
        <v>44011</v>
      </c>
      <c r="M1359" s="116">
        <v>898.35</v>
      </c>
      <c r="N1359" s="116">
        <v>910</v>
      </c>
      <c r="O1359" s="116">
        <v>879.75</v>
      </c>
      <c r="P1359" s="116">
        <v>887.1</v>
      </c>
      <c r="Q1359" s="116">
        <v>898.35</v>
      </c>
      <c r="R1359">
        <v>563292</v>
      </c>
    </row>
    <row r="1360" spans="1:18" x14ac:dyDescent="0.25">
      <c r="A1360" s="170">
        <v>44012</v>
      </c>
      <c r="B1360" s="116">
        <v>920.85</v>
      </c>
      <c r="C1360" s="116">
        <v>897.5</v>
      </c>
      <c r="D1360" s="116">
        <v>893</v>
      </c>
      <c r="E1360" s="116">
        <v>907.2</v>
      </c>
      <c r="F1360" s="116">
        <v>897.5</v>
      </c>
      <c r="G1360">
        <v>75777</v>
      </c>
      <c r="H1360" s="116"/>
      <c r="I1360" s="116"/>
      <c r="L1360" s="170">
        <v>44012</v>
      </c>
      <c r="M1360" s="116">
        <v>897.3</v>
      </c>
      <c r="N1360" s="116">
        <v>920.9</v>
      </c>
      <c r="O1360" s="116">
        <v>893</v>
      </c>
      <c r="P1360" s="116">
        <v>905</v>
      </c>
      <c r="Q1360" s="116">
        <v>897.3</v>
      </c>
      <c r="R1360">
        <v>1001089</v>
      </c>
    </row>
    <row r="1361" spans="1:18" x14ac:dyDescent="0.25">
      <c r="A1361" s="170">
        <v>44013</v>
      </c>
      <c r="B1361" s="116">
        <v>910</v>
      </c>
      <c r="C1361" s="116">
        <v>901.9</v>
      </c>
      <c r="D1361" s="116">
        <v>897</v>
      </c>
      <c r="E1361" s="116">
        <v>904.5</v>
      </c>
      <c r="F1361" s="116">
        <v>901.9</v>
      </c>
      <c r="G1361">
        <v>72829</v>
      </c>
      <c r="H1361" s="116"/>
      <c r="I1361" s="116"/>
      <c r="L1361" s="170">
        <v>44013</v>
      </c>
      <c r="M1361" s="116">
        <v>902.2</v>
      </c>
      <c r="N1361" s="116">
        <v>910</v>
      </c>
      <c r="O1361" s="116">
        <v>897</v>
      </c>
      <c r="P1361" s="116">
        <v>904</v>
      </c>
      <c r="Q1361" s="116">
        <v>902.2</v>
      </c>
      <c r="R1361">
        <v>305834</v>
      </c>
    </row>
    <row r="1362" spans="1:18" x14ac:dyDescent="0.25">
      <c r="A1362" s="170">
        <v>44014</v>
      </c>
      <c r="B1362" s="116">
        <v>926</v>
      </c>
      <c r="C1362" s="116">
        <v>910.85</v>
      </c>
      <c r="D1362" s="116">
        <v>907.3</v>
      </c>
      <c r="E1362" s="116">
        <v>913</v>
      </c>
      <c r="F1362" s="116">
        <v>910.85</v>
      </c>
      <c r="G1362">
        <v>37704</v>
      </c>
      <c r="H1362" s="116"/>
      <c r="I1362" s="116"/>
      <c r="L1362" s="170">
        <v>44014</v>
      </c>
      <c r="M1362" s="116">
        <v>911.05</v>
      </c>
      <c r="N1362" s="116">
        <v>926</v>
      </c>
      <c r="O1362" s="116">
        <v>903.35</v>
      </c>
      <c r="P1362" s="116">
        <v>903.35</v>
      </c>
      <c r="Q1362" s="116">
        <v>911.05</v>
      </c>
      <c r="R1362">
        <v>827176</v>
      </c>
    </row>
    <row r="1363" spans="1:18" x14ac:dyDescent="0.25">
      <c r="A1363" s="170">
        <v>44015</v>
      </c>
      <c r="B1363" s="116">
        <v>920</v>
      </c>
      <c r="C1363" s="116">
        <v>910.7</v>
      </c>
      <c r="D1363" s="116">
        <v>908</v>
      </c>
      <c r="E1363" s="116">
        <v>920</v>
      </c>
      <c r="F1363" s="116">
        <v>910.7</v>
      </c>
      <c r="G1363">
        <v>42706</v>
      </c>
      <c r="H1363" s="116"/>
      <c r="I1363" s="116"/>
      <c r="L1363" s="170">
        <v>44015</v>
      </c>
      <c r="M1363" s="116">
        <v>910.2</v>
      </c>
      <c r="N1363" s="116">
        <v>920.45</v>
      </c>
      <c r="O1363" s="116">
        <v>908</v>
      </c>
      <c r="P1363" s="116">
        <v>918.7</v>
      </c>
      <c r="Q1363" s="116">
        <v>910.2</v>
      </c>
      <c r="R1363">
        <v>263763</v>
      </c>
    </row>
    <row r="1364" spans="1:18" x14ac:dyDescent="0.25">
      <c r="A1364" s="170">
        <v>44018</v>
      </c>
      <c r="B1364" s="116">
        <v>926.25</v>
      </c>
      <c r="C1364" s="116">
        <v>916.2</v>
      </c>
      <c r="D1364" s="116">
        <v>909.8</v>
      </c>
      <c r="E1364" s="116">
        <v>917.5</v>
      </c>
      <c r="F1364" s="116">
        <v>916.2</v>
      </c>
      <c r="G1364">
        <v>79734</v>
      </c>
      <c r="H1364" s="116"/>
      <c r="I1364" s="116"/>
      <c r="L1364" s="170">
        <v>44018</v>
      </c>
      <c r="M1364" s="116">
        <v>917.05</v>
      </c>
      <c r="N1364" s="116">
        <v>927</v>
      </c>
      <c r="O1364" s="116">
        <v>909</v>
      </c>
      <c r="P1364" s="116">
        <v>918.8</v>
      </c>
      <c r="Q1364" s="116">
        <v>917.05</v>
      </c>
      <c r="R1364">
        <v>445276</v>
      </c>
    </row>
    <row r="1365" spans="1:18" x14ac:dyDescent="0.25">
      <c r="A1365" s="170">
        <v>44019</v>
      </c>
      <c r="B1365" s="116">
        <v>932</v>
      </c>
      <c r="C1365" s="116">
        <v>919.4</v>
      </c>
      <c r="D1365" s="116">
        <v>917</v>
      </c>
      <c r="E1365" s="116">
        <v>917</v>
      </c>
      <c r="F1365" s="116">
        <v>919.4</v>
      </c>
      <c r="G1365">
        <v>63836</v>
      </c>
      <c r="H1365" s="116"/>
      <c r="I1365" s="116"/>
      <c r="L1365" s="170">
        <v>44019</v>
      </c>
      <c r="M1365" s="116">
        <v>919.35</v>
      </c>
      <c r="N1365" s="116">
        <v>931.95</v>
      </c>
      <c r="O1365" s="116">
        <v>917.1</v>
      </c>
      <c r="P1365" s="116">
        <v>918</v>
      </c>
      <c r="Q1365" s="116">
        <v>919.35</v>
      </c>
      <c r="R1365">
        <v>447141</v>
      </c>
    </row>
    <row r="1366" spans="1:18" x14ac:dyDescent="0.25">
      <c r="A1366" s="170">
        <v>44020</v>
      </c>
      <c r="B1366" s="116">
        <v>934.4</v>
      </c>
      <c r="C1366" s="116">
        <v>923.05</v>
      </c>
      <c r="D1366" s="116">
        <v>919.4</v>
      </c>
      <c r="E1366" s="116">
        <v>926</v>
      </c>
      <c r="F1366" s="116">
        <v>923.05</v>
      </c>
      <c r="G1366">
        <v>53104</v>
      </c>
      <c r="H1366" s="116"/>
      <c r="I1366" s="116"/>
      <c r="L1366" s="170">
        <v>44020</v>
      </c>
      <c r="M1366" s="116">
        <v>923.65</v>
      </c>
      <c r="N1366" s="116">
        <v>934.65</v>
      </c>
      <c r="O1366" s="116">
        <v>920</v>
      </c>
      <c r="P1366" s="116">
        <v>924</v>
      </c>
      <c r="Q1366" s="116">
        <v>923.65</v>
      </c>
      <c r="R1366">
        <v>363907</v>
      </c>
    </row>
    <row r="1367" spans="1:18" x14ac:dyDescent="0.25">
      <c r="A1367" s="170">
        <v>44021</v>
      </c>
      <c r="B1367" s="116">
        <v>934</v>
      </c>
      <c r="C1367" s="116">
        <v>926.1</v>
      </c>
      <c r="D1367" s="116">
        <v>920.15</v>
      </c>
      <c r="E1367" s="116">
        <v>920.15</v>
      </c>
      <c r="F1367" s="116">
        <v>926.1</v>
      </c>
      <c r="G1367">
        <v>42804</v>
      </c>
      <c r="H1367" s="116"/>
      <c r="I1367" s="116"/>
      <c r="L1367" s="170">
        <v>44021</v>
      </c>
      <c r="M1367" s="116">
        <v>926.45</v>
      </c>
      <c r="N1367" s="116">
        <v>934</v>
      </c>
      <c r="O1367" s="116">
        <v>922</v>
      </c>
      <c r="P1367" s="116">
        <v>927.9</v>
      </c>
      <c r="Q1367" s="116">
        <v>926.45</v>
      </c>
      <c r="R1367">
        <v>283613</v>
      </c>
    </row>
    <row r="1368" spans="1:18" x14ac:dyDescent="0.25">
      <c r="A1368" s="170">
        <v>44022</v>
      </c>
      <c r="B1368" s="116">
        <v>942.65</v>
      </c>
      <c r="C1368" s="116">
        <v>928.4</v>
      </c>
      <c r="D1368" s="116">
        <v>922.55</v>
      </c>
      <c r="E1368" s="116">
        <v>935</v>
      </c>
      <c r="F1368" s="116">
        <v>928.4</v>
      </c>
      <c r="G1368">
        <v>84900</v>
      </c>
      <c r="H1368" s="116"/>
      <c r="I1368" s="116"/>
      <c r="L1368" s="170">
        <v>44022</v>
      </c>
      <c r="M1368" s="116">
        <v>928.5</v>
      </c>
      <c r="N1368" s="116">
        <v>941.15</v>
      </c>
      <c r="O1368" s="116">
        <v>922.2</v>
      </c>
      <c r="P1368" s="116">
        <v>929.9</v>
      </c>
      <c r="Q1368" s="116">
        <v>928.5</v>
      </c>
      <c r="R1368">
        <v>462591</v>
      </c>
    </row>
    <row r="1369" spans="1:18" x14ac:dyDescent="0.25">
      <c r="A1369" s="170">
        <v>44025</v>
      </c>
      <c r="B1369" s="116">
        <v>924.9</v>
      </c>
      <c r="C1369" s="116">
        <v>902.8</v>
      </c>
      <c r="D1369" s="116">
        <v>900.05</v>
      </c>
      <c r="E1369" s="116">
        <v>924.9</v>
      </c>
      <c r="F1369" s="116">
        <v>902.8</v>
      </c>
      <c r="G1369">
        <v>77873</v>
      </c>
      <c r="H1369" s="116"/>
      <c r="I1369" s="116"/>
      <c r="L1369" s="170">
        <v>44025</v>
      </c>
      <c r="M1369" s="116">
        <v>902.8</v>
      </c>
      <c r="N1369" s="116">
        <v>924</v>
      </c>
      <c r="O1369" s="116">
        <v>900</v>
      </c>
      <c r="P1369" s="116">
        <v>923.7</v>
      </c>
      <c r="Q1369" s="116">
        <v>902.8</v>
      </c>
      <c r="R1369">
        <v>367328</v>
      </c>
    </row>
    <row r="1370" spans="1:18" x14ac:dyDescent="0.25">
      <c r="A1370" s="170">
        <v>44026</v>
      </c>
      <c r="B1370" s="116">
        <v>905.05</v>
      </c>
      <c r="C1370" s="116">
        <v>891</v>
      </c>
      <c r="D1370" s="116">
        <v>876.6</v>
      </c>
      <c r="E1370" s="116">
        <v>905.05</v>
      </c>
      <c r="F1370" s="116">
        <v>891</v>
      </c>
      <c r="G1370">
        <v>71531</v>
      </c>
      <c r="H1370" s="116"/>
      <c r="I1370" s="116"/>
      <c r="L1370" s="170">
        <v>44026</v>
      </c>
      <c r="M1370" s="116">
        <v>891.7</v>
      </c>
      <c r="N1370" s="116">
        <v>905.9</v>
      </c>
      <c r="O1370" s="116">
        <v>876</v>
      </c>
      <c r="P1370" s="116">
        <v>902</v>
      </c>
      <c r="Q1370" s="116">
        <v>891.7</v>
      </c>
      <c r="R1370">
        <v>279934</v>
      </c>
    </row>
    <row r="1371" spans="1:18" x14ac:dyDescent="0.25">
      <c r="A1371" s="170">
        <v>44027</v>
      </c>
      <c r="B1371" s="116">
        <v>926.9</v>
      </c>
      <c r="C1371" s="116">
        <v>897.9</v>
      </c>
      <c r="D1371" s="116">
        <v>891</v>
      </c>
      <c r="E1371" s="116">
        <v>891</v>
      </c>
      <c r="F1371" s="116">
        <v>897.9</v>
      </c>
      <c r="G1371">
        <v>61162</v>
      </c>
      <c r="H1371" s="116"/>
      <c r="I1371" s="116"/>
      <c r="L1371" s="170">
        <v>44027</v>
      </c>
      <c r="M1371" s="116">
        <v>898.25</v>
      </c>
      <c r="N1371" s="116">
        <v>927.2</v>
      </c>
      <c r="O1371" s="116">
        <v>892.6</v>
      </c>
      <c r="P1371" s="116">
        <v>896</v>
      </c>
      <c r="Q1371" s="116">
        <v>898.25</v>
      </c>
      <c r="R1371">
        <v>633814</v>
      </c>
    </row>
    <row r="1372" spans="1:18" x14ac:dyDescent="0.25">
      <c r="A1372" s="170">
        <v>44028</v>
      </c>
      <c r="B1372" s="116">
        <v>932</v>
      </c>
      <c r="C1372" s="116">
        <v>913.7</v>
      </c>
      <c r="D1372" s="116">
        <v>902.6</v>
      </c>
      <c r="E1372" s="116">
        <v>911.45</v>
      </c>
      <c r="F1372" s="116">
        <v>913.7</v>
      </c>
      <c r="G1372">
        <v>65480</v>
      </c>
      <c r="H1372" s="116"/>
      <c r="I1372" s="116"/>
      <c r="L1372" s="170">
        <v>44028</v>
      </c>
      <c r="M1372" s="116">
        <v>914.25</v>
      </c>
      <c r="N1372" s="116">
        <v>932</v>
      </c>
      <c r="O1372" s="116">
        <v>903.5</v>
      </c>
      <c r="P1372" s="116">
        <v>907.7</v>
      </c>
      <c r="Q1372" s="116">
        <v>914.25</v>
      </c>
      <c r="R1372">
        <v>589937</v>
      </c>
    </row>
    <row r="1373" spans="1:18" x14ac:dyDescent="0.25">
      <c r="A1373" s="170">
        <v>44029</v>
      </c>
      <c r="B1373" s="116">
        <v>921.45</v>
      </c>
      <c r="C1373" s="116">
        <v>915.5</v>
      </c>
      <c r="D1373" s="116">
        <v>894.4</v>
      </c>
      <c r="E1373" s="116">
        <v>918.05</v>
      </c>
      <c r="F1373" s="116">
        <v>915.5</v>
      </c>
      <c r="G1373">
        <v>110110</v>
      </c>
      <c r="H1373" s="116"/>
      <c r="I1373" s="116"/>
      <c r="L1373" s="170">
        <v>44029</v>
      </c>
      <c r="M1373" s="116">
        <v>917</v>
      </c>
      <c r="N1373" s="116">
        <v>923</v>
      </c>
      <c r="O1373" s="116">
        <v>885</v>
      </c>
      <c r="P1373" s="116">
        <v>922</v>
      </c>
      <c r="Q1373" s="116">
        <v>917</v>
      </c>
      <c r="R1373">
        <v>297699</v>
      </c>
    </row>
    <row r="1374" spans="1:18" x14ac:dyDescent="0.25">
      <c r="A1374" s="170">
        <v>44032</v>
      </c>
      <c r="B1374" s="116">
        <v>926.35</v>
      </c>
      <c r="C1374" s="116">
        <v>920.85</v>
      </c>
      <c r="D1374" s="116">
        <v>911.85</v>
      </c>
      <c r="E1374" s="116">
        <v>917</v>
      </c>
      <c r="F1374" s="116">
        <v>920.85</v>
      </c>
      <c r="G1374">
        <v>76461</v>
      </c>
      <c r="H1374" s="116"/>
      <c r="I1374" s="116"/>
      <c r="L1374" s="170">
        <v>44032</v>
      </c>
      <c r="M1374" s="116">
        <v>921.8</v>
      </c>
      <c r="N1374" s="116">
        <v>926.25</v>
      </c>
      <c r="O1374" s="116">
        <v>911.05</v>
      </c>
      <c r="P1374" s="116">
        <v>921.6</v>
      </c>
      <c r="Q1374" s="116">
        <v>921.8</v>
      </c>
      <c r="R1374">
        <v>245501</v>
      </c>
    </row>
    <row r="1375" spans="1:18" x14ac:dyDescent="0.25">
      <c r="A1375" s="170">
        <v>44033</v>
      </c>
      <c r="B1375" s="116">
        <v>952.6</v>
      </c>
      <c r="C1375" s="116">
        <v>921.05</v>
      </c>
      <c r="D1375" s="116">
        <v>918.3</v>
      </c>
      <c r="E1375" s="116">
        <v>929</v>
      </c>
      <c r="F1375" s="116">
        <v>921.05</v>
      </c>
      <c r="G1375">
        <v>100940</v>
      </c>
      <c r="H1375" s="116"/>
      <c r="I1375" s="116"/>
      <c r="L1375" s="170">
        <v>44033</v>
      </c>
      <c r="M1375" s="116">
        <v>921.3</v>
      </c>
      <c r="N1375" s="116">
        <v>952.35</v>
      </c>
      <c r="O1375" s="116">
        <v>918</v>
      </c>
      <c r="P1375" s="116">
        <v>928</v>
      </c>
      <c r="Q1375" s="116">
        <v>921.3</v>
      </c>
      <c r="R1375">
        <v>1511183</v>
      </c>
    </row>
    <row r="1376" spans="1:18" x14ac:dyDescent="0.25">
      <c r="A1376" s="170">
        <v>44034</v>
      </c>
      <c r="B1376" s="116">
        <v>939.6</v>
      </c>
      <c r="C1376" s="116">
        <v>914.75</v>
      </c>
      <c r="D1376" s="116">
        <v>908.95</v>
      </c>
      <c r="E1376" s="116">
        <v>938</v>
      </c>
      <c r="F1376" s="116">
        <v>914.75</v>
      </c>
      <c r="G1376">
        <v>147525</v>
      </c>
      <c r="H1376" s="116"/>
      <c r="I1376" s="116"/>
      <c r="L1376" s="170">
        <v>44034</v>
      </c>
      <c r="M1376" s="116">
        <v>914.85</v>
      </c>
      <c r="N1376" s="116">
        <v>940</v>
      </c>
      <c r="O1376" s="116">
        <v>908</v>
      </c>
      <c r="P1376" s="116">
        <v>931</v>
      </c>
      <c r="Q1376" s="116">
        <v>914.85</v>
      </c>
      <c r="R1376">
        <v>417979</v>
      </c>
    </row>
    <row r="1377" spans="1:18" x14ac:dyDescent="0.25">
      <c r="A1377" s="170">
        <v>44035</v>
      </c>
      <c r="B1377" s="116">
        <v>922.4</v>
      </c>
      <c r="C1377" s="116">
        <v>912.7</v>
      </c>
      <c r="D1377" s="116">
        <v>909.5</v>
      </c>
      <c r="E1377" s="116">
        <v>914.05</v>
      </c>
      <c r="F1377" s="116">
        <v>912.7</v>
      </c>
      <c r="G1377">
        <v>93221</v>
      </c>
      <c r="H1377" s="116"/>
      <c r="I1377" s="116"/>
      <c r="L1377" s="170">
        <v>44035</v>
      </c>
      <c r="M1377" s="116">
        <v>913.55</v>
      </c>
      <c r="N1377" s="116">
        <v>923.8</v>
      </c>
      <c r="O1377" s="116">
        <v>910.1</v>
      </c>
      <c r="P1377" s="116">
        <v>917.7</v>
      </c>
      <c r="Q1377" s="116">
        <v>913.55</v>
      </c>
      <c r="R1377">
        <v>216839</v>
      </c>
    </row>
    <row r="1378" spans="1:18" x14ac:dyDescent="0.25">
      <c r="A1378" s="170">
        <v>44036</v>
      </c>
      <c r="B1378" s="116">
        <v>913.15</v>
      </c>
      <c r="C1378" s="116">
        <v>907.2</v>
      </c>
      <c r="D1378" s="116">
        <v>900.95</v>
      </c>
      <c r="E1378" s="116">
        <v>913</v>
      </c>
      <c r="F1378" s="116">
        <v>907.2</v>
      </c>
      <c r="G1378">
        <v>82660</v>
      </c>
      <c r="H1378" s="116"/>
      <c r="I1378" s="116"/>
      <c r="L1378" s="170">
        <v>44036</v>
      </c>
      <c r="M1378" s="116">
        <v>907.7</v>
      </c>
      <c r="N1378" s="116">
        <v>913.9</v>
      </c>
      <c r="O1378" s="116">
        <v>901</v>
      </c>
      <c r="P1378" s="116">
        <v>909.9</v>
      </c>
      <c r="Q1378" s="116">
        <v>907.7</v>
      </c>
      <c r="R1378">
        <v>219181</v>
      </c>
    </row>
    <row r="1379" spans="1:18" x14ac:dyDescent="0.25">
      <c r="A1379" s="170">
        <v>44039</v>
      </c>
      <c r="B1379" s="116">
        <v>915</v>
      </c>
      <c r="C1379" s="116">
        <v>902.15</v>
      </c>
      <c r="D1379" s="116">
        <v>893.65</v>
      </c>
      <c r="E1379" s="116">
        <v>915</v>
      </c>
      <c r="F1379" s="116">
        <v>902.15</v>
      </c>
      <c r="G1379">
        <v>106009</v>
      </c>
      <c r="H1379" s="116"/>
      <c r="I1379" s="116"/>
      <c r="L1379" s="170">
        <v>44039</v>
      </c>
      <c r="M1379" s="116">
        <v>902.8</v>
      </c>
      <c r="N1379" s="116">
        <v>914.7</v>
      </c>
      <c r="O1379" s="116">
        <v>892.05</v>
      </c>
      <c r="P1379" s="116">
        <v>910</v>
      </c>
      <c r="Q1379" s="116">
        <v>902.8</v>
      </c>
      <c r="R1379">
        <v>271083</v>
      </c>
    </row>
    <row r="1380" spans="1:18" x14ac:dyDescent="0.25">
      <c r="A1380" s="170">
        <v>44040</v>
      </c>
      <c r="B1380" s="116">
        <v>928.6</v>
      </c>
      <c r="C1380" s="116">
        <v>922.65</v>
      </c>
      <c r="D1380" s="116">
        <v>905</v>
      </c>
      <c r="E1380" s="116">
        <v>905</v>
      </c>
      <c r="F1380" s="116">
        <v>922.65</v>
      </c>
      <c r="G1380">
        <v>41026</v>
      </c>
      <c r="H1380" s="116"/>
      <c r="I1380" s="116"/>
      <c r="L1380" s="170">
        <v>44040</v>
      </c>
      <c r="M1380" s="116">
        <v>922.9</v>
      </c>
      <c r="N1380" s="116">
        <v>928.8</v>
      </c>
      <c r="O1380" s="116">
        <v>903.95</v>
      </c>
      <c r="P1380" s="116">
        <v>905.95</v>
      </c>
      <c r="Q1380" s="116">
        <v>922.9</v>
      </c>
      <c r="R1380">
        <v>479034</v>
      </c>
    </row>
    <row r="1381" spans="1:18" x14ac:dyDescent="0.25">
      <c r="A1381" s="170">
        <v>44041</v>
      </c>
      <c r="B1381" s="116">
        <v>977.55</v>
      </c>
      <c r="C1381" s="116">
        <v>947.35</v>
      </c>
      <c r="D1381" s="116">
        <v>930</v>
      </c>
      <c r="E1381" s="116">
        <v>930</v>
      </c>
      <c r="F1381" s="116">
        <v>947.35</v>
      </c>
      <c r="G1381">
        <v>148107</v>
      </c>
      <c r="H1381" s="116"/>
      <c r="I1381" s="116"/>
      <c r="L1381" s="170">
        <v>44041</v>
      </c>
      <c r="M1381" s="116">
        <v>947.05</v>
      </c>
      <c r="N1381" s="116">
        <v>977.95</v>
      </c>
      <c r="O1381" s="116">
        <v>928.5</v>
      </c>
      <c r="P1381" s="116">
        <v>929</v>
      </c>
      <c r="Q1381" s="116">
        <v>947.05</v>
      </c>
      <c r="R1381">
        <v>2276497</v>
      </c>
    </row>
    <row r="1382" spans="1:18" x14ac:dyDescent="0.25">
      <c r="A1382" s="170">
        <v>44042</v>
      </c>
      <c r="B1382" s="116">
        <v>972.15</v>
      </c>
      <c r="C1382" s="116">
        <v>962.55</v>
      </c>
      <c r="D1382" s="116">
        <v>952</v>
      </c>
      <c r="E1382" s="116">
        <v>952.05</v>
      </c>
      <c r="F1382" s="116">
        <v>962.55</v>
      </c>
      <c r="G1382">
        <v>126487</v>
      </c>
      <c r="H1382" s="116"/>
      <c r="I1382" s="116"/>
      <c r="L1382" s="170">
        <v>44042</v>
      </c>
      <c r="M1382" s="116">
        <v>962.4</v>
      </c>
      <c r="N1382" s="116">
        <v>972.6</v>
      </c>
      <c r="O1382" s="116">
        <v>948</v>
      </c>
      <c r="P1382" s="116">
        <v>949.7</v>
      </c>
      <c r="Q1382" s="116">
        <v>962.4</v>
      </c>
      <c r="R1382">
        <v>555251</v>
      </c>
    </row>
    <row r="1383" spans="1:18" x14ac:dyDescent="0.25">
      <c r="A1383" s="170">
        <v>44043</v>
      </c>
      <c r="B1383" s="116">
        <v>969.95</v>
      </c>
      <c r="C1383" s="116">
        <v>938.9</v>
      </c>
      <c r="D1383" s="116">
        <v>935.95</v>
      </c>
      <c r="E1383" s="116">
        <v>965</v>
      </c>
      <c r="F1383" s="116">
        <v>938.9</v>
      </c>
      <c r="G1383">
        <v>64330</v>
      </c>
      <c r="H1383" s="116"/>
      <c r="I1383" s="116"/>
      <c r="L1383" s="170">
        <v>44043</v>
      </c>
      <c r="M1383" s="116">
        <v>940</v>
      </c>
      <c r="N1383" s="116">
        <v>969.25</v>
      </c>
      <c r="O1383" s="116">
        <v>936</v>
      </c>
      <c r="P1383" s="116">
        <v>967.2</v>
      </c>
      <c r="Q1383" s="116">
        <v>940</v>
      </c>
      <c r="R1383">
        <v>346200</v>
      </c>
    </row>
    <row r="1384" spans="1:18" x14ac:dyDescent="0.25">
      <c r="A1384" s="170">
        <v>44046</v>
      </c>
      <c r="B1384" s="116">
        <v>964</v>
      </c>
      <c r="C1384" s="116">
        <v>957.5</v>
      </c>
      <c r="D1384" s="116">
        <v>935</v>
      </c>
      <c r="E1384" s="116">
        <v>940</v>
      </c>
      <c r="F1384" s="116">
        <v>957.5</v>
      </c>
      <c r="G1384">
        <v>115413</v>
      </c>
      <c r="H1384" s="116"/>
      <c r="I1384" s="116"/>
      <c r="L1384" s="170">
        <v>44046</v>
      </c>
      <c r="M1384" s="116">
        <v>957.7</v>
      </c>
      <c r="N1384" s="116">
        <v>962</v>
      </c>
      <c r="O1384" s="116">
        <v>932.55</v>
      </c>
      <c r="P1384" s="116">
        <v>940</v>
      </c>
      <c r="Q1384" s="116">
        <v>957.7</v>
      </c>
      <c r="R1384">
        <v>580206</v>
      </c>
    </row>
    <row r="1385" spans="1:18" x14ac:dyDescent="0.25">
      <c r="A1385" s="170">
        <v>44047</v>
      </c>
      <c r="B1385" s="116">
        <v>969</v>
      </c>
      <c r="C1385" s="116">
        <v>937.2</v>
      </c>
      <c r="D1385" s="116">
        <v>933.5</v>
      </c>
      <c r="E1385" s="116">
        <v>969</v>
      </c>
      <c r="F1385" s="116">
        <v>937.2</v>
      </c>
      <c r="G1385">
        <v>102859</v>
      </c>
      <c r="H1385" s="116"/>
      <c r="I1385" s="116"/>
      <c r="L1385" s="170">
        <v>44047</v>
      </c>
      <c r="M1385" s="116">
        <v>937.1</v>
      </c>
      <c r="N1385" s="116">
        <v>969.95</v>
      </c>
      <c r="O1385" s="116">
        <v>933</v>
      </c>
      <c r="P1385" s="116">
        <v>962</v>
      </c>
      <c r="Q1385" s="116">
        <v>937.1</v>
      </c>
      <c r="R1385">
        <v>417940</v>
      </c>
    </row>
    <row r="1386" spans="1:18" x14ac:dyDescent="0.25">
      <c r="A1386" s="170">
        <v>44048</v>
      </c>
      <c r="B1386" s="116">
        <v>977</v>
      </c>
      <c r="C1386" s="116">
        <v>969.2</v>
      </c>
      <c r="D1386" s="116">
        <v>942</v>
      </c>
      <c r="E1386" s="116">
        <v>943.05</v>
      </c>
      <c r="F1386" s="116">
        <v>969.2</v>
      </c>
      <c r="G1386">
        <v>121242</v>
      </c>
      <c r="H1386" s="116"/>
      <c r="I1386" s="116"/>
      <c r="L1386" s="170">
        <v>44048</v>
      </c>
      <c r="M1386" s="116">
        <v>970.1</v>
      </c>
      <c r="N1386" s="116">
        <v>977</v>
      </c>
      <c r="O1386" s="116">
        <v>941.8</v>
      </c>
      <c r="P1386" s="116">
        <v>941.8</v>
      </c>
      <c r="Q1386" s="116">
        <v>970.1</v>
      </c>
      <c r="R1386">
        <v>707032</v>
      </c>
    </row>
    <row r="1387" spans="1:18" x14ac:dyDescent="0.25">
      <c r="A1387" s="170">
        <v>44049</v>
      </c>
      <c r="B1387" s="116">
        <v>1004.75</v>
      </c>
      <c r="C1387" s="116">
        <v>989.85</v>
      </c>
      <c r="D1387" s="116">
        <v>956.85</v>
      </c>
      <c r="E1387" s="116">
        <v>972</v>
      </c>
      <c r="F1387" s="116">
        <v>989.85</v>
      </c>
      <c r="G1387">
        <v>129978</v>
      </c>
      <c r="H1387" s="116"/>
      <c r="I1387" s="116"/>
      <c r="L1387" s="170">
        <v>44049</v>
      </c>
      <c r="M1387" s="116">
        <v>989</v>
      </c>
      <c r="N1387" s="116">
        <v>1005</v>
      </c>
      <c r="O1387" s="116">
        <v>956</v>
      </c>
      <c r="P1387" s="116">
        <v>972</v>
      </c>
      <c r="Q1387" s="116">
        <v>989</v>
      </c>
      <c r="R1387">
        <v>1466954</v>
      </c>
    </row>
    <row r="1388" spans="1:18" x14ac:dyDescent="0.25">
      <c r="A1388" s="170">
        <v>44050</v>
      </c>
      <c r="B1388" s="116">
        <v>1002.65</v>
      </c>
      <c r="C1388" s="116">
        <v>989.4</v>
      </c>
      <c r="D1388" s="116">
        <v>978.45</v>
      </c>
      <c r="E1388" s="116">
        <v>998</v>
      </c>
      <c r="F1388" s="116">
        <v>989.4</v>
      </c>
      <c r="G1388">
        <v>60288</v>
      </c>
      <c r="H1388" s="116"/>
      <c r="I1388" s="116"/>
      <c r="L1388" s="170">
        <v>44050</v>
      </c>
      <c r="M1388" s="116">
        <v>990</v>
      </c>
      <c r="N1388" s="116">
        <v>1003</v>
      </c>
      <c r="O1388" s="116">
        <v>978</v>
      </c>
      <c r="P1388" s="116">
        <v>987.85</v>
      </c>
      <c r="Q1388" s="116">
        <v>990</v>
      </c>
      <c r="R1388">
        <v>495039</v>
      </c>
    </row>
    <row r="1389" spans="1:18" x14ac:dyDescent="0.25">
      <c r="A1389" s="170">
        <v>44053</v>
      </c>
      <c r="B1389" s="116">
        <v>1027.7</v>
      </c>
      <c r="C1389" s="116">
        <v>1018.1</v>
      </c>
      <c r="D1389" s="116">
        <v>982.9</v>
      </c>
      <c r="E1389" s="116">
        <v>996</v>
      </c>
      <c r="F1389" s="116">
        <v>1018.1</v>
      </c>
      <c r="G1389">
        <v>43423</v>
      </c>
      <c r="H1389" s="116"/>
      <c r="I1389" s="116"/>
      <c r="L1389" s="170">
        <v>44053</v>
      </c>
      <c r="M1389" s="116">
        <v>1019.95</v>
      </c>
      <c r="N1389" s="116">
        <v>1027.5999999999999</v>
      </c>
      <c r="O1389" s="116">
        <v>982</v>
      </c>
      <c r="P1389" s="116">
        <v>992</v>
      </c>
      <c r="Q1389" s="116">
        <v>1019.95</v>
      </c>
      <c r="R1389">
        <v>713244</v>
      </c>
    </row>
    <row r="1390" spans="1:18" x14ac:dyDescent="0.25">
      <c r="A1390" s="170">
        <v>44054</v>
      </c>
      <c r="B1390" s="116">
        <v>1035.5999999999999</v>
      </c>
      <c r="C1390" s="116">
        <v>1011.35</v>
      </c>
      <c r="D1390" s="116">
        <v>1003.75</v>
      </c>
      <c r="E1390" s="116">
        <v>1024</v>
      </c>
      <c r="F1390" s="116">
        <v>1011.35</v>
      </c>
      <c r="G1390">
        <v>77400</v>
      </c>
      <c r="H1390" s="116"/>
      <c r="I1390" s="116"/>
      <c r="L1390" s="170">
        <v>44054</v>
      </c>
      <c r="M1390" s="116">
        <v>1011.65</v>
      </c>
      <c r="N1390" s="116">
        <v>1036</v>
      </c>
      <c r="O1390" s="116">
        <v>1004</v>
      </c>
      <c r="P1390" s="116">
        <v>1025.05</v>
      </c>
      <c r="Q1390" s="116">
        <v>1011.65</v>
      </c>
      <c r="R1390">
        <v>434284</v>
      </c>
    </row>
    <row r="1391" spans="1:18" x14ac:dyDescent="0.25">
      <c r="A1391" s="170">
        <v>44055</v>
      </c>
      <c r="B1391" s="116">
        <v>1022</v>
      </c>
      <c r="C1391" s="116">
        <v>1013.25</v>
      </c>
      <c r="D1391" s="116">
        <v>992.25</v>
      </c>
      <c r="E1391" s="116">
        <v>1011.35</v>
      </c>
      <c r="F1391" s="116">
        <v>1013.25</v>
      </c>
      <c r="G1391">
        <v>80326</v>
      </c>
      <c r="H1391" s="116"/>
      <c r="I1391" s="116"/>
      <c r="L1391" s="170">
        <v>44055</v>
      </c>
      <c r="M1391" s="116">
        <v>1014.35</v>
      </c>
      <c r="N1391" s="116">
        <v>1023.8</v>
      </c>
      <c r="O1391" s="116">
        <v>992</v>
      </c>
      <c r="P1391" s="116">
        <v>1008</v>
      </c>
      <c r="Q1391" s="116">
        <v>1014.35</v>
      </c>
      <c r="R1391">
        <v>332120</v>
      </c>
    </row>
    <row r="1392" spans="1:18" x14ac:dyDescent="0.25">
      <c r="A1392" s="170">
        <v>44056</v>
      </c>
      <c r="B1392" s="116">
        <v>1039</v>
      </c>
      <c r="C1392" s="116">
        <v>1018.8</v>
      </c>
      <c r="D1392" s="116">
        <v>1016</v>
      </c>
      <c r="E1392" s="116">
        <v>1023.1</v>
      </c>
      <c r="F1392" s="116">
        <v>1018.8</v>
      </c>
      <c r="G1392">
        <v>52223</v>
      </c>
      <c r="H1392" s="116"/>
      <c r="I1392" s="116"/>
      <c r="L1392" s="170">
        <v>44056</v>
      </c>
      <c r="M1392" s="116">
        <v>1019.85</v>
      </c>
      <c r="N1392" s="116">
        <v>1039</v>
      </c>
      <c r="O1392" s="116">
        <v>1015.65</v>
      </c>
      <c r="P1392" s="116">
        <v>1019.45</v>
      </c>
      <c r="Q1392" s="116">
        <v>1019.85</v>
      </c>
      <c r="R1392">
        <v>488055</v>
      </c>
    </row>
    <row r="1393" spans="1:18" x14ac:dyDescent="0.25">
      <c r="A1393" s="170">
        <v>44057</v>
      </c>
      <c r="B1393" s="116">
        <v>1028.3499999999999</v>
      </c>
      <c r="C1393" s="116">
        <v>1020.05</v>
      </c>
      <c r="D1393" s="116">
        <v>1006.8</v>
      </c>
      <c r="E1393" s="116">
        <v>1018.8</v>
      </c>
      <c r="F1393" s="116">
        <v>1020.05</v>
      </c>
      <c r="G1393">
        <v>99051</v>
      </c>
      <c r="H1393" s="116"/>
      <c r="I1393" s="116"/>
      <c r="L1393" s="170">
        <v>44057</v>
      </c>
      <c r="M1393" s="116">
        <v>1020.65</v>
      </c>
      <c r="N1393" s="116">
        <v>1027.8</v>
      </c>
      <c r="O1393" s="116">
        <v>1006</v>
      </c>
      <c r="P1393" s="116">
        <v>1018</v>
      </c>
      <c r="Q1393" s="116">
        <v>1020.65</v>
      </c>
      <c r="R1393">
        <v>402127</v>
      </c>
    </row>
    <row r="1394" spans="1:18" x14ac:dyDescent="0.25">
      <c r="A1394" s="170">
        <v>44060</v>
      </c>
      <c r="B1394" s="116">
        <v>1042.5</v>
      </c>
      <c r="C1394" s="116">
        <v>1029.5999999999999</v>
      </c>
      <c r="D1394" s="116">
        <v>1008.45</v>
      </c>
      <c r="E1394" s="116">
        <v>1020.05</v>
      </c>
      <c r="F1394" s="116">
        <v>1029.5999999999999</v>
      </c>
      <c r="G1394">
        <v>33411</v>
      </c>
      <c r="H1394" s="116"/>
      <c r="I1394" s="116"/>
      <c r="L1394" s="170">
        <v>44060</v>
      </c>
      <c r="M1394" s="116">
        <v>1030.75</v>
      </c>
      <c r="N1394" s="116">
        <v>1043</v>
      </c>
      <c r="O1394" s="116">
        <v>1008.7</v>
      </c>
      <c r="P1394" s="116">
        <v>1025</v>
      </c>
      <c r="Q1394" s="116">
        <v>1030.75</v>
      </c>
      <c r="R1394">
        <v>459304</v>
      </c>
    </row>
    <row r="1395" spans="1:18" x14ac:dyDescent="0.25">
      <c r="A1395" s="170">
        <v>44061</v>
      </c>
      <c r="B1395" s="116">
        <v>1076.5</v>
      </c>
      <c r="C1395" s="116">
        <v>1069.75</v>
      </c>
      <c r="D1395" s="116">
        <v>1030.8</v>
      </c>
      <c r="E1395" s="116">
        <v>1030.8</v>
      </c>
      <c r="F1395" s="116">
        <v>1069.75</v>
      </c>
      <c r="G1395">
        <v>55617</v>
      </c>
      <c r="H1395" s="116"/>
      <c r="I1395" s="116"/>
      <c r="L1395" s="170">
        <v>44061</v>
      </c>
      <c r="M1395" s="116">
        <v>1070.3499999999999</v>
      </c>
      <c r="N1395" s="116">
        <v>1077</v>
      </c>
      <c r="O1395" s="116">
        <v>1029.95</v>
      </c>
      <c r="P1395" s="116">
        <v>1032</v>
      </c>
      <c r="Q1395" s="116">
        <v>1070.3499999999999</v>
      </c>
      <c r="R1395">
        <v>799551</v>
      </c>
    </row>
    <row r="1396" spans="1:18" x14ac:dyDescent="0.25">
      <c r="A1396" s="170">
        <v>44062</v>
      </c>
      <c r="B1396" s="116">
        <v>1069.75</v>
      </c>
      <c r="C1396" s="116">
        <v>1055.45</v>
      </c>
      <c r="D1396" s="116">
        <v>1041</v>
      </c>
      <c r="E1396" s="116">
        <v>1041</v>
      </c>
      <c r="F1396" s="116">
        <v>1055.45</v>
      </c>
      <c r="G1396">
        <v>105312</v>
      </c>
      <c r="H1396" s="116"/>
      <c r="I1396" s="116"/>
      <c r="L1396" s="170">
        <v>44062</v>
      </c>
      <c r="M1396" s="116">
        <v>1055</v>
      </c>
      <c r="N1396" s="116">
        <v>1070.3499999999999</v>
      </c>
      <c r="O1396" s="116">
        <v>1050.55</v>
      </c>
      <c r="P1396" s="116">
        <v>1070.3499999999999</v>
      </c>
      <c r="Q1396" s="116">
        <v>1055</v>
      </c>
      <c r="R1396">
        <v>300015</v>
      </c>
    </row>
    <row r="1397" spans="1:18" x14ac:dyDescent="0.25">
      <c r="A1397" s="170">
        <v>44063</v>
      </c>
      <c r="B1397" s="116">
        <v>1085</v>
      </c>
      <c r="C1397" s="116">
        <v>1067.1500000000001</v>
      </c>
      <c r="D1397" s="116">
        <v>1049.45</v>
      </c>
      <c r="E1397" s="116">
        <v>1054</v>
      </c>
      <c r="F1397" s="116">
        <v>1067.1500000000001</v>
      </c>
      <c r="G1397">
        <v>124734</v>
      </c>
      <c r="H1397" s="116"/>
      <c r="I1397" s="116"/>
      <c r="L1397" s="170">
        <v>44063</v>
      </c>
      <c r="M1397" s="116">
        <v>1067.3499999999999</v>
      </c>
      <c r="N1397" s="116">
        <v>1086</v>
      </c>
      <c r="O1397" s="116">
        <v>1049</v>
      </c>
      <c r="P1397" s="116">
        <v>1050.5</v>
      </c>
      <c r="Q1397" s="116">
        <v>1067.3499999999999</v>
      </c>
      <c r="R1397">
        <v>536442</v>
      </c>
    </row>
    <row r="1398" spans="1:18" x14ac:dyDescent="0.25">
      <c r="A1398" s="170">
        <v>44064</v>
      </c>
      <c r="B1398" s="116">
        <v>1076</v>
      </c>
      <c r="C1398" s="116">
        <v>1060.05</v>
      </c>
      <c r="D1398" s="116">
        <v>1055</v>
      </c>
      <c r="E1398" s="116">
        <v>1076</v>
      </c>
      <c r="F1398" s="116">
        <v>1060.05</v>
      </c>
      <c r="G1398">
        <v>97725</v>
      </c>
      <c r="H1398" s="116"/>
      <c r="I1398" s="116"/>
      <c r="L1398" s="170">
        <v>44064</v>
      </c>
      <c r="M1398" s="116">
        <v>1060.6500000000001</v>
      </c>
      <c r="N1398" s="116">
        <v>1072.7</v>
      </c>
      <c r="O1398" s="116">
        <v>1055</v>
      </c>
      <c r="P1398" s="116">
        <v>1070.8</v>
      </c>
      <c r="Q1398" s="116">
        <v>1060.6500000000001</v>
      </c>
      <c r="R1398">
        <v>290871</v>
      </c>
    </row>
    <row r="1399" spans="1:18" x14ac:dyDescent="0.25">
      <c r="A1399" s="170">
        <v>44067</v>
      </c>
      <c r="B1399" s="116">
        <v>1088.8</v>
      </c>
      <c r="C1399" s="116">
        <v>1071.5999999999999</v>
      </c>
      <c r="D1399" s="116">
        <v>1061</v>
      </c>
      <c r="E1399" s="116">
        <v>1070</v>
      </c>
      <c r="F1399" s="116">
        <v>1071.5999999999999</v>
      </c>
      <c r="G1399">
        <v>96030</v>
      </c>
      <c r="H1399" s="116"/>
      <c r="I1399" s="116"/>
      <c r="L1399" s="170">
        <v>44067</v>
      </c>
      <c r="M1399" s="116">
        <v>1071.8499999999999</v>
      </c>
      <c r="N1399" s="116">
        <v>1089</v>
      </c>
      <c r="O1399" s="116">
        <v>1060.6500000000001</v>
      </c>
      <c r="P1399" s="116">
        <v>1064.7</v>
      </c>
      <c r="Q1399" s="116">
        <v>1071.8499999999999</v>
      </c>
      <c r="R1399">
        <v>428269</v>
      </c>
    </row>
    <row r="1400" spans="1:18" x14ac:dyDescent="0.25">
      <c r="A1400" s="170">
        <v>44068</v>
      </c>
      <c r="B1400" s="116">
        <v>1109</v>
      </c>
      <c r="C1400" s="116">
        <v>1090.4000000000001</v>
      </c>
      <c r="D1400" s="116">
        <v>1071.55</v>
      </c>
      <c r="E1400" s="116">
        <v>1078.8499999999999</v>
      </c>
      <c r="F1400" s="116">
        <v>1090.4000000000001</v>
      </c>
      <c r="G1400">
        <v>66512</v>
      </c>
      <c r="H1400" s="116"/>
      <c r="I1400" s="116"/>
      <c r="L1400" s="170">
        <v>44068</v>
      </c>
      <c r="M1400" s="116">
        <v>1093.0999999999999</v>
      </c>
      <c r="N1400" s="116">
        <v>1109.8499999999999</v>
      </c>
      <c r="O1400" s="116">
        <v>1071.1500000000001</v>
      </c>
      <c r="P1400" s="116">
        <v>1074</v>
      </c>
      <c r="Q1400" s="116">
        <v>1093.0999999999999</v>
      </c>
      <c r="R1400">
        <v>540704</v>
      </c>
    </row>
    <row r="1401" spans="1:18" x14ac:dyDescent="0.25">
      <c r="A1401" s="170">
        <v>44069</v>
      </c>
      <c r="B1401" s="116">
        <v>1116.5999999999999</v>
      </c>
      <c r="C1401" s="116">
        <v>1099.7</v>
      </c>
      <c r="D1401" s="116">
        <v>1088.5999999999999</v>
      </c>
      <c r="E1401" s="116">
        <v>1091.05</v>
      </c>
      <c r="F1401" s="116">
        <v>1099.7</v>
      </c>
      <c r="G1401">
        <v>79240</v>
      </c>
      <c r="H1401" s="116"/>
      <c r="I1401" s="116"/>
      <c r="L1401" s="170">
        <v>44069</v>
      </c>
      <c r="M1401" s="116">
        <v>1100.3499999999999</v>
      </c>
      <c r="N1401" s="116">
        <v>1118.05</v>
      </c>
      <c r="O1401" s="116">
        <v>1088.45</v>
      </c>
      <c r="P1401" s="116">
        <v>1093.0999999999999</v>
      </c>
      <c r="Q1401" s="116">
        <v>1100.3499999999999</v>
      </c>
      <c r="R1401">
        <v>320144</v>
      </c>
    </row>
    <row r="1402" spans="1:18" x14ac:dyDescent="0.25">
      <c r="A1402" s="170">
        <v>44070</v>
      </c>
      <c r="B1402" s="116">
        <v>1208.75</v>
      </c>
      <c r="C1402" s="116">
        <v>1151.5</v>
      </c>
      <c r="D1402" s="116">
        <v>1090</v>
      </c>
      <c r="E1402" s="116">
        <v>1090</v>
      </c>
      <c r="F1402" s="116">
        <v>1151.5</v>
      </c>
      <c r="G1402">
        <v>274826</v>
      </c>
      <c r="H1402" s="116"/>
      <c r="I1402" s="116"/>
      <c r="L1402" s="170">
        <v>44070</v>
      </c>
      <c r="M1402" s="116">
        <v>1153.75</v>
      </c>
      <c r="N1402" s="116">
        <v>1208.5999999999999</v>
      </c>
      <c r="O1402" s="116">
        <v>1104.05</v>
      </c>
      <c r="P1402" s="116">
        <v>1104.05</v>
      </c>
      <c r="Q1402" s="116">
        <v>1153.75</v>
      </c>
      <c r="R1402">
        <v>1802901</v>
      </c>
    </row>
    <row r="1403" spans="1:18" x14ac:dyDescent="0.25">
      <c r="A1403" s="170">
        <v>44071</v>
      </c>
      <c r="B1403" s="116">
        <v>1170.3499999999999</v>
      </c>
      <c r="C1403" s="116">
        <v>1138.4000000000001</v>
      </c>
      <c r="D1403" s="116">
        <v>1131.0999999999999</v>
      </c>
      <c r="E1403" s="116">
        <v>1165</v>
      </c>
      <c r="F1403" s="116">
        <v>1138.4000000000001</v>
      </c>
      <c r="G1403">
        <v>113246</v>
      </c>
      <c r="H1403" s="116"/>
      <c r="I1403" s="116"/>
      <c r="L1403" s="170">
        <v>44071</v>
      </c>
      <c r="M1403" s="116">
        <v>1139.05</v>
      </c>
      <c r="N1403" s="116">
        <v>1169.95</v>
      </c>
      <c r="O1403" s="116">
        <v>1130.7</v>
      </c>
      <c r="P1403" s="116">
        <v>1160</v>
      </c>
      <c r="Q1403" s="116">
        <v>1139.05</v>
      </c>
      <c r="R1403">
        <v>385131</v>
      </c>
    </row>
    <row r="1404" spans="1:18" x14ac:dyDescent="0.25">
      <c r="A1404" s="170">
        <v>44074</v>
      </c>
      <c r="B1404" s="116">
        <v>1145.55</v>
      </c>
      <c r="C1404" s="116">
        <v>1076.4000000000001</v>
      </c>
      <c r="D1404" s="116">
        <v>1055.75</v>
      </c>
      <c r="E1404" s="116">
        <v>1140.0999999999999</v>
      </c>
      <c r="F1404" s="116">
        <v>1076.4000000000001</v>
      </c>
      <c r="G1404">
        <v>93250</v>
      </c>
      <c r="H1404" s="116"/>
      <c r="I1404" s="116"/>
      <c r="L1404" s="170">
        <v>44074</v>
      </c>
      <c r="M1404" s="116">
        <v>1074.8</v>
      </c>
      <c r="N1404" s="116">
        <v>1147.8499999999999</v>
      </c>
      <c r="O1404" s="116">
        <v>1056.4000000000001</v>
      </c>
      <c r="P1404" s="116">
        <v>1147</v>
      </c>
      <c r="Q1404" s="116">
        <v>1074.8</v>
      </c>
      <c r="R1404">
        <v>487884</v>
      </c>
    </row>
    <row r="1405" spans="1:18" x14ac:dyDescent="0.25">
      <c r="A1405" s="170">
        <v>44075</v>
      </c>
      <c r="B1405" s="116">
        <v>1107.8</v>
      </c>
      <c r="C1405" s="116">
        <v>1095.95</v>
      </c>
      <c r="D1405" s="116">
        <v>1060.2</v>
      </c>
      <c r="E1405" s="116">
        <v>1066</v>
      </c>
      <c r="F1405" s="116">
        <v>1095.95</v>
      </c>
      <c r="G1405">
        <v>66275</v>
      </c>
      <c r="H1405" s="116"/>
      <c r="I1405" s="116"/>
      <c r="L1405" s="170">
        <v>44075</v>
      </c>
      <c r="M1405" s="116">
        <v>1097.3</v>
      </c>
      <c r="N1405" s="116">
        <v>1108.95</v>
      </c>
      <c r="O1405" s="116">
        <v>1060.45</v>
      </c>
      <c r="P1405" s="116">
        <v>1074.8</v>
      </c>
      <c r="Q1405" s="116">
        <v>1097.3</v>
      </c>
      <c r="R1405">
        <v>185307</v>
      </c>
    </row>
    <row r="1406" spans="1:18" x14ac:dyDescent="0.25">
      <c r="A1406" s="170">
        <v>44076</v>
      </c>
      <c r="B1406" s="116">
        <v>1142.95</v>
      </c>
      <c r="C1406" s="116">
        <v>1136.3499999999999</v>
      </c>
      <c r="D1406" s="116">
        <v>1075</v>
      </c>
      <c r="E1406" s="116">
        <v>1075</v>
      </c>
      <c r="F1406" s="116">
        <v>1136.3499999999999</v>
      </c>
      <c r="G1406">
        <v>110338</v>
      </c>
      <c r="H1406" s="116"/>
      <c r="I1406" s="116"/>
      <c r="L1406" s="170">
        <v>44076</v>
      </c>
      <c r="M1406" s="116">
        <v>1135.55</v>
      </c>
      <c r="N1406" s="116">
        <v>1143</v>
      </c>
      <c r="O1406" s="116">
        <v>1095.3</v>
      </c>
      <c r="P1406" s="116">
        <v>1097.95</v>
      </c>
      <c r="Q1406" s="116">
        <v>1135.55</v>
      </c>
      <c r="R1406">
        <v>298928</v>
      </c>
    </row>
    <row r="1407" spans="1:18" x14ac:dyDescent="0.25">
      <c r="A1407" s="170">
        <v>44077</v>
      </c>
      <c r="B1407" s="116">
        <v>1185.1500000000001</v>
      </c>
      <c r="C1407" s="116">
        <v>1172.05</v>
      </c>
      <c r="D1407" s="116">
        <v>1126.8499999999999</v>
      </c>
      <c r="E1407" s="116">
        <v>1136</v>
      </c>
      <c r="F1407" s="116">
        <v>1172.05</v>
      </c>
      <c r="G1407">
        <v>85678</v>
      </c>
      <c r="H1407" s="116"/>
      <c r="I1407" s="116"/>
      <c r="L1407" s="170">
        <v>44077</v>
      </c>
      <c r="M1407" s="116">
        <v>1173</v>
      </c>
      <c r="N1407" s="116">
        <v>1185.6500000000001</v>
      </c>
      <c r="O1407" s="116">
        <v>1126.3</v>
      </c>
      <c r="P1407" s="116">
        <v>1140.4000000000001</v>
      </c>
      <c r="Q1407" s="116">
        <v>1173</v>
      </c>
      <c r="R1407">
        <v>527826</v>
      </c>
    </row>
    <row r="1408" spans="1:18" x14ac:dyDescent="0.25">
      <c r="A1408" s="170">
        <v>44078</v>
      </c>
      <c r="B1408" s="116">
        <v>1167</v>
      </c>
      <c r="C1408" s="116">
        <v>1150.8</v>
      </c>
      <c r="D1408" s="116">
        <v>1130</v>
      </c>
      <c r="E1408" s="116">
        <v>1130</v>
      </c>
      <c r="F1408" s="116">
        <v>1150.8</v>
      </c>
      <c r="G1408">
        <v>99492</v>
      </c>
      <c r="H1408" s="116"/>
      <c r="I1408" s="116"/>
      <c r="L1408" s="170">
        <v>44078</v>
      </c>
      <c r="M1408" s="116">
        <v>1150.55</v>
      </c>
      <c r="N1408" s="116">
        <v>1167</v>
      </c>
      <c r="O1408" s="116">
        <v>1133</v>
      </c>
      <c r="P1408" s="116">
        <v>1137</v>
      </c>
      <c r="Q1408" s="116">
        <v>1150.55</v>
      </c>
      <c r="R1408">
        <v>297451</v>
      </c>
    </row>
    <row r="1409" spans="1:18" x14ac:dyDescent="0.25">
      <c r="A1409" s="170">
        <v>44081</v>
      </c>
      <c r="B1409" s="116">
        <v>1191.55</v>
      </c>
      <c r="C1409" s="116">
        <v>1187.4000000000001</v>
      </c>
      <c r="D1409" s="116">
        <v>1153</v>
      </c>
      <c r="E1409" s="116">
        <v>1153</v>
      </c>
      <c r="F1409" s="116">
        <v>1187.4000000000001</v>
      </c>
      <c r="G1409">
        <v>84637</v>
      </c>
      <c r="H1409" s="116"/>
      <c r="I1409" s="116"/>
      <c r="L1409" s="170">
        <v>44081</v>
      </c>
      <c r="M1409" s="116">
        <v>1187</v>
      </c>
      <c r="N1409" s="116">
        <v>1192</v>
      </c>
      <c r="O1409" s="116">
        <v>1160</v>
      </c>
      <c r="P1409" s="116">
        <v>1160</v>
      </c>
      <c r="Q1409" s="116">
        <v>1187</v>
      </c>
      <c r="R1409">
        <v>656689</v>
      </c>
    </row>
    <row r="1410" spans="1:18" x14ac:dyDescent="0.25">
      <c r="A1410" s="170">
        <v>44082</v>
      </c>
      <c r="B1410" s="116">
        <v>1225.45</v>
      </c>
      <c r="C1410" s="116">
        <v>1218.2</v>
      </c>
      <c r="D1410" s="116">
        <v>1174.3</v>
      </c>
      <c r="E1410" s="116">
        <v>1184.05</v>
      </c>
      <c r="F1410" s="116">
        <v>1218.2</v>
      </c>
      <c r="G1410">
        <v>87876</v>
      </c>
      <c r="H1410" s="116"/>
      <c r="I1410" s="116"/>
      <c r="L1410" s="170">
        <v>44082</v>
      </c>
      <c r="M1410" s="116">
        <v>1219</v>
      </c>
      <c r="N1410" s="116">
        <v>1226.9000000000001</v>
      </c>
      <c r="O1410" s="116">
        <v>1172.6500000000001</v>
      </c>
      <c r="P1410" s="116">
        <v>1185</v>
      </c>
      <c r="Q1410" s="116">
        <v>1219</v>
      </c>
      <c r="R1410">
        <v>771204</v>
      </c>
    </row>
    <row r="1411" spans="1:18" x14ac:dyDescent="0.25">
      <c r="A1411" s="170">
        <v>44083</v>
      </c>
      <c r="B1411" s="116">
        <v>1239</v>
      </c>
      <c r="C1411" s="116">
        <v>1221.25</v>
      </c>
      <c r="D1411" s="116">
        <v>1173</v>
      </c>
      <c r="E1411" s="116">
        <v>1212</v>
      </c>
      <c r="F1411" s="116">
        <v>1221.25</v>
      </c>
      <c r="G1411">
        <v>85722</v>
      </c>
      <c r="H1411" s="116"/>
      <c r="I1411" s="116"/>
      <c r="L1411" s="170">
        <v>44083</v>
      </c>
      <c r="M1411" s="116">
        <v>1221.5999999999999</v>
      </c>
      <c r="N1411" s="116">
        <v>1239</v>
      </c>
      <c r="O1411" s="116">
        <v>1173</v>
      </c>
      <c r="P1411" s="116">
        <v>1209</v>
      </c>
      <c r="Q1411" s="116">
        <v>1221.5999999999999</v>
      </c>
      <c r="R1411">
        <v>495610</v>
      </c>
    </row>
    <row r="1412" spans="1:18" x14ac:dyDescent="0.25">
      <c r="A1412" s="170">
        <v>44084</v>
      </c>
      <c r="B1412" s="116">
        <v>1274.45</v>
      </c>
      <c r="C1412" s="116">
        <v>1258.7</v>
      </c>
      <c r="D1412" s="116">
        <v>1224</v>
      </c>
      <c r="E1412" s="116">
        <v>1235</v>
      </c>
      <c r="F1412" s="116">
        <v>1258.7</v>
      </c>
      <c r="G1412">
        <v>133820</v>
      </c>
      <c r="H1412" s="116"/>
      <c r="I1412" s="116"/>
      <c r="L1412" s="170">
        <v>44084</v>
      </c>
      <c r="M1412" s="116">
        <v>1261.8499999999999</v>
      </c>
      <c r="N1412" s="116">
        <v>1274.8</v>
      </c>
      <c r="O1412" s="116">
        <v>1222.8</v>
      </c>
      <c r="P1412" s="116">
        <v>1229</v>
      </c>
      <c r="Q1412" s="116">
        <v>1261.8499999999999</v>
      </c>
      <c r="R1412">
        <v>581067</v>
      </c>
    </row>
    <row r="1413" spans="1:18" x14ac:dyDescent="0.25">
      <c r="A1413" s="170">
        <v>44085</v>
      </c>
      <c r="B1413" s="116">
        <v>1300</v>
      </c>
      <c r="C1413" s="116">
        <v>1288.9000000000001</v>
      </c>
      <c r="D1413" s="116">
        <v>1263</v>
      </c>
      <c r="E1413" s="116">
        <v>1279</v>
      </c>
      <c r="F1413" s="116">
        <v>1288.9000000000001</v>
      </c>
      <c r="G1413">
        <v>86425</v>
      </c>
      <c r="H1413" s="116"/>
      <c r="I1413" s="116"/>
      <c r="L1413" s="170">
        <v>44085</v>
      </c>
      <c r="M1413" s="116">
        <v>1289.95</v>
      </c>
      <c r="N1413" s="116">
        <v>1300</v>
      </c>
      <c r="O1413" s="116">
        <v>1261</v>
      </c>
      <c r="P1413" s="116">
        <v>1273.7</v>
      </c>
      <c r="Q1413" s="116">
        <v>1289.95</v>
      </c>
      <c r="R1413">
        <v>896645</v>
      </c>
    </row>
    <row r="1414" spans="1:18" x14ac:dyDescent="0.25">
      <c r="A1414" s="170">
        <v>44088</v>
      </c>
      <c r="B1414" s="116">
        <v>1330</v>
      </c>
      <c r="C1414" s="116">
        <v>1303</v>
      </c>
      <c r="D1414" s="116">
        <v>1272.25</v>
      </c>
      <c r="E1414" s="116">
        <v>1302.1500000000001</v>
      </c>
      <c r="F1414" s="116">
        <v>1303</v>
      </c>
      <c r="G1414">
        <v>100174</v>
      </c>
      <c r="H1414" s="116"/>
      <c r="I1414" s="116"/>
      <c r="L1414" s="170">
        <v>44088</v>
      </c>
      <c r="M1414" s="116">
        <v>1302.0999999999999</v>
      </c>
      <c r="N1414" s="116">
        <v>1331</v>
      </c>
      <c r="O1414" s="116">
        <v>1272.25</v>
      </c>
      <c r="P1414" s="116">
        <v>1305.2</v>
      </c>
      <c r="Q1414" s="116">
        <v>1302.0999999999999</v>
      </c>
      <c r="R1414">
        <v>1180501</v>
      </c>
    </row>
    <row r="1415" spans="1:18" x14ac:dyDescent="0.25">
      <c r="A1415" s="170">
        <v>44089</v>
      </c>
      <c r="B1415" s="116">
        <v>1329</v>
      </c>
      <c r="C1415" s="116">
        <v>1283.7</v>
      </c>
      <c r="D1415" s="116">
        <v>1273.25</v>
      </c>
      <c r="E1415" s="116">
        <v>1329</v>
      </c>
      <c r="F1415" s="116">
        <v>1283.7</v>
      </c>
      <c r="G1415">
        <v>49585</v>
      </c>
      <c r="H1415" s="116"/>
      <c r="I1415" s="116"/>
      <c r="L1415" s="170">
        <v>44089</v>
      </c>
      <c r="M1415" s="116">
        <v>1286.05</v>
      </c>
      <c r="N1415" s="116">
        <v>1328.15</v>
      </c>
      <c r="O1415" s="116">
        <v>1272.3499999999999</v>
      </c>
      <c r="P1415" s="116">
        <v>1327.6</v>
      </c>
      <c r="Q1415" s="116">
        <v>1286.05</v>
      </c>
      <c r="R1415">
        <v>631163</v>
      </c>
    </row>
    <row r="1416" spans="1:18" x14ac:dyDescent="0.25">
      <c r="A1416" s="170">
        <v>44090</v>
      </c>
      <c r="B1416" s="116">
        <v>1298.9000000000001</v>
      </c>
      <c r="C1416" s="116">
        <v>1268.55</v>
      </c>
      <c r="D1416" s="116">
        <v>1264.5</v>
      </c>
      <c r="E1416" s="116">
        <v>1292.05</v>
      </c>
      <c r="F1416" s="116">
        <v>1268.55</v>
      </c>
      <c r="G1416">
        <v>50537</v>
      </c>
      <c r="H1416" s="116"/>
      <c r="I1416" s="116"/>
      <c r="L1416" s="170">
        <v>44090</v>
      </c>
      <c r="M1416" s="116">
        <v>1268.6500000000001</v>
      </c>
      <c r="N1416" s="116">
        <v>1298.6500000000001</v>
      </c>
      <c r="O1416" s="116">
        <v>1266</v>
      </c>
      <c r="P1416" s="116">
        <v>1290</v>
      </c>
      <c r="Q1416" s="116">
        <v>1268.6500000000001</v>
      </c>
      <c r="R1416">
        <v>352723</v>
      </c>
    </row>
    <row r="1417" spans="1:18" x14ac:dyDescent="0.25">
      <c r="A1417" s="170">
        <v>44091</v>
      </c>
      <c r="B1417" s="116">
        <v>1291.0999999999999</v>
      </c>
      <c r="C1417" s="116">
        <v>1283.3</v>
      </c>
      <c r="D1417" s="116">
        <v>1258.0999999999999</v>
      </c>
      <c r="E1417" s="116">
        <v>1265.1500000000001</v>
      </c>
      <c r="F1417" s="116">
        <v>1283.3</v>
      </c>
      <c r="G1417">
        <v>34940</v>
      </c>
      <c r="H1417" s="116"/>
      <c r="I1417" s="116"/>
      <c r="L1417" s="170">
        <v>44091</v>
      </c>
      <c r="M1417" s="116">
        <v>1283.6500000000001</v>
      </c>
      <c r="N1417" s="116">
        <v>1291.3</v>
      </c>
      <c r="O1417" s="116">
        <v>1257</v>
      </c>
      <c r="P1417" s="116">
        <v>1270</v>
      </c>
      <c r="Q1417" s="116">
        <v>1283.6500000000001</v>
      </c>
      <c r="R1417">
        <v>377617</v>
      </c>
    </row>
    <row r="1418" spans="1:18" x14ac:dyDescent="0.25">
      <c r="A1418" s="170">
        <v>44092</v>
      </c>
      <c r="B1418" s="116">
        <v>1304.9000000000001</v>
      </c>
      <c r="C1418" s="116">
        <v>1271.3</v>
      </c>
      <c r="D1418" s="116">
        <v>1251</v>
      </c>
      <c r="E1418" s="116">
        <v>1290</v>
      </c>
      <c r="F1418" s="116">
        <v>1271.3</v>
      </c>
      <c r="G1418">
        <v>76199</v>
      </c>
      <c r="H1418" s="116"/>
      <c r="I1418" s="116"/>
      <c r="L1418" s="170">
        <v>44092</v>
      </c>
      <c r="M1418" s="116">
        <v>1273.4000000000001</v>
      </c>
      <c r="N1418" s="116">
        <v>1305.4000000000001</v>
      </c>
      <c r="O1418" s="116">
        <v>1250.5</v>
      </c>
      <c r="P1418" s="116">
        <v>1286</v>
      </c>
      <c r="Q1418" s="116">
        <v>1273.4000000000001</v>
      </c>
      <c r="R1418">
        <v>895399</v>
      </c>
    </row>
    <row r="1419" spans="1:18" x14ac:dyDescent="0.25">
      <c r="A1419" s="170">
        <v>44095</v>
      </c>
      <c r="B1419" s="116">
        <v>1313</v>
      </c>
      <c r="C1419" s="116">
        <v>1284.5999999999999</v>
      </c>
      <c r="D1419" s="116">
        <v>1271</v>
      </c>
      <c r="E1419" s="116">
        <v>1274.0999999999999</v>
      </c>
      <c r="F1419" s="116">
        <v>1284.5999999999999</v>
      </c>
      <c r="G1419">
        <v>53586</v>
      </c>
      <c r="H1419" s="116"/>
      <c r="I1419" s="116"/>
      <c r="L1419" s="170">
        <v>44095</v>
      </c>
      <c r="M1419" s="116">
        <v>1284.25</v>
      </c>
      <c r="N1419" s="116">
        <v>1314.9</v>
      </c>
      <c r="O1419" s="116">
        <v>1267.05</v>
      </c>
      <c r="P1419" s="116">
        <v>1271.95</v>
      </c>
      <c r="Q1419" s="116">
        <v>1284.25</v>
      </c>
      <c r="R1419">
        <v>508172</v>
      </c>
    </row>
    <row r="1420" spans="1:18" x14ac:dyDescent="0.25">
      <c r="A1420" s="170">
        <v>44096</v>
      </c>
      <c r="B1420" s="116">
        <v>1292.8499999999999</v>
      </c>
      <c r="C1420" s="116">
        <v>1232.8499999999999</v>
      </c>
      <c r="D1420" s="116">
        <v>1213.3499999999999</v>
      </c>
      <c r="E1420" s="116">
        <v>1284.5999999999999</v>
      </c>
      <c r="F1420" s="116">
        <v>1232.8499999999999</v>
      </c>
      <c r="G1420">
        <v>49368</v>
      </c>
      <c r="H1420" s="116"/>
      <c r="I1420" s="116"/>
      <c r="L1420" s="170">
        <v>44096</v>
      </c>
      <c r="M1420" s="116">
        <v>1234.3499999999999</v>
      </c>
      <c r="N1420" s="116">
        <v>1292.25</v>
      </c>
      <c r="O1420" s="116">
        <v>1215</v>
      </c>
      <c r="P1420" s="116">
        <v>1284.25</v>
      </c>
      <c r="Q1420" s="116">
        <v>1234.3499999999999</v>
      </c>
      <c r="R1420">
        <v>492430</v>
      </c>
    </row>
    <row r="1421" spans="1:18" x14ac:dyDescent="0.25">
      <c r="A1421" s="170">
        <v>44097</v>
      </c>
      <c r="B1421" s="116">
        <v>1260.9000000000001</v>
      </c>
      <c r="C1421" s="116">
        <v>1204.75</v>
      </c>
      <c r="D1421" s="116">
        <v>1187</v>
      </c>
      <c r="E1421" s="116">
        <v>1257.9000000000001</v>
      </c>
      <c r="F1421" s="116">
        <v>1204.75</v>
      </c>
      <c r="G1421">
        <v>44689</v>
      </c>
      <c r="H1421" s="116"/>
      <c r="I1421" s="116"/>
      <c r="L1421" s="170">
        <v>44097</v>
      </c>
      <c r="M1421" s="116">
        <v>1204.45</v>
      </c>
      <c r="N1421" s="116">
        <v>1261</v>
      </c>
      <c r="O1421" s="116">
        <v>1186</v>
      </c>
      <c r="P1421" s="116">
        <v>1247.95</v>
      </c>
      <c r="Q1421" s="116">
        <v>1204.45</v>
      </c>
      <c r="R1421">
        <v>454866</v>
      </c>
    </row>
    <row r="1422" spans="1:18" x14ac:dyDescent="0.25">
      <c r="A1422" s="170">
        <v>44098</v>
      </c>
      <c r="B1422" s="116">
        <v>1200</v>
      </c>
      <c r="C1422" s="116">
        <v>1184.9000000000001</v>
      </c>
      <c r="D1422" s="116">
        <v>1160.8</v>
      </c>
      <c r="E1422" s="116">
        <v>1200</v>
      </c>
      <c r="F1422" s="116">
        <v>1184.9000000000001</v>
      </c>
      <c r="G1422">
        <v>62685</v>
      </c>
      <c r="H1422" s="116"/>
      <c r="I1422" s="116"/>
      <c r="L1422" s="170">
        <v>44098</v>
      </c>
      <c r="M1422" s="116">
        <v>1188</v>
      </c>
      <c r="N1422" s="116">
        <v>1200</v>
      </c>
      <c r="O1422" s="116">
        <v>1161.3499999999999</v>
      </c>
      <c r="P1422" s="116">
        <v>1199.6500000000001</v>
      </c>
      <c r="Q1422" s="116">
        <v>1188</v>
      </c>
      <c r="R1422">
        <v>338908</v>
      </c>
    </row>
    <row r="1423" spans="1:18" x14ac:dyDescent="0.25">
      <c r="A1423" s="170">
        <v>44099</v>
      </c>
      <c r="B1423" s="116">
        <v>1280</v>
      </c>
      <c r="C1423" s="116">
        <v>1269.6500000000001</v>
      </c>
      <c r="D1423" s="116">
        <v>1190</v>
      </c>
      <c r="E1423" s="116">
        <v>1190</v>
      </c>
      <c r="F1423" s="116">
        <v>1269.6500000000001</v>
      </c>
      <c r="G1423">
        <v>362010</v>
      </c>
      <c r="H1423" s="116"/>
      <c r="I1423" s="116"/>
      <c r="L1423" s="170">
        <v>44099</v>
      </c>
      <c r="M1423" s="116">
        <v>1266.45</v>
      </c>
      <c r="N1423" s="116">
        <v>1280</v>
      </c>
      <c r="O1423" s="116">
        <v>1193.95</v>
      </c>
      <c r="P1423" s="116">
        <v>1193.95</v>
      </c>
      <c r="Q1423" s="116">
        <v>1266.45</v>
      </c>
      <c r="R1423">
        <v>783157</v>
      </c>
    </row>
    <row r="1424" spans="1:18" x14ac:dyDescent="0.25">
      <c r="A1424" s="170">
        <v>44102</v>
      </c>
      <c r="B1424" s="116">
        <v>1309.5</v>
      </c>
      <c r="C1424" s="116">
        <v>1302.5999999999999</v>
      </c>
      <c r="D1424" s="116">
        <v>1279</v>
      </c>
      <c r="E1424" s="116">
        <v>1279</v>
      </c>
      <c r="F1424" s="116">
        <v>1302.5999999999999</v>
      </c>
      <c r="G1424">
        <v>116855</v>
      </c>
      <c r="H1424" s="116"/>
      <c r="I1424" s="116"/>
      <c r="L1424" s="170">
        <v>44102</v>
      </c>
      <c r="M1424" s="116">
        <v>1302</v>
      </c>
      <c r="N1424" s="116">
        <v>1309.75</v>
      </c>
      <c r="O1424" s="116">
        <v>1283.5999999999999</v>
      </c>
      <c r="P1424" s="116">
        <v>1284.8</v>
      </c>
      <c r="Q1424" s="116">
        <v>1302</v>
      </c>
      <c r="R1424">
        <v>396288</v>
      </c>
    </row>
    <row r="1425" spans="1:18" x14ac:dyDescent="0.25">
      <c r="A1425" s="170">
        <v>44103</v>
      </c>
      <c r="B1425" s="116">
        <v>1323.05</v>
      </c>
      <c r="C1425" s="116">
        <v>1279.45</v>
      </c>
      <c r="D1425" s="116">
        <v>1272.3499999999999</v>
      </c>
      <c r="E1425" s="116">
        <v>1316</v>
      </c>
      <c r="F1425" s="116">
        <v>1279.45</v>
      </c>
      <c r="G1425">
        <v>118537</v>
      </c>
      <c r="H1425" s="116"/>
      <c r="I1425" s="116"/>
      <c r="L1425" s="170">
        <v>44103</v>
      </c>
      <c r="M1425" s="116">
        <v>1281.05</v>
      </c>
      <c r="N1425" s="116">
        <v>1325.25</v>
      </c>
      <c r="O1425" s="116">
        <v>1272.25</v>
      </c>
      <c r="P1425" s="116">
        <v>1310</v>
      </c>
      <c r="Q1425" s="116">
        <v>1281.05</v>
      </c>
      <c r="R1425">
        <v>282482</v>
      </c>
    </row>
    <row r="1426" spans="1:18" x14ac:dyDescent="0.25">
      <c r="A1426" s="170">
        <v>44104</v>
      </c>
      <c r="B1426" s="116">
        <v>1295</v>
      </c>
      <c r="C1426" s="116">
        <v>1283.8499999999999</v>
      </c>
      <c r="D1426" s="116">
        <v>1264</v>
      </c>
      <c r="E1426" s="116">
        <v>1280</v>
      </c>
      <c r="F1426" s="116">
        <v>1283.8499999999999</v>
      </c>
      <c r="G1426">
        <v>48957</v>
      </c>
      <c r="H1426" s="116"/>
      <c r="I1426" s="116"/>
      <c r="L1426" s="170">
        <v>44104</v>
      </c>
      <c r="M1426" s="116">
        <v>1287</v>
      </c>
      <c r="N1426" s="116">
        <v>1295</v>
      </c>
      <c r="O1426" s="116">
        <v>1263.3</v>
      </c>
      <c r="P1426" s="116">
        <v>1284</v>
      </c>
      <c r="Q1426" s="116">
        <v>1287</v>
      </c>
      <c r="R1426">
        <v>224016</v>
      </c>
    </row>
    <row r="1427" spans="1:18" x14ac:dyDescent="0.25">
      <c r="A1427" s="170">
        <v>44105</v>
      </c>
      <c r="B1427" s="116">
        <v>1314</v>
      </c>
      <c r="C1427" s="116">
        <v>1274.9000000000001</v>
      </c>
      <c r="D1427" s="116">
        <v>1271</v>
      </c>
      <c r="E1427" s="116">
        <v>1314</v>
      </c>
      <c r="F1427" s="116">
        <v>1274.9000000000001</v>
      </c>
      <c r="G1427">
        <v>67596</v>
      </c>
      <c r="H1427" s="116"/>
      <c r="I1427" s="116"/>
      <c r="L1427" s="170">
        <v>44105</v>
      </c>
      <c r="M1427" s="116">
        <v>1276.3</v>
      </c>
      <c r="N1427" s="116">
        <v>1296.95</v>
      </c>
      <c r="O1427" s="116">
        <v>1270.1500000000001</v>
      </c>
      <c r="P1427" s="116">
        <v>1295</v>
      </c>
      <c r="Q1427" s="116">
        <v>1276.3</v>
      </c>
      <c r="R1427">
        <v>304028</v>
      </c>
    </row>
    <row r="1428" spans="1:18" x14ac:dyDescent="0.25">
      <c r="A1428" s="170">
        <v>44109</v>
      </c>
      <c r="B1428" s="116">
        <v>1374.95</v>
      </c>
      <c r="C1428" s="116">
        <v>1348.25</v>
      </c>
      <c r="D1428" s="116">
        <v>1280</v>
      </c>
      <c r="E1428" s="116">
        <v>1280</v>
      </c>
      <c r="F1428" s="116">
        <v>1348.25</v>
      </c>
      <c r="G1428">
        <v>71962</v>
      </c>
      <c r="H1428" s="116"/>
      <c r="I1428" s="116"/>
      <c r="L1428" s="170">
        <v>44109</v>
      </c>
      <c r="M1428" s="116">
        <v>1346.75</v>
      </c>
      <c r="N1428" s="116">
        <v>1375</v>
      </c>
      <c r="O1428" s="116">
        <v>1287.3</v>
      </c>
      <c r="P1428" s="116">
        <v>1290</v>
      </c>
      <c r="Q1428" s="116">
        <v>1346.75</v>
      </c>
      <c r="R1428">
        <v>1338504</v>
      </c>
    </row>
    <row r="1429" spans="1:18" x14ac:dyDescent="0.25">
      <c r="A1429" s="170">
        <v>44110</v>
      </c>
      <c r="B1429" s="116">
        <v>1402</v>
      </c>
      <c r="C1429" s="116">
        <v>1392.05</v>
      </c>
      <c r="D1429" s="116">
        <v>1346.45</v>
      </c>
      <c r="E1429" s="116">
        <v>1364</v>
      </c>
      <c r="F1429" s="116">
        <v>1392.05</v>
      </c>
      <c r="G1429">
        <v>106154</v>
      </c>
      <c r="H1429" s="116"/>
      <c r="I1429" s="116"/>
      <c r="L1429" s="170">
        <v>44110</v>
      </c>
      <c r="M1429" s="116">
        <v>1392.75</v>
      </c>
      <c r="N1429" s="116">
        <v>1403</v>
      </c>
      <c r="O1429" s="116">
        <v>1346</v>
      </c>
      <c r="P1429" s="116">
        <v>1359.9</v>
      </c>
      <c r="Q1429" s="116">
        <v>1392.75</v>
      </c>
      <c r="R1429">
        <v>776760</v>
      </c>
    </row>
    <row r="1430" spans="1:18" x14ac:dyDescent="0.25">
      <c r="A1430" s="170">
        <v>44111</v>
      </c>
      <c r="B1430" s="116">
        <v>1393.45</v>
      </c>
      <c r="C1430" s="116">
        <v>1379.55</v>
      </c>
      <c r="D1430" s="116">
        <v>1365.9</v>
      </c>
      <c r="E1430" s="116">
        <v>1392.1</v>
      </c>
      <c r="F1430" s="116">
        <v>1379.55</v>
      </c>
      <c r="G1430">
        <v>70156</v>
      </c>
      <c r="H1430" s="116"/>
      <c r="I1430" s="116"/>
      <c r="L1430" s="170">
        <v>44111</v>
      </c>
      <c r="M1430" s="116">
        <v>1381.1</v>
      </c>
      <c r="N1430" s="116">
        <v>1395</v>
      </c>
      <c r="O1430" s="116">
        <v>1366.1</v>
      </c>
      <c r="P1430" s="116">
        <v>1395</v>
      </c>
      <c r="Q1430" s="116">
        <v>1381.1</v>
      </c>
      <c r="R1430">
        <v>305441</v>
      </c>
    </row>
    <row r="1431" spans="1:18" x14ac:dyDescent="0.25">
      <c r="A1431" s="170">
        <v>44112</v>
      </c>
      <c r="B1431" s="116">
        <v>1436.05</v>
      </c>
      <c r="C1431" s="116">
        <v>1400.05</v>
      </c>
      <c r="D1431" s="116">
        <v>1391.95</v>
      </c>
      <c r="E1431" s="116">
        <v>1392</v>
      </c>
      <c r="F1431" s="116">
        <v>1400.05</v>
      </c>
      <c r="G1431">
        <v>36901</v>
      </c>
      <c r="H1431" s="116"/>
      <c r="I1431" s="116"/>
      <c r="L1431" s="170">
        <v>44112</v>
      </c>
      <c r="M1431" s="116">
        <v>1401.45</v>
      </c>
      <c r="N1431" s="116">
        <v>1437.85</v>
      </c>
      <c r="O1431" s="116">
        <v>1392</v>
      </c>
      <c r="P1431" s="116">
        <v>1395.2</v>
      </c>
      <c r="Q1431" s="116">
        <v>1401.45</v>
      </c>
      <c r="R1431">
        <v>915118</v>
      </c>
    </row>
    <row r="1432" spans="1:18" x14ac:dyDescent="0.25">
      <c r="A1432" s="170">
        <v>44113</v>
      </c>
      <c r="B1432" s="116">
        <v>1408.1</v>
      </c>
      <c r="C1432" s="116">
        <v>1395.65</v>
      </c>
      <c r="D1432" s="116">
        <v>1373.1</v>
      </c>
      <c r="E1432" s="116">
        <v>1400</v>
      </c>
      <c r="F1432" s="116">
        <v>1395.65</v>
      </c>
      <c r="G1432">
        <v>17376</v>
      </c>
      <c r="H1432" s="116"/>
      <c r="I1432" s="116"/>
      <c r="L1432" s="170">
        <v>44113</v>
      </c>
      <c r="M1432" s="116">
        <v>1394.05</v>
      </c>
      <c r="N1432" s="116">
        <v>1407.95</v>
      </c>
      <c r="O1432" s="116">
        <v>1372</v>
      </c>
      <c r="P1432" s="116">
        <v>1402</v>
      </c>
      <c r="Q1432" s="116">
        <v>1394.05</v>
      </c>
      <c r="R1432">
        <v>265438</v>
      </c>
    </row>
    <row r="1433" spans="1:18" x14ac:dyDescent="0.25">
      <c r="A1433" s="170">
        <v>44116</v>
      </c>
      <c r="B1433" s="116">
        <v>1497.35</v>
      </c>
      <c r="C1433" s="116">
        <v>1477.95</v>
      </c>
      <c r="D1433" s="116">
        <v>1397.4</v>
      </c>
      <c r="E1433" s="116">
        <v>1400</v>
      </c>
      <c r="F1433" s="116">
        <v>1477.95</v>
      </c>
      <c r="G1433">
        <v>125002</v>
      </c>
      <c r="H1433" s="116"/>
      <c r="I1433" s="116"/>
      <c r="L1433" s="170">
        <v>44116</v>
      </c>
      <c r="M1433" s="116">
        <v>1475.55</v>
      </c>
      <c r="N1433" s="116">
        <v>1498.3</v>
      </c>
      <c r="O1433" s="116">
        <v>1397</v>
      </c>
      <c r="P1433" s="116">
        <v>1405</v>
      </c>
      <c r="Q1433" s="116">
        <v>1475.55</v>
      </c>
      <c r="R1433">
        <v>1013815</v>
      </c>
    </row>
    <row r="1434" spans="1:18" x14ac:dyDescent="0.25">
      <c r="A1434" s="170">
        <v>44117</v>
      </c>
      <c r="B1434" s="116">
        <v>1493.95</v>
      </c>
      <c r="C1434" s="116">
        <v>1457.95</v>
      </c>
      <c r="D1434" s="116">
        <v>1432</v>
      </c>
      <c r="E1434" s="116">
        <v>1489.9</v>
      </c>
      <c r="F1434" s="116">
        <v>1457.95</v>
      </c>
      <c r="G1434">
        <v>57281</v>
      </c>
      <c r="H1434" s="116"/>
      <c r="I1434" s="116"/>
      <c r="L1434" s="170">
        <v>44117</v>
      </c>
      <c r="M1434" s="116">
        <v>1458.2</v>
      </c>
      <c r="N1434" s="116">
        <v>1494.45</v>
      </c>
      <c r="O1434" s="116">
        <v>1432.5</v>
      </c>
      <c r="P1434" s="116">
        <v>1487.9</v>
      </c>
      <c r="Q1434" s="116">
        <v>1458.2</v>
      </c>
      <c r="R1434">
        <v>768972</v>
      </c>
    </row>
    <row r="1435" spans="1:18" x14ac:dyDescent="0.25">
      <c r="A1435" s="170">
        <v>44118</v>
      </c>
      <c r="B1435" s="116">
        <v>1505</v>
      </c>
      <c r="C1435" s="116">
        <v>1456.95</v>
      </c>
      <c r="D1435" s="116">
        <v>1437</v>
      </c>
      <c r="E1435" s="116">
        <v>1460.95</v>
      </c>
      <c r="F1435" s="116">
        <v>1456.95</v>
      </c>
      <c r="G1435">
        <v>53503</v>
      </c>
      <c r="H1435" s="116"/>
      <c r="I1435" s="116"/>
      <c r="L1435" s="170">
        <v>44118</v>
      </c>
      <c r="M1435" s="116">
        <v>1459.15</v>
      </c>
      <c r="N1435" s="116">
        <v>1506.7</v>
      </c>
      <c r="O1435" s="116">
        <v>1435</v>
      </c>
      <c r="P1435" s="116">
        <v>1458</v>
      </c>
      <c r="Q1435" s="116">
        <v>1459.15</v>
      </c>
      <c r="R1435">
        <v>824015</v>
      </c>
    </row>
    <row r="1436" spans="1:18" x14ac:dyDescent="0.25">
      <c r="A1436" s="170">
        <v>44119</v>
      </c>
      <c r="B1436" s="116">
        <v>1533.55</v>
      </c>
      <c r="C1436" s="116">
        <v>1463.85</v>
      </c>
      <c r="D1436" s="116">
        <v>1441</v>
      </c>
      <c r="E1436" s="116">
        <v>1488</v>
      </c>
      <c r="F1436" s="116">
        <v>1463.85</v>
      </c>
      <c r="G1436">
        <v>102008</v>
      </c>
      <c r="H1436" s="116"/>
      <c r="I1436" s="116"/>
      <c r="L1436" s="170">
        <v>44119</v>
      </c>
      <c r="M1436" s="116">
        <v>1464.15</v>
      </c>
      <c r="N1436" s="116">
        <v>1534.95</v>
      </c>
      <c r="O1436" s="116">
        <v>1440.05</v>
      </c>
      <c r="P1436" s="116">
        <v>1490</v>
      </c>
      <c r="Q1436" s="116">
        <v>1464.15</v>
      </c>
      <c r="R1436">
        <v>2226205</v>
      </c>
    </row>
    <row r="1437" spans="1:18" x14ac:dyDescent="0.25">
      <c r="A1437" s="170">
        <v>44120</v>
      </c>
      <c r="B1437" s="116">
        <v>1519</v>
      </c>
      <c r="C1437" s="116">
        <v>1508.85</v>
      </c>
      <c r="D1437" s="116">
        <v>1439</v>
      </c>
      <c r="E1437" s="116">
        <v>1483.95</v>
      </c>
      <c r="F1437" s="116">
        <v>1508.85</v>
      </c>
      <c r="G1437">
        <v>83678</v>
      </c>
      <c r="H1437" s="116"/>
      <c r="I1437" s="116"/>
      <c r="L1437" s="170">
        <v>44120</v>
      </c>
      <c r="M1437" s="116">
        <v>1508.85</v>
      </c>
      <c r="N1437" s="116">
        <v>1518.7</v>
      </c>
      <c r="O1437" s="116">
        <v>1439</v>
      </c>
      <c r="P1437" s="116">
        <v>1480</v>
      </c>
      <c r="Q1437" s="116">
        <v>1508.85</v>
      </c>
      <c r="R1437">
        <v>993505</v>
      </c>
    </row>
    <row r="1438" spans="1:18" x14ac:dyDescent="0.25">
      <c r="A1438" s="170">
        <v>44123</v>
      </c>
      <c r="B1438" s="116">
        <v>1517.35</v>
      </c>
      <c r="C1438" s="116">
        <v>1489.35</v>
      </c>
      <c r="D1438" s="116">
        <v>1457.3</v>
      </c>
      <c r="E1438" s="116">
        <v>1514</v>
      </c>
      <c r="F1438" s="116">
        <v>1489.35</v>
      </c>
      <c r="G1438">
        <v>95896</v>
      </c>
      <c r="H1438" s="116"/>
      <c r="I1438" s="116"/>
      <c r="L1438" s="170">
        <v>44123</v>
      </c>
      <c r="M1438" s="116">
        <v>1490.1</v>
      </c>
      <c r="N1438" s="116">
        <v>1518.25</v>
      </c>
      <c r="O1438" s="116">
        <v>1457.15</v>
      </c>
      <c r="P1438" s="116">
        <v>1505</v>
      </c>
      <c r="Q1438" s="116">
        <v>1490.1</v>
      </c>
      <c r="R1438">
        <v>693237</v>
      </c>
    </row>
    <row r="1439" spans="1:18" x14ac:dyDescent="0.25">
      <c r="A1439" s="170">
        <v>44124</v>
      </c>
      <c r="B1439" s="116">
        <v>1520.25</v>
      </c>
      <c r="C1439" s="116">
        <v>1509.75</v>
      </c>
      <c r="D1439" s="116">
        <v>1479.3</v>
      </c>
      <c r="E1439" s="116">
        <v>1489</v>
      </c>
      <c r="F1439" s="116">
        <v>1509.75</v>
      </c>
      <c r="G1439">
        <v>26490</v>
      </c>
      <c r="H1439" s="116"/>
      <c r="I1439" s="116"/>
      <c r="L1439" s="170">
        <v>44124</v>
      </c>
      <c r="M1439" s="116">
        <v>1510.55</v>
      </c>
      <c r="N1439" s="116">
        <v>1521</v>
      </c>
      <c r="O1439" s="116">
        <v>1480</v>
      </c>
      <c r="P1439" s="116">
        <v>1485</v>
      </c>
      <c r="Q1439" s="116">
        <v>1510.55</v>
      </c>
      <c r="R1439">
        <v>557308</v>
      </c>
    </row>
    <row r="1440" spans="1:18" x14ac:dyDescent="0.25">
      <c r="A1440" s="170">
        <v>44125</v>
      </c>
      <c r="B1440" s="116">
        <v>1550</v>
      </c>
      <c r="C1440" s="116">
        <v>1543.95</v>
      </c>
      <c r="D1440" s="116">
        <v>1510</v>
      </c>
      <c r="E1440" s="116">
        <v>1519</v>
      </c>
      <c r="F1440" s="116">
        <v>1543.95</v>
      </c>
      <c r="G1440">
        <v>30109</v>
      </c>
      <c r="H1440" s="116"/>
      <c r="I1440" s="116"/>
      <c r="L1440" s="170">
        <v>44125</v>
      </c>
      <c r="M1440" s="116">
        <v>1543.75</v>
      </c>
      <c r="N1440" s="116">
        <v>1550</v>
      </c>
      <c r="O1440" s="116">
        <v>1511</v>
      </c>
      <c r="P1440" s="116">
        <v>1520</v>
      </c>
      <c r="Q1440" s="116">
        <v>1543.75</v>
      </c>
      <c r="R1440">
        <v>475636</v>
      </c>
    </row>
    <row r="1441" spans="1:18" x14ac:dyDescent="0.25">
      <c r="A1441" s="170">
        <v>44126</v>
      </c>
      <c r="B1441" s="116">
        <v>1635</v>
      </c>
      <c r="C1441" s="116">
        <v>1608.3</v>
      </c>
      <c r="D1441" s="116">
        <v>1543.95</v>
      </c>
      <c r="E1441" s="116">
        <v>1545</v>
      </c>
      <c r="F1441" s="116">
        <v>1608.3</v>
      </c>
      <c r="G1441">
        <v>52436</v>
      </c>
      <c r="H1441" s="116"/>
      <c r="I1441" s="116"/>
      <c r="L1441" s="170">
        <v>44126</v>
      </c>
      <c r="M1441" s="116">
        <v>1604.2</v>
      </c>
      <c r="N1441" s="116">
        <v>1635</v>
      </c>
      <c r="O1441" s="116">
        <v>1543.1</v>
      </c>
      <c r="P1441" s="116">
        <v>1550</v>
      </c>
      <c r="Q1441" s="116">
        <v>1604.2</v>
      </c>
      <c r="R1441">
        <v>796644</v>
      </c>
    </row>
    <row r="1442" spans="1:18" x14ac:dyDescent="0.25">
      <c r="A1442" s="170">
        <v>44127</v>
      </c>
      <c r="B1442" s="116">
        <v>1709.9</v>
      </c>
      <c r="C1442" s="116">
        <v>1651.65</v>
      </c>
      <c r="D1442" s="116">
        <v>1608.4</v>
      </c>
      <c r="E1442" s="116">
        <v>1617</v>
      </c>
      <c r="F1442" s="116">
        <v>1651.65</v>
      </c>
      <c r="G1442">
        <v>93840</v>
      </c>
      <c r="H1442" s="116"/>
      <c r="I1442" s="116"/>
      <c r="L1442" s="170">
        <v>44127</v>
      </c>
      <c r="M1442" s="116">
        <v>1651.6</v>
      </c>
      <c r="N1442" s="116">
        <v>1710</v>
      </c>
      <c r="O1442" s="116">
        <v>1608</v>
      </c>
      <c r="P1442" s="116">
        <v>1620</v>
      </c>
      <c r="Q1442" s="116">
        <v>1651.6</v>
      </c>
      <c r="R1442">
        <v>1654905</v>
      </c>
    </row>
    <row r="1443" spans="1:18" x14ac:dyDescent="0.25">
      <c r="A1443" s="170">
        <v>44130</v>
      </c>
      <c r="B1443" s="116">
        <v>1705</v>
      </c>
      <c r="C1443" s="116">
        <v>1687.3</v>
      </c>
      <c r="D1443" s="116">
        <v>1645.2</v>
      </c>
      <c r="E1443" s="116">
        <v>1650</v>
      </c>
      <c r="F1443" s="116">
        <v>1687.3</v>
      </c>
      <c r="G1443">
        <v>62592</v>
      </c>
      <c r="H1443" s="116"/>
      <c r="I1443" s="116"/>
      <c r="L1443" s="170">
        <v>44130</v>
      </c>
      <c r="M1443" s="116">
        <v>1687.35</v>
      </c>
      <c r="N1443" s="116">
        <v>1706</v>
      </c>
      <c r="O1443" s="116">
        <v>1645.9</v>
      </c>
      <c r="P1443" s="116">
        <v>1665</v>
      </c>
      <c r="Q1443" s="116">
        <v>1687.35</v>
      </c>
      <c r="R1443">
        <v>901021</v>
      </c>
    </row>
    <row r="1444" spans="1:18" x14ac:dyDescent="0.25">
      <c r="A1444" s="170">
        <v>44131</v>
      </c>
      <c r="B1444" s="116">
        <v>1704</v>
      </c>
      <c r="C1444" s="116">
        <v>1657.8</v>
      </c>
      <c r="D1444" s="116">
        <v>1648</v>
      </c>
      <c r="E1444" s="116">
        <v>1689</v>
      </c>
      <c r="F1444" s="116">
        <v>1657.8</v>
      </c>
      <c r="G1444">
        <v>24856</v>
      </c>
      <c r="H1444" s="116"/>
      <c r="I1444" s="116"/>
      <c r="L1444" s="170">
        <v>44131</v>
      </c>
      <c r="M1444" s="116">
        <v>1658.4</v>
      </c>
      <c r="N1444" s="116">
        <v>1708</v>
      </c>
      <c r="O1444" s="116">
        <v>1646.8</v>
      </c>
      <c r="P1444" s="116">
        <v>1708</v>
      </c>
      <c r="Q1444" s="116">
        <v>1658.4</v>
      </c>
      <c r="R1444">
        <v>584979</v>
      </c>
    </row>
    <row r="1445" spans="1:18" x14ac:dyDescent="0.25">
      <c r="A1445" s="170">
        <v>44132</v>
      </c>
      <c r="B1445" s="116">
        <v>1665</v>
      </c>
      <c r="C1445" s="116">
        <v>1584.65</v>
      </c>
      <c r="D1445" s="116">
        <v>1571.4</v>
      </c>
      <c r="E1445" s="116">
        <v>1665</v>
      </c>
      <c r="F1445" s="116">
        <v>1584.65</v>
      </c>
      <c r="G1445">
        <v>31975</v>
      </c>
      <c r="H1445" s="116"/>
      <c r="I1445" s="116"/>
      <c r="L1445" s="170">
        <v>44132</v>
      </c>
      <c r="M1445" s="116">
        <v>1584.5</v>
      </c>
      <c r="N1445" s="116">
        <v>1658</v>
      </c>
      <c r="O1445" s="116">
        <v>1572.3</v>
      </c>
      <c r="P1445" s="116">
        <v>1658</v>
      </c>
      <c r="Q1445" s="116">
        <v>1584.5</v>
      </c>
      <c r="R1445">
        <v>581378</v>
      </c>
    </row>
    <row r="1446" spans="1:18" x14ac:dyDescent="0.25">
      <c r="A1446" s="170">
        <v>44133</v>
      </c>
      <c r="B1446" s="116">
        <v>1565.95</v>
      </c>
      <c r="C1446" s="116">
        <v>1508.65</v>
      </c>
      <c r="D1446" s="116">
        <v>1502</v>
      </c>
      <c r="E1446" s="116">
        <v>1545</v>
      </c>
      <c r="F1446" s="116">
        <v>1508.65</v>
      </c>
      <c r="G1446">
        <v>42265</v>
      </c>
      <c r="H1446" s="116"/>
      <c r="I1446" s="116"/>
      <c r="L1446" s="170">
        <v>44133</v>
      </c>
      <c r="M1446" s="116">
        <v>1508.8</v>
      </c>
      <c r="N1446" s="116">
        <v>1571.8</v>
      </c>
      <c r="O1446" s="116">
        <v>1501.25</v>
      </c>
      <c r="P1446" s="116">
        <v>1571.8</v>
      </c>
      <c r="Q1446" s="116">
        <v>1508.8</v>
      </c>
      <c r="R1446">
        <v>432513</v>
      </c>
    </row>
    <row r="1447" spans="1:18" x14ac:dyDescent="0.25">
      <c r="A1447" s="170">
        <v>44134</v>
      </c>
      <c r="B1447" s="116">
        <v>1570.4</v>
      </c>
      <c r="C1447" s="116">
        <v>1532.7</v>
      </c>
      <c r="D1447" s="116">
        <v>1510.8</v>
      </c>
      <c r="E1447" s="116">
        <v>1510.8</v>
      </c>
      <c r="F1447" s="116">
        <v>1532.7</v>
      </c>
      <c r="G1447">
        <v>51582</v>
      </c>
      <c r="H1447" s="116"/>
      <c r="I1447" s="116"/>
      <c r="L1447" s="170">
        <v>44134</v>
      </c>
      <c r="M1447" s="116">
        <v>1534.1</v>
      </c>
      <c r="N1447" s="116">
        <v>1572.5</v>
      </c>
      <c r="O1447" s="116">
        <v>1508</v>
      </c>
      <c r="P1447" s="116">
        <v>1512</v>
      </c>
      <c r="Q1447" s="116">
        <v>1534.1</v>
      </c>
      <c r="R1447">
        <v>942949</v>
      </c>
    </row>
    <row r="1448" spans="1:18" x14ac:dyDescent="0.25">
      <c r="A1448" s="170">
        <v>44137</v>
      </c>
      <c r="B1448" s="116">
        <v>1539.7</v>
      </c>
      <c r="C1448" s="116">
        <v>1497.45</v>
      </c>
      <c r="D1448" s="116">
        <v>1491.25</v>
      </c>
      <c r="E1448" s="116">
        <v>1539.7</v>
      </c>
      <c r="F1448" s="116">
        <v>1497.45</v>
      </c>
      <c r="G1448">
        <v>31942</v>
      </c>
      <c r="H1448" s="116"/>
      <c r="I1448" s="116"/>
      <c r="L1448" s="170">
        <v>44137</v>
      </c>
      <c r="M1448" s="116">
        <v>1496.3</v>
      </c>
      <c r="N1448" s="116">
        <v>1536.95</v>
      </c>
      <c r="O1448" s="116">
        <v>1490</v>
      </c>
      <c r="P1448" s="116">
        <v>1526.85</v>
      </c>
      <c r="Q1448" s="116">
        <v>1496.3</v>
      </c>
      <c r="R1448">
        <v>306379</v>
      </c>
    </row>
    <row r="1449" spans="1:18" x14ac:dyDescent="0.25">
      <c r="A1449" s="170">
        <v>44138</v>
      </c>
      <c r="B1449" s="116">
        <v>1539</v>
      </c>
      <c r="C1449" s="116">
        <v>1529.7</v>
      </c>
      <c r="D1449" s="116">
        <v>1466</v>
      </c>
      <c r="E1449" s="116">
        <v>1485</v>
      </c>
      <c r="F1449" s="116">
        <v>1529.7</v>
      </c>
      <c r="G1449">
        <v>38274</v>
      </c>
      <c r="H1449" s="116"/>
      <c r="I1449" s="116"/>
      <c r="L1449" s="170">
        <v>44138</v>
      </c>
      <c r="M1449" s="116">
        <v>1529.8</v>
      </c>
      <c r="N1449" s="116">
        <v>1539.8</v>
      </c>
      <c r="O1449" s="116">
        <v>1465.45</v>
      </c>
      <c r="P1449" s="116">
        <v>1490</v>
      </c>
      <c r="Q1449" s="116">
        <v>1529.8</v>
      </c>
      <c r="R1449">
        <v>452979</v>
      </c>
    </row>
    <row r="1450" spans="1:18" x14ac:dyDescent="0.25">
      <c r="A1450" s="170">
        <v>44139</v>
      </c>
      <c r="B1450" s="116">
        <v>1578.5</v>
      </c>
      <c r="C1450" s="116">
        <v>1534.1</v>
      </c>
      <c r="D1450" s="116">
        <v>1516.6</v>
      </c>
      <c r="E1450" s="116">
        <v>1547.9</v>
      </c>
      <c r="F1450" s="116">
        <v>1534.1</v>
      </c>
      <c r="G1450">
        <v>76820</v>
      </c>
      <c r="H1450" s="116"/>
      <c r="I1450" s="116"/>
      <c r="L1450" s="170">
        <v>44139</v>
      </c>
      <c r="M1450" s="116">
        <v>1535.25</v>
      </c>
      <c r="N1450" s="116">
        <v>1579</v>
      </c>
      <c r="O1450" s="116">
        <v>1517.95</v>
      </c>
      <c r="P1450" s="116">
        <v>1535.8</v>
      </c>
      <c r="Q1450" s="116">
        <v>1535.25</v>
      </c>
      <c r="R1450">
        <v>416409</v>
      </c>
    </row>
    <row r="1451" spans="1:18" x14ac:dyDescent="0.25">
      <c r="A1451" s="170">
        <v>44140</v>
      </c>
      <c r="B1451" s="116">
        <v>1585</v>
      </c>
      <c r="C1451" s="116">
        <v>1565.65</v>
      </c>
      <c r="D1451" s="116">
        <v>1542.55</v>
      </c>
      <c r="E1451" s="116">
        <v>1548.25</v>
      </c>
      <c r="F1451" s="116">
        <v>1565.65</v>
      </c>
      <c r="G1451">
        <v>34739</v>
      </c>
      <c r="H1451" s="116"/>
      <c r="I1451" s="116"/>
      <c r="L1451" s="170">
        <v>44140</v>
      </c>
      <c r="M1451" s="116">
        <v>1565.7</v>
      </c>
      <c r="N1451" s="116">
        <v>1585</v>
      </c>
      <c r="O1451" s="116">
        <v>1542</v>
      </c>
      <c r="P1451" s="116">
        <v>1554.95</v>
      </c>
      <c r="Q1451" s="116">
        <v>1565.7</v>
      </c>
      <c r="R1451">
        <v>427882</v>
      </c>
    </row>
    <row r="1452" spans="1:18" x14ac:dyDescent="0.25">
      <c r="A1452" s="170">
        <v>44141</v>
      </c>
      <c r="B1452" s="116">
        <v>1593</v>
      </c>
      <c r="C1452" s="116">
        <v>1549.75</v>
      </c>
      <c r="D1452" s="116">
        <v>1538.6</v>
      </c>
      <c r="E1452" s="116">
        <v>1564</v>
      </c>
      <c r="F1452" s="116">
        <v>1549.75</v>
      </c>
      <c r="G1452">
        <v>27311</v>
      </c>
      <c r="H1452" s="116"/>
      <c r="I1452" s="116"/>
      <c r="L1452" s="170">
        <v>44141</v>
      </c>
      <c r="M1452" s="116">
        <v>1553</v>
      </c>
      <c r="N1452" s="116">
        <v>1594.1</v>
      </c>
      <c r="O1452" s="116">
        <v>1536.6</v>
      </c>
      <c r="P1452" s="116">
        <v>1569.95</v>
      </c>
      <c r="Q1452" s="116">
        <v>1553</v>
      </c>
      <c r="R1452">
        <v>402941</v>
      </c>
    </row>
    <row r="1453" spans="1:18" x14ac:dyDescent="0.25">
      <c r="A1453" s="170">
        <v>44144</v>
      </c>
      <c r="B1453" s="116">
        <v>1573.4</v>
      </c>
      <c r="C1453" s="116">
        <v>1522.35</v>
      </c>
      <c r="D1453" s="116">
        <v>1511.3</v>
      </c>
      <c r="E1453" s="116">
        <v>1560</v>
      </c>
      <c r="F1453" s="116">
        <v>1522.35</v>
      </c>
      <c r="G1453">
        <v>22697</v>
      </c>
      <c r="H1453" s="116"/>
      <c r="I1453" s="116"/>
      <c r="L1453" s="170">
        <v>44144</v>
      </c>
      <c r="M1453" s="116">
        <v>1524.1</v>
      </c>
      <c r="N1453" s="116">
        <v>1574.25</v>
      </c>
      <c r="O1453" s="116">
        <v>1520</v>
      </c>
      <c r="P1453" s="116">
        <v>1560.95</v>
      </c>
      <c r="Q1453" s="116">
        <v>1524.1</v>
      </c>
      <c r="R1453">
        <v>411503</v>
      </c>
    </row>
    <row r="1454" spans="1:18" x14ac:dyDescent="0.25">
      <c r="A1454" s="170">
        <v>44145</v>
      </c>
      <c r="B1454" s="116">
        <v>1541</v>
      </c>
      <c r="C1454" s="116">
        <v>1463.1</v>
      </c>
      <c r="D1454" s="116">
        <v>1452.1</v>
      </c>
      <c r="E1454" s="116">
        <v>1541</v>
      </c>
      <c r="F1454" s="116">
        <v>1463.1</v>
      </c>
      <c r="G1454">
        <v>35472</v>
      </c>
      <c r="H1454" s="116"/>
      <c r="I1454" s="116"/>
      <c r="L1454" s="170">
        <v>44145</v>
      </c>
      <c r="M1454" s="116">
        <v>1464.6</v>
      </c>
      <c r="N1454" s="116">
        <v>1539.45</v>
      </c>
      <c r="O1454" s="116">
        <v>1455</v>
      </c>
      <c r="P1454" s="116">
        <v>1538.95</v>
      </c>
      <c r="Q1454" s="116">
        <v>1464.6</v>
      </c>
      <c r="R1454">
        <v>418783</v>
      </c>
    </row>
    <row r="1455" spans="1:18" x14ac:dyDescent="0.25">
      <c r="A1455" s="170">
        <v>44146</v>
      </c>
      <c r="B1455" s="116">
        <v>1511.3</v>
      </c>
      <c r="C1455" s="116">
        <v>1499.5</v>
      </c>
      <c r="D1455" s="116">
        <v>1468.75</v>
      </c>
      <c r="E1455" s="116">
        <v>1474.95</v>
      </c>
      <c r="F1455" s="116">
        <v>1499.5</v>
      </c>
      <c r="G1455">
        <v>35818</v>
      </c>
      <c r="H1455" s="116"/>
      <c r="I1455" s="116"/>
      <c r="L1455" s="170">
        <v>44146</v>
      </c>
      <c r="M1455" s="116">
        <v>1498.45</v>
      </c>
      <c r="N1455" s="116">
        <v>1512.4</v>
      </c>
      <c r="O1455" s="116">
        <v>1466</v>
      </c>
      <c r="P1455" s="116">
        <v>1470</v>
      </c>
      <c r="Q1455" s="116">
        <v>1498.45</v>
      </c>
      <c r="R1455">
        <v>379582</v>
      </c>
    </row>
    <row r="1456" spans="1:18" x14ac:dyDescent="0.25">
      <c r="A1456" s="170">
        <v>44147</v>
      </c>
      <c r="B1456" s="116">
        <v>1522.2</v>
      </c>
      <c r="C1456" s="116">
        <v>1487.25</v>
      </c>
      <c r="D1456" s="116">
        <v>1475.65</v>
      </c>
      <c r="E1456" s="116">
        <v>1505.5</v>
      </c>
      <c r="F1456" s="116">
        <v>1487.25</v>
      </c>
      <c r="G1456">
        <v>31437</v>
      </c>
      <c r="H1456" s="116"/>
      <c r="I1456" s="116"/>
      <c r="L1456" s="170">
        <v>44147</v>
      </c>
      <c r="M1456" s="116">
        <v>1487.9</v>
      </c>
      <c r="N1456" s="116">
        <v>1523</v>
      </c>
      <c r="O1456" s="116">
        <v>1477</v>
      </c>
      <c r="P1456" s="116">
        <v>1499</v>
      </c>
      <c r="Q1456" s="116">
        <v>1487.9</v>
      </c>
      <c r="R1456">
        <v>353416</v>
      </c>
    </row>
    <row r="1457" spans="1:18" x14ac:dyDescent="0.25">
      <c r="A1457" s="170">
        <v>44148</v>
      </c>
      <c r="B1457" s="116">
        <v>1509</v>
      </c>
      <c r="C1457" s="116">
        <v>1484.25</v>
      </c>
      <c r="D1457" s="116">
        <v>1480</v>
      </c>
      <c r="E1457" s="116">
        <v>1490</v>
      </c>
      <c r="F1457" s="116">
        <v>1484.25</v>
      </c>
      <c r="G1457">
        <v>12273</v>
      </c>
      <c r="H1457" s="116"/>
      <c r="I1457" s="116"/>
      <c r="L1457" s="170">
        <v>44148</v>
      </c>
      <c r="M1457" s="116">
        <v>1486.55</v>
      </c>
      <c r="N1457" s="116">
        <v>1509</v>
      </c>
      <c r="O1457" s="116">
        <v>1480</v>
      </c>
      <c r="P1457" s="116">
        <v>1491</v>
      </c>
      <c r="Q1457" s="116">
        <v>1486.55</v>
      </c>
      <c r="R1457">
        <v>387501</v>
      </c>
    </row>
    <row r="1458" spans="1:18" x14ac:dyDescent="0.25">
      <c r="A1458" s="170">
        <v>44149</v>
      </c>
      <c r="B1458" s="116">
        <v>1509.9</v>
      </c>
      <c r="C1458" s="116">
        <v>1503.55</v>
      </c>
      <c r="D1458" s="116">
        <v>1494.35</v>
      </c>
      <c r="E1458" s="116">
        <v>1494.7</v>
      </c>
      <c r="F1458" s="116">
        <v>1503.55</v>
      </c>
      <c r="G1458">
        <v>6207</v>
      </c>
      <c r="H1458" s="116"/>
      <c r="I1458" s="116"/>
      <c r="L1458" s="170">
        <v>44149</v>
      </c>
      <c r="M1458" s="116">
        <v>1504.05</v>
      </c>
      <c r="N1458" s="116">
        <v>1509.85</v>
      </c>
      <c r="O1458" s="116">
        <v>1490.1</v>
      </c>
      <c r="P1458" s="116">
        <v>1501</v>
      </c>
      <c r="Q1458" s="116">
        <v>1504.05</v>
      </c>
      <c r="R1458">
        <v>63716</v>
      </c>
    </row>
    <row r="1459" spans="1:18" x14ac:dyDescent="0.25">
      <c r="A1459" s="170">
        <v>44152</v>
      </c>
      <c r="B1459" s="116">
        <v>1537.1</v>
      </c>
      <c r="C1459" s="116">
        <v>1516.45</v>
      </c>
      <c r="D1459" s="116">
        <v>1509.15</v>
      </c>
      <c r="E1459" s="116">
        <v>1511.05</v>
      </c>
      <c r="F1459" s="116">
        <v>1516.45</v>
      </c>
      <c r="G1459">
        <v>18461</v>
      </c>
      <c r="H1459" s="116"/>
      <c r="I1459" s="116"/>
      <c r="L1459" s="170">
        <v>44152</v>
      </c>
      <c r="M1459" s="116">
        <v>1515.95</v>
      </c>
      <c r="N1459" s="116">
        <v>1537.65</v>
      </c>
      <c r="O1459" s="116">
        <v>1509</v>
      </c>
      <c r="P1459" s="116">
        <v>1522</v>
      </c>
      <c r="Q1459" s="116">
        <v>1515.95</v>
      </c>
      <c r="R1459">
        <v>439636</v>
      </c>
    </row>
    <row r="1460" spans="1:18" x14ac:dyDescent="0.25">
      <c r="A1460" s="170">
        <v>44153</v>
      </c>
      <c r="B1460" s="116">
        <v>1552</v>
      </c>
      <c r="C1460" s="116">
        <v>1546.75</v>
      </c>
      <c r="D1460" s="116">
        <v>1512.15</v>
      </c>
      <c r="E1460" s="116">
        <v>1516.45</v>
      </c>
      <c r="F1460" s="116">
        <v>1546.75</v>
      </c>
      <c r="G1460">
        <v>29932</v>
      </c>
      <c r="H1460" s="116"/>
      <c r="I1460" s="116"/>
      <c r="L1460" s="170">
        <v>44153</v>
      </c>
      <c r="M1460" s="116">
        <v>1547.3</v>
      </c>
      <c r="N1460" s="116">
        <v>1552.55</v>
      </c>
      <c r="O1460" s="116">
        <v>1512</v>
      </c>
      <c r="P1460" s="116">
        <v>1521</v>
      </c>
      <c r="Q1460" s="116">
        <v>1547.3</v>
      </c>
      <c r="R1460">
        <v>284038</v>
      </c>
    </row>
    <row r="1461" spans="1:18" x14ac:dyDescent="0.25">
      <c r="A1461" s="170">
        <v>44154</v>
      </c>
      <c r="B1461" s="116">
        <v>1562</v>
      </c>
      <c r="C1461" s="116">
        <v>1529.55</v>
      </c>
      <c r="D1461" s="116">
        <v>1518</v>
      </c>
      <c r="E1461" s="116">
        <v>1547</v>
      </c>
      <c r="F1461" s="116">
        <v>1529.55</v>
      </c>
      <c r="G1461">
        <v>17049</v>
      </c>
      <c r="H1461" s="116"/>
      <c r="I1461" s="116"/>
      <c r="L1461" s="170">
        <v>44154</v>
      </c>
      <c r="M1461" s="116">
        <v>1529.15</v>
      </c>
      <c r="N1461" s="116">
        <v>1562.5</v>
      </c>
      <c r="O1461" s="116">
        <v>1516</v>
      </c>
      <c r="P1461" s="116">
        <v>1546.9</v>
      </c>
      <c r="Q1461" s="116">
        <v>1529.15</v>
      </c>
      <c r="R1461">
        <v>248570</v>
      </c>
    </row>
    <row r="1462" spans="1:18" x14ac:dyDescent="0.25">
      <c r="A1462" s="170">
        <v>44155</v>
      </c>
      <c r="B1462" s="116">
        <v>1551.9</v>
      </c>
      <c r="C1462" s="116">
        <v>1532.65</v>
      </c>
      <c r="D1462" s="116">
        <v>1528</v>
      </c>
      <c r="E1462" s="116">
        <v>1529.55</v>
      </c>
      <c r="F1462" s="116">
        <v>1532.65</v>
      </c>
      <c r="G1462">
        <v>24614</v>
      </c>
      <c r="H1462" s="116"/>
      <c r="I1462" s="116"/>
      <c r="L1462" s="170">
        <v>44155</v>
      </c>
      <c r="M1462" s="116">
        <v>1534.25</v>
      </c>
      <c r="N1462" s="116">
        <v>1553.35</v>
      </c>
      <c r="O1462" s="116">
        <v>1528.25</v>
      </c>
      <c r="P1462" s="116">
        <v>1530.5</v>
      </c>
      <c r="Q1462" s="116">
        <v>1534.25</v>
      </c>
      <c r="R1462">
        <v>231406</v>
      </c>
    </row>
    <row r="1463" spans="1:18" x14ac:dyDescent="0.25">
      <c r="A1463" s="170">
        <v>44158</v>
      </c>
      <c r="B1463" s="116">
        <v>1604.95</v>
      </c>
      <c r="C1463" s="116">
        <v>1561</v>
      </c>
      <c r="D1463" s="116">
        <v>1533.15</v>
      </c>
      <c r="E1463" s="116">
        <v>1542</v>
      </c>
      <c r="F1463" s="116">
        <v>1561</v>
      </c>
      <c r="G1463">
        <v>38728</v>
      </c>
      <c r="H1463" s="116"/>
      <c r="I1463" s="116"/>
      <c r="L1463" s="170">
        <v>44158</v>
      </c>
      <c r="M1463" s="116">
        <v>1560.85</v>
      </c>
      <c r="N1463" s="116">
        <v>1605</v>
      </c>
      <c r="O1463" s="116">
        <v>1532.65</v>
      </c>
      <c r="P1463" s="116">
        <v>1547.45</v>
      </c>
      <c r="Q1463" s="116">
        <v>1560.85</v>
      </c>
      <c r="R1463">
        <v>810609</v>
      </c>
    </row>
    <row r="1464" spans="1:18" x14ac:dyDescent="0.25">
      <c r="A1464" s="170">
        <v>44159</v>
      </c>
      <c r="B1464" s="116">
        <v>1581.5</v>
      </c>
      <c r="C1464" s="116">
        <v>1562.75</v>
      </c>
      <c r="D1464" s="116">
        <v>1552.9</v>
      </c>
      <c r="E1464" s="116">
        <v>1572</v>
      </c>
      <c r="F1464" s="116">
        <v>1562.75</v>
      </c>
      <c r="G1464">
        <v>24711</v>
      </c>
      <c r="H1464" s="116"/>
      <c r="I1464" s="116"/>
      <c r="L1464" s="170">
        <v>44159</v>
      </c>
      <c r="M1464" s="116">
        <v>1562.6</v>
      </c>
      <c r="N1464" s="116">
        <v>1582</v>
      </c>
      <c r="O1464" s="116">
        <v>1552.2</v>
      </c>
      <c r="P1464" s="116">
        <v>1571</v>
      </c>
      <c r="Q1464" s="116">
        <v>1562.6</v>
      </c>
      <c r="R1464">
        <v>297484</v>
      </c>
    </row>
    <row r="1465" spans="1:18" x14ac:dyDescent="0.25">
      <c r="A1465" s="170">
        <v>44160</v>
      </c>
      <c r="B1465" s="116">
        <v>1590</v>
      </c>
      <c r="C1465" s="116">
        <v>1536.7</v>
      </c>
      <c r="D1465" s="116">
        <v>1526.35</v>
      </c>
      <c r="E1465" s="116">
        <v>1563</v>
      </c>
      <c r="F1465" s="116">
        <v>1536.7</v>
      </c>
      <c r="G1465">
        <v>37554</v>
      </c>
      <c r="H1465" s="116"/>
      <c r="I1465" s="116"/>
      <c r="L1465" s="170">
        <v>44160</v>
      </c>
      <c r="M1465" s="116">
        <v>1536.35</v>
      </c>
      <c r="N1465" s="116">
        <v>1589.9</v>
      </c>
      <c r="O1465" s="116">
        <v>1527</v>
      </c>
      <c r="P1465" s="116">
        <v>1574.95</v>
      </c>
      <c r="Q1465" s="116">
        <v>1536.35</v>
      </c>
      <c r="R1465">
        <v>420268</v>
      </c>
    </row>
    <row r="1466" spans="1:18" x14ac:dyDescent="0.25">
      <c r="A1466" s="170">
        <v>44161</v>
      </c>
      <c r="B1466" s="116">
        <v>1546.15</v>
      </c>
      <c r="C1466" s="116">
        <v>1508.35</v>
      </c>
      <c r="D1466" s="116">
        <v>1503</v>
      </c>
      <c r="E1466" s="116">
        <v>1541</v>
      </c>
      <c r="F1466" s="116">
        <v>1508.35</v>
      </c>
      <c r="G1466">
        <v>46509</v>
      </c>
      <c r="H1466" s="116"/>
      <c r="I1466" s="116"/>
      <c r="L1466" s="170">
        <v>44161</v>
      </c>
      <c r="M1466" s="116">
        <v>1507.4</v>
      </c>
      <c r="N1466" s="116">
        <v>1549</v>
      </c>
      <c r="O1466" s="116">
        <v>1502.05</v>
      </c>
      <c r="P1466" s="116">
        <v>1545.3</v>
      </c>
      <c r="Q1466" s="116">
        <v>1507.4</v>
      </c>
      <c r="R1466">
        <v>215358</v>
      </c>
    </row>
    <row r="1467" spans="1:18" x14ac:dyDescent="0.25">
      <c r="A1467" s="170">
        <v>44162</v>
      </c>
      <c r="B1467" s="116">
        <v>1610</v>
      </c>
      <c r="C1467" s="116">
        <v>1591.7</v>
      </c>
      <c r="D1467" s="116">
        <v>1511</v>
      </c>
      <c r="E1467" s="116">
        <v>1511</v>
      </c>
      <c r="F1467" s="116">
        <v>1591.7</v>
      </c>
      <c r="G1467">
        <v>63970</v>
      </c>
      <c r="H1467" s="116"/>
      <c r="I1467" s="116"/>
      <c r="L1467" s="170">
        <v>44162</v>
      </c>
      <c r="M1467" s="116">
        <v>1588.25</v>
      </c>
      <c r="N1467" s="116">
        <v>1609</v>
      </c>
      <c r="O1467" s="116">
        <v>1515.1</v>
      </c>
      <c r="P1467" s="116">
        <v>1520.3</v>
      </c>
      <c r="Q1467" s="116">
        <v>1588.25</v>
      </c>
      <c r="R1467">
        <v>969512</v>
      </c>
    </row>
    <row r="1468" spans="1:18" x14ac:dyDescent="0.25">
      <c r="A1468" s="170">
        <v>44166</v>
      </c>
      <c r="B1468" s="116">
        <v>1637.75</v>
      </c>
      <c r="C1468" s="116">
        <v>1627.85</v>
      </c>
      <c r="D1468" s="116">
        <v>1602.05</v>
      </c>
      <c r="E1468" s="116">
        <v>1602.05</v>
      </c>
      <c r="F1468" s="116">
        <v>1627.85</v>
      </c>
      <c r="G1468">
        <v>38525</v>
      </c>
      <c r="H1468" s="116"/>
      <c r="I1468" s="116"/>
      <c r="L1468" s="170">
        <v>44166</v>
      </c>
      <c r="M1468" s="116">
        <v>1628.6</v>
      </c>
      <c r="N1468" s="116">
        <v>1638.45</v>
      </c>
      <c r="O1468" s="116">
        <v>1606.65</v>
      </c>
      <c r="P1468" s="116">
        <v>1612</v>
      </c>
      <c r="Q1468" s="116">
        <v>1628.6</v>
      </c>
      <c r="R1468">
        <v>471067</v>
      </c>
    </row>
    <row r="1469" spans="1:18" x14ac:dyDescent="0.25">
      <c r="A1469" s="170">
        <v>44167</v>
      </c>
      <c r="B1469" s="116">
        <v>1699</v>
      </c>
      <c r="C1469" s="116">
        <v>1685.6</v>
      </c>
      <c r="D1469" s="116">
        <v>1607.15</v>
      </c>
      <c r="E1469" s="116">
        <v>1627.85</v>
      </c>
      <c r="F1469" s="116">
        <v>1685.6</v>
      </c>
      <c r="G1469">
        <v>30820</v>
      </c>
      <c r="H1469" s="116"/>
      <c r="I1469" s="116"/>
      <c r="L1469" s="170">
        <v>44167</v>
      </c>
      <c r="M1469" s="116">
        <v>1684.3</v>
      </c>
      <c r="N1469" s="116">
        <v>1697</v>
      </c>
      <c r="O1469" s="116">
        <v>1606</v>
      </c>
      <c r="P1469" s="116">
        <v>1628</v>
      </c>
      <c r="Q1469" s="116">
        <v>1684.3</v>
      </c>
      <c r="R1469">
        <v>493488</v>
      </c>
    </row>
    <row r="1470" spans="1:18" x14ac:dyDescent="0.25">
      <c r="A1470" s="170">
        <v>44168</v>
      </c>
      <c r="B1470" s="116">
        <v>1713.4</v>
      </c>
      <c r="C1470" s="116">
        <v>1689.9</v>
      </c>
      <c r="D1470" s="116">
        <v>1673.9</v>
      </c>
      <c r="E1470" s="116">
        <v>1700</v>
      </c>
      <c r="F1470" s="116">
        <v>1689.9</v>
      </c>
      <c r="G1470">
        <v>34067</v>
      </c>
      <c r="H1470" s="116"/>
      <c r="I1470" s="116"/>
      <c r="L1470" s="170">
        <v>44168</v>
      </c>
      <c r="M1470" s="116">
        <v>1691.4</v>
      </c>
      <c r="N1470" s="116">
        <v>1715</v>
      </c>
      <c r="O1470" s="116">
        <v>1674.2</v>
      </c>
      <c r="P1470" s="116">
        <v>1700</v>
      </c>
      <c r="Q1470" s="116">
        <v>1691.4</v>
      </c>
      <c r="R1470">
        <v>337606</v>
      </c>
    </row>
    <row r="1471" spans="1:18" x14ac:dyDescent="0.25">
      <c r="A1471" s="170">
        <v>44169</v>
      </c>
      <c r="B1471" s="116">
        <v>1695</v>
      </c>
      <c r="C1471" s="116">
        <v>1668</v>
      </c>
      <c r="D1471" s="116">
        <v>1655</v>
      </c>
      <c r="E1471" s="116">
        <v>1686</v>
      </c>
      <c r="F1471" s="116">
        <v>1668</v>
      </c>
      <c r="G1471">
        <v>28625</v>
      </c>
      <c r="H1471" s="116"/>
      <c r="I1471" s="116"/>
      <c r="L1471" s="170">
        <v>44169</v>
      </c>
      <c r="M1471" s="116">
        <v>1669.8</v>
      </c>
      <c r="N1471" s="116">
        <v>1696.95</v>
      </c>
      <c r="O1471" s="116">
        <v>1650</v>
      </c>
      <c r="P1471" s="116">
        <v>1692</v>
      </c>
      <c r="Q1471" s="116">
        <v>1669.8</v>
      </c>
      <c r="R1471">
        <v>311097</v>
      </c>
    </row>
    <row r="1472" spans="1:18" x14ac:dyDescent="0.25">
      <c r="A1472" s="170">
        <v>44172</v>
      </c>
      <c r="B1472" s="116">
        <v>1721</v>
      </c>
      <c r="C1472" s="116">
        <v>1696</v>
      </c>
      <c r="D1472" s="116">
        <v>1669.8</v>
      </c>
      <c r="E1472" s="116">
        <v>1669.8</v>
      </c>
      <c r="F1472" s="116">
        <v>1696</v>
      </c>
      <c r="G1472">
        <v>27727</v>
      </c>
      <c r="H1472" s="116"/>
      <c r="I1472" s="116"/>
      <c r="L1472" s="170">
        <v>44172</v>
      </c>
      <c r="M1472" s="116">
        <v>1698.1</v>
      </c>
      <c r="N1472" s="116">
        <v>1721</v>
      </c>
      <c r="O1472" s="116">
        <v>1672.15</v>
      </c>
      <c r="P1472" s="116">
        <v>1679.95</v>
      </c>
      <c r="Q1472" s="116">
        <v>1698.1</v>
      </c>
      <c r="R1472">
        <v>500920</v>
      </c>
    </row>
    <row r="1473" spans="1:18" x14ac:dyDescent="0.25">
      <c r="A1473" s="170">
        <v>44173</v>
      </c>
      <c r="B1473" s="116">
        <v>1725</v>
      </c>
      <c r="C1473" s="116">
        <v>1686.95</v>
      </c>
      <c r="D1473" s="116">
        <v>1669.1</v>
      </c>
      <c r="E1473" s="116">
        <v>1710</v>
      </c>
      <c r="F1473" s="116">
        <v>1686.95</v>
      </c>
      <c r="G1473">
        <v>29581</v>
      </c>
      <c r="H1473" s="116"/>
      <c r="I1473" s="116"/>
      <c r="L1473" s="170">
        <v>44173</v>
      </c>
      <c r="M1473" s="116">
        <v>1686.6</v>
      </c>
      <c r="N1473" s="116">
        <v>1725</v>
      </c>
      <c r="O1473" s="116">
        <v>1680</v>
      </c>
      <c r="P1473" s="116">
        <v>1702</v>
      </c>
      <c r="Q1473" s="116">
        <v>1686.6</v>
      </c>
      <c r="R1473">
        <v>289588</v>
      </c>
    </row>
    <row r="1474" spans="1:18" x14ac:dyDescent="0.25">
      <c r="A1474" s="170">
        <v>44174</v>
      </c>
      <c r="B1474" s="116">
        <v>1700.95</v>
      </c>
      <c r="C1474" s="116">
        <v>1657.55</v>
      </c>
      <c r="D1474" s="116">
        <v>1651.85</v>
      </c>
      <c r="E1474" s="116">
        <v>1695</v>
      </c>
      <c r="F1474" s="116">
        <v>1657.55</v>
      </c>
      <c r="G1474">
        <v>18883</v>
      </c>
      <c r="H1474" s="116"/>
      <c r="I1474" s="116"/>
      <c r="L1474" s="170">
        <v>44174</v>
      </c>
      <c r="M1474" s="116">
        <v>1657.45</v>
      </c>
      <c r="N1474" s="116">
        <v>1700</v>
      </c>
      <c r="O1474" s="116">
        <v>1650</v>
      </c>
      <c r="P1474" s="116">
        <v>1695</v>
      </c>
      <c r="Q1474" s="116">
        <v>1657.45</v>
      </c>
      <c r="R1474">
        <v>344622</v>
      </c>
    </row>
    <row r="1475" spans="1:18" x14ac:dyDescent="0.25">
      <c r="A1475" s="170">
        <v>44175</v>
      </c>
      <c r="B1475" s="116">
        <v>1667.85</v>
      </c>
      <c r="C1475" s="116">
        <v>1612.7</v>
      </c>
      <c r="D1475" s="116">
        <v>1598</v>
      </c>
      <c r="E1475" s="116">
        <v>1660</v>
      </c>
      <c r="F1475" s="116">
        <v>1612.7</v>
      </c>
      <c r="G1475">
        <v>29178</v>
      </c>
      <c r="H1475" s="116"/>
      <c r="I1475" s="116"/>
      <c r="L1475" s="170">
        <v>44175</v>
      </c>
      <c r="M1475" s="116">
        <v>1610.4</v>
      </c>
      <c r="N1475" s="116">
        <v>1667</v>
      </c>
      <c r="O1475" s="116">
        <v>1598</v>
      </c>
      <c r="P1475" s="116">
        <v>1665</v>
      </c>
      <c r="Q1475" s="116">
        <v>1610.4</v>
      </c>
      <c r="R1475">
        <v>314240</v>
      </c>
    </row>
    <row r="1476" spans="1:18" x14ac:dyDescent="0.25">
      <c r="A1476" s="170">
        <v>44176</v>
      </c>
      <c r="B1476" s="116">
        <v>1642</v>
      </c>
      <c r="C1476" s="116">
        <v>1604.3</v>
      </c>
      <c r="D1476" s="116">
        <v>1594.9</v>
      </c>
      <c r="E1476" s="116">
        <v>1605</v>
      </c>
      <c r="F1476" s="116">
        <v>1604.3</v>
      </c>
      <c r="G1476">
        <v>22861</v>
      </c>
      <c r="H1476" s="116"/>
      <c r="I1476" s="116"/>
      <c r="L1476" s="170">
        <v>44176</v>
      </c>
      <c r="M1476" s="116">
        <v>1605.85</v>
      </c>
      <c r="N1476" s="116">
        <v>1642.8</v>
      </c>
      <c r="O1476" s="116">
        <v>1596.05</v>
      </c>
      <c r="P1476" s="116">
        <v>1623</v>
      </c>
      <c r="Q1476" s="116">
        <v>1605.85</v>
      </c>
      <c r="R1476">
        <v>253651</v>
      </c>
    </row>
    <row r="1477" spans="1:18" x14ac:dyDescent="0.25">
      <c r="A1477" s="170">
        <v>44179</v>
      </c>
      <c r="B1477" s="116">
        <v>1639.9</v>
      </c>
      <c r="C1477" s="116">
        <v>1599.35</v>
      </c>
      <c r="D1477" s="116">
        <v>1589</v>
      </c>
      <c r="E1477" s="116">
        <v>1639.9</v>
      </c>
      <c r="F1477" s="116">
        <v>1599.35</v>
      </c>
      <c r="G1477">
        <v>28774</v>
      </c>
      <c r="H1477" s="116"/>
      <c r="I1477" s="116"/>
      <c r="L1477" s="170">
        <v>44179</v>
      </c>
      <c r="M1477" s="116">
        <v>1600.15</v>
      </c>
      <c r="N1477" s="116">
        <v>1635</v>
      </c>
      <c r="O1477" s="116">
        <v>1590</v>
      </c>
      <c r="P1477" s="116">
        <v>1613.9</v>
      </c>
      <c r="Q1477" s="116">
        <v>1600.15</v>
      </c>
      <c r="R1477">
        <v>256187</v>
      </c>
    </row>
    <row r="1478" spans="1:18" x14ac:dyDescent="0.25">
      <c r="A1478" s="170">
        <v>44180</v>
      </c>
      <c r="B1478" s="116">
        <v>1643</v>
      </c>
      <c r="C1478" s="116">
        <v>1634.95</v>
      </c>
      <c r="D1478" s="116">
        <v>1587.25</v>
      </c>
      <c r="E1478" s="116">
        <v>1598.35</v>
      </c>
      <c r="F1478" s="116">
        <v>1634.95</v>
      </c>
      <c r="G1478">
        <v>67644</v>
      </c>
      <c r="H1478" s="116"/>
      <c r="I1478" s="116"/>
      <c r="L1478" s="170">
        <v>44180</v>
      </c>
      <c r="M1478" s="116">
        <v>1636.4</v>
      </c>
      <c r="N1478" s="116">
        <v>1644</v>
      </c>
      <c r="O1478" s="116">
        <v>1586.5</v>
      </c>
      <c r="P1478" s="116">
        <v>1600</v>
      </c>
      <c r="Q1478" s="116">
        <v>1636.4</v>
      </c>
      <c r="R1478">
        <v>361310</v>
      </c>
    </row>
    <row r="1479" spans="1:18" x14ac:dyDescent="0.25">
      <c r="A1479" s="170">
        <v>44181</v>
      </c>
      <c r="B1479" s="116">
        <v>1657.5</v>
      </c>
      <c r="C1479" s="116">
        <v>1648.6</v>
      </c>
      <c r="D1479" s="116">
        <v>1640.05</v>
      </c>
      <c r="E1479" s="116">
        <v>1640.05</v>
      </c>
      <c r="F1479" s="116">
        <v>1648.6</v>
      </c>
      <c r="G1479">
        <v>19996</v>
      </c>
      <c r="H1479" s="116"/>
      <c r="I1479" s="116"/>
      <c r="L1479" s="170">
        <v>44181</v>
      </c>
      <c r="M1479" s="116">
        <v>1649.2</v>
      </c>
      <c r="N1479" s="116">
        <v>1657.95</v>
      </c>
      <c r="O1479" s="116">
        <v>1640.5</v>
      </c>
      <c r="P1479" s="116">
        <v>1642</v>
      </c>
      <c r="Q1479" s="116">
        <v>1649.2</v>
      </c>
      <c r="R1479">
        <v>197921</v>
      </c>
    </row>
    <row r="1480" spans="1:18" x14ac:dyDescent="0.25">
      <c r="A1480" s="170">
        <v>44182</v>
      </c>
      <c r="B1480" s="116">
        <v>1660</v>
      </c>
      <c r="C1480" s="116">
        <v>1630.8</v>
      </c>
      <c r="D1480" s="116">
        <v>1624</v>
      </c>
      <c r="E1480" s="116">
        <v>1660</v>
      </c>
      <c r="F1480" s="116">
        <v>1630.8</v>
      </c>
      <c r="G1480">
        <v>24906</v>
      </c>
      <c r="H1480" s="116"/>
      <c r="I1480" s="116"/>
      <c r="L1480" s="170">
        <v>44182</v>
      </c>
      <c r="M1480" s="116">
        <v>1630.65</v>
      </c>
      <c r="N1480" s="116">
        <v>1659</v>
      </c>
      <c r="O1480" s="116">
        <v>1622.6</v>
      </c>
      <c r="P1480" s="116">
        <v>1652.2</v>
      </c>
      <c r="Q1480" s="116">
        <v>1630.65</v>
      </c>
      <c r="R1480">
        <v>154635</v>
      </c>
    </row>
    <row r="1481" spans="1:18" x14ac:dyDescent="0.25">
      <c r="A1481" s="170">
        <v>44183</v>
      </c>
      <c r="B1481" s="116">
        <v>1662.7</v>
      </c>
      <c r="C1481" s="116">
        <v>1634.4</v>
      </c>
      <c r="D1481" s="116">
        <v>1630</v>
      </c>
      <c r="E1481" s="116">
        <v>1633</v>
      </c>
      <c r="F1481" s="116">
        <v>1634.4</v>
      </c>
      <c r="G1481">
        <v>21383</v>
      </c>
      <c r="H1481" s="116"/>
      <c r="I1481" s="116"/>
      <c r="L1481" s="170">
        <v>44183</v>
      </c>
      <c r="M1481" s="116">
        <v>1636.1</v>
      </c>
      <c r="N1481" s="116">
        <v>1664</v>
      </c>
      <c r="O1481" s="116">
        <v>1630</v>
      </c>
      <c r="P1481" s="116">
        <v>1638</v>
      </c>
      <c r="Q1481" s="116">
        <v>1636.1</v>
      </c>
      <c r="R1481">
        <v>317785</v>
      </c>
    </row>
    <row r="1482" spans="1:18" x14ac:dyDescent="0.25">
      <c r="A1482" s="170">
        <v>44186</v>
      </c>
      <c r="B1482" s="116">
        <v>1642.2</v>
      </c>
      <c r="C1482" s="116">
        <v>1553.15</v>
      </c>
      <c r="D1482" s="116">
        <v>1485</v>
      </c>
      <c r="E1482" s="116">
        <v>1640</v>
      </c>
      <c r="F1482" s="116">
        <v>1553.15</v>
      </c>
      <c r="G1482">
        <v>28124</v>
      </c>
      <c r="H1482" s="116"/>
      <c r="I1482" s="116"/>
      <c r="L1482" s="170">
        <v>44186</v>
      </c>
      <c r="M1482" s="116">
        <v>1551.55</v>
      </c>
      <c r="N1482" s="116">
        <v>1644</v>
      </c>
      <c r="O1482" s="116">
        <v>1468</v>
      </c>
      <c r="P1482" s="116">
        <v>1640</v>
      </c>
      <c r="Q1482" s="116">
        <v>1551.55</v>
      </c>
      <c r="R1482">
        <v>373609</v>
      </c>
    </row>
    <row r="1483" spans="1:18" x14ac:dyDescent="0.25">
      <c r="A1483" s="170">
        <v>44187</v>
      </c>
      <c r="B1483" s="116">
        <v>1660</v>
      </c>
      <c r="C1483" s="116">
        <v>1651.75</v>
      </c>
      <c r="D1483" s="116">
        <v>1505.9</v>
      </c>
      <c r="E1483" s="116">
        <v>1535</v>
      </c>
      <c r="F1483" s="116">
        <v>1651.75</v>
      </c>
      <c r="G1483">
        <v>71050</v>
      </c>
      <c r="H1483" s="116"/>
      <c r="I1483" s="116"/>
      <c r="L1483" s="170">
        <v>44187</v>
      </c>
      <c r="M1483" s="116">
        <v>1651.25</v>
      </c>
      <c r="N1483" s="116">
        <v>1660</v>
      </c>
      <c r="O1483" s="116">
        <v>1505</v>
      </c>
      <c r="P1483" s="116">
        <v>1549.2</v>
      </c>
      <c r="Q1483" s="116">
        <v>1651.25</v>
      </c>
      <c r="R1483">
        <v>762144</v>
      </c>
    </row>
    <row r="1484" spans="1:18" x14ac:dyDescent="0.25">
      <c r="A1484" s="170">
        <v>44188</v>
      </c>
      <c r="B1484" s="116">
        <v>1810</v>
      </c>
      <c r="C1484" s="116">
        <v>1786.1</v>
      </c>
      <c r="D1484" s="116">
        <v>1641.2</v>
      </c>
      <c r="E1484" s="116">
        <v>1661</v>
      </c>
      <c r="F1484" s="116">
        <v>1786.1</v>
      </c>
      <c r="G1484">
        <v>114980</v>
      </c>
      <c r="H1484" s="116"/>
      <c r="I1484" s="116"/>
      <c r="L1484" s="170">
        <v>44188</v>
      </c>
      <c r="M1484" s="116">
        <v>1786.1</v>
      </c>
      <c r="N1484" s="116">
        <v>1807.5</v>
      </c>
      <c r="O1484" s="116">
        <v>1660.5</v>
      </c>
      <c r="P1484" s="116">
        <v>1660.5</v>
      </c>
      <c r="Q1484" s="116">
        <v>1786.1</v>
      </c>
      <c r="R1484">
        <v>2102831</v>
      </c>
    </row>
    <row r="1485" spans="1:18" x14ac:dyDescent="0.25">
      <c r="A1485" s="170">
        <v>44189</v>
      </c>
      <c r="B1485" s="116">
        <v>1799.4</v>
      </c>
      <c r="C1485" s="116">
        <v>1758.55</v>
      </c>
      <c r="D1485" s="116">
        <v>1737.8</v>
      </c>
      <c r="E1485" s="116">
        <v>1794</v>
      </c>
      <c r="F1485" s="116">
        <v>1758.55</v>
      </c>
      <c r="G1485">
        <v>51661</v>
      </c>
      <c r="H1485" s="116"/>
      <c r="I1485" s="116"/>
      <c r="L1485" s="170">
        <v>44189</v>
      </c>
      <c r="M1485" s="116">
        <v>1759.65</v>
      </c>
      <c r="N1485" s="116">
        <v>1800</v>
      </c>
      <c r="O1485" s="116">
        <v>1737.1</v>
      </c>
      <c r="P1485" s="116">
        <v>1790</v>
      </c>
      <c r="Q1485" s="116">
        <v>1759.65</v>
      </c>
      <c r="R1485">
        <v>531128</v>
      </c>
    </row>
    <row r="1486" spans="1:18" x14ac:dyDescent="0.25">
      <c r="A1486" s="170">
        <v>44193</v>
      </c>
      <c r="B1486" s="116">
        <v>1879.8</v>
      </c>
      <c r="C1486" s="116">
        <v>1838.8</v>
      </c>
      <c r="D1486" s="116">
        <v>1762</v>
      </c>
      <c r="E1486" s="116">
        <v>1762</v>
      </c>
      <c r="F1486" s="116">
        <v>1838.8</v>
      </c>
      <c r="G1486">
        <v>105770</v>
      </c>
      <c r="H1486" s="116"/>
      <c r="I1486" s="116"/>
      <c r="L1486" s="170">
        <v>44193</v>
      </c>
      <c r="M1486" s="116">
        <v>1837.75</v>
      </c>
      <c r="N1486" s="116">
        <v>1880</v>
      </c>
      <c r="O1486" s="116">
        <v>1762</v>
      </c>
      <c r="P1486" s="116">
        <v>1774</v>
      </c>
      <c r="Q1486" s="116">
        <v>1837.75</v>
      </c>
      <c r="R1486">
        <v>1200589</v>
      </c>
    </row>
    <row r="1487" spans="1:18" x14ac:dyDescent="0.25">
      <c r="A1487" s="170">
        <v>44194</v>
      </c>
      <c r="B1487" s="116">
        <v>1887.6</v>
      </c>
      <c r="C1487" s="116">
        <v>1854</v>
      </c>
      <c r="D1487" s="116">
        <v>1840.75</v>
      </c>
      <c r="E1487" s="116">
        <v>1871</v>
      </c>
      <c r="F1487" s="116">
        <v>1854</v>
      </c>
      <c r="G1487">
        <v>46601</v>
      </c>
      <c r="H1487" s="116"/>
      <c r="I1487" s="116"/>
      <c r="L1487" s="170">
        <v>44194</v>
      </c>
      <c r="M1487" s="116">
        <v>1855.1</v>
      </c>
      <c r="N1487" s="116">
        <v>1888</v>
      </c>
      <c r="O1487" s="116">
        <v>1839.5</v>
      </c>
      <c r="P1487" s="116">
        <v>1867</v>
      </c>
      <c r="Q1487" s="116">
        <v>1855.1</v>
      </c>
      <c r="R1487">
        <v>503379</v>
      </c>
    </row>
    <row r="1488" spans="1:18" x14ac:dyDescent="0.25">
      <c r="A1488" s="170">
        <v>44195</v>
      </c>
      <c r="B1488" s="116">
        <v>1865</v>
      </c>
      <c r="C1488" s="116">
        <v>1852.15</v>
      </c>
      <c r="D1488" s="116">
        <v>1823.15</v>
      </c>
      <c r="E1488" s="116">
        <v>1865</v>
      </c>
      <c r="F1488" s="116">
        <v>1852.15</v>
      </c>
      <c r="G1488">
        <v>13257</v>
      </c>
      <c r="H1488" s="116"/>
      <c r="I1488" s="116"/>
      <c r="L1488" s="170">
        <v>44195</v>
      </c>
      <c r="M1488" s="116">
        <v>1851.65</v>
      </c>
      <c r="N1488" s="116">
        <v>1860</v>
      </c>
      <c r="O1488" s="116">
        <v>1821</v>
      </c>
      <c r="P1488" s="116">
        <v>1855</v>
      </c>
      <c r="Q1488" s="116">
        <v>1851.65</v>
      </c>
      <c r="R1488">
        <v>245023</v>
      </c>
    </row>
    <row r="1489" spans="1:18" x14ac:dyDescent="0.25">
      <c r="A1489" s="170">
        <v>44196</v>
      </c>
      <c r="B1489" s="116">
        <v>1871.5</v>
      </c>
      <c r="C1489" s="116">
        <v>1832.85</v>
      </c>
      <c r="D1489" s="116">
        <v>1812</v>
      </c>
      <c r="E1489" s="116">
        <v>1850</v>
      </c>
      <c r="F1489" s="116">
        <v>1832.85</v>
      </c>
      <c r="G1489">
        <v>31585</v>
      </c>
      <c r="H1489" s="116"/>
      <c r="I1489" s="116"/>
      <c r="L1489" s="170">
        <v>44196</v>
      </c>
      <c r="M1489" s="116">
        <v>1835.3</v>
      </c>
      <c r="N1489" s="116">
        <v>1872</v>
      </c>
      <c r="O1489" s="116">
        <v>1802.75</v>
      </c>
      <c r="P1489" s="116">
        <v>1856.4</v>
      </c>
      <c r="Q1489" s="116">
        <v>1835.3</v>
      </c>
      <c r="R1489">
        <v>403744</v>
      </c>
    </row>
    <row r="1490" spans="1:18" x14ac:dyDescent="0.25">
      <c r="A1490" s="170">
        <v>44197</v>
      </c>
      <c r="B1490" s="116">
        <v>1874.85</v>
      </c>
      <c r="C1490" s="116">
        <v>1865.65</v>
      </c>
      <c r="D1490" s="116">
        <v>1838</v>
      </c>
      <c r="E1490" s="116">
        <v>1840</v>
      </c>
      <c r="F1490" s="116">
        <v>1865.65</v>
      </c>
      <c r="G1490">
        <v>15775</v>
      </c>
      <c r="H1490" s="116"/>
      <c r="I1490" s="116"/>
      <c r="L1490" s="170">
        <v>44197</v>
      </c>
      <c r="M1490" s="116">
        <v>1867.95</v>
      </c>
      <c r="N1490" s="116">
        <v>1875</v>
      </c>
      <c r="O1490" s="116">
        <v>1837</v>
      </c>
      <c r="P1490" s="116">
        <v>1843</v>
      </c>
      <c r="Q1490" s="116">
        <v>1867.95</v>
      </c>
      <c r="R1490">
        <v>254672</v>
      </c>
    </row>
    <row r="1491" spans="1:18" x14ac:dyDescent="0.25">
      <c r="A1491" s="170">
        <v>44200</v>
      </c>
      <c r="B1491" s="116">
        <v>1900</v>
      </c>
      <c r="C1491" s="116">
        <v>1879.25</v>
      </c>
      <c r="D1491" s="116">
        <v>1867.65</v>
      </c>
      <c r="E1491" s="116">
        <v>1898</v>
      </c>
      <c r="F1491" s="116">
        <v>1879.25</v>
      </c>
      <c r="G1491">
        <v>24485</v>
      </c>
      <c r="H1491" s="116"/>
      <c r="I1491" s="116"/>
      <c r="L1491" s="170">
        <v>44200</v>
      </c>
      <c r="M1491" s="116">
        <v>1881.1</v>
      </c>
      <c r="N1491" s="116">
        <v>1895</v>
      </c>
      <c r="O1491" s="116">
        <v>1866.75</v>
      </c>
      <c r="P1491" s="116">
        <v>1880.95</v>
      </c>
      <c r="Q1491" s="116">
        <v>1881.1</v>
      </c>
      <c r="R1491">
        <v>400879</v>
      </c>
    </row>
    <row r="1492" spans="1:18" x14ac:dyDescent="0.25">
      <c r="A1492" s="170">
        <v>44201</v>
      </c>
      <c r="B1492" s="116">
        <v>1970</v>
      </c>
      <c r="C1492" s="116">
        <v>1957.65</v>
      </c>
      <c r="D1492" s="116">
        <v>1884.5</v>
      </c>
      <c r="E1492" s="116">
        <v>1887</v>
      </c>
      <c r="F1492" s="116">
        <v>1957.65</v>
      </c>
      <c r="G1492">
        <v>56275</v>
      </c>
      <c r="H1492" s="116"/>
      <c r="I1492" s="116"/>
      <c r="L1492" s="170">
        <v>44201</v>
      </c>
      <c r="M1492" s="116">
        <v>1957.9</v>
      </c>
      <c r="N1492" s="116">
        <v>1970</v>
      </c>
      <c r="O1492" s="116">
        <v>1881.1</v>
      </c>
      <c r="P1492" s="116">
        <v>1885</v>
      </c>
      <c r="Q1492" s="116">
        <v>1957.9</v>
      </c>
      <c r="R1492">
        <v>1115371</v>
      </c>
    </row>
    <row r="1493" spans="1:18" x14ac:dyDescent="0.25">
      <c r="A1493" s="170">
        <v>44202</v>
      </c>
      <c r="B1493" s="116">
        <v>2017</v>
      </c>
      <c r="C1493" s="116">
        <v>1995.2</v>
      </c>
      <c r="D1493" s="116">
        <v>1946.95</v>
      </c>
      <c r="E1493" s="116">
        <v>1990</v>
      </c>
      <c r="F1493" s="116">
        <v>1995.2</v>
      </c>
      <c r="G1493">
        <v>42467</v>
      </c>
      <c r="H1493" s="116"/>
      <c r="I1493" s="116"/>
      <c r="L1493" s="170">
        <v>44202</v>
      </c>
      <c r="M1493" s="116">
        <v>1994.6</v>
      </c>
      <c r="N1493" s="116">
        <v>2018.35</v>
      </c>
      <c r="O1493" s="116">
        <v>1947.15</v>
      </c>
      <c r="P1493" s="116">
        <v>1967</v>
      </c>
      <c r="Q1493" s="116">
        <v>1994.6</v>
      </c>
      <c r="R1493">
        <v>770176</v>
      </c>
    </row>
    <row r="1494" spans="1:18" x14ac:dyDescent="0.25">
      <c r="A1494" s="170">
        <v>44203</v>
      </c>
      <c r="B1494" s="116">
        <v>2034.75</v>
      </c>
      <c r="C1494" s="116">
        <v>1999.9</v>
      </c>
      <c r="D1494" s="116">
        <v>1992.75</v>
      </c>
      <c r="E1494" s="116">
        <v>2019</v>
      </c>
      <c r="F1494" s="116">
        <v>1999.9</v>
      </c>
      <c r="G1494">
        <v>30704</v>
      </c>
      <c r="H1494" s="116"/>
      <c r="I1494" s="116"/>
      <c r="L1494" s="170">
        <v>44203</v>
      </c>
      <c r="M1494" s="116">
        <v>1998.95</v>
      </c>
      <c r="N1494" s="116">
        <v>2034.95</v>
      </c>
      <c r="O1494" s="116">
        <v>1990</v>
      </c>
      <c r="P1494" s="116">
        <v>2013.55</v>
      </c>
      <c r="Q1494" s="116">
        <v>1998.95</v>
      </c>
      <c r="R1494">
        <v>349121</v>
      </c>
    </row>
    <row r="1495" spans="1:18" x14ac:dyDescent="0.25">
      <c r="A1495" s="170">
        <v>44204</v>
      </c>
      <c r="B1495" s="116">
        <v>2052</v>
      </c>
      <c r="C1495" s="116">
        <v>2041.85</v>
      </c>
      <c r="D1495" s="116">
        <v>2005</v>
      </c>
      <c r="E1495" s="116">
        <v>2005</v>
      </c>
      <c r="F1495" s="116">
        <v>2041.85</v>
      </c>
      <c r="G1495">
        <v>39280</v>
      </c>
      <c r="H1495" s="116"/>
      <c r="I1495" s="116"/>
      <c r="L1495" s="170">
        <v>44204</v>
      </c>
      <c r="M1495" s="116">
        <v>2043.3</v>
      </c>
      <c r="N1495" s="116">
        <v>2052.8000000000002</v>
      </c>
      <c r="O1495" s="116">
        <v>2009.55</v>
      </c>
      <c r="P1495" s="116">
        <v>2009.7</v>
      </c>
      <c r="Q1495" s="116">
        <v>2043.3</v>
      </c>
      <c r="R1495">
        <v>381158</v>
      </c>
    </row>
    <row r="1496" spans="1:18" x14ac:dyDescent="0.25">
      <c r="A1496" s="170">
        <v>44207</v>
      </c>
      <c r="B1496" s="116">
        <v>2139.9</v>
      </c>
      <c r="C1496" s="116">
        <v>2115.1999999999998</v>
      </c>
      <c r="D1496" s="116">
        <v>2069.9</v>
      </c>
      <c r="E1496" s="116">
        <v>2079</v>
      </c>
      <c r="F1496" s="116">
        <v>2115.1999999999998</v>
      </c>
      <c r="G1496">
        <v>58198</v>
      </c>
      <c r="H1496" s="116"/>
      <c r="I1496" s="116"/>
      <c r="L1496" s="170">
        <v>44207</v>
      </c>
      <c r="M1496" s="116">
        <v>2117.5500000000002</v>
      </c>
      <c r="N1496" s="116">
        <v>2140</v>
      </c>
      <c r="O1496" s="116">
        <v>2070</v>
      </c>
      <c r="P1496" s="116">
        <v>2081.8000000000002</v>
      </c>
      <c r="Q1496" s="116">
        <v>2117.5500000000002</v>
      </c>
      <c r="R1496">
        <v>998505</v>
      </c>
    </row>
    <row r="1497" spans="1:18" x14ac:dyDescent="0.25">
      <c r="A1497" s="170">
        <v>44208</v>
      </c>
      <c r="B1497" s="116">
        <v>2180</v>
      </c>
      <c r="C1497" s="116">
        <v>2077.1</v>
      </c>
      <c r="D1497" s="116">
        <v>2025.05</v>
      </c>
      <c r="E1497" s="116">
        <v>2180</v>
      </c>
      <c r="F1497" s="116">
        <v>2077.1</v>
      </c>
      <c r="G1497">
        <v>45930</v>
      </c>
      <c r="H1497" s="116"/>
      <c r="I1497" s="116"/>
      <c r="L1497" s="170">
        <v>44208</v>
      </c>
      <c r="M1497" s="116">
        <v>2087.6</v>
      </c>
      <c r="N1497" s="116">
        <v>2155</v>
      </c>
      <c r="O1497" s="116">
        <v>2025</v>
      </c>
      <c r="P1497" s="116">
        <v>2142</v>
      </c>
      <c r="Q1497" s="116">
        <v>2087.6</v>
      </c>
      <c r="R1497">
        <v>851419</v>
      </c>
    </row>
    <row r="1498" spans="1:18" x14ac:dyDescent="0.25">
      <c r="A1498" s="170">
        <v>44209</v>
      </c>
      <c r="B1498" s="116">
        <v>2424</v>
      </c>
      <c r="C1498" s="116">
        <v>2376.4</v>
      </c>
      <c r="D1498" s="116">
        <v>2150</v>
      </c>
      <c r="E1498" s="116">
        <v>2178</v>
      </c>
      <c r="F1498" s="116">
        <v>2376.4</v>
      </c>
      <c r="G1498">
        <v>296038</v>
      </c>
      <c r="H1498" s="116"/>
      <c r="I1498" s="116"/>
      <c r="L1498" s="170">
        <v>44209</v>
      </c>
      <c r="M1498" s="116">
        <v>2371.85</v>
      </c>
      <c r="N1498" s="116">
        <v>2424.6999999999998</v>
      </c>
      <c r="O1498" s="116">
        <v>2140.0500000000002</v>
      </c>
      <c r="P1498" s="116">
        <v>2150.25</v>
      </c>
      <c r="Q1498" s="116">
        <v>2371.85</v>
      </c>
      <c r="R1498">
        <v>5367427</v>
      </c>
    </row>
    <row r="1499" spans="1:18" x14ac:dyDescent="0.25">
      <c r="A1499" s="170">
        <v>44210</v>
      </c>
      <c r="B1499" s="116">
        <v>2576.4</v>
      </c>
      <c r="C1499" s="116">
        <v>2485.9</v>
      </c>
      <c r="D1499" s="116">
        <v>2273.9</v>
      </c>
      <c r="E1499" s="116">
        <v>2405</v>
      </c>
      <c r="F1499" s="116">
        <v>2485.9</v>
      </c>
      <c r="G1499">
        <v>467919</v>
      </c>
      <c r="H1499" s="116"/>
      <c r="I1499" s="116"/>
      <c r="L1499" s="170">
        <v>44210</v>
      </c>
      <c r="M1499" s="116">
        <v>2490.15</v>
      </c>
      <c r="N1499" s="116">
        <v>2575</v>
      </c>
      <c r="O1499" s="116">
        <v>2272.1999999999998</v>
      </c>
      <c r="P1499" s="116">
        <v>2398.9499999999998</v>
      </c>
      <c r="Q1499" s="116">
        <v>2490.15</v>
      </c>
      <c r="R1499">
        <v>7133891</v>
      </c>
    </row>
    <row r="1500" spans="1:18" x14ac:dyDescent="0.25">
      <c r="A1500" s="170">
        <v>44211</v>
      </c>
      <c r="B1500" s="116">
        <v>2529</v>
      </c>
      <c r="C1500" s="116">
        <v>2367.65</v>
      </c>
      <c r="D1500" s="116">
        <v>2285</v>
      </c>
      <c r="E1500" s="116">
        <v>2458</v>
      </c>
      <c r="F1500" s="116">
        <v>2367.65</v>
      </c>
      <c r="G1500">
        <v>149922</v>
      </c>
      <c r="H1500" s="116"/>
      <c r="I1500" s="116"/>
      <c r="L1500" s="170">
        <v>44211</v>
      </c>
      <c r="M1500" s="116">
        <v>2357.8000000000002</v>
      </c>
      <c r="N1500" s="116">
        <v>2530</v>
      </c>
      <c r="O1500" s="116">
        <v>2280.0500000000002</v>
      </c>
      <c r="P1500" s="116">
        <v>2455</v>
      </c>
      <c r="Q1500" s="116">
        <v>2357.8000000000002</v>
      </c>
      <c r="R1500">
        <v>2527962</v>
      </c>
    </row>
    <row r="1501" spans="1:18" x14ac:dyDescent="0.25">
      <c r="A1501" s="170">
        <v>44214</v>
      </c>
      <c r="B1501" s="116">
        <v>2545</v>
      </c>
      <c r="C1501" s="116">
        <v>2493.9</v>
      </c>
      <c r="D1501" s="116">
        <v>2333.35</v>
      </c>
      <c r="E1501" s="116">
        <v>2360</v>
      </c>
      <c r="F1501" s="116">
        <v>2493.9</v>
      </c>
      <c r="G1501">
        <v>312490</v>
      </c>
      <c r="H1501" s="116"/>
      <c r="I1501" s="116"/>
      <c r="L1501" s="170">
        <v>44214</v>
      </c>
      <c r="M1501" s="116">
        <v>2489.8000000000002</v>
      </c>
      <c r="N1501" s="116">
        <v>2545</v>
      </c>
      <c r="O1501" s="116">
        <v>2330.65</v>
      </c>
      <c r="P1501" s="116">
        <v>2354</v>
      </c>
      <c r="Q1501" s="116">
        <v>2489.8000000000002</v>
      </c>
      <c r="R1501">
        <v>3555792</v>
      </c>
    </row>
    <row r="1502" spans="1:18" x14ac:dyDescent="0.25">
      <c r="A1502" s="170">
        <v>44215</v>
      </c>
      <c r="B1502" s="116">
        <v>2730</v>
      </c>
      <c r="C1502" s="116">
        <v>2674.85</v>
      </c>
      <c r="D1502" s="116">
        <v>2500</v>
      </c>
      <c r="E1502" s="116">
        <v>2500</v>
      </c>
      <c r="F1502" s="116">
        <v>2674.85</v>
      </c>
      <c r="G1502">
        <v>135733</v>
      </c>
      <c r="H1502" s="116"/>
      <c r="I1502" s="116"/>
      <c r="L1502" s="170">
        <v>44215</v>
      </c>
      <c r="M1502" s="116">
        <v>2673.65</v>
      </c>
      <c r="N1502" s="116">
        <v>2727.95</v>
      </c>
      <c r="O1502" s="116">
        <v>2510</v>
      </c>
      <c r="P1502" s="116">
        <v>2510</v>
      </c>
      <c r="Q1502" s="116">
        <v>2673.65</v>
      </c>
      <c r="R1502">
        <v>1820336</v>
      </c>
    </row>
    <row r="1503" spans="1:18" x14ac:dyDescent="0.25">
      <c r="A1503" s="170">
        <v>44216</v>
      </c>
      <c r="B1503" s="116">
        <v>2826</v>
      </c>
      <c r="C1503" s="116">
        <v>2788.6</v>
      </c>
      <c r="D1503" s="116">
        <v>2700</v>
      </c>
      <c r="E1503" s="116">
        <v>2700</v>
      </c>
      <c r="F1503" s="116">
        <v>2788.6</v>
      </c>
      <c r="G1503">
        <v>155106</v>
      </c>
      <c r="H1503" s="116"/>
      <c r="I1503" s="116"/>
      <c r="L1503" s="170">
        <v>44216</v>
      </c>
      <c r="M1503" s="116">
        <v>2787.5</v>
      </c>
      <c r="N1503" s="116">
        <v>2825</v>
      </c>
      <c r="O1503" s="116">
        <v>2692.5</v>
      </c>
      <c r="P1503" s="116">
        <v>2705.05</v>
      </c>
      <c r="Q1503" s="116">
        <v>2787.5</v>
      </c>
      <c r="R1503">
        <v>2182038</v>
      </c>
    </row>
    <row r="1504" spans="1:18" x14ac:dyDescent="0.25">
      <c r="A1504" s="170">
        <v>44217</v>
      </c>
      <c r="B1504" s="116">
        <v>2849.5</v>
      </c>
      <c r="C1504" s="116">
        <v>2575.9</v>
      </c>
      <c r="D1504" s="116">
        <v>2529.85</v>
      </c>
      <c r="E1504" s="116">
        <v>2831</v>
      </c>
      <c r="F1504" s="116">
        <v>2575.9</v>
      </c>
      <c r="G1504">
        <v>153596</v>
      </c>
      <c r="H1504" s="116"/>
      <c r="I1504" s="116"/>
      <c r="L1504" s="170">
        <v>44217</v>
      </c>
      <c r="M1504" s="116">
        <v>2577.6</v>
      </c>
      <c r="N1504" s="116">
        <v>2849</v>
      </c>
      <c r="O1504" s="116">
        <v>2529.9499999999998</v>
      </c>
      <c r="P1504" s="116">
        <v>2829</v>
      </c>
      <c r="Q1504" s="116">
        <v>2577.6</v>
      </c>
      <c r="R1504">
        <v>1796081</v>
      </c>
    </row>
    <row r="1505" spans="1:18" x14ac:dyDescent="0.25">
      <c r="A1505" s="170">
        <v>44218</v>
      </c>
      <c r="B1505" s="116">
        <v>2677.7</v>
      </c>
      <c r="C1505" s="116">
        <v>2562.3000000000002</v>
      </c>
      <c r="D1505" s="116">
        <v>2540.5500000000002</v>
      </c>
      <c r="E1505" s="116">
        <v>2576</v>
      </c>
      <c r="F1505" s="116">
        <v>2562.3000000000002</v>
      </c>
      <c r="G1505">
        <v>66999</v>
      </c>
      <c r="H1505" s="116"/>
      <c r="I1505" s="116"/>
      <c r="L1505" s="170">
        <v>44218</v>
      </c>
      <c r="M1505" s="116">
        <v>2565.85</v>
      </c>
      <c r="N1505" s="116">
        <v>2664.95</v>
      </c>
      <c r="O1505" s="116">
        <v>2541</v>
      </c>
      <c r="P1505" s="116">
        <v>2601.9499999999998</v>
      </c>
      <c r="Q1505" s="116">
        <v>2565.85</v>
      </c>
      <c r="R1505">
        <v>1010123</v>
      </c>
    </row>
    <row r="1506" spans="1:18" x14ac:dyDescent="0.25">
      <c r="A1506" s="170">
        <v>44221</v>
      </c>
      <c r="B1506" s="116">
        <v>2616</v>
      </c>
      <c r="C1506" s="116">
        <v>2478.0500000000002</v>
      </c>
      <c r="D1506" s="116">
        <v>2410.25</v>
      </c>
      <c r="E1506" s="116">
        <v>2607</v>
      </c>
      <c r="F1506" s="116">
        <v>2478.0500000000002</v>
      </c>
      <c r="G1506">
        <v>60929</v>
      </c>
      <c r="H1506" s="116"/>
      <c r="I1506" s="116"/>
      <c r="L1506" s="170">
        <v>44221</v>
      </c>
      <c r="M1506" s="116">
        <v>2478.75</v>
      </c>
      <c r="N1506" s="116">
        <v>2615.9</v>
      </c>
      <c r="O1506" s="116">
        <v>2408</v>
      </c>
      <c r="P1506" s="116">
        <v>2608</v>
      </c>
      <c r="Q1506" s="116">
        <v>2478.75</v>
      </c>
      <c r="R1506">
        <v>803876</v>
      </c>
    </row>
    <row r="1507" spans="1:18" x14ac:dyDescent="0.25">
      <c r="A1507" s="170">
        <v>44223</v>
      </c>
      <c r="B1507" s="116">
        <v>2682</v>
      </c>
      <c r="C1507" s="116">
        <v>2660.25</v>
      </c>
      <c r="D1507" s="116">
        <v>2500</v>
      </c>
      <c r="E1507" s="116">
        <v>2500</v>
      </c>
      <c r="F1507" s="116">
        <v>2660.25</v>
      </c>
      <c r="G1507">
        <v>120223</v>
      </c>
      <c r="H1507" s="116"/>
      <c r="I1507" s="116"/>
      <c r="L1507" s="170">
        <v>44223</v>
      </c>
      <c r="M1507" s="116">
        <v>2658.55</v>
      </c>
      <c r="N1507" s="116">
        <v>2679</v>
      </c>
      <c r="O1507" s="116">
        <v>2500</v>
      </c>
      <c r="P1507" s="116">
        <v>2500</v>
      </c>
      <c r="Q1507" s="116">
        <v>2658.55</v>
      </c>
      <c r="R1507">
        <v>2455892</v>
      </c>
    </row>
    <row r="1508" spans="1:18" x14ac:dyDescent="0.25">
      <c r="A1508" s="170">
        <v>44224</v>
      </c>
      <c r="B1508" s="116">
        <v>2636.5</v>
      </c>
      <c r="C1508" s="116">
        <v>2590.1</v>
      </c>
      <c r="D1508" s="116">
        <v>2535</v>
      </c>
      <c r="E1508" s="116">
        <v>2595</v>
      </c>
      <c r="F1508" s="116">
        <v>2590.1</v>
      </c>
      <c r="G1508">
        <v>86607</v>
      </c>
      <c r="H1508" s="116"/>
      <c r="I1508" s="116"/>
      <c r="L1508" s="170">
        <v>44224</v>
      </c>
      <c r="M1508" s="116">
        <v>2590.8000000000002</v>
      </c>
      <c r="N1508" s="116">
        <v>2625</v>
      </c>
      <c r="O1508" s="116">
        <v>2533.6</v>
      </c>
      <c r="P1508" s="116">
        <v>2600</v>
      </c>
      <c r="Q1508" s="116">
        <v>2590.8000000000002</v>
      </c>
      <c r="R1508">
        <v>1044115</v>
      </c>
    </row>
    <row r="1509" spans="1:18" x14ac:dyDescent="0.25">
      <c r="A1509" s="170">
        <v>44225</v>
      </c>
      <c r="B1509" s="116">
        <v>2734</v>
      </c>
      <c r="C1509" s="116">
        <v>2689.9</v>
      </c>
      <c r="D1509" s="116">
        <v>2615</v>
      </c>
      <c r="E1509" s="116">
        <v>2615</v>
      </c>
      <c r="F1509" s="116">
        <v>2689.9</v>
      </c>
      <c r="G1509">
        <v>97090</v>
      </c>
      <c r="H1509" s="116"/>
      <c r="I1509" s="116"/>
      <c r="L1509" s="170">
        <v>44225</v>
      </c>
      <c r="M1509" s="116">
        <v>2690.6</v>
      </c>
      <c r="N1509" s="116">
        <v>2735</v>
      </c>
      <c r="O1509" s="116">
        <v>2621.9</v>
      </c>
      <c r="P1509" s="116">
        <v>2622</v>
      </c>
      <c r="Q1509" s="116">
        <v>2690.6</v>
      </c>
      <c r="R1509">
        <v>1660864</v>
      </c>
    </row>
    <row r="1510" spans="1:18" x14ac:dyDescent="0.25">
      <c r="A1510" s="170">
        <v>44228</v>
      </c>
      <c r="B1510" s="116">
        <v>3015.55</v>
      </c>
      <c r="C1510" s="116">
        <v>2954.75</v>
      </c>
      <c r="D1510" s="116">
        <v>2701</v>
      </c>
      <c r="E1510" s="116">
        <v>2720</v>
      </c>
      <c r="F1510" s="116">
        <v>2954.75</v>
      </c>
      <c r="G1510">
        <v>144498</v>
      </c>
      <c r="H1510" s="116"/>
      <c r="I1510" s="116"/>
      <c r="L1510" s="170">
        <v>44228</v>
      </c>
      <c r="M1510" s="116">
        <v>2949.8</v>
      </c>
      <c r="N1510" s="116">
        <v>3015</v>
      </c>
      <c r="O1510" s="116">
        <v>2690</v>
      </c>
      <c r="P1510" s="116">
        <v>2711.75</v>
      </c>
      <c r="Q1510" s="116">
        <v>2949.8</v>
      </c>
      <c r="R1510">
        <v>1959862</v>
      </c>
    </row>
    <row r="1511" spans="1:18" x14ac:dyDescent="0.25">
      <c r="A1511" s="170">
        <v>44229</v>
      </c>
      <c r="B1511" s="116">
        <v>3050</v>
      </c>
      <c r="C1511" s="116">
        <v>2859.75</v>
      </c>
      <c r="D1511" s="116">
        <v>2830</v>
      </c>
      <c r="E1511" s="116">
        <v>2992.8</v>
      </c>
      <c r="F1511" s="116">
        <v>2859.75</v>
      </c>
      <c r="G1511">
        <v>138499</v>
      </c>
      <c r="H1511" s="116"/>
      <c r="I1511" s="116"/>
      <c r="L1511" s="170">
        <v>44229</v>
      </c>
      <c r="M1511" s="116">
        <v>2861.2</v>
      </c>
      <c r="N1511" s="116">
        <v>3050</v>
      </c>
      <c r="O1511" s="116">
        <v>2835</v>
      </c>
      <c r="P1511" s="116">
        <v>2980</v>
      </c>
      <c r="Q1511" s="116">
        <v>2861.2</v>
      </c>
      <c r="R1511">
        <v>1460823</v>
      </c>
    </row>
    <row r="1512" spans="1:18" x14ac:dyDescent="0.25">
      <c r="A1512" s="170">
        <v>44230</v>
      </c>
      <c r="B1512" s="116">
        <v>2940.65</v>
      </c>
      <c r="C1512" s="116">
        <v>2876.85</v>
      </c>
      <c r="D1512" s="116">
        <v>2841.2</v>
      </c>
      <c r="E1512" s="116">
        <v>2907</v>
      </c>
      <c r="F1512" s="116">
        <v>2876.85</v>
      </c>
      <c r="G1512">
        <v>43624</v>
      </c>
      <c r="H1512" s="116"/>
      <c r="I1512" s="116"/>
      <c r="L1512" s="170">
        <v>44230</v>
      </c>
      <c r="M1512" s="116">
        <v>2876.3</v>
      </c>
      <c r="N1512" s="116">
        <v>2940</v>
      </c>
      <c r="O1512" s="116">
        <v>2841</v>
      </c>
      <c r="P1512" s="116">
        <v>2894.25</v>
      </c>
      <c r="Q1512" s="116">
        <v>2876.3</v>
      </c>
      <c r="R1512">
        <v>782021</v>
      </c>
    </row>
    <row r="1513" spans="1:18" x14ac:dyDescent="0.25">
      <c r="A1513" s="170">
        <v>44231</v>
      </c>
      <c r="B1513" s="116">
        <v>2898</v>
      </c>
      <c r="C1513" s="116">
        <v>2826.9</v>
      </c>
      <c r="D1513" s="116">
        <v>2818</v>
      </c>
      <c r="E1513" s="116">
        <v>2890</v>
      </c>
      <c r="F1513" s="116">
        <v>2826.9</v>
      </c>
      <c r="G1513">
        <v>44099</v>
      </c>
      <c r="H1513" s="116"/>
      <c r="I1513" s="116"/>
      <c r="L1513" s="170">
        <v>44231</v>
      </c>
      <c r="M1513" s="116">
        <v>2828.1</v>
      </c>
      <c r="N1513" s="116">
        <v>2899</v>
      </c>
      <c r="O1513" s="116">
        <v>2817.7</v>
      </c>
      <c r="P1513" s="116">
        <v>2890</v>
      </c>
      <c r="Q1513" s="116">
        <v>2828.1</v>
      </c>
      <c r="R1513">
        <v>547153</v>
      </c>
    </row>
    <row r="1514" spans="1:18" x14ac:dyDescent="0.25">
      <c r="A1514" s="170">
        <v>44232</v>
      </c>
      <c r="B1514" s="116">
        <v>2868.8</v>
      </c>
      <c r="C1514" s="116">
        <v>2817.95</v>
      </c>
      <c r="D1514" s="116">
        <v>2800</v>
      </c>
      <c r="E1514" s="116">
        <v>2868.8</v>
      </c>
      <c r="F1514" s="116">
        <v>2817.95</v>
      </c>
      <c r="G1514">
        <v>26786</v>
      </c>
      <c r="H1514" s="116"/>
      <c r="I1514" s="116"/>
      <c r="L1514" s="170">
        <v>44232</v>
      </c>
      <c r="M1514" s="116">
        <v>2817.75</v>
      </c>
      <c r="N1514" s="116">
        <v>2863.55</v>
      </c>
      <c r="O1514" s="116">
        <v>2800</v>
      </c>
      <c r="P1514" s="116">
        <v>2863.55</v>
      </c>
      <c r="Q1514" s="116">
        <v>2817.75</v>
      </c>
      <c r="R1514">
        <v>501301</v>
      </c>
    </row>
    <row r="1515" spans="1:18" x14ac:dyDescent="0.25">
      <c r="A1515" s="170">
        <v>44235</v>
      </c>
      <c r="B1515" s="116">
        <v>2886</v>
      </c>
      <c r="C1515" s="116">
        <v>2841.4</v>
      </c>
      <c r="D1515" s="116">
        <v>2801.05</v>
      </c>
      <c r="E1515" s="116">
        <v>2859.75</v>
      </c>
      <c r="F1515" s="116">
        <v>2841.4</v>
      </c>
      <c r="G1515">
        <v>49207</v>
      </c>
      <c r="H1515" s="116"/>
      <c r="I1515" s="116"/>
      <c r="L1515" s="170">
        <v>44235</v>
      </c>
      <c r="M1515" s="116">
        <v>2841.9</v>
      </c>
      <c r="N1515" s="116">
        <v>2887.8</v>
      </c>
      <c r="O1515" s="116">
        <v>2801</v>
      </c>
      <c r="P1515" s="116">
        <v>2840</v>
      </c>
      <c r="Q1515" s="116">
        <v>2841.9</v>
      </c>
      <c r="R1515">
        <v>453001</v>
      </c>
    </row>
    <row r="1516" spans="1:18" x14ac:dyDescent="0.25">
      <c r="A1516" s="170">
        <v>44236</v>
      </c>
      <c r="B1516" s="116">
        <v>2954</v>
      </c>
      <c r="C1516" s="116">
        <v>2869.6</v>
      </c>
      <c r="D1516" s="116">
        <v>2822.1</v>
      </c>
      <c r="E1516" s="116">
        <v>2850</v>
      </c>
      <c r="F1516" s="116">
        <v>2869.6</v>
      </c>
      <c r="G1516">
        <v>56176</v>
      </c>
      <c r="H1516" s="116"/>
      <c r="I1516" s="116"/>
      <c r="L1516" s="170">
        <v>44236</v>
      </c>
      <c r="M1516" s="116">
        <v>2872.05</v>
      </c>
      <c r="N1516" s="116">
        <v>2953.8</v>
      </c>
      <c r="O1516" s="116">
        <v>2821.25</v>
      </c>
      <c r="P1516" s="116">
        <v>2851</v>
      </c>
      <c r="Q1516" s="116">
        <v>2872.05</v>
      </c>
      <c r="R1516">
        <v>880429</v>
      </c>
    </row>
    <row r="1517" spans="1:18" x14ac:dyDescent="0.25">
      <c r="A1517" s="170">
        <v>44237</v>
      </c>
      <c r="B1517" s="116">
        <v>2877.8</v>
      </c>
      <c r="C1517" s="116">
        <v>2823.1</v>
      </c>
      <c r="D1517" s="116">
        <v>2810.05</v>
      </c>
      <c r="E1517" s="116">
        <v>2877.8</v>
      </c>
      <c r="F1517" s="116">
        <v>2823.1</v>
      </c>
      <c r="G1517">
        <v>26383</v>
      </c>
      <c r="H1517" s="116"/>
      <c r="I1517" s="116"/>
      <c r="L1517" s="170">
        <v>44237</v>
      </c>
      <c r="M1517" s="116">
        <v>2823.3</v>
      </c>
      <c r="N1517" s="116">
        <v>2874.85</v>
      </c>
      <c r="O1517" s="116">
        <v>2810</v>
      </c>
      <c r="P1517" s="116">
        <v>2862</v>
      </c>
      <c r="Q1517" s="116">
        <v>2823.3</v>
      </c>
      <c r="R1517">
        <v>436432</v>
      </c>
    </row>
    <row r="1518" spans="1:18" x14ac:dyDescent="0.25">
      <c r="A1518" s="170">
        <v>44238</v>
      </c>
      <c r="B1518" s="116">
        <v>2865.1</v>
      </c>
      <c r="C1518" s="116">
        <v>2833.15</v>
      </c>
      <c r="D1518" s="116">
        <v>2812</v>
      </c>
      <c r="E1518" s="116">
        <v>2812</v>
      </c>
      <c r="F1518" s="116">
        <v>2833.15</v>
      </c>
      <c r="G1518">
        <v>20297</v>
      </c>
      <c r="H1518" s="116"/>
      <c r="I1518" s="116"/>
      <c r="L1518" s="170">
        <v>44238</v>
      </c>
      <c r="M1518" s="116">
        <v>2835</v>
      </c>
      <c r="N1518" s="116">
        <v>2865.05</v>
      </c>
      <c r="O1518" s="116">
        <v>2828</v>
      </c>
      <c r="P1518" s="116">
        <v>2831.95</v>
      </c>
      <c r="Q1518" s="116">
        <v>2835</v>
      </c>
      <c r="R1518">
        <v>299527</v>
      </c>
    </row>
    <row r="1519" spans="1:18" x14ac:dyDescent="0.25">
      <c r="A1519" s="170">
        <v>44239</v>
      </c>
      <c r="B1519" s="116">
        <v>2878.55</v>
      </c>
      <c r="C1519" s="116">
        <v>2835.7</v>
      </c>
      <c r="D1519" s="116">
        <v>2810</v>
      </c>
      <c r="E1519" s="116">
        <v>2850</v>
      </c>
      <c r="F1519" s="116">
        <v>2835.7</v>
      </c>
      <c r="G1519">
        <v>28032</v>
      </c>
      <c r="H1519" s="116"/>
      <c r="I1519" s="116"/>
      <c r="L1519" s="170">
        <v>44239</v>
      </c>
      <c r="M1519" s="116">
        <v>2836.8</v>
      </c>
      <c r="N1519" s="116">
        <v>2878</v>
      </c>
      <c r="O1519" s="116">
        <v>2806</v>
      </c>
      <c r="P1519" s="116">
        <v>2850</v>
      </c>
      <c r="Q1519" s="116">
        <v>2836.8</v>
      </c>
      <c r="R1519">
        <v>340690</v>
      </c>
    </row>
    <row r="1520" spans="1:18" x14ac:dyDescent="0.25">
      <c r="A1520" s="170">
        <v>44242</v>
      </c>
      <c r="B1520" s="116">
        <v>2907.6</v>
      </c>
      <c r="C1520" s="116">
        <v>2858.3</v>
      </c>
      <c r="D1520" s="116">
        <v>2824</v>
      </c>
      <c r="E1520" s="116">
        <v>2855</v>
      </c>
      <c r="F1520" s="116">
        <v>2858.3</v>
      </c>
      <c r="G1520">
        <v>24127</v>
      </c>
      <c r="H1520" s="116"/>
      <c r="I1520" s="116"/>
      <c r="L1520" s="170">
        <v>44242</v>
      </c>
      <c r="M1520" s="116">
        <v>2858.75</v>
      </c>
      <c r="N1520" s="116">
        <v>2909</v>
      </c>
      <c r="O1520" s="116">
        <v>2823</v>
      </c>
      <c r="P1520" s="116">
        <v>2851</v>
      </c>
      <c r="Q1520" s="116">
        <v>2858.75</v>
      </c>
      <c r="R1520">
        <v>487626</v>
      </c>
    </row>
    <row r="1521" spans="1:18" x14ac:dyDescent="0.25">
      <c r="A1521" s="170">
        <v>44243</v>
      </c>
      <c r="B1521" s="116">
        <v>2920</v>
      </c>
      <c r="C1521" s="116">
        <v>2886.1</v>
      </c>
      <c r="D1521" s="116">
        <v>2863</v>
      </c>
      <c r="E1521" s="116">
        <v>2878.85</v>
      </c>
      <c r="F1521" s="116">
        <v>2886.1</v>
      </c>
      <c r="G1521">
        <v>25769</v>
      </c>
      <c r="H1521" s="116"/>
      <c r="I1521" s="116"/>
      <c r="L1521" s="170">
        <v>44243</v>
      </c>
      <c r="M1521" s="116">
        <v>2886.15</v>
      </c>
      <c r="N1521" s="116">
        <v>2919</v>
      </c>
      <c r="O1521" s="116">
        <v>2861.35</v>
      </c>
      <c r="P1521" s="116">
        <v>2875</v>
      </c>
      <c r="Q1521" s="116">
        <v>2886.15</v>
      </c>
      <c r="R1521">
        <v>582775</v>
      </c>
    </row>
    <row r="1522" spans="1:18" x14ac:dyDescent="0.25">
      <c r="A1522" s="170">
        <v>44244</v>
      </c>
      <c r="B1522" s="116">
        <v>2899.8</v>
      </c>
      <c r="C1522" s="116">
        <v>2816.9</v>
      </c>
      <c r="D1522" s="116">
        <v>2791.1</v>
      </c>
      <c r="E1522" s="116">
        <v>2899.8</v>
      </c>
      <c r="F1522" s="116">
        <v>2816.9</v>
      </c>
      <c r="G1522">
        <v>17108</v>
      </c>
      <c r="H1522" s="116"/>
      <c r="I1522" s="116"/>
      <c r="L1522" s="170">
        <v>44244</v>
      </c>
      <c r="M1522" s="116">
        <v>2814.3</v>
      </c>
      <c r="N1522" s="116">
        <v>2891</v>
      </c>
      <c r="O1522" s="116">
        <v>2790</v>
      </c>
      <c r="P1522" s="116">
        <v>2890</v>
      </c>
      <c r="Q1522" s="116">
        <v>2814.3</v>
      </c>
      <c r="R1522">
        <v>285375</v>
      </c>
    </row>
    <row r="1523" spans="1:18" x14ac:dyDescent="0.25">
      <c r="A1523" s="170">
        <v>44245</v>
      </c>
      <c r="B1523" s="116">
        <v>2857</v>
      </c>
      <c r="C1523" s="116">
        <v>2747.5</v>
      </c>
      <c r="D1523" s="116">
        <v>2735</v>
      </c>
      <c r="E1523" s="116">
        <v>2857</v>
      </c>
      <c r="F1523" s="116">
        <v>2747.5</v>
      </c>
      <c r="G1523">
        <v>32435</v>
      </c>
      <c r="H1523" s="116"/>
      <c r="I1523" s="116"/>
      <c r="L1523" s="170">
        <v>44245</v>
      </c>
      <c r="M1523" s="116">
        <v>2748.05</v>
      </c>
      <c r="N1523" s="116">
        <v>2838</v>
      </c>
      <c r="O1523" s="116">
        <v>2735</v>
      </c>
      <c r="P1523" s="116">
        <v>2838</v>
      </c>
      <c r="Q1523" s="116">
        <v>2748.05</v>
      </c>
      <c r="R1523">
        <v>383423</v>
      </c>
    </row>
    <row r="1524" spans="1:18" x14ac:dyDescent="0.25">
      <c r="A1524" s="170">
        <v>44246</v>
      </c>
      <c r="B1524" s="116">
        <v>2806</v>
      </c>
      <c r="C1524" s="116">
        <v>2739.75</v>
      </c>
      <c r="D1524" s="116">
        <v>2675.4</v>
      </c>
      <c r="E1524" s="116">
        <v>2777</v>
      </c>
      <c r="F1524" s="116">
        <v>2739.75</v>
      </c>
      <c r="G1524">
        <v>23386</v>
      </c>
      <c r="H1524" s="116"/>
      <c r="I1524" s="116"/>
      <c r="L1524" s="170">
        <v>44246</v>
      </c>
      <c r="M1524" s="116">
        <v>2740.6</v>
      </c>
      <c r="N1524" s="116">
        <v>2806.5</v>
      </c>
      <c r="O1524" s="116">
        <v>2674.15</v>
      </c>
      <c r="P1524" s="116">
        <v>2748.05</v>
      </c>
      <c r="Q1524" s="116">
        <v>2740.6</v>
      </c>
      <c r="R1524">
        <v>363313</v>
      </c>
    </row>
    <row r="1525" spans="1:18" x14ac:dyDescent="0.25">
      <c r="A1525" s="170">
        <v>44249</v>
      </c>
      <c r="B1525" s="116">
        <v>2745</v>
      </c>
      <c r="C1525" s="116">
        <v>2667.25</v>
      </c>
      <c r="D1525" s="116">
        <v>2615.6</v>
      </c>
      <c r="E1525" s="116">
        <v>2745</v>
      </c>
      <c r="F1525" s="116">
        <v>2667.25</v>
      </c>
      <c r="G1525">
        <v>27638</v>
      </c>
      <c r="H1525" s="116"/>
      <c r="I1525" s="116"/>
      <c r="L1525" s="170">
        <v>44249</v>
      </c>
      <c r="M1525" s="116">
        <v>2666.8</v>
      </c>
      <c r="N1525" s="116">
        <v>2740.6</v>
      </c>
      <c r="O1525" s="116">
        <v>2616.1</v>
      </c>
      <c r="P1525" s="116">
        <v>2731.35</v>
      </c>
      <c r="Q1525" s="116">
        <v>2666.8</v>
      </c>
      <c r="R1525">
        <v>400066</v>
      </c>
    </row>
    <row r="1526" spans="1:18" x14ac:dyDescent="0.25">
      <c r="A1526" s="170">
        <v>44250</v>
      </c>
      <c r="B1526" s="116">
        <v>2750</v>
      </c>
      <c r="C1526" s="116">
        <v>2715.35</v>
      </c>
      <c r="D1526" s="116">
        <v>2672.2</v>
      </c>
      <c r="E1526" s="116">
        <v>2672.2</v>
      </c>
      <c r="F1526" s="116">
        <v>2715.35</v>
      </c>
      <c r="G1526">
        <v>35752</v>
      </c>
      <c r="H1526" s="116"/>
      <c r="I1526" s="116"/>
      <c r="L1526" s="170">
        <v>44250</v>
      </c>
      <c r="M1526" s="116">
        <v>2716.65</v>
      </c>
      <c r="N1526" s="116">
        <v>2754</v>
      </c>
      <c r="O1526" s="116">
        <v>2679.95</v>
      </c>
      <c r="P1526" s="116">
        <v>2679.95</v>
      </c>
      <c r="Q1526" s="116">
        <v>2716.65</v>
      </c>
      <c r="R1526">
        <v>387311</v>
      </c>
    </row>
    <row r="1527" spans="1:18" x14ac:dyDescent="0.25">
      <c r="A1527" s="170">
        <v>44251</v>
      </c>
      <c r="B1527" s="116">
        <v>2737.95</v>
      </c>
      <c r="C1527" s="116">
        <v>2696</v>
      </c>
      <c r="D1527" s="116">
        <v>2621.25</v>
      </c>
      <c r="E1527" s="116">
        <v>2737.95</v>
      </c>
      <c r="F1527" s="116">
        <v>2696</v>
      </c>
      <c r="G1527">
        <v>47448</v>
      </c>
      <c r="H1527" s="116"/>
      <c r="I1527" s="116"/>
      <c r="L1527" s="170">
        <v>44251</v>
      </c>
      <c r="M1527" s="116">
        <v>2694.95</v>
      </c>
      <c r="N1527" s="116">
        <v>2734.25</v>
      </c>
      <c r="O1527" s="116">
        <v>2660.2</v>
      </c>
      <c r="P1527" s="116">
        <v>2732.15</v>
      </c>
      <c r="Q1527" s="116">
        <v>2694.95</v>
      </c>
      <c r="R1527">
        <v>120330</v>
      </c>
    </row>
    <row r="1528" spans="1:18" x14ac:dyDescent="0.25">
      <c r="A1528" s="170">
        <v>44252</v>
      </c>
      <c r="B1528" s="116">
        <v>2749.95</v>
      </c>
      <c r="C1528" s="116">
        <v>2678.8</v>
      </c>
      <c r="D1528" s="116">
        <v>2665.25</v>
      </c>
      <c r="E1528" s="116">
        <v>2713.95</v>
      </c>
      <c r="F1528" s="116">
        <v>2678.8</v>
      </c>
      <c r="G1528">
        <v>21926</v>
      </c>
      <c r="H1528" s="116"/>
      <c r="I1528" s="116"/>
      <c r="L1528" s="170">
        <v>44252</v>
      </c>
      <c r="M1528" s="116">
        <v>2678.45</v>
      </c>
      <c r="N1528" s="116">
        <v>2750</v>
      </c>
      <c r="O1528" s="116">
        <v>2665</v>
      </c>
      <c r="P1528" s="116">
        <v>2715</v>
      </c>
      <c r="Q1528" s="116">
        <v>2678.45</v>
      </c>
      <c r="R1528">
        <v>286447</v>
      </c>
    </row>
    <row r="1529" spans="1:18" x14ac:dyDescent="0.25">
      <c r="A1529" s="170">
        <v>44253</v>
      </c>
      <c r="B1529" s="116">
        <v>2705.5</v>
      </c>
      <c r="C1529" s="116">
        <v>2652.85</v>
      </c>
      <c r="D1529" s="116">
        <v>2608</v>
      </c>
      <c r="E1529" s="116">
        <v>2660</v>
      </c>
      <c r="F1529" s="116">
        <v>2652.85</v>
      </c>
      <c r="G1529">
        <v>38360</v>
      </c>
      <c r="H1529" s="116"/>
      <c r="I1529" s="116"/>
      <c r="L1529" s="170">
        <v>44253</v>
      </c>
      <c r="M1529" s="116">
        <v>2657.85</v>
      </c>
      <c r="N1529" s="116">
        <v>2705</v>
      </c>
      <c r="O1529" s="116">
        <v>2607</v>
      </c>
      <c r="P1529" s="116">
        <v>2660</v>
      </c>
      <c r="Q1529" s="116">
        <v>2657.85</v>
      </c>
      <c r="R1529">
        <v>335482</v>
      </c>
    </row>
    <row r="1530" spans="1:18" x14ac:dyDescent="0.25">
      <c r="A1530" s="170">
        <v>44256</v>
      </c>
      <c r="B1530" s="116">
        <v>2708.2</v>
      </c>
      <c r="C1530" s="116">
        <v>2622.1</v>
      </c>
      <c r="D1530" s="116">
        <v>2602.65</v>
      </c>
      <c r="E1530" s="116">
        <v>2696.7</v>
      </c>
      <c r="F1530" s="116">
        <v>2622.1</v>
      </c>
      <c r="G1530">
        <v>22864</v>
      </c>
      <c r="H1530" s="116"/>
      <c r="I1530" s="116"/>
      <c r="L1530" s="170">
        <v>44256</v>
      </c>
      <c r="M1530" s="116">
        <v>2622.15</v>
      </c>
      <c r="N1530" s="116">
        <v>2708.85</v>
      </c>
      <c r="O1530" s="116">
        <v>2601.4499999999998</v>
      </c>
      <c r="P1530" s="116">
        <v>2681.8</v>
      </c>
      <c r="Q1530" s="116">
        <v>2622.15</v>
      </c>
      <c r="R1530">
        <v>307428</v>
      </c>
    </row>
    <row r="1531" spans="1:18" x14ac:dyDescent="0.25">
      <c r="A1531" s="170">
        <v>44257</v>
      </c>
      <c r="B1531" s="116">
        <v>2657.8</v>
      </c>
      <c r="C1531" s="116">
        <v>2585.9499999999998</v>
      </c>
      <c r="D1531" s="116">
        <v>2570.85</v>
      </c>
      <c r="E1531" s="116">
        <v>2657.8</v>
      </c>
      <c r="F1531" s="116">
        <v>2585.9499999999998</v>
      </c>
      <c r="G1531">
        <v>21316</v>
      </c>
      <c r="H1531" s="116"/>
      <c r="I1531" s="116"/>
      <c r="L1531" s="170">
        <v>44257</v>
      </c>
      <c r="M1531" s="116">
        <v>2586.1</v>
      </c>
      <c r="N1531" s="116">
        <v>2646.95</v>
      </c>
      <c r="O1531" s="116">
        <v>2570</v>
      </c>
      <c r="P1531" s="116">
        <v>2645.75</v>
      </c>
      <c r="Q1531" s="116">
        <v>2586.1</v>
      </c>
      <c r="R1531">
        <v>419330</v>
      </c>
    </row>
    <row r="1532" spans="1:18" x14ac:dyDescent="0.25">
      <c r="A1532" s="170">
        <v>44258</v>
      </c>
      <c r="B1532" s="116">
        <v>2618.1</v>
      </c>
      <c r="C1532" s="116">
        <v>2564</v>
      </c>
      <c r="D1532" s="116">
        <v>2545.0500000000002</v>
      </c>
      <c r="E1532" s="116">
        <v>2596.6</v>
      </c>
      <c r="F1532" s="116">
        <v>2564</v>
      </c>
      <c r="G1532">
        <v>30048</v>
      </c>
      <c r="H1532" s="116"/>
      <c r="I1532" s="116"/>
      <c r="L1532" s="170">
        <v>44258</v>
      </c>
      <c r="M1532" s="116">
        <v>2562.9</v>
      </c>
      <c r="N1532" s="116">
        <v>2617.5</v>
      </c>
      <c r="O1532" s="116">
        <v>2551</v>
      </c>
      <c r="P1532" s="116">
        <v>2608</v>
      </c>
      <c r="Q1532" s="116">
        <v>2562.9</v>
      </c>
      <c r="R1532">
        <v>468002</v>
      </c>
    </row>
    <row r="1533" spans="1:18" x14ac:dyDescent="0.25">
      <c r="A1533" s="170">
        <v>44259</v>
      </c>
      <c r="B1533" s="116">
        <v>2745.2</v>
      </c>
      <c r="C1533" s="116">
        <v>2677.55</v>
      </c>
      <c r="D1533" s="116">
        <v>2544.8000000000002</v>
      </c>
      <c r="E1533" s="116">
        <v>2550</v>
      </c>
      <c r="F1533" s="116">
        <v>2677.55</v>
      </c>
      <c r="G1533">
        <v>144710</v>
      </c>
      <c r="H1533" s="116"/>
      <c r="I1533" s="116"/>
      <c r="L1533" s="170">
        <v>44259</v>
      </c>
      <c r="M1533" s="116">
        <v>2676.95</v>
      </c>
      <c r="N1533" s="116">
        <v>2747.6</v>
      </c>
      <c r="O1533" s="116">
        <v>2541.1</v>
      </c>
      <c r="P1533" s="116">
        <v>2562</v>
      </c>
      <c r="Q1533" s="116">
        <v>2676.95</v>
      </c>
      <c r="R1533">
        <v>1399557</v>
      </c>
    </row>
    <row r="1534" spans="1:18" x14ac:dyDescent="0.25">
      <c r="A1534" s="170">
        <v>44260</v>
      </c>
      <c r="B1534" s="116">
        <v>2769.7</v>
      </c>
      <c r="C1534" s="116">
        <v>2716.35</v>
      </c>
      <c r="D1534" s="116">
        <v>2685.65</v>
      </c>
      <c r="E1534" s="116">
        <v>2687</v>
      </c>
      <c r="F1534" s="116">
        <v>2716.35</v>
      </c>
      <c r="G1534">
        <v>73930</v>
      </c>
      <c r="H1534" s="116"/>
      <c r="I1534" s="116"/>
      <c r="L1534" s="170">
        <v>44260</v>
      </c>
      <c r="M1534" s="116">
        <v>2717.05</v>
      </c>
      <c r="N1534" s="116">
        <v>2770</v>
      </c>
      <c r="O1534" s="116">
        <v>2685.5</v>
      </c>
      <c r="P1534" s="116">
        <v>2694.95</v>
      </c>
      <c r="Q1534" s="116">
        <v>2717.05</v>
      </c>
      <c r="R1534">
        <v>668550</v>
      </c>
    </row>
    <row r="1535" spans="1:18" x14ac:dyDescent="0.25">
      <c r="A1535" s="170">
        <v>44263</v>
      </c>
      <c r="B1535" s="116">
        <v>2761.2</v>
      </c>
      <c r="C1535" s="116">
        <v>2708.15</v>
      </c>
      <c r="D1535" s="116">
        <v>2689.85</v>
      </c>
      <c r="E1535" s="116">
        <v>2754</v>
      </c>
      <c r="F1535" s="116">
        <v>2708.15</v>
      </c>
      <c r="G1535">
        <v>16369</v>
      </c>
      <c r="H1535" s="116"/>
      <c r="I1535" s="116"/>
      <c r="L1535" s="170">
        <v>44263</v>
      </c>
      <c r="M1535" s="116">
        <v>2712.45</v>
      </c>
      <c r="N1535" s="116">
        <v>2763.75</v>
      </c>
      <c r="O1535" s="116">
        <v>2691</v>
      </c>
      <c r="P1535" s="116">
        <v>2733</v>
      </c>
      <c r="Q1535" s="116">
        <v>2712.45</v>
      </c>
      <c r="R1535">
        <v>277447</v>
      </c>
    </row>
    <row r="1536" spans="1:18" x14ac:dyDescent="0.25">
      <c r="A1536" s="170">
        <v>44264</v>
      </c>
      <c r="B1536" s="116">
        <v>2748.85</v>
      </c>
      <c r="C1536" s="116">
        <v>2651.95</v>
      </c>
      <c r="D1536" s="116">
        <v>2601</v>
      </c>
      <c r="E1536" s="116">
        <v>2748.85</v>
      </c>
      <c r="F1536" s="116">
        <v>2651.95</v>
      </c>
      <c r="G1536">
        <v>22985</v>
      </c>
      <c r="H1536" s="116"/>
      <c r="I1536" s="116"/>
      <c r="L1536" s="170">
        <v>44264</v>
      </c>
      <c r="M1536" s="116">
        <v>2654.3</v>
      </c>
      <c r="N1536" s="116">
        <v>2737.6</v>
      </c>
      <c r="O1536" s="116">
        <v>2600.0500000000002</v>
      </c>
      <c r="P1536" s="116">
        <v>2728.8</v>
      </c>
      <c r="Q1536" s="116">
        <v>2654.3</v>
      </c>
      <c r="R1536">
        <v>559564</v>
      </c>
    </row>
    <row r="1537" spans="1:18" x14ac:dyDescent="0.25">
      <c r="A1537" s="170">
        <v>44265</v>
      </c>
      <c r="B1537" s="116">
        <v>2734.9</v>
      </c>
      <c r="C1537" s="116">
        <v>2695.25</v>
      </c>
      <c r="D1537" s="116">
        <v>2666</v>
      </c>
      <c r="E1537" s="116">
        <v>2680</v>
      </c>
      <c r="F1537" s="116">
        <v>2695.25</v>
      </c>
      <c r="G1537">
        <v>30567</v>
      </c>
      <c r="H1537" s="116"/>
      <c r="I1537" s="116"/>
      <c r="L1537" s="170">
        <v>44265</v>
      </c>
      <c r="M1537" s="116">
        <v>2696.55</v>
      </c>
      <c r="N1537" s="116">
        <v>2735</v>
      </c>
      <c r="O1537" s="116">
        <v>2662.85</v>
      </c>
      <c r="P1537" s="116">
        <v>2680</v>
      </c>
      <c r="Q1537" s="116">
        <v>2696.55</v>
      </c>
      <c r="R1537">
        <v>526950</v>
      </c>
    </row>
    <row r="1538" spans="1:18" x14ac:dyDescent="0.25">
      <c r="A1538" s="170">
        <v>44267</v>
      </c>
      <c r="B1538" s="116">
        <v>2767</v>
      </c>
      <c r="C1538" s="116">
        <v>2723.1</v>
      </c>
      <c r="D1538" s="116">
        <v>2684.6</v>
      </c>
      <c r="E1538" s="116">
        <v>2725</v>
      </c>
      <c r="F1538" s="116">
        <v>2723.1</v>
      </c>
      <c r="G1538">
        <v>22777</v>
      </c>
      <c r="H1538" s="116"/>
      <c r="I1538" s="116"/>
      <c r="L1538" s="170">
        <v>44267</v>
      </c>
      <c r="M1538" s="116">
        <v>2727.4</v>
      </c>
      <c r="N1538" s="116">
        <v>2769</v>
      </c>
      <c r="O1538" s="116">
        <v>2685</v>
      </c>
      <c r="P1538" s="116">
        <v>2697.1</v>
      </c>
      <c r="Q1538" s="116">
        <v>2727.4</v>
      </c>
      <c r="R1538">
        <v>596476</v>
      </c>
    </row>
    <row r="1539" spans="1:18" x14ac:dyDescent="0.25">
      <c r="A1539" s="170">
        <v>44270</v>
      </c>
      <c r="B1539" s="116">
        <v>2765.4</v>
      </c>
      <c r="C1539" s="116">
        <v>2716.35</v>
      </c>
      <c r="D1539" s="116">
        <v>2692.35</v>
      </c>
      <c r="E1539" s="116">
        <v>2748.95</v>
      </c>
      <c r="F1539" s="116">
        <v>2716.35</v>
      </c>
      <c r="G1539">
        <v>30708</v>
      </c>
      <c r="H1539" s="116"/>
      <c r="I1539" s="116"/>
      <c r="L1539" s="170">
        <v>44270</v>
      </c>
      <c r="M1539" s="116">
        <v>2716.45</v>
      </c>
      <c r="N1539" s="116">
        <v>2767.4</v>
      </c>
      <c r="O1539" s="116">
        <v>2692</v>
      </c>
      <c r="P1539" s="116">
        <v>2741.05</v>
      </c>
      <c r="Q1539" s="116">
        <v>2716.45</v>
      </c>
      <c r="R1539">
        <v>379824</v>
      </c>
    </row>
    <row r="1540" spans="1:18" x14ac:dyDescent="0.25">
      <c r="A1540" s="170">
        <v>44271</v>
      </c>
      <c r="B1540" s="116">
        <v>2822.25</v>
      </c>
      <c r="C1540" s="116">
        <v>2764.25</v>
      </c>
      <c r="D1540" s="116">
        <v>2717</v>
      </c>
      <c r="E1540" s="116">
        <v>2747.9</v>
      </c>
      <c r="F1540" s="116">
        <v>2764.25</v>
      </c>
      <c r="G1540">
        <v>32299</v>
      </c>
      <c r="H1540" s="116"/>
      <c r="I1540" s="116"/>
      <c r="L1540" s="170">
        <v>44271</v>
      </c>
      <c r="M1540" s="116">
        <v>2771.45</v>
      </c>
      <c r="N1540" s="116">
        <v>2822</v>
      </c>
      <c r="O1540" s="116">
        <v>2718</v>
      </c>
      <c r="P1540" s="116">
        <v>2730</v>
      </c>
      <c r="Q1540" s="116">
        <v>2771.45</v>
      </c>
      <c r="R1540">
        <v>516196</v>
      </c>
    </row>
    <row r="1541" spans="1:18" x14ac:dyDescent="0.25">
      <c r="A1541" s="170">
        <v>44272</v>
      </c>
      <c r="B1541" s="116">
        <v>2836</v>
      </c>
      <c r="C1541" s="116">
        <v>2756.55</v>
      </c>
      <c r="D1541" s="116">
        <v>2704.2</v>
      </c>
      <c r="E1541" s="116">
        <v>2797.7</v>
      </c>
      <c r="F1541" s="116">
        <v>2756.55</v>
      </c>
      <c r="G1541">
        <v>37798</v>
      </c>
      <c r="H1541" s="116"/>
      <c r="I1541" s="116"/>
      <c r="L1541" s="170">
        <v>44272</v>
      </c>
      <c r="M1541" s="116">
        <v>2756.95</v>
      </c>
      <c r="N1541" s="116">
        <v>2837.5</v>
      </c>
      <c r="O1541" s="116">
        <v>2701.4</v>
      </c>
      <c r="P1541" s="116">
        <v>2785.3</v>
      </c>
      <c r="Q1541" s="116">
        <v>2756.95</v>
      </c>
      <c r="R1541">
        <v>720780</v>
      </c>
    </row>
    <row r="1542" spans="1:18" x14ac:dyDescent="0.25">
      <c r="A1542" s="170">
        <v>44273</v>
      </c>
      <c r="B1542" s="116">
        <v>2807.05</v>
      </c>
      <c r="C1542" s="116">
        <v>2676.45</v>
      </c>
      <c r="D1542" s="116">
        <v>2648</v>
      </c>
      <c r="E1542" s="116">
        <v>2807.05</v>
      </c>
      <c r="F1542" s="116">
        <v>2676.45</v>
      </c>
      <c r="G1542">
        <v>21067</v>
      </c>
      <c r="H1542" s="116"/>
      <c r="I1542" s="116"/>
      <c r="L1542" s="170">
        <v>44273</v>
      </c>
      <c r="M1542" s="116">
        <v>2674.7</v>
      </c>
      <c r="N1542" s="116">
        <v>2802.95</v>
      </c>
      <c r="O1542" s="116">
        <v>2646.55</v>
      </c>
      <c r="P1542" s="116">
        <v>2785.8</v>
      </c>
      <c r="Q1542" s="116">
        <v>2674.7</v>
      </c>
      <c r="R1542">
        <v>424345</v>
      </c>
    </row>
    <row r="1543" spans="1:18" x14ac:dyDescent="0.25">
      <c r="A1543" s="170">
        <v>44274</v>
      </c>
      <c r="B1543" s="116">
        <v>2790.6</v>
      </c>
      <c r="C1543" s="116">
        <v>2766.1</v>
      </c>
      <c r="D1543" s="116">
        <v>2600</v>
      </c>
      <c r="E1543" s="116">
        <v>2653</v>
      </c>
      <c r="F1543" s="116">
        <v>2766.1</v>
      </c>
      <c r="G1543">
        <v>56797</v>
      </c>
      <c r="H1543" s="116"/>
      <c r="I1543" s="116"/>
      <c r="L1543" s="170">
        <v>44274</v>
      </c>
      <c r="M1543" s="116">
        <v>2764.65</v>
      </c>
      <c r="N1543" s="116">
        <v>2791.6</v>
      </c>
      <c r="O1543" s="116">
        <v>2605</v>
      </c>
      <c r="P1543" s="116">
        <v>2675</v>
      </c>
      <c r="Q1543" s="116">
        <v>2764.65</v>
      </c>
      <c r="R1543">
        <v>504188</v>
      </c>
    </row>
    <row r="1544" spans="1:18" x14ac:dyDescent="0.25">
      <c r="A1544" s="170">
        <v>44277</v>
      </c>
      <c r="B1544" s="116">
        <v>2778</v>
      </c>
      <c r="C1544" s="116">
        <v>2722.1</v>
      </c>
      <c r="D1544" s="116">
        <v>2701.55</v>
      </c>
      <c r="E1544" s="116">
        <v>2778</v>
      </c>
      <c r="F1544" s="116">
        <v>2722.1</v>
      </c>
      <c r="G1544">
        <v>29051</v>
      </c>
      <c r="H1544" s="116"/>
      <c r="I1544" s="116"/>
      <c r="L1544" s="170">
        <v>44277</v>
      </c>
      <c r="M1544" s="116">
        <v>2722.7</v>
      </c>
      <c r="N1544" s="116">
        <v>2774.9</v>
      </c>
      <c r="O1544" s="116">
        <v>2701.3</v>
      </c>
      <c r="P1544" s="116">
        <v>2730</v>
      </c>
      <c r="Q1544" s="116">
        <v>2722.7</v>
      </c>
      <c r="R1544">
        <v>256006</v>
      </c>
    </row>
    <row r="1545" spans="1:18" x14ac:dyDescent="0.25">
      <c r="A1545" s="170">
        <v>44278</v>
      </c>
      <c r="B1545" s="116">
        <v>2762</v>
      </c>
      <c r="C1545" s="116">
        <v>2732</v>
      </c>
      <c r="D1545" s="116">
        <v>2721</v>
      </c>
      <c r="E1545" s="116">
        <v>2747.9</v>
      </c>
      <c r="F1545" s="116">
        <v>2732</v>
      </c>
      <c r="G1545">
        <v>14665</v>
      </c>
      <c r="H1545" s="116"/>
      <c r="I1545" s="116"/>
      <c r="L1545" s="170">
        <v>44278</v>
      </c>
      <c r="M1545" s="116">
        <v>2732.8</v>
      </c>
      <c r="N1545" s="116">
        <v>2762.5</v>
      </c>
      <c r="O1545" s="116">
        <v>2720</v>
      </c>
      <c r="P1545" s="116">
        <v>2744.8</v>
      </c>
      <c r="Q1545" s="116">
        <v>2732.8</v>
      </c>
      <c r="R1545">
        <v>161213</v>
      </c>
    </row>
    <row r="1546" spans="1:18" x14ac:dyDescent="0.25">
      <c r="A1546" s="170">
        <v>44279</v>
      </c>
      <c r="B1546" s="116">
        <v>2742.7</v>
      </c>
      <c r="C1546" s="116">
        <v>2670.15</v>
      </c>
      <c r="D1546" s="116">
        <v>2651</v>
      </c>
      <c r="E1546" s="116">
        <v>2742.7</v>
      </c>
      <c r="F1546" s="116">
        <v>2670.15</v>
      </c>
      <c r="G1546">
        <v>10354</v>
      </c>
      <c r="H1546" s="116"/>
      <c r="I1546" s="116"/>
      <c r="L1546" s="170">
        <v>44279</v>
      </c>
      <c r="M1546" s="116">
        <v>2668.15</v>
      </c>
      <c r="N1546" s="116">
        <v>2739.6</v>
      </c>
      <c r="O1546" s="116">
        <v>2650</v>
      </c>
      <c r="P1546" s="116">
        <v>2735.95</v>
      </c>
      <c r="Q1546" s="116">
        <v>2668.15</v>
      </c>
      <c r="R1546">
        <v>184625</v>
      </c>
    </row>
    <row r="1547" spans="1:18" x14ac:dyDescent="0.25">
      <c r="A1547" s="170">
        <v>44280</v>
      </c>
      <c r="B1547" s="116">
        <v>2684.05</v>
      </c>
      <c r="C1547" s="116">
        <v>2604.15</v>
      </c>
      <c r="D1547" s="116">
        <v>2581.1999999999998</v>
      </c>
      <c r="E1547" s="116">
        <v>2660.2</v>
      </c>
      <c r="F1547" s="116">
        <v>2604.15</v>
      </c>
      <c r="G1547">
        <v>32749</v>
      </c>
      <c r="H1547" s="116"/>
      <c r="I1547" s="116"/>
      <c r="L1547" s="170">
        <v>44280</v>
      </c>
      <c r="M1547" s="116">
        <v>2603.4499999999998</v>
      </c>
      <c r="N1547" s="116">
        <v>2688</v>
      </c>
      <c r="O1547" s="116">
        <v>2580.75</v>
      </c>
      <c r="P1547" s="116">
        <v>2678</v>
      </c>
      <c r="Q1547" s="116">
        <v>2603.4499999999998</v>
      </c>
      <c r="R1547">
        <v>279606</v>
      </c>
    </row>
    <row r="1548" spans="1:18" x14ac:dyDescent="0.25">
      <c r="A1548" s="170">
        <v>44281</v>
      </c>
      <c r="B1548" s="116">
        <v>2697</v>
      </c>
      <c r="C1548" s="116">
        <v>2649.35</v>
      </c>
      <c r="D1548" s="116">
        <v>2614.3000000000002</v>
      </c>
      <c r="E1548" s="116">
        <v>2614.3000000000002</v>
      </c>
      <c r="F1548" s="116">
        <v>2649.35</v>
      </c>
      <c r="G1548">
        <v>28913</v>
      </c>
      <c r="H1548" s="116"/>
      <c r="I1548" s="116"/>
      <c r="L1548" s="170">
        <v>44281</v>
      </c>
      <c r="M1548" s="116">
        <v>2650.2</v>
      </c>
      <c r="N1548" s="116">
        <v>2698.9</v>
      </c>
      <c r="O1548" s="116">
        <v>2615.5500000000002</v>
      </c>
      <c r="P1548" s="116">
        <v>2625.3</v>
      </c>
      <c r="Q1548" s="116">
        <v>2650.2</v>
      </c>
      <c r="R1548">
        <v>322427</v>
      </c>
    </row>
    <row r="1549" spans="1:18" x14ac:dyDescent="0.25">
      <c r="A1549" s="170">
        <v>44285</v>
      </c>
      <c r="B1549" s="116">
        <v>2714.9</v>
      </c>
      <c r="C1549" s="116">
        <v>2687.65</v>
      </c>
      <c r="D1549" s="116">
        <v>2620.6999999999998</v>
      </c>
      <c r="E1549" s="116">
        <v>2678.8</v>
      </c>
      <c r="F1549" s="116">
        <v>2687.65</v>
      </c>
      <c r="G1549">
        <v>15794</v>
      </c>
      <c r="H1549" s="116"/>
      <c r="I1549" s="116"/>
      <c r="L1549" s="170">
        <v>44285</v>
      </c>
      <c r="M1549" s="116">
        <v>2688.6</v>
      </c>
      <c r="N1549" s="116">
        <v>2714.7</v>
      </c>
      <c r="O1549" s="116">
        <v>2620</v>
      </c>
      <c r="P1549" s="116">
        <v>2679.6</v>
      </c>
      <c r="Q1549" s="116">
        <v>2688.6</v>
      </c>
      <c r="R1549">
        <v>337713</v>
      </c>
    </row>
    <row r="1550" spans="1:18" x14ac:dyDescent="0.25">
      <c r="A1550" s="170">
        <v>44286</v>
      </c>
      <c r="B1550" s="116">
        <v>2754.35</v>
      </c>
      <c r="C1550" s="116">
        <v>2693.4</v>
      </c>
      <c r="D1550" s="116">
        <v>2668.05</v>
      </c>
      <c r="E1550" s="116">
        <v>2690.65</v>
      </c>
      <c r="F1550" s="116">
        <v>2693.4</v>
      </c>
      <c r="G1550">
        <v>21744</v>
      </c>
      <c r="H1550" s="116"/>
      <c r="I1550" s="116"/>
      <c r="L1550" s="170">
        <v>44286</v>
      </c>
      <c r="M1550" s="116">
        <v>2692.9</v>
      </c>
      <c r="N1550" s="116">
        <v>2754</v>
      </c>
      <c r="O1550" s="116">
        <v>2666.45</v>
      </c>
      <c r="P1550" s="116">
        <v>2700</v>
      </c>
      <c r="Q1550" s="116">
        <v>2692.9</v>
      </c>
      <c r="R1550">
        <v>428056</v>
      </c>
    </row>
    <row r="1551" spans="1:18" x14ac:dyDescent="0.25">
      <c r="A1551" s="170">
        <v>44287</v>
      </c>
      <c r="B1551" s="116">
        <v>2795</v>
      </c>
      <c r="C1551" s="116">
        <v>2770.6</v>
      </c>
      <c r="D1551" s="116">
        <v>2700</v>
      </c>
      <c r="E1551" s="116">
        <v>2700</v>
      </c>
      <c r="F1551" s="116">
        <v>2770.6</v>
      </c>
      <c r="G1551">
        <v>45977</v>
      </c>
      <c r="H1551" s="116"/>
      <c r="I1551" s="116"/>
      <c r="L1551" s="170">
        <v>44287</v>
      </c>
      <c r="M1551" s="116">
        <v>2772</v>
      </c>
      <c r="N1551" s="116">
        <v>2797</v>
      </c>
      <c r="O1551" s="116">
        <v>2705</v>
      </c>
      <c r="P1551" s="116">
        <v>2707</v>
      </c>
      <c r="Q1551" s="116">
        <v>2772</v>
      </c>
      <c r="R1551">
        <v>579333</v>
      </c>
    </row>
    <row r="1552" spans="1:18" x14ac:dyDescent="0.25">
      <c r="A1552" s="170">
        <v>44291</v>
      </c>
      <c r="B1552" s="116">
        <v>2870</v>
      </c>
      <c r="C1552" s="116">
        <v>2855.15</v>
      </c>
      <c r="D1552" s="116">
        <v>2758.75</v>
      </c>
      <c r="E1552" s="116">
        <v>2775.1</v>
      </c>
      <c r="F1552" s="116">
        <v>2855.15</v>
      </c>
      <c r="G1552">
        <v>43219</v>
      </c>
      <c r="H1552" s="116"/>
      <c r="I1552" s="116"/>
      <c r="L1552" s="170">
        <v>44291</v>
      </c>
      <c r="M1552" s="116">
        <v>2855.8</v>
      </c>
      <c r="N1552" s="116">
        <v>2872</v>
      </c>
      <c r="O1552" s="116">
        <v>2755</v>
      </c>
      <c r="P1552" s="116">
        <v>2780</v>
      </c>
      <c r="Q1552" s="116">
        <v>2855.8</v>
      </c>
      <c r="R1552">
        <v>862892</v>
      </c>
    </row>
    <row r="1553" spans="1:18" x14ac:dyDescent="0.25">
      <c r="A1553" s="170">
        <v>44292</v>
      </c>
      <c r="B1553" s="116">
        <v>2904.7</v>
      </c>
      <c r="C1553" s="116">
        <v>2875.2</v>
      </c>
      <c r="D1553" s="116">
        <v>2848.7</v>
      </c>
      <c r="E1553" s="116">
        <v>2870</v>
      </c>
      <c r="F1553" s="116">
        <v>2875.2</v>
      </c>
      <c r="G1553">
        <v>25706</v>
      </c>
      <c r="H1553" s="116"/>
      <c r="I1553" s="116"/>
      <c r="L1553" s="170">
        <v>44292</v>
      </c>
      <c r="M1553" s="116">
        <v>2876.75</v>
      </c>
      <c r="N1553" s="116">
        <v>2904</v>
      </c>
      <c r="O1553" s="116">
        <v>2847.75</v>
      </c>
      <c r="P1553" s="116">
        <v>2889</v>
      </c>
      <c r="Q1553" s="116">
        <v>2876.75</v>
      </c>
      <c r="R1553">
        <v>516047</v>
      </c>
    </row>
    <row r="1554" spans="1:18" x14ac:dyDescent="0.25">
      <c r="A1554" s="170">
        <v>44293</v>
      </c>
      <c r="B1554" s="116">
        <v>2970.9</v>
      </c>
      <c r="C1554" s="116">
        <v>2946.65</v>
      </c>
      <c r="D1554" s="116">
        <v>2843.35</v>
      </c>
      <c r="E1554" s="116">
        <v>2888.95</v>
      </c>
      <c r="F1554" s="116">
        <v>2946.65</v>
      </c>
      <c r="G1554">
        <v>30160</v>
      </c>
      <c r="H1554" s="116"/>
      <c r="I1554" s="116"/>
      <c r="L1554" s="170">
        <v>44293</v>
      </c>
      <c r="M1554" s="116">
        <v>2946.4</v>
      </c>
      <c r="N1554" s="116">
        <v>2974</v>
      </c>
      <c r="O1554" s="116">
        <v>2840</v>
      </c>
      <c r="P1554" s="116">
        <v>2882</v>
      </c>
      <c r="Q1554" s="116">
        <v>2946.4</v>
      </c>
      <c r="R1554">
        <v>756763</v>
      </c>
    </row>
    <row r="1555" spans="1:18" x14ac:dyDescent="0.25">
      <c r="A1555" s="170">
        <v>44294</v>
      </c>
      <c r="B1555" s="116">
        <v>2999</v>
      </c>
      <c r="C1555" s="116">
        <v>2963.75</v>
      </c>
      <c r="D1555" s="116">
        <v>2906.45</v>
      </c>
      <c r="E1555" s="116">
        <v>2946.65</v>
      </c>
      <c r="F1555" s="116">
        <v>2963.75</v>
      </c>
      <c r="G1555">
        <v>42968</v>
      </c>
      <c r="H1555" s="116"/>
      <c r="I1555" s="116"/>
      <c r="L1555" s="170">
        <v>44294</v>
      </c>
      <c r="M1555" s="116">
        <v>2964.95</v>
      </c>
      <c r="N1555" s="116">
        <v>3000</v>
      </c>
      <c r="O1555" s="116">
        <v>2910</v>
      </c>
      <c r="P1555" s="116">
        <v>2952.35</v>
      </c>
      <c r="Q1555" s="116">
        <v>2964.95</v>
      </c>
      <c r="R1555">
        <v>505478</v>
      </c>
    </row>
    <row r="1556" spans="1:18" x14ac:dyDescent="0.25">
      <c r="A1556" s="170">
        <v>44295</v>
      </c>
      <c r="B1556" s="116">
        <v>3121.65</v>
      </c>
      <c r="C1556" s="116">
        <v>3099</v>
      </c>
      <c r="D1556" s="116">
        <v>2942.75</v>
      </c>
      <c r="E1556" s="116">
        <v>2963.9</v>
      </c>
      <c r="F1556" s="116">
        <v>3099</v>
      </c>
      <c r="G1556">
        <v>44306</v>
      </c>
      <c r="H1556" s="116"/>
      <c r="I1556" s="116"/>
      <c r="L1556" s="170">
        <v>44295</v>
      </c>
      <c r="M1556" s="116">
        <v>3101.6</v>
      </c>
      <c r="N1556" s="116">
        <v>3119</v>
      </c>
      <c r="O1556" s="116">
        <v>2930</v>
      </c>
      <c r="P1556" s="116">
        <v>2930</v>
      </c>
      <c r="Q1556" s="116">
        <v>3101.6</v>
      </c>
      <c r="R1556">
        <v>854663</v>
      </c>
    </row>
    <row r="1557" spans="1:18" x14ac:dyDescent="0.25">
      <c r="A1557" s="170">
        <v>44298</v>
      </c>
      <c r="B1557" s="116">
        <v>3120</v>
      </c>
      <c r="C1557" s="116">
        <v>2918.9</v>
      </c>
      <c r="D1557" s="116">
        <v>2900</v>
      </c>
      <c r="E1557" s="116">
        <v>3120</v>
      </c>
      <c r="F1557" s="116">
        <v>2918.9</v>
      </c>
      <c r="G1557">
        <v>45734</v>
      </c>
      <c r="H1557" s="116"/>
      <c r="I1557" s="116"/>
      <c r="L1557" s="170">
        <v>44298</v>
      </c>
      <c r="M1557" s="116">
        <v>2916.75</v>
      </c>
      <c r="N1557" s="116">
        <v>3115</v>
      </c>
      <c r="O1557" s="116">
        <v>2896</v>
      </c>
      <c r="P1557" s="116">
        <v>3107.05</v>
      </c>
      <c r="Q1557" s="116">
        <v>2916.75</v>
      </c>
      <c r="R1557">
        <v>538437</v>
      </c>
    </row>
    <row r="1558" spans="1:18" x14ac:dyDescent="0.25">
      <c r="A1558" s="170">
        <v>44299</v>
      </c>
      <c r="B1558" s="116">
        <v>2949.7</v>
      </c>
      <c r="C1558" s="116">
        <v>2825.7</v>
      </c>
      <c r="D1558" s="116">
        <v>2801</v>
      </c>
      <c r="E1558" s="116">
        <v>2918.9</v>
      </c>
      <c r="F1558" s="116">
        <v>2825.7</v>
      </c>
      <c r="G1558">
        <v>41729</v>
      </c>
      <c r="H1558" s="116"/>
      <c r="I1558" s="116"/>
      <c r="L1558" s="170">
        <v>44299</v>
      </c>
      <c r="M1558" s="116">
        <v>2827.15</v>
      </c>
      <c r="N1558" s="116">
        <v>2947.65</v>
      </c>
      <c r="O1558" s="116">
        <v>2802.1</v>
      </c>
      <c r="P1558" s="116">
        <v>2920</v>
      </c>
      <c r="Q1558" s="116">
        <v>2827.15</v>
      </c>
      <c r="R1558">
        <v>278729</v>
      </c>
    </row>
    <row r="1559" spans="1:18" x14ac:dyDescent="0.25">
      <c r="A1559" s="170">
        <v>44301</v>
      </c>
      <c r="B1559" s="116">
        <v>2950</v>
      </c>
      <c r="C1559" s="116">
        <v>2922.7</v>
      </c>
      <c r="D1559" s="116">
        <v>2823.1</v>
      </c>
      <c r="E1559" s="116">
        <v>2825.7</v>
      </c>
      <c r="F1559" s="116">
        <v>2922.7</v>
      </c>
      <c r="G1559">
        <v>19563</v>
      </c>
      <c r="H1559" s="116"/>
      <c r="I1559" s="116"/>
      <c r="L1559" s="170">
        <v>44301</v>
      </c>
      <c r="M1559" s="116">
        <v>2927.85</v>
      </c>
      <c r="N1559" s="116">
        <v>2952</v>
      </c>
      <c r="O1559" s="116">
        <v>2822.55</v>
      </c>
      <c r="P1559" s="116">
        <v>2825</v>
      </c>
      <c r="Q1559" s="116">
        <v>2927.85</v>
      </c>
      <c r="R1559">
        <v>311649</v>
      </c>
    </row>
    <row r="1560" spans="1:18" x14ac:dyDescent="0.25">
      <c r="A1560" s="170">
        <v>44302</v>
      </c>
      <c r="B1560" s="116">
        <v>3072.25</v>
      </c>
      <c r="C1560" s="116">
        <v>2962.8</v>
      </c>
      <c r="D1560" s="116">
        <v>2935</v>
      </c>
      <c r="E1560" s="116">
        <v>2948.95</v>
      </c>
      <c r="F1560" s="116">
        <v>2962.8</v>
      </c>
      <c r="G1560">
        <v>20046</v>
      </c>
      <c r="H1560" s="116"/>
      <c r="I1560" s="116"/>
      <c r="L1560" s="170">
        <v>44302</v>
      </c>
      <c r="M1560" s="116">
        <v>2963.8</v>
      </c>
      <c r="N1560" s="116">
        <v>3073</v>
      </c>
      <c r="O1560" s="116">
        <v>2930.1</v>
      </c>
      <c r="P1560" s="116">
        <v>2938</v>
      </c>
      <c r="Q1560" s="116">
        <v>2963.8</v>
      </c>
      <c r="R1560">
        <v>293199</v>
      </c>
    </row>
    <row r="1561" spans="1:18" x14ac:dyDescent="0.25">
      <c r="A1561" s="170">
        <v>44305</v>
      </c>
      <c r="B1561" s="116">
        <v>3059.95</v>
      </c>
      <c r="C1561" s="116">
        <v>3050.95</v>
      </c>
      <c r="D1561" s="116">
        <v>2838.95</v>
      </c>
      <c r="E1561" s="116">
        <v>2960</v>
      </c>
      <c r="F1561" s="116">
        <v>3050.95</v>
      </c>
      <c r="G1561">
        <v>28374</v>
      </c>
      <c r="H1561" s="116"/>
      <c r="I1561" s="116"/>
      <c r="L1561" s="170">
        <v>44305</v>
      </c>
      <c r="M1561" s="116">
        <v>3049.6</v>
      </c>
      <c r="N1561" s="116">
        <v>3062</v>
      </c>
      <c r="O1561" s="116">
        <v>2835</v>
      </c>
      <c r="P1561" s="116">
        <v>2910</v>
      </c>
      <c r="Q1561" s="116">
        <v>3049.6</v>
      </c>
      <c r="R1561">
        <v>373510</v>
      </c>
    </row>
    <row r="1562" spans="1:18" x14ac:dyDescent="0.25">
      <c r="A1562" s="170">
        <v>44306</v>
      </c>
      <c r="B1562" s="116">
        <v>3124</v>
      </c>
      <c r="C1562" s="116">
        <v>2998.05</v>
      </c>
      <c r="D1562" s="116">
        <v>2972</v>
      </c>
      <c r="E1562" s="116">
        <v>3070</v>
      </c>
      <c r="F1562" s="116">
        <v>2998.05</v>
      </c>
      <c r="G1562">
        <v>38569</v>
      </c>
      <c r="H1562" s="116"/>
      <c r="I1562" s="116"/>
      <c r="L1562" s="170">
        <v>44306</v>
      </c>
      <c r="M1562" s="116">
        <v>2999.9</v>
      </c>
      <c r="N1562" s="116">
        <v>3124.8</v>
      </c>
      <c r="O1562" s="116">
        <v>2970</v>
      </c>
      <c r="P1562" s="116">
        <v>3068</v>
      </c>
      <c r="Q1562" s="116">
        <v>2999.9</v>
      </c>
      <c r="R1562">
        <v>233828</v>
      </c>
    </row>
    <row r="1563" spans="1:18" x14ac:dyDescent="0.25">
      <c r="A1563" s="170">
        <v>44308</v>
      </c>
      <c r="B1563" s="116">
        <v>3064</v>
      </c>
      <c r="C1563" s="116">
        <v>3046.25</v>
      </c>
      <c r="D1563" s="116">
        <v>2997.95</v>
      </c>
      <c r="E1563" s="116">
        <v>3025</v>
      </c>
      <c r="F1563" s="116">
        <v>3046.25</v>
      </c>
      <c r="G1563">
        <v>17516</v>
      </c>
      <c r="H1563" s="116"/>
      <c r="I1563" s="116"/>
      <c r="L1563" s="170">
        <v>44308</v>
      </c>
      <c r="M1563" s="116">
        <v>3048.1</v>
      </c>
      <c r="N1563" s="116">
        <v>3065</v>
      </c>
      <c r="O1563" s="116">
        <v>2991</v>
      </c>
      <c r="P1563" s="116">
        <v>2998</v>
      </c>
      <c r="Q1563" s="116">
        <v>3048.1</v>
      </c>
      <c r="R1563">
        <v>207737</v>
      </c>
    </row>
    <row r="1564" spans="1:18" x14ac:dyDescent="0.25">
      <c r="A1564" s="170">
        <v>44309</v>
      </c>
      <c r="B1564" s="116">
        <v>3340</v>
      </c>
      <c r="C1564" s="116">
        <v>3191.95</v>
      </c>
      <c r="D1564" s="116">
        <v>3128.05</v>
      </c>
      <c r="E1564" s="116">
        <v>3139</v>
      </c>
      <c r="F1564" s="116">
        <v>3191.95</v>
      </c>
      <c r="G1564">
        <v>79333</v>
      </c>
      <c r="H1564" s="116"/>
      <c r="I1564" s="116"/>
      <c r="L1564" s="170">
        <v>44309</v>
      </c>
      <c r="M1564" s="116">
        <v>3185.65</v>
      </c>
      <c r="N1564" s="116">
        <v>3340</v>
      </c>
      <c r="O1564" s="116">
        <v>3127.45</v>
      </c>
      <c r="P1564" s="116">
        <v>3150</v>
      </c>
      <c r="Q1564" s="116">
        <v>3185.65</v>
      </c>
      <c r="R1564">
        <v>1588841</v>
      </c>
    </row>
    <row r="1565" spans="1:18" x14ac:dyDescent="0.25">
      <c r="A1565" s="170">
        <v>44312</v>
      </c>
      <c r="B1565" s="116">
        <v>3265.15</v>
      </c>
      <c r="C1565" s="116">
        <v>3201.7</v>
      </c>
      <c r="D1565" s="116">
        <v>3163.95</v>
      </c>
      <c r="E1565" s="116">
        <v>3250</v>
      </c>
      <c r="F1565" s="116">
        <v>3201.7</v>
      </c>
      <c r="G1565">
        <v>37133</v>
      </c>
      <c r="H1565" s="116"/>
      <c r="I1565" s="116"/>
      <c r="L1565" s="170">
        <v>44312</v>
      </c>
      <c r="M1565" s="116">
        <v>3202.85</v>
      </c>
      <c r="N1565" s="116">
        <v>3269.85</v>
      </c>
      <c r="O1565" s="116">
        <v>3165</v>
      </c>
      <c r="P1565" s="116">
        <v>3264</v>
      </c>
      <c r="Q1565" s="116">
        <v>3202.85</v>
      </c>
      <c r="R1565">
        <v>274316</v>
      </c>
    </row>
    <row r="1566" spans="1:18" x14ac:dyDescent="0.25">
      <c r="A1566" s="170">
        <v>44313</v>
      </c>
      <c r="B1566" s="116">
        <v>3208.4</v>
      </c>
      <c r="C1566" s="116">
        <v>3175.5</v>
      </c>
      <c r="D1566" s="116">
        <v>3156.6</v>
      </c>
      <c r="E1566" s="116">
        <v>3200</v>
      </c>
      <c r="F1566" s="116">
        <v>3175.5</v>
      </c>
      <c r="G1566">
        <v>10974</v>
      </c>
      <c r="H1566" s="116"/>
      <c r="I1566" s="116"/>
      <c r="L1566" s="170">
        <v>44313</v>
      </c>
      <c r="M1566" s="116">
        <v>3175</v>
      </c>
      <c r="N1566" s="116">
        <v>3208.95</v>
      </c>
      <c r="O1566" s="116">
        <v>3155</v>
      </c>
      <c r="P1566" s="116">
        <v>3195</v>
      </c>
      <c r="Q1566" s="116">
        <v>3175</v>
      </c>
      <c r="R1566">
        <v>140044</v>
      </c>
    </row>
    <row r="1567" spans="1:18" x14ac:dyDescent="0.25">
      <c r="A1567" s="170">
        <v>44314</v>
      </c>
      <c r="B1567" s="116">
        <v>3320</v>
      </c>
      <c r="C1567" s="116">
        <v>3295.05</v>
      </c>
      <c r="D1567" s="116">
        <v>3175.5</v>
      </c>
      <c r="E1567" s="116">
        <v>3175.5</v>
      </c>
      <c r="F1567" s="116">
        <v>3295.05</v>
      </c>
      <c r="G1567">
        <v>36870</v>
      </c>
      <c r="H1567" s="116"/>
      <c r="I1567" s="116"/>
      <c r="L1567" s="170">
        <v>44314</v>
      </c>
      <c r="M1567" s="116">
        <v>3296.5</v>
      </c>
      <c r="N1567" s="116">
        <v>3315</v>
      </c>
      <c r="O1567" s="116">
        <v>3185.1</v>
      </c>
      <c r="P1567" s="116">
        <v>3189</v>
      </c>
      <c r="Q1567" s="116">
        <v>3296.5</v>
      </c>
      <c r="R1567">
        <v>284177</v>
      </c>
    </row>
    <row r="1568" spans="1:18" x14ac:dyDescent="0.25">
      <c r="A1568" s="170">
        <v>44315</v>
      </c>
      <c r="B1568" s="116">
        <v>3394.95</v>
      </c>
      <c r="C1568" s="116">
        <v>3381.1</v>
      </c>
      <c r="D1568" s="116">
        <v>3271.9</v>
      </c>
      <c r="E1568" s="116">
        <v>3330.5</v>
      </c>
      <c r="F1568" s="116">
        <v>3381.1</v>
      </c>
      <c r="G1568">
        <v>22226</v>
      </c>
      <c r="H1568" s="116"/>
      <c r="I1568" s="116"/>
      <c r="L1568" s="170">
        <v>44315</v>
      </c>
      <c r="M1568" s="116">
        <v>3384.7</v>
      </c>
      <c r="N1568" s="116">
        <v>3394.95</v>
      </c>
      <c r="O1568" s="116">
        <v>3270.1</v>
      </c>
      <c r="P1568" s="116">
        <v>3320</v>
      </c>
      <c r="Q1568" s="116">
        <v>3384.7</v>
      </c>
      <c r="R1568">
        <v>310112</v>
      </c>
    </row>
    <row r="1569" spans="1:18" x14ac:dyDescent="0.25">
      <c r="A1569" s="170">
        <v>44316</v>
      </c>
      <c r="B1569" s="116">
        <v>3518.6</v>
      </c>
      <c r="C1569" s="116">
        <v>3480.1</v>
      </c>
      <c r="D1569" s="116">
        <v>3307.25</v>
      </c>
      <c r="E1569" s="116">
        <v>3385</v>
      </c>
      <c r="F1569" s="116">
        <v>3480.1</v>
      </c>
      <c r="G1569">
        <v>27292</v>
      </c>
      <c r="H1569" s="116"/>
      <c r="I1569" s="116"/>
      <c r="L1569" s="170">
        <v>44316</v>
      </c>
      <c r="M1569" s="116">
        <v>3480.1</v>
      </c>
      <c r="N1569" s="116">
        <v>3519.6</v>
      </c>
      <c r="O1569" s="116">
        <v>3320</v>
      </c>
      <c r="P1569" s="116">
        <v>3380</v>
      </c>
      <c r="Q1569" s="116">
        <v>3480.1</v>
      </c>
      <c r="R1569">
        <v>287367</v>
      </c>
    </row>
    <row r="1570" spans="1:18" x14ac:dyDescent="0.25">
      <c r="A1570" s="170">
        <v>44319</v>
      </c>
      <c r="B1570" s="116">
        <v>3555.7</v>
      </c>
      <c r="C1570" s="116">
        <v>3533.9</v>
      </c>
      <c r="D1570" s="116">
        <v>3400</v>
      </c>
      <c r="E1570" s="116">
        <v>3480.1</v>
      </c>
      <c r="F1570" s="116">
        <v>3533.9</v>
      </c>
      <c r="G1570">
        <v>17958</v>
      </c>
      <c r="H1570" s="116"/>
      <c r="I1570" s="116"/>
      <c r="L1570" s="170">
        <v>44319</v>
      </c>
      <c r="M1570" s="116">
        <v>3535.45</v>
      </c>
      <c r="N1570" s="116">
        <v>3554.95</v>
      </c>
      <c r="O1570" s="116">
        <v>3450.75</v>
      </c>
      <c r="P1570" s="116">
        <v>3475</v>
      </c>
      <c r="Q1570" s="116">
        <v>3535.45</v>
      </c>
      <c r="R1570">
        <v>172837</v>
      </c>
    </row>
    <row r="1571" spans="1:18" x14ac:dyDescent="0.25">
      <c r="A1571" s="170">
        <v>44320</v>
      </c>
      <c r="B1571" s="116">
        <v>4089.7</v>
      </c>
      <c r="C1571" s="116">
        <v>3859.45</v>
      </c>
      <c r="D1571" s="116">
        <v>3509.2</v>
      </c>
      <c r="E1571" s="116">
        <v>3568</v>
      </c>
      <c r="F1571" s="116">
        <v>3859.45</v>
      </c>
      <c r="G1571">
        <v>91234</v>
      </c>
      <c r="H1571" s="116"/>
      <c r="I1571" s="116"/>
      <c r="L1571" s="170">
        <v>44320</v>
      </c>
      <c r="M1571" s="116">
        <v>3846.95</v>
      </c>
      <c r="N1571" s="116">
        <v>4090</v>
      </c>
      <c r="O1571" s="116">
        <v>3508.2</v>
      </c>
      <c r="P1571" s="116">
        <v>3576.7</v>
      </c>
      <c r="Q1571" s="116">
        <v>3846.95</v>
      </c>
      <c r="R1571">
        <v>1019657</v>
      </c>
    </row>
    <row r="1572" spans="1:18" x14ac:dyDescent="0.25">
      <c r="A1572" s="170">
        <v>44321</v>
      </c>
      <c r="B1572" s="116">
        <v>3944.55</v>
      </c>
      <c r="C1572" s="116">
        <v>3848.1</v>
      </c>
      <c r="D1572" s="116">
        <v>3806.7</v>
      </c>
      <c r="E1572" s="116">
        <v>3918</v>
      </c>
      <c r="F1572" s="116">
        <v>3848.1</v>
      </c>
      <c r="G1572">
        <v>38064</v>
      </c>
      <c r="H1572" s="116"/>
      <c r="I1572" s="116"/>
      <c r="L1572" s="170">
        <v>44321</v>
      </c>
      <c r="M1572" s="116">
        <v>3844.45</v>
      </c>
      <c r="N1572" s="116">
        <v>3945.95</v>
      </c>
      <c r="O1572" s="116">
        <v>3803.4</v>
      </c>
      <c r="P1572" s="116">
        <v>3895.9</v>
      </c>
      <c r="Q1572" s="116">
        <v>3844.45</v>
      </c>
      <c r="R1572">
        <v>326692</v>
      </c>
    </row>
    <row r="1573" spans="1:18" x14ac:dyDescent="0.25">
      <c r="A1573" s="170">
        <v>44322</v>
      </c>
      <c r="B1573" s="116">
        <v>3901</v>
      </c>
      <c r="C1573" s="116">
        <v>3756.45</v>
      </c>
      <c r="D1573" s="116">
        <v>3573.8</v>
      </c>
      <c r="E1573" s="116">
        <v>3901</v>
      </c>
      <c r="F1573" s="116">
        <v>3756.45</v>
      </c>
      <c r="G1573">
        <v>42012</v>
      </c>
      <c r="H1573" s="116"/>
      <c r="I1573" s="116"/>
      <c r="L1573" s="170">
        <v>44322</v>
      </c>
      <c r="M1573" s="116">
        <v>3755.65</v>
      </c>
      <c r="N1573" s="116">
        <v>3890.3</v>
      </c>
      <c r="O1573" s="116">
        <v>3567.85</v>
      </c>
      <c r="P1573" s="116">
        <v>3890</v>
      </c>
      <c r="Q1573" s="116">
        <v>3755.65</v>
      </c>
      <c r="R1573">
        <v>398599</v>
      </c>
    </row>
    <row r="1574" spans="1:18" x14ac:dyDescent="0.25">
      <c r="A1574" s="170">
        <v>44323</v>
      </c>
      <c r="B1574" s="116">
        <v>3808.8</v>
      </c>
      <c r="C1574" s="116">
        <v>3689.2</v>
      </c>
      <c r="D1574" s="116">
        <v>3650</v>
      </c>
      <c r="E1574" s="116">
        <v>3765</v>
      </c>
      <c r="F1574" s="116">
        <v>3689.2</v>
      </c>
      <c r="G1574">
        <v>24929</v>
      </c>
      <c r="H1574" s="116"/>
      <c r="I1574" s="116"/>
      <c r="L1574" s="170">
        <v>44323</v>
      </c>
      <c r="M1574" s="116">
        <v>3690.75</v>
      </c>
      <c r="N1574" s="116">
        <v>3809.55</v>
      </c>
      <c r="O1574" s="116">
        <v>3680.05</v>
      </c>
      <c r="P1574" s="116">
        <v>3784</v>
      </c>
      <c r="Q1574" s="116">
        <v>3690.75</v>
      </c>
      <c r="R1574">
        <v>165781</v>
      </c>
    </row>
    <row r="1575" spans="1:18" x14ac:dyDescent="0.25">
      <c r="A1575" s="170">
        <v>44326</v>
      </c>
      <c r="B1575" s="116">
        <v>3755</v>
      </c>
      <c r="C1575" s="116">
        <v>3615</v>
      </c>
      <c r="D1575" s="116">
        <v>3605</v>
      </c>
      <c r="E1575" s="116">
        <v>3755</v>
      </c>
      <c r="F1575" s="116">
        <v>3615</v>
      </c>
      <c r="G1575">
        <v>14110</v>
      </c>
      <c r="H1575" s="116"/>
      <c r="I1575" s="116"/>
      <c r="L1575" s="170">
        <v>44326</v>
      </c>
      <c r="M1575" s="116">
        <v>3613.15</v>
      </c>
      <c r="N1575" s="116">
        <v>3727</v>
      </c>
      <c r="O1575" s="116">
        <v>3601</v>
      </c>
      <c r="P1575" s="116">
        <v>3717.5</v>
      </c>
      <c r="Q1575" s="116">
        <v>3613.15</v>
      </c>
      <c r="R1575">
        <v>179702</v>
      </c>
    </row>
    <row r="1576" spans="1:18" x14ac:dyDescent="0.25">
      <c r="A1576" s="170">
        <v>44327</v>
      </c>
      <c r="B1576" s="116">
        <v>3690.3</v>
      </c>
      <c r="C1576" s="116">
        <v>3517.85</v>
      </c>
      <c r="D1576" s="116">
        <v>3500</v>
      </c>
      <c r="E1576" s="116">
        <v>3577.05</v>
      </c>
      <c r="F1576" s="116">
        <v>3517.85</v>
      </c>
      <c r="G1576">
        <v>24307</v>
      </c>
      <c r="H1576" s="116"/>
      <c r="I1576" s="116"/>
      <c r="L1576" s="170">
        <v>44327</v>
      </c>
      <c r="M1576" s="116">
        <v>3516.2</v>
      </c>
      <c r="N1576" s="116">
        <v>3690</v>
      </c>
      <c r="O1576" s="116">
        <v>3496.4</v>
      </c>
      <c r="P1576" s="116">
        <v>3610</v>
      </c>
      <c r="Q1576" s="116">
        <v>3516.2</v>
      </c>
      <c r="R1576">
        <v>249698</v>
      </c>
    </row>
    <row r="1577" spans="1:18" x14ac:dyDescent="0.25">
      <c r="A1577" s="170">
        <v>44328</v>
      </c>
      <c r="B1577" s="116">
        <v>3585.6</v>
      </c>
      <c r="C1577" s="116">
        <v>3521.55</v>
      </c>
      <c r="D1577" s="116">
        <v>3510</v>
      </c>
      <c r="E1577" s="116">
        <v>3530</v>
      </c>
      <c r="F1577" s="116">
        <v>3521.55</v>
      </c>
      <c r="G1577">
        <v>18856</v>
      </c>
      <c r="H1577" s="116"/>
      <c r="I1577" s="116"/>
      <c r="L1577" s="170">
        <v>44328</v>
      </c>
      <c r="M1577" s="116">
        <v>3522.25</v>
      </c>
      <c r="N1577" s="116">
        <v>3585</v>
      </c>
      <c r="O1577" s="116">
        <v>3510</v>
      </c>
      <c r="P1577" s="116">
        <v>3550</v>
      </c>
      <c r="Q1577" s="116">
        <v>3522.25</v>
      </c>
      <c r="R1577">
        <v>132167</v>
      </c>
    </row>
    <row r="1578" spans="1:18" x14ac:dyDescent="0.25">
      <c r="A1578" s="170">
        <v>44330</v>
      </c>
      <c r="B1578" s="116">
        <v>3560.95</v>
      </c>
      <c r="C1578" s="116">
        <v>3482.4</v>
      </c>
      <c r="D1578" s="116">
        <v>3389.6</v>
      </c>
      <c r="E1578" s="116">
        <v>3523.05</v>
      </c>
      <c r="F1578" s="116">
        <v>3482.4</v>
      </c>
      <c r="G1578">
        <v>16041</v>
      </c>
      <c r="H1578" s="116"/>
      <c r="I1578" s="116"/>
      <c r="L1578" s="170">
        <v>44330</v>
      </c>
      <c r="M1578" s="116">
        <v>3481.8</v>
      </c>
      <c r="N1578" s="116">
        <v>3559.95</v>
      </c>
      <c r="O1578" s="116">
        <v>3390.15</v>
      </c>
      <c r="P1578" s="116">
        <v>3554</v>
      </c>
      <c r="Q1578" s="116">
        <v>3481.8</v>
      </c>
      <c r="R1578">
        <v>228847</v>
      </c>
    </row>
    <row r="1579" spans="1:18" x14ac:dyDescent="0.25">
      <c r="A1579" s="170">
        <v>44333</v>
      </c>
      <c r="B1579" s="116">
        <v>3697.9</v>
      </c>
      <c r="C1579" s="116">
        <v>3628.35</v>
      </c>
      <c r="D1579" s="116">
        <v>3350</v>
      </c>
      <c r="E1579" s="116">
        <v>3514.95</v>
      </c>
      <c r="F1579" s="116">
        <v>3628.35</v>
      </c>
      <c r="G1579">
        <v>40893</v>
      </c>
      <c r="H1579" s="116"/>
      <c r="I1579" s="116"/>
      <c r="L1579" s="170">
        <v>44333</v>
      </c>
      <c r="M1579" s="116">
        <v>3629.9</v>
      </c>
      <c r="N1579" s="116">
        <v>3698</v>
      </c>
      <c r="O1579" s="116">
        <v>3435</v>
      </c>
      <c r="P1579" s="116">
        <v>3499.65</v>
      </c>
      <c r="Q1579" s="116">
        <v>3629.9</v>
      </c>
      <c r="R1579">
        <v>357913</v>
      </c>
    </row>
    <row r="1580" spans="1:18" x14ac:dyDescent="0.25">
      <c r="A1580" s="170">
        <v>44334</v>
      </c>
      <c r="B1580" s="116">
        <v>3711</v>
      </c>
      <c r="C1580" s="116">
        <v>3664.3</v>
      </c>
      <c r="D1580" s="116">
        <v>3630.2</v>
      </c>
      <c r="E1580" s="116">
        <v>3630.2</v>
      </c>
      <c r="F1580" s="116">
        <v>3664.3</v>
      </c>
      <c r="G1580">
        <v>16294</v>
      </c>
      <c r="H1580" s="116"/>
      <c r="I1580" s="116"/>
      <c r="L1580" s="170">
        <v>44334</v>
      </c>
      <c r="M1580" s="116">
        <v>3661.75</v>
      </c>
      <c r="N1580" s="116">
        <v>3714.95</v>
      </c>
      <c r="O1580" s="116">
        <v>3649.95</v>
      </c>
      <c r="P1580" s="116">
        <v>3650</v>
      </c>
      <c r="Q1580" s="116">
        <v>3661.75</v>
      </c>
      <c r="R1580">
        <v>257433</v>
      </c>
    </row>
    <row r="1581" spans="1:18" x14ac:dyDescent="0.25">
      <c r="A1581" s="170">
        <v>44335</v>
      </c>
      <c r="B1581" s="116">
        <v>3730</v>
      </c>
      <c r="C1581" s="116">
        <v>3654.2</v>
      </c>
      <c r="D1581" s="116">
        <v>3620</v>
      </c>
      <c r="E1581" s="116">
        <v>3665</v>
      </c>
      <c r="F1581" s="116">
        <v>3654.2</v>
      </c>
      <c r="G1581">
        <v>20222</v>
      </c>
      <c r="H1581" s="116"/>
      <c r="I1581" s="116"/>
      <c r="L1581" s="170">
        <v>44335</v>
      </c>
      <c r="M1581" s="116">
        <v>3654.2</v>
      </c>
      <c r="N1581" s="116">
        <v>3732</v>
      </c>
      <c r="O1581" s="116">
        <v>3618.25</v>
      </c>
      <c r="P1581" s="116">
        <v>3665</v>
      </c>
      <c r="Q1581" s="116">
        <v>3654.2</v>
      </c>
      <c r="R1581">
        <v>168037</v>
      </c>
    </row>
    <row r="1582" spans="1:18" x14ac:dyDescent="0.25">
      <c r="A1582" s="170">
        <v>44336</v>
      </c>
      <c r="B1582" s="116">
        <v>3699.8</v>
      </c>
      <c r="C1582" s="116">
        <v>3621.75</v>
      </c>
      <c r="D1582" s="116">
        <v>3601.85</v>
      </c>
      <c r="E1582" s="116">
        <v>3699.8</v>
      </c>
      <c r="F1582" s="116">
        <v>3621.75</v>
      </c>
      <c r="G1582">
        <v>8142</v>
      </c>
      <c r="H1582" s="116"/>
      <c r="I1582" s="116"/>
      <c r="L1582" s="170">
        <v>44336</v>
      </c>
      <c r="M1582" s="116">
        <v>3618.9</v>
      </c>
      <c r="N1582" s="116">
        <v>3685</v>
      </c>
      <c r="O1582" s="116">
        <v>3600.45</v>
      </c>
      <c r="P1582" s="116">
        <v>3670</v>
      </c>
      <c r="Q1582" s="116">
        <v>3618.9</v>
      </c>
      <c r="R1582">
        <v>100979</v>
      </c>
    </row>
    <row r="1583" spans="1:18" x14ac:dyDescent="0.25">
      <c r="A1583" s="170">
        <v>44337</v>
      </c>
      <c r="B1583" s="116">
        <v>3658.95</v>
      </c>
      <c r="C1583" s="116">
        <v>3568.65</v>
      </c>
      <c r="D1583" s="116">
        <v>3557.05</v>
      </c>
      <c r="E1583" s="116">
        <v>3648</v>
      </c>
      <c r="F1583" s="116">
        <v>3568.65</v>
      </c>
      <c r="G1583">
        <v>15638</v>
      </c>
      <c r="H1583" s="116"/>
      <c r="I1583" s="116"/>
      <c r="L1583" s="170">
        <v>44337</v>
      </c>
      <c r="M1583" s="116">
        <v>3566.15</v>
      </c>
      <c r="N1583" s="116">
        <v>3652.5</v>
      </c>
      <c r="O1583" s="116">
        <v>3550</v>
      </c>
      <c r="P1583" s="116">
        <v>3635</v>
      </c>
      <c r="Q1583" s="116">
        <v>3566.15</v>
      </c>
      <c r="R1583">
        <v>125621</v>
      </c>
    </row>
    <row r="1584" spans="1:18" x14ac:dyDescent="0.25">
      <c r="A1584" s="170">
        <v>44340</v>
      </c>
      <c r="B1584" s="116">
        <v>3637.5</v>
      </c>
      <c r="C1584" s="116">
        <v>3583.85</v>
      </c>
      <c r="D1584" s="116">
        <v>3570</v>
      </c>
      <c r="E1584" s="116">
        <v>3570</v>
      </c>
      <c r="F1584" s="116">
        <v>3583.85</v>
      </c>
      <c r="G1584">
        <v>16880</v>
      </c>
      <c r="H1584" s="116"/>
      <c r="I1584" s="116"/>
      <c r="L1584" s="170">
        <v>44340</v>
      </c>
      <c r="M1584" s="116">
        <v>3582.05</v>
      </c>
      <c r="N1584" s="116">
        <v>3640.8</v>
      </c>
      <c r="O1584" s="116">
        <v>3570</v>
      </c>
      <c r="P1584" s="116">
        <v>3598.5</v>
      </c>
      <c r="Q1584" s="116">
        <v>3582.05</v>
      </c>
      <c r="R1584">
        <v>72167</v>
      </c>
    </row>
    <row r="1585" spans="1:18" x14ac:dyDescent="0.25">
      <c r="A1585" s="170">
        <v>44341</v>
      </c>
      <c r="B1585" s="116">
        <v>3639.7</v>
      </c>
      <c r="C1585" s="116">
        <v>3566.6</v>
      </c>
      <c r="D1585" s="116">
        <v>3555.55</v>
      </c>
      <c r="E1585" s="116">
        <v>3639.7</v>
      </c>
      <c r="F1585" s="116">
        <v>3566.6</v>
      </c>
      <c r="G1585">
        <v>13100</v>
      </c>
      <c r="H1585" s="116"/>
      <c r="I1585" s="116"/>
      <c r="L1585" s="170">
        <v>44341</v>
      </c>
      <c r="M1585" s="116">
        <v>3565.95</v>
      </c>
      <c r="N1585" s="116">
        <v>3617.95</v>
      </c>
      <c r="O1585" s="116">
        <v>3555</v>
      </c>
      <c r="P1585" s="116">
        <v>3600.9</v>
      </c>
      <c r="Q1585" s="116">
        <v>3565.95</v>
      </c>
      <c r="R1585">
        <v>74758</v>
      </c>
    </row>
    <row r="1586" spans="1:18" x14ac:dyDescent="0.25">
      <c r="A1586" s="170">
        <v>44342</v>
      </c>
      <c r="B1586" s="116">
        <v>3664.45</v>
      </c>
      <c r="C1586" s="116">
        <v>3557.6</v>
      </c>
      <c r="D1586" s="116">
        <v>3532.05</v>
      </c>
      <c r="E1586" s="116">
        <v>3588</v>
      </c>
      <c r="F1586" s="116">
        <v>3557.6</v>
      </c>
      <c r="G1586">
        <v>24587</v>
      </c>
      <c r="H1586" s="116"/>
      <c r="I1586" s="116"/>
      <c r="L1586" s="170">
        <v>44342</v>
      </c>
      <c r="M1586" s="116">
        <v>3561.45</v>
      </c>
      <c r="N1586" s="116">
        <v>3664</v>
      </c>
      <c r="O1586" s="116">
        <v>3532</v>
      </c>
      <c r="P1586" s="116">
        <v>3575</v>
      </c>
      <c r="Q1586" s="116">
        <v>3561.45</v>
      </c>
      <c r="R1586">
        <v>144295</v>
      </c>
    </row>
    <row r="1587" spans="1:18" x14ac:dyDescent="0.25">
      <c r="A1587" s="170">
        <v>44343</v>
      </c>
      <c r="B1587" s="116">
        <v>3648</v>
      </c>
      <c r="C1587" s="116">
        <v>3606</v>
      </c>
      <c r="D1587" s="116">
        <v>3556</v>
      </c>
      <c r="E1587" s="116">
        <v>3556</v>
      </c>
      <c r="F1587" s="116">
        <v>3606</v>
      </c>
      <c r="G1587">
        <v>7214</v>
      </c>
      <c r="H1587" s="116"/>
      <c r="I1587" s="116"/>
      <c r="L1587" s="170">
        <v>44343</v>
      </c>
      <c r="M1587" s="116">
        <v>3604.25</v>
      </c>
      <c r="N1587" s="116">
        <v>3648.8</v>
      </c>
      <c r="O1587" s="116">
        <v>3563</v>
      </c>
      <c r="P1587" s="116">
        <v>3565</v>
      </c>
      <c r="Q1587" s="116">
        <v>3604.25</v>
      </c>
      <c r="R1587">
        <v>137719</v>
      </c>
    </row>
    <row r="1588" spans="1:18" x14ac:dyDescent="0.25">
      <c r="A1588" s="170">
        <v>44344</v>
      </c>
      <c r="B1588" s="116">
        <v>3660.75</v>
      </c>
      <c r="C1588" s="116">
        <v>3628.95</v>
      </c>
      <c r="D1588" s="116">
        <v>3605.05</v>
      </c>
      <c r="E1588" s="116">
        <v>3648</v>
      </c>
      <c r="F1588" s="116">
        <v>3628.95</v>
      </c>
      <c r="G1588">
        <v>15258</v>
      </c>
      <c r="H1588" s="116"/>
      <c r="I1588" s="116"/>
      <c r="L1588" s="170">
        <v>44344</v>
      </c>
      <c r="M1588" s="116">
        <v>3629.75</v>
      </c>
      <c r="N1588" s="116">
        <v>3658</v>
      </c>
      <c r="O1588" s="116">
        <v>3605.2</v>
      </c>
      <c r="P1588" s="116">
        <v>3640</v>
      </c>
      <c r="Q1588" s="116">
        <v>3629.75</v>
      </c>
      <c r="R1588">
        <v>87667</v>
      </c>
    </row>
    <row r="1589" spans="1:18" x14ac:dyDescent="0.25">
      <c r="A1589" s="170">
        <v>44347</v>
      </c>
      <c r="B1589" s="116">
        <v>3711.45</v>
      </c>
      <c r="C1589" s="116">
        <v>3642.85</v>
      </c>
      <c r="D1589" s="116">
        <v>3560.4</v>
      </c>
      <c r="E1589" s="116">
        <v>3665</v>
      </c>
      <c r="F1589" s="116">
        <v>3642.85</v>
      </c>
      <c r="G1589">
        <v>14937</v>
      </c>
      <c r="H1589" s="116"/>
      <c r="I1589" s="116"/>
      <c r="L1589" s="170">
        <v>44347</v>
      </c>
      <c r="M1589" s="116">
        <v>3643.55</v>
      </c>
      <c r="N1589" s="116">
        <v>3712</v>
      </c>
      <c r="O1589" s="116">
        <v>3565</v>
      </c>
      <c r="P1589" s="116">
        <v>3628</v>
      </c>
      <c r="Q1589" s="116">
        <v>3643.55</v>
      </c>
      <c r="R1589">
        <v>241839</v>
      </c>
    </row>
    <row r="1590" spans="1:18" x14ac:dyDescent="0.25">
      <c r="A1590" s="170">
        <v>44348</v>
      </c>
      <c r="B1590" s="116">
        <v>3689.9</v>
      </c>
      <c r="C1590" s="116">
        <v>3611.45</v>
      </c>
      <c r="D1590" s="116">
        <v>3596</v>
      </c>
      <c r="E1590" s="116">
        <v>3689.9</v>
      </c>
      <c r="F1590" s="116">
        <v>3611.45</v>
      </c>
      <c r="G1590">
        <v>5736</v>
      </c>
      <c r="H1590" s="116"/>
      <c r="I1590" s="116"/>
      <c r="L1590" s="170">
        <v>44348</v>
      </c>
      <c r="M1590" s="116">
        <v>3609.4</v>
      </c>
      <c r="N1590" s="116">
        <v>3670</v>
      </c>
      <c r="O1590" s="116">
        <v>3597</v>
      </c>
      <c r="P1590" s="116">
        <v>3669</v>
      </c>
      <c r="Q1590" s="116">
        <v>3609.4</v>
      </c>
      <c r="R1590">
        <v>126715</v>
      </c>
    </row>
    <row r="1591" spans="1:18" x14ac:dyDescent="0.25">
      <c r="A1591" s="170">
        <v>44349</v>
      </c>
      <c r="B1591" s="116">
        <v>3635.55</v>
      </c>
      <c r="C1591" s="116">
        <v>3591.35</v>
      </c>
      <c r="D1591" s="116">
        <v>3582</v>
      </c>
      <c r="E1591" s="116">
        <v>3600</v>
      </c>
      <c r="F1591" s="116">
        <v>3591.35</v>
      </c>
      <c r="G1591">
        <v>11469</v>
      </c>
      <c r="H1591" s="116"/>
      <c r="I1591" s="116"/>
      <c r="L1591" s="170">
        <v>44349</v>
      </c>
      <c r="M1591" s="116">
        <v>3591.4</v>
      </c>
      <c r="N1591" s="116">
        <v>3635.1</v>
      </c>
      <c r="O1591" s="116">
        <v>3580</v>
      </c>
      <c r="P1591" s="116">
        <v>3615</v>
      </c>
      <c r="Q1591" s="116">
        <v>3591.4</v>
      </c>
      <c r="R1591">
        <v>80369</v>
      </c>
    </row>
    <row r="1592" spans="1:18" x14ac:dyDescent="0.25">
      <c r="A1592" s="170">
        <v>44350</v>
      </c>
      <c r="B1592" s="116">
        <v>3644</v>
      </c>
      <c r="C1592" s="116">
        <v>3570.65</v>
      </c>
      <c r="D1592" s="116">
        <v>3564.85</v>
      </c>
      <c r="E1592" s="116">
        <v>3644</v>
      </c>
      <c r="F1592" s="116">
        <v>3570.65</v>
      </c>
      <c r="G1592">
        <v>5720</v>
      </c>
      <c r="H1592" s="116"/>
      <c r="I1592" s="116"/>
      <c r="L1592" s="170">
        <v>44350</v>
      </c>
      <c r="M1592" s="116">
        <v>3568.75</v>
      </c>
      <c r="N1592" s="116">
        <v>3622.4</v>
      </c>
      <c r="O1592" s="116">
        <v>3561.35</v>
      </c>
      <c r="P1592" s="116">
        <v>3594.15</v>
      </c>
      <c r="Q1592" s="116">
        <v>3568.75</v>
      </c>
      <c r="R1592">
        <v>102755</v>
      </c>
    </row>
    <row r="1593" spans="1:18" x14ac:dyDescent="0.25">
      <c r="A1593" s="170">
        <v>44351</v>
      </c>
      <c r="B1593" s="116">
        <v>3583.95</v>
      </c>
      <c r="C1593" s="116">
        <v>3566.3</v>
      </c>
      <c r="D1593" s="116">
        <v>3556.6</v>
      </c>
      <c r="E1593" s="116">
        <v>3580</v>
      </c>
      <c r="F1593" s="116">
        <v>3566.3</v>
      </c>
      <c r="G1593">
        <v>11528</v>
      </c>
      <c r="H1593" s="116"/>
      <c r="I1593" s="116"/>
      <c r="L1593" s="170">
        <v>44351</v>
      </c>
      <c r="M1593" s="116">
        <v>3566.15</v>
      </c>
      <c r="N1593" s="116">
        <v>3584.95</v>
      </c>
      <c r="O1593" s="116">
        <v>3555</v>
      </c>
      <c r="P1593" s="116">
        <v>3571.5</v>
      </c>
      <c r="Q1593" s="116">
        <v>3566.15</v>
      </c>
      <c r="R1593">
        <v>71678</v>
      </c>
    </row>
    <row r="1594" spans="1:18" x14ac:dyDescent="0.25">
      <c r="A1594" s="170">
        <v>44354</v>
      </c>
      <c r="B1594" s="116">
        <v>3629.55</v>
      </c>
      <c r="C1594" s="116">
        <v>3609.9</v>
      </c>
      <c r="D1594" s="116">
        <v>3550</v>
      </c>
      <c r="E1594" s="116">
        <v>3569.5</v>
      </c>
      <c r="F1594" s="116">
        <v>3609.9</v>
      </c>
      <c r="G1594">
        <v>17662</v>
      </c>
      <c r="H1594" s="116"/>
      <c r="I1594" s="116"/>
      <c r="L1594" s="170">
        <v>44354</v>
      </c>
      <c r="M1594" s="116">
        <v>3613</v>
      </c>
      <c r="N1594" s="116">
        <v>3629.9</v>
      </c>
      <c r="O1594" s="116">
        <v>3572.1</v>
      </c>
      <c r="P1594" s="116">
        <v>3581</v>
      </c>
      <c r="Q1594" s="116">
        <v>3613</v>
      </c>
      <c r="R1594">
        <v>104539</v>
      </c>
    </row>
    <row r="1595" spans="1:18" x14ac:dyDescent="0.25">
      <c r="A1595" s="170">
        <v>44355</v>
      </c>
      <c r="B1595" s="116">
        <v>3817.75</v>
      </c>
      <c r="C1595" s="116">
        <v>3743.25</v>
      </c>
      <c r="D1595" s="116">
        <v>3629.05</v>
      </c>
      <c r="E1595" s="116">
        <v>3629.05</v>
      </c>
      <c r="F1595" s="116">
        <v>3743.25</v>
      </c>
      <c r="G1595">
        <v>33214</v>
      </c>
      <c r="H1595" s="116"/>
      <c r="I1595" s="116"/>
      <c r="L1595" s="170">
        <v>44355</v>
      </c>
      <c r="M1595" s="116">
        <v>3742.05</v>
      </c>
      <c r="N1595" s="116">
        <v>3818</v>
      </c>
      <c r="O1595" s="116">
        <v>3625.2</v>
      </c>
      <c r="P1595" s="116">
        <v>3632.5</v>
      </c>
      <c r="Q1595" s="116">
        <v>3742.05</v>
      </c>
      <c r="R1595">
        <v>599150</v>
      </c>
    </row>
    <row r="1596" spans="1:18" x14ac:dyDescent="0.25">
      <c r="A1596" s="170">
        <v>44356</v>
      </c>
      <c r="B1596" s="116">
        <v>3815</v>
      </c>
      <c r="C1596" s="116">
        <v>3708.4</v>
      </c>
      <c r="D1596" s="116">
        <v>3671.75</v>
      </c>
      <c r="E1596" s="116">
        <v>3775</v>
      </c>
      <c r="F1596" s="116">
        <v>3708.4</v>
      </c>
      <c r="G1596">
        <v>32623</v>
      </c>
      <c r="H1596" s="116"/>
      <c r="I1596" s="116"/>
      <c r="L1596" s="170">
        <v>44356</v>
      </c>
      <c r="M1596" s="116">
        <v>3709.5</v>
      </c>
      <c r="N1596" s="116">
        <v>3815</v>
      </c>
      <c r="O1596" s="116">
        <v>3675.25</v>
      </c>
      <c r="P1596" s="116">
        <v>3777</v>
      </c>
      <c r="Q1596" s="116">
        <v>3709.5</v>
      </c>
      <c r="R1596">
        <v>169247</v>
      </c>
    </row>
    <row r="1597" spans="1:18" x14ac:dyDescent="0.25">
      <c r="A1597" s="170">
        <v>44357</v>
      </c>
      <c r="B1597" s="116">
        <v>3847</v>
      </c>
      <c r="C1597" s="116">
        <v>3794.35</v>
      </c>
      <c r="D1597" s="116">
        <v>3731.15</v>
      </c>
      <c r="E1597" s="116">
        <v>3770</v>
      </c>
      <c r="F1597" s="116">
        <v>3794.35</v>
      </c>
      <c r="G1597">
        <v>20197</v>
      </c>
      <c r="H1597" s="116"/>
      <c r="I1597" s="116"/>
      <c r="L1597" s="170">
        <v>44357</v>
      </c>
      <c r="M1597" s="116">
        <v>3796.8</v>
      </c>
      <c r="N1597" s="116">
        <v>3849</v>
      </c>
      <c r="O1597" s="116">
        <v>3729</v>
      </c>
      <c r="P1597" s="116">
        <v>3729</v>
      </c>
      <c r="Q1597" s="116">
        <v>3796.8</v>
      </c>
      <c r="R1597">
        <v>229876</v>
      </c>
    </row>
    <row r="1598" spans="1:18" x14ac:dyDescent="0.25">
      <c r="A1598" s="170">
        <v>44358</v>
      </c>
      <c r="B1598" s="116">
        <v>3850</v>
      </c>
      <c r="C1598" s="116">
        <v>3828.65</v>
      </c>
      <c r="D1598" s="116">
        <v>3787</v>
      </c>
      <c r="E1598" s="116">
        <v>3842</v>
      </c>
      <c r="F1598" s="116">
        <v>3828.65</v>
      </c>
      <c r="G1598">
        <v>9755</v>
      </c>
      <c r="H1598" s="116"/>
      <c r="I1598" s="116"/>
      <c r="L1598" s="170">
        <v>44358</v>
      </c>
      <c r="M1598" s="116">
        <v>3820.05</v>
      </c>
      <c r="N1598" s="116">
        <v>3843.9</v>
      </c>
      <c r="O1598" s="116">
        <v>3785</v>
      </c>
      <c r="P1598" s="116">
        <v>3825</v>
      </c>
      <c r="Q1598" s="116">
        <v>3820.05</v>
      </c>
      <c r="R1598">
        <v>133383</v>
      </c>
    </row>
    <row r="1599" spans="1:18" x14ac:dyDescent="0.25">
      <c r="A1599" s="170">
        <v>44361</v>
      </c>
      <c r="B1599" s="116">
        <v>3864.65</v>
      </c>
      <c r="C1599" s="116">
        <v>3807.3</v>
      </c>
      <c r="D1599" s="116">
        <v>3712.85</v>
      </c>
      <c r="E1599" s="116">
        <v>3833.85</v>
      </c>
      <c r="F1599" s="116">
        <v>3807.3</v>
      </c>
      <c r="G1599">
        <v>20352</v>
      </c>
      <c r="H1599" s="116"/>
      <c r="I1599" s="116"/>
      <c r="L1599" s="170">
        <v>44361</v>
      </c>
      <c r="M1599" s="116">
        <v>3809.6</v>
      </c>
      <c r="N1599" s="116">
        <v>3868</v>
      </c>
      <c r="O1599" s="116">
        <v>3715</v>
      </c>
      <c r="P1599" s="116">
        <v>3840</v>
      </c>
      <c r="Q1599" s="116">
        <v>3809.6</v>
      </c>
      <c r="R1599">
        <v>109069</v>
      </c>
    </row>
    <row r="1600" spans="1:18" x14ac:dyDescent="0.25">
      <c r="A1600" s="170">
        <v>44362</v>
      </c>
      <c r="B1600" s="116">
        <v>3840</v>
      </c>
      <c r="C1600" s="116">
        <v>3799.3</v>
      </c>
      <c r="D1600" s="116">
        <v>3785</v>
      </c>
      <c r="E1600" s="116">
        <v>3839.8</v>
      </c>
      <c r="F1600" s="116">
        <v>3799.3</v>
      </c>
      <c r="G1600">
        <v>5396</v>
      </c>
      <c r="H1600" s="116"/>
      <c r="I1600" s="116"/>
      <c r="L1600" s="170">
        <v>44362</v>
      </c>
      <c r="M1600" s="116">
        <v>3797.7</v>
      </c>
      <c r="N1600" s="116">
        <v>3834.4</v>
      </c>
      <c r="O1600" s="116">
        <v>3783.35</v>
      </c>
      <c r="P1600" s="116">
        <v>3829</v>
      </c>
      <c r="Q1600" s="116">
        <v>3797.7</v>
      </c>
      <c r="R1600">
        <v>82969</v>
      </c>
    </row>
    <row r="1601" spans="1:18" x14ac:dyDescent="0.25">
      <c r="A1601" s="170">
        <v>44363</v>
      </c>
      <c r="B1601" s="116">
        <v>3818.55</v>
      </c>
      <c r="C1601" s="116">
        <v>3776.3</v>
      </c>
      <c r="D1601" s="116">
        <v>3740.7</v>
      </c>
      <c r="E1601" s="116">
        <v>3775</v>
      </c>
      <c r="F1601" s="116">
        <v>3776.3</v>
      </c>
      <c r="G1601">
        <v>13765</v>
      </c>
      <c r="H1601" s="116"/>
      <c r="I1601" s="116"/>
      <c r="L1601" s="170">
        <v>44363</v>
      </c>
      <c r="M1601" s="116">
        <v>3775.45</v>
      </c>
      <c r="N1601" s="116">
        <v>3818.05</v>
      </c>
      <c r="O1601" s="116">
        <v>3742</v>
      </c>
      <c r="P1601" s="116">
        <v>3806.5</v>
      </c>
      <c r="Q1601" s="116">
        <v>3775.45</v>
      </c>
      <c r="R1601">
        <v>90629</v>
      </c>
    </row>
    <row r="1602" spans="1:18" x14ac:dyDescent="0.25">
      <c r="A1602" s="170">
        <v>44364</v>
      </c>
      <c r="B1602" s="116">
        <v>3819.8</v>
      </c>
      <c r="C1602" s="116">
        <v>3737.25</v>
      </c>
      <c r="D1602" s="116">
        <v>3720.85</v>
      </c>
      <c r="E1602" s="116">
        <v>3740</v>
      </c>
      <c r="F1602" s="116">
        <v>3737.25</v>
      </c>
      <c r="G1602">
        <v>19525</v>
      </c>
      <c r="H1602" s="116"/>
      <c r="I1602" s="116"/>
      <c r="L1602" s="170">
        <v>44364</v>
      </c>
      <c r="M1602" s="116">
        <v>3734.35</v>
      </c>
      <c r="N1602" s="116">
        <v>3820.15</v>
      </c>
      <c r="O1602" s="116">
        <v>3722.15</v>
      </c>
      <c r="P1602" s="116">
        <v>3730</v>
      </c>
      <c r="Q1602" s="116">
        <v>3734.35</v>
      </c>
      <c r="R1602">
        <v>102358</v>
      </c>
    </row>
    <row r="1603" spans="1:18" x14ac:dyDescent="0.25">
      <c r="A1603" s="170">
        <v>44365</v>
      </c>
      <c r="B1603" s="116">
        <v>3789.4</v>
      </c>
      <c r="C1603" s="116">
        <v>3639.85</v>
      </c>
      <c r="D1603" s="116">
        <v>3580.8</v>
      </c>
      <c r="E1603" s="116">
        <v>3740</v>
      </c>
      <c r="F1603" s="116">
        <v>3639.85</v>
      </c>
      <c r="G1603">
        <v>31074</v>
      </c>
      <c r="H1603" s="116"/>
      <c r="I1603" s="116"/>
      <c r="L1603" s="170">
        <v>44365</v>
      </c>
      <c r="M1603" s="116">
        <v>3639.95</v>
      </c>
      <c r="N1603" s="116">
        <v>3789.95</v>
      </c>
      <c r="O1603" s="116">
        <v>3585</v>
      </c>
      <c r="P1603" s="116">
        <v>3755</v>
      </c>
      <c r="Q1603" s="116">
        <v>3639.95</v>
      </c>
      <c r="R1603">
        <v>182470</v>
      </c>
    </row>
    <row r="1604" spans="1:18" x14ac:dyDescent="0.25">
      <c r="A1604" s="170">
        <v>44368</v>
      </c>
      <c r="B1604" s="116">
        <v>3635</v>
      </c>
      <c r="C1604" s="116">
        <v>3626.4</v>
      </c>
      <c r="D1604" s="116">
        <v>3558</v>
      </c>
      <c r="E1604" s="116">
        <v>3625</v>
      </c>
      <c r="F1604" s="116">
        <v>3626.4</v>
      </c>
      <c r="G1604">
        <v>7692</v>
      </c>
      <c r="H1604" s="116"/>
      <c r="I1604" s="116"/>
      <c r="L1604" s="170">
        <v>44368</v>
      </c>
      <c r="M1604" s="116">
        <v>3624.6</v>
      </c>
      <c r="N1604" s="116">
        <v>3634</v>
      </c>
      <c r="O1604" s="116">
        <v>3555.05</v>
      </c>
      <c r="P1604" s="116">
        <v>3590</v>
      </c>
      <c r="Q1604" s="116">
        <v>3624.6</v>
      </c>
      <c r="R1604">
        <v>93475</v>
      </c>
    </row>
    <row r="1605" spans="1:18" x14ac:dyDescent="0.25">
      <c r="A1605" s="170">
        <v>44369</v>
      </c>
      <c r="B1605" s="116">
        <v>3710</v>
      </c>
      <c r="C1605" s="116">
        <v>3687.55</v>
      </c>
      <c r="D1605" s="116">
        <v>3636</v>
      </c>
      <c r="E1605" s="116">
        <v>3690</v>
      </c>
      <c r="F1605" s="116">
        <v>3687.55</v>
      </c>
      <c r="G1605">
        <v>15020</v>
      </c>
      <c r="H1605" s="116"/>
      <c r="I1605" s="116"/>
      <c r="L1605" s="170">
        <v>44369</v>
      </c>
      <c r="M1605" s="116">
        <v>3689.7</v>
      </c>
      <c r="N1605" s="116">
        <v>3712</v>
      </c>
      <c r="O1605" s="116">
        <v>3636</v>
      </c>
      <c r="P1605" s="116">
        <v>3638</v>
      </c>
      <c r="Q1605" s="116">
        <v>3689.7</v>
      </c>
      <c r="R1605">
        <v>123922</v>
      </c>
    </row>
    <row r="1606" spans="1:18" x14ac:dyDescent="0.25">
      <c r="A1606" s="170">
        <v>44370</v>
      </c>
      <c r="B1606" s="116">
        <v>3741.9</v>
      </c>
      <c r="C1606" s="116">
        <v>3661.95</v>
      </c>
      <c r="D1606" s="116">
        <v>3607</v>
      </c>
      <c r="E1606" s="116">
        <v>3740</v>
      </c>
      <c r="F1606" s="116">
        <v>3661.95</v>
      </c>
      <c r="G1606">
        <v>8061</v>
      </c>
      <c r="H1606" s="116"/>
      <c r="I1606" s="116"/>
      <c r="L1606" s="170">
        <v>44370</v>
      </c>
      <c r="M1606" s="116">
        <v>3660.95</v>
      </c>
      <c r="N1606" s="116">
        <v>3747.3</v>
      </c>
      <c r="O1606" s="116">
        <v>3605</v>
      </c>
      <c r="P1606" s="116">
        <v>3708</v>
      </c>
      <c r="Q1606" s="116">
        <v>3660.95</v>
      </c>
      <c r="R1606">
        <v>233982</v>
      </c>
    </row>
    <row r="1607" spans="1:18" x14ac:dyDescent="0.25">
      <c r="A1607" s="170">
        <v>44371</v>
      </c>
      <c r="B1607" s="116">
        <v>3789</v>
      </c>
      <c r="C1607" s="116">
        <v>3738.05</v>
      </c>
      <c r="D1607" s="116">
        <v>3656.85</v>
      </c>
      <c r="E1607" s="116">
        <v>3680</v>
      </c>
      <c r="F1607" s="116">
        <v>3738.05</v>
      </c>
      <c r="G1607">
        <v>16868</v>
      </c>
      <c r="H1607" s="116"/>
      <c r="I1607" s="116"/>
      <c r="L1607" s="170">
        <v>44371</v>
      </c>
      <c r="M1607" s="116">
        <v>3740.15</v>
      </c>
      <c r="N1607" s="116">
        <v>3790</v>
      </c>
      <c r="O1607" s="116">
        <v>3650</v>
      </c>
      <c r="P1607" s="116">
        <v>3650</v>
      </c>
      <c r="Q1607" s="116">
        <v>3740.15</v>
      </c>
      <c r="R1607">
        <v>150242</v>
      </c>
    </row>
    <row r="1608" spans="1:18" x14ac:dyDescent="0.25">
      <c r="A1608" s="170">
        <v>44372</v>
      </c>
      <c r="B1608" s="116">
        <v>3819.95</v>
      </c>
      <c r="C1608" s="116">
        <v>3766.65</v>
      </c>
      <c r="D1608" s="116">
        <v>3748.65</v>
      </c>
      <c r="E1608" s="116">
        <v>3790</v>
      </c>
      <c r="F1608" s="116">
        <v>3766.65</v>
      </c>
      <c r="G1608">
        <v>8991</v>
      </c>
      <c r="H1608" s="116"/>
      <c r="I1608" s="116"/>
      <c r="L1608" s="170">
        <v>44372</v>
      </c>
      <c r="M1608" s="116">
        <v>3768.65</v>
      </c>
      <c r="N1608" s="116">
        <v>3820</v>
      </c>
      <c r="O1608" s="116">
        <v>3749.35</v>
      </c>
      <c r="P1608" s="116">
        <v>3772</v>
      </c>
      <c r="Q1608" s="116">
        <v>3768.65</v>
      </c>
      <c r="R1608">
        <v>167980</v>
      </c>
    </row>
    <row r="1609" spans="1:18" x14ac:dyDescent="0.25">
      <c r="A1609" s="170">
        <v>44375</v>
      </c>
      <c r="B1609" s="116">
        <v>3840.9</v>
      </c>
      <c r="C1609" s="116">
        <v>3823.95</v>
      </c>
      <c r="D1609" s="116">
        <v>3783.5</v>
      </c>
      <c r="E1609" s="116">
        <v>3815</v>
      </c>
      <c r="F1609" s="116">
        <v>3823.95</v>
      </c>
      <c r="G1609">
        <v>7273</v>
      </c>
      <c r="H1609" s="116"/>
      <c r="I1609" s="116"/>
      <c r="L1609" s="170">
        <v>44375</v>
      </c>
      <c r="M1609" s="116">
        <v>3826.2</v>
      </c>
      <c r="N1609" s="116">
        <v>3842</v>
      </c>
      <c r="O1609" s="116">
        <v>3775.35</v>
      </c>
      <c r="P1609" s="116">
        <v>3790</v>
      </c>
      <c r="Q1609" s="116">
        <v>3826.2</v>
      </c>
      <c r="R1609">
        <v>149037</v>
      </c>
    </row>
    <row r="1610" spans="1:18" x14ac:dyDescent="0.25">
      <c r="A1610" s="170">
        <v>44376</v>
      </c>
      <c r="B1610" s="116">
        <v>4020</v>
      </c>
      <c r="C1610" s="116">
        <v>4001.55</v>
      </c>
      <c r="D1610" s="116">
        <v>3833.15</v>
      </c>
      <c r="E1610" s="116">
        <v>3845</v>
      </c>
      <c r="F1610" s="116">
        <v>4001.55</v>
      </c>
      <c r="G1610">
        <v>30242</v>
      </c>
      <c r="H1610" s="116"/>
      <c r="I1610" s="116"/>
      <c r="L1610" s="170">
        <v>44376</v>
      </c>
      <c r="M1610" s="116">
        <v>4002.95</v>
      </c>
      <c r="N1610" s="116">
        <v>4020</v>
      </c>
      <c r="O1610" s="116">
        <v>3831.3</v>
      </c>
      <c r="P1610" s="116">
        <v>3850</v>
      </c>
      <c r="Q1610" s="116">
        <v>4002.95</v>
      </c>
      <c r="R1610">
        <v>573811</v>
      </c>
    </row>
    <row r="1611" spans="1:18" x14ac:dyDescent="0.25">
      <c r="A1611" s="170">
        <v>44377</v>
      </c>
      <c r="B1611" s="116">
        <v>4355</v>
      </c>
      <c r="C1611" s="116">
        <v>4296.75</v>
      </c>
      <c r="D1611" s="116">
        <v>4040</v>
      </c>
      <c r="E1611" s="116">
        <v>4049</v>
      </c>
      <c r="F1611" s="116">
        <v>4296.75</v>
      </c>
      <c r="G1611">
        <v>61831</v>
      </c>
      <c r="H1611" s="116"/>
      <c r="I1611" s="116"/>
      <c r="L1611" s="170">
        <v>44377</v>
      </c>
      <c r="M1611" s="116">
        <v>4304.3</v>
      </c>
      <c r="N1611" s="116">
        <v>4350</v>
      </c>
      <c r="O1611" s="116">
        <v>4033.1</v>
      </c>
      <c r="P1611" s="116">
        <v>4039</v>
      </c>
      <c r="Q1611" s="116">
        <v>4304.3</v>
      </c>
      <c r="R1611">
        <v>1003399</v>
      </c>
    </row>
    <row r="1612" spans="1:18" x14ac:dyDescent="0.25">
      <c r="A1612" s="170">
        <v>44378</v>
      </c>
      <c r="B1612" s="116">
        <v>4451</v>
      </c>
      <c r="C1612" s="116">
        <v>4246.2</v>
      </c>
      <c r="D1612" s="116">
        <v>4171</v>
      </c>
      <c r="E1612" s="116">
        <v>4451</v>
      </c>
      <c r="F1612" s="116">
        <v>4246.2</v>
      </c>
      <c r="G1612">
        <v>28178</v>
      </c>
      <c r="H1612" s="116"/>
      <c r="I1612" s="116"/>
      <c r="L1612" s="170">
        <v>44378</v>
      </c>
      <c r="M1612" s="116">
        <v>4243.75</v>
      </c>
      <c r="N1612" s="116">
        <v>4410</v>
      </c>
      <c r="O1612" s="116">
        <v>4165</v>
      </c>
      <c r="P1612" s="116">
        <v>4375.3</v>
      </c>
      <c r="Q1612" s="116">
        <v>4243.75</v>
      </c>
      <c r="R1612">
        <v>497942</v>
      </c>
    </row>
    <row r="1613" spans="1:18" x14ac:dyDescent="0.25">
      <c r="A1613" s="170">
        <v>44379</v>
      </c>
      <c r="B1613" s="116">
        <v>4450</v>
      </c>
      <c r="C1613" s="116">
        <v>4426.1499999999996</v>
      </c>
      <c r="D1613" s="116">
        <v>4244.6000000000004</v>
      </c>
      <c r="E1613" s="116">
        <v>4299.75</v>
      </c>
      <c r="F1613" s="116">
        <v>4426.1499999999996</v>
      </c>
      <c r="G1613">
        <v>50828</v>
      </c>
      <c r="H1613" s="116"/>
      <c r="I1613" s="116"/>
      <c r="L1613" s="170">
        <v>44379</v>
      </c>
      <c r="M1613" s="116">
        <v>4429.55</v>
      </c>
      <c r="N1613" s="116">
        <v>4455</v>
      </c>
      <c r="O1613" s="116">
        <v>4260</v>
      </c>
      <c r="P1613" s="116">
        <v>4260</v>
      </c>
      <c r="Q1613" s="116">
        <v>4429.55</v>
      </c>
      <c r="R1613">
        <v>434335</v>
      </c>
    </row>
    <row r="1614" spans="1:18" x14ac:dyDescent="0.25">
      <c r="A1614" s="170">
        <v>44382</v>
      </c>
      <c r="B1614" s="116">
        <v>4500</v>
      </c>
      <c r="C1614" s="116">
        <v>4376.8999999999996</v>
      </c>
      <c r="D1614" s="116">
        <v>4349.05</v>
      </c>
      <c r="E1614" s="116">
        <v>4500</v>
      </c>
      <c r="F1614" s="116">
        <v>4376.8999999999996</v>
      </c>
      <c r="G1614">
        <v>18426</v>
      </c>
      <c r="H1614" s="116"/>
      <c r="I1614" s="116"/>
      <c r="L1614" s="170">
        <v>44382</v>
      </c>
      <c r="M1614" s="116">
        <v>4379.05</v>
      </c>
      <c r="N1614" s="116">
        <v>4465.45</v>
      </c>
      <c r="O1614" s="116">
        <v>4346.3</v>
      </c>
      <c r="P1614" s="116">
        <v>4436</v>
      </c>
      <c r="Q1614" s="116">
        <v>4379.05</v>
      </c>
      <c r="R1614">
        <v>230460</v>
      </c>
    </row>
    <row r="1615" spans="1:18" x14ac:dyDescent="0.25">
      <c r="A1615" s="170">
        <v>44383</v>
      </c>
      <c r="B1615" s="116">
        <v>4400</v>
      </c>
      <c r="C1615" s="116">
        <v>4310.8</v>
      </c>
      <c r="D1615" s="116">
        <v>4287.8</v>
      </c>
      <c r="E1615" s="116">
        <v>4400</v>
      </c>
      <c r="F1615" s="116">
        <v>4310.8</v>
      </c>
      <c r="G1615">
        <v>12560</v>
      </c>
      <c r="H1615" s="116"/>
      <c r="I1615" s="116"/>
      <c r="L1615" s="170">
        <v>44383</v>
      </c>
      <c r="M1615" s="116">
        <v>4312.25</v>
      </c>
      <c r="N1615" s="116">
        <v>4394.8999999999996</v>
      </c>
      <c r="O1615" s="116">
        <v>4285</v>
      </c>
      <c r="P1615" s="116">
        <v>4390.6000000000004</v>
      </c>
      <c r="Q1615" s="116">
        <v>4312.25</v>
      </c>
      <c r="R1615">
        <v>151510</v>
      </c>
    </row>
    <row r="1616" spans="1:18" x14ac:dyDescent="0.25">
      <c r="A1616" s="170">
        <v>44384</v>
      </c>
      <c r="B1616" s="116">
        <v>4340</v>
      </c>
      <c r="C1616" s="116">
        <v>4247.1000000000004</v>
      </c>
      <c r="D1616" s="116">
        <v>4225</v>
      </c>
      <c r="E1616" s="116">
        <v>4340</v>
      </c>
      <c r="F1616" s="116">
        <v>4247.1000000000004</v>
      </c>
      <c r="G1616">
        <v>8584</v>
      </c>
      <c r="H1616" s="116"/>
      <c r="I1616" s="116"/>
      <c r="L1616" s="170">
        <v>44384</v>
      </c>
      <c r="M1616" s="116">
        <v>4246.6000000000004</v>
      </c>
      <c r="N1616" s="116">
        <v>4336.3</v>
      </c>
      <c r="O1616" s="116">
        <v>4222.25</v>
      </c>
      <c r="P1616" s="116">
        <v>4336.2</v>
      </c>
      <c r="Q1616" s="116">
        <v>4246.6000000000004</v>
      </c>
      <c r="R1616">
        <v>169673</v>
      </c>
    </row>
    <row r="1617" spans="1:18" x14ac:dyDescent="0.25">
      <c r="A1617" s="170">
        <v>44385</v>
      </c>
      <c r="B1617" s="116">
        <v>4305</v>
      </c>
      <c r="C1617" s="116">
        <v>4200.05</v>
      </c>
      <c r="D1617" s="116">
        <v>4182.2</v>
      </c>
      <c r="E1617" s="116">
        <v>4300</v>
      </c>
      <c r="F1617" s="116">
        <v>4200.05</v>
      </c>
      <c r="G1617">
        <v>19052</v>
      </c>
      <c r="H1617" s="116"/>
      <c r="I1617" s="116"/>
      <c r="L1617" s="170">
        <v>44385</v>
      </c>
      <c r="M1617" s="116">
        <v>4199</v>
      </c>
      <c r="N1617" s="116">
        <v>4278.8</v>
      </c>
      <c r="O1617" s="116">
        <v>4180.1000000000004</v>
      </c>
      <c r="P1617" s="116">
        <v>4268</v>
      </c>
      <c r="Q1617" s="116">
        <v>4199</v>
      </c>
      <c r="R1617">
        <v>118199</v>
      </c>
    </row>
    <row r="1618" spans="1:18" x14ac:dyDescent="0.25">
      <c r="A1618" s="170">
        <v>44386</v>
      </c>
      <c r="B1618" s="116">
        <v>4350.1000000000004</v>
      </c>
      <c r="C1618" s="116">
        <v>4294.1000000000004</v>
      </c>
      <c r="D1618" s="116">
        <v>4177</v>
      </c>
      <c r="E1618" s="116">
        <v>4177</v>
      </c>
      <c r="F1618" s="116">
        <v>4294.1000000000004</v>
      </c>
      <c r="G1618">
        <v>28229</v>
      </c>
      <c r="H1618" s="116"/>
      <c r="I1618" s="116"/>
      <c r="L1618" s="170">
        <v>44386</v>
      </c>
      <c r="M1618" s="116">
        <v>4295.3999999999996</v>
      </c>
      <c r="N1618" s="116">
        <v>4350.8</v>
      </c>
      <c r="O1618" s="116">
        <v>4191.7</v>
      </c>
      <c r="P1618" s="116">
        <v>4200</v>
      </c>
      <c r="Q1618" s="116">
        <v>4295.3999999999996</v>
      </c>
      <c r="R1618">
        <v>213143</v>
      </c>
    </row>
    <row r="1619" spans="1:18" x14ac:dyDescent="0.25">
      <c r="A1619" s="170">
        <v>44389</v>
      </c>
      <c r="B1619" s="116">
        <v>4367.7</v>
      </c>
      <c r="C1619" s="116">
        <v>4334.8999999999996</v>
      </c>
      <c r="D1619" s="116">
        <v>4307.5</v>
      </c>
      <c r="E1619" s="116">
        <v>4350.8</v>
      </c>
      <c r="F1619" s="116">
        <v>4334.8999999999996</v>
      </c>
      <c r="G1619">
        <v>10397</v>
      </c>
      <c r="H1619" s="116"/>
      <c r="I1619" s="116"/>
      <c r="L1619" s="170">
        <v>44389</v>
      </c>
      <c r="M1619" s="116">
        <v>4337.45</v>
      </c>
      <c r="N1619" s="116">
        <v>4367.75</v>
      </c>
      <c r="O1619" s="116">
        <v>4310</v>
      </c>
      <c r="P1619" s="116">
        <v>4322</v>
      </c>
      <c r="Q1619" s="116">
        <v>4337.45</v>
      </c>
      <c r="R1619">
        <v>136439</v>
      </c>
    </row>
    <row r="1620" spans="1:18" x14ac:dyDescent="0.25">
      <c r="A1620" s="170">
        <v>44390</v>
      </c>
      <c r="B1620" s="116">
        <v>4383</v>
      </c>
      <c r="C1620" s="116">
        <v>4306</v>
      </c>
      <c r="D1620" s="116">
        <v>4293.55</v>
      </c>
      <c r="E1620" s="116">
        <v>4338</v>
      </c>
      <c r="F1620" s="116">
        <v>4306</v>
      </c>
      <c r="G1620">
        <v>8529</v>
      </c>
      <c r="H1620" s="116"/>
      <c r="I1620" s="116"/>
      <c r="L1620" s="170">
        <v>44390</v>
      </c>
      <c r="M1620" s="116">
        <v>4307.6499999999996</v>
      </c>
      <c r="N1620" s="116">
        <v>4372.95</v>
      </c>
      <c r="O1620" s="116">
        <v>4291</v>
      </c>
      <c r="P1620" s="116">
        <v>4370.6000000000004</v>
      </c>
      <c r="Q1620" s="116">
        <v>4307.6499999999996</v>
      </c>
      <c r="R1620">
        <v>161224</v>
      </c>
    </row>
    <row r="1621" spans="1:18" x14ac:dyDescent="0.25">
      <c r="A1621" s="170">
        <v>44391</v>
      </c>
      <c r="B1621" s="116">
        <v>4420</v>
      </c>
      <c r="C1621" s="116">
        <v>4368.45</v>
      </c>
      <c r="D1621" s="116">
        <v>4330</v>
      </c>
      <c r="E1621" s="116">
        <v>4340</v>
      </c>
      <c r="F1621" s="116">
        <v>4368.45</v>
      </c>
      <c r="G1621">
        <v>16446</v>
      </c>
      <c r="H1621" s="116"/>
      <c r="I1621" s="116"/>
      <c r="L1621" s="170">
        <v>44391</v>
      </c>
      <c r="M1621" s="116">
        <v>4371.8</v>
      </c>
      <c r="N1621" s="116">
        <v>4419.2</v>
      </c>
      <c r="O1621" s="116">
        <v>4312</v>
      </c>
      <c r="P1621" s="116">
        <v>4312</v>
      </c>
      <c r="Q1621" s="116">
        <v>4371.8</v>
      </c>
      <c r="R1621">
        <v>207777</v>
      </c>
    </row>
    <row r="1622" spans="1:18" x14ac:dyDescent="0.25">
      <c r="A1622" s="170">
        <v>44392</v>
      </c>
      <c r="B1622" s="116">
        <v>4572.75</v>
      </c>
      <c r="C1622" s="116">
        <v>4487.2</v>
      </c>
      <c r="D1622" s="116">
        <v>4408.75</v>
      </c>
      <c r="E1622" s="116">
        <v>4449.7</v>
      </c>
      <c r="F1622" s="116">
        <v>4487.2</v>
      </c>
      <c r="G1622">
        <v>30034</v>
      </c>
      <c r="H1622" s="116"/>
      <c r="I1622" s="116"/>
      <c r="L1622" s="170">
        <v>44392</v>
      </c>
      <c r="M1622" s="116">
        <v>4487.1000000000004</v>
      </c>
      <c r="N1622" s="116">
        <v>4575</v>
      </c>
      <c r="O1622" s="116">
        <v>4402.75</v>
      </c>
      <c r="P1622" s="116">
        <v>4419</v>
      </c>
      <c r="Q1622" s="116">
        <v>4487.1000000000004</v>
      </c>
      <c r="R1622">
        <v>382778</v>
      </c>
    </row>
    <row r="1623" spans="1:18" x14ac:dyDescent="0.25">
      <c r="A1623" s="170">
        <v>44393</v>
      </c>
      <c r="B1623" s="116">
        <v>4469.8</v>
      </c>
      <c r="C1623" s="116">
        <v>4302.55</v>
      </c>
      <c r="D1623" s="116">
        <v>4200</v>
      </c>
      <c r="E1623" s="116">
        <v>4450</v>
      </c>
      <c r="F1623" s="116">
        <v>4302.55</v>
      </c>
      <c r="G1623">
        <v>62162</v>
      </c>
      <c r="H1623" s="116"/>
      <c r="I1623" s="116"/>
      <c r="L1623" s="170">
        <v>44393</v>
      </c>
      <c r="M1623" s="116">
        <v>4302.6499999999996</v>
      </c>
      <c r="N1623" s="116">
        <v>4470</v>
      </c>
      <c r="O1623" s="116">
        <v>4290</v>
      </c>
      <c r="P1623" s="116">
        <v>4390</v>
      </c>
      <c r="Q1623" s="116">
        <v>4302.6499999999996</v>
      </c>
      <c r="R1623">
        <v>549805</v>
      </c>
    </row>
    <row r="1624" spans="1:18" x14ac:dyDescent="0.25">
      <c r="A1624" s="170">
        <v>44396</v>
      </c>
      <c r="B1624" s="116">
        <v>4346.1000000000004</v>
      </c>
      <c r="C1624" s="116">
        <v>4222.7</v>
      </c>
      <c r="D1624" s="116">
        <v>4212.6000000000004</v>
      </c>
      <c r="E1624" s="116">
        <v>4315</v>
      </c>
      <c r="F1624" s="116">
        <v>4222.7</v>
      </c>
      <c r="G1624">
        <v>16249</v>
      </c>
      <c r="H1624" s="116"/>
      <c r="I1624" s="116"/>
      <c r="L1624" s="170">
        <v>44396</v>
      </c>
      <c r="M1624" s="116">
        <v>4223.3500000000004</v>
      </c>
      <c r="N1624" s="116">
        <v>4347.3500000000004</v>
      </c>
      <c r="O1624" s="116">
        <v>4211</v>
      </c>
      <c r="P1624" s="116">
        <v>4303</v>
      </c>
      <c r="Q1624" s="116">
        <v>4223.3500000000004</v>
      </c>
      <c r="R1624">
        <v>245690</v>
      </c>
    </row>
    <row r="1625" spans="1:18" x14ac:dyDescent="0.25">
      <c r="A1625" s="170">
        <v>44397</v>
      </c>
      <c r="B1625" s="116">
        <v>4297</v>
      </c>
      <c r="C1625" s="116">
        <v>4188.5</v>
      </c>
      <c r="D1625" s="116">
        <v>4106.3</v>
      </c>
      <c r="E1625" s="116">
        <v>4223</v>
      </c>
      <c r="F1625" s="116">
        <v>4188.5</v>
      </c>
      <c r="G1625">
        <v>16872</v>
      </c>
      <c r="H1625" s="116"/>
      <c r="I1625" s="116"/>
      <c r="L1625" s="170">
        <v>44397</v>
      </c>
      <c r="M1625" s="116">
        <v>4190.3500000000004</v>
      </c>
      <c r="N1625" s="116">
        <v>4296.2</v>
      </c>
      <c r="O1625" s="116">
        <v>4107.05</v>
      </c>
      <c r="P1625" s="116">
        <v>4240</v>
      </c>
      <c r="Q1625" s="116">
        <v>4190.3500000000004</v>
      </c>
      <c r="R1625">
        <v>180627</v>
      </c>
    </row>
    <row r="1626" spans="1:18" x14ac:dyDescent="0.25">
      <c r="A1626" s="170">
        <v>44399</v>
      </c>
      <c r="B1626" s="116">
        <v>4292.45</v>
      </c>
      <c r="C1626" s="116">
        <v>4244.75</v>
      </c>
      <c r="D1626" s="116">
        <v>4230.3999999999996</v>
      </c>
      <c r="E1626" s="116">
        <v>4274</v>
      </c>
      <c r="F1626" s="116">
        <v>4244.75</v>
      </c>
      <c r="G1626">
        <v>10721</v>
      </c>
      <c r="H1626" s="116"/>
      <c r="I1626" s="116"/>
      <c r="L1626" s="170">
        <v>44399</v>
      </c>
      <c r="M1626" s="116">
        <v>4246.6000000000004</v>
      </c>
      <c r="N1626" s="116">
        <v>4289.25</v>
      </c>
      <c r="O1626" s="116">
        <v>4230</v>
      </c>
      <c r="P1626" s="116">
        <v>4238</v>
      </c>
      <c r="Q1626" s="116">
        <v>4246.6000000000004</v>
      </c>
      <c r="R1626">
        <v>95794</v>
      </c>
    </row>
    <row r="1627" spans="1:18" x14ac:dyDescent="0.25">
      <c r="A1627" s="170">
        <v>44400</v>
      </c>
      <c r="B1627" s="116">
        <v>4318</v>
      </c>
      <c r="C1627" s="116">
        <v>4245.5</v>
      </c>
      <c r="D1627" s="116">
        <v>4233</v>
      </c>
      <c r="E1627" s="116">
        <v>4318</v>
      </c>
      <c r="F1627" s="116">
        <v>4245.5</v>
      </c>
      <c r="G1627">
        <v>7313</v>
      </c>
      <c r="H1627" s="116"/>
      <c r="I1627" s="116"/>
      <c r="L1627" s="170">
        <v>44400</v>
      </c>
      <c r="M1627" s="116">
        <v>4249.3</v>
      </c>
      <c r="N1627" s="116">
        <v>4295.95</v>
      </c>
      <c r="O1627" s="116">
        <v>4237.3999999999996</v>
      </c>
      <c r="P1627" s="116">
        <v>4293</v>
      </c>
      <c r="Q1627" s="116">
        <v>4249.3</v>
      </c>
      <c r="R1627">
        <v>111285</v>
      </c>
    </row>
    <row r="1628" spans="1:18" x14ac:dyDescent="0.25">
      <c r="A1628" s="170">
        <v>44403</v>
      </c>
      <c r="B1628" s="116">
        <v>4272.95</v>
      </c>
      <c r="C1628" s="116">
        <v>4200.8999999999996</v>
      </c>
      <c r="D1628" s="116">
        <v>4191.8</v>
      </c>
      <c r="E1628" s="116">
        <v>4260.6499999999996</v>
      </c>
      <c r="F1628" s="116">
        <v>4200.8999999999996</v>
      </c>
      <c r="G1628">
        <v>6308</v>
      </c>
      <c r="H1628" s="116"/>
      <c r="I1628" s="116"/>
      <c r="L1628" s="170">
        <v>44403</v>
      </c>
      <c r="M1628" s="116">
        <v>4199.1000000000004</v>
      </c>
      <c r="N1628" s="116">
        <v>4269</v>
      </c>
      <c r="O1628" s="116">
        <v>4190</v>
      </c>
      <c r="P1628" s="116">
        <v>4262.75</v>
      </c>
      <c r="Q1628" s="116">
        <v>4199.1000000000004</v>
      </c>
      <c r="R1628">
        <v>121862</v>
      </c>
    </row>
    <row r="1629" spans="1:18" x14ac:dyDescent="0.25">
      <c r="A1629" s="170">
        <v>44404</v>
      </c>
      <c r="B1629" s="116">
        <v>4240</v>
      </c>
      <c r="C1629" s="116">
        <v>4174.1499999999996</v>
      </c>
      <c r="D1629" s="116">
        <v>4151.7</v>
      </c>
      <c r="E1629" s="116">
        <v>4240</v>
      </c>
      <c r="F1629" s="116">
        <v>4174.1499999999996</v>
      </c>
      <c r="G1629">
        <v>14673</v>
      </c>
      <c r="H1629" s="116"/>
      <c r="I1629" s="116"/>
      <c r="L1629" s="170">
        <v>44404</v>
      </c>
      <c r="M1629" s="116">
        <v>4175.75</v>
      </c>
      <c r="N1629" s="116">
        <v>4239.95</v>
      </c>
      <c r="O1629" s="116">
        <v>4150.05</v>
      </c>
      <c r="P1629" s="116">
        <v>4224</v>
      </c>
      <c r="Q1629" s="116">
        <v>4175.75</v>
      </c>
      <c r="R1629">
        <v>69128</v>
      </c>
    </row>
    <row r="1630" spans="1:18" x14ac:dyDescent="0.25">
      <c r="A1630" s="170">
        <v>44405</v>
      </c>
      <c r="B1630" s="116">
        <v>4220.8500000000004</v>
      </c>
      <c r="C1630" s="116">
        <v>4181.1499999999996</v>
      </c>
      <c r="D1630" s="116">
        <v>4155</v>
      </c>
      <c r="E1630" s="116">
        <v>4190</v>
      </c>
      <c r="F1630" s="116">
        <v>4181.1499999999996</v>
      </c>
      <c r="G1630">
        <v>6150</v>
      </c>
      <c r="H1630" s="116"/>
      <c r="I1630" s="116"/>
      <c r="L1630" s="170">
        <v>44405</v>
      </c>
      <c r="M1630" s="116">
        <v>4177</v>
      </c>
      <c r="N1630" s="116">
        <v>4220</v>
      </c>
      <c r="O1630" s="116">
        <v>4152.8500000000004</v>
      </c>
      <c r="P1630" s="116">
        <v>4188</v>
      </c>
      <c r="Q1630" s="116">
        <v>4177</v>
      </c>
      <c r="R1630">
        <v>104560</v>
      </c>
    </row>
    <row r="1631" spans="1:18" x14ac:dyDescent="0.25">
      <c r="A1631" s="170">
        <v>44406</v>
      </c>
      <c r="B1631" s="116">
        <v>4287.25</v>
      </c>
      <c r="C1631" s="116">
        <v>4276.8999999999996</v>
      </c>
      <c r="D1631" s="116">
        <v>4192.5</v>
      </c>
      <c r="E1631" s="116">
        <v>4199</v>
      </c>
      <c r="F1631" s="116">
        <v>4276.8999999999996</v>
      </c>
      <c r="G1631">
        <v>20353</v>
      </c>
      <c r="H1631" s="116"/>
      <c r="I1631" s="116"/>
      <c r="L1631" s="170">
        <v>44406</v>
      </c>
      <c r="M1631" s="116">
        <v>4276.95</v>
      </c>
      <c r="N1631" s="116">
        <v>4288.3</v>
      </c>
      <c r="O1631" s="116">
        <v>4190.55</v>
      </c>
      <c r="P1631" s="116">
        <v>4216</v>
      </c>
      <c r="Q1631" s="116">
        <v>4276.95</v>
      </c>
      <c r="R1631">
        <v>149624</v>
      </c>
    </row>
    <row r="1632" spans="1:18" x14ac:dyDescent="0.25">
      <c r="A1632" s="170">
        <v>44407</v>
      </c>
      <c r="B1632" s="116">
        <v>4320</v>
      </c>
      <c r="C1632" s="116">
        <v>4223.95</v>
      </c>
      <c r="D1632" s="116">
        <v>4209</v>
      </c>
      <c r="E1632" s="116">
        <v>4320</v>
      </c>
      <c r="F1632" s="116">
        <v>4223.95</v>
      </c>
      <c r="G1632">
        <v>6442</v>
      </c>
      <c r="H1632" s="116"/>
      <c r="I1632" s="116"/>
      <c r="L1632" s="170">
        <v>44407</v>
      </c>
      <c r="M1632" s="116">
        <v>4225.8999999999996</v>
      </c>
      <c r="N1632" s="116">
        <v>4295</v>
      </c>
      <c r="O1632" s="116">
        <v>4205.5</v>
      </c>
      <c r="P1632" s="116">
        <v>4290</v>
      </c>
      <c r="Q1632" s="116">
        <v>4225.8999999999996</v>
      </c>
      <c r="R1632">
        <v>106288</v>
      </c>
    </row>
    <row r="1633" spans="1:18" x14ac:dyDescent="0.25">
      <c r="A1633" s="170">
        <v>44410</v>
      </c>
      <c r="B1633" s="116">
        <v>4289.8</v>
      </c>
      <c r="C1633" s="116">
        <v>4220.55</v>
      </c>
      <c r="D1633" s="116">
        <v>4215.3</v>
      </c>
      <c r="E1633" s="116">
        <v>4289.8</v>
      </c>
      <c r="F1633" s="116">
        <v>4220.55</v>
      </c>
      <c r="G1633">
        <v>4705</v>
      </c>
      <c r="H1633" s="116"/>
      <c r="I1633" s="116"/>
      <c r="L1633" s="170">
        <v>44410</v>
      </c>
      <c r="M1633" s="116">
        <v>4222.8</v>
      </c>
      <c r="N1633" s="116">
        <v>4264.2</v>
      </c>
      <c r="O1633" s="116">
        <v>4210.1000000000004</v>
      </c>
      <c r="P1633" s="116">
        <v>4264</v>
      </c>
      <c r="Q1633" s="116">
        <v>4222.8</v>
      </c>
      <c r="R1633">
        <v>70906</v>
      </c>
    </row>
    <row r="1634" spans="1:18" x14ac:dyDescent="0.25">
      <c r="A1634" s="170">
        <v>44411</v>
      </c>
      <c r="B1634" s="116">
        <v>4370</v>
      </c>
      <c r="C1634" s="116">
        <v>4321.05</v>
      </c>
      <c r="D1634" s="116">
        <v>4225.45</v>
      </c>
      <c r="E1634" s="116">
        <v>4244</v>
      </c>
      <c r="F1634" s="116">
        <v>4321.05</v>
      </c>
      <c r="G1634">
        <v>10601</v>
      </c>
      <c r="H1634" s="116"/>
      <c r="I1634" s="116"/>
      <c r="L1634" s="170">
        <v>44411</v>
      </c>
      <c r="M1634" s="116">
        <v>4320.8999999999996</v>
      </c>
      <c r="N1634" s="116">
        <v>4373.2</v>
      </c>
      <c r="O1634" s="116">
        <v>4220.05</v>
      </c>
      <c r="P1634" s="116">
        <v>4220.05</v>
      </c>
      <c r="Q1634" s="116">
        <v>4320.8999999999996</v>
      </c>
      <c r="R1634">
        <v>184955</v>
      </c>
    </row>
    <row r="1635" spans="1:18" x14ac:dyDescent="0.25">
      <c r="A1635" s="170">
        <v>44412</v>
      </c>
      <c r="B1635" s="116">
        <v>4358.45</v>
      </c>
      <c r="C1635" s="116">
        <v>4248.45</v>
      </c>
      <c r="D1635" s="116">
        <v>4221</v>
      </c>
      <c r="E1635" s="116">
        <v>4335</v>
      </c>
      <c r="F1635" s="116">
        <v>4248.45</v>
      </c>
      <c r="G1635">
        <v>16486</v>
      </c>
      <c r="H1635" s="116"/>
      <c r="I1635" s="116"/>
      <c r="L1635" s="170">
        <v>44412</v>
      </c>
      <c r="M1635" s="116">
        <v>4251.3500000000004</v>
      </c>
      <c r="N1635" s="116">
        <v>4350</v>
      </c>
      <c r="O1635" s="116">
        <v>4220.8999999999996</v>
      </c>
      <c r="P1635" s="116">
        <v>4349.5</v>
      </c>
      <c r="Q1635" s="116">
        <v>4251.3500000000004</v>
      </c>
      <c r="R1635">
        <v>81134</v>
      </c>
    </row>
    <row r="1636" spans="1:18" x14ac:dyDescent="0.25">
      <c r="A1636" s="170">
        <v>44413</v>
      </c>
      <c r="B1636" s="116">
        <v>4289.8</v>
      </c>
      <c r="C1636" s="116">
        <v>4260.6000000000004</v>
      </c>
      <c r="D1636" s="116">
        <v>4189.6000000000004</v>
      </c>
      <c r="E1636" s="116">
        <v>4289.8</v>
      </c>
      <c r="F1636" s="116">
        <v>4260.6000000000004</v>
      </c>
      <c r="G1636">
        <v>5018</v>
      </c>
      <c r="H1636" s="116"/>
      <c r="I1636" s="116"/>
      <c r="L1636" s="170">
        <v>44413</v>
      </c>
      <c r="M1636" s="116">
        <v>4264.55</v>
      </c>
      <c r="N1636" s="116">
        <v>4288.95</v>
      </c>
      <c r="O1636" s="116">
        <v>4190</v>
      </c>
      <c r="P1636" s="116">
        <v>4273.2</v>
      </c>
      <c r="Q1636" s="116">
        <v>4264.55</v>
      </c>
      <c r="R1636">
        <v>96510</v>
      </c>
    </row>
    <row r="1637" spans="1:18" x14ac:dyDescent="0.25">
      <c r="A1637" s="170">
        <v>44414</v>
      </c>
      <c r="B1637" s="116">
        <v>4295</v>
      </c>
      <c r="C1637" s="116">
        <v>4228.1499999999996</v>
      </c>
      <c r="D1637" s="116">
        <v>4219.3999999999996</v>
      </c>
      <c r="E1637" s="116">
        <v>4295</v>
      </c>
      <c r="F1637" s="116">
        <v>4228.1499999999996</v>
      </c>
      <c r="G1637">
        <v>5771</v>
      </c>
      <c r="H1637" s="116"/>
      <c r="I1637" s="116"/>
      <c r="L1637" s="170">
        <v>44414</v>
      </c>
      <c r="M1637" s="116">
        <v>4229.45</v>
      </c>
      <c r="N1637" s="116">
        <v>4264</v>
      </c>
      <c r="O1637" s="116">
        <v>4220</v>
      </c>
      <c r="P1637" s="116">
        <v>4264</v>
      </c>
      <c r="Q1637" s="116">
        <v>4229.45</v>
      </c>
      <c r="R1637">
        <v>59698</v>
      </c>
    </row>
    <row r="1638" spans="1:18" x14ac:dyDescent="0.25">
      <c r="A1638" s="170">
        <v>44417</v>
      </c>
      <c r="B1638" s="116">
        <v>4337.95</v>
      </c>
      <c r="C1638" s="116">
        <v>4267.1499999999996</v>
      </c>
      <c r="D1638" s="116">
        <v>4235.7</v>
      </c>
      <c r="E1638" s="116">
        <v>4280</v>
      </c>
      <c r="F1638" s="116">
        <v>4267.1499999999996</v>
      </c>
      <c r="G1638">
        <v>9520</v>
      </c>
      <c r="H1638" s="116"/>
      <c r="I1638" s="116"/>
      <c r="L1638" s="170">
        <v>44417</v>
      </c>
      <c r="M1638" s="116">
        <v>4268.3</v>
      </c>
      <c r="N1638" s="116">
        <v>4340.05</v>
      </c>
      <c r="O1638" s="116">
        <v>4231.05</v>
      </c>
      <c r="P1638" s="116">
        <v>4248.8</v>
      </c>
      <c r="Q1638" s="116">
        <v>4268.3</v>
      </c>
      <c r="R1638">
        <v>99732</v>
      </c>
    </row>
    <row r="1639" spans="1:18" x14ac:dyDescent="0.25">
      <c r="A1639" s="170">
        <v>44418</v>
      </c>
      <c r="B1639" s="116">
        <v>4340</v>
      </c>
      <c r="C1639" s="116">
        <v>4232.25</v>
      </c>
      <c r="D1639" s="116">
        <v>4196.3999999999996</v>
      </c>
      <c r="E1639" s="116">
        <v>4299</v>
      </c>
      <c r="F1639" s="116">
        <v>4232.25</v>
      </c>
      <c r="G1639">
        <v>11266</v>
      </c>
      <c r="H1639" s="116"/>
      <c r="I1639" s="116"/>
      <c r="L1639" s="170">
        <v>44418</v>
      </c>
      <c r="M1639" s="116">
        <v>4238.6000000000004</v>
      </c>
      <c r="N1639" s="116">
        <v>4333.55</v>
      </c>
      <c r="O1639" s="116">
        <v>4195</v>
      </c>
      <c r="P1639" s="116">
        <v>4291</v>
      </c>
      <c r="Q1639" s="116">
        <v>4238.6000000000004</v>
      </c>
      <c r="R1639">
        <v>107261</v>
      </c>
    </row>
    <row r="1640" spans="1:18" x14ac:dyDescent="0.25">
      <c r="A1640" s="170">
        <v>44419</v>
      </c>
      <c r="B1640" s="116">
        <v>4260</v>
      </c>
      <c r="C1640" s="116">
        <v>4194.75</v>
      </c>
      <c r="D1640" s="116">
        <v>4112</v>
      </c>
      <c r="E1640" s="116">
        <v>4260</v>
      </c>
      <c r="F1640" s="116">
        <v>4194.75</v>
      </c>
      <c r="G1640">
        <v>10819</v>
      </c>
      <c r="H1640" s="116"/>
      <c r="I1640" s="116"/>
      <c r="L1640" s="170">
        <v>44419</v>
      </c>
      <c r="M1640" s="116">
        <v>4195.3</v>
      </c>
      <c r="N1640" s="116">
        <v>4259</v>
      </c>
      <c r="O1640" s="116">
        <v>4110</v>
      </c>
      <c r="P1640" s="116">
        <v>4259</v>
      </c>
      <c r="Q1640" s="116">
        <v>4195.3</v>
      </c>
      <c r="R1640">
        <v>141010</v>
      </c>
    </row>
    <row r="1641" spans="1:18" x14ac:dyDescent="0.25">
      <c r="A1641" s="170">
        <v>44420</v>
      </c>
      <c r="B1641" s="116">
        <v>4329</v>
      </c>
      <c r="C1641" s="116">
        <v>4289.7</v>
      </c>
      <c r="D1641" s="116">
        <v>4200.3999999999996</v>
      </c>
      <c r="E1641" s="116">
        <v>4240</v>
      </c>
      <c r="F1641" s="116">
        <v>4289.7</v>
      </c>
      <c r="G1641">
        <v>7618</v>
      </c>
      <c r="H1641" s="116"/>
      <c r="I1641" s="116"/>
      <c r="L1641" s="170">
        <v>44420</v>
      </c>
      <c r="M1641" s="116">
        <v>4293.6000000000004</v>
      </c>
      <c r="N1641" s="116">
        <v>4329</v>
      </c>
      <c r="O1641" s="116">
        <v>4203.1000000000004</v>
      </c>
      <c r="P1641" s="116">
        <v>4208.2</v>
      </c>
      <c r="Q1641" s="116">
        <v>4293.6000000000004</v>
      </c>
      <c r="R1641">
        <v>118095</v>
      </c>
    </row>
    <row r="1642" spans="1:18" x14ac:dyDescent="0.25">
      <c r="A1642" s="170">
        <v>44421</v>
      </c>
      <c r="B1642" s="116">
        <v>4386.1000000000004</v>
      </c>
      <c r="C1642" s="116">
        <v>4326.5</v>
      </c>
      <c r="D1642" s="116">
        <v>4263.6000000000004</v>
      </c>
      <c r="E1642" s="116">
        <v>4325</v>
      </c>
      <c r="F1642" s="116">
        <v>4326.5</v>
      </c>
      <c r="G1642">
        <v>10140</v>
      </c>
      <c r="H1642" s="116"/>
      <c r="I1642" s="116"/>
      <c r="L1642" s="170">
        <v>44421</v>
      </c>
      <c r="M1642" s="116">
        <v>4329.1000000000004</v>
      </c>
      <c r="N1642" s="116">
        <v>4386</v>
      </c>
      <c r="O1642" s="116">
        <v>4260.55</v>
      </c>
      <c r="P1642" s="116">
        <v>4303</v>
      </c>
      <c r="Q1642" s="116">
        <v>4329.1000000000004</v>
      </c>
      <c r="R1642">
        <v>186542</v>
      </c>
    </row>
    <row r="1643" spans="1:18" x14ac:dyDescent="0.25">
      <c r="A1643" s="170">
        <v>44424</v>
      </c>
      <c r="B1643" s="116">
        <v>4435</v>
      </c>
      <c r="C1643" s="116">
        <v>4401.95</v>
      </c>
      <c r="D1643" s="116">
        <v>4295</v>
      </c>
      <c r="E1643" s="116">
        <v>4340</v>
      </c>
      <c r="F1643" s="116">
        <v>4401.95</v>
      </c>
      <c r="G1643">
        <v>19533</v>
      </c>
      <c r="H1643" s="116"/>
      <c r="I1643" s="116"/>
      <c r="L1643" s="170">
        <v>44424</v>
      </c>
      <c r="M1643" s="116">
        <v>4403.8500000000004</v>
      </c>
      <c r="N1643" s="116">
        <v>4435</v>
      </c>
      <c r="O1643" s="116">
        <v>4291.45</v>
      </c>
      <c r="P1643" s="116">
        <v>4347</v>
      </c>
      <c r="Q1643" s="116">
        <v>4403.8500000000004</v>
      </c>
      <c r="R1643">
        <v>230004</v>
      </c>
    </row>
    <row r="1644" spans="1:18" x14ac:dyDescent="0.25">
      <c r="A1644" s="170">
        <v>44425</v>
      </c>
      <c r="B1644" s="116">
        <v>4775</v>
      </c>
      <c r="C1644" s="116">
        <v>4711.75</v>
      </c>
      <c r="D1644" s="116">
        <v>4440</v>
      </c>
      <c r="E1644" s="116">
        <v>4447</v>
      </c>
      <c r="F1644" s="116">
        <v>4711.75</v>
      </c>
      <c r="G1644">
        <v>56827</v>
      </c>
      <c r="H1644" s="116"/>
      <c r="I1644" s="116"/>
      <c r="L1644" s="170">
        <v>44425</v>
      </c>
      <c r="M1644" s="116">
        <v>4715.25</v>
      </c>
      <c r="N1644" s="116">
        <v>4780</v>
      </c>
      <c r="O1644" s="116">
        <v>4428.8500000000004</v>
      </c>
      <c r="P1644" s="116">
        <v>4440.6000000000004</v>
      </c>
      <c r="Q1644" s="116">
        <v>4715.25</v>
      </c>
      <c r="R1644">
        <v>1022547</v>
      </c>
    </row>
    <row r="1645" spans="1:18" x14ac:dyDescent="0.25">
      <c r="A1645" s="170">
        <v>44426</v>
      </c>
      <c r="B1645" s="116">
        <v>4793.95</v>
      </c>
      <c r="C1645" s="116">
        <v>4722.6000000000004</v>
      </c>
      <c r="D1645" s="116">
        <v>4573</v>
      </c>
      <c r="E1645" s="116">
        <v>4735</v>
      </c>
      <c r="F1645" s="116">
        <v>4722.6000000000004</v>
      </c>
      <c r="G1645">
        <v>20224</v>
      </c>
      <c r="H1645" s="116"/>
      <c r="I1645" s="116"/>
      <c r="L1645" s="170">
        <v>44426</v>
      </c>
      <c r="M1645" s="116">
        <v>4722.2</v>
      </c>
      <c r="N1645" s="116">
        <v>4795</v>
      </c>
      <c r="O1645" s="116">
        <v>4575</v>
      </c>
      <c r="P1645" s="116">
        <v>4732</v>
      </c>
      <c r="Q1645" s="116">
        <v>4722.2</v>
      </c>
      <c r="R1645">
        <v>295935</v>
      </c>
    </row>
    <row r="1646" spans="1:18" x14ac:dyDescent="0.25">
      <c r="A1646" s="170">
        <v>44428</v>
      </c>
      <c r="B1646" s="116">
        <v>4850</v>
      </c>
      <c r="C1646" s="116">
        <v>4726.5</v>
      </c>
      <c r="D1646" s="116">
        <v>4616.7</v>
      </c>
      <c r="E1646" s="116">
        <v>4670</v>
      </c>
      <c r="F1646" s="116">
        <v>4726.5</v>
      </c>
      <c r="G1646">
        <v>43635</v>
      </c>
      <c r="H1646" s="116"/>
      <c r="I1646" s="116"/>
      <c r="L1646" s="170">
        <v>44428</v>
      </c>
      <c r="M1646" s="116">
        <v>4732.6000000000004</v>
      </c>
      <c r="N1646" s="116">
        <v>4852.95</v>
      </c>
      <c r="O1646" s="116">
        <v>4625</v>
      </c>
      <c r="P1646" s="116">
        <v>4699</v>
      </c>
      <c r="Q1646" s="116">
        <v>4732.6000000000004</v>
      </c>
      <c r="R1646">
        <v>264202</v>
      </c>
    </row>
    <row r="1647" spans="1:18" x14ac:dyDescent="0.25">
      <c r="A1647" s="170">
        <v>44431</v>
      </c>
      <c r="B1647" s="116">
        <v>4779.8999999999996</v>
      </c>
      <c r="C1647" s="116">
        <v>4677.95</v>
      </c>
      <c r="D1647" s="116">
        <v>4635</v>
      </c>
      <c r="E1647" s="116">
        <v>4779.8999999999996</v>
      </c>
      <c r="F1647" s="116">
        <v>4677.95</v>
      </c>
      <c r="G1647">
        <v>13043</v>
      </c>
      <c r="H1647" s="116"/>
      <c r="I1647" s="116"/>
      <c r="L1647" s="170">
        <v>44431</v>
      </c>
      <c r="M1647" s="116">
        <v>4685.3</v>
      </c>
      <c r="N1647" s="116">
        <v>4779.8999999999996</v>
      </c>
      <c r="O1647" s="116">
        <v>4631.55</v>
      </c>
      <c r="P1647" s="116">
        <v>4756.8</v>
      </c>
      <c r="Q1647" s="116">
        <v>4685.3</v>
      </c>
      <c r="R1647">
        <v>151556</v>
      </c>
    </row>
    <row r="1648" spans="1:18" x14ac:dyDescent="0.25">
      <c r="A1648" s="170">
        <v>44432</v>
      </c>
      <c r="B1648" s="116">
        <v>4770.95</v>
      </c>
      <c r="C1648" s="116">
        <v>4744.6000000000004</v>
      </c>
      <c r="D1648" s="116">
        <v>4600</v>
      </c>
      <c r="E1648" s="116">
        <v>4700</v>
      </c>
      <c r="F1648" s="116">
        <v>4744.6000000000004</v>
      </c>
      <c r="G1648">
        <v>11245</v>
      </c>
      <c r="H1648" s="116"/>
      <c r="I1648" s="116"/>
      <c r="L1648" s="170">
        <v>44432</v>
      </c>
      <c r="M1648" s="116">
        <v>4745.8999999999996</v>
      </c>
      <c r="N1648" s="116">
        <v>4774</v>
      </c>
      <c r="O1648" s="116">
        <v>4601.1000000000004</v>
      </c>
      <c r="P1648" s="116">
        <v>4689</v>
      </c>
      <c r="Q1648" s="116">
        <v>4745.8999999999996</v>
      </c>
      <c r="R1648">
        <v>156979</v>
      </c>
    </row>
    <row r="1649" spans="1:18" x14ac:dyDescent="0.25">
      <c r="A1649" s="170">
        <v>44433</v>
      </c>
      <c r="B1649" s="116">
        <v>4948.95</v>
      </c>
      <c r="C1649" s="116">
        <v>4803.7</v>
      </c>
      <c r="D1649" s="116">
        <v>4765.95</v>
      </c>
      <c r="E1649" s="116">
        <v>4779</v>
      </c>
      <c r="F1649" s="116">
        <v>4803.7</v>
      </c>
      <c r="G1649">
        <v>23568</v>
      </c>
      <c r="H1649" s="116"/>
      <c r="I1649" s="116"/>
      <c r="L1649" s="170">
        <v>44433</v>
      </c>
      <c r="M1649" s="116">
        <v>4810.05</v>
      </c>
      <c r="N1649" s="116">
        <v>4949</v>
      </c>
      <c r="O1649" s="116">
        <v>4756</v>
      </c>
      <c r="P1649" s="116">
        <v>4765</v>
      </c>
      <c r="Q1649" s="116">
        <v>4810.05</v>
      </c>
      <c r="R1649">
        <v>270608</v>
      </c>
    </row>
    <row r="1650" spans="1:18" x14ac:dyDescent="0.25">
      <c r="A1650" s="170">
        <v>44434</v>
      </c>
      <c r="B1650" s="116">
        <v>4919.1000000000004</v>
      </c>
      <c r="C1650" s="116">
        <v>4860.1499999999996</v>
      </c>
      <c r="D1650" s="116">
        <v>4811.8500000000004</v>
      </c>
      <c r="E1650" s="116">
        <v>4849.95</v>
      </c>
      <c r="F1650" s="116">
        <v>4860.1499999999996</v>
      </c>
      <c r="G1650">
        <v>13231</v>
      </c>
      <c r="H1650" s="116"/>
      <c r="I1650" s="116"/>
      <c r="L1650" s="170">
        <v>44434</v>
      </c>
      <c r="M1650" s="116">
        <v>4861.6000000000004</v>
      </c>
      <c r="N1650" s="116">
        <v>4924</v>
      </c>
      <c r="O1650" s="116">
        <v>4811.1499999999996</v>
      </c>
      <c r="P1650" s="116">
        <v>4830</v>
      </c>
      <c r="Q1650" s="116">
        <v>4861.6000000000004</v>
      </c>
      <c r="R1650">
        <v>136051</v>
      </c>
    </row>
    <row r="1651" spans="1:18" x14ac:dyDescent="0.25">
      <c r="A1651" s="170">
        <v>44435</v>
      </c>
      <c r="B1651" s="116">
        <v>4925</v>
      </c>
      <c r="C1651" s="116">
        <v>4870.25</v>
      </c>
      <c r="D1651" s="116">
        <v>4799</v>
      </c>
      <c r="E1651" s="116">
        <v>4864.95</v>
      </c>
      <c r="F1651" s="116">
        <v>4870.25</v>
      </c>
      <c r="G1651">
        <v>10290</v>
      </c>
      <c r="H1651" s="116"/>
      <c r="I1651" s="116"/>
      <c r="L1651" s="170">
        <v>44435</v>
      </c>
      <c r="M1651" s="116">
        <v>4868.6499999999996</v>
      </c>
      <c r="N1651" s="116">
        <v>4926.5</v>
      </c>
      <c r="O1651" s="116">
        <v>4793</v>
      </c>
      <c r="P1651" s="116">
        <v>4861.6000000000004</v>
      </c>
      <c r="Q1651" s="116">
        <v>4868.6499999999996</v>
      </c>
      <c r="R1651">
        <v>124341</v>
      </c>
    </row>
    <row r="1652" spans="1:18" x14ac:dyDescent="0.25">
      <c r="A1652" s="170">
        <v>44438</v>
      </c>
      <c r="B1652" s="116">
        <v>4915.45</v>
      </c>
      <c r="C1652" s="116">
        <v>4822.3500000000004</v>
      </c>
      <c r="D1652" s="116">
        <v>4750.5</v>
      </c>
      <c r="E1652" s="116">
        <v>4910</v>
      </c>
      <c r="F1652" s="116">
        <v>4822.3500000000004</v>
      </c>
      <c r="G1652">
        <v>43654</v>
      </c>
      <c r="H1652" s="116"/>
      <c r="I1652" s="116"/>
      <c r="L1652" s="170">
        <v>44438</v>
      </c>
      <c r="M1652" s="116">
        <v>4826.75</v>
      </c>
      <c r="N1652" s="116">
        <v>4912.45</v>
      </c>
      <c r="O1652" s="116">
        <v>4800</v>
      </c>
      <c r="P1652" s="116">
        <v>4906</v>
      </c>
      <c r="Q1652" s="116">
        <v>4826.75</v>
      </c>
      <c r="R1652">
        <v>137887</v>
      </c>
    </row>
    <row r="1653" spans="1:18" x14ac:dyDescent="0.25">
      <c r="A1653" s="170">
        <v>44439</v>
      </c>
      <c r="B1653" s="116">
        <v>4860.2</v>
      </c>
      <c r="C1653" s="116">
        <v>4776.6000000000004</v>
      </c>
      <c r="D1653" s="116">
        <v>4752.3</v>
      </c>
      <c r="E1653" s="116">
        <v>4830</v>
      </c>
      <c r="F1653" s="116">
        <v>4776.6000000000004</v>
      </c>
      <c r="G1653">
        <v>7629</v>
      </c>
      <c r="H1653" s="116"/>
      <c r="I1653" s="116"/>
      <c r="L1653" s="170">
        <v>44439</v>
      </c>
      <c r="M1653" s="116">
        <v>4770.95</v>
      </c>
      <c r="N1653" s="116">
        <v>4860</v>
      </c>
      <c r="O1653" s="116">
        <v>4750</v>
      </c>
      <c r="P1653" s="116">
        <v>4840</v>
      </c>
      <c r="Q1653" s="116">
        <v>4770.95</v>
      </c>
      <c r="R1653">
        <v>137157</v>
      </c>
    </row>
    <row r="1654" spans="1:18" x14ac:dyDescent="0.25">
      <c r="A1654" s="170">
        <v>44440</v>
      </c>
      <c r="B1654" s="116">
        <v>4901</v>
      </c>
      <c r="C1654" s="116">
        <v>4847.5</v>
      </c>
      <c r="D1654" s="116">
        <v>4806.5</v>
      </c>
      <c r="E1654" s="116">
        <v>4840</v>
      </c>
      <c r="F1654" s="116">
        <v>4847.5</v>
      </c>
      <c r="G1654">
        <v>19517</v>
      </c>
      <c r="H1654" s="116"/>
      <c r="I1654" s="116"/>
      <c r="L1654" s="170">
        <v>44440</v>
      </c>
      <c r="M1654" s="116">
        <v>4848.5</v>
      </c>
      <c r="N1654" s="116">
        <v>4900</v>
      </c>
      <c r="O1654" s="116">
        <v>4800</v>
      </c>
      <c r="P1654" s="116">
        <v>4800</v>
      </c>
      <c r="Q1654" s="116">
        <v>4848.5</v>
      </c>
      <c r="R1654">
        <v>129752</v>
      </c>
    </row>
    <row r="1655" spans="1:18" x14ac:dyDescent="0.25">
      <c r="A1655" s="170">
        <v>44441</v>
      </c>
      <c r="B1655" s="116">
        <v>4974.8999999999996</v>
      </c>
      <c r="C1655" s="116">
        <v>4923.3500000000004</v>
      </c>
      <c r="D1655" s="116">
        <v>4831.8999999999996</v>
      </c>
      <c r="E1655" s="116">
        <v>4899</v>
      </c>
      <c r="F1655" s="116">
        <v>4923.3500000000004</v>
      </c>
      <c r="G1655">
        <v>13809</v>
      </c>
      <c r="H1655" s="116"/>
      <c r="I1655" s="116"/>
      <c r="L1655" s="170">
        <v>44441</v>
      </c>
      <c r="M1655" s="116">
        <v>4922.8999999999996</v>
      </c>
      <c r="N1655" s="116">
        <v>4977</v>
      </c>
      <c r="O1655" s="116">
        <v>4832</v>
      </c>
      <c r="P1655" s="116">
        <v>4874</v>
      </c>
      <c r="Q1655" s="116">
        <v>4922.8999999999996</v>
      </c>
      <c r="R1655">
        <v>175023</v>
      </c>
    </row>
    <row r="1656" spans="1:18" x14ac:dyDescent="0.25">
      <c r="A1656" s="170">
        <v>44442</v>
      </c>
      <c r="B1656" s="116">
        <v>4970</v>
      </c>
      <c r="C1656" s="116">
        <v>4885.25</v>
      </c>
      <c r="D1656" s="116">
        <v>4856.6000000000004</v>
      </c>
      <c r="E1656" s="116">
        <v>4950</v>
      </c>
      <c r="F1656" s="116">
        <v>4885.25</v>
      </c>
      <c r="G1656">
        <v>20211</v>
      </c>
      <c r="H1656" s="116"/>
      <c r="I1656" s="116"/>
      <c r="L1656" s="170">
        <v>44442</v>
      </c>
      <c r="M1656" s="116">
        <v>4886</v>
      </c>
      <c r="N1656" s="116">
        <v>4970</v>
      </c>
      <c r="O1656" s="116">
        <v>4856.8999999999996</v>
      </c>
      <c r="P1656" s="116">
        <v>4945</v>
      </c>
      <c r="Q1656" s="116">
        <v>4886</v>
      </c>
      <c r="R1656">
        <v>127507</v>
      </c>
    </row>
    <row r="1657" spans="1:18" x14ac:dyDescent="0.25">
      <c r="A1657" s="170">
        <v>44445</v>
      </c>
      <c r="B1657" s="116">
        <v>4920</v>
      </c>
      <c r="C1657" s="116">
        <v>4876.3999999999996</v>
      </c>
      <c r="D1657" s="116">
        <v>4833</v>
      </c>
      <c r="E1657" s="116">
        <v>4920</v>
      </c>
      <c r="F1657" s="116">
        <v>4876.3999999999996</v>
      </c>
      <c r="G1657">
        <v>5073</v>
      </c>
      <c r="H1657" s="116"/>
      <c r="I1657" s="116"/>
      <c r="L1657" s="170">
        <v>44445</v>
      </c>
      <c r="M1657" s="116">
        <v>4876.3</v>
      </c>
      <c r="N1657" s="116">
        <v>4910.45</v>
      </c>
      <c r="O1657" s="116">
        <v>4827</v>
      </c>
      <c r="P1657" s="116">
        <v>4899</v>
      </c>
      <c r="Q1657" s="116">
        <v>4876.3</v>
      </c>
      <c r="R1657">
        <v>77586</v>
      </c>
    </row>
    <row r="1658" spans="1:18" x14ac:dyDescent="0.25">
      <c r="A1658" s="170">
        <v>44446</v>
      </c>
      <c r="B1658" s="116">
        <v>5015</v>
      </c>
      <c r="C1658" s="116">
        <v>4919.2</v>
      </c>
      <c r="D1658" s="116">
        <v>4860.1499999999996</v>
      </c>
      <c r="E1658" s="116">
        <v>4909.95</v>
      </c>
      <c r="F1658" s="116">
        <v>4919.2</v>
      </c>
      <c r="G1658">
        <v>29600</v>
      </c>
      <c r="H1658" s="116"/>
      <c r="I1658" s="116"/>
      <c r="L1658" s="170">
        <v>44446</v>
      </c>
      <c r="M1658" s="116">
        <v>4919.5</v>
      </c>
      <c r="N1658" s="116">
        <v>5015.8500000000004</v>
      </c>
      <c r="O1658" s="116">
        <v>4861.3999999999996</v>
      </c>
      <c r="P1658" s="116">
        <v>4887.8</v>
      </c>
      <c r="Q1658" s="116">
        <v>4919.5</v>
      </c>
      <c r="R1658">
        <v>282529</v>
      </c>
    </row>
    <row r="1659" spans="1:18" x14ac:dyDescent="0.25">
      <c r="A1659" s="170">
        <v>44447</v>
      </c>
      <c r="B1659" s="116">
        <v>4915.2</v>
      </c>
      <c r="C1659" s="116">
        <v>4864</v>
      </c>
      <c r="D1659" s="116">
        <v>4823.1499999999996</v>
      </c>
      <c r="E1659" s="116">
        <v>4915</v>
      </c>
      <c r="F1659" s="116">
        <v>4864</v>
      </c>
      <c r="G1659">
        <v>6428</v>
      </c>
      <c r="H1659" s="116"/>
      <c r="I1659" s="116"/>
      <c r="L1659" s="170">
        <v>44447</v>
      </c>
      <c r="M1659" s="116">
        <v>4864.6000000000004</v>
      </c>
      <c r="N1659" s="116">
        <v>4920</v>
      </c>
      <c r="O1659" s="116">
        <v>4821.1499999999996</v>
      </c>
      <c r="P1659" s="116">
        <v>4920</v>
      </c>
      <c r="Q1659" s="116">
        <v>4864.6000000000004</v>
      </c>
      <c r="R1659">
        <v>122544</v>
      </c>
    </row>
    <row r="1660" spans="1:18" x14ac:dyDescent="0.25">
      <c r="A1660" s="170">
        <v>44448</v>
      </c>
      <c r="B1660" s="116">
        <v>4954.95</v>
      </c>
      <c r="C1660" s="116">
        <v>4926</v>
      </c>
      <c r="D1660" s="116">
        <v>4851.8</v>
      </c>
      <c r="E1660" s="116">
        <v>4919</v>
      </c>
      <c r="F1660" s="116">
        <v>4926</v>
      </c>
      <c r="G1660">
        <v>7620</v>
      </c>
      <c r="H1660" s="116"/>
      <c r="I1660" s="116"/>
      <c r="L1660" s="170">
        <v>44448</v>
      </c>
      <c r="M1660" s="116">
        <v>4928.75</v>
      </c>
      <c r="N1660" s="116">
        <v>4955</v>
      </c>
      <c r="O1660" s="116">
        <v>4851</v>
      </c>
      <c r="P1660" s="116">
        <v>4876.8</v>
      </c>
      <c r="Q1660" s="116">
        <v>4928.75</v>
      </c>
      <c r="R1660">
        <v>143361</v>
      </c>
    </row>
    <row r="1661" spans="1:18" x14ac:dyDescent="0.25">
      <c r="A1661" s="170">
        <v>44452</v>
      </c>
      <c r="B1661" s="116">
        <v>5066.75</v>
      </c>
      <c r="C1661" s="116">
        <v>5007.8500000000004</v>
      </c>
      <c r="D1661" s="116">
        <v>4930</v>
      </c>
      <c r="E1661" s="116">
        <v>4940</v>
      </c>
      <c r="F1661" s="116">
        <v>5007.8500000000004</v>
      </c>
      <c r="G1661">
        <v>15617</v>
      </c>
      <c r="H1661" s="116"/>
      <c r="I1661" s="116"/>
      <c r="L1661" s="170">
        <v>44452</v>
      </c>
      <c r="M1661" s="116">
        <v>5009.3</v>
      </c>
      <c r="N1661" s="116">
        <v>5072</v>
      </c>
      <c r="O1661" s="116">
        <v>4935</v>
      </c>
      <c r="P1661" s="116">
        <v>4951</v>
      </c>
      <c r="Q1661" s="116">
        <v>5009.3</v>
      </c>
      <c r="R1661">
        <v>205324</v>
      </c>
    </row>
    <row r="1662" spans="1:18" x14ac:dyDescent="0.25">
      <c r="A1662" s="170">
        <v>44453</v>
      </c>
      <c r="B1662" s="116">
        <v>5055</v>
      </c>
      <c r="C1662" s="116">
        <v>4982.75</v>
      </c>
      <c r="D1662" s="116">
        <v>4959.8500000000004</v>
      </c>
      <c r="E1662" s="116">
        <v>5020</v>
      </c>
      <c r="F1662" s="116">
        <v>4982.75</v>
      </c>
      <c r="G1662">
        <v>8409</v>
      </c>
      <c r="H1662" s="116"/>
      <c r="I1662" s="116"/>
      <c r="L1662" s="170">
        <v>44453</v>
      </c>
      <c r="M1662" s="116">
        <v>4987</v>
      </c>
      <c r="N1662" s="116">
        <v>5057.8999999999996</v>
      </c>
      <c r="O1662" s="116">
        <v>4970</v>
      </c>
      <c r="P1662" s="116">
        <v>5018</v>
      </c>
      <c r="Q1662" s="116">
        <v>4987</v>
      </c>
      <c r="R1662">
        <v>147811</v>
      </c>
    </row>
    <row r="1663" spans="1:18" x14ac:dyDescent="0.25">
      <c r="A1663" s="170">
        <v>44454</v>
      </c>
      <c r="B1663" s="116">
        <v>5249.35</v>
      </c>
      <c r="C1663" s="116">
        <v>5110.6499999999996</v>
      </c>
      <c r="D1663" s="116">
        <v>5012.5</v>
      </c>
      <c r="E1663" s="116">
        <v>5019.8</v>
      </c>
      <c r="F1663" s="116">
        <v>5110.6499999999996</v>
      </c>
      <c r="G1663">
        <v>25327</v>
      </c>
      <c r="H1663" s="116"/>
      <c r="I1663" s="116"/>
      <c r="L1663" s="170">
        <v>44454</v>
      </c>
      <c r="M1663" s="116">
        <v>5113.3999999999996</v>
      </c>
      <c r="N1663" s="116">
        <v>5248.5</v>
      </c>
      <c r="O1663" s="116">
        <v>5005</v>
      </c>
      <c r="P1663" s="116">
        <v>5007.3999999999996</v>
      </c>
      <c r="Q1663" s="116">
        <v>5113.3999999999996</v>
      </c>
      <c r="R1663">
        <v>485270</v>
      </c>
    </row>
    <row r="1664" spans="1:18" x14ac:dyDescent="0.25">
      <c r="A1664" s="170">
        <v>44455</v>
      </c>
      <c r="B1664" s="116">
        <v>5210</v>
      </c>
      <c r="C1664" s="116">
        <v>5151.8999999999996</v>
      </c>
      <c r="D1664" s="116">
        <v>5116.1000000000004</v>
      </c>
      <c r="E1664" s="116">
        <v>5210</v>
      </c>
      <c r="F1664" s="116">
        <v>5151.8999999999996</v>
      </c>
      <c r="G1664">
        <v>7732</v>
      </c>
      <c r="H1664" s="116"/>
      <c r="I1664" s="116"/>
      <c r="L1664" s="170">
        <v>44455</v>
      </c>
      <c r="M1664" s="116">
        <v>5153.6000000000004</v>
      </c>
      <c r="N1664" s="116">
        <v>5200</v>
      </c>
      <c r="O1664" s="116">
        <v>5115</v>
      </c>
      <c r="P1664" s="116">
        <v>5140</v>
      </c>
      <c r="Q1664" s="116">
        <v>5153.6000000000004</v>
      </c>
      <c r="R1664">
        <v>140731</v>
      </c>
    </row>
    <row r="1665" spans="1:18" x14ac:dyDescent="0.25">
      <c r="A1665" s="170">
        <v>44456</v>
      </c>
      <c r="B1665" s="116">
        <v>5600</v>
      </c>
      <c r="C1665" s="116">
        <v>5486.75</v>
      </c>
      <c r="D1665" s="116">
        <v>5180</v>
      </c>
      <c r="E1665" s="116">
        <v>5180</v>
      </c>
      <c r="F1665" s="116">
        <v>5486.75</v>
      </c>
      <c r="G1665">
        <v>35998</v>
      </c>
      <c r="H1665" s="116"/>
      <c r="I1665" s="116"/>
      <c r="L1665" s="170">
        <v>44456</v>
      </c>
      <c r="M1665" s="116">
        <v>5490.65</v>
      </c>
      <c r="N1665" s="116">
        <v>5600</v>
      </c>
      <c r="O1665" s="116">
        <v>5184</v>
      </c>
      <c r="P1665" s="116">
        <v>5184</v>
      </c>
      <c r="Q1665" s="116">
        <v>5490.65</v>
      </c>
      <c r="R1665">
        <v>577393</v>
      </c>
    </row>
    <row r="1666" spans="1:18" x14ac:dyDescent="0.25">
      <c r="A1666" s="170">
        <v>44459</v>
      </c>
      <c r="B1666" s="116">
        <v>5950</v>
      </c>
      <c r="C1666" s="116">
        <v>5833.6</v>
      </c>
      <c r="D1666" s="116">
        <v>5349</v>
      </c>
      <c r="E1666" s="116">
        <v>5486</v>
      </c>
      <c r="F1666" s="116">
        <v>5833.6</v>
      </c>
      <c r="G1666">
        <v>53315</v>
      </c>
      <c r="H1666" s="116"/>
      <c r="I1666" s="116"/>
      <c r="L1666" s="170">
        <v>44459</v>
      </c>
      <c r="M1666" s="116">
        <v>5831.7</v>
      </c>
      <c r="N1666" s="116">
        <v>5955</v>
      </c>
      <c r="O1666" s="116">
        <v>5352.3</v>
      </c>
      <c r="P1666" s="116">
        <v>5470</v>
      </c>
      <c r="Q1666" s="116">
        <v>5831.7</v>
      </c>
      <c r="R1666">
        <v>730123</v>
      </c>
    </row>
    <row r="1667" spans="1:18" x14ac:dyDescent="0.25">
      <c r="A1667" s="170">
        <v>44460</v>
      </c>
      <c r="B1667" s="116">
        <v>5957.4</v>
      </c>
      <c r="C1667" s="116">
        <v>5618.4</v>
      </c>
      <c r="D1667" s="116">
        <v>5460.5</v>
      </c>
      <c r="E1667" s="116">
        <v>5895</v>
      </c>
      <c r="F1667" s="116">
        <v>5618.4</v>
      </c>
      <c r="G1667">
        <v>78617</v>
      </c>
      <c r="H1667" s="116"/>
      <c r="I1667" s="116"/>
      <c r="L1667" s="170">
        <v>44460</v>
      </c>
      <c r="M1667" s="116">
        <v>5619.95</v>
      </c>
      <c r="N1667" s="116">
        <v>5949</v>
      </c>
      <c r="O1667" s="116">
        <v>5461.65</v>
      </c>
      <c r="P1667" s="116">
        <v>5889.95</v>
      </c>
      <c r="Q1667" s="116">
        <v>5619.95</v>
      </c>
      <c r="R1667">
        <v>614214</v>
      </c>
    </row>
    <row r="1668" spans="1:18" x14ac:dyDescent="0.25">
      <c r="A1668" s="170">
        <v>44461</v>
      </c>
      <c r="B1668" s="116">
        <v>5699.7</v>
      </c>
      <c r="C1668" s="116">
        <v>5581.45</v>
      </c>
      <c r="D1668" s="116">
        <v>5559.95</v>
      </c>
      <c r="E1668" s="116">
        <v>5699.7</v>
      </c>
      <c r="F1668" s="116">
        <v>5581.45</v>
      </c>
      <c r="G1668">
        <v>12893</v>
      </c>
      <c r="H1668" s="116"/>
      <c r="I1668" s="116"/>
      <c r="L1668" s="170">
        <v>44461</v>
      </c>
      <c r="M1668" s="116">
        <v>5580.15</v>
      </c>
      <c r="N1668" s="116">
        <v>5699</v>
      </c>
      <c r="O1668" s="116">
        <v>5553.05</v>
      </c>
      <c r="P1668" s="116">
        <v>5668.8</v>
      </c>
      <c r="Q1668" s="116">
        <v>5580.15</v>
      </c>
      <c r="R1668">
        <v>246188</v>
      </c>
    </row>
    <row r="1669" spans="1:18" x14ac:dyDescent="0.25">
      <c r="A1669" s="170">
        <v>44462</v>
      </c>
      <c r="B1669" s="116">
        <v>5887.95</v>
      </c>
      <c r="C1669" s="116">
        <v>5724.5</v>
      </c>
      <c r="D1669" s="116">
        <v>5574.3</v>
      </c>
      <c r="E1669" s="116">
        <v>5590</v>
      </c>
      <c r="F1669" s="116">
        <v>5724.5</v>
      </c>
      <c r="G1669">
        <v>101365</v>
      </c>
      <c r="H1669" s="116"/>
      <c r="I1669" s="116"/>
      <c r="L1669" s="170">
        <v>44462</v>
      </c>
      <c r="M1669" s="116">
        <v>5726.8</v>
      </c>
      <c r="N1669" s="116">
        <v>5888</v>
      </c>
      <c r="O1669" s="116">
        <v>5582</v>
      </c>
      <c r="P1669" s="116">
        <v>5630</v>
      </c>
      <c r="Q1669" s="116">
        <v>5726.8</v>
      </c>
      <c r="R1669">
        <v>375994</v>
      </c>
    </row>
    <row r="1670" spans="1:18" x14ac:dyDescent="0.25">
      <c r="A1670" s="170">
        <v>44463</v>
      </c>
      <c r="B1670" s="116">
        <v>5972.65</v>
      </c>
      <c r="C1670" s="116">
        <v>5864.35</v>
      </c>
      <c r="D1670" s="116">
        <v>5752.65</v>
      </c>
      <c r="E1670" s="116">
        <v>5790</v>
      </c>
      <c r="F1670" s="116">
        <v>5864.35</v>
      </c>
      <c r="G1670">
        <v>23381</v>
      </c>
      <c r="H1670" s="116"/>
      <c r="I1670" s="116"/>
      <c r="L1670" s="170">
        <v>44463</v>
      </c>
      <c r="M1670" s="116">
        <v>5866.95</v>
      </c>
      <c r="N1670" s="116">
        <v>5971.9</v>
      </c>
      <c r="O1670" s="116">
        <v>5733</v>
      </c>
      <c r="P1670" s="116">
        <v>5764.7</v>
      </c>
      <c r="Q1670" s="116">
        <v>5866.95</v>
      </c>
      <c r="R1670">
        <v>318392</v>
      </c>
    </row>
    <row r="1671" spans="1:18" x14ac:dyDescent="0.25">
      <c r="A1671" s="170">
        <v>44466</v>
      </c>
      <c r="B1671" s="116">
        <v>5955.1</v>
      </c>
      <c r="C1671" s="116">
        <v>5714.65</v>
      </c>
      <c r="D1671" s="116">
        <v>5685.4</v>
      </c>
      <c r="E1671" s="116">
        <v>5925</v>
      </c>
      <c r="F1671" s="116">
        <v>5714.65</v>
      </c>
      <c r="G1671">
        <v>19670</v>
      </c>
      <c r="H1671" s="116"/>
      <c r="I1671" s="116"/>
      <c r="L1671" s="170">
        <v>44466</v>
      </c>
      <c r="M1671" s="116">
        <v>5720.9</v>
      </c>
      <c r="N1671" s="116">
        <v>5951</v>
      </c>
      <c r="O1671" s="116">
        <v>5691.05</v>
      </c>
      <c r="P1671" s="116">
        <v>5923.8</v>
      </c>
      <c r="Q1671" s="116">
        <v>5720.9</v>
      </c>
      <c r="R1671">
        <v>234408</v>
      </c>
    </row>
    <row r="1672" spans="1:18" x14ac:dyDescent="0.25">
      <c r="A1672" s="170">
        <v>44467</v>
      </c>
      <c r="B1672" s="116">
        <v>5830</v>
      </c>
      <c r="C1672" s="116">
        <v>5663.25</v>
      </c>
      <c r="D1672" s="116">
        <v>5555</v>
      </c>
      <c r="E1672" s="116">
        <v>5731</v>
      </c>
      <c r="F1672" s="116">
        <v>5663.25</v>
      </c>
      <c r="G1672">
        <v>20411</v>
      </c>
      <c r="H1672" s="116"/>
      <c r="I1672" s="116"/>
      <c r="L1672" s="170">
        <v>44467</v>
      </c>
      <c r="M1672" s="116">
        <v>5665.65</v>
      </c>
      <c r="N1672" s="116">
        <v>5832</v>
      </c>
      <c r="O1672" s="116">
        <v>5555.55</v>
      </c>
      <c r="P1672" s="116">
        <v>5752.5</v>
      </c>
      <c r="Q1672" s="116">
        <v>5665.65</v>
      </c>
      <c r="R1672">
        <v>233310</v>
      </c>
    </row>
    <row r="1673" spans="1:18" x14ac:dyDescent="0.25">
      <c r="A1673" s="170">
        <v>44468</v>
      </c>
      <c r="B1673" s="116">
        <v>5681.6</v>
      </c>
      <c r="C1673" s="116">
        <v>5592.55</v>
      </c>
      <c r="D1673" s="116">
        <v>5555</v>
      </c>
      <c r="E1673" s="116">
        <v>5644</v>
      </c>
      <c r="F1673" s="116">
        <v>5592.55</v>
      </c>
      <c r="G1673">
        <v>11019</v>
      </c>
      <c r="H1673" s="116"/>
      <c r="I1673" s="116"/>
      <c r="L1673" s="170">
        <v>44468</v>
      </c>
      <c r="M1673" s="116">
        <v>5597.75</v>
      </c>
      <c r="N1673" s="116">
        <v>5684</v>
      </c>
      <c r="O1673" s="116">
        <v>5563.75</v>
      </c>
      <c r="P1673" s="116">
        <v>5645</v>
      </c>
      <c r="Q1673" s="116">
        <v>5597.75</v>
      </c>
      <c r="R1673">
        <v>132221</v>
      </c>
    </row>
    <row r="1674" spans="1:18" x14ac:dyDescent="0.25">
      <c r="A1674" s="170">
        <v>44469</v>
      </c>
      <c r="B1674" s="116">
        <v>5665</v>
      </c>
      <c r="C1674" s="116">
        <v>5594.6</v>
      </c>
      <c r="D1674" s="116">
        <v>5580</v>
      </c>
      <c r="E1674" s="116">
        <v>5660</v>
      </c>
      <c r="F1674" s="116">
        <v>5594.6</v>
      </c>
      <c r="G1674">
        <v>8180</v>
      </c>
      <c r="H1674" s="116"/>
      <c r="I1674" s="116"/>
      <c r="L1674" s="170">
        <v>44469</v>
      </c>
      <c r="M1674" s="116">
        <v>5594.05</v>
      </c>
      <c r="N1674" s="116">
        <v>5668</v>
      </c>
      <c r="O1674" s="116">
        <v>5580</v>
      </c>
      <c r="P1674" s="116">
        <v>5627.05</v>
      </c>
      <c r="Q1674" s="116">
        <v>5594.05</v>
      </c>
      <c r="R1674">
        <v>144992</v>
      </c>
    </row>
    <row r="1675" spans="1:18" x14ac:dyDescent="0.25">
      <c r="A1675" s="170">
        <v>44470</v>
      </c>
      <c r="B1675" s="116">
        <v>5821.85</v>
      </c>
      <c r="C1675" s="116">
        <v>5779.8</v>
      </c>
      <c r="D1675" s="116">
        <v>5590</v>
      </c>
      <c r="E1675" s="116">
        <v>5625</v>
      </c>
      <c r="F1675" s="116">
        <v>5779.8</v>
      </c>
      <c r="G1675">
        <v>32365</v>
      </c>
      <c r="H1675" s="116"/>
      <c r="I1675" s="116"/>
      <c r="L1675" s="170">
        <v>44470</v>
      </c>
      <c r="M1675" s="116">
        <v>5782.8</v>
      </c>
      <c r="N1675" s="116">
        <v>5824.6</v>
      </c>
      <c r="O1675" s="116">
        <v>5594</v>
      </c>
      <c r="P1675" s="116">
        <v>5594</v>
      </c>
      <c r="Q1675" s="116">
        <v>5782.8</v>
      </c>
      <c r="R1675">
        <v>195617</v>
      </c>
    </row>
    <row r="1676" spans="1:18" x14ac:dyDescent="0.25">
      <c r="A1676" s="170">
        <v>44473</v>
      </c>
      <c r="B1676" s="116">
        <v>5935.75</v>
      </c>
      <c r="C1676" s="116">
        <v>5887.4</v>
      </c>
      <c r="D1676" s="116">
        <v>5801.65</v>
      </c>
      <c r="E1676" s="116">
        <v>5825</v>
      </c>
      <c r="F1676" s="116">
        <v>5887.4</v>
      </c>
      <c r="G1676">
        <v>15449</v>
      </c>
      <c r="H1676" s="116"/>
      <c r="I1676" s="116"/>
      <c r="L1676" s="170">
        <v>44473</v>
      </c>
      <c r="M1676" s="116">
        <v>5889.6</v>
      </c>
      <c r="N1676" s="116">
        <v>5938</v>
      </c>
      <c r="O1676" s="116">
        <v>5801</v>
      </c>
      <c r="P1676" s="116">
        <v>5818</v>
      </c>
      <c r="Q1676" s="116">
        <v>5889.6</v>
      </c>
      <c r="R1676">
        <v>212879</v>
      </c>
    </row>
    <row r="1677" spans="1:18" x14ac:dyDescent="0.25">
      <c r="A1677" s="170">
        <v>44474</v>
      </c>
      <c r="B1677" s="116">
        <v>5929.9</v>
      </c>
      <c r="C1677" s="116">
        <v>5838.7</v>
      </c>
      <c r="D1677" s="116">
        <v>5790</v>
      </c>
      <c r="E1677" s="116">
        <v>5920</v>
      </c>
      <c r="F1677" s="116">
        <v>5838.7</v>
      </c>
      <c r="G1677">
        <v>12014</v>
      </c>
      <c r="H1677" s="116"/>
      <c r="I1677" s="116"/>
      <c r="L1677" s="170">
        <v>44474</v>
      </c>
      <c r="M1677" s="116">
        <v>5840.15</v>
      </c>
      <c r="N1677" s="116">
        <v>5926.95</v>
      </c>
      <c r="O1677" s="116">
        <v>5790</v>
      </c>
      <c r="P1677" s="116">
        <v>5895</v>
      </c>
      <c r="Q1677" s="116">
        <v>5840.15</v>
      </c>
      <c r="R1677">
        <v>194416</v>
      </c>
    </row>
    <row r="1678" spans="1:18" x14ac:dyDescent="0.25">
      <c r="A1678" s="170">
        <v>44475</v>
      </c>
      <c r="B1678" s="116">
        <v>6274.7</v>
      </c>
      <c r="C1678" s="116">
        <v>6162.85</v>
      </c>
      <c r="D1678" s="116">
        <v>5850.85</v>
      </c>
      <c r="E1678" s="116">
        <v>5890</v>
      </c>
      <c r="F1678" s="116">
        <v>6162.85</v>
      </c>
      <c r="G1678">
        <v>51267</v>
      </c>
      <c r="H1678" s="116"/>
      <c r="I1678" s="116"/>
      <c r="L1678" s="170">
        <v>44475</v>
      </c>
      <c r="M1678" s="116">
        <v>6163.95</v>
      </c>
      <c r="N1678" s="116">
        <v>6277</v>
      </c>
      <c r="O1678" s="116">
        <v>5850</v>
      </c>
      <c r="P1678" s="116">
        <v>5868</v>
      </c>
      <c r="Q1678" s="116">
        <v>6163.95</v>
      </c>
      <c r="R1678">
        <v>701813</v>
      </c>
    </row>
    <row r="1679" spans="1:18" x14ac:dyDescent="0.25">
      <c r="A1679" s="170">
        <v>44476</v>
      </c>
      <c r="B1679" s="116">
        <v>6389</v>
      </c>
      <c r="C1679" s="116">
        <v>6353.95</v>
      </c>
      <c r="D1679" s="116">
        <v>6216</v>
      </c>
      <c r="E1679" s="116">
        <v>6216</v>
      </c>
      <c r="F1679" s="116">
        <v>6353.95</v>
      </c>
      <c r="G1679">
        <v>21888</v>
      </c>
      <c r="H1679" s="116"/>
      <c r="I1679" s="116"/>
      <c r="L1679" s="170">
        <v>44476</v>
      </c>
      <c r="M1679" s="116">
        <v>6348.25</v>
      </c>
      <c r="N1679" s="116">
        <v>6387</v>
      </c>
      <c r="O1679" s="116">
        <v>6223</v>
      </c>
      <c r="P1679" s="116">
        <v>6223.5</v>
      </c>
      <c r="Q1679" s="116">
        <v>6348.25</v>
      </c>
      <c r="R1679">
        <v>229047</v>
      </c>
    </row>
    <row r="1680" spans="1:18" x14ac:dyDescent="0.25">
      <c r="A1680" s="170">
        <v>44477</v>
      </c>
      <c r="B1680" s="116">
        <v>6430</v>
      </c>
      <c r="C1680" s="116">
        <v>6231.35</v>
      </c>
      <c r="D1680" s="116">
        <v>6200</v>
      </c>
      <c r="E1680" s="116">
        <v>6430</v>
      </c>
      <c r="F1680" s="116">
        <v>6231.35</v>
      </c>
      <c r="G1680">
        <v>30386</v>
      </c>
      <c r="H1680" s="116"/>
      <c r="I1680" s="116"/>
      <c r="L1680" s="170">
        <v>44477</v>
      </c>
      <c r="M1680" s="116">
        <v>6231.7</v>
      </c>
      <c r="N1680" s="116">
        <v>6397</v>
      </c>
      <c r="O1680" s="116">
        <v>6200.15</v>
      </c>
      <c r="P1680" s="116">
        <v>6396</v>
      </c>
      <c r="Q1680" s="116">
        <v>6231.7</v>
      </c>
      <c r="R1680">
        <v>252479</v>
      </c>
    </row>
    <row r="1681" spans="1:18" x14ac:dyDescent="0.25">
      <c r="A1681" s="170">
        <v>44480</v>
      </c>
      <c r="B1681" s="116">
        <v>6339.25</v>
      </c>
      <c r="C1681" s="116">
        <v>6230.3</v>
      </c>
      <c r="D1681" s="116">
        <v>6115.5</v>
      </c>
      <c r="E1681" s="116">
        <v>6232</v>
      </c>
      <c r="F1681" s="116">
        <v>6230.3</v>
      </c>
      <c r="G1681">
        <v>15423</v>
      </c>
      <c r="H1681" s="116"/>
      <c r="I1681" s="116"/>
      <c r="L1681" s="170">
        <v>44480</v>
      </c>
      <c r="M1681" s="116">
        <v>6232.8</v>
      </c>
      <c r="N1681" s="116">
        <v>6340</v>
      </c>
      <c r="O1681" s="116">
        <v>6111.1</v>
      </c>
      <c r="P1681" s="116">
        <v>6287</v>
      </c>
      <c r="Q1681" s="116">
        <v>6232.8</v>
      </c>
      <c r="R1681">
        <v>184786</v>
      </c>
    </row>
    <row r="1682" spans="1:18" x14ac:dyDescent="0.25">
      <c r="A1682" s="170">
        <v>44481</v>
      </c>
      <c r="B1682" s="116">
        <v>6322.75</v>
      </c>
      <c r="C1682" s="116">
        <v>6073.1</v>
      </c>
      <c r="D1682" s="116">
        <v>6050</v>
      </c>
      <c r="E1682" s="116">
        <v>6300.5</v>
      </c>
      <c r="F1682" s="116">
        <v>6073.1</v>
      </c>
      <c r="G1682">
        <v>19779</v>
      </c>
      <c r="H1682" s="116"/>
      <c r="I1682" s="116"/>
      <c r="L1682" s="170">
        <v>44481</v>
      </c>
      <c r="M1682" s="116">
        <v>6073.65</v>
      </c>
      <c r="N1682" s="116">
        <v>6321</v>
      </c>
      <c r="O1682" s="116">
        <v>6050</v>
      </c>
      <c r="P1682" s="116">
        <v>6262</v>
      </c>
      <c r="Q1682" s="116">
        <v>6073.65</v>
      </c>
      <c r="R1682">
        <v>215661</v>
      </c>
    </row>
    <row r="1683" spans="1:18" x14ac:dyDescent="0.25">
      <c r="A1683" s="170">
        <v>44482</v>
      </c>
      <c r="B1683" s="116">
        <v>6296.15</v>
      </c>
      <c r="C1683" s="116">
        <v>6116.8</v>
      </c>
      <c r="D1683" s="116">
        <v>6091</v>
      </c>
      <c r="E1683" s="116">
        <v>6150</v>
      </c>
      <c r="F1683" s="116">
        <v>6116.8</v>
      </c>
      <c r="G1683">
        <v>17524</v>
      </c>
      <c r="H1683" s="116"/>
      <c r="I1683" s="116"/>
      <c r="L1683" s="170">
        <v>44482</v>
      </c>
      <c r="M1683" s="116">
        <v>6120.1</v>
      </c>
      <c r="N1683" s="116">
        <v>6294.85</v>
      </c>
      <c r="O1683" s="116">
        <v>6088.45</v>
      </c>
      <c r="P1683" s="116">
        <v>6130</v>
      </c>
      <c r="Q1683" s="116">
        <v>6120.1</v>
      </c>
      <c r="R1683">
        <v>289391</v>
      </c>
    </row>
    <row r="1684" spans="1:18" x14ac:dyDescent="0.25">
      <c r="A1684" s="170">
        <v>44483</v>
      </c>
      <c r="B1684" s="116">
        <v>6357.8</v>
      </c>
      <c r="C1684" s="116">
        <v>6255.45</v>
      </c>
      <c r="D1684" s="116">
        <v>6200.05</v>
      </c>
      <c r="E1684" s="116">
        <v>6290</v>
      </c>
      <c r="F1684" s="116">
        <v>6255.45</v>
      </c>
      <c r="G1684">
        <v>18718</v>
      </c>
      <c r="H1684" s="116"/>
      <c r="I1684" s="116"/>
      <c r="L1684" s="170">
        <v>44483</v>
      </c>
      <c r="M1684" s="116">
        <v>6259.95</v>
      </c>
      <c r="N1684" s="116">
        <v>6363</v>
      </c>
      <c r="O1684" s="116">
        <v>6200</v>
      </c>
      <c r="P1684" s="116">
        <v>6200</v>
      </c>
      <c r="Q1684" s="116">
        <v>6259.95</v>
      </c>
      <c r="R1684">
        <v>289468</v>
      </c>
    </row>
    <row r="1685" spans="1:18" x14ac:dyDescent="0.25">
      <c r="A1685" s="170">
        <v>44487</v>
      </c>
      <c r="B1685" s="116">
        <v>6348</v>
      </c>
      <c r="C1685" s="116">
        <v>6319.6</v>
      </c>
      <c r="D1685" s="116">
        <v>6242.3</v>
      </c>
      <c r="E1685" s="116">
        <v>6320</v>
      </c>
      <c r="F1685" s="116">
        <v>6319.6</v>
      </c>
      <c r="G1685">
        <v>16851</v>
      </c>
      <c r="H1685" s="116"/>
      <c r="I1685" s="116"/>
      <c r="L1685" s="170">
        <v>44487</v>
      </c>
      <c r="M1685" s="116">
        <v>6318.3</v>
      </c>
      <c r="N1685" s="116">
        <v>6346.1</v>
      </c>
      <c r="O1685" s="116">
        <v>6242.2</v>
      </c>
      <c r="P1685" s="116">
        <v>6315</v>
      </c>
      <c r="Q1685" s="116">
        <v>6318.3</v>
      </c>
      <c r="R1685">
        <v>216817</v>
      </c>
    </row>
    <row r="1686" spans="1:18" x14ac:dyDescent="0.25">
      <c r="A1686" s="170">
        <v>44488</v>
      </c>
      <c r="B1686" s="116">
        <v>6610</v>
      </c>
      <c r="C1686" s="116">
        <v>6283.2</v>
      </c>
      <c r="D1686" s="116">
        <v>6175</v>
      </c>
      <c r="E1686" s="116">
        <v>6400</v>
      </c>
      <c r="F1686" s="116">
        <v>6283.2</v>
      </c>
      <c r="G1686">
        <v>64721</v>
      </c>
      <c r="H1686" s="116"/>
      <c r="I1686" s="116"/>
      <c r="L1686" s="170">
        <v>44488</v>
      </c>
      <c r="M1686" s="116">
        <v>6289.35</v>
      </c>
      <c r="N1686" s="116">
        <v>6610</v>
      </c>
      <c r="O1686" s="116">
        <v>6179.75</v>
      </c>
      <c r="P1686" s="116">
        <v>6375.2</v>
      </c>
      <c r="Q1686" s="116">
        <v>6289.35</v>
      </c>
      <c r="R1686">
        <v>418233</v>
      </c>
    </row>
    <row r="1687" spans="1:18" x14ac:dyDescent="0.25">
      <c r="A1687" s="170">
        <v>44489</v>
      </c>
      <c r="B1687" s="116">
        <v>6391.2</v>
      </c>
      <c r="C1687" s="116">
        <v>6177.05</v>
      </c>
      <c r="D1687" s="116">
        <v>5974.3</v>
      </c>
      <c r="E1687" s="116">
        <v>6292</v>
      </c>
      <c r="F1687" s="116">
        <v>6177.05</v>
      </c>
      <c r="G1687">
        <v>26779</v>
      </c>
      <c r="H1687" s="116"/>
      <c r="I1687" s="116"/>
      <c r="L1687" s="170">
        <v>44489</v>
      </c>
      <c r="M1687" s="116">
        <v>6178.85</v>
      </c>
      <c r="N1687" s="116">
        <v>6387.9</v>
      </c>
      <c r="O1687" s="116">
        <v>5975</v>
      </c>
      <c r="P1687" s="116">
        <v>6318</v>
      </c>
      <c r="Q1687" s="116">
        <v>6178.85</v>
      </c>
      <c r="R1687">
        <v>226705</v>
      </c>
    </row>
    <row r="1688" spans="1:18" x14ac:dyDescent="0.25">
      <c r="A1688" s="170">
        <v>44490</v>
      </c>
      <c r="B1688" s="116">
        <v>6258</v>
      </c>
      <c r="C1688" s="116">
        <v>5929.3</v>
      </c>
      <c r="D1688" s="116">
        <v>5839.95</v>
      </c>
      <c r="E1688" s="116">
        <v>6227.75</v>
      </c>
      <c r="F1688" s="116">
        <v>5929.3</v>
      </c>
      <c r="G1688">
        <v>29931</v>
      </c>
      <c r="H1688" s="116"/>
      <c r="I1688" s="116"/>
      <c r="L1688" s="170">
        <v>44490</v>
      </c>
      <c r="M1688" s="116">
        <v>5911.1</v>
      </c>
      <c r="N1688" s="116">
        <v>6259.9</v>
      </c>
      <c r="O1688" s="116">
        <v>5843.55</v>
      </c>
      <c r="P1688" s="116">
        <v>6199.45</v>
      </c>
      <c r="Q1688" s="116">
        <v>5911.1</v>
      </c>
      <c r="R1688">
        <v>323837</v>
      </c>
    </row>
    <row r="1689" spans="1:18" x14ac:dyDescent="0.25">
      <c r="A1689" s="170">
        <v>44491</v>
      </c>
      <c r="B1689" s="116">
        <v>6135.3</v>
      </c>
      <c r="C1689" s="116">
        <v>6033.55</v>
      </c>
      <c r="D1689" s="116">
        <v>5693.15</v>
      </c>
      <c r="E1689" s="116">
        <v>5836.4</v>
      </c>
      <c r="F1689" s="116">
        <v>6033.55</v>
      </c>
      <c r="G1689">
        <v>52761</v>
      </c>
      <c r="H1689" s="116"/>
      <c r="I1689" s="116"/>
      <c r="L1689" s="170">
        <v>44491</v>
      </c>
      <c r="M1689" s="116">
        <v>6032.3</v>
      </c>
      <c r="N1689" s="116">
        <v>6135.9</v>
      </c>
      <c r="O1689" s="116">
        <v>5700</v>
      </c>
      <c r="P1689" s="116">
        <v>5940</v>
      </c>
      <c r="Q1689" s="116">
        <v>6032.3</v>
      </c>
      <c r="R1689">
        <v>274624</v>
      </c>
    </row>
    <row r="1690" spans="1:18" x14ac:dyDescent="0.25">
      <c r="A1690" s="170">
        <v>44494</v>
      </c>
      <c r="B1690" s="116">
        <v>6123.45</v>
      </c>
      <c r="C1690" s="116">
        <v>5800.35</v>
      </c>
      <c r="D1690" s="116">
        <v>5719.65</v>
      </c>
      <c r="E1690" s="116">
        <v>6065</v>
      </c>
      <c r="F1690" s="116">
        <v>5800.35</v>
      </c>
      <c r="G1690">
        <v>48363</v>
      </c>
      <c r="H1690" s="116"/>
      <c r="I1690" s="116"/>
      <c r="L1690" s="170">
        <v>44494</v>
      </c>
      <c r="M1690" s="116">
        <v>5809.2</v>
      </c>
      <c r="N1690" s="116">
        <v>6117.95</v>
      </c>
      <c r="O1690" s="116">
        <v>5721</v>
      </c>
      <c r="P1690" s="116">
        <v>6079.8</v>
      </c>
      <c r="Q1690" s="116">
        <v>5809.2</v>
      </c>
      <c r="R1690">
        <v>290234</v>
      </c>
    </row>
    <row r="1691" spans="1:18" x14ac:dyDescent="0.25">
      <c r="A1691" s="170">
        <v>44495</v>
      </c>
      <c r="B1691" s="116">
        <v>5999.95</v>
      </c>
      <c r="C1691" s="116">
        <v>5870.45</v>
      </c>
      <c r="D1691" s="116">
        <v>5800.05</v>
      </c>
      <c r="E1691" s="116">
        <v>5800.05</v>
      </c>
      <c r="F1691" s="116">
        <v>5870.45</v>
      </c>
      <c r="G1691">
        <v>9608</v>
      </c>
      <c r="H1691" s="116"/>
      <c r="I1691" s="116"/>
      <c r="L1691" s="170">
        <v>44495</v>
      </c>
      <c r="M1691" s="116">
        <v>5876.2</v>
      </c>
      <c r="N1691" s="116">
        <v>6000</v>
      </c>
      <c r="O1691" s="116">
        <v>5824</v>
      </c>
      <c r="P1691" s="116">
        <v>5825</v>
      </c>
      <c r="Q1691" s="116">
        <v>5876.2</v>
      </c>
      <c r="R1691">
        <v>161740</v>
      </c>
    </row>
    <row r="1692" spans="1:18" x14ac:dyDescent="0.25">
      <c r="A1692" s="170">
        <v>44496</v>
      </c>
      <c r="B1692" s="116">
        <v>5915</v>
      </c>
      <c r="C1692" s="116">
        <v>5876.45</v>
      </c>
      <c r="D1692" s="116">
        <v>5800</v>
      </c>
      <c r="E1692" s="116">
        <v>5915</v>
      </c>
      <c r="F1692" s="116">
        <v>5876.45</v>
      </c>
      <c r="G1692">
        <v>16994</v>
      </c>
      <c r="H1692" s="116"/>
      <c r="I1692" s="116"/>
      <c r="L1692" s="170">
        <v>44496</v>
      </c>
      <c r="M1692" s="116">
        <v>5867.15</v>
      </c>
      <c r="N1692" s="116">
        <v>5940</v>
      </c>
      <c r="O1692" s="116">
        <v>5800</v>
      </c>
      <c r="P1692" s="116">
        <v>5903</v>
      </c>
      <c r="Q1692" s="116">
        <v>5867.15</v>
      </c>
      <c r="R1692">
        <v>149191</v>
      </c>
    </row>
    <row r="1693" spans="1:18" x14ac:dyDescent="0.25">
      <c r="A1693" s="170">
        <v>44497</v>
      </c>
      <c r="B1693" s="116">
        <v>6065</v>
      </c>
      <c r="C1693" s="116">
        <v>5891.85</v>
      </c>
      <c r="D1693" s="116">
        <v>5830</v>
      </c>
      <c r="E1693" s="116">
        <v>5830</v>
      </c>
      <c r="F1693" s="116">
        <v>5891.85</v>
      </c>
      <c r="G1693">
        <v>21176</v>
      </c>
      <c r="H1693" s="116"/>
      <c r="I1693" s="116"/>
      <c r="L1693" s="170">
        <v>44497</v>
      </c>
      <c r="M1693" s="116">
        <v>5897.5</v>
      </c>
      <c r="N1693" s="116">
        <v>6067.05</v>
      </c>
      <c r="O1693" s="116">
        <v>5875.05</v>
      </c>
      <c r="P1693" s="116">
        <v>5889.7</v>
      </c>
      <c r="Q1693" s="116">
        <v>5897.5</v>
      </c>
      <c r="R1693">
        <v>170187</v>
      </c>
    </row>
    <row r="1694" spans="1:18" x14ac:dyDescent="0.25">
      <c r="A1694" s="170">
        <v>44498</v>
      </c>
      <c r="B1694" s="116">
        <v>5934.7</v>
      </c>
      <c r="C1694" s="116">
        <v>5871</v>
      </c>
      <c r="D1694" s="116">
        <v>5700.05</v>
      </c>
      <c r="E1694" s="116">
        <v>5829</v>
      </c>
      <c r="F1694" s="116">
        <v>5871</v>
      </c>
      <c r="G1694">
        <v>9357</v>
      </c>
      <c r="H1694" s="116"/>
      <c r="I1694" s="116"/>
      <c r="L1694" s="170">
        <v>44498</v>
      </c>
      <c r="M1694" s="116">
        <v>5872.3</v>
      </c>
      <c r="N1694" s="116">
        <v>5940</v>
      </c>
      <c r="O1694" s="116">
        <v>5700</v>
      </c>
      <c r="P1694" s="116">
        <v>5860</v>
      </c>
      <c r="Q1694" s="116">
        <v>5872.3</v>
      </c>
      <c r="R1694">
        <v>131235</v>
      </c>
    </row>
    <row r="1695" spans="1:18" x14ac:dyDescent="0.25">
      <c r="A1695" s="170">
        <v>44501</v>
      </c>
      <c r="B1695" s="116">
        <v>5999.35</v>
      </c>
      <c r="C1695" s="116">
        <v>5970.7</v>
      </c>
      <c r="D1695" s="116">
        <v>5840.9</v>
      </c>
      <c r="E1695" s="116">
        <v>5940</v>
      </c>
      <c r="F1695" s="116">
        <v>5970.7</v>
      </c>
      <c r="G1695">
        <v>7779</v>
      </c>
      <c r="H1695" s="116"/>
      <c r="I1695" s="116"/>
      <c r="L1695" s="170">
        <v>44501</v>
      </c>
      <c r="M1695" s="116">
        <v>5974.2</v>
      </c>
      <c r="N1695" s="116">
        <v>5999.65</v>
      </c>
      <c r="O1695" s="116">
        <v>5833.6</v>
      </c>
      <c r="P1695" s="116">
        <v>5900</v>
      </c>
      <c r="Q1695" s="116">
        <v>5974.2</v>
      </c>
      <c r="R1695">
        <v>99402</v>
      </c>
    </row>
    <row r="1696" spans="1:18" x14ac:dyDescent="0.25">
      <c r="A1696" s="170">
        <v>44502</v>
      </c>
      <c r="B1696" s="116">
        <v>6165.55</v>
      </c>
      <c r="C1696" s="116">
        <v>6082.9</v>
      </c>
      <c r="D1696" s="116">
        <v>5998.95</v>
      </c>
      <c r="E1696" s="116">
        <v>6000</v>
      </c>
      <c r="F1696" s="116">
        <v>6082.9</v>
      </c>
      <c r="G1696">
        <v>12664</v>
      </c>
      <c r="H1696" s="116"/>
      <c r="I1696" s="116"/>
      <c r="L1696" s="170">
        <v>44502</v>
      </c>
      <c r="M1696" s="116">
        <v>6079.65</v>
      </c>
      <c r="N1696" s="116">
        <v>6165</v>
      </c>
      <c r="O1696" s="116">
        <v>6000</v>
      </c>
      <c r="P1696" s="116">
        <v>6000</v>
      </c>
      <c r="Q1696" s="116">
        <v>6079.65</v>
      </c>
      <c r="R1696">
        <v>149524</v>
      </c>
    </row>
    <row r="1697" spans="1:18" x14ac:dyDescent="0.25">
      <c r="A1697" s="170">
        <v>44503</v>
      </c>
      <c r="B1697" s="116">
        <v>6200</v>
      </c>
      <c r="C1697" s="116">
        <v>6187.45</v>
      </c>
      <c r="D1697" s="116">
        <v>6078.4</v>
      </c>
      <c r="E1697" s="116">
        <v>6100</v>
      </c>
      <c r="F1697" s="116">
        <v>6187.45</v>
      </c>
      <c r="G1697">
        <v>20426</v>
      </c>
      <c r="H1697" s="116"/>
      <c r="I1697" s="116"/>
      <c r="L1697" s="170">
        <v>44503</v>
      </c>
      <c r="M1697" s="116">
        <v>6190.1</v>
      </c>
      <c r="N1697" s="116">
        <v>6205</v>
      </c>
      <c r="O1697" s="116">
        <v>6086</v>
      </c>
      <c r="P1697" s="116">
        <v>6119</v>
      </c>
      <c r="Q1697" s="116">
        <v>6190.1</v>
      </c>
      <c r="R1697">
        <v>139692</v>
      </c>
    </row>
    <row r="1698" spans="1:18" x14ac:dyDescent="0.25">
      <c r="A1698" s="170">
        <v>44504</v>
      </c>
      <c r="B1698" s="116">
        <v>6245.75</v>
      </c>
      <c r="C1698" s="116">
        <v>6222.4</v>
      </c>
      <c r="D1698" s="116">
        <v>6200</v>
      </c>
      <c r="E1698" s="116">
        <v>6200</v>
      </c>
      <c r="F1698" s="116">
        <v>6222.4</v>
      </c>
      <c r="G1698">
        <v>3626</v>
      </c>
      <c r="H1698" s="116"/>
      <c r="I1698" s="116"/>
      <c r="L1698" s="170">
        <v>44504</v>
      </c>
      <c r="M1698" s="116">
        <v>6220.1</v>
      </c>
      <c r="N1698" s="116">
        <v>6245</v>
      </c>
      <c r="O1698" s="116">
        <v>6205.45</v>
      </c>
      <c r="P1698" s="116">
        <v>6221.1</v>
      </c>
      <c r="Q1698" s="116">
        <v>6220.1</v>
      </c>
      <c r="R1698">
        <v>40009</v>
      </c>
    </row>
    <row r="1699" spans="1:18" x14ac:dyDescent="0.25">
      <c r="A1699" s="170">
        <v>44508</v>
      </c>
      <c r="B1699" s="116">
        <v>6258.2</v>
      </c>
      <c r="C1699" s="116">
        <v>6182.9</v>
      </c>
      <c r="D1699" s="116">
        <v>6106.2</v>
      </c>
      <c r="E1699" s="116">
        <v>6222.4</v>
      </c>
      <c r="F1699" s="116">
        <v>6182.9</v>
      </c>
      <c r="G1699">
        <v>12630</v>
      </c>
      <c r="H1699" s="116"/>
      <c r="I1699" s="116"/>
      <c r="L1699" s="170">
        <v>44508</v>
      </c>
      <c r="M1699" s="116">
        <v>6184.55</v>
      </c>
      <c r="N1699" s="116">
        <v>6258.95</v>
      </c>
      <c r="O1699" s="116">
        <v>6110.35</v>
      </c>
      <c r="P1699" s="116">
        <v>6248.7</v>
      </c>
      <c r="Q1699" s="116">
        <v>6184.55</v>
      </c>
      <c r="R1699">
        <v>88925</v>
      </c>
    </row>
    <row r="1700" spans="1:18" x14ac:dyDescent="0.25">
      <c r="A1700" s="170">
        <v>44509</v>
      </c>
      <c r="B1700" s="116">
        <v>6285</v>
      </c>
      <c r="C1700" s="116">
        <v>6262.35</v>
      </c>
      <c r="D1700" s="116">
        <v>6187.25</v>
      </c>
      <c r="E1700" s="116">
        <v>6200</v>
      </c>
      <c r="F1700" s="116">
        <v>6262.35</v>
      </c>
      <c r="G1700">
        <v>10289</v>
      </c>
      <c r="H1700" s="116"/>
      <c r="I1700" s="116"/>
      <c r="L1700" s="170">
        <v>44509</v>
      </c>
      <c r="M1700" s="116">
        <v>6270</v>
      </c>
      <c r="N1700" s="116">
        <v>6285.4</v>
      </c>
      <c r="O1700" s="116">
        <v>6184.55</v>
      </c>
      <c r="P1700" s="116">
        <v>6184.55</v>
      </c>
      <c r="Q1700" s="116">
        <v>6270</v>
      </c>
      <c r="R1700">
        <v>179117</v>
      </c>
    </row>
    <row r="1701" spans="1:18" x14ac:dyDescent="0.25">
      <c r="A1701" s="170">
        <v>44510</v>
      </c>
      <c r="B1701" s="116">
        <v>6459.55</v>
      </c>
      <c r="C1701" s="116">
        <v>6406.7</v>
      </c>
      <c r="D1701" s="116">
        <v>6279.95</v>
      </c>
      <c r="E1701" s="116">
        <v>6304</v>
      </c>
      <c r="F1701" s="116">
        <v>6406.7</v>
      </c>
      <c r="G1701">
        <v>19381</v>
      </c>
      <c r="H1701" s="116"/>
      <c r="I1701" s="116"/>
      <c r="L1701" s="170">
        <v>44510</v>
      </c>
      <c r="M1701" s="116">
        <v>6410.15</v>
      </c>
      <c r="N1701" s="116">
        <v>6455</v>
      </c>
      <c r="O1701" s="116">
        <v>6270</v>
      </c>
      <c r="P1701" s="116">
        <v>6270</v>
      </c>
      <c r="Q1701" s="116">
        <v>6410.15</v>
      </c>
      <c r="R1701">
        <v>205740</v>
      </c>
    </row>
    <row r="1702" spans="1:18" x14ac:dyDescent="0.25">
      <c r="A1702" s="170">
        <v>44511</v>
      </c>
      <c r="B1702" s="116">
        <v>6636.6</v>
      </c>
      <c r="C1702" s="116">
        <v>6590.65</v>
      </c>
      <c r="D1702" s="116">
        <v>6410</v>
      </c>
      <c r="E1702" s="116">
        <v>6428</v>
      </c>
      <c r="F1702" s="116">
        <v>6590.65</v>
      </c>
      <c r="G1702">
        <v>20128</v>
      </c>
      <c r="H1702" s="116"/>
      <c r="I1702" s="116"/>
      <c r="L1702" s="170">
        <v>44511</v>
      </c>
      <c r="M1702" s="116">
        <v>6591.8</v>
      </c>
      <c r="N1702" s="116">
        <v>6638.9</v>
      </c>
      <c r="O1702" s="116">
        <v>6403.95</v>
      </c>
      <c r="P1702" s="116">
        <v>6433.7</v>
      </c>
      <c r="Q1702" s="116">
        <v>6591.8</v>
      </c>
      <c r="R1702">
        <v>285766</v>
      </c>
    </row>
    <row r="1703" spans="1:18" x14ac:dyDescent="0.25">
      <c r="A1703" s="170">
        <v>44512</v>
      </c>
      <c r="B1703" s="116">
        <v>6685.05</v>
      </c>
      <c r="C1703" s="116">
        <v>6552.3</v>
      </c>
      <c r="D1703" s="116">
        <v>6462.55</v>
      </c>
      <c r="E1703" s="116">
        <v>6655</v>
      </c>
      <c r="F1703" s="116">
        <v>6552.3</v>
      </c>
      <c r="G1703">
        <v>18719</v>
      </c>
      <c r="H1703" s="116"/>
      <c r="I1703" s="116"/>
      <c r="L1703" s="170">
        <v>44512</v>
      </c>
      <c r="M1703" s="116">
        <v>6552.75</v>
      </c>
      <c r="N1703" s="116">
        <v>6689</v>
      </c>
      <c r="O1703" s="116">
        <v>6462</v>
      </c>
      <c r="P1703" s="116">
        <v>6651.15</v>
      </c>
      <c r="Q1703" s="116">
        <v>6552.75</v>
      </c>
      <c r="R1703">
        <v>164665</v>
      </c>
    </row>
    <row r="1704" spans="1:18" x14ac:dyDescent="0.25">
      <c r="A1704" s="170">
        <v>44515</v>
      </c>
      <c r="B1704" s="116">
        <v>6780</v>
      </c>
      <c r="C1704" s="116">
        <v>6616.6</v>
      </c>
      <c r="D1704" s="116">
        <v>6500</v>
      </c>
      <c r="E1704" s="116">
        <v>6780</v>
      </c>
      <c r="F1704" s="116">
        <v>6616.6</v>
      </c>
      <c r="G1704">
        <v>11195</v>
      </c>
      <c r="H1704" s="116"/>
      <c r="I1704" s="116"/>
      <c r="L1704" s="170">
        <v>44515</v>
      </c>
      <c r="M1704" s="116">
        <v>6619.3</v>
      </c>
      <c r="N1704" s="116">
        <v>6650</v>
      </c>
      <c r="O1704" s="116">
        <v>6501</v>
      </c>
      <c r="P1704" s="116">
        <v>6598</v>
      </c>
      <c r="Q1704" s="116">
        <v>6619.3</v>
      </c>
      <c r="R1704">
        <v>123582</v>
      </c>
    </row>
    <row r="1705" spans="1:18" x14ac:dyDescent="0.25">
      <c r="A1705" s="170">
        <v>44516</v>
      </c>
      <c r="B1705" s="116">
        <v>6728</v>
      </c>
      <c r="C1705" s="116">
        <v>6594.75</v>
      </c>
      <c r="D1705" s="116">
        <v>6582.1</v>
      </c>
      <c r="E1705" s="116">
        <v>6630</v>
      </c>
      <c r="F1705" s="116">
        <v>6594.75</v>
      </c>
      <c r="G1705">
        <v>11069</v>
      </c>
      <c r="H1705" s="116"/>
      <c r="I1705" s="116"/>
      <c r="L1705" s="170">
        <v>44516</v>
      </c>
      <c r="M1705" s="116">
        <v>6599.35</v>
      </c>
      <c r="N1705" s="116">
        <v>6725.45</v>
      </c>
      <c r="O1705" s="116">
        <v>6580.3</v>
      </c>
      <c r="P1705" s="116">
        <v>6648.7</v>
      </c>
      <c r="Q1705" s="116">
        <v>6599.35</v>
      </c>
      <c r="R1705">
        <v>126118</v>
      </c>
    </row>
    <row r="1706" spans="1:18" x14ac:dyDescent="0.25">
      <c r="A1706" s="170">
        <v>44517</v>
      </c>
      <c r="B1706" s="116">
        <v>6729.95</v>
      </c>
      <c r="C1706" s="116">
        <v>6591.9</v>
      </c>
      <c r="D1706" s="116">
        <v>6559</v>
      </c>
      <c r="E1706" s="116">
        <v>6624</v>
      </c>
      <c r="F1706" s="116">
        <v>6591.9</v>
      </c>
      <c r="G1706">
        <v>11260</v>
      </c>
      <c r="H1706" s="116"/>
      <c r="I1706" s="116"/>
      <c r="L1706" s="170">
        <v>44517</v>
      </c>
      <c r="M1706" s="116">
        <v>6595.1</v>
      </c>
      <c r="N1706" s="116">
        <v>6730</v>
      </c>
      <c r="O1706" s="116">
        <v>6550</v>
      </c>
      <c r="P1706" s="116">
        <v>6625</v>
      </c>
      <c r="Q1706" s="116">
        <v>6595.1</v>
      </c>
      <c r="R1706">
        <v>134439</v>
      </c>
    </row>
    <row r="1707" spans="1:18" x14ac:dyDescent="0.25">
      <c r="A1707" s="170">
        <v>44518</v>
      </c>
      <c r="B1707" s="116">
        <v>6658.95</v>
      </c>
      <c r="C1707" s="116">
        <v>6390.25</v>
      </c>
      <c r="D1707" s="116">
        <v>6343.75</v>
      </c>
      <c r="E1707" s="116">
        <v>6620</v>
      </c>
      <c r="F1707" s="116">
        <v>6390.25</v>
      </c>
      <c r="G1707">
        <v>13141</v>
      </c>
      <c r="H1707" s="116"/>
      <c r="I1707" s="116"/>
      <c r="L1707" s="170">
        <v>44518</v>
      </c>
      <c r="M1707" s="116">
        <v>6390.75</v>
      </c>
      <c r="N1707" s="116">
        <v>6660.3</v>
      </c>
      <c r="O1707" s="116">
        <v>6336</v>
      </c>
      <c r="P1707" s="116">
        <v>6623.85</v>
      </c>
      <c r="Q1707" s="116">
        <v>6390.75</v>
      </c>
      <c r="R1707">
        <v>173718</v>
      </c>
    </row>
    <row r="1708" spans="1:18" x14ac:dyDescent="0.25">
      <c r="A1708" s="170">
        <v>44522</v>
      </c>
      <c r="B1708" s="116">
        <v>6580</v>
      </c>
      <c r="C1708" s="116">
        <v>6026.25</v>
      </c>
      <c r="D1708" s="116">
        <v>6001</v>
      </c>
      <c r="E1708" s="116">
        <v>6580</v>
      </c>
      <c r="F1708" s="116">
        <v>6026.25</v>
      </c>
      <c r="G1708">
        <v>16629</v>
      </c>
      <c r="H1708" s="116"/>
      <c r="I1708" s="116"/>
      <c r="L1708" s="170">
        <v>44522</v>
      </c>
      <c r="M1708" s="116">
        <v>6029.8</v>
      </c>
      <c r="N1708" s="116">
        <v>6413.7</v>
      </c>
      <c r="O1708" s="116">
        <v>6000</v>
      </c>
      <c r="P1708" s="116">
        <v>6391.4</v>
      </c>
      <c r="Q1708" s="116">
        <v>6029.8</v>
      </c>
      <c r="R1708">
        <v>257465</v>
      </c>
    </row>
    <row r="1709" spans="1:18" x14ac:dyDescent="0.25">
      <c r="A1709" s="170">
        <v>44523</v>
      </c>
      <c r="B1709" s="116">
        <v>6146.85</v>
      </c>
      <c r="C1709" s="116">
        <v>6035.8</v>
      </c>
      <c r="D1709" s="116">
        <v>5754.8</v>
      </c>
      <c r="E1709" s="116">
        <v>6032</v>
      </c>
      <c r="F1709" s="116">
        <v>6035.8</v>
      </c>
      <c r="G1709">
        <v>10728</v>
      </c>
      <c r="H1709" s="116"/>
      <c r="I1709" s="116"/>
      <c r="L1709" s="170">
        <v>44523</v>
      </c>
      <c r="M1709" s="116">
        <v>6038.45</v>
      </c>
      <c r="N1709" s="116">
        <v>6145</v>
      </c>
      <c r="O1709" s="116">
        <v>5750</v>
      </c>
      <c r="P1709" s="116">
        <v>6017</v>
      </c>
      <c r="Q1709" s="116">
        <v>6038.45</v>
      </c>
      <c r="R1709">
        <v>208513</v>
      </c>
    </row>
    <row r="1710" spans="1:18" x14ac:dyDescent="0.25">
      <c r="A1710" s="170">
        <v>44524</v>
      </c>
      <c r="B1710" s="116">
        <v>6244.7</v>
      </c>
      <c r="C1710" s="116">
        <v>6006.95</v>
      </c>
      <c r="D1710" s="116">
        <v>5992.55</v>
      </c>
      <c r="E1710" s="116">
        <v>6200</v>
      </c>
      <c r="F1710" s="116">
        <v>6006.95</v>
      </c>
      <c r="G1710">
        <v>6777</v>
      </c>
      <c r="H1710" s="116"/>
      <c r="I1710" s="116"/>
      <c r="L1710" s="170">
        <v>44524</v>
      </c>
      <c r="M1710" s="116">
        <v>6012.25</v>
      </c>
      <c r="N1710" s="116">
        <v>6244</v>
      </c>
      <c r="O1710" s="116">
        <v>5990</v>
      </c>
      <c r="P1710" s="116">
        <v>6053</v>
      </c>
      <c r="Q1710" s="116">
        <v>6012.25</v>
      </c>
      <c r="R1710">
        <v>157944</v>
      </c>
    </row>
    <row r="1711" spans="1:18" x14ac:dyDescent="0.25">
      <c r="A1711" s="170">
        <v>44525</v>
      </c>
      <c r="B1711" s="116">
        <v>6106</v>
      </c>
      <c r="C1711" s="116">
        <v>5949.75</v>
      </c>
      <c r="D1711" s="116">
        <v>5906</v>
      </c>
      <c r="E1711" s="116">
        <v>6106</v>
      </c>
      <c r="F1711" s="116">
        <v>5949.75</v>
      </c>
      <c r="G1711">
        <v>6543</v>
      </c>
      <c r="H1711" s="116"/>
      <c r="I1711" s="116"/>
      <c r="L1711" s="170">
        <v>44525</v>
      </c>
      <c r="M1711" s="116">
        <v>5951.1</v>
      </c>
      <c r="N1711" s="116">
        <v>6043.7</v>
      </c>
      <c r="O1711" s="116">
        <v>5901</v>
      </c>
      <c r="P1711" s="116">
        <v>6020</v>
      </c>
      <c r="Q1711" s="116">
        <v>5951.1</v>
      </c>
      <c r="R1711">
        <v>121653</v>
      </c>
    </row>
    <row r="1712" spans="1:18" x14ac:dyDescent="0.25">
      <c r="A1712" s="170">
        <v>44526</v>
      </c>
      <c r="B1712" s="116">
        <v>5948</v>
      </c>
      <c r="C1712" s="116">
        <v>5833.15</v>
      </c>
      <c r="D1712" s="116">
        <v>5777.65</v>
      </c>
      <c r="E1712" s="116">
        <v>5948</v>
      </c>
      <c r="F1712" s="116">
        <v>5833.15</v>
      </c>
      <c r="G1712">
        <v>11864</v>
      </c>
      <c r="H1712" s="116"/>
      <c r="I1712" s="116"/>
      <c r="L1712" s="170">
        <v>44526</v>
      </c>
      <c r="M1712" s="116">
        <v>5838.2</v>
      </c>
      <c r="N1712" s="116">
        <v>5920</v>
      </c>
      <c r="O1712" s="116">
        <v>5775</v>
      </c>
      <c r="P1712" s="116">
        <v>5920</v>
      </c>
      <c r="Q1712" s="116">
        <v>5838.2</v>
      </c>
      <c r="R1712">
        <v>145873</v>
      </c>
    </row>
    <row r="1713" spans="1:18" x14ac:dyDescent="0.25">
      <c r="A1713" s="170">
        <v>44529</v>
      </c>
      <c r="B1713" s="116">
        <v>5760</v>
      </c>
      <c r="C1713" s="116">
        <v>5676.9</v>
      </c>
      <c r="D1713" s="116">
        <v>5264.75</v>
      </c>
      <c r="E1713" s="116">
        <v>5760</v>
      </c>
      <c r="F1713" s="116">
        <v>5676.9</v>
      </c>
      <c r="G1713">
        <v>29378</v>
      </c>
      <c r="H1713" s="116"/>
      <c r="I1713" s="116"/>
      <c r="L1713" s="170">
        <v>44529</v>
      </c>
      <c r="M1713" s="116">
        <v>5679.35</v>
      </c>
      <c r="N1713" s="116">
        <v>5755</v>
      </c>
      <c r="O1713" s="116">
        <v>5263.4</v>
      </c>
      <c r="P1713" s="116">
        <v>5600</v>
      </c>
      <c r="Q1713" s="116">
        <v>5679.35</v>
      </c>
      <c r="R1713">
        <v>515607</v>
      </c>
    </row>
    <row r="1714" spans="1:18" x14ac:dyDescent="0.25">
      <c r="A1714" s="170">
        <v>44530</v>
      </c>
      <c r="B1714" s="116">
        <v>5950.6</v>
      </c>
      <c r="C1714" s="116">
        <v>5790.85</v>
      </c>
      <c r="D1714" s="116">
        <v>5685.75</v>
      </c>
      <c r="E1714" s="116">
        <v>5800</v>
      </c>
      <c r="F1714" s="116">
        <v>5790.85</v>
      </c>
      <c r="G1714">
        <v>19736</v>
      </c>
      <c r="H1714" s="116"/>
      <c r="I1714" s="116"/>
      <c r="L1714" s="170">
        <v>44530</v>
      </c>
      <c r="M1714" s="116">
        <v>5781.65</v>
      </c>
      <c r="N1714" s="116">
        <v>5948</v>
      </c>
      <c r="O1714" s="116">
        <v>5685.8</v>
      </c>
      <c r="P1714" s="116">
        <v>5700</v>
      </c>
      <c r="Q1714" s="116">
        <v>5781.65</v>
      </c>
      <c r="R1714">
        <v>248780</v>
      </c>
    </row>
    <row r="1715" spans="1:18" x14ac:dyDescent="0.25">
      <c r="A1715" s="170">
        <v>44531</v>
      </c>
      <c r="B1715" s="116">
        <v>5898</v>
      </c>
      <c r="C1715" s="116">
        <v>5883.25</v>
      </c>
      <c r="D1715" s="116">
        <v>5750.2</v>
      </c>
      <c r="E1715" s="116">
        <v>5790</v>
      </c>
      <c r="F1715" s="116">
        <v>5883.25</v>
      </c>
      <c r="G1715">
        <v>14804</v>
      </c>
      <c r="H1715" s="116"/>
      <c r="I1715" s="116"/>
      <c r="L1715" s="170">
        <v>44531</v>
      </c>
      <c r="M1715" s="116">
        <v>5883.45</v>
      </c>
      <c r="N1715" s="116">
        <v>5900</v>
      </c>
      <c r="O1715" s="116">
        <v>5750</v>
      </c>
      <c r="P1715" s="116">
        <v>5781.65</v>
      </c>
      <c r="Q1715" s="116">
        <v>5883.45</v>
      </c>
      <c r="R1715">
        <v>91400</v>
      </c>
    </row>
    <row r="1716" spans="1:18" x14ac:dyDescent="0.25">
      <c r="A1716" s="170">
        <v>44532</v>
      </c>
      <c r="B1716" s="116">
        <v>5999.8</v>
      </c>
      <c r="C1716" s="116">
        <v>5982.3</v>
      </c>
      <c r="D1716" s="116">
        <v>5850</v>
      </c>
      <c r="E1716" s="116">
        <v>5884</v>
      </c>
      <c r="F1716" s="116">
        <v>5982.3</v>
      </c>
      <c r="G1716">
        <v>5573</v>
      </c>
      <c r="H1716" s="116"/>
      <c r="I1716" s="116"/>
      <c r="L1716" s="170">
        <v>44532</v>
      </c>
      <c r="M1716" s="116">
        <v>5979.75</v>
      </c>
      <c r="N1716" s="116">
        <v>5999</v>
      </c>
      <c r="O1716" s="116">
        <v>5850</v>
      </c>
      <c r="P1716" s="116">
        <v>5913</v>
      </c>
      <c r="Q1716" s="116">
        <v>5979.75</v>
      </c>
      <c r="R1716">
        <v>110093</v>
      </c>
    </row>
    <row r="1717" spans="1:18" x14ac:dyDescent="0.25">
      <c r="A1717" s="170">
        <v>44533</v>
      </c>
      <c r="B1717" s="116">
        <v>5982.3</v>
      </c>
      <c r="C1717" s="116">
        <v>5897.05</v>
      </c>
      <c r="D1717" s="116">
        <v>5840</v>
      </c>
      <c r="E1717" s="116">
        <v>5910</v>
      </c>
      <c r="F1717" s="116">
        <v>5897.05</v>
      </c>
      <c r="G1717">
        <v>17287</v>
      </c>
      <c r="H1717" s="116"/>
      <c r="I1717" s="116"/>
      <c r="L1717" s="170">
        <v>44533</v>
      </c>
      <c r="M1717" s="116">
        <v>5897.25</v>
      </c>
      <c r="N1717" s="116">
        <v>5985.8</v>
      </c>
      <c r="O1717" s="116">
        <v>5843</v>
      </c>
      <c r="P1717" s="116">
        <v>5952</v>
      </c>
      <c r="Q1717" s="116">
        <v>5897.25</v>
      </c>
      <c r="R1717">
        <v>140689</v>
      </c>
    </row>
    <row r="1718" spans="1:18" x14ac:dyDescent="0.25">
      <c r="A1718" s="170">
        <v>44536</v>
      </c>
      <c r="B1718" s="116">
        <v>5866.5</v>
      </c>
      <c r="C1718" s="116">
        <v>5703.05</v>
      </c>
      <c r="D1718" s="116">
        <v>5696.55</v>
      </c>
      <c r="E1718" s="116">
        <v>5822</v>
      </c>
      <c r="F1718" s="116">
        <v>5703.05</v>
      </c>
      <c r="G1718">
        <v>7541</v>
      </c>
      <c r="H1718" s="116"/>
      <c r="I1718" s="116"/>
      <c r="L1718" s="170">
        <v>44536</v>
      </c>
      <c r="M1718" s="116">
        <v>5701.85</v>
      </c>
      <c r="N1718" s="116">
        <v>5870.3</v>
      </c>
      <c r="O1718" s="116">
        <v>5691.3</v>
      </c>
      <c r="P1718" s="116">
        <v>5843</v>
      </c>
      <c r="Q1718" s="116">
        <v>5701.85</v>
      </c>
      <c r="R1718">
        <v>140411</v>
      </c>
    </row>
    <row r="1719" spans="1:18" x14ac:dyDescent="0.25">
      <c r="A1719" s="170">
        <v>44537</v>
      </c>
      <c r="B1719" s="116">
        <v>5951.4</v>
      </c>
      <c r="C1719" s="116">
        <v>5906.2</v>
      </c>
      <c r="D1719" s="116">
        <v>5618</v>
      </c>
      <c r="E1719" s="116">
        <v>5750</v>
      </c>
      <c r="F1719" s="116">
        <v>5906.2</v>
      </c>
      <c r="G1719">
        <v>25430</v>
      </c>
      <c r="H1719" s="116"/>
      <c r="I1719" s="116"/>
      <c r="L1719" s="170">
        <v>44537</v>
      </c>
      <c r="M1719" s="116">
        <v>5898.15</v>
      </c>
      <c r="N1719" s="116">
        <v>5960</v>
      </c>
      <c r="O1719" s="116">
        <v>5613.95</v>
      </c>
      <c r="P1719" s="116">
        <v>5750</v>
      </c>
      <c r="Q1719" s="116">
        <v>5898.15</v>
      </c>
      <c r="R1719">
        <v>260215</v>
      </c>
    </row>
    <row r="1720" spans="1:18" x14ac:dyDescent="0.25">
      <c r="A1720" s="170">
        <v>44538</v>
      </c>
      <c r="B1720" s="116">
        <v>6023.55</v>
      </c>
      <c r="C1720" s="116">
        <v>5889.7</v>
      </c>
      <c r="D1720" s="116">
        <v>5875</v>
      </c>
      <c r="E1720" s="116">
        <v>5994</v>
      </c>
      <c r="F1720" s="116">
        <v>5889.7</v>
      </c>
      <c r="G1720">
        <v>17859</v>
      </c>
      <c r="H1720" s="116"/>
      <c r="I1720" s="116"/>
      <c r="L1720" s="170">
        <v>44538</v>
      </c>
      <c r="M1720" s="116">
        <v>5889.9</v>
      </c>
      <c r="N1720" s="116">
        <v>6030.65</v>
      </c>
      <c r="O1720" s="116">
        <v>5870.7</v>
      </c>
      <c r="P1720" s="116">
        <v>5998</v>
      </c>
      <c r="Q1720" s="116">
        <v>5889.9</v>
      </c>
      <c r="R1720">
        <v>124308</v>
      </c>
    </row>
    <row r="1721" spans="1:18" x14ac:dyDescent="0.25">
      <c r="A1721" s="170">
        <v>44539</v>
      </c>
      <c r="B1721" s="116">
        <v>6054</v>
      </c>
      <c r="C1721" s="116">
        <v>5939.45</v>
      </c>
      <c r="D1721" s="116">
        <v>5880.1</v>
      </c>
      <c r="E1721" s="116">
        <v>5915</v>
      </c>
      <c r="F1721" s="116">
        <v>5939.45</v>
      </c>
      <c r="G1721">
        <v>9138</v>
      </c>
      <c r="H1721" s="116"/>
      <c r="I1721" s="116"/>
      <c r="L1721" s="170">
        <v>44539</v>
      </c>
      <c r="M1721" s="116">
        <v>5943.4</v>
      </c>
      <c r="N1721" s="116">
        <v>6059</v>
      </c>
      <c r="O1721" s="116">
        <v>5882.05</v>
      </c>
      <c r="P1721" s="116">
        <v>5948</v>
      </c>
      <c r="Q1721" s="116">
        <v>5943.4</v>
      </c>
      <c r="R1721">
        <v>198455</v>
      </c>
    </row>
    <row r="1722" spans="1:18" x14ac:dyDescent="0.25">
      <c r="A1722" s="170">
        <v>44540</v>
      </c>
      <c r="B1722" s="116">
        <v>6047.95</v>
      </c>
      <c r="C1722" s="116">
        <v>5993.7</v>
      </c>
      <c r="D1722" s="116">
        <v>5880</v>
      </c>
      <c r="E1722" s="116">
        <v>5950</v>
      </c>
      <c r="F1722" s="116">
        <v>5993.7</v>
      </c>
      <c r="G1722">
        <v>7254</v>
      </c>
      <c r="H1722" s="116"/>
      <c r="I1722" s="116"/>
      <c r="L1722" s="170">
        <v>44540</v>
      </c>
      <c r="M1722" s="116">
        <v>5993.75</v>
      </c>
      <c r="N1722" s="116">
        <v>6050</v>
      </c>
      <c r="O1722" s="116">
        <v>5877</v>
      </c>
      <c r="P1722" s="116">
        <v>5974</v>
      </c>
      <c r="Q1722" s="116">
        <v>5993.75</v>
      </c>
      <c r="R1722">
        <v>165738</v>
      </c>
    </row>
    <row r="1723" spans="1:18" x14ac:dyDescent="0.25">
      <c r="A1723" s="170">
        <v>44543</v>
      </c>
      <c r="B1723" s="116">
        <v>6055.05</v>
      </c>
      <c r="C1723" s="116">
        <v>5871.6</v>
      </c>
      <c r="D1723" s="116">
        <v>5820.8</v>
      </c>
      <c r="E1723" s="116">
        <v>6050</v>
      </c>
      <c r="F1723" s="116">
        <v>5871.6</v>
      </c>
      <c r="G1723">
        <v>6572</v>
      </c>
      <c r="H1723" s="116"/>
      <c r="I1723" s="116"/>
      <c r="L1723" s="170">
        <v>44543</v>
      </c>
      <c r="M1723" s="116">
        <v>5873.65</v>
      </c>
      <c r="N1723" s="116">
        <v>6057</v>
      </c>
      <c r="O1723" s="116">
        <v>5821</v>
      </c>
      <c r="P1723" s="116">
        <v>6045</v>
      </c>
      <c r="Q1723" s="116">
        <v>5873.65</v>
      </c>
      <c r="R1723">
        <v>145139</v>
      </c>
    </row>
    <row r="1724" spans="1:18" x14ac:dyDescent="0.25">
      <c r="A1724" s="170">
        <v>44544</v>
      </c>
      <c r="B1724" s="116">
        <v>6100</v>
      </c>
      <c r="C1724" s="116">
        <v>6025.3</v>
      </c>
      <c r="D1724" s="116">
        <v>5880</v>
      </c>
      <c r="E1724" s="116">
        <v>5934</v>
      </c>
      <c r="F1724" s="116">
        <v>6025.3</v>
      </c>
      <c r="G1724">
        <v>9732</v>
      </c>
      <c r="H1724" s="116"/>
      <c r="I1724" s="116"/>
      <c r="L1724" s="170">
        <v>44544</v>
      </c>
      <c r="M1724" s="116">
        <v>6021.95</v>
      </c>
      <c r="N1724" s="116">
        <v>6099</v>
      </c>
      <c r="O1724" s="116">
        <v>5885</v>
      </c>
      <c r="P1724" s="116">
        <v>5890</v>
      </c>
      <c r="Q1724" s="116">
        <v>6021.95</v>
      </c>
      <c r="R1724">
        <v>251089</v>
      </c>
    </row>
    <row r="1725" spans="1:18" x14ac:dyDescent="0.25">
      <c r="A1725" s="170">
        <v>44545</v>
      </c>
      <c r="B1725" s="116">
        <v>6030.2</v>
      </c>
      <c r="C1725" s="116">
        <v>5868.9</v>
      </c>
      <c r="D1725" s="116">
        <v>5850</v>
      </c>
      <c r="E1725" s="116">
        <v>6025.3</v>
      </c>
      <c r="F1725" s="116">
        <v>5868.9</v>
      </c>
      <c r="G1725">
        <v>16447</v>
      </c>
      <c r="H1725" s="116"/>
      <c r="I1725" s="116"/>
      <c r="L1725" s="170">
        <v>44545</v>
      </c>
      <c r="M1725" s="116">
        <v>5867.45</v>
      </c>
      <c r="N1725" s="116">
        <v>6025.15</v>
      </c>
      <c r="O1725" s="116">
        <v>5850</v>
      </c>
      <c r="P1725" s="116">
        <v>6025</v>
      </c>
      <c r="Q1725" s="116">
        <v>5867.45</v>
      </c>
      <c r="R1725">
        <v>185419</v>
      </c>
    </row>
    <row r="1726" spans="1:18" x14ac:dyDescent="0.25">
      <c r="A1726" s="170">
        <v>44546</v>
      </c>
      <c r="B1726" s="116">
        <v>6020</v>
      </c>
      <c r="C1726" s="116">
        <v>5909.2</v>
      </c>
      <c r="D1726" s="116">
        <v>5880</v>
      </c>
      <c r="E1726" s="116">
        <v>5925</v>
      </c>
      <c r="F1726" s="116">
        <v>5909.2</v>
      </c>
      <c r="G1726">
        <v>14332</v>
      </c>
      <c r="H1726" s="116"/>
      <c r="I1726" s="116"/>
      <c r="L1726" s="170">
        <v>44546</v>
      </c>
      <c r="M1726" s="116">
        <v>5908.9</v>
      </c>
      <c r="N1726" s="116">
        <v>6025</v>
      </c>
      <c r="O1726" s="116">
        <v>5870</v>
      </c>
      <c r="P1726" s="116">
        <v>5980</v>
      </c>
      <c r="Q1726" s="116">
        <v>5908.9</v>
      </c>
      <c r="R1726">
        <v>149563</v>
      </c>
    </row>
    <row r="1727" spans="1:18" x14ac:dyDescent="0.25">
      <c r="A1727" s="170">
        <v>44547</v>
      </c>
      <c r="B1727" s="116">
        <v>5950</v>
      </c>
      <c r="C1727" s="116">
        <v>5733.95</v>
      </c>
      <c r="D1727" s="116">
        <v>5710</v>
      </c>
      <c r="E1727" s="116">
        <v>5950</v>
      </c>
      <c r="F1727" s="116">
        <v>5733.95</v>
      </c>
      <c r="G1727">
        <v>18171</v>
      </c>
      <c r="H1727" s="116"/>
      <c r="I1727" s="116"/>
      <c r="L1727" s="170">
        <v>44547</v>
      </c>
      <c r="M1727" s="116">
        <v>5732.65</v>
      </c>
      <c r="N1727" s="116">
        <v>5935</v>
      </c>
      <c r="O1727" s="116">
        <v>5707.85</v>
      </c>
      <c r="P1727" s="116">
        <v>5935</v>
      </c>
      <c r="Q1727" s="116">
        <v>5732.65</v>
      </c>
      <c r="R1727">
        <v>169369</v>
      </c>
    </row>
    <row r="1728" spans="1:18" x14ac:dyDescent="0.25">
      <c r="A1728" s="170">
        <v>44550</v>
      </c>
      <c r="B1728" s="116">
        <v>5704.15</v>
      </c>
      <c r="C1728" s="116">
        <v>5435.2</v>
      </c>
      <c r="D1728" s="116">
        <v>5342.45</v>
      </c>
      <c r="E1728" s="116">
        <v>5625</v>
      </c>
      <c r="F1728" s="116">
        <v>5435.2</v>
      </c>
      <c r="G1728">
        <v>43096</v>
      </c>
      <c r="H1728" s="116"/>
      <c r="I1728" s="116"/>
      <c r="L1728" s="170">
        <v>44550</v>
      </c>
      <c r="M1728" s="116">
        <v>5433.8</v>
      </c>
      <c r="N1728" s="116">
        <v>5715</v>
      </c>
      <c r="O1728" s="116">
        <v>5340</v>
      </c>
      <c r="P1728" s="116">
        <v>5710</v>
      </c>
      <c r="Q1728" s="116">
        <v>5433.8</v>
      </c>
      <c r="R1728">
        <v>254500</v>
      </c>
    </row>
    <row r="1729" spans="1:18" x14ac:dyDescent="0.25">
      <c r="A1729" s="170">
        <v>44551</v>
      </c>
      <c r="B1729" s="116">
        <v>5565.8</v>
      </c>
      <c r="C1729" s="116">
        <v>5436.25</v>
      </c>
      <c r="D1729" s="116">
        <v>5420.5</v>
      </c>
      <c r="E1729" s="116">
        <v>5500</v>
      </c>
      <c r="F1729" s="116">
        <v>5436.25</v>
      </c>
      <c r="G1729">
        <v>18858</v>
      </c>
      <c r="H1729" s="116"/>
      <c r="I1729" s="116"/>
      <c r="L1729" s="170">
        <v>44551</v>
      </c>
      <c r="M1729" s="116">
        <v>5434.5</v>
      </c>
      <c r="N1729" s="116">
        <v>5560</v>
      </c>
      <c r="O1729" s="116">
        <v>5425</v>
      </c>
      <c r="P1729" s="116">
        <v>5530.15</v>
      </c>
      <c r="Q1729" s="116">
        <v>5434.5</v>
      </c>
      <c r="R1729">
        <v>194508</v>
      </c>
    </row>
    <row r="1730" spans="1:18" x14ac:dyDescent="0.25">
      <c r="A1730" s="170">
        <v>44552</v>
      </c>
      <c r="B1730" s="116">
        <v>5549.85</v>
      </c>
      <c r="C1730" s="116">
        <v>5481.9</v>
      </c>
      <c r="D1730" s="116">
        <v>5458</v>
      </c>
      <c r="E1730" s="116">
        <v>5523</v>
      </c>
      <c r="F1730" s="116">
        <v>5481.9</v>
      </c>
      <c r="G1730">
        <v>10986</v>
      </c>
      <c r="H1730" s="116"/>
      <c r="I1730" s="116"/>
      <c r="L1730" s="170">
        <v>44552</v>
      </c>
      <c r="M1730" s="116">
        <v>5476.65</v>
      </c>
      <c r="N1730" s="116">
        <v>5550</v>
      </c>
      <c r="O1730" s="116">
        <v>5454</v>
      </c>
      <c r="P1730" s="116">
        <v>5540</v>
      </c>
      <c r="Q1730" s="116">
        <v>5476.65</v>
      </c>
      <c r="R1730">
        <v>112229</v>
      </c>
    </row>
    <row r="1731" spans="1:18" x14ac:dyDescent="0.25">
      <c r="A1731" s="170">
        <v>44553</v>
      </c>
      <c r="B1731" s="116">
        <v>5540</v>
      </c>
      <c r="C1731" s="116">
        <v>5489.9</v>
      </c>
      <c r="D1731" s="116">
        <v>5463.95</v>
      </c>
      <c r="E1731" s="116">
        <v>5540</v>
      </c>
      <c r="F1731" s="116">
        <v>5489.9</v>
      </c>
      <c r="G1731">
        <v>11607</v>
      </c>
      <c r="H1731" s="116"/>
      <c r="I1731" s="116"/>
      <c r="L1731" s="170">
        <v>44553</v>
      </c>
      <c r="M1731" s="116">
        <v>5491</v>
      </c>
      <c r="N1731" s="116">
        <v>5535</v>
      </c>
      <c r="O1731" s="116">
        <v>5461.25</v>
      </c>
      <c r="P1731" s="116">
        <v>5535</v>
      </c>
      <c r="Q1731" s="116">
        <v>5491</v>
      </c>
      <c r="R1731">
        <v>96829</v>
      </c>
    </row>
    <row r="1732" spans="1:18" x14ac:dyDescent="0.25">
      <c r="A1732" s="170">
        <v>44554</v>
      </c>
      <c r="B1732" s="116">
        <v>5594</v>
      </c>
      <c r="C1732" s="116">
        <v>5501.55</v>
      </c>
      <c r="D1732" s="116">
        <v>5482</v>
      </c>
      <c r="E1732" s="116">
        <v>5500</v>
      </c>
      <c r="F1732" s="116">
        <v>5501.55</v>
      </c>
      <c r="G1732">
        <v>6685</v>
      </c>
      <c r="H1732" s="116"/>
      <c r="I1732" s="116"/>
      <c r="L1732" s="170">
        <v>44554</v>
      </c>
      <c r="M1732" s="116">
        <v>5501</v>
      </c>
      <c r="N1732" s="116">
        <v>5594.9</v>
      </c>
      <c r="O1732" s="116">
        <v>5481</v>
      </c>
      <c r="P1732" s="116">
        <v>5499.2</v>
      </c>
      <c r="Q1732" s="116">
        <v>5501</v>
      </c>
      <c r="R1732">
        <v>112435</v>
      </c>
    </row>
    <row r="1733" spans="1:18" x14ac:dyDescent="0.25">
      <c r="A1733" s="170">
        <v>44557</v>
      </c>
      <c r="B1733" s="116">
        <v>5524.5</v>
      </c>
      <c r="C1733" s="116">
        <v>5444.9</v>
      </c>
      <c r="D1733" s="116">
        <v>5420.2</v>
      </c>
      <c r="E1733" s="116">
        <v>5470</v>
      </c>
      <c r="F1733" s="116">
        <v>5444.9</v>
      </c>
      <c r="G1733">
        <v>12628</v>
      </c>
      <c r="H1733" s="116"/>
      <c r="I1733" s="116"/>
      <c r="L1733" s="170">
        <v>44557</v>
      </c>
      <c r="M1733" s="116">
        <v>5444.1</v>
      </c>
      <c r="N1733" s="116">
        <v>5520</v>
      </c>
      <c r="O1733" s="116">
        <v>5421</v>
      </c>
      <c r="P1733" s="116">
        <v>5516</v>
      </c>
      <c r="Q1733" s="116">
        <v>5444.1</v>
      </c>
      <c r="R1733">
        <v>85984</v>
      </c>
    </row>
    <row r="1734" spans="1:18" x14ac:dyDescent="0.25">
      <c r="A1734" s="170">
        <v>44558</v>
      </c>
      <c r="B1734" s="116">
        <v>5549</v>
      </c>
      <c r="C1734" s="116">
        <v>5529.8</v>
      </c>
      <c r="D1734" s="116">
        <v>5455</v>
      </c>
      <c r="E1734" s="116">
        <v>5455</v>
      </c>
      <c r="F1734" s="116">
        <v>5529.8</v>
      </c>
      <c r="G1734">
        <v>13350</v>
      </c>
      <c r="H1734" s="116"/>
      <c r="I1734" s="116"/>
      <c r="L1734" s="170">
        <v>44558</v>
      </c>
      <c r="M1734" s="116">
        <v>5529.1</v>
      </c>
      <c r="N1734" s="116">
        <v>5550</v>
      </c>
      <c r="O1734" s="116">
        <v>5460.05</v>
      </c>
      <c r="P1734" s="116">
        <v>5500</v>
      </c>
      <c r="Q1734" s="116">
        <v>5529.1</v>
      </c>
      <c r="R1734">
        <v>126814</v>
      </c>
    </row>
    <row r="1735" spans="1:18" x14ac:dyDescent="0.25">
      <c r="A1735" s="170">
        <v>44559</v>
      </c>
      <c r="B1735" s="116">
        <v>5720</v>
      </c>
      <c r="C1735" s="116">
        <v>5707.45</v>
      </c>
      <c r="D1735" s="116">
        <v>5500</v>
      </c>
      <c r="E1735" s="116">
        <v>5580</v>
      </c>
      <c r="F1735" s="116">
        <v>5707.45</v>
      </c>
      <c r="G1735">
        <v>21770</v>
      </c>
      <c r="H1735" s="116"/>
      <c r="I1735" s="116"/>
      <c r="L1735" s="170">
        <v>44559</v>
      </c>
      <c r="M1735" s="116">
        <v>5707.1</v>
      </c>
      <c r="N1735" s="116">
        <v>5725</v>
      </c>
      <c r="O1735" s="116">
        <v>5519.95</v>
      </c>
      <c r="P1735" s="116">
        <v>5554.8</v>
      </c>
      <c r="Q1735" s="116">
        <v>5707.1</v>
      </c>
      <c r="R1735">
        <v>199190</v>
      </c>
    </row>
    <row r="1736" spans="1:18" x14ac:dyDescent="0.25">
      <c r="A1736" s="170">
        <v>44560</v>
      </c>
      <c r="B1736" s="116">
        <v>5848.5</v>
      </c>
      <c r="C1736" s="116">
        <v>5812.7</v>
      </c>
      <c r="D1736" s="116">
        <v>5723.55</v>
      </c>
      <c r="E1736" s="116">
        <v>5731</v>
      </c>
      <c r="F1736" s="116">
        <v>5812.7</v>
      </c>
      <c r="G1736">
        <v>18013</v>
      </c>
      <c r="H1736" s="116"/>
      <c r="I1736" s="116"/>
      <c r="L1736" s="170">
        <v>44560</v>
      </c>
      <c r="M1736" s="116">
        <v>5814.15</v>
      </c>
      <c r="N1736" s="116">
        <v>5850</v>
      </c>
      <c r="O1736" s="116">
        <v>5726</v>
      </c>
      <c r="P1736" s="116">
        <v>5748</v>
      </c>
      <c r="Q1736" s="116">
        <v>5814.15</v>
      </c>
      <c r="R1736">
        <v>160005</v>
      </c>
    </row>
    <row r="1737" spans="1:18" x14ac:dyDescent="0.25">
      <c r="A1737" s="170">
        <v>44561</v>
      </c>
      <c r="B1737" s="116">
        <v>5892</v>
      </c>
      <c r="C1737" s="116">
        <v>5867.8</v>
      </c>
      <c r="D1737" s="116">
        <v>5805</v>
      </c>
      <c r="E1737" s="116">
        <v>5825</v>
      </c>
      <c r="F1737" s="116">
        <v>5867.8</v>
      </c>
      <c r="G1737">
        <v>3844</v>
      </c>
      <c r="H1737" s="116"/>
      <c r="I1737" s="116"/>
      <c r="L1737" s="170">
        <v>44561</v>
      </c>
      <c r="M1737" s="116">
        <v>5868</v>
      </c>
      <c r="N1737" s="116">
        <v>5895</v>
      </c>
      <c r="O1737" s="116">
        <v>5801</v>
      </c>
      <c r="P1737" s="116">
        <v>5875</v>
      </c>
      <c r="Q1737" s="116">
        <v>5868</v>
      </c>
      <c r="R1737">
        <v>96466</v>
      </c>
    </row>
    <row r="1738" spans="1:18" x14ac:dyDescent="0.25">
      <c r="A1738" s="170">
        <v>44564</v>
      </c>
      <c r="B1738" s="116">
        <v>5981</v>
      </c>
      <c r="C1738" s="116">
        <v>5893.6</v>
      </c>
      <c r="D1738" s="116">
        <v>5869.55</v>
      </c>
      <c r="E1738" s="116">
        <v>5920</v>
      </c>
      <c r="F1738" s="116">
        <v>5893.6</v>
      </c>
      <c r="G1738">
        <v>6727</v>
      </c>
      <c r="H1738" s="116"/>
      <c r="I1738" s="116"/>
      <c r="L1738" s="170">
        <v>44564</v>
      </c>
      <c r="M1738" s="116">
        <v>5893.65</v>
      </c>
      <c r="N1738" s="116">
        <v>5983.75</v>
      </c>
      <c r="O1738" s="116">
        <v>5868</v>
      </c>
      <c r="P1738" s="116">
        <v>5888</v>
      </c>
      <c r="Q1738" s="116">
        <v>5893.65</v>
      </c>
      <c r="R1738">
        <v>120686</v>
      </c>
    </row>
    <row r="1739" spans="1:18" x14ac:dyDescent="0.25">
      <c r="A1739" s="170">
        <v>44565</v>
      </c>
      <c r="B1739" s="116">
        <v>5988.9</v>
      </c>
      <c r="C1739" s="116">
        <v>5977.15</v>
      </c>
      <c r="D1739" s="116">
        <v>5894</v>
      </c>
      <c r="E1739" s="116">
        <v>5950</v>
      </c>
      <c r="F1739" s="116">
        <v>5977.15</v>
      </c>
      <c r="G1739">
        <v>7966</v>
      </c>
      <c r="H1739" s="116"/>
      <c r="I1739" s="116"/>
      <c r="L1739" s="170">
        <v>44565</v>
      </c>
      <c r="M1739" s="116">
        <v>5977.75</v>
      </c>
      <c r="N1739" s="116">
        <v>5989.5</v>
      </c>
      <c r="O1739" s="116">
        <v>5895.05</v>
      </c>
      <c r="P1739" s="116">
        <v>5950</v>
      </c>
      <c r="Q1739" s="116">
        <v>5977.75</v>
      </c>
      <c r="R1739">
        <v>107717</v>
      </c>
    </row>
    <row r="1740" spans="1:18" x14ac:dyDescent="0.25">
      <c r="A1740" s="170">
        <v>44566</v>
      </c>
      <c r="B1740" s="116">
        <v>6088</v>
      </c>
      <c r="C1740" s="116">
        <v>5966.5</v>
      </c>
      <c r="D1740" s="116">
        <v>5886.9</v>
      </c>
      <c r="E1740" s="116">
        <v>6088</v>
      </c>
      <c r="F1740" s="116">
        <v>5966.5</v>
      </c>
      <c r="G1740">
        <v>5215</v>
      </c>
      <c r="H1740" s="116"/>
      <c r="I1740" s="116"/>
      <c r="L1740" s="170">
        <v>44566</v>
      </c>
      <c r="M1740" s="116">
        <v>5963.8</v>
      </c>
      <c r="N1740" s="116">
        <v>6027</v>
      </c>
      <c r="O1740" s="116">
        <v>5884.95</v>
      </c>
      <c r="P1740" s="116">
        <v>6000</v>
      </c>
      <c r="Q1740" s="116">
        <v>5963.8</v>
      </c>
      <c r="R1740">
        <v>106351</v>
      </c>
    </row>
    <row r="1741" spans="1:18" x14ac:dyDescent="0.25">
      <c r="A1741" s="170">
        <v>44567</v>
      </c>
      <c r="B1741" s="116">
        <v>5901.1</v>
      </c>
      <c r="C1741" s="116">
        <v>5870.95</v>
      </c>
      <c r="D1741" s="116">
        <v>5798.25</v>
      </c>
      <c r="E1741" s="116">
        <v>5800.55</v>
      </c>
      <c r="F1741" s="116">
        <v>5870.95</v>
      </c>
      <c r="G1741">
        <v>14742</v>
      </c>
      <c r="H1741" s="116"/>
      <c r="I1741" s="116"/>
      <c r="L1741" s="170">
        <v>44567</v>
      </c>
      <c r="M1741" s="116">
        <v>5873.55</v>
      </c>
      <c r="N1741" s="116">
        <v>5901.75</v>
      </c>
      <c r="O1741" s="116">
        <v>5805</v>
      </c>
      <c r="P1741" s="116">
        <v>5873</v>
      </c>
      <c r="Q1741" s="116">
        <v>5873.55</v>
      </c>
      <c r="R1741">
        <v>93465</v>
      </c>
    </row>
    <row r="1742" spans="1:18" x14ac:dyDescent="0.25">
      <c r="A1742" s="170">
        <v>44568</v>
      </c>
      <c r="B1742" s="116">
        <v>5940.8</v>
      </c>
      <c r="C1742" s="116">
        <v>5798.85</v>
      </c>
      <c r="D1742" s="116">
        <v>5780</v>
      </c>
      <c r="E1742" s="116">
        <v>5872.4</v>
      </c>
      <c r="F1742" s="116">
        <v>5798.85</v>
      </c>
      <c r="G1742">
        <v>6448</v>
      </c>
      <c r="H1742" s="116"/>
      <c r="I1742" s="116"/>
      <c r="L1742" s="170">
        <v>44568</v>
      </c>
      <c r="M1742" s="116">
        <v>5799.55</v>
      </c>
      <c r="N1742" s="116">
        <v>5938.85</v>
      </c>
      <c r="O1742" s="116">
        <v>5782</v>
      </c>
      <c r="P1742" s="116">
        <v>5900</v>
      </c>
      <c r="Q1742" s="116">
        <v>5799.55</v>
      </c>
      <c r="R1742">
        <v>112039</v>
      </c>
    </row>
    <row r="1743" spans="1:18" x14ac:dyDescent="0.25">
      <c r="A1743" s="170">
        <v>44571</v>
      </c>
      <c r="B1743" s="116">
        <v>6018.85</v>
      </c>
      <c r="C1743" s="116">
        <v>5995.5</v>
      </c>
      <c r="D1743" s="116">
        <v>5814.5</v>
      </c>
      <c r="E1743" s="116">
        <v>5895</v>
      </c>
      <c r="F1743" s="116">
        <v>5995.5</v>
      </c>
      <c r="G1743">
        <v>12081</v>
      </c>
      <c r="H1743" s="116"/>
      <c r="I1743" s="116"/>
      <c r="L1743" s="170">
        <v>44571</v>
      </c>
      <c r="M1743" s="116">
        <v>5992.95</v>
      </c>
      <c r="N1743" s="116">
        <v>6020</v>
      </c>
      <c r="O1743" s="116">
        <v>5800</v>
      </c>
      <c r="P1743" s="116">
        <v>5861.05</v>
      </c>
      <c r="Q1743" s="116">
        <v>5992.95</v>
      </c>
      <c r="R1743">
        <v>176137</v>
      </c>
    </row>
    <row r="1744" spans="1:18" x14ac:dyDescent="0.25">
      <c r="A1744" s="170">
        <v>44572</v>
      </c>
      <c r="B1744" s="116">
        <v>6039.9</v>
      </c>
      <c r="C1744" s="116">
        <v>5937.85</v>
      </c>
      <c r="D1744" s="116">
        <v>5928</v>
      </c>
      <c r="E1744" s="116">
        <v>5990</v>
      </c>
      <c r="F1744" s="116">
        <v>5937.85</v>
      </c>
      <c r="G1744">
        <v>11310</v>
      </c>
      <c r="H1744" s="116"/>
      <c r="I1744" s="116"/>
      <c r="L1744" s="170">
        <v>44572</v>
      </c>
      <c r="M1744" s="116">
        <v>5938.75</v>
      </c>
      <c r="N1744" s="116">
        <v>6042.9</v>
      </c>
      <c r="O1744" s="116">
        <v>5925</v>
      </c>
      <c r="P1744" s="116">
        <v>6010</v>
      </c>
      <c r="Q1744" s="116">
        <v>5938.75</v>
      </c>
      <c r="R1744">
        <v>80493</v>
      </c>
    </row>
    <row r="1745" spans="1:18" x14ac:dyDescent="0.25">
      <c r="A1745" s="170">
        <v>44573</v>
      </c>
      <c r="B1745" s="116">
        <v>6178</v>
      </c>
      <c r="C1745" s="116">
        <v>6124.05</v>
      </c>
      <c r="D1745" s="116">
        <v>5952.05</v>
      </c>
      <c r="E1745" s="116">
        <v>5977</v>
      </c>
      <c r="F1745" s="116">
        <v>6124.05</v>
      </c>
      <c r="G1745">
        <v>12232</v>
      </c>
      <c r="H1745" s="116"/>
      <c r="I1745" s="116"/>
      <c r="L1745" s="170">
        <v>44573</v>
      </c>
      <c r="M1745" s="116">
        <v>6114.1</v>
      </c>
      <c r="N1745" s="116">
        <v>6167</v>
      </c>
      <c r="O1745" s="116">
        <v>5950</v>
      </c>
      <c r="P1745" s="116">
        <v>5978.05</v>
      </c>
      <c r="Q1745" s="116">
        <v>6114.1</v>
      </c>
      <c r="R1745">
        <v>208195</v>
      </c>
    </row>
    <row r="1746" spans="1:18" x14ac:dyDescent="0.25">
      <c r="A1746" s="170">
        <v>44574</v>
      </c>
      <c r="B1746" s="116">
        <v>6448.9</v>
      </c>
      <c r="C1746" s="116">
        <v>6401.25</v>
      </c>
      <c r="D1746" s="116">
        <v>6145</v>
      </c>
      <c r="E1746" s="116">
        <v>6150</v>
      </c>
      <c r="F1746" s="116">
        <v>6401.25</v>
      </c>
      <c r="G1746">
        <v>65706</v>
      </c>
      <c r="H1746" s="116"/>
      <c r="I1746" s="116"/>
      <c r="L1746" s="170">
        <v>44574</v>
      </c>
      <c r="M1746" s="116">
        <v>6401.75</v>
      </c>
      <c r="N1746" s="116">
        <v>6450</v>
      </c>
      <c r="O1746" s="116">
        <v>6137</v>
      </c>
      <c r="P1746" s="116">
        <v>6141</v>
      </c>
      <c r="Q1746" s="116">
        <v>6401.75</v>
      </c>
      <c r="R1746">
        <v>467887</v>
      </c>
    </row>
    <row r="1747" spans="1:18" x14ac:dyDescent="0.25">
      <c r="A1747" s="170">
        <v>44575</v>
      </c>
      <c r="B1747" s="116">
        <v>6410</v>
      </c>
      <c r="C1747" s="116">
        <v>6314.7</v>
      </c>
      <c r="D1747" s="116">
        <v>6236.85</v>
      </c>
      <c r="E1747" s="116">
        <v>6401.25</v>
      </c>
      <c r="F1747" s="116">
        <v>6314.7</v>
      </c>
      <c r="G1747">
        <v>12217</v>
      </c>
      <c r="H1747" s="116"/>
      <c r="I1747" s="116"/>
      <c r="L1747" s="170">
        <v>44575</v>
      </c>
      <c r="M1747" s="116">
        <v>6312</v>
      </c>
      <c r="N1747" s="116">
        <v>6415</v>
      </c>
      <c r="O1747" s="116">
        <v>6232</v>
      </c>
      <c r="P1747" s="116">
        <v>6411</v>
      </c>
      <c r="Q1747" s="116">
        <v>6312</v>
      </c>
      <c r="R1747">
        <v>172383</v>
      </c>
    </row>
    <row r="1748" spans="1:18" x14ac:dyDescent="0.25">
      <c r="A1748" s="170">
        <v>44578</v>
      </c>
      <c r="B1748" s="116">
        <v>6500</v>
      </c>
      <c r="C1748" s="116">
        <v>6391.15</v>
      </c>
      <c r="D1748" s="116">
        <v>6350</v>
      </c>
      <c r="E1748" s="116">
        <v>6350</v>
      </c>
      <c r="F1748" s="116">
        <v>6391.15</v>
      </c>
      <c r="G1748">
        <v>28256</v>
      </c>
      <c r="H1748" s="116"/>
      <c r="I1748" s="116"/>
      <c r="L1748" s="170">
        <v>44578</v>
      </c>
      <c r="M1748" s="116">
        <v>6398.1</v>
      </c>
      <c r="N1748" s="116">
        <v>6505.15</v>
      </c>
      <c r="O1748" s="116">
        <v>6345</v>
      </c>
      <c r="P1748" s="116">
        <v>6350</v>
      </c>
      <c r="Q1748" s="116">
        <v>6398.1</v>
      </c>
      <c r="R1748">
        <v>179777</v>
      </c>
    </row>
    <row r="1749" spans="1:18" x14ac:dyDescent="0.25">
      <c r="A1749" s="170">
        <v>44579</v>
      </c>
      <c r="B1749" s="116">
        <v>6521.95</v>
      </c>
      <c r="C1749" s="116">
        <v>6370.5</v>
      </c>
      <c r="D1749" s="116">
        <v>6300</v>
      </c>
      <c r="E1749" s="116">
        <v>6475</v>
      </c>
      <c r="F1749" s="116">
        <v>6370.5</v>
      </c>
      <c r="G1749">
        <v>13479</v>
      </c>
      <c r="H1749" s="116"/>
      <c r="I1749" s="116"/>
      <c r="L1749" s="170">
        <v>44579</v>
      </c>
      <c r="M1749" s="116">
        <v>6376.3</v>
      </c>
      <c r="N1749" s="116">
        <v>6523.8</v>
      </c>
      <c r="O1749" s="116">
        <v>6301</v>
      </c>
      <c r="P1749" s="116">
        <v>6480</v>
      </c>
      <c r="Q1749" s="116">
        <v>6376.3</v>
      </c>
      <c r="R1749">
        <v>274448</v>
      </c>
    </row>
    <row r="1750" spans="1:18" x14ac:dyDescent="0.25">
      <c r="A1750" s="170">
        <v>44580</v>
      </c>
      <c r="B1750" s="116">
        <v>7171.15</v>
      </c>
      <c r="C1750" s="116">
        <v>6980.65</v>
      </c>
      <c r="D1750" s="116">
        <v>6370.5</v>
      </c>
      <c r="E1750" s="116">
        <v>6510</v>
      </c>
      <c r="F1750" s="116">
        <v>6980.65</v>
      </c>
      <c r="G1750">
        <v>130270</v>
      </c>
      <c r="H1750" s="116"/>
      <c r="I1750" s="116"/>
      <c r="L1750" s="170">
        <v>44580</v>
      </c>
      <c r="M1750" s="116">
        <v>6977.25</v>
      </c>
      <c r="N1750" s="116">
        <v>7170</v>
      </c>
      <c r="O1750" s="116">
        <v>6381.4</v>
      </c>
      <c r="P1750" s="116">
        <v>6547.95</v>
      </c>
      <c r="Q1750" s="116">
        <v>6977.25</v>
      </c>
      <c r="R1750">
        <v>2831099</v>
      </c>
    </row>
    <row r="1751" spans="1:18" x14ac:dyDescent="0.25">
      <c r="A1751" s="170">
        <v>44581</v>
      </c>
      <c r="B1751" s="116">
        <v>7525</v>
      </c>
      <c r="C1751" s="116">
        <v>7448.15</v>
      </c>
      <c r="D1751" s="116">
        <v>7040</v>
      </c>
      <c r="E1751" s="116">
        <v>7048</v>
      </c>
      <c r="F1751" s="116">
        <v>7448.15</v>
      </c>
      <c r="G1751">
        <v>151384</v>
      </c>
      <c r="H1751" s="116"/>
      <c r="I1751" s="116"/>
      <c r="L1751" s="170">
        <v>44581</v>
      </c>
      <c r="M1751" s="116">
        <v>7430.45</v>
      </c>
      <c r="N1751" s="116">
        <v>7525</v>
      </c>
      <c r="O1751" s="116">
        <v>7037.3</v>
      </c>
      <c r="P1751" s="116">
        <v>7059</v>
      </c>
      <c r="Q1751" s="116">
        <v>7430.45</v>
      </c>
      <c r="R1751">
        <v>2156628</v>
      </c>
    </row>
    <row r="1752" spans="1:18" x14ac:dyDescent="0.25">
      <c r="A1752" s="170">
        <v>44582</v>
      </c>
      <c r="B1752" s="116">
        <v>7800</v>
      </c>
      <c r="C1752" s="116">
        <v>7194.6</v>
      </c>
      <c r="D1752" s="116">
        <v>7031.9</v>
      </c>
      <c r="E1752" s="116">
        <v>7540</v>
      </c>
      <c r="F1752" s="116">
        <v>7194.6</v>
      </c>
      <c r="G1752">
        <v>200558</v>
      </c>
      <c r="H1752" s="116"/>
      <c r="I1752" s="116"/>
      <c r="L1752" s="170">
        <v>44582</v>
      </c>
      <c r="M1752" s="116">
        <v>7200.7</v>
      </c>
      <c r="N1752" s="116">
        <v>7800</v>
      </c>
      <c r="O1752" s="116">
        <v>7025</v>
      </c>
      <c r="P1752" s="116">
        <v>7520</v>
      </c>
      <c r="Q1752" s="116">
        <v>7200.7</v>
      </c>
      <c r="R1752">
        <v>2003434</v>
      </c>
    </row>
    <row r="1753" spans="1:18" x14ac:dyDescent="0.25">
      <c r="A1753" s="170">
        <v>44585</v>
      </c>
      <c r="B1753" s="116">
        <v>7525.6</v>
      </c>
      <c r="C1753" s="116">
        <v>7047.9</v>
      </c>
      <c r="D1753" s="116">
        <v>6834.05</v>
      </c>
      <c r="E1753" s="116">
        <v>7251</v>
      </c>
      <c r="F1753" s="116">
        <v>7047.9</v>
      </c>
      <c r="G1753">
        <v>65412</v>
      </c>
      <c r="H1753" s="116"/>
      <c r="I1753" s="116"/>
      <c r="L1753" s="170">
        <v>44585</v>
      </c>
      <c r="M1753" s="116">
        <v>7040.7</v>
      </c>
      <c r="N1753" s="116">
        <v>7495</v>
      </c>
      <c r="O1753" s="116">
        <v>6834.4</v>
      </c>
      <c r="P1753" s="116">
        <v>7275</v>
      </c>
      <c r="Q1753" s="116">
        <v>7040.7</v>
      </c>
      <c r="R1753">
        <v>995137</v>
      </c>
    </row>
    <row r="1754" spans="1:18" x14ac:dyDescent="0.25">
      <c r="A1754" s="170">
        <v>44586</v>
      </c>
      <c r="B1754" s="116">
        <v>7272</v>
      </c>
      <c r="C1754" s="116">
        <v>7170.7</v>
      </c>
      <c r="D1754" s="116">
        <v>6827</v>
      </c>
      <c r="E1754" s="116">
        <v>7072</v>
      </c>
      <c r="F1754" s="116">
        <v>7170.7</v>
      </c>
      <c r="G1754">
        <v>73260</v>
      </c>
      <c r="H1754" s="116"/>
      <c r="I1754" s="116"/>
      <c r="L1754" s="170">
        <v>44586</v>
      </c>
      <c r="M1754" s="116">
        <v>7179.2</v>
      </c>
      <c r="N1754" s="116">
        <v>7280</v>
      </c>
      <c r="O1754" s="116">
        <v>6840</v>
      </c>
      <c r="P1754" s="116">
        <v>7085</v>
      </c>
      <c r="Q1754" s="116">
        <v>7179.2</v>
      </c>
      <c r="R1754">
        <v>805943</v>
      </c>
    </row>
    <row r="1755" spans="1:18" x14ac:dyDescent="0.25">
      <c r="A1755" s="170">
        <v>44588</v>
      </c>
      <c r="B1755" s="116">
        <v>7143</v>
      </c>
      <c r="C1755" s="116">
        <v>6974.95</v>
      </c>
      <c r="D1755" s="116">
        <v>6930.05</v>
      </c>
      <c r="E1755" s="116">
        <v>7143</v>
      </c>
      <c r="F1755" s="116">
        <v>6974.95</v>
      </c>
      <c r="G1755">
        <v>19986</v>
      </c>
      <c r="H1755" s="116"/>
      <c r="I1755" s="116"/>
      <c r="L1755" s="170">
        <v>44588</v>
      </c>
      <c r="M1755" s="116">
        <v>6974.15</v>
      </c>
      <c r="N1755" s="116">
        <v>7129</v>
      </c>
      <c r="O1755" s="116">
        <v>6930</v>
      </c>
      <c r="P1755" s="116">
        <v>7103</v>
      </c>
      <c r="Q1755" s="116">
        <v>6974.15</v>
      </c>
      <c r="R1755">
        <v>358322</v>
      </c>
    </row>
    <row r="1756" spans="1:18" x14ac:dyDescent="0.25">
      <c r="A1756" s="170">
        <v>44589</v>
      </c>
      <c r="B1756" s="116">
        <v>7400</v>
      </c>
      <c r="C1756" s="116">
        <v>7195.45</v>
      </c>
      <c r="D1756" s="116">
        <v>7026.45</v>
      </c>
      <c r="E1756" s="116">
        <v>7040</v>
      </c>
      <c r="F1756" s="116">
        <v>7195.45</v>
      </c>
      <c r="G1756">
        <v>49337</v>
      </c>
      <c r="H1756" s="116"/>
      <c r="I1756" s="116"/>
      <c r="L1756" s="170">
        <v>44589</v>
      </c>
      <c r="M1756" s="116">
        <v>7183.15</v>
      </c>
      <c r="N1756" s="116">
        <v>7400</v>
      </c>
      <c r="O1756" s="116">
        <v>7008.05</v>
      </c>
      <c r="P1756" s="116">
        <v>7030.9</v>
      </c>
      <c r="Q1756" s="116">
        <v>7183.15</v>
      </c>
      <c r="R1756">
        <v>603449</v>
      </c>
    </row>
    <row r="1757" spans="1:18" x14ac:dyDescent="0.25">
      <c r="A1757" s="170">
        <v>44592</v>
      </c>
      <c r="B1757" s="116">
        <v>7777</v>
      </c>
      <c r="C1757" s="116">
        <v>7604.55</v>
      </c>
      <c r="D1757" s="116">
        <v>7372.05</v>
      </c>
      <c r="E1757" s="116">
        <v>7425</v>
      </c>
      <c r="F1757" s="116">
        <v>7604.55</v>
      </c>
      <c r="G1757">
        <v>74089</v>
      </c>
      <c r="H1757" s="116"/>
      <c r="I1757" s="116"/>
      <c r="L1757" s="170">
        <v>44592</v>
      </c>
      <c r="M1757" s="116">
        <v>7607.35</v>
      </c>
      <c r="N1757" s="116">
        <v>7777</v>
      </c>
      <c r="O1757" s="116">
        <v>7376.7</v>
      </c>
      <c r="P1757" s="116">
        <v>7438.7</v>
      </c>
      <c r="Q1757" s="116">
        <v>7607.35</v>
      </c>
      <c r="R1757">
        <v>1006940</v>
      </c>
    </row>
    <row r="1758" spans="1:18" x14ac:dyDescent="0.25">
      <c r="A1758" s="170">
        <v>44593</v>
      </c>
      <c r="B1758" s="116">
        <v>7949</v>
      </c>
      <c r="C1758" s="116">
        <v>7462.1</v>
      </c>
      <c r="D1758" s="116">
        <v>7400</v>
      </c>
      <c r="E1758" s="116">
        <v>7790</v>
      </c>
      <c r="F1758" s="116">
        <v>7462.1</v>
      </c>
      <c r="G1758">
        <v>49329</v>
      </c>
      <c r="H1758" s="116"/>
      <c r="I1758" s="116"/>
      <c r="L1758" s="170">
        <v>44593</v>
      </c>
      <c r="M1758" s="116">
        <v>7464.85</v>
      </c>
      <c r="N1758" s="116">
        <v>7964.4</v>
      </c>
      <c r="O1758" s="116">
        <v>7400</v>
      </c>
      <c r="P1758" s="116">
        <v>7779</v>
      </c>
      <c r="Q1758" s="116">
        <v>7464.85</v>
      </c>
      <c r="R1758">
        <v>856691</v>
      </c>
    </row>
    <row r="1759" spans="1:18" x14ac:dyDescent="0.25">
      <c r="A1759" s="170">
        <v>44594</v>
      </c>
      <c r="B1759" s="116">
        <v>7716.95</v>
      </c>
      <c r="C1759" s="116">
        <v>7482.35</v>
      </c>
      <c r="D1759" s="116">
        <v>7430.1</v>
      </c>
      <c r="E1759" s="116">
        <v>7716.95</v>
      </c>
      <c r="F1759" s="116">
        <v>7482.35</v>
      </c>
      <c r="G1759">
        <v>18179</v>
      </c>
      <c r="H1759" s="116"/>
      <c r="I1759" s="116"/>
      <c r="L1759" s="170">
        <v>44594</v>
      </c>
      <c r="M1759" s="116">
        <v>7482.5</v>
      </c>
      <c r="N1759" s="116">
        <v>7672</v>
      </c>
      <c r="O1759" s="116">
        <v>7430</v>
      </c>
      <c r="P1759" s="116">
        <v>7580</v>
      </c>
      <c r="Q1759" s="116">
        <v>7482.5</v>
      </c>
      <c r="R1759">
        <v>310590</v>
      </c>
    </row>
    <row r="1760" spans="1:18" x14ac:dyDescent="0.25">
      <c r="A1760" s="170">
        <v>44595</v>
      </c>
      <c r="B1760" s="116">
        <v>7540</v>
      </c>
      <c r="C1760" s="116">
        <v>7295.65</v>
      </c>
      <c r="D1760" s="116">
        <v>7260</v>
      </c>
      <c r="E1760" s="116">
        <v>7540</v>
      </c>
      <c r="F1760" s="116">
        <v>7295.65</v>
      </c>
      <c r="G1760">
        <v>16045</v>
      </c>
      <c r="H1760" s="116"/>
      <c r="I1760" s="116"/>
      <c r="L1760" s="170">
        <v>44595</v>
      </c>
      <c r="M1760" s="116">
        <v>7293.85</v>
      </c>
      <c r="N1760" s="116">
        <v>7526.4</v>
      </c>
      <c r="O1760" s="116">
        <v>7260.05</v>
      </c>
      <c r="P1760" s="116">
        <v>7504</v>
      </c>
      <c r="Q1760" s="116">
        <v>7293.85</v>
      </c>
      <c r="R1760">
        <v>316939</v>
      </c>
    </row>
    <row r="1761" spans="1:18" x14ac:dyDescent="0.25">
      <c r="A1761" s="170">
        <v>44596</v>
      </c>
      <c r="B1761" s="116">
        <v>7495</v>
      </c>
      <c r="C1761" s="116">
        <v>7434.75</v>
      </c>
      <c r="D1761" s="116">
        <v>7205.65</v>
      </c>
      <c r="E1761" s="116">
        <v>7310</v>
      </c>
      <c r="F1761" s="116">
        <v>7434.75</v>
      </c>
      <c r="G1761">
        <v>29066</v>
      </c>
      <c r="H1761" s="116"/>
      <c r="I1761" s="116"/>
      <c r="L1761" s="170">
        <v>44596</v>
      </c>
      <c r="M1761" s="116">
        <v>7424.8</v>
      </c>
      <c r="N1761" s="116">
        <v>7493</v>
      </c>
      <c r="O1761" s="116">
        <v>7205.3</v>
      </c>
      <c r="P1761" s="116">
        <v>7300</v>
      </c>
      <c r="Q1761" s="116">
        <v>7424.8</v>
      </c>
      <c r="R1761">
        <v>327785</v>
      </c>
    </row>
    <row r="1762" spans="1:18" x14ac:dyDescent="0.25">
      <c r="A1762" s="170">
        <v>44599</v>
      </c>
      <c r="B1762" s="116">
        <v>7699.9</v>
      </c>
      <c r="C1762" s="116">
        <v>7636.45</v>
      </c>
      <c r="D1762" s="116">
        <v>7435</v>
      </c>
      <c r="E1762" s="116">
        <v>7448</v>
      </c>
      <c r="F1762" s="116">
        <v>7636.45</v>
      </c>
      <c r="G1762">
        <v>35202</v>
      </c>
      <c r="H1762" s="116"/>
      <c r="I1762" s="116"/>
      <c r="L1762" s="170">
        <v>44599</v>
      </c>
      <c r="M1762" s="116">
        <v>7640.05</v>
      </c>
      <c r="N1762" s="116">
        <v>7700</v>
      </c>
      <c r="O1762" s="116">
        <v>7425</v>
      </c>
      <c r="P1762" s="116">
        <v>7490</v>
      </c>
      <c r="Q1762" s="116">
        <v>7640.05</v>
      </c>
      <c r="R1762">
        <v>407494</v>
      </c>
    </row>
    <row r="1763" spans="1:18" x14ac:dyDescent="0.25">
      <c r="A1763" s="170">
        <v>44600</v>
      </c>
      <c r="B1763" s="116">
        <v>7828</v>
      </c>
      <c r="C1763" s="116">
        <v>7612.1</v>
      </c>
      <c r="D1763" s="116">
        <v>7580</v>
      </c>
      <c r="E1763" s="116">
        <v>7701</v>
      </c>
      <c r="F1763" s="116">
        <v>7612.1</v>
      </c>
      <c r="G1763">
        <v>22000</v>
      </c>
      <c r="H1763" s="116"/>
      <c r="I1763" s="116"/>
      <c r="L1763" s="170">
        <v>44600</v>
      </c>
      <c r="M1763" s="116">
        <v>7615.6</v>
      </c>
      <c r="N1763" s="116">
        <v>7833</v>
      </c>
      <c r="O1763" s="116">
        <v>7578.85</v>
      </c>
      <c r="P1763" s="116">
        <v>7706</v>
      </c>
      <c r="Q1763" s="116">
        <v>7615.6</v>
      </c>
      <c r="R1763">
        <v>637281</v>
      </c>
    </row>
    <row r="1764" spans="1:18" x14ac:dyDescent="0.25">
      <c r="A1764" s="170">
        <v>44601</v>
      </c>
      <c r="B1764" s="116">
        <v>7725.9</v>
      </c>
      <c r="C1764" s="116">
        <v>7670.65</v>
      </c>
      <c r="D1764" s="116">
        <v>7652.4</v>
      </c>
      <c r="E1764" s="116">
        <v>7679</v>
      </c>
      <c r="F1764" s="116">
        <v>7670.65</v>
      </c>
      <c r="G1764">
        <v>6573</v>
      </c>
      <c r="H1764" s="116"/>
      <c r="I1764" s="116"/>
      <c r="L1764" s="170">
        <v>44601</v>
      </c>
      <c r="M1764" s="116">
        <v>7667.7</v>
      </c>
      <c r="N1764" s="116">
        <v>7725</v>
      </c>
      <c r="O1764" s="116">
        <v>7651</v>
      </c>
      <c r="P1764" s="116">
        <v>7660</v>
      </c>
      <c r="Q1764" s="116">
        <v>7667.7</v>
      </c>
      <c r="R1764">
        <v>149046</v>
      </c>
    </row>
    <row r="1765" spans="1:18" x14ac:dyDescent="0.25">
      <c r="A1765" s="170">
        <v>44602</v>
      </c>
      <c r="B1765" s="116">
        <v>7725</v>
      </c>
      <c r="C1765" s="116">
        <v>7602.85</v>
      </c>
      <c r="D1765" s="116">
        <v>7562.3</v>
      </c>
      <c r="E1765" s="116">
        <v>7725</v>
      </c>
      <c r="F1765" s="116">
        <v>7602.85</v>
      </c>
      <c r="G1765">
        <v>235405</v>
      </c>
      <c r="H1765" s="116"/>
      <c r="I1765" s="116"/>
      <c r="L1765" s="170">
        <v>44602</v>
      </c>
      <c r="M1765" s="116">
        <v>7603.6</v>
      </c>
      <c r="N1765" s="116">
        <v>7707.4</v>
      </c>
      <c r="O1765" s="116">
        <v>7560.65</v>
      </c>
      <c r="P1765" s="116">
        <v>7700</v>
      </c>
      <c r="Q1765" s="116">
        <v>7603.6</v>
      </c>
      <c r="R1765">
        <v>137948</v>
      </c>
    </row>
    <row r="1766" spans="1:18" x14ac:dyDescent="0.25">
      <c r="A1766" s="170">
        <v>44603</v>
      </c>
      <c r="B1766" s="116">
        <v>7562.05</v>
      </c>
      <c r="C1766" s="116">
        <v>7396.3</v>
      </c>
      <c r="D1766" s="116">
        <v>7345.25</v>
      </c>
      <c r="E1766" s="116">
        <v>7500</v>
      </c>
      <c r="F1766" s="116">
        <v>7396.3</v>
      </c>
      <c r="G1766">
        <v>13423</v>
      </c>
      <c r="H1766" s="116"/>
      <c r="I1766" s="116"/>
      <c r="L1766" s="170">
        <v>44603</v>
      </c>
      <c r="M1766" s="116">
        <v>7397.6</v>
      </c>
      <c r="N1766" s="116">
        <v>7560</v>
      </c>
      <c r="O1766" s="116">
        <v>7350</v>
      </c>
      <c r="P1766" s="116">
        <v>7455</v>
      </c>
      <c r="Q1766" s="116">
        <v>7397.6</v>
      </c>
      <c r="R1766">
        <v>197308</v>
      </c>
    </row>
    <row r="1767" spans="1:18" x14ac:dyDescent="0.25">
      <c r="A1767" s="170">
        <v>44606</v>
      </c>
      <c r="B1767" s="116">
        <v>7138.1</v>
      </c>
      <c r="C1767" s="116">
        <v>6913.5</v>
      </c>
      <c r="D1767" s="116">
        <v>6875</v>
      </c>
      <c r="E1767" s="116">
        <v>7100</v>
      </c>
      <c r="F1767" s="116">
        <v>6913.5</v>
      </c>
      <c r="G1767">
        <v>27655</v>
      </c>
      <c r="H1767" s="116"/>
      <c r="I1767" s="116"/>
      <c r="L1767" s="170">
        <v>44606</v>
      </c>
      <c r="M1767" s="116">
        <v>6911.35</v>
      </c>
      <c r="N1767" s="116">
        <v>7139.15</v>
      </c>
      <c r="O1767" s="116">
        <v>6872.5</v>
      </c>
      <c r="P1767" s="116">
        <v>7020</v>
      </c>
      <c r="Q1767" s="116">
        <v>6911.35</v>
      </c>
      <c r="R1767">
        <v>379926</v>
      </c>
    </row>
    <row r="1768" spans="1:18" x14ac:dyDescent="0.25">
      <c r="A1768" s="170">
        <v>44607</v>
      </c>
      <c r="B1768" s="116">
        <v>7145</v>
      </c>
      <c r="C1768" s="116">
        <v>7111.7</v>
      </c>
      <c r="D1768" s="116">
        <v>6703.6</v>
      </c>
      <c r="E1768" s="116">
        <v>6913.65</v>
      </c>
      <c r="F1768" s="116">
        <v>7111.7</v>
      </c>
      <c r="G1768">
        <v>42889</v>
      </c>
      <c r="H1768" s="116"/>
      <c r="I1768" s="116"/>
      <c r="L1768" s="170">
        <v>44607</v>
      </c>
      <c r="M1768" s="116">
        <v>7111.05</v>
      </c>
      <c r="N1768" s="116">
        <v>7145.8</v>
      </c>
      <c r="O1768" s="116">
        <v>6701</v>
      </c>
      <c r="P1768" s="116">
        <v>7020</v>
      </c>
      <c r="Q1768" s="116">
        <v>7111.05</v>
      </c>
      <c r="R1768">
        <v>442208</v>
      </c>
    </row>
    <row r="1769" spans="1:18" x14ac:dyDescent="0.25">
      <c r="A1769" s="170">
        <v>44608</v>
      </c>
      <c r="B1769" s="116">
        <v>7289</v>
      </c>
      <c r="C1769" s="116">
        <v>6994.7</v>
      </c>
      <c r="D1769" s="116">
        <v>6957.55</v>
      </c>
      <c r="E1769" s="116">
        <v>7289</v>
      </c>
      <c r="F1769" s="116">
        <v>6994.7</v>
      </c>
      <c r="G1769">
        <v>29397</v>
      </c>
      <c r="H1769" s="116"/>
      <c r="I1769" s="116"/>
      <c r="L1769" s="170">
        <v>44608</v>
      </c>
      <c r="M1769" s="116">
        <v>6998.5</v>
      </c>
      <c r="N1769" s="116">
        <v>7269</v>
      </c>
      <c r="O1769" s="116">
        <v>6960</v>
      </c>
      <c r="P1769" s="116">
        <v>7235</v>
      </c>
      <c r="Q1769" s="116">
        <v>6998.5</v>
      </c>
      <c r="R1769">
        <v>260130</v>
      </c>
    </row>
    <row r="1770" spans="1:18" x14ac:dyDescent="0.25">
      <c r="A1770" s="170">
        <v>44609</v>
      </c>
      <c r="B1770" s="116">
        <v>7165.95</v>
      </c>
      <c r="C1770" s="116">
        <v>6937.3</v>
      </c>
      <c r="D1770" s="116">
        <v>6907.75</v>
      </c>
      <c r="E1770" s="116">
        <v>7098</v>
      </c>
      <c r="F1770" s="116">
        <v>6937.3</v>
      </c>
      <c r="G1770">
        <v>12614</v>
      </c>
      <c r="H1770" s="116"/>
      <c r="I1770" s="116"/>
      <c r="L1770" s="170">
        <v>44609</v>
      </c>
      <c r="M1770" s="116">
        <v>6941.25</v>
      </c>
      <c r="N1770" s="116">
        <v>7175.9</v>
      </c>
      <c r="O1770" s="116">
        <v>6902.1</v>
      </c>
      <c r="P1770" s="116">
        <v>7040.3</v>
      </c>
      <c r="Q1770" s="116">
        <v>6941.25</v>
      </c>
      <c r="R1770">
        <v>189183</v>
      </c>
    </row>
    <row r="1771" spans="1:18" x14ac:dyDescent="0.25">
      <c r="A1771" s="170">
        <v>44610</v>
      </c>
      <c r="B1771" s="116">
        <v>7031.45</v>
      </c>
      <c r="C1771" s="116">
        <v>6981.25</v>
      </c>
      <c r="D1771" s="116">
        <v>6854.45</v>
      </c>
      <c r="E1771" s="116">
        <v>6938</v>
      </c>
      <c r="F1771" s="116">
        <v>6981.25</v>
      </c>
      <c r="G1771">
        <v>6651</v>
      </c>
      <c r="H1771" s="116"/>
      <c r="I1771" s="116"/>
      <c r="L1771" s="170">
        <v>44610</v>
      </c>
      <c r="M1771" s="116">
        <v>6985.5</v>
      </c>
      <c r="N1771" s="116">
        <v>7039</v>
      </c>
      <c r="O1771" s="116">
        <v>6860.3</v>
      </c>
      <c r="P1771" s="116">
        <v>6900</v>
      </c>
      <c r="Q1771" s="116">
        <v>6985.5</v>
      </c>
      <c r="R1771">
        <v>124944</v>
      </c>
    </row>
    <row r="1772" spans="1:18" x14ac:dyDescent="0.25">
      <c r="A1772" s="170">
        <v>44613</v>
      </c>
      <c r="B1772" s="116">
        <v>6970</v>
      </c>
      <c r="C1772" s="116">
        <v>6732.4</v>
      </c>
      <c r="D1772" s="116">
        <v>6711.4</v>
      </c>
      <c r="E1772" s="116">
        <v>6970</v>
      </c>
      <c r="F1772" s="116">
        <v>6732.4</v>
      </c>
      <c r="G1772">
        <v>15493</v>
      </c>
      <c r="H1772" s="116"/>
      <c r="I1772" s="116"/>
      <c r="L1772" s="170">
        <v>44613</v>
      </c>
      <c r="M1772" s="116">
        <v>6733</v>
      </c>
      <c r="N1772" s="116">
        <v>6943.6</v>
      </c>
      <c r="O1772" s="116">
        <v>6710.4</v>
      </c>
      <c r="P1772" s="116">
        <v>6915</v>
      </c>
      <c r="Q1772" s="116">
        <v>6733</v>
      </c>
      <c r="R1772">
        <v>235154</v>
      </c>
    </row>
    <row r="1773" spans="1:18" x14ac:dyDescent="0.25">
      <c r="A1773" s="170">
        <v>44614</v>
      </c>
      <c r="B1773" s="116">
        <v>6664.5</v>
      </c>
      <c r="C1773" s="116">
        <v>6562.15</v>
      </c>
      <c r="D1773" s="116">
        <v>6479.25</v>
      </c>
      <c r="E1773" s="116">
        <v>6600</v>
      </c>
      <c r="F1773" s="116">
        <v>6562.15</v>
      </c>
      <c r="G1773">
        <v>21658</v>
      </c>
      <c r="H1773" s="116"/>
      <c r="I1773" s="116"/>
      <c r="L1773" s="170">
        <v>44614</v>
      </c>
      <c r="M1773" s="116">
        <v>6560.85</v>
      </c>
      <c r="N1773" s="116">
        <v>6665</v>
      </c>
      <c r="O1773" s="116">
        <v>6422.9</v>
      </c>
      <c r="P1773" s="116">
        <v>6422.9</v>
      </c>
      <c r="Q1773" s="116">
        <v>6560.85</v>
      </c>
      <c r="R1773">
        <v>289125</v>
      </c>
    </row>
    <row r="1774" spans="1:18" x14ac:dyDescent="0.25">
      <c r="A1774" s="170">
        <v>44615</v>
      </c>
      <c r="B1774" s="116">
        <v>6760.65</v>
      </c>
      <c r="C1774" s="116">
        <v>6602.5</v>
      </c>
      <c r="D1774" s="116">
        <v>6565</v>
      </c>
      <c r="E1774" s="116">
        <v>6636</v>
      </c>
      <c r="F1774" s="116">
        <v>6602.5</v>
      </c>
      <c r="G1774">
        <v>19067</v>
      </c>
      <c r="H1774" s="116"/>
      <c r="I1774" s="116"/>
      <c r="L1774" s="170">
        <v>44615</v>
      </c>
      <c r="M1774" s="116">
        <v>6603.75</v>
      </c>
      <c r="N1774" s="116">
        <v>6760</v>
      </c>
      <c r="O1774" s="116">
        <v>6565</v>
      </c>
      <c r="P1774" s="116">
        <v>6650</v>
      </c>
      <c r="Q1774" s="116">
        <v>6603.75</v>
      </c>
      <c r="R1774">
        <v>182581</v>
      </c>
    </row>
    <row r="1775" spans="1:18" x14ac:dyDescent="0.25">
      <c r="A1775" s="170">
        <v>44616</v>
      </c>
      <c r="B1775" s="116">
        <v>6430</v>
      </c>
      <c r="C1775" s="116">
        <v>6078.25</v>
      </c>
      <c r="D1775" s="116">
        <v>5994.95</v>
      </c>
      <c r="E1775" s="116">
        <v>6430</v>
      </c>
      <c r="F1775" s="116">
        <v>6078.25</v>
      </c>
      <c r="G1775">
        <v>34650</v>
      </c>
      <c r="H1775" s="116"/>
      <c r="I1775" s="116"/>
      <c r="L1775" s="170">
        <v>44616</v>
      </c>
      <c r="M1775" s="116">
        <v>6074.1</v>
      </c>
      <c r="N1775" s="116">
        <v>6428.75</v>
      </c>
      <c r="O1775" s="116">
        <v>5990</v>
      </c>
      <c r="P1775" s="116">
        <v>6380</v>
      </c>
      <c r="Q1775" s="116">
        <v>6074.1</v>
      </c>
      <c r="R1775">
        <v>541664</v>
      </c>
    </row>
    <row r="1776" spans="1:18" x14ac:dyDescent="0.25">
      <c r="A1776" s="170">
        <v>44617</v>
      </c>
      <c r="B1776" s="116">
        <v>6534.15</v>
      </c>
      <c r="C1776" s="116">
        <v>6503.2</v>
      </c>
      <c r="D1776" s="116">
        <v>6359.75</v>
      </c>
      <c r="E1776" s="116">
        <v>6360</v>
      </c>
      <c r="F1776" s="116">
        <v>6503.2</v>
      </c>
      <c r="G1776">
        <v>35369</v>
      </c>
      <c r="H1776" s="116"/>
      <c r="I1776" s="116"/>
      <c r="L1776" s="170">
        <v>44617</v>
      </c>
      <c r="M1776" s="116">
        <v>6499.75</v>
      </c>
      <c r="N1776" s="116">
        <v>6534.9</v>
      </c>
      <c r="O1776" s="116">
        <v>6350</v>
      </c>
      <c r="P1776" s="116">
        <v>6350</v>
      </c>
      <c r="Q1776" s="116">
        <v>6499.75</v>
      </c>
      <c r="R1776">
        <v>333438</v>
      </c>
    </row>
    <row r="1777" spans="1:18" x14ac:dyDescent="0.25">
      <c r="A1777" s="170">
        <v>44620</v>
      </c>
      <c r="B1777" s="116">
        <v>6482</v>
      </c>
      <c r="C1777" s="116">
        <v>6431.55</v>
      </c>
      <c r="D1777" s="116">
        <v>6279.05</v>
      </c>
      <c r="E1777" s="116">
        <v>6482</v>
      </c>
      <c r="F1777" s="116">
        <v>6431.55</v>
      </c>
      <c r="G1777">
        <v>26035</v>
      </c>
      <c r="H1777" s="116"/>
      <c r="I1777" s="116"/>
      <c r="L1777" s="170">
        <v>44620</v>
      </c>
      <c r="M1777" s="116">
        <v>6431.85</v>
      </c>
      <c r="N1777" s="116">
        <v>6480</v>
      </c>
      <c r="O1777" s="116">
        <v>6282.05</v>
      </c>
      <c r="P1777" s="116">
        <v>6465</v>
      </c>
      <c r="Q1777" s="116">
        <v>6431.85</v>
      </c>
      <c r="R1777">
        <v>294069</v>
      </c>
    </row>
    <row r="1778" spans="1:18" x14ac:dyDescent="0.25">
      <c r="A1778" s="170">
        <v>44622</v>
      </c>
      <c r="B1778" s="116">
        <v>6627.5</v>
      </c>
      <c r="C1778" s="116">
        <v>6569.35</v>
      </c>
      <c r="D1778" s="116">
        <v>6325.75</v>
      </c>
      <c r="E1778" s="116">
        <v>6400</v>
      </c>
      <c r="F1778" s="116">
        <v>6569.35</v>
      </c>
      <c r="G1778">
        <v>13542</v>
      </c>
      <c r="H1778" s="116"/>
      <c r="I1778" s="116"/>
      <c r="L1778" s="170">
        <v>44622</v>
      </c>
      <c r="M1778" s="116">
        <v>6564.8</v>
      </c>
      <c r="N1778" s="116">
        <v>6629</v>
      </c>
      <c r="O1778" s="116">
        <v>6340.05</v>
      </c>
      <c r="P1778" s="116">
        <v>6374</v>
      </c>
      <c r="Q1778" s="116">
        <v>6564.8</v>
      </c>
      <c r="R1778">
        <v>330743</v>
      </c>
    </row>
    <row r="1779" spans="1:18" x14ac:dyDescent="0.25">
      <c r="A1779" s="170">
        <v>44623</v>
      </c>
      <c r="B1779" s="116">
        <v>6800</v>
      </c>
      <c r="C1779" s="116">
        <v>6657.95</v>
      </c>
      <c r="D1779" s="116">
        <v>6613</v>
      </c>
      <c r="E1779" s="116">
        <v>6730</v>
      </c>
      <c r="F1779" s="116">
        <v>6657.95</v>
      </c>
      <c r="G1779">
        <v>17699</v>
      </c>
      <c r="H1779" s="116"/>
      <c r="I1779" s="116"/>
      <c r="L1779" s="170">
        <v>44623</v>
      </c>
      <c r="M1779" s="116">
        <v>6659.55</v>
      </c>
      <c r="N1779" s="116">
        <v>6789</v>
      </c>
      <c r="O1779" s="116">
        <v>6617</v>
      </c>
      <c r="P1779" s="116">
        <v>6744.4</v>
      </c>
      <c r="Q1779" s="116">
        <v>6659.55</v>
      </c>
      <c r="R1779">
        <v>206261</v>
      </c>
    </row>
    <row r="1780" spans="1:18" x14ac:dyDescent="0.25">
      <c r="A1780" s="170">
        <v>44624</v>
      </c>
      <c r="B1780" s="116">
        <v>6800</v>
      </c>
      <c r="C1780" s="116">
        <v>6670.05</v>
      </c>
      <c r="D1780" s="116">
        <v>6531.1</v>
      </c>
      <c r="E1780" s="116">
        <v>6664</v>
      </c>
      <c r="F1780" s="116">
        <v>6670.05</v>
      </c>
      <c r="G1780">
        <v>17954</v>
      </c>
      <c r="H1780" s="116"/>
      <c r="I1780" s="116"/>
      <c r="L1780" s="170">
        <v>44624</v>
      </c>
      <c r="M1780" s="116">
        <v>6673.6</v>
      </c>
      <c r="N1780" s="116">
        <v>6800</v>
      </c>
      <c r="O1780" s="116">
        <v>6518</v>
      </c>
      <c r="P1780" s="116">
        <v>6635</v>
      </c>
      <c r="Q1780" s="116">
        <v>6673.6</v>
      </c>
      <c r="R1780">
        <v>298568</v>
      </c>
    </row>
    <row r="1781" spans="1:18" x14ac:dyDescent="0.25">
      <c r="A1781" s="170">
        <v>44627</v>
      </c>
      <c r="B1781" s="116">
        <v>6650</v>
      </c>
      <c r="C1781" s="116">
        <v>6548.35</v>
      </c>
      <c r="D1781" s="116">
        <v>6465.7</v>
      </c>
      <c r="E1781" s="116">
        <v>6650</v>
      </c>
      <c r="F1781" s="116">
        <v>6548.35</v>
      </c>
      <c r="G1781">
        <v>18312</v>
      </c>
      <c r="H1781" s="116"/>
      <c r="I1781" s="116"/>
      <c r="L1781" s="170">
        <v>44627</v>
      </c>
      <c r="M1781" s="116">
        <v>6554.75</v>
      </c>
      <c r="N1781" s="116">
        <v>6637</v>
      </c>
      <c r="O1781" s="116">
        <v>6465</v>
      </c>
      <c r="P1781" s="116">
        <v>6571</v>
      </c>
      <c r="Q1781" s="116">
        <v>6554.75</v>
      </c>
      <c r="R1781">
        <v>171241</v>
      </c>
    </row>
    <row r="1782" spans="1:18" x14ac:dyDescent="0.25">
      <c r="A1782" s="170">
        <v>44628</v>
      </c>
      <c r="B1782" s="116">
        <v>6653.85</v>
      </c>
      <c r="C1782" s="116">
        <v>6572.55</v>
      </c>
      <c r="D1782" s="116">
        <v>6486.1</v>
      </c>
      <c r="E1782" s="116">
        <v>6575</v>
      </c>
      <c r="F1782" s="116">
        <v>6572.55</v>
      </c>
      <c r="G1782">
        <v>20294</v>
      </c>
      <c r="H1782" s="116"/>
      <c r="I1782" s="116"/>
      <c r="L1782" s="170">
        <v>44628</v>
      </c>
      <c r="M1782" s="116">
        <v>6572.7</v>
      </c>
      <c r="N1782" s="116">
        <v>6656.25</v>
      </c>
      <c r="O1782" s="116">
        <v>6486</v>
      </c>
      <c r="P1782" s="116">
        <v>6554.1</v>
      </c>
      <c r="Q1782" s="116">
        <v>6572.7</v>
      </c>
      <c r="R1782">
        <v>189439</v>
      </c>
    </row>
    <row r="1783" spans="1:18" x14ac:dyDescent="0.25">
      <c r="A1783" s="170">
        <v>44629</v>
      </c>
      <c r="B1783" s="116">
        <v>7060</v>
      </c>
      <c r="C1783" s="116">
        <v>7004.4</v>
      </c>
      <c r="D1783" s="116">
        <v>6583.55</v>
      </c>
      <c r="E1783" s="116">
        <v>6674</v>
      </c>
      <c r="F1783" s="116">
        <v>7004.4</v>
      </c>
      <c r="G1783">
        <v>20643</v>
      </c>
      <c r="H1783" s="116"/>
      <c r="I1783" s="116"/>
      <c r="L1783" s="170">
        <v>44629</v>
      </c>
      <c r="M1783" s="116">
        <v>6993</v>
      </c>
      <c r="N1783" s="116">
        <v>7060</v>
      </c>
      <c r="O1783" s="116">
        <v>6580.05</v>
      </c>
      <c r="P1783" s="116">
        <v>6664</v>
      </c>
      <c r="Q1783" s="116">
        <v>6993</v>
      </c>
      <c r="R1783">
        <v>419890</v>
      </c>
    </row>
    <row r="1784" spans="1:18" x14ac:dyDescent="0.25">
      <c r="A1784" s="170">
        <v>44630</v>
      </c>
      <c r="B1784" s="116">
        <v>7284</v>
      </c>
      <c r="C1784" s="116">
        <v>7006.65</v>
      </c>
      <c r="D1784" s="116">
        <v>6979.5</v>
      </c>
      <c r="E1784" s="116">
        <v>7284</v>
      </c>
      <c r="F1784" s="116">
        <v>7006.65</v>
      </c>
      <c r="G1784">
        <v>30362</v>
      </c>
      <c r="H1784" s="116"/>
      <c r="I1784" s="116"/>
      <c r="L1784" s="170">
        <v>44630</v>
      </c>
      <c r="M1784" s="116">
        <v>7010.05</v>
      </c>
      <c r="N1784" s="116">
        <v>7290</v>
      </c>
      <c r="O1784" s="116">
        <v>6990</v>
      </c>
      <c r="P1784" s="116">
        <v>7247</v>
      </c>
      <c r="Q1784" s="116">
        <v>7010.05</v>
      </c>
      <c r="R1784">
        <v>236784</v>
      </c>
    </row>
    <row r="1785" spans="1:18" x14ac:dyDescent="0.25">
      <c r="A1785" s="170">
        <v>44631</v>
      </c>
      <c r="B1785" s="116">
        <v>7180</v>
      </c>
      <c r="C1785" s="116">
        <v>7120.2</v>
      </c>
      <c r="D1785" s="116">
        <v>6922.6</v>
      </c>
      <c r="E1785" s="116">
        <v>7010</v>
      </c>
      <c r="F1785" s="116">
        <v>7120.2</v>
      </c>
      <c r="G1785">
        <v>188368</v>
      </c>
      <c r="H1785" s="116"/>
      <c r="I1785" s="116"/>
      <c r="L1785" s="170">
        <v>44631</v>
      </c>
      <c r="M1785" s="116">
        <v>7121.2</v>
      </c>
      <c r="N1785" s="116">
        <v>7180</v>
      </c>
      <c r="O1785" s="116">
        <v>6925.3</v>
      </c>
      <c r="P1785" s="116">
        <v>7010.05</v>
      </c>
      <c r="Q1785" s="116">
        <v>7121.2</v>
      </c>
      <c r="R1785">
        <v>197254</v>
      </c>
    </row>
    <row r="1786" spans="1:18" x14ac:dyDescent="0.25">
      <c r="A1786" s="170">
        <v>44634</v>
      </c>
      <c r="B1786" s="116">
        <v>7220</v>
      </c>
      <c r="C1786" s="116">
        <v>7168.35</v>
      </c>
      <c r="D1786" s="116">
        <v>7118.65</v>
      </c>
      <c r="E1786" s="116">
        <v>7175</v>
      </c>
      <c r="F1786" s="116">
        <v>7168.35</v>
      </c>
      <c r="G1786">
        <v>6545</v>
      </c>
      <c r="H1786" s="116"/>
      <c r="I1786" s="116"/>
      <c r="L1786" s="170">
        <v>44634</v>
      </c>
      <c r="M1786" s="116">
        <v>7169.65</v>
      </c>
      <c r="N1786" s="116">
        <v>7220</v>
      </c>
      <c r="O1786" s="116">
        <v>7115</v>
      </c>
      <c r="P1786" s="116">
        <v>7150</v>
      </c>
      <c r="Q1786" s="116">
        <v>7169.65</v>
      </c>
      <c r="R1786">
        <v>157696</v>
      </c>
    </row>
    <row r="1787" spans="1:18" x14ac:dyDescent="0.25">
      <c r="A1787" s="170">
        <v>44635</v>
      </c>
      <c r="B1787" s="116">
        <v>7230</v>
      </c>
      <c r="C1787" s="116">
        <v>6995.4</v>
      </c>
      <c r="D1787" s="116">
        <v>6909</v>
      </c>
      <c r="E1787" s="116">
        <v>7168</v>
      </c>
      <c r="F1787" s="116">
        <v>6995.4</v>
      </c>
      <c r="G1787">
        <v>11717</v>
      </c>
      <c r="H1787" s="116"/>
      <c r="I1787" s="116"/>
      <c r="L1787" s="170">
        <v>44635</v>
      </c>
      <c r="M1787" s="116">
        <v>6997.45</v>
      </c>
      <c r="N1787" s="116">
        <v>7229.7</v>
      </c>
      <c r="O1787" s="116">
        <v>6908</v>
      </c>
      <c r="P1787" s="116">
        <v>7164</v>
      </c>
      <c r="Q1787" s="116">
        <v>6997.45</v>
      </c>
      <c r="R1787">
        <v>198353</v>
      </c>
    </row>
    <row r="1788" spans="1:18" x14ac:dyDescent="0.25">
      <c r="A1788" s="170">
        <v>44636</v>
      </c>
      <c r="B1788" s="116">
        <v>7248.7</v>
      </c>
      <c r="C1788" s="116">
        <v>7201.6</v>
      </c>
      <c r="D1788" s="116">
        <v>7040</v>
      </c>
      <c r="E1788" s="116">
        <v>7040</v>
      </c>
      <c r="F1788" s="116">
        <v>7201.6</v>
      </c>
      <c r="G1788">
        <v>10513</v>
      </c>
      <c r="H1788" s="116"/>
      <c r="I1788" s="116"/>
      <c r="L1788" s="170">
        <v>44636</v>
      </c>
      <c r="M1788" s="116">
        <v>7213.4</v>
      </c>
      <c r="N1788" s="116">
        <v>7249</v>
      </c>
      <c r="O1788" s="116">
        <v>7075</v>
      </c>
      <c r="P1788" s="116">
        <v>7140</v>
      </c>
      <c r="Q1788" s="116">
        <v>7213.4</v>
      </c>
      <c r="R1788">
        <v>171345</v>
      </c>
    </row>
    <row r="1789" spans="1:18" x14ac:dyDescent="0.25">
      <c r="A1789" s="170">
        <v>44637</v>
      </c>
      <c r="B1789" s="116">
        <v>7615.4</v>
      </c>
      <c r="C1789" s="116">
        <v>7468.9</v>
      </c>
      <c r="D1789" s="116">
        <v>7135.15</v>
      </c>
      <c r="E1789" s="116">
        <v>7240</v>
      </c>
      <c r="F1789" s="116">
        <v>7468.9</v>
      </c>
      <c r="G1789">
        <v>20281</v>
      </c>
      <c r="H1789" s="116"/>
      <c r="I1789" s="116"/>
      <c r="L1789" s="170">
        <v>44637</v>
      </c>
      <c r="M1789" s="116">
        <v>7431.75</v>
      </c>
      <c r="N1789" s="116">
        <v>7625</v>
      </c>
      <c r="O1789" s="116">
        <v>7137.6</v>
      </c>
      <c r="P1789" s="116">
        <v>7300</v>
      </c>
      <c r="Q1789" s="116">
        <v>7431.75</v>
      </c>
      <c r="R1789">
        <v>804233</v>
      </c>
    </row>
    <row r="1790" spans="1:18" x14ac:dyDescent="0.25">
      <c r="A1790" s="170">
        <v>44641</v>
      </c>
      <c r="B1790" s="116">
        <v>7533.5</v>
      </c>
      <c r="C1790" s="116">
        <v>7399.8</v>
      </c>
      <c r="D1790" s="116">
        <v>7341.25</v>
      </c>
      <c r="E1790" s="116">
        <v>7502</v>
      </c>
      <c r="F1790" s="116">
        <v>7399.8</v>
      </c>
      <c r="G1790">
        <v>24498</v>
      </c>
      <c r="H1790" s="116"/>
      <c r="I1790" s="116"/>
      <c r="L1790" s="170">
        <v>44641</v>
      </c>
      <c r="M1790" s="116">
        <v>7403.75</v>
      </c>
      <c r="N1790" s="116">
        <v>7527.6</v>
      </c>
      <c r="O1790" s="116">
        <v>7340.1</v>
      </c>
      <c r="P1790" s="116">
        <v>7520</v>
      </c>
      <c r="Q1790" s="116">
        <v>7403.75</v>
      </c>
      <c r="R1790">
        <v>278972</v>
      </c>
    </row>
    <row r="1791" spans="1:18" x14ac:dyDescent="0.25">
      <c r="A1791" s="170">
        <v>44642</v>
      </c>
      <c r="B1791" s="116">
        <v>7560.4</v>
      </c>
      <c r="C1791" s="116">
        <v>7509.2</v>
      </c>
      <c r="D1791" s="116">
        <v>7315</v>
      </c>
      <c r="E1791" s="116">
        <v>7400</v>
      </c>
      <c r="F1791" s="116">
        <v>7509.2</v>
      </c>
      <c r="G1791">
        <v>12464</v>
      </c>
      <c r="H1791" s="116"/>
      <c r="I1791" s="116"/>
      <c r="L1791" s="170">
        <v>44642</v>
      </c>
      <c r="M1791" s="116">
        <v>7512.6</v>
      </c>
      <c r="N1791" s="116">
        <v>7554.05</v>
      </c>
      <c r="O1791" s="116">
        <v>7311</v>
      </c>
      <c r="P1791" s="116">
        <v>7429.8</v>
      </c>
      <c r="Q1791" s="116">
        <v>7512.6</v>
      </c>
      <c r="R1791">
        <v>312549</v>
      </c>
    </row>
    <row r="1792" spans="1:18" x14ac:dyDescent="0.25">
      <c r="A1792" s="170">
        <v>44643</v>
      </c>
      <c r="B1792" s="116">
        <v>7725</v>
      </c>
      <c r="C1792" s="116">
        <v>7688.95</v>
      </c>
      <c r="D1792" s="116">
        <v>7522</v>
      </c>
      <c r="E1792" s="116">
        <v>7522</v>
      </c>
      <c r="F1792" s="116">
        <v>7688.95</v>
      </c>
      <c r="G1792">
        <v>16822</v>
      </c>
      <c r="H1792" s="116"/>
      <c r="I1792" s="116"/>
      <c r="L1792" s="170">
        <v>44643</v>
      </c>
      <c r="M1792" s="116">
        <v>7692</v>
      </c>
      <c r="N1792" s="116">
        <v>7722.1</v>
      </c>
      <c r="O1792" s="116">
        <v>7535</v>
      </c>
      <c r="P1792" s="116">
        <v>7550.2</v>
      </c>
      <c r="Q1792" s="116">
        <v>7692</v>
      </c>
      <c r="R1792">
        <v>357796</v>
      </c>
    </row>
    <row r="1793" spans="1:18" x14ac:dyDescent="0.25">
      <c r="A1793" s="170">
        <v>44644</v>
      </c>
      <c r="B1793" s="116">
        <v>7773.2</v>
      </c>
      <c r="C1793" s="116">
        <v>7603.55</v>
      </c>
      <c r="D1793" s="116">
        <v>7571</v>
      </c>
      <c r="E1793" s="116">
        <v>7710</v>
      </c>
      <c r="F1793" s="116">
        <v>7603.55</v>
      </c>
      <c r="G1793">
        <v>15221</v>
      </c>
      <c r="H1793" s="116"/>
      <c r="I1793" s="116"/>
      <c r="L1793" s="170">
        <v>44644</v>
      </c>
      <c r="M1793" s="116">
        <v>7606.9</v>
      </c>
      <c r="N1793" s="116">
        <v>7775</v>
      </c>
      <c r="O1793" s="116">
        <v>7566.6</v>
      </c>
      <c r="P1793" s="116">
        <v>7685</v>
      </c>
      <c r="Q1793" s="116">
        <v>7606.9</v>
      </c>
      <c r="R1793">
        <v>286798</v>
      </c>
    </row>
    <row r="1794" spans="1:18" x14ac:dyDescent="0.25">
      <c r="A1794" s="170">
        <v>44645</v>
      </c>
      <c r="B1794" s="116">
        <v>8534.9</v>
      </c>
      <c r="C1794" s="116">
        <v>8440.85</v>
      </c>
      <c r="D1794" s="116">
        <v>7603</v>
      </c>
      <c r="E1794" s="116">
        <v>7674.7</v>
      </c>
      <c r="F1794" s="116">
        <v>8440.85</v>
      </c>
      <c r="G1794">
        <v>72510</v>
      </c>
      <c r="H1794" s="116"/>
      <c r="I1794" s="116"/>
      <c r="L1794" s="170">
        <v>44645</v>
      </c>
      <c r="M1794" s="116">
        <v>8438.2000000000007</v>
      </c>
      <c r="N1794" s="116">
        <v>8534</v>
      </c>
      <c r="O1794" s="116">
        <v>7600.25</v>
      </c>
      <c r="P1794" s="116">
        <v>7649</v>
      </c>
      <c r="Q1794" s="116">
        <v>8438.2000000000007</v>
      </c>
      <c r="R1794">
        <v>1829120</v>
      </c>
    </row>
    <row r="1795" spans="1:18" x14ac:dyDescent="0.25">
      <c r="A1795" s="170">
        <v>44648</v>
      </c>
      <c r="B1795" s="116">
        <v>9160.9500000000007</v>
      </c>
      <c r="C1795" s="116">
        <v>9034.75</v>
      </c>
      <c r="D1795" s="116">
        <v>8178.25</v>
      </c>
      <c r="E1795" s="116">
        <v>8460</v>
      </c>
      <c r="F1795" s="116">
        <v>9034.75</v>
      </c>
      <c r="G1795">
        <v>206305</v>
      </c>
      <c r="H1795" s="116"/>
      <c r="I1795" s="116"/>
      <c r="L1795" s="170">
        <v>44648</v>
      </c>
      <c r="M1795" s="116">
        <v>9035.5</v>
      </c>
      <c r="N1795" s="116">
        <v>9160</v>
      </c>
      <c r="O1795" s="116">
        <v>8180</v>
      </c>
      <c r="P1795" s="116">
        <v>8465</v>
      </c>
      <c r="Q1795" s="116">
        <v>9035.5</v>
      </c>
      <c r="R1795">
        <v>3109546</v>
      </c>
    </row>
    <row r="1796" spans="1:18" x14ac:dyDescent="0.25">
      <c r="A1796" s="170">
        <v>44649</v>
      </c>
      <c r="B1796" s="116">
        <v>9025.85</v>
      </c>
      <c r="C1796" s="116">
        <v>8550.4</v>
      </c>
      <c r="D1796" s="116">
        <v>8500</v>
      </c>
      <c r="E1796" s="116">
        <v>8990</v>
      </c>
      <c r="F1796" s="116">
        <v>8550.4</v>
      </c>
      <c r="G1796">
        <v>69590</v>
      </c>
      <c r="H1796" s="116"/>
      <c r="I1796" s="116"/>
      <c r="L1796" s="170">
        <v>44649</v>
      </c>
      <c r="M1796" s="116">
        <v>8552.85</v>
      </c>
      <c r="N1796" s="116">
        <v>9024</v>
      </c>
      <c r="O1796" s="116">
        <v>8500</v>
      </c>
      <c r="P1796" s="116">
        <v>8970</v>
      </c>
      <c r="Q1796" s="116">
        <v>8552.85</v>
      </c>
      <c r="R1796">
        <v>1347710</v>
      </c>
    </row>
    <row r="1797" spans="1:18" x14ac:dyDescent="0.25">
      <c r="A1797" s="170">
        <v>44650</v>
      </c>
      <c r="B1797" s="116">
        <v>9191.5499999999993</v>
      </c>
      <c r="C1797" s="116">
        <v>8983.2999999999993</v>
      </c>
      <c r="D1797" s="116">
        <v>8460</v>
      </c>
      <c r="E1797" s="116">
        <v>8589</v>
      </c>
      <c r="F1797" s="116">
        <v>8983.2999999999993</v>
      </c>
      <c r="G1797">
        <v>107579</v>
      </c>
      <c r="H1797" s="116"/>
      <c r="I1797" s="116"/>
      <c r="L1797" s="170">
        <v>44650</v>
      </c>
      <c r="M1797" s="116">
        <v>8996.7999999999993</v>
      </c>
      <c r="N1797" s="116">
        <v>9192.1</v>
      </c>
      <c r="O1797" s="116">
        <v>8460</v>
      </c>
      <c r="P1797" s="116">
        <v>8564</v>
      </c>
      <c r="Q1797" s="116">
        <v>8996.7999999999993</v>
      </c>
      <c r="R1797">
        <v>2450372</v>
      </c>
    </row>
    <row r="1798" spans="1:18" x14ac:dyDescent="0.25">
      <c r="A1798" s="170">
        <v>44651</v>
      </c>
      <c r="B1798" s="116">
        <v>9420</v>
      </c>
      <c r="C1798" s="116">
        <v>8840.25</v>
      </c>
      <c r="D1798" s="116">
        <v>8786.0499999999993</v>
      </c>
      <c r="E1798" s="116">
        <v>9069.9</v>
      </c>
      <c r="F1798" s="116">
        <v>8840.25</v>
      </c>
      <c r="G1798">
        <v>87416</v>
      </c>
      <c r="H1798" s="116"/>
      <c r="I1798" s="116"/>
      <c r="L1798" s="170">
        <v>44651</v>
      </c>
      <c r="M1798" s="116">
        <v>8840.15</v>
      </c>
      <c r="N1798" s="116">
        <v>9420</v>
      </c>
      <c r="O1798" s="116">
        <v>8790.5</v>
      </c>
      <c r="P1798" s="116">
        <v>9000</v>
      </c>
      <c r="Q1798" s="116">
        <v>8840.15</v>
      </c>
      <c r="R1798">
        <v>2086042</v>
      </c>
    </row>
    <row r="1799" spans="1:18" x14ac:dyDescent="0.25">
      <c r="A1799" s="170">
        <v>44652</v>
      </c>
      <c r="B1799" s="116">
        <v>9136.5499999999993</v>
      </c>
      <c r="C1799" s="116">
        <v>8911.9500000000007</v>
      </c>
      <c r="D1799" s="116">
        <v>8731</v>
      </c>
      <c r="E1799" s="116">
        <v>8908</v>
      </c>
      <c r="F1799" s="116">
        <v>8911.9500000000007</v>
      </c>
      <c r="G1799">
        <v>87549</v>
      </c>
      <c r="H1799" s="116"/>
      <c r="I1799" s="116"/>
      <c r="L1799" s="170">
        <v>44652</v>
      </c>
      <c r="M1799" s="116">
        <v>8912.7999999999993</v>
      </c>
      <c r="N1799" s="116">
        <v>9142.6</v>
      </c>
      <c r="O1799" s="116">
        <v>8732</v>
      </c>
      <c r="P1799" s="116">
        <v>8884</v>
      </c>
      <c r="Q1799" s="116">
        <v>8912.7999999999993</v>
      </c>
      <c r="R1799">
        <v>1414522</v>
      </c>
    </row>
    <row r="1800" spans="1:18" x14ac:dyDescent="0.25">
      <c r="A1800" s="170">
        <v>44655</v>
      </c>
      <c r="B1800" s="116">
        <v>9186</v>
      </c>
      <c r="C1800" s="116">
        <v>9006.1</v>
      </c>
      <c r="D1800" s="116">
        <v>8935.2999999999993</v>
      </c>
      <c r="E1800" s="116">
        <v>8970</v>
      </c>
      <c r="F1800" s="116">
        <v>9006.1</v>
      </c>
      <c r="G1800">
        <v>36927</v>
      </c>
      <c r="H1800" s="116"/>
      <c r="I1800" s="116"/>
      <c r="L1800" s="170">
        <v>44655</v>
      </c>
      <c r="M1800" s="116">
        <v>9009.7000000000007</v>
      </c>
      <c r="N1800" s="116">
        <v>9164.4</v>
      </c>
      <c r="O1800" s="116">
        <v>8931.5</v>
      </c>
      <c r="P1800" s="116">
        <v>8988</v>
      </c>
      <c r="Q1800" s="116">
        <v>9009.7000000000007</v>
      </c>
      <c r="R1800">
        <v>511585</v>
      </c>
    </row>
    <row r="1801" spans="1:18" x14ac:dyDescent="0.25">
      <c r="A1801" s="170">
        <v>44656</v>
      </c>
      <c r="B1801" s="116">
        <v>9100</v>
      </c>
      <c r="C1801" s="116">
        <v>8881.15</v>
      </c>
      <c r="D1801" s="116">
        <v>8853</v>
      </c>
      <c r="E1801" s="116">
        <v>9100</v>
      </c>
      <c r="F1801" s="116">
        <v>8881.15</v>
      </c>
      <c r="G1801">
        <v>25268</v>
      </c>
      <c r="H1801" s="116"/>
      <c r="I1801" s="116"/>
      <c r="L1801" s="170">
        <v>44656</v>
      </c>
      <c r="M1801" s="116">
        <v>8878.35</v>
      </c>
      <c r="N1801" s="116">
        <v>9090</v>
      </c>
      <c r="O1801" s="116">
        <v>8850</v>
      </c>
      <c r="P1801" s="116">
        <v>9090</v>
      </c>
      <c r="Q1801" s="116">
        <v>8878.35</v>
      </c>
      <c r="R1801">
        <v>617070</v>
      </c>
    </row>
    <row r="1802" spans="1:18" x14ac:dyDescent="0.25">
      <c r="A1802" s="170">
        <v>44657</v>
      </c>
      <c r="B1802" s="116">
        <v>8990</v>
      </c>
      <c r="C1802" s="116">
        <v>8891.5499999999993</v>
      </c>
      <c r="D1802" s="116">
        <v>8756.9</v>
      </c>
      <c r="E1802" s="116">
        <v>8851</v>
      </c>
      <c r="F1802" s="116">
        <v>8891.5499999999993</v>
      </c>
      <c r="G1802">
        <v>34131</v>
      </c>
      <c r="H1802" s="116"/>
      <c r="I1802" s="116"/>
      <c r="L1802" s="170">
        <v>44657</v>
      </c>
      <c r="M1802" s="116">
        <v>8893.65</v>
      </c>
      <c r="N1802" s="116">
        <v>8990</v>
      </c>
      <c r="O1802" s="116">
        <v>8762</v>
      </c>
      <c r="P1802" s="116">
        <v>8875</v>
      </c>
      <c r="Q1802" s="116">
        <v>8893.65</v>
      </c>
      <c r="R1802">
        <v>372750</v>
      </c>
    </row>
    <row r="1803" spans="1:18" x14ac:dyDescent="0.25">
      <c r="A1803" s="170">
        <v>44658</v>
      </c>
      <c r="B1803" s="116">
        <v>8942.6</v>
      </c>
      <c r="C1803" s="116">
        <v>8745.5</v>
      </c>
      <c r="D1803" s="116">
        <v>8708.9</v>
      </c>
      <c r="E1803" s="116">
        <v>8910</v>
      </c>
      <c r="F1803" s="116">
        <v>8745.5</v>
      </c>
      <c r="G1803">
        <v>16281</v>
      </c>
      <c r="H1803" s="116"/>
      <c r="I1803" s="116"/>
      <c r="L1803" s="170">
        <v>44658</v>
      </c>
      <c r="M1803" s="116">
        <v>8747.7999999999993</v>
      </c>
      <c r="N1803" s="116">
        <v>8938.25</v>
      </c>
      <c r="O1803" s="116">
        <v>8703</v>
      </c>
      <c r="P1803" s="116">
        <v>8907</v>
      </c>
      <c r="Q1803" s="116">
        <v>8747.7999999999993</v>
      </c>
      <c r="R1803">
        <v>343816</v>
      </c>
    </row>
    <row r="1804" spans="1:18" x14ac:dyDescent="0.25">
      <c r="A1804" s="170">
        <v>44659</v>
      </c>
      <c r="B1804" s="116">
        <v>9086.0499999999993</v>
      </c>
      <c r="C1804" s="116">
        <v>8684.6</v>
      </c>
      <c r="D1804" s="116">
        <v>8621.1</v>
      </c>
      <c r="E1804" s="116">
        <v>8830</v>
      </c>
      <c r="F1804" s="116">
        <v>8684.6</v>
      </c>
      <c r="G1804">
        <v>33811</v>
      </c>
      <c r="H1804" s="116"/>
      <c r="I1804" s="116"/>
      <c r="L1804" s="170">
        <v>44659</v>
      </c>
      <c r="M1804" s="116">
        <v>8685.2000000000007</v>
      </c>
      <c r="N1804" s="116">
        <v>9088</v>
      </c>
      <c r="O1804" s="116">
        <v>8621</v>
      </c>
      <c r="P1804" s="116">
        <v>8791.5499999999993</v>
      </c>
      <c r="Q1804" s="116">
        <v>8685.2000000000007</v>
      </c>
      <c r="R1804">
        <v>778818</v>
      </c>
    </row>
    <row r="1805" spans="1:18" x14ac:dyDescent="0.25">
      <c r="A1805" s="170">
        <v>44662</v>
      </c>
      <c r="B1805" s="116">
        <v>8818.1</v>
      </c>
      <c r="C1805" s="116">
        <v>8706.5</v>
      </c>
      <c r="D1805" s="116">
        <v>8620.6</v>
      </c>
      <c r="E1805" s="116">
        <v>8744</v>
      </c>
      <c r="F1805" s="116">
        <v>8706.5</v>
      </c>
      <c r="G1805">
        <v>19116</v>
      </c>
      <c r="H1805" s="116"/>
      <c r="I1805" s="116"/>
      <c r="L1805" s="170">
        <v>44662</v>
      </c>
      <c r="M1805" s="116">
        <v>8711.15</v>
      </c>
      <c r="N1805" s="116">
        <v>8820</v>
      </c>
      <c r="O1805" s="116">
        <v>8620</v>
      </c>
      <c r="P1805" s="116">
        <v>8723</v>
      </c>
      <c r="Q1805" s="116">
        <v>8711.15</v>
      </c>
      <c r="R1805">
        <v>420571</v>
      </c>
    </row>
    <row r="1806" spans="1:18" x14ac:dyDescent="0.25">
      <c r="A1806" s="170">
        <v>44663</v>
      </c>
      <c r="B1806" s="116">
        <v>8750</v>
      </c>
      <c r="C1806" s="116">
        <v>8404.2000000000007</v>
      </c>
      <c r="D1806" s="116">
        <v>8323.85</v>
      </c>
      <c r="E1806" s="116">
        <v>8750</v>
      </c>
      <c r="F1806" s="116">
        <v>8404.2000000000007</v>
      </c>
      <c r="G1806">
        <v>22164</v>
      </c>
      <c r="H1806" s="116"/>
      <c r="I1806" s="116"/>
      <c r="L1806" s="170">
        <v>44663</v>
      </c>
      <c r="M1806" s="116">
        <v>8409.25</v>
      </c>
      <c r="N1806" s="116">
        <v>8741</v>
      </c>
      <c r="O1806" s="116">
        <v>8326.4</v>
      </c>
      <c r="P1806" s="116">
        <v>8740</v>
      </c>
      <c r="Q1806" s="116">
        <v>8409.25</v>
      </c>
      <c r="R1806">
        <v>599014</v>
      </c>
    </row>
    <row r="1807" spans="1:18" x14ac:dyDescent="0.25">
      <c r="A1807" s="170">
        <v>44664</v>
      </c>
      <c r="B1807" s="116">
        <v>8635.9500000000007</v>
      </c>
      <c r="C1807" s="116">
        <v>8382</v>
      </c>
      <c r="D1807" s="116">
        <v>8347.5499999999993</v>
      </c>
      <c r="E1807" s="116">
        <v>8490</v>
      </c>
      <c r="F1807" s="116">
        <v>8382</v>
      </c>
      <c r="G1807">
        <v>21390</v>
      </c>
      <c r="H1807" s="116"/>
      <c r="I1807" s="116"/>
      <c r="L1807" s="170">
        <v>44664</v>
      </c>
      <c r="M1807" s="116">
        <v>8383.7999999999993</v>
      </c>
      <c r="N1807" s="116">
        <v>8635</v>
      </c>
      <c r="O1807" s="116">
        <v>8350</v>
      </c>
      <c r="P1807" s="116">
        <v>8470</v>
      </c>
      <c r="Q1807" s="116">
        <v>8383.7999999999993</v>
      </c>
      <c r="R1807">
        <v>397311</v>
      </c>
    </row>
    <row r="1808" spans="1:18" x14ac:dyDescent="0.25">
      <c r="A1808" s="170">
        <v>44669</v>
      </c>
      <c r="B1808" s="116">
        <v>8370</v>
      </c>
      <c r="C1808" s="116">
        <v>7816.35</v>
      </c>
      <c r="D1808" s="116">
        <v>7789.25</v>
      </c>
      <c r="E1808" s="116">
        <v>8370</v>
      </c>
      <c r="F1808" s="116">
        <v>7816.35</v>
      </c>
      <c r="G1808">
        <v>34571</v>
      </c>
      <c r="H1808" s="116"/>
      <c r="I1808" s="116"/>
      <c r="L1808" s="170">
        <v>44669</v>
      </c>
      <c r="M1808" s="116">
        <v>7815.95</v>
      </c>
      <c r="N1808" s="116">
        <v>8319</v>
      </c>
      <c r="O1808" s="116">
        <v>7789.8</v>
      </c>
      <c r="P1808" s="116">
        <v>8319</v>
      </c>
      <c r="Q1808" s="116">
        <v>7815.95</v>
      </c>
      <c r="R1808">
        <v>685016</v>
      </c>
    </row>
    <row r="1809" spans="1:18" x14ac:dyDescent="0.25">
      <c r="A1809" s="170">
        <v>44670</v>
      </c>
      <c r="B1809" s="116">
        <v>8035.4</v>
      </c>
      <c r="C1809" s="116">
        <v>7690.7</v>
      </c>
      <c r="D1809" s="116">
        <v>7600</v>
      </c>
      <c r="E1809" s="116">
        <v>7987</v>
      </c>
      <c r="F1809" s="116">
        <v>7690.7</v>
      </c>
      <c r="G1809">
        <v>73255</v>
      </c>
      <c r="H1809" s="116"/>
      <c r="I1809" s="116"/>
      <c r="L1809" s="170">
        <v>44670</v>
      </c>
      <c r="M1809" s="116">
        <v>7693.15</v>
      </c>
      <c r="N1809" s="116">
        <v>8040</v>
      </c>
      <c r="O1809" s="116">
        <v>7580</v>
      </c>
      <c r="P1809" s="116">
        <v>7944</v>
      </c>
      <c r="Q1809" s="116">
        <v>7693.15</v>
      </c>
      <c r="R1809">
        <v>831426</v>
      </c>
    </row>
    <row r="1810" spans="1:18" x14ac:dyDescent="0.25">
      <c r="A1810" s="170">
        <v>44671</v>
      </c>
      <c r="B1810" s="116">
        <v>7978.45</v>
      </c>
      <c r="C1810" s="116">
        <v>7808.05</v>
      </c>
      <c r="D1810" s="116">
        <v>7737.95</v>
      </c>
      <c r="E1810" s="116">
        <v>7786</v>
      </c>
      <c r="F1810" s="116">
        <v>7808.05</v>
      </c>
      <c r="G1810">
        <v>39408</v>
      </c>
      <c r="H1810" s="116"/>
      <c r="I1810" s="116"/>
      <c r="L1810" s="170">
        <v>44671</v>
      </c>
      <c r="M1810" s="116">
        <v>7807.7</v>
      </c>
      <c r="N1810" s="116">
        <v>7975</v>
      </c>
      <c r="O1810" s="116">
        <v>7733.05</v>
      </c>
      <c r="P1810" s="116">
        <v>7777.95</v>
      </c>
      <c r="Q1810" s="116">
        <v>7807.7</v>
      </c>
      <c r="R1810">
        <v>676897</v>
      </c>
    </row>
    <row r="1811" spans="1:18" x14ac:dyDescent="0.25">
      <c r="A1811" s="170">
        <v>44672</v>
      </c>
      <c r="B1811" s="116">
        <v>8190.95</v>
      </c>
      <c r="C1811" s="116">
        <v>7904.3</v>
      </c>
      <c r="D1811" s="116">
        <v>7832</v>
      </c>
      <c r="E1811" s="116">
        <v>7990</v>
      </c>
      <c r="F1811" s="116">
        <v>7904.3</v>
      </c>
      <c r="G1811">
        <v>84235</v>
      </c>
      <c r="H1811" s="116"/>
      <c r="I1811" s="116"/>
      <c r="L1811" s="170">
        <v>44672</v>
      </c>
      <c r="M1811" s="116">
        <v>7903.85</v>
      </c>
      <c r="N1811" s="116">
        <v>8190</v>
      </c>
      <c r="O1811" s="116">
        <v>7825.75</v>
      </c>
      <c r="P1811" s="116">
        <v>7940</v>
      </c>
      <c r="Q1811" s="116">
        <v>7903.85</v>
      </c>
      <c r="R1811">
        <v>1376486</v>
      </c>
    </row>
    <row r="1812" spans="1:18" x14ac:dyDescent="0.25">
      <c r="A1812" s="170">
        <v>44673</v>
      </c>
      <c r="B1812" s="116">
        <v>8476.5</v>
      </c>
      <c r="C1812" s="116">
        <v>8357.75</v>
      </c>
      <c r="D1812" s="116">
        <v>7777</v>
      </c>
      <c r="E1812" s="116">
        <v>7904</v>
      </c>
      <c r="F1812" s="116">
        <v>8357.75</v>
      </c>
      <c r="G1812">
        <v>112959</v>
      </c>
      <c r="H1812" s="116"/>
      <c r="I1812" s="116"/>
      <c r="L1812" s="170">
        <v>44673</v>
      </c>
      <c r="M1812" s="116">
        <v>8358</v>
      </c>
      <c r="N1812" s="116">
        <v>8480</v>
      </c>
      <c r="O1812" s="116">
        <v>7795</v>
      </c>
      <c r="P1812" s="116">
        <v>7876</v>
      </c>
      <c r="Q1812" s="116">
        <v>8358</v>
      </c>
      <c r="R1812">
        <v>1546038</v>
      </c>
    </row>
    <row r="1813" spans="1:18" x14ac:dyDescent="0.25">
      <c r="A1813" s="170">
        <v>44676</v>
      </c>
      <c r="B1813" s="116">
        <v>8319</v>
      </c>
      <c r="C1813" s="116">
        <v>8010.65</v>
      </c>
      <c r="D1813" s="116">
        <v>7980</v>
      </c>
      <c r="E1813" s="116">
        <v>8319</v>
      </c>
      <c r="F1813" s="116">
        <v>8010.65</v>
      </c>
      <c r="G1813">
        <v>29648</v>
      </c>
      <c r="H1813" s="116"/>
      <c r="I1813" s="116"/>
      <c r="L1813" s="170">
        <v>44676</v>
      </c>
      <c r="M1813" s="116">
        <v>8009.4</v>
      </c>
      <c r="N1813" s="116">
        <v>8320</v>
      </c>
      <c r="O1813" s="116">
        <v>7980</v>
      </c>
      <c r="P1813" s="116">
        <v>8319</v>
      </c>
      <c r="Q1813" s="116">
        <v>8009.4</v>
      </c>
      <c r="R1813">
        <v>642502</v>
      </c>
    </row>
    <row r="1814" spans="1:18" x14ac:dyDescent="0.25">
      <c r="A1814" s="170">
        <v>44677</v>
      </c>
      <c r="B1814" s="116">
        <v>8220</v>
      </c>
      <c r="C1814" s="116">
        <v>7843.8</v>
      </c>
      <c r="D1814" s="116">
        <v>7811</v>
      </c>
      <c r="E1814" s="116">
        <v>8171</v>
      </c>
      <c r="F1814" s="116">
        <v>7843.8</v>
      </c>
      <c r="G1814">
        <v>49752</v>
      </c>
      <c r="H1814" s="116"/>
      <c r="I1814" s="116"/>
      <c r="L1814" s="170">
        <v>44677</v>
      </c>
      <c r="M1814" s="116">
        <v>7842.35</v>
      </c>
      <c r="N1814" s="116">
        <v>8225</v>
      </c>
      <c r="O1814" s="116">
        <v>7802</v>
      </c>
      <c r="P1814" s="116">
        <v>8167</v>
      </c>
      <c r="Q1814" s="116">
        <v>7842.35</v>
      </c>
      <c r="R1814">
        <v>636737</v>
      </c>
    </row>
    <row r="1815" spans="1:18" x14ac:dyDescent="0.25">
      <c r="A1815" s="170">
        <v>44678</v>
      </c>
      <c r="B1815" s="116">
        <v>8124</v>
      </c>
      <c r="C1815" s="116">
        <v>7980</v>
      </c>
      <c r="D1815" s="116">
        <v>7467.95</v>
      </c>
      <c r="E1815" s="116">
        <v>7820</v>
      </c>
      <c r="F1815" s="116">
        <v>7980</v>
      </c>
      <c r="G1815">
        <v>97824</v>
      </c>
      <c r="H1815" s="116"/>
      <c r="I1815" s="116"/>
      <c r="L1815" s="170">
        <v>44678</v>
      </c>
      <c r="M1815" s="116">
        <v>7980.85</v>
      </c>
      <c r="N1815" s="116">
        <v>8125.5</v>
      </c>
      <c r="O1815" s="116">
        <v>7461</v>
      </c>
      <c r="P1815" s="116">
        <v>7842.35</v>
      </c>
      <c r="Q1815" s="116">
        <v>7980.85</v>
      </c>
      <c r="R1815">
        <v>1383493</v>
      </c>
    </row>
    <row r="1816" spans="1:18" x14ac:dyDescent="0.25">
      <c r="A1816" s="170">
        <v>44679</v>
      </c>
      <c r="B1816" s="116">
        <v>8179.4</v>
      </c>
      <c r="C1816" s="116">
        <v>7845.55</v>
      </c>
      <c r="D1816" s="116">
        <v>7806.6</v>
      </c>
      <c r="E1816" s="116">
        <v>8080</v>
      </c>
      <c r="F1816" s="116">
        <v>7845.55</v>
      </c>
      <c r="G1816">
        <v>24198</v>
      </c>
      <c r="H1816" s="116"/>
      <c r="I1816" s="116"/>
      <c r="L1816" s="170">
        <v>44679</v>
      </c>
      <c r="M1816" s="116">
        <v>7843.5</v>
      </c>
      <c r="N1816" s="116">
        <v>8178.65</v>
      </c>
      <c r="O1816" s="116">
        <v>7801</v>
      </c>
      <c r="P1816" s="116">
        <v>8052.7</v>
      </c>
      <c r="Q1816" s="116">
        <v>7843.5</v>
      </c>
      <c r="R1816">
        <v>648047</v>
      </c>
    </row>
    <row r="1817" spans="1:18" x14ac:dyDescent="0.25">
      <c r="A1817" s="170">
        <v>44680</v>
      </c>
      <c r="B1817" s="116">
        <v>7990</v>
      </c>
      <c r="C1817" s="116">
        <v>7745.1</v>
      </c>
      <c r="D1817" s="116">
        <v>7721.2</v>
      </c>
      <c r="E1817" s="116">
        <v>7988</v>
      </c>
      <c r="F1817" s="116">
        <v>7745.1</v>
      </c>
      <c r="G1817">
        <v>43544</v>
      </c>
      <c r="H1817" s="116"/>
      <c r="I1817" s="116"/>
      <c r="L1817" s="170">
        <v>44680</v>
      </c>
      <c r="M1817" s="116">
        <v>7746</v>
      </c>
      <c r="N1817" s="116">
        <v>7988</v>
      </c>
      <c r="O1817" s="116">
        <v>7720</v>
      </c>
      <c r="P1817" s="116">
        <v>7974</v>
      </c>
      <c r="Q1817" s="116">
        <v>7746</v>
      </c>
      <c r="R1817">
        <v>468423</v>
      </c>
    </row>
    <row r="1818" spans="1:18" x14ac:dyDescent="0.25">
      <c r="A1818" s="170">
        <v>44683</v>
      </c>
      <c r="B1818" s="116">
        <v>7816.45</v>
      </c>
      <c r="C1818" s="116">
        <v>7673.75</v>
      </c>
      <c r="D1818" s="116">
        <v>7541.35</v>
      </c>
      <c r="E1818" s="116">
        <v>7719</v>
      </c>
      <c r="F1818" s="116">
        <v>7673.75</v>
      </c>
      <c r="G1818">
        <v>18003</v>
      </c>
      <c r="H1818" s="116"/>
      <c r="I1818" s="116"/>
      <c r="L1818" s="170">
        <v>44683</v>
      </c>
      <c r="M1818" s="116">
        <v>7672.25</v>
      </c>
      <c r="N1818" s="116">
        <v>7817.55</v>
      </c>
      <c r="O1818" s="116">
        <v>7531</v>
      </c>
      <c r="P1818" s="116">
        <v>7690</v>
      </c>
      <c r="Q1818" s="116">
        <v>7672.25</v>
      </c>
      <c r="R1818">
        <v>417790</v>
      </c>
    </row>
    <row r="1819" spans="1:18" x14ac:dyDescent="0.25">
      <c r="A1819" s="170">
        <v>44685</v>
      </c>
      <c r="B1819" s="116">
        <v>7880.05</v>
      </c>
      <c r="C1819" s="116">
        <v>7770.55</v>
      </c>
      <c r="D1819" s="116">
        <v>7681.55</v>
      </c>
      <c r="E1819" s="116">
        <v>7740</v>
      </c>
      <c r="F1819" s="116">
        <v>7770.55</v>
      </c>
      <c r="G1819">
        <v>107326</v>
      </c>
      <c r="H1819" s="116"/>
      <c r="I1819" s="116"/>
      <c r="L1819" s="170">
        <v>44685</v>
      </c>
      <c r="M1819" s="116">
        <v>7776.5</v>
      </c>
      <c r="N1819" s="116">
        <v>7888</v>
      </c>
      <c r="O1819" s="116">
        <v>7679.55</v>
      </c>
      <c r="P1819" s="116">
        <v>7748</v>
      </c>
      <c r="Q1819" s="116">
        <v>7776.5</v>
      </c>
      <c r="R1819">
        <v>495595</v>
      </c>
    </row>
    <row r="1820" spans="1:18" x14ac:dyDescent="0.25">
      <c r="A1820" s="170">
        <v>44686</v>
      </c>
      <c r="B1820" s="116">
        <v>7940</v>
      </c>
      <c r="C1820" s="116">
        <v>7820.5</v>
      </c>
      <c r="D1820" s="116">
        <v>7761</v>
      </c>
      <c r="E1820" s="116">
        <v>7824</v>
      </c>
      <c r="F1820" s="116">
        <v>7820.5</v>
      </c>
      <c r="G1820">
        <v>10787</v>
      </c>
      <c r="H1820" s="116"/>
      <c r="I1820" s="116"/>
      <c r="L1820" s="170">
        <v>44686</v>
      </c>
      <c r="M1820" s="116">
        <v>7826.2</v>
      </c>
      <c r="N1820" s="116">
        <v>7940</v>
      </c>
      <c r="O1820" s="116">
        <v>7754</v>
      </c>
      <c r="P1820" s="116">
        <v>7815</v>
      </c>
      <c r="Q1820" s="116">
        <v>7826.2</v>
      </c>
      <c r="R1820">
        <v>244579</v>
      </c>
    </row>
    <row r="1821" spans="1:18" x14ac:dyDescent="0.25">
      <c r="A1821" s="170">
        <v>44687</v>
      </c>
      <c r="B1821" s="116">
        <v>7726.35</v>
      </c>
      <c r="C1821" s="116">
        <v>7505.75</v>
      </c>
      <c r="D1821" s="116">
        <v>7486</v>
      </c>
      <c r="E1821" s="116">
        <v>7650</v>
      </c>
      <c r="F1821" s="116">
        <v>7505.75</v>
      </c>
      <c r="G1821">
        <v>24631</v>
      </c>
      <c r="H1821" s="116"/>
      <c r="I1821" s="116"/>
      <c r="L1821" s="170">
        <v>44687</v>
      </c>
      <c r="M1821" s="116">
        <v>7508</v>
      </c>
      <c r="N1821" s="116">
        <v>7721.6</v>
      </c>
      <c r="O1821" s="116">
        <v>7487</v>
      </c>
      <c r="P1821" s="116">
        <v>7575</v>
      </c>
      <c r="Q1821" s="116">
        <v>7508</v>
      </c>
      <c r="R1821">
        <v>499986</v>
      </c>
    </row>
    <row r="1822" spans="1:18" x14ac:dyDescent="0.25">
      <c r="A1822" s="170">
        <v>44690</v>
      </c>
      <c r="B1822" s="116">
        <v>7485</v>
      </c>
      <c r="C1822" s="116">
        <v>7226.5</v>
      </c>
      <c r="D1822" s="116">
        <v>7149.75</v>
      </c>
      <c r="E1822" s="116">
        <v>7485</v>
      </c>
      <c r="F1822" s="116">
        <v>7226.5</v>
      </c>
      <c r="G1822">
        <v>31592</v>
      </c>
      <c r="H1822" s="116"/>
      <c r="I1822" s="116"/>
      <c r="L1822" s="170">
        <v>44690</v>
      </c>
      <c r="M1822" s="116">
        <v>7227.3</v>
      </c>
      <c r="N1822" s="116">
        <v>7468</v>
      </c>
      <c r="O1822" s="116">
        <v>7147</v>
      </c>
      <c r="P1822" s="116">
        <v>7468</v>
      </c>
      <c r="Q1822" s="116">
        <v>7227.3</v>
      </c>
      <c r="R1822">
        <v>540875</v>
      </c>
    </row>
    <row r="1823" spans="1:18" x14ac:dyDescent="0.25">
      <c r="A1823" s="170">
        <v>44691</v>
      </c>
      <c r="B1823" s="116">
        <v>7304.2</v>
      </c>
      <c r="C1823" s="116">
        <v>6812.4</v>
      </c>
      <c r="D1823" s="116">
        <v>6770.35</v>
      </c>
      <c r="E1823" s="116">
        <v>7220</v>
      </c>
      <c r="F1823" s="116">
        <v>6812.4</v>
      </c>
      <c r="G1823">
        <v>29306</v>
      </c>
      <c r="H1823" s="116"/>
      <c r="I1823" s="116"/>
      <c r="L1823" s="170">
        <v>44691</v>
      </c>
      <c r="M1823" s="116">
        <v>6815.7</v>
      </c>
      <c r="N1823" s="116">
        <v>7305</v>
      </c>
      <c r="O1823" s="116">
        <v>6771</v>
      </c>
      <c r="P1823" s="116">
        <v>7168</v>
      </c>
      <c r="Q1823" s="116">
        <v>6815.7</v>
      </c>
      <c r="R1823">
        <v>602605</v>
      </c>
    </row>
    <row r="1824" spans="1:18" x14ac:dyDescent="0.25">
      <c r="A1824" s="170">
        <v>44692</v>
      </c>
      <c r="B1824" s="116">
        <v>7099</v>
      </c>
      <c r="C1824" s="116">
        <v>6871.2</v>
      </c>
      <c r="D1824" s="116">
        <v>6431.45</v>
      </c>
      <c r="E1824" s="116">
        <v>6838.6</v>
      </c>
      <c r="F1824" s="116">
        <v>6871.2</v>
      </c>
      <c r="G1824">
        <v>55270</v>
      </c>
      <c r="H1824" s="116"/>
      <c r="I1824" s="116"/>
      <c r="L1824" s="170">
        <v>44692</v>
      </c>
      <c r="M1824" s="116">
        <v>6872.5</v>
      </c>
      <c r="N1824" s="116">
        <v>6990</v>
      </c>
      <c r="O1824" s="116">
        <v>6432</v>
      </c>
      <c r="P1824" s="116">
        <v>6801</v>
      </c>
      <c r="Q1824" s="116">
        <v>6872.5</v>
      </c>
      <c r="R1824">
        <v>1162695</v>
      </c>
    </row>
    <row r="1825" spans="1:18" x14ac:dyDescent="0.25">
      <c r="A1825" s="170">
        <v>44693</v>
      </c>
      <c r="B1825" s="116">
        <v>6975</v>
      </c>
      <c r="C1825" s="116">
        <v>6886.6</v>
      </c>
      <c r="D1825" s="116">
        <v>6602.9</v>
      </c>
      <c r="E1825" s="116">
        <v>6840</v>
      </c>
      <c r="F1825" s="116">
        <v>6886.6</v>
      </c>
      <c r="G1825">
        <v>46703</v>
      </c>
      <c r="H1825" s="116"/>
      <c r="I1825" s="116"/>
      <c r="L1825" s="170">
        <v>44693</v>
      </c>
      <c r="M1825" s="116">
        <v>6884.5</v>
      </c>
      <c r="N1825" s="116">
        <v>6975</v>
      </c>
      <c r="O1825" s="116">
        <v>6601.55</v>
      </c>
      <c r="P1825" s="116">
        <v>6805.3</v>
      </c>
      <c r="Q1825" s="116">
        <v>6884.5</v>
      </c>
      <c r="R1825">
        <v>890703</v>
      </c>
    </row>
    <row r="1826" spans="1:18" x14ac:dyDescent="0.25">
      <c r="A1826" s="170">
        <v>44694</v>
      </c>
      <c r="B1826" s="116">
        <v>7999</v>
      </c>
      <c r="C1826" s="116">
        <v>7890.2</v>
      </c>
      <c r="D1826" s="116">
        <v>7001</v>
      </c>
      <c r="E1826" s="116">
        <v>7171</v>
      </c>
      <c r="F1826" s="116">
        <v>7890.2</v>
      </c>
      <c r="G1826">
        <v>206880</v>
      </c>
      <c r="H1826" s="116"/>
      <c r="I1826" s="116"/>
      <c r="L1826" s="170">
        <v>44694</v>
      </c>
      <c r="M1826" s="116">
        <v>7886.65</v>
      </c>
      <c r="N1826" s="116">
        <v>8000</v>
      </c>
      <c r="O1826" s="116">
        <v>7119.2</v>
      </c>
      <c r="P1826" s="116">
        <v>7180</v>
      </c>
      <c r="Q1826" s="116">
        <v>7886.65</v>
      </c>
      <c r="R1826">
        <v>2734940</v>
      </c>
    </row>
    <row r="1827" spans="1:18" x14ac:dyDescent="0.25">
      <c r="A1827" s="170">
        <v>44697</v>
      </c>
      <c r="B1827" s="116">
        <v>8258</v>
      </c>
      <c r="C1827" s="116">
        <v>8119.25</v>
      </c>
      <c r="D1827" s="116">
        <v>7907.85</v>
      </c>
      <c r="E1827" s="116">
        <v>7958.3</v>
      </c>
      <c r="F1827" s="116">
        <v>8119.25</v>
      </c>
      <c r="G1827">
        <v>103361</v>
      </c>
      <c r="H1827" s="116"/>
      <c r="I1827" s="116"/>
      <c r="L1827" s="170">
        <v>44697</v>
      </c>
      <c r="M1827" s="116">
        <v>8121.15</v>
      </c>
      <c r="N1827" s="116">
        <v>8261</v>
      </c>
      <c r="O1827" s="116">
        <v>7913.45</v>
      </c>
      <c r="P1827" s="116">
        <v>7960</v>
      </c>
      <c r="Q1827" s="116">
        <v>8121.15</v>
      </c>
      <c r="R1827">
        <v>1483361</v>
      </c>
    </row>
    <row r="1828" spans="1:18" x14ac:dyDescent="0.25">
      <c r="A1828" s="170">
        <v>44698</v>
      </c>
      <c r="B1828" s="116">
        <v>8239.7999999999993</v>
      </c>
      <c r="C1828" s="116">
        <v>8197.2000000000007</v>
      </c>
      <c r="D1828" s="116">
        <v>8026.7</v>
      </c>
      <c r="E1828" s="116">
        <v>8150</v>
      </c>
      <c r="F1828" s="116">
        <v>8197.2000000000007</v>
      </c>
      <c r="G1828">
        <v>30750</v>
      </c>
      <c r="H1828" s="116"/>
      <c r="I1828" s="116"/>
      <c r="L1828" s="170">
        <v>44698</v>
      </c>
      <c r="M1828" s="116">
        <v>8197.5499999999993</v>
      </c>
      <c r="N1828" s="116">
        <v>8234.7000000000007</v>
      </c>
      <c r="O1828" s="116">
        <v>8021</v>
      </c>
      <c r="P1828" s="116">
        <v>8139.95</v>
      </c>
      <c r="Q1828" s="116">
        <v>8197.5499999999993</v>
      </c>
      <c r="R1828">
        <v>739730</v>
      </c>
    </row>
    <row r="1829" spans="1:18" x14ac:dyDescent="0.25">
      <c r="A1829" s="170">
        <v>44699</v>
      </c>
      <c r="B1829" s="116">
        <v>8496.65</v>
      </c>
      <c r="C1829" s="116">
        <v>8434.75</v>
      </c>
      <c r="D1829" s="116">
        <v>8241</v>
      </c>
      <c r="E1829" s="116">
        <v>8290</v>
      </c>
      <c r="F1829" s="116">
        <v>8434.75</v>
      </c>
      <c r="G1829">
        <v>43704</v>
      </c>
      <c r="H1829" s="116"/>
      <c r="I1829" s="116"/>
      <c r="L1829" s="170">
        <v>44699</v>
      </c>
      <c r="M1829" s="116">
        <v>8437.7000000000007</v>
      </c>
      <c r="N1829" s="116">
        <v>8499</v>
      </c>
      <c r="O1829" s="116">
        <v>8245</v>
      </c>
      <c r="P1829" s="116">
        <v>8258.1</v>
      </c>
      <c r="Q1829" s="116">
        <v>8437.7000000000007</v>
      </c>
      <c r="R1829">
        <v>997190</v>
      </c>
    </row>
    <row r="1830" spans="1:18" x14ac:dyDescent="0.25">
      <c r="A1830" s="170">
        <v>44700</v>
      </c>
      <c r="B1830" s="116">
        <v>8311.2999999999993</v>
      </c>
      <c r="C1830" s="116">
        <v>8259.2999999999993</v>
      </c>
      <c r="D1830" s="116">
        <v>8022.05</v>
      </c>
      <c r="E1830" s="116">
        <v>8094</v>
      </c>
      <c r="F1830" s="116">
        <v>8259.2999999999993</v>
      </c>
      <c r="G1830">
        <v>32365</v>
      </c>
      <c r="H1830" s="116"/>
      <c r="I1830" s="116"/>
      <c r="L1830" s="170">
        <v>44700</v>
      </c>
      <c r="M1830" s="116">
        <v>8261.5</v>
      </c>
      <c r="N1830" s="116">
        <v>8317.65</v>
      </c>
      <c r="O1830" s="116">
        <v>8020</v>
      </c>
      <c r="P1830" s="116">
        <v>8075</v>
      </c>
      <c r="Q1830" s="116">
        <v>8261.5</v>
      </c>
      <c r="R1830">
        <v>719905</v>
      </c>
    </row>
    <row r="1831" spans="1:18" x14ac:dyDescent="0.25">
      <c r="A1831" s="170">
        <v>44701</v>
      </c>
      <c r="B1831" s="116">
        <v>8620</v>
      </c>
      <c r="C1831" s="116">
        <v>8408.5499999999993</v>
      </c>
      <c r="D1831" s="116">
        <v>8315</v>
      </c>
      <c r="E1831" s="116">
        <v>8505</v>
      </c>
      <c r="F1831" s="116">
        <v>8408.5499999999993</v>
      </c>
      <c r="G1831">
        <v>27668</v>
      </c>
      <c r="H1831" s="116"/>
      <c r="I1831" s="116"/>
      <c r="L1831" s="170">
        <v>44701</v>
      </c>
      <c r="M1831" s="116">
        <v>8412.4</v>
      </c>
      <c r="N1831" s="116">
        <v>8620.5</v>
      </c>
      <c r="O1831" s="116">
        <v>8316</v>
      </c>
      <c r="P1831" s="116">
        <v>8510</v>
      </c>
      <c r="Q1831" s="116">
        <v>8412.4</v>
      </c>
      <c r="R1831">
        <v>750432</v>
      </c>
    </row>
    <row r="1832" spans="1:18" x14ac:dyDescent="0.25">
      <c r="A1832" s="170">
        <v>44704</v>
      </c>
      <c r="B1832" s="116">
        <v>8580</v>
      </c>
      <c r="C1832" s="116">
        <v>8544.15</v>
      </c>
      <c r="D1832" s="116">
        <v>8412.2000000000007</v>
      </c>
      <c r="E1832" s="116">
        <v>8420</v>
      </c>
      <c r="F1832" s="116">
        <v>8544.15</v>
      </c>
      <c r="G1832">
        <v>23753</v>
      </c>
      <c r="H1832" s="116"/>
      <c r="I1832" s="116"/>
      <c r="L1832" s="170">
        <v>44704</v>
      </c>
      <c r="M1832" s="116">
        <v>8541.75</v>
      </c>
      <c r="N1832" s="116">
        <v>8585</v>
      </c>
      <c r="O1832" s="116">
        <v>8400.2000000000007</v>
      </c>
      <c r="P1832" s="116">
        <v>8419.9500000000007</v>
      </c>
      <c r="Q1832" s="116">
        <v>8541.75</v>
      </c>
      <c r="R1832">
        <v>546351</v>
      </c>
    </row>
    <row r="1833" spans="1:18" x14ac:dyDescent="0.25">
      <c r="A1833" s="170">
        <v>44705</v>
      </c>
      <c r="B1833" s="116">
        <v>8688.85</v>
      </c>
      <c r="C1833" s="116">
        <v>8453.7999999999993</v>
      </c>
      <c r="D1833" s="116">
        <v>8400</v>
      </c>
      <c r="E1833" s="116">
        <v>8603</v>
      </c>
      <c r="F1833" s="116">
        <v>8453.7999999999993</v>
      </c>
      <c r="G1833">
        <v>45704</v>
      </c>
      <c r="H1833" s="116"/>
      <c r="I1833" s="116"/>
      <c r="L1833" s="170">
        <v>44705</v>
      </c>
      <c r="M1833" s="116">
        <v>8457.4</v>
      </c>
      <c r="N1833" s="116">
        <v>8690</v>
      </c>
      <c r="O1833" s="116">
        <v>8405</v>
      </c>
      <c r="P1833" s="116">
        <v>8600</v>
      </c>
      <c r="Q1833" s="116">
        <v>8457.4</v>
      </c>
      <c r="R1833">
        <v>563544</v>
      </c>
    </row>
    <row r="1834" spans="1:18" x14ac:dyDescent="0.25">
      <c r="A1834" s="170">
        <v>44706</v>
      </c>
      <c r="B1834" s="116">
        <v>8589.9500000000007</v>
      </c>
      <c r="C1834" s="116">
        <v>8126.65</v>
      </c>
      <c r="D1834" s="116">
        <v>8091</v>
      </c>
      <c r="E1834" s="116">
        <v>8589.9500000000007</v>
      </c>
      <c r="F1834" s="116">
        <v>8126.65</v>
      </c>
      <c r="G1834">
        <v>30847</v>
      </c>
      <c r="H1834" s="116"/>
      <c r="I1834" s="116"/>
      <c r="L1834" s="170">
        <v>44706</v>
      </c>
      <c r="M1834" s="116">
        <v>8121.2</v>
      </c>
      <c r="N1834" s="116">
        <v>8589.85</v>
      </c>
      <c r="O1834" s="116">
        <v>8092</v>
      </c>
      <c r="P1834" s="116">
        <v>8581</v>
      </c>
      <c r="Q1834" s="116">
        <v>8121.2</v>
      </c>
      <c r="R1834">
        <v>766623</v>
      </c>
    </row>
    <row r="1835" spans="1:18" x14ac:dyDescent="0.25">
      <c r="A1835" s="170">
        <v>44707</v>
      </c>
      <c r="B1835" s="116">
        <v>8380.2999999999993</v>
      </c>
      <c r="C1835" s="116">
        <v>8255.7000000000007</v>
      </c>
      <c r="D1835" s="116">
        <v>8155.75</v>
      </c>
      <c r="E1835" s="116">
        <v>8177</v>
      </c>
      <c r="F1835" s="116">
        <v>8255.7000000000007</v>
      </c>
      <c r="G1835">
        <v>43144</v>
      </c>
      <c r="H1835" s="116"/>
      <c r="I1835" s="116"/>
      <c r="L1835" s="170">
        <v>44707</v>
      </c>
      <c r="M1835" s="116">
        <v>8258.25</v>
      </c>
      <c r="N1835" s="116">
        <v>8380</v>
      </c>
      <c r="O1835" s="116">
        <v>8150</v>
      </c>
      <c r="P1835" s="116">
        <v>8150</v>
      </c>
      <c r="Q1835" s="116">
        <v>8258.25</v>
      </c>
      <c r="R1835">
        <v>638433</v>
      </c>
    </row>
    <row r="1836" spans="1:18" x14ac:dyDescent="0.25">
      <c r="A1836" s="170">
        <v>44708</v>
      </c>
      <c r="B1836" s="116">
        <v>8463.9</v>
      </c>
      <c r="C1836" s="116">
        <v>8333.0499999999993</v>
      </c>
      <c r="D1836" s="116">
        <v>8301.65</v>
      </c>
      <c r="E1836" s="116">
        <v>8450</v>
      </c>
      <c r="F1836" s="116">
        <v>8333.0499999999993</v>
      </c>
      <c r="G1836">
        <v>15605</v>
      </c>
      <c r="H1836" s="116"/>
      <c r="I1836" s="116"/>
      <c r="L1836" s="170">
        <v>44708</v>
      </c>
      <c r="M1836" s="116">
        <v>8336.9</v>
      </c>
      <c r="N1836" s="116">
        <v>8470</v>
      </c>
      <c r="O1836" s="116">
        <v>8301.2000000000007</v>
      </c>
      <c r="P1836" s="116">
        <v>8470</v>
      </c>
      <c r="Q1836" s="116">
        <v>8336.9</v>
      </c>
      <c r="R1836">
        <v>418901</v>
      </c>
    </row>
    <row r="1837" spans="1:18" x14ac:dyDescent="0.25">
      <c r="A1837" s="170">
        <v>44711</v>
      </c>
      <c r="B1837" s="116">
        <v>8511.9</v>
      </c>
      <c r="C1837" s="116">
        <v>8076.1</v>
      </c>
      <c r="D1837" s="116">
        <v>8020</v>
      </c>
      <c r="E1837" s="116">
        <v>8450</v>
      </c>
      <c r="F1837" s="116">
        <v>8076.1</v>
      </c>
      <c r="G1837">
        <v>24749</v>
      </c>
      <c r="H1837" s="116"/>
      <c r="I1837" s="116"/>
      <c r="L1837" s="170">
        <v>44711</v>
      </c>
      <c r="M1837" s="116">
        <v>8076.7</v>
      </c>
      <c r="N1837" s="116">
        <v>8513.7999999999993</v>
      </c>
      <c r="O1837" s="116">
        <v>8015</v>
      </c>
      <c r="P1837" s="116">
        <v>8450</v>
      </c>
      <c r="Q1837" s="116">
        <v>8076.7</v>
      </c>
      <c r="R1837">
        <v>555822</v>
      </c>
    </row>
    <row r="1838" spans="1:18" x14ac:dyDescent="0.25">
      <c r="A1838" s="170">
        <v>44712</v>
      </c>
      <c r="B1838" s="116">
        <v>8820</v>
      </c>
      <c r="C1838" s="116">
        <v>8415.1</v>
      </c>
      <c r="D1838" s="116">
        <v>8093.25</v>
      </c>
      <c r="E1838" s="116">
        <v>8155</v>
      </c>
      <c r="F1838" s="116">
        <v>8415.1</v>
      </c>
      <c r="G1838">
        <v>94344</v>
      </c>
      <c r="H1838" s="116"/>
      <c r="I1838" s="116"/>
      <c r="L1838" s="170">
        <v>44712</v>
      </c>
      <c r="M1838" s="116">
        <v>8381.1</v>
      </c>
      <c r="N1838" s="116">
        <v>8820</v>
      </c>
      <c r="O1838" s="116">
        <v>8092.25</v>
      </c>
      <c r="P1838" s="116">
        <v>8180</v>
      </c>
      <c r="Q1838" s="116">
        <v>8381.1</v>
      </c>
      <c r="R1838">
        <v>5673542</v>
      </c>
    </row>
    <row r="1839" spans="1:18" x14ac:dyDescent="0.25">
      <c r="A1839" s="170">
        <v>44713</v>
      </c>
      <c r="B1839" s="116">
        <v>8815.5</v>
      </c>
      <c r="C1839" s="116">
        <v>8599.4500000000007</v>
      </c>
      <c r="D1839" s="116">
        <v>8525</v>
      </c>
      <c r="E1839" s="116">
        <v>8650</v>
      </c>
      <c r="F1839" s="116">
        <v>8599.4500000000007</v>
      </c>
      <c r="G1839">
        <v>50807</v>
      </c>
      <c r="H1839" s="116"/>
      <c r="I1839" s="116"/>
      <c r="L1839" s="170">
        <v>44713</v>
      </c>
      <c r="M1839" s="116">
        <v>8606</v>
      </c>
      <c r="N1839" s="116">
        <v>8821.9500000000007</v>
      </c>
      <c r="O1839" s="116">
        <v>8525.6</v>
      </c>
      <c r="P1839" s="116">
        <v>8612</v>
      </c>
      <c r="Q1839" s="116">
        <v>8606</v>
      </c>
      <c r="R1839">
        <v>654606</v>
      </c>
    </row>
    <row r="1840" spans="1:18" x14ac:dyDescent="0.25">
      <c r="A1840" s="170">
        <v>44714</v>
      </c>
      <c r="B1840" s="116">
        <v>8689.7000000000007</v>
      </c>
      <c r="C1840" s="116">
        <v>8627.7000000000007</v>
      </c>
      <c r="D1840" s="116">
        <v>8557.0499999999993</v>
      </c>
      <c r="E1840" s="116">
        <v>8631</v>
      </c>
      <c r="F1840" s="116">
        <v>8627.7000000000007</v>
      </c>
      <c r="G1840">
        <v>16017</v>
      </c>
      <c r="H1840" s="116"/>
      <c r="I1840" s="116"/>
      <c r="L1840" s="170">
        <v>44714</v>
      </c>
      <c r="M1840" s="116">
        <v>8629.15</v>
      </c>
      <c r="N1840" s="116">
        <v>8689</v>
      </c>
      <c r="O1840" s="116">
        <v>8560</v>
      </c>
      <c r="P1840" s="116">
        <v>8649</v>
      </c>
      <c r="Q1840" s="116">
        <v>8629.15</v>
      </c>
      <c r="R1840">
        <v>325702</v>
      </c>
    </row>
    <row r="1841" spans="1:18" x14ac:dyDescent="0.25">
      <c r="A1841" s="170">
        <v>44715</v>
      </c>
      <c r="B1841" s="116">
        <v>8779.2000000000007</v>
      </c>
      <c r="C1841" s="116">
        <v>8431.65</v>
      </c>
      <c r="D1841" s="116">
        <v>8370</v>
      </c>
      <c r="E1841" s="116">
        <v>8708</v>
      </c>
      <c r="F1841" s="116">
        <v>8431.65</v>
      </c>
      <c r="G1841">
        <v>16958</v>
      </c>
      <c r="H1841" s="116"/>
      <c r="I1841" s="116"/>
      <c r="L1841" s="170">
        <v>44715</v>
      </c>
      <c r="M1841" s="116">
        <v>8433.2999999999993</v>
      </c>
      <c r="N1841" s="116">
        <v>8775.9500000000007</v>
      </c>
      <c r="O1841" s="116">
        <v>8366.2999999999993</v>
      </c>
      <c r="P1841" s="116">
        <v>8740</v>
      </c>
      <c r="Q1841" s="116">
        <v>8433.2999999999993</v>
      </c>
      <c r="R1841">
        <v>354646</v>
      </c>
    </row>
    <row r="1842" spans="1:18" x14ac:dyDescent="0.25">
      <c r="A1842" s="170">
        <v>44718</v>
      </c>
      <c r="B1842" s="116">
        <v>8756.5</v>
      </c>
      <c r="C1842" s="116">
        <v>8694.1</v>
      </c>
      <c r="D1842" s="116">
        <v>8323.5</v>
      </c>
      <c r="E1842" s="116">
        <v>8448</v>
      </c>
      <c r="F1842" s="116">
        <v>8694.1</v>
      </c>
      <c r="G1842">
        <v>32032</v>
      </c>
      <c r="H1842" s="116"/>
      <c r="I1842" s="116"/>
      <c r="L1842" s="170">
        <v>44718</v>
      </c>
      <c r="M1842" s="116">
        <v>8696.25</v>
      </c>
      <c r="N1842" s="116">
        <v>8758.4</v>
      </c>
      <c r="O1842" s="116">
        <v>8324</v>
      </c>
      <c r="P1842" s="116">
        <v>8400</v>
      </c>
      <c r="Q1842" s="116">
        <v>8696.25</v>
      </c>
      <c r="R1842">
        <v>685885</v>
      </c>
    </row>
    <row r="1843" spans="1:18" x14ac:dyDescent="0.25">
      <c r="A1843" s="170">
        <v>44719</v>
      </c>
      <c r="B1843" s="116">
        <v>8770</v>
      </c>
      <c r="C1843" s="116">
        <v>8619.0499999999993</v>
      </c>
      <c r="D1843" s="116">
        <v>8577.75</v>
      </c>
      <c r="E1843" s="116">
        <v>8661</v>
      </c>
      <c r="F1843" s="116">
        <v>8619.0499999999993</v>
      </c>
      <c r="G1843">
        <v>18782</v>
      </c>
      <c r="H1843" s="116"/>
      <c r="I1843" s="116"/>
      <c r="L1843" s="170">
        <v>44719</v>
      </c>
      <c r="M1843" s="116">
        <v>8618.35</v>
      </c>
      <c r="N1843" s="116">
        <v>8770</v>
      </c>
      <c r="O1843" s="116">
        <v>8582</v>
      </c>
      <c r="P1843" s="116">
        <v>8680</v>
      </c>
      <c r="Q1843" s="116">
        <v>8618.35</v>
      </c>
      <c r="R1843">
        <v>393626</v>
      </c>
    </row>
    <row r="1844" spans="1:18" x14ac:dyDescent="0.25">
      <c r="A1844" s="170">
        <v>44720</v>
      </c>
      <c r="B1844" s="116">
        <v>8710</v>
      </c>
      <c r="C1844" s="116">
        <v>8604.9500000000007</v>
      </c>
      <c r="D1844" s="116">
        <v>8552.4</v>
      </c>
      <c r="E1844" s="116">
        <v>8621</v>
      </c>
      <c r="F1844" s="116">
        <v>8604.9500000000007</v>
      </c>
      <c r="G1844">
        <v>18244</v>
      </c>
      <c r="H1844" s="116"/>
      <c r="I1844" s="116"/>
      <c r="L1844" s="170">
        <v>44720</v>
      </c>
      <c r="M1844" s="116">
        <v>8608.9500000000007</v>
      </c>
      <c r="N1844" s="116">
        <v>8710</v>
      </c>
      <c r="O1844" s="116">
        <v>8552.2000000000007</v>
      </c>
      <c r="P1844" s="116">
        <v>8630.35</v>
      </c>
      <c r="Q1844" s="116">
        <v>8608.9500000000007</v>
      </c>
      <c r="R1844">
        <v>210199</v>
      </c>
    </row>
    <row r="1845" spans="1:18" x14ac:dyDescent="0.25">
      <c r="A1845" s="170">
        <v>44721</v>
      </c>
      <c r="B1845" s="116">
        <v>8738</v>
      </c>
      <c r="C1845" s="116">
        <v>8688.1</v>
      </c>
      <c r="D1845" s="116">
        <v>8551.0499999999993</v>
      </c>
      <c r="E1845" s="116">
        <v>8608</v>
      </c>
      <c r="F1845" s="116">
        <v>8688.1</v>
      </c>
      <c r="G1845">
        <v>13739</v>
      </c>
      <c r="H1845" s="116"/>
      <c r="I1845" s="116"/>
      <c r="L1845" s="170">
        <v>44721</v>
      </c>
      <c r="M1845" s="116">
        <v>8693.6</v>
      </c>
      <c r="N1845" s="116">
        <v>8740</v>
      </c>
      <c r="O1845" s="116">
        <v>8560</v>
      </c>
      <c r="P1845" s="116">
        <v>8595</v>
      </c>
      <c r="Q1845" s="116">
        <v>8693.6</v>
      </c>
      <c r="R1845">
        <v>339870</v>
      </c>
    </row>
    <row r="1846" spans="1:18" x14ac:dyDescent="0.25">
      <c r="A1846" s="170">
        <v>44722</v>
      </c>
      <c r="B1846" s="116">
        <v>8660.2999999999993</v>
      </c>
      <c r="C1846" s="116">
        <v>8598.2999999999993</v>
      </c>
      <c r="D1846" s="116">
        <v>8569.2999999999993</v>
      </c>
      <c r="E1846" s="116">
        <v>8649</v>
      </c>
      <c r="F1846" s="116">
        <v>8598.2999999999993</v>
      </c>
      <c r="G1846">
        <v>8481</v>
      </c>
      <c r="H1846" s="116"/>
      <c r="I1846" s="116"/>
      <c r="L1846" s="170">
        <v>44722</v>
      </c>
      <c r="M1846" s="116">
        <v>8602.9</v>
      </c>
      <c r="N1846" s="116">
        <v>8665.2000000000007</v>
      </c>
      <c r="O1846" s="116">
        <v>8550</v>
      </c>
      <c r="P1846" s="116">
        <v>8620</v>
      </c>
      <c r="Q1846" s="116">
        <v>8602.9</v>
      </c>
      <c r="R1846">
        <v>213882</v>
      </c>
    </row>
    <row r="1847" spans="1:18" x14ac:dyDescent="0.25">
      <c r="A1847" s="170">
        <v>44725</v>
      </c>
      <c r="B1847" s="116">
        <v>8694</v>
      </c>
      <c r="C1847" s="116">
        <v>8462.7000000000007</v>
      </c>
      <c r="D1847" s="116">
        <v>8408.2999999999993</v>
      </c>
      <c r="E1847" s="116">
        <v>8500</v>
      </c>
      <c r="F1847" s="116">
        <v>8462.7000000000007</v>
      </c>
      <c r="G1847">
        <v>18754</v>
      </c>
      <c r="H1847" s="116"/>
      <c r="I1847" s="116"/>
      <c r="L1847" s="170">
        <v>44725</v>
      </c>
      <c r="M1847" s="116">
        <v>8462</v>
      </c>
      <c r="N1847" s="116">
        <v>8696</v>
      </c>
      <c r="O1847" s="116">
        <v>8411.6</v>
      </c>
      <c r="P1847" s="116">
        <v>8470</v>
      </c>
      <c r="Q1847" s="116">
        <v>8462</v>
      </c>
      <c r="R1847">
        <v>487797</v>
      </c>
    </row>
    <row r="1848" spans="1:18" x14ac:dyDescent="0.25">
      <c r="A1848" s="170">
        <v>44726</v>
      </c>
      <c r="B1848" s="116">
        <v>8552.9</v>
      </c>
      <c r="C1848" s="116">
        <v>8385.35</v>
      </c>
      <c r="D1848" s="116">
        <v>8369.7999999999993</v>
      </c>
      <c r="E1848" s="116">
        <v>8440</v>
      </c>
      <c r="F1848" s="116">
        <v>8385.35</v>
      </c>
      <c r="G1848">
        <v>21549</v>
      </c>
      <c r="H1848" s="116"/>
      <c r="I1848" s="116"/>
      <c r="L1848" s="170">
        <v>44726</v>
      </c>
      <c r="M1848" s="116">
        <v>8386.75</v>
      </c>
      <c r="N1848" s="116">
        <v>8555.5</v>
      </c>
      <c r="O1848" s="116">
        <v>8375</v>
      </c>
      <c r="P1848" s="116">
        <v>8439.9500000000007</v>
      </c>
      <c r="Q1848" s="116">
        <v>8386.75</v>
      </c>
      <c r="R1848">
        <v>230884</v>
      </c>
    </row>
    <row r="1849" spans="1:18" x14ac:dyDescent="0.25">
      <c r="A1849" s="170">
        <v>44727</v>
      </c>
      <c r="B1849" s="116">
        <v>8525</v>
      </c>
      <c r="C1849" s="116">
        <v>8160.85</v>
      </c>
      <c r="D1849" s="116">
        <v>8111.8</v>
      </c>
      <c r="E1849" s="116">
        <v>8499</v>
      </c>
      <c r="F1849" s="116">
        <v>8160.85</v>
      </c>
      <c r="G1849">
        <v>12109</v>
      </c>
      <c r="H1849" s="116"/>
      <c r="I1849" s="116"/>
      <c r="L1849" s="170">
        <v>44727</v>
      </c>
      <c r="M1849" s="116">
        <v>8159.65</v>
      </c>
      <c r="N1849" s="116">
        <v>8521.7999999999993</v>
      </c>
      <c r="O1849" s="116">
        <v>8111.1</v>
      </c>
      <c r="P1849" s="116">
        <v>8475</v>
      </c>
      <c r="Q1849" s="116">
        <v>8159.65</v>
      </c>
      <c r="R1849">
        <v>311273</v>
      </c>
    </row>
    <row r="1850" spans="1:18" x14ac:dyDescent="0.25">
      <c r="A1850" s="170">
        <v>44728</v>
      </c>
      <c r="B1850" s="116">
        <v>8368.5</v>
      </c>
      <c r="C1850" s="116">
        <v>7998.6</v>
      </c>
      <c r="D1850" s="116">
        <v>7775.1</v>
      </c>
      <c r="E1850" s="116">
        <v>8310</v>
      </c>
      <c r="F1850" s="116">
        <v>7998.6</v>
      </c>
      <c r="G1850">
        <v>50701</v>
      </c>
      <c r="H1850" s="116"/>
      <c r="I1850" s="116"/>
      <c r="L1850" s="170">
        <v>44728</v>
      </c>
      <c r="M1850" s="116">
        <v>7991.9</v>
      </c>
      <c r="N1850" s="116">
        <v>8369</v>
      </c>
      <c r="O1850" s="116">
        <v>7775</v>
      </c>
      <c r="P1850" s="116">
        <v>8340</v>
      </c>
      <c r="Q1850" s="116">
        <v>7991.9</v>
      </c>
      <c r="R1850">
        <v>531165</v>
      </c>
    </row>
    <row r="1851" spans="1:18" x14ac:dyDescent="0.25">
      <c r="A1851" s="170">
        <v>44729</v>
      </c>
      <c r="B1851" s="116">
        <v>7924.95</v>
      </c>
      <c r="C1851" s="116">
        <v>7813.9</v>
      </c>
      <c r="D1851" s="116">
        <v>7683.2</v>
      </c>
      <c r="E1851" s="116">
        <v>7861</v>
      </c>
      <c r="F1851" s="116">
        <v>7813.9</v>
      </c>
      <c r="G1851">
        <v>50129</v>
      </c>
      <c r="H1851" s="116"/>
      <c r="I1851" s="116"/>
      <c r="L1851" s="170">
        <v>44729</v>
      </c>
      <c r="M1851" s="116">
        <v>7812.85</v>
      </c>
      <c r="N1851" s="116">
        <v>7925</v>
      </c>
      <c r="O1851" s="116">
        <v>7680.5</v>
      </c>
      <c r="P1851" s="116">
        <v>7875</v>
      </c>
      <c r="Q1851" s="116">
        <v>7812.85</v>
      </c>
      <c r="R1851">
        <v>645946</v>
      </c>
    </row>
    <row r="1852" spans="1:18" x14ac:dyDescent="0.25">
      <c r="A1852" s="170">
        <v>44732</v>
      </c>
      <c r="B1852" s="116">
        <v>7812.35</v>
      </c>
      <c r="C1852" s="116">
        <v>7260.85</v>
      </c>
      <c r="D1852" s="116">
        <v>7200</v>
      </c>
      <c r="E1852" s="116">
        <v>7787</v>
      </c>
      <c r="F1852" s="116">
        <v>7260.85</v>
      </c>
      <c r="G1852">
        <v>56259</v>
      </c>
      <c r="H1852" s="116"/>
      <c r="I1852" s="116"/>
      <c r="L1852" s="170">
        <v>44732</v>
      </c>
      <c r="M1852" s="116">
        <v>7254.85</v>
      </c>
      <c r="N1852" s="116">
        <v>7812.8</v>
      </c>
      <c r="O1852" s="116">
        <v>7200</v>
      </c>
      <c r="P1852" s="116">
        <v>7810</v>
      </c>
      <c r="Q1852" s="116">
        <v>7254.85</v>
      </c>
      <c r="R1852">
        <v>628149</v>
      </c>
    </row>
    <row r="1853" spans="1:18" x14ac:dyDescent="0.25">
      <c r="A1853" s="170">
        <v>44733</v>
      </c>
      <c r="B1853" s="116">
        <v>7595.25</v>
      </c>
      <c r="C1853" s="116">
        <v>7549.4</v>
      </c>
      <c r="D1853" s="116">
        <v>7122.25</v>
      </c>
      <c r="E1853" s="116">
        <v>7280</v>
      </c>
      <c r="F1853" s="116">
        <v>7549.4</v>
      </c>
      <c r="G1853">
        <v>68140</v>
      </c>
      <c r="H1853" s="116"/>
      <c r="I1853" s="116"/>
      <c r="L1853" s="170">
        <v>44733</v>
      </c>
      <c r="M1853" s="116">
        <v>7551.6</v>
      </c>
      <c r="N1853" s="116">
        <v>7600</v>
      </c>
      <c r="O1853" s="116">
        <v>7123</v>
      </c>
      <c r="P1853" s="116">
        <v>7301</v>
      </c>
      <c r="Q1853" s="116">
        <v>7551.6</v>
      </c>
      <c r="R1853">
        <v>954372</v>
      </c>
    </row>
    <row r="1854" spans="1:18" x14ac:dyDescent="0.25">
      <c r="A1854" s="170">
        <v>44734</v>
      </c>
      <c r="B1854" s="116">
        <v>7623.95</v>
      </c>
      <c r="C1854" s="116">
        <v>7492.1</v>
      </c>
      <c r="D1854" s="116">
        <v>7359</v>
      </c>
      <c r="E1854" s="116">
        <v>7564.95</v>
      </c>
      <c r="F1854" s="116">
        <v>7492.1</v>
      </c>
      <c r="G1854">
        <v>21563</v>
      </c>
      <c r="H1854" s="116"/>
      <c r="I1854" s="116"/>
      <c r="L1854" s="170">
        <v>44734</v>
      </c>
      <c r="M1854" s="116">
        <v>7492.3</v>
      </c>
      <c r="N1854" s="116">
        <v>7625</v>
      </c>
      <c r="O1854" s="116">
        <v>7351</v>
      </c>
      <c r="P1854" s="116">
        <v>7550</v>
      </c>
      <c r="Q1854" s="116">
        <v>7492.3</v>
      </c>
      <c r="R1854">
        <v>542906</v>
      </c>
    </row>
    <row r="1855" spans="1:18" x14ac:dyDescent="0.25">
      <c r="A1855" s="170">
        <v>44735</v>
      </c>
      <c r="B1855" s="116">
        <v>7847.5</v>
      </c>
      <c r="C1855" s="116">
        <v>7791.05</v>
      </c>
      <c r="D1855" s="116">
        <v>7481</v>
      </c>
      <c r="E1855" s="116">
        <v>7490</v>
      </c>
      <c r="F1855" s="116">
        <v>7791.05</v>
      </c>
      <c r="G1855">
        <v>23165</v>
      </c>
      <c r="H1855" s="116"/>
      <c r="I1855" s="116"/>
      <c r="L1855" s="170">
        <v>44735</v>
      </c>
      <c r="M1855" s="116">
        <v>7788.05</v>
      </c>
      <c r="N1855" s="116">
        <v>7848.7</v>
      </c>
      <c r="O1855" s="116">
        <v>7481.6</v>
      </c>
      <c r="P1855" s="116">
        <v>7500</v>
      </c>
      <c r="Q1855" s="116">
        <v>7788.05</v>
      </c>
      <c r="R1855">
        <v>562596</v>
      </c>
    </row>
    <row r="1856" spans="1:18" x14ac:dyDescent="0.25">
      <c r="A1856" s="170">
        <v>44736</v>
      </c>
      <c r="B1856" s="116">
        <v>7965</v>
      </c>
      <c r="C1856" s="116">
        <v>7788.45</v>
      </c>
      <c r="D1856" s="116">
        <v>7735.9</v>
      </c>
      <c r="E1856" s="116">
        <v>7885</v>
      </c>
      <c r="F1856" s="116">
        <v>7788.45</v>
      </c>
      <c r="G1856">
        <v>30688</v>
      </c>
      <c r="H1856" s="116"/>
      <c r="I1856" s="116"/>
      <c r="L1856" s="170">
        <v>44736</v>
      </c>
      <c r="M1856" s="116">
        <v>7794.35</v>
      </c>
      <c r="N1856" s="116">
        <v>7964.85</v>
      </c>
      <c r="O1856" s="116">
        <v>7738.05</v>
      </c>
      <c r="P1856" s="116">
        <v>7900</v>
      </c>
      <c r="Q1856" s="116">
        <v>7794.35</v>
      </c>
      <c r="R1856">
        <v>396405</v>
      </c>
    </row>
    <row r="1857" spans="1:18" x14ac:dyDescent="0.25">
      <c r="A1857" s="170">
        <v>44739</v>
      </c>
      <c r="B1857" s="116">
        <v>8047</v>
      </c>
      <c r="C1857" s="116">
        <v>7994.2</v>
      </c>
      <c r="D1857" s="116">
        <v>7865.1</v>
      </c>
      <c r="E1857" s="116">
        <v>7900</v>
      </c>
      <c r="F1857" s="116">
        <v>7994.2</v>
      </c>
      <c r="G1857">
        <v>19894</v>
      </c>
      <c r="H1857" s="116"/>
      <c r="I1857" s="116"/>
      <c r="L1857" s="170">
        <v>44739</v>
      </c>
      <c r="M1857" s="116">
        <v>7991.6</v>
      </c>
      <c r="N1857" s="116">
        <v>8050</v>
      </c>
      <c r="O1857" s="116">
        <v>7861.75</v>
      </c>
      <c r="P1857" s="116">
        <v>7940</v>
      </c>
      <c r="Q1857" s="116">
        <v>7991.6</v>
      </c>
      <c r="R1857">
        <v>403762</v>
      </c>
    </row>
    <row r="1858" spans="1:18" x14ac:dyDescent="0.25">
      <c r="A1858" s="170">
        <v>44740</v>
      </c>
      <c r="B1858" s="116">
        <v>8065</v>
      </c>
      <c r="C1858" s="116">
        <v>8040.3</v>
      </c>
      <c r="D1858" s="116">
        <v>7911.2</v>
      </c>
      <c r="E1858" s="116">
        <v>7939</v>
      </c>
      <c r="F1858" s="116">
        <v>8040.3</v>
      </c>
      <c r="G1858">
        <v>19345</v>
      </c>
      <c r="H1858" s="116"/>
      <c r="I1858" s="116"/>
      <c r="L1858" s="170">
        <v>44740</v>
      </c>
      <c r="M1858" s="116">
        <v>8036.7</v>
      </c>
      <c r="N1858" s="116">
        <v>8060</v>
      </c>
      <c r="O1858" s="116">
        <v>7915</v>
      </c>
      <c r="P1858" s="116">
        <v>7958</v>
      </c>
      <c r="Q1858" s="116">
        <v>8036.7</v>
      </c>
      <c r="R1858">
        <v>273264</v>
      </c>
    </row>
    <row r="1859" spans="1:18" x14ac:dyDescent="0.25">
      <c r="A1859" s="170">
        <v>44741</v>
      </c>
      <c r="B1859" s="116">
        <v>8234.75</v>
      </c>
      <c r="C1859" s="116">
        <v>8187.25</v>
      </c>
      <c r="D1859" s="116">
        <v>7951.45</v>
      </c>
      <c r="E1859" s="116">
        <v>7980</v>
      </c>
      <c r="F1859" s="116">
        <v>8187.25</v>
      </c>
      <c r="G1859">
        <v>30860</v>
      </c>
      <c r="H1859" s="116"/>
      <c r="I1859" s="116"/>
      <c r="L1859" s="170">
        <v>44741</v>
      </c>
      <c r="M1859" s="116">
        <v>8186.35</v>
      </c>
      <c r="N1859" s="116">
        <v>8231</v>
      </c>
      <c r="O1859" s="116">
        <v>7951.4</v>
      </c>
      <c r="P1859" s="116">
        <v>8000</v>
      </c>
      <c r="Q1859" s="116">
        <v>8186.35</v>
      </c>
      <c r="R1859">
        <v>435851</v>
      </c>
    </row>
    <row r="1860" spans="1:18" x14ac:dyDescent="0.25">
      <c r="A1860" s="170">
        <v>44742</v>
      </c>
      <c r="B1860" s="116">
        <v>8326.6</v>
      </c>
      <c r="C1860" s="116">
        <v>8164.6</v>
      </c>
      <c r="D1860" s="116">
        <v>8061.25</v>
      </c>
      <c r="E1860" s="116">
        <v>8178.7</v>
      </c>
      <c r="F1860" s="116">
        <v>8164.6</v>
      </c>
      <c r="G1860">
        <v>23404</v>
      </c>
      <c r="H1860" s="116"/>
      <c r="I1860" s="116"/>
      <c r="L1860" s="170">
        <v>44742</v>
      </c>
      <c r="M1860" s="116">
        <v>8170.55</v>
      </c>
      <c r="N1860" s="116">
        <v>8329.9500000000007</v>
      </c>
      <c r="O1860" s="116">
        <v>8085</v>
      </c>
      <c r="P1860" s="116">
        <v>8225</v>
      </c>
      <c r="Q1860" s="116">
        <v>8170.55</v>
      </c>
      <c r="R1860">
        <v>279462</v>
      </c>
    </row>
    <row r="1861" spans="1:18" x14ac:dyDescent="0.25">
      <c r="A1861" s="170">
        <v>44743</v>
      </c>
      <c r="B1861" s="116">
        <v>8241.7000000000007</v>
      </c>
      <c r="C1861" s="116">
        <v>8152.05</v>
      </c>
      <c r="D1861" s="116">
        <v>8020.35</v>
      </c>
      <c r="E1861" s="116">
        <v>8166.2</v>
      </c>
      <c r="F1861" s="116">
        <v>8152.05</v>
      </c>
      <c r="G1861">
        <v>13394</v>
      </c>
      <c r="H1861" s="116"/>
      <c r="I1861" s="116"/>
      <c r="L1861" s="170">
        <v>44743</v>
      </c>
      <c r="M1861" s="116">
        <v>8152.05</v>
      </c>
      <c r="N1861" s="116">
        <v>8239</v>
      </c>
      <c r="O1861" s="116">
        <v>8022</v>
      </c>
      <c r="P1861" s="116">
        <v>8170.55</v>
      </c>
      <c r="Q1861" s="116">
        <v>8152.05</v>
      </c>
      <c r="R1861">
        <v>270194</v>
      </c>
    </row>
    <row r="1862" spans="1:18" x14ac:dyDescent="0.25">
      <c r="A1862" s="170">
        <v>44746</v>
      </c>
      <c r="B1862" s="116">
        <v>8233.0499999999993</v>
      </c>
      <c r="C1862" s="116">
        <v>8082.9</v>
      </c>
      <c r="D1862" s="116">
        <v>8052</v>
      </c>
      <c r="E1862" s="116">
        <v>8161</v>
      </c>
      <c r="F1862" s="116">
        <v>8082.9</v>
      </c>
      <c r="G1862">
        <v>7753</v>
      </c>
      <c r="H1862" s="116"/>
      <c r="I1862" s="116"/>
      <c r="L1862" s="170">
        <v>44746</v>
      </c>
      <c r="M1862" s="116">
        <v>8081.4</v>
      </c>
      <c r="N1862" s="116">
        <v>8235</v>
      </c>
      <c r="O1862" s="116">
        <v>8050.1</v>
      </c>
      <c r="P1862" s="116">
        <v>8205</v>
      </c>
      <c r="Q1862" s="116">
        <v>8081.4</v>
      </c>
      <c r="R1862">
        <v>155702</v>
      </c>
    </row>
    <row r="1863" spans="1:18" x14ac:dyDescent="0.25">
      <c r="A1863" s="170">
        <v>44747</v>
      </c>
      <c r="B1863" s="116">
        <v>8159.4</v>
      </c>
      <c r="C1863" s="116">
        <v>7998.9</v>
      </c>
      <c r="D1863" s="116">
        <v>7965</v>
      </c>
      <c r="E1863" s="116">
        <v>8105</v>
      </c>
      <c r="F1863" s="116">
        <v>7998.9</v>
      </c>
      <c r="G1863">
        <v>20588</v>
      </c>
      <c r="H1863" s="116"/>
      <c r="I1863" s="116"/>
      <c r="L1863" s="170">
        <v>44747</v>
      </c>
      <c r="M1863" s="116">
        <v>8003.2</v>
      </c>
      <c r="N1863" s="116">
        <v>8148.95</v>
      </c>
      <c r="O1863" s="116">
        <v>7970</v>
      </c>
      <c r="P1863" s="116">
        <v>8124</v>
      </c>
      <c r="Q1863" s="116">
        <v>8003.2</v>
      </c>
      <c r="R1863">
        <v>165819</v>
      </c>
    </row>
    <row r="1864" spans="1:18" x14ac:dyDescent="0.25">
      <c r="A1864" s="170">
        <v>44748</v>
      </c>
      <c r="B1864" s="116">
        <v>8090.2</v>
      </c>
      <c r="C1864" s="116">
        <v>7973.45</v>
      </c>
      <c r="D1864" s="116">
        <v>7912</v>
      </c>
      <c r="E1864" s="116">
        <v>8004</v>
      </c>
      <c r="F1864" s="116">
        <v>7973.45</v>
      </c>
      <c r="G1864">
        <v>10834</v>
      </c>
      <c r="H1864" s="116"/>
      <c r="I1864" s="116"/>
      <c r="L1864" s="170">
        <v>44748</v>
      </c>
      <c r="M1864" s="116">
        <v>7973.85</v>
      </c>
      <c r="N1864" s="116">
        <v>8090</v>
      </c>
      <c r="O1864" s="116">
        <v>7912</v>
      </c>
      <c r="P1864" s="116">
        <v>8035.9</v>
      </c>
      <c r="Q1864" s="116">
        <v>7973.85</v>
      </c>
      <c r="R1864">
        <v>186608</v>
      </c>
    </row>
    <row r="1865" spans="1:18" x14ac:dyDescent="0.25">
      <c r="A1865" s="170">
        <v>44749</v>
      </c>
      <c r="B1865" s="116">
        <v>8150</v>
      </c>
      <c r="C1865" s="116">
        <v>8081.65</v>
      </c>
      <c r="D1865" s="116">
        <v>8011.4</v>
      </c>
      <c r="E1865" s="116">
        <v>8056.8</v>
      </c>
      <c r="F1865" s="116">
        <v>8081.65</v>
      </c>
      <c r="G1865">
        <v>7169</v>
      </c>
      <c r="H1865" s="116"/>
      <c r="I1865" s="116"/>
      <c r="L1865" s="170">
        <v>44749</v>
      </c>
      <c r="M1865" s="116">
        <v>8082.9</v>
      </c>
      <c r="N1865" s="116">
        <v>8150</v>
      </c>
      <c r="O1865" s="116">
        <v>8009</v>
      </c>
      <c r="P1865" s="116">
        <v>8114</v>
      </c>
      <c r="Q1865" s="116">
        <v>8082.9</v>
      </c>
      <c r="R1865">
        <v>185172</v>
      </c>
    </row>
    <row r="1866" spans="1:18" x14ac:dyDescent="0.25">
      <c r="A1866" s="170">
        <v>44750</v>
      </c>
      <c r="B1866" s="116">
        <v>8134.45</v>
      </c>
      <c r="C1866" s="116">
        <v>7991.85</v>
      </c>
      <c r="D1866" s="116">
        <v>7955.3</v>
      </c>
      <c r="E1866" s="116">
        <v>8101</v>
      </c>
      <c r="F1866" s="116">
        <v>7991.85</v>
      </c>
      <c r="G1866">
        <v>9895</v>
      </c>
      <c r="H1866" s="116"/>
      <c r="I1866" s="116"/>
      <c r="L1866" s="170">
        <v>44750</v>
      </c>
      <c r="M1866" s="116">
        <v>7993.15</v>
      </c>
      <c r="N1866" s="116">
        <v>8144.85</v>
      </c>
      <c r="O1866" s="116">
        <v>7952</v>
      </c>
      <c r="P1866" s="116">
        <v>8125</v>
      </c>
      <c r="Q1866" s="116">
        <v>7993.15</v>
      </c>
      <c r="R1866">
        <v>194361</v>
      </c>
    </row>
    <row r="1867" spans="1:18" x14ac:dyDescent="0.25">
      <c r="A1867" s="170">
        <v>44753</v>
      </c>
      <c r="B1867" s="116">
        <v>8122.6</v>
      </c>
      <c r="C1867" s="116">
        <v>8042.25</v>
      </c>
      <c r="D1867" s="116">
        <v>7820</v>
      </c>
      <c r="E1867" s="116">
        <v>7995</v>
      </c>
      <c r="F1867" s="116">
        <v>8042.25</v>
      </c>
      <c r="G1867">
        <v>10116</v>
      </c>
      <c r="H1867" s="116"/>
      <c r="I1867" s="116"/>
      <c r="L1867" s="170">
        <v>44753</v>
      </c>
      <c r="M1867" s="116">
        <v>8046</v>
      </c>
      <c r="N1867" s="116">
        <v>8120</v>
      </c>
      <c r="O1867" s="116">
        <v>7815.65</v>
      </c>
      <c r="P1867" s="116">
        <v>7948</v>
      </c>
      <c r="Q1867" s="116">
        <v>8046</v>
      </c>
      <c r="R1867">
        <v>242078</v>
      </c>
    </row>
    <row r="1868" spans="1:18" x14ac:dyDescent="0.25">
      <c r="A1868" s="170">
        <v>44754</v>
      </c>
      <c r="B1868" s="116">
        <v>8073.9</v>
      </c>
      <c r="C1868" s="116">
        <v>7950.1</v>
      </c>
      <c r="D1868" s="116">
        <v>7928.35</v>
      </c>
      <c r="E1868" s="116">
        <v>8000</v>
      </c>
      <c r="F1868" s="116">
        <v>7950.1</v>
      </c>
      <c r="G1868">
        <v>7085</v>
      </c>
      <c r="H1868" s="116"/>
      <c r="I1868" s="116"/>
      <c r="L1868" s="170">
        <v>44754</v>
      </c>
      <c r="M1868" s="116">
        <v>7958</v>
      </c>
      <c r="N1868" s="116">
        <v>8075</v>
      </c>
      <c r="O1868" s="116">
        <v>7933</v>
      </c>
      <c r="P1868" s="116">
        <v>8000</v>
      </c>
      <c r="Q1868" s="116">
        <v>7958</v>
      </c>
      <c r="R1868">
        <v>149473</v>
      </c>
    </row>
    <row r="1869" spans="1:18" x14ac:dyDescent="0.25">
      <c r="A1869" s="170">
        <v>44755</v>
      </c>
      <c r="B1869" s="116">
        <v>8027</v>
      </c>
      <c r="C1869" s="116">
        <v>7711.5</v>
      </c>
      <c r="D1869" s="116">
        <v>7683.75</v>
      </c>
      <c r="E1869" s="116">
        <v>7970</v>
      </c>
      <c r="F1869" s="116">
        <v>7711.5</v>
      </c>
      <c r="G1869">
        <v>14481</v>
      </c>
      <c r="H1869" s="116"/>
      <c r="I1869" s="116"/>
      <c r="L1869" s="170">
        <v>44755</v>
      </c>
      <c r="M1869" s="116">
        <v>7711.4</v>
      </c>
      <c r="N1869" s="116">
        <v>8017.9</v>
      </c>
      <c r="O1869" s="116">
        <v>7685</v>
      </c>
      <c r="P1869" s="116">
        <v>8004</v>
      </c>
      <c r="Q1869" s="116">
        <v>7711.4</v>
      </c>
      <c r="R1869">
        <v>307560</v>
      </c>
    </row>
    <row r="1870" spans="1:18" x14ac:dyDescent="0.25">
      <c r="A1870" s="170">
        <v>44756</v>
      </c>
      <c r="B1870" s="116">
        <v>7844.85</v>
      </c>
      <c r="C1870" s="116">
        <v>7798</v>
      </c>
      <c r="D1870" s="116">
        <v>7635.05</v>
      </c>
      <c r="E1870" s="116">
        <v>7735</v>
      </c>
      <c r="F1870" s="116">
        <v>7798</v>
      </c>
      <c r="G1870">
        <v>32662</v>
      </c>
      <c r="H1870" s="116"/>
      <c r="I1870" s="116"/>
      <c r="L1870" s="170">
        <v>44756</v>
      </c>
      <c r="M1870" s="116">
        <v>7799.55</v>
      </c>
      <c r="N1870" s="116">
        <v>7844.95</v>
      </c>
      <c r="O1870" s="116">
        <v>7636</v>
      </c>
      <c r="P1870" s="116">
        <v>7777.9</v>
      </c>
      <c r="Q1870" s="116">
        <v>7799.55</v>
      </c>
      <c r="R1870">
        <v>352503</v>
      </c>
    </row>
    <row r="1871" spans="1:18" x14ac:dyDescent="0.25">
      <c r="A1871" s="170">
        <v>44757</v>
      </c>
      <c r="B1871" s="116">
        <v>8119</v>
      </c>
      <c r="C1871" s="116">
        <v>8055.85</v>
      </c>
      <c r="D1871" s="116">
        <v>7870</v>
      </c>
      <c r="E1871" s="116">
        <v>7940</v>
      </c>
      <c r="F1871" s="116">
        <v>8055.85</v>
      </c>
      <c r="G1871">
        <v>40368</v>
      </c>
      <c r="H1871" s="116"/>
      <c r="I1871" s="116"/>
      <c r="L1871" s="170">
        <v>44757</v>
      </c>
      <c r="M1871" s="116">
        <v>8060.6</v>
      </c>
      <c r="N1871" s="116">
        <v>8119</v>
      </c>
      <c r="O1871" s="116">
        <v>7863</v>
      </c>
      <c r="P1871" s="116">
        <v>7940</v>
      </c>
      <c r="Q1871" s="116">
        <v>8060.6</v>
      </c>
      <c r="R1871">
        <v>1018820</v>
      </c>
    </row>
    <row r="1872" spans="1:18" x14ac:dyDescent="0.25">
      <c r="A1872" s="170">
        <v>44760</v>
      </c>
      <c r="B1872" s="116">
        <v>8185</v>
      </c>
      <c r="C1872" s="116">
        <v>8099.1</v>
      </c>
      <c r="D1872" s="116">
        <v>8065</v>
      </c>
      <c r="E1872" s="116">
        <v>8109</v>
      </c>
      <c r="F1872" s="116">
        <v>8099.1</v>
      </c>
      <c r="G1872">
        <v>52465</v>
      </c>
      <c r="H1872" s="116"/>
      <c r="I1872" s="116"/>
      <c r="L1872" s="170">
        <v>44760</v>
      </c>
      <c r="M1872" s="116">
        <v>8104.05</v>
      </c>
      <c r="N1872" s="116">
        <v>8185.95</v>
      </c>
      <c r="O1872" s="116">
        <v>8064</v>
      </c>
      <c r="P1872" s="116">
        <v>8100.4</v>
      </c>
      <c r="Q1872" s="116">
        <v>8104.05</v>
      </c>
      <c r="R1872">
        <v>288203</v>
      </c>
    </row>
    <row r="1873" spans="1:18" x14ac:dyDescent="0.25">
      <c r="A1873" s="170">
        <v>44761</v>
      </c>
      <c r="B1873" s="116">
        <v>8148.95</v>
      </c>
      <c r="C1873" s="116">
        <v>8075.4</v>
      </c>
      <c r="D1873" s="116">
        <v>8035</v>
      </c>
      <c r="E1873" s="116">
        <v>8103.8</v>
      </c>
      <c r="F1873" s="116">
        <v>8075.4</v>
      </c>
      <c r="G1873">
        <v>7508</v>
      </c>
      <c r="H1873" s="116"/>
      <c r="I1873" s="116"/>
      <c r="L1873" s="170">
        <v>44761</v>
      </c>
      <c r="M1873" s="116">
        <v>8079.4</v>
      </c>
      <c r="N1873" s="116">
        <v>8145</v>
      </c>
      <c r="O1873" s="116">
        <v>8032</v>
      </c>
      <c r="P1873" s="116">
        <v>8095</v>
      </c>
      <c r="Q1873" s="116">
        <v>8079.4</v>
      </c>
      <c r="R1873">
        <v>191826</v>
      </c>
    </row>
    <row r="1874" spans="1:18" x14ac:dyDescent="0.25">
      <c r="A1874" s="170">
        <v>44762</v>
      </c>
      <c r="B1874" s="116">
        <v>8212.75</v>
      </c>
      <c r="C1874" s="116">
        <v>8101.55</v>
      </c>
      <c r="D1874" s="116">
        <v>8075</v>
      </c>
      <c r="E1874" s="116">
        <v>8106</v>
      </c>
      <c r="F1874" s="116">
        <v>8101.55</v>
      </c>
      <c r="G1874">
        <v>9893</v>
      </c>
      <c r="H1874" s="116"/>
      <c r="I1874" s="116"/>
      <c r="L1874" s="170">
        <v>44762</v>
      </c>
      <c r="M1874" s="116">
        <v>8113.8</v>
      </c>
      <c r="N1874" s="116">
        <v>8215</v>
      </c>
      <c r="O1874" s="116">
        <v>8075</v>
      </c>
      <c r="P1874" s="116">
        <v>8131</v>
      </c>
      <c r="Q1874" s="116">
        <v>8113.8</v>
      </c>
      <c r="R1874">
        <v>250148</v>
      </c>
    </row>
    <row r="1875" spans="1:18" x14ac:dyDescent="0.25">
      <c r="A1875" s="170">
        <v>44763</v>
      </c>
      <c r="B1875" s="116">
        <v>8234</v>
      </c>
      <c r="C1875" s="116">
        <v>8207.7000000000007</v>
      </c>
      <c r="D1875" s="116">
        <v>8086.15</v>
      </c>
      <c r="E1875" s="116">
        <v>8113.8</v>
      </c>
      <c r="F1875" s="116">
        <v>8207.7000000000007</v>
      </c>
      <c r="G1875">
        <v>8618</v>
      </c>
      <c r="H1875" s="116"/>
      <c r="I1875" s="116"/>
      <c r="L1875" s="170">
        <v>44763</v>
      </c>
      <c r="M1875" s="116">
        <v>8196.2999999999993</v>
      </c>
      <c r="N1875" s="116">
        <v>8234</v>
      </c>
      <c r="O1875" s="116">
        <v>8085</v>
      </c>
      <c r="P1875" s="116">
        <v>8111</v>
      </c>
      <c r="Q1875" s="116">
        <v>8196.2999999999993</v>
      </c>
      <c r="R1875">
        <v>220488</v>
      </c>
    </row>
    <row r="1876" spans="1:18" x14ac:dyDescent="0.25">
      <c r="A1876" s="170">
        <v>44764</v>
      </c>
      <c r="B1876" s="116">
        <v>8460</v>
      </c>
      <c r="C1876" s="116">
        <v>8383.2000000000007</v>
      </c>
      <c r="D1876" s="116">
        <v>8220</v>
      </c>
      <c r="E1876" s="116">
        <v>8220</v>
      </c>
      <c r="F1876" s="116">
        <v>8383.2000000000007</v>
      </c>
      <c r="G1876">
        <v>38980</v>
      </c>
      <c r="H1876" s="116"/>
      <c r="I1876" s="116"/>
      <c r="L1876" s="170">
        <v>44764</v>
      </c>
      <c r="M1876" s="116">
        <v>8386.2999999999993</v>
      </c>
      <c r="N1876" s="116">
        <v>8464.7000000000007</v>
      </c>
      <c r="O1876" s="116">
        <v>8210.5499999999993</v>
      </c>
      <c r="P1876" s="116">
        <v>8232</v>
      </c>
      <c r="Q1876" s="116">
        <v>8386.2999999999993</v>
      </c>
      <c r="R1876">
        <v>496087</v>
      </c>
    </row>
    <row r="1877" spans="1:18" x14ac:dyDescent="0.25">
      <c r="A1877" s="170">
        <v>44767</v>
      </c>
      <c r="B1877" s="116">
        <v>8549</v>
      </c>
      <c r="C1877" s="116">
        <v>8524.5499999999993</v>
      </c>
      <c r="D1877" s="116">
        <v>8317</v>
      </c>
      <c r="E1877" s="116">
        <v>8383</v>
      </c>
      <c r="F1877" s="116">
        <v>8524.5499999999993</v>
      </c>
      <c r="G1877">
        <v>16302</v>
      </c>
      <c r="H1877" s="116"/>
      <c r="I1877" s="116"/>
      <c r="L1877" s="170">
        <v>44767</v>
      </c>
      <c r="M1877" s="116">
        <v>8529.4</v>
      </c>
      <c r="N1877" s="116">
        <v>8550</v>
      </c>
      <c r="O1877" s="116">
        <v>8319.2000000000007</v>
      </c>
      <c r="P1877" s="116">
        <v>8385</v>
      </c>
      <c r="Q1877" s="116">
        <v>8529.4</v>
      </c>
      <c r="R1877">
        <v>388514</v>
      </c>
    </row>
    <row r="1878" spans="1:18" x14ac:dyDescent="0.25">
      <c r="A1878" s="170">
        <v>44768</v>
      </c>
      <c r="B1878" s="116">
        <v>8575</v>
      </c>
      <c r="C1878" s="116">
        <v>8362.4500000000007</v>
      </c>
      <c r="D1878" s="116">
        <v>8300.5499999999993</v>
      </c>
      <c r="E1878" s="116">
        <v>8550</v>
      </c>
      <c r="F1878" s="116">
        <v>8362.4500000000007</v>
      </c>
      <c r="G1878">
        <v>13582</v>
      </c>
      <c r="H1878" s="116"/>
      <c r="I1878" s="116"/>
      <c r="L1878" s="170">
        <v>44768</v>
      </c>
      <c r="M1878" s="116">
        <v>8361.2999999999993</v>
      </c>
      <c r="N1878" s="116">
        <v>8573.4500000000007</v>
      </c>
      <c r="O1878" s="116">
        <v>8302.1</v>
      </c>
      <c r="P1878" s="116">
        <v>8545</v>
      </c>
      <c r="Q1878" s="116">
        <v>8361.2999999999993</v>
      </c>
      <c r="R1878">
        <v>236934</v>
      </c>
    </row>
    <row r="1879" spans="1:18" x14ac:dyDescent="0.25">
      <c r="A1879" s="170">
        <v>44769</v>
      </c>
      <c r="B1879" s="116">
        <v>8500</v>
      </c>
      <c r="C1879" s="116">
        <v>8481.85</v>
      </c>
      <c r="D1879" s="116">
        <v>8341.0499999999993</v>
      </c>
      <c r="E1879" s="116">
        <v>8355</v>
      </c>
      <c r="F1879" s="116">
        <v>8481.85</v>
      </c>
      <c r="G1879">
        <v>15506</v>
      </c>
      <c r="H1879" s="116"/>
      <c r="I1879" s="116"/>
      <c r="L1879" s="170">
        <v>44769</v>
      </c>
      <c r="M1879" s="116">
        <v>8481.4</v>
      </c>
      <c r="N1879" s="116">
        <v>8500</v>
      </c>
      <c r="O1879" s="116">
        <v>8343.0499999999993</v>
      </c>
      <c r="P1879" s="116">
        <v>8361.2999999999993</v>
      </c>
      <c r="Q1879" s="116">
        <v>8481.4</v>
      </c>
      <c r="R1879">
        <v>168885</v>
      </c>
    </row>
    <row r="1880" spans="1:18" x14ac:dyDescent="0.25">
      <c r="A1880" s="170">
        <v>44770</v>
      </c>
      <c r="B1880" s="116">
        <v>8620</v>
      </c>
      <c r="C1880" s="116">
        <v>8557.0499999999993</v>
      </c>
      <c r="D1880" s="116">
        <v>8472</v>
      </c>
      <c r="E1880" s="116">
        <v>8550</v>
      </c>
      <c r="F1880" s="116">
        <v>8557.0499999999993</v>
      </c>
      <c r="G1880">
        <v>22897</v>
      </c>
      <c r="H1880" s="116"/>
      <c r="I1880" s="116"/>
      <c r="L1880" s="170">
        <v>44770</v>
      </c>
      <c r="M1880" s="116">
        <v>8560</v>
      </c>
      <c r="N1880" s="116">
        <v>8621</v>
      </c>
      <c r="O1880" s="116">
        <v>8470.0499999999993</v>
      </c>
      <c r="P1880" s="116">
        <v>8545</v>
      </c>
      <c r="Q1880" s="116">
        <v>8560</v>
      </c>
      <c r="R1880">
        <v>199445</v>
      </c>
    </row>
    <row r="1881" spans="1:18" x14ac:dyDescent="0.25">
      <c r="A1881" s="170">
        <v>44771</v>
      </c>
      <c r="B1881" s="116">
        <v>8699.9</v>
      </c>
      <c r="C1881" s="116">
        <v>8688.6</v>
      </c>
      <c r="D1881" s="116">
        <v>8551.1</v>
      </c>
      <c r="E1881" s="116">
        <v>8649</v>
      </c>
      <c r="F1881" s="116">
        <v>8688.6</v>
      </c>
      <c r="G1881">
        <v>9902</v>
      </c>
      <c r="H1881" s="116"/>
      <c r="I1881" s="116"/>
      <c r="L1881" s="170">
        <v>44771</v>
      </c>
      <c r="M1881" s="116">
        <v>8690.0499999999993</v>
      </c>
      <c r="N1881" s="116">
        <v>8700</v>
      </c>
      <c r="O1881" s="116">
        <v>8551</v>
      </c>
      <c r="P1881" s="116">
        <v>8620</v>
      </c>
      <c r="Q1881" s="116">
        <v>8690.0499999999993</v>
      </c>
      <c r="R1881">
        <v>240863</v>
      </c>
    </row>
    <row r="1882" spans="1:18" x14ac:dyDescent="0.25">
      <c r="A1882" s="170">
        <v>44774</v>
      </c>
      <c r="B1882" s="116">
        <v>8825</v>
      </c>
      <c r="C1882" s="116">
        <v>8718.9500000000007</v>
      </c>
      <c r="D1882" s="116">
        <v>8660</v>
      </c>
      <c r="E1882" s="116">
        <v>8739.9500000000007</v>
      </c>
      <c r="F1882" s="116">
        <v>8718.9500000000007</v>
      </c>
      <c r="G1882">
        <v>50604</v>
      </c>
      <c r="H1882" s="116"/>
      <c r="I1882" s="116"/>
      <c r="L1882" s="170">
        <v>44774</v>
      </c>
      <c r="M1882" s="116">
        <v>8720.6</v>
      </c>
      <c r="N1882" s="116">
        <v>8828.65</v>
      </c>
      <c r="O1882" s="116">
        <v>8653.7999999999993</v>
      </c>
      <c r="P1882" s="116">
        <v>8724</v>
      </c>
      <c r="Q1882" s="116">
        <v>8720.6</v>
      </c>
      <c r="R1882">
        <v>245069</v>
      </c>
    </row>
    <row r="1883" spans="1:18" x14ac:dyDescent="0.25">
      <c r="A1883" s="170">
        <v>44775</v>
      </c>
      <c r="B1883" s="116">
        <v>8722</v>
      </c>
      <c r="C1883" s="116">
        <v>8631.0499999999993</v>
      </c>
      <c r="D1883" s="116">
        <v>8590.15</v>
      </c>
      <c r="E1883" s="116">
        <v>8722</v>
      </c>
      <c r="F1883" s="116">
        <v>8631.0499999999993</v>
      </c>
      <c r="G1883">
        <v>6668</v>
      </c>
      <c r="H1883" s="116"/>
      <c r="I1883" s="116"/>
      <c r="L1883" s="170">
        <v>44775</v>
      </c>
      <c r="M1883" s="116">
        <v>8641.75</v>
      </c>
      <c r="N1883" s="116">
        <v>8704</v>
      </c>
      <c r="O1883" s="116">
        <v>8590.1</v>
      </c>
      <c r="P1883" s="116">
        <v>8702</v>
      </c>
      <c r="Q1883" s="116">
        <v>8641.75</v>
      </c>
      <c r="R1883">
        <v>167283</v>
      </c>
    </row>
    <row r="1884" spans="1:18" x14ac:dyDescent="0.25">
      <c r="A1884" s="170">
        <v>44776</v>
      </c>
      <c r="B1884" s="116">
        <v>8870</v>
      </c>
      <c r="C1884" s="116">
        <v>8838.4500000000007</v>
      </c>
      <c r="D1884" s="116">
        <v>8600.0499999999993</v>
      </c>
      <c r="E1884" s="116">
        <v>8662.5</v>
      </c>
      <c r="F1884" s="116">
        <v>8838.4500000000007</v>
      </c>
      <c r="G1884">
        <v>12804</v>
      </c>
      <c r="H1884" s="116"/>
      <c r="I1884" s="116"/>
      <c r="L1884" s="170">
        <v>44776</v>
      </c>
      <c r="M1884" s="116">
        <v>8840.2999999999993</v>
      </c>
      <c r="N1884" s="116">
        <v>8870</v>
      </c>
      <c r="O1884" s="116">
        <v>8600</v>
      </c>
      <c r="P1884" s="116">
        <v>8625</v>
      </c>
      <c r="Q1884" s="116">
        <v>8840.2999999999993</v>
      </c>
      <c r="R1884">
        <v>408450</v>
      </c>
    </row>
    <row r="1885" spans="1:18" x14ac:dyDescent="0.25">
      <c r="A1885" s="170">
        <v>44777</v>
      </c>
      <c r="B1885" s="116">
        <v>9022</v>
      </c>
      <c r="C1885" s="116">
        <v>8952.4500000000007</v>
      </c>
      <c r="D1885" s="116">
        <v>8765</v>
      </c>
      <c r="E1885" s="116">
        <v>8870</v>
      </c>
      <c r="F1885" s="116">
        <v>8952.4500000000007</v>
      </c>
      <c r="G1885">
        <v>16748</v>
      </c>
      <c r="H1885" s="116"/>
      <c r="I1885" s="116"/>
      <c r="L1885" s="170">
        <v>44777</v>
      </c>
      <c r="M1885" s="116">
        <v>8956.7000000000007</v>
      </c>
      <c r="N1885" s="116">
        <v>9024.9500000000007</v>
      </c>
      <c r="O1885" s="116">
        <v>8760</v>
      </c>
      <c r="P1885" s="116">
        <v>8895</v>
      </c>
      <c r="Q1885" s="116">
        <v>8956.7000000000007</v>
      </c>
      <c r="R1885">
        <v>422086</v>
      </c>
    </row>
    <row r="1886" spans="1:18" x14ac:dyDescent="0.25">
      <c r="A1886" s="170">
        <v>44778</v>
      </c>
      <c r="B1886" s="116">
        <v>9420.5499999999993</v>
      </c>
      <c r="C1886" s="116">
        <v>9312.5499999999993</v>
      </c>
      <c r="D1886" s="116">
        <v>8890</v>
      </c>
      <c r="E1886" s="116">
        <v>8950</v>
      </c>
      <c r="F1886" s="116">
        <v>9312.5499999999993</v>
      </c>
      <c r="G1886">
        <v>45005</v>
      </c>
      <c r="H1886" s="116"/>
      <c r="I1886" s="116"/>
      <c r="L1886" s="170">
        <v>44778</v>
      </c>
      <c r="M1886" s="116">
        <v>9308.6</v>
      </c>
      <c r="N1886" s="116">
        <v>9425</v>
      </c>
      <c r="O1886" s="116">
        <v>8888</v>
      </c>
      <c r="P1886" s="116">
        <v>8953</v>
      </c>
      <c r="Q1886" s="116">
        <v>9308.6</v>
      </c>
      <c r="R1886">
        <v>1150442</v>
      </c>
    </row>
    <row r="1887" spans="1:18" x14ac:dyDescent="0.25">
      <c r="A1887" s="170">
        <v>44781</v>
      </c>
      <c r="B1887" s="116">
        <v>9630</v>
      </c>
      <c r="C1887" s="116">
        <v>9553.35</v>
      </c>
      <c r="D1887" s="116">
        <v>9305</v>
      </c>
      <c r="E1887" s="116">
        <v>9305</v>
      </c>
      <c r="F1887" s="116">
        <v>9553.35</v>
      </c>
      <c r="G1887">
        <v>54967</v>
      </c>
      <c r="H1887" s="116"/>
      <c r="I1887" s="116"/>
      <c r="L1887" s="170">
        <v>44781</v>
      </c>
      <c r="M1887" s="116">
        <v>9555.2000000000007</v>
      </c>
      <c r="N1887" s="116">
        <v>9631</v>
      </c>
      <c r="O1887" s="116">
        <v>9312.5499999999993</v>
      </c>
      <c r="P1887" s="116">
        <v>9321.2000000000007</v>
      </c>
      <c r="Q1887" s="116">
        <v>9555.2000000000007</v>
      </c>
      <c r="R1887">
        <v>643666</v>
      </c>
    </row>
    <row r="1888" spans="1:18" x14ac:dyDescent="0.25">
      <c r="A1888" s="170">
        <v>44783</v>
      </c>
      <c r="B1888" s="116">
        <v>9704.2000000000007</v>
      </c>
      <c r="C1888" s="116">
        <v>9459.75</v>
      </c>
      <c r="D1888" s="116">
        <v>9400</v>
      </c>
      <c r="E1888" s="116">
        <v>9600</v>
      </c>
      <c r="F1888" s="116">
        <v>9459.75</v>
      </c>
      <c r="G1888">
        <v>15641</v>
      </c>
      <c r="H1888" s="116"/>
      <c r="I1888" s="116"/>
      <c r="L1888" s="170">
        <v>44783</v>
      </c>
      <c r="M1888" s="116">
        <v>9461.5</v>
      </c>
      <c r="N1888" s="116">
        <v>9700.75</v>
      </c>
      <c r="O1888" s="116">
        <v>9400</v>
      </c>
      <c r="P1888" s="116">
        <v>9649</v>
      </c>
      <c r="Q1888" s="116">
        <v>9461.5</v>
      </c>
      <c r="R1888">
        <v>366217</v>
      </c>
    </row>
    <row r="1889" spans="1:18" x14ac:dyDescent="0.25">
      <c r="A1889" s="170">
        <v>44784</v>
      </c>
      <c r="B1889" s="116">
        <v>9577.6</v>
      </c>
      <c r="C1889" s="116">
        <v>9496.4</v>
      </c>
      <c r="D1889" s="116">
        <v>9471.4500000000007</v>
      </c>
      <c r="E1889" s="116">
        <v>9520</v>
      </c>
      <c r="F1889" s="116">
        <v>9496.4</v>
      </c>
      <c r="G1889">
        <v>6791</v>
      </c>
      <c r="H1889" s="116"/>
      <c r="I1889" s="116"/>
      <c r="L1889" s="170">
        <v>44784</v>
      </c>
      <c r="M1889" s="116">
        <v>9498.65</v>
      </c>
      <c r="N1889" s="116">
        <v>9575</v>
      </c>
      <c r="O1889" s="116">
        <v>9462.2999999999993</v>
      </c>
      <c r="P1889" s="116">
        <v>9501.25</v>
      </c>
      <c r="Q1889" s="116">
        <v>9498.65</v>
      </c>
      <c r="R1889">
        <v>241351</v>
      </c>
    </row>
    <row r="1890" spans="1:18" x14ac:dyDescent="0.25">
      <c r="A1890" s="170">
        <v>44785</v>
      </c>
      <c r="B1890" s="116">
        <v>10398.4</v>
      </c>
      <c r="C1890" s="116">
        <v>10241.450000000001</v>
      </c>
      <c r="D1890" s="116">
        <v>9503.5</v>
      </c>
      <c r="E1890" s="116">
        <v>9539.7999999999993</v>
      </c>
      <c r="F1890" s="116">
        <v>10241.450000000001</v>
      </c>
      <c r="G1890">
        <v>78951</v>
      </c>
      <c r="H1890" s="116"/>
      <c r="I1890" s="116"/>
      <c r="L1890" s="170">
        <v>44785</v>
      </c>
      <c r="M1890" s="116">
        <v>10238.049999999999</v>
      </c>
      <c r="N1890" s="116">
        <v>10374.950000000001</v>
      </c>
      <c r="O1890" s="116">
        <v>9498.65</v>
      </c>
      <c r="P1890" s="116">
        <v>9500</v>
      </c>
      <c r="Q1890" s="116">
        <v>10238.049999999999</v>
      </c>
      <c r="R1890">
        <v>1945184</v>
      </c>
    </row>
    <row r="1891" spans="1:18" x14ac:dyDescent="0.25">
      <c r="A1891" s="170">
        <v>44789</v>
      </c>
      <c r="B1891" s="116">
        <v>10719.6</v>
      </c>
      <c r="C1891" s="116">
        <v>10576.9</v>
      </c>
      <c r="D1891" s="116">
        <v>10350</v>
      </c>
      <c r="E1891" s="116">
        <v>10350</v>
      </c>
      <c r="F1891" s="116">
        <v>10576.9</v>
      </c>
      <c r="G1891">
        <v>64558</v>
      </c>
      <c r="H1891" s="116"/>
      <c r="I1891" s="116"/>
      <c r="L1891" s="170">
        <v>44789</v>
      </c>
      <c r="M1891" s="116">
        <v>10579.1</v>
      </c>
      <c r="N1891" s="116">
        <v>10719.4</v>
      </c>
      <c r="O1891" s="116">
        <v>10380.65</v>
      </c>
      <c r="P1891" s="116">
        <v>10430</v>
      </c>
      <c r="Q1891" s="116">
        <v>10579.1</v>
      </c>
      <c r="R1891">
        <v>885284</v>
      </c>
    </row>
    <row r="1892" spans="1:18" x14ac:dyDescent="0.25">
      <c r="A1892" s="170">
        <v>44790</v>
      </c>
      <c r="B1892" s="116">
        <v>10760.4</v>
      </c>
      <c r="C1892" s="116">
        <v>10687.35</v>
      </c>
      <c r="D1892" s="116">
        <v>10483.25</v>
      </c>
      <c r="E1892" s="116">
        <v>10643.9</v>
      </c>
      <c r="F1892" s="116">
        <v>10687.35</v>
      </c>
      <c r="G1892">
        <v>23686</v>
      </c>
      <c r="H1892" s="116"/>
      <c r="I1892" s="116"/>
      <c r="L1892" s="170">
        <v>44790</v>
      </c>
      <c r="M1892" s="116">
        <v>10684.9</v>
      </c>
      <c r="N1892" s="116">
        <v>10760</v>
      </c>
      <c r="O1892" s="116">
        <v>10482</v>
      </c>
      <c r="P1892" s="116">
        <v>10623</v>
      </c>
      <c r="Q1892" s="116">
        <v>10684.9</v>
      </c>
      <c r="R1892">
        <v>612250</v>
      </c>
    </row>
    <row r="1893" spans="1:18" x14ac:dyDescent="0.25">
      <c r="A1893" s="170">
        <v>44791</v>
      </c>
      <c r="B1893" s="116">
        <v>10700</v>
      </c>
      <c r="C1893" s="116">
        <v>10611.8</v>
      </c>
      <c r="D1893" s="116">
        <v>10548.85</v>
      </c>
      <c r="E1893" s="116">
        <v>10700</v>
      </c>
      <c r="F1893" s="116">
        <v>10611.8</v>
      </c>
      <c r="G1893">
        <v>25673</v>
      </c>
      <c r="H1893" s="116"/>
      <c r="I1893" s="116"/>
      <c r="L1893" s="170">
        <v>44791</v>
      </c>
      <c r="M1893" s="116">
        <v>10614.15</v>
      </c>
      <c r="N1893" s="116">
        <v>10699.95</v>
      </c>
      <c r="O1893" s="116">
        <v>10563</v>
      </c>
      <c r="P1893" s="116">
        <v>10688</v>
      </c>
      <c r="Q1893" s="116">
        <v>10614.15</v>
      </c>
      <c r="R1893">
        <v>251023</v>
      </c>
    </row>
    <row r="1894" spans="1:18" x14ac:dyDescent="0.25">
      <c r="A1894" s="170">
        <v>44792</v>
      </c>
      <c r="B1894" s="116">
        <v>10612.1</v>
      </c>
      <c r="C1894" s="116">
        <v>10130.549999999999</v>
      </c>
      <c r="D1894" s="116">
        <v>10052.549999999999</v>
      </c>
      <c r="E1894" s="116">
        <v>10590.7</v>
      </c>
      <c r="F1894" s="116">
        <v>10130.549999999999</v>
      </c>
      <c r="G1894">
        <v>23295</v>
      </c>
      <c r="H1894" s="116"/>
      <c r="I1894" s="116"/>
      <c r="L1894" s="170">
        <v>44792</v>
      </c>
      <c r="M1894" s="116">
        <v>10138.75</v>
      </c>
      <c r="N1894" s="116">
        <v>10628.65</v>
      </c>
      <c r="O1894" s="116">
        <v>10052.049999999999</v>
      </c>
      <c r="P1894" s="116">
        <v>10614.15</v>
      </c>
      <c r="Q1894" s="116">
        <v>10138.75</v>
      </c>
      <c r="R1894">
        <v>501778</v>
      </c>
    </row>
    <row r="1895" spans="1:18" x14ac:dyDescent="0.25">
      <c r="A1895" s="170">
        <v>44795</v>
      </c>
      <c r="B1895" s="116">
        <v>10130</v>
      </c>
      <c r="C1895" s="116">
        <v>9785.6</v>
      </c>
      <c r="D1895" s="116">
        <v>9735</v>
      </c>
      <c r="E1895" s="116">
        <v>10130</v>
      </c>
      <c r="F1895" s="116">
        <v>9785.6</v>
      </c>
      <c r="G1895">
        <v>17085</v>
      </c>
      <c r="H1895" s="116"/>
      <c r="I1895" s="116"/>
      <c r="L1895" s="170">
        <v>44795</v>
      </c>
      <c r="M1895" s="116">
        <v>9788.7000000000007</v>
      </c>
      <c r="N1895" s="116">
        <v>10099.450000000001</v>
      </c>
      <c r="O1895" s="116">
        <v>9733</v>
      </c>
      <c r="P1895" s="116">
        <v>10099.450000000001</v>
      </c>
      <c r="Q1895" s="116">
        <v>9788.7000000000007</v>
      </c>
      <c r="R1895">
        <v>415816</v>
      </c>
    </row>
    <row r="1896" spans="1:18" x14ac:dyDescent="0.25">
      <c r="A1896" s="170">
        <v>44796</v>
      </c>
      <c r="B1896" s="116">
        <v>9940</v>
      </c>
      <c r="C1896" s="116">
        <v>9615.0499999999993</v>
      </c>
      <c r="D1896" s="116">
        <v>9484.1</v>
      </c>
      <c r="E1896" s="116">
        <v>9580</v>
      </c>
      <c r="F1896" s="116">
        <v>9615.0499999999993</v>
      </c>
      <c r="G1896">
        <v>29569</v>
      </c>
      <c r="H1896" s="116"/>
      <c r="I1896" s="116"/>
      <c r="L1896" s="170">
        <v>44796</v>
      </c>
      <c r="M1896" s="116">
        <v>9618.75</v>
      </c>
      <c r="N1896" s="116">
        <v>9946.7000000000007</v>
      </c>
      <c r="O1896" s="116">
        <v>9510.35</v>
      </c>
      <c r="P1896" s="116">
        <v>9570</v>
      </c>
      <c r="Q1896" s="116">
        <v>9618.75</v>
      </c>
      <c r="R1896">
        <v>602319</v>
      </c>
    </row>
    <row r="1897" spans="1:18" x14ac:dyDescent="0.25">
      <c r="A1897" s="170">
        <v>44797</v>
      </c>
      <c r="B1897" s="116">
        <v>9982.65</v>
      </c>
      <c r="C1897" s="116">
        <v>9856.7000000000007</v>
      </c>
      <c r="D1897" s="116">
        <v>9522.5499999999993</v>
      </c>
      <c r="E1897" s="116">
        <v>9575</v>
      </c>
      <c r="F1897" s="116">
        <v>9856.7000000000007</v>
      </c>
      <c r="G1897">
        <v>33471</v>
      </c>
      <c r="H1897" s="116"/>
      <c r="I1897" s="116"/>
      <c r="L1897" s="170">
        <v>44797</v>
      </c>
      <c r="M1897" s="116">
        <v>9861</v>
      </c>
      <c r="N1897" s="116">
        <v>9985</v>
      </c>
      <c r="O1897" s="116">
        <v>9510</v>
      </c>
      <c r="P1897" s="116">
        <v>9510</v>
      </c>
      <c r="Q1897" s="116">
        <v>9861</v>
      </c>
      <c r="R1897">
        <v>845080</v>
      </c>
    </row>
    <row r="1898" spans="1:18" x14ac:dyDescent="0.25">
      <c r="A1898" s="170">
        <v>44798</v>
      </c>
      <c r="B1898" s="116">
        <v>9980</v>
      </c>
      <c r="C1898" s="116">
        <v>9654.25</v>
      </c>
      <c r="D1898" s="116">
        <v>9610</v>
      </c>
      <c r="E1898" s="116">
        <v>9980</v>
      </c>
      <c r="F1898" s="116">
        <v>9654.25</v>
      </c>
      <c r="G1898">
        <v>13789</v>
      </c>
      <c r="H1898" s="116"/>
      <c r="I1898" s="116"/>
      <c r="L1898" s="170">
        <v>44798</v>
      </c>
      <c r="M1898" s="116">
        <v>9656.6</v>
      </c>
      <c r="N1898" s="116">
        <v>9975</v>
      </c>
      <c r="O1898" s="116">
        <v>9603.2999999999993</v>
      </c>
      <c r="P1898" s="116">
        <v>9974.9</v>
      </c>
      <c r="Q1898" s="116">
        <v>9656.6</v>
      </c>
      <c r="R1898">
        <v>374149</v>
      </c>
    </row>
    <row r="1899" spans="1:18" x14ac:dyDescent="0.25">
      <c r="A1899" s="170">
        <v>44799</v>
      </c>
      <c r="B1899" s="116">
        <v>9686.5499999999993</v>
      </c>
      <c r="C1899" s="116">
        <v>9346.5</v>
      </c>
      <c r="D1899" s="116">
        <v>9301</v>
      </c>
      <c r="E1899" s="116">
        <v>9582</v>
      </c>
      <c r="F1899" s="116">
        <v>9346.5</v>
      </c>
      <c r="G1899">
        <v>28618</v>
      </c>
      <c r="H1899" s="116"/>
      <c r="I1899" s="116"/>
      <c r="L1899" s="170">
        <v>44799</v>
      </c>
      <c r="M1899" s="116">
        <v>9349</v>
      </c>
      <c r="N1899" s="116">
        <v>9686</v>
      </c>
      <c r="O1899" s="116">
        <v>9301</v>
      </c>
      <c r="P1899" s="116">
        <v>9600</v>
      </c>
      <c r="Q1899" s="116">
        <v>9349</v>
      </c>
      <c r="R1899">
        <v>625870</v>
      </c>
    </row>
    <row r="1900" spans="1:18" x14ac:dyDescent="0.25">
      <c r="A1900" s="170">
        <v>44802</v>
      </c>
      <c r="B1900" s="116">
        <v>9048.4500000000007</v>
      </c>
      <c r="C1900" s="116">
        <v>8872.0499999999993</v>
      </c>
      <c r="D1900" s="116">
        <v>8844.2999999999993</v>
      </c>
      <c r="E1900" s="116">
        <v>8888</v>
      </c>
      <c r="F1900" s="116">
        <v>8872.0499999999993</v>
      </c>
      <c r="G1900">
        <v>28777</v>
      </c>
      <c r="H1900" s="116"/>
      <c r="I1900" s="116"/>
      <c r="L1900" s="170">
        <v>44802</v>
      </c>
      <c r="M1900" s="116">
        <v>8870.85</v>
      </c>
      <c r="N1900" s="116">
        <v>9048.4</v>
      </c>
      <c r="O1900" s="116">
        <v>8840</v>
      </c>
      <c r="P1900" s="116">
        <v>8870.0499999999993</v>
      </c>
      <c r="Q1900" s="116">
        <v>8870.85</v>
      </c>
      <c r="R1900">
        <v>616555</v>
      </c>
    </row>
    <row r="1901" spans="1:18" x14ac:dyDescent="0.25">
      <c r="A1901" s="170">
        <v>44803</v>
      </c>
      <c r="B1901" s="116">
        <v>9150</v>
      </c>
      <c r="C1901" s="116">
        <v>9015.1</v>
      </c>
      <c r="D1901" s="116">
        <v>8920</v>
      </c>
      <c r="E1901" s="116">
        <v>9011</v>
      </c>
      <c r="F1901" s="116">
        <v>9015.1</v>
      </c>
      <c r="G1901">
        <v>41349</v>
      </c>
      <c r="H1901" s="116"/>
      <c r="I1901" s="116"/>
      <c r="L1901" s="170">
        <v>44803</v>
      </c>
      <c r="M1901" s="116">
        <v>9019.25</v>
      </c>
      <c r="N1901" s="116">
        <v>9155</v>
      </c>
      <c r="O1901" s="116">
        <v>8922</v>
      </c>
      <c r="P1901" s="116">
        <v>9025</v>
      </c>
      <c r="Q1901" s="116">
        <v>9019.25</v>
      </c>
      <c r="R1901">
        <v>543634</v>
      </c>
    </row>
    <row r="1902" spans="1:18" x14ac:dyDescent="0.25">
      <c r="A1902" s="170">
        <v>44805</v>
      </c>
      <c r="B1902" s="116">
        <v>9074.7999999999993</v>
      </c>
      <c r="C1902" s="116">
        <v>9012.1</v>
      </c>
      <c r="D1902" s="116">
        <v>8845</v>
      </c>
      <c r="E1902" s="116">
        <v>9048</v>
      </c>
      <c r="F1902" s="116">
        <v>9012.1</v>
      </c>
      <c r="G1902">
        <v>16752</v>
      </c>
      <c r="H1902" s="116"/>
      <c r="I1902" s="116"/>
      <c r="L1902" s="170">
        <v>44805</v>
      </c>
      <c r="M1902" s="116">
        <v>9020.2999999999993</v>
      </c>
      <c r="N1902" s="116">
        <v>9077.9</v>
      </c>
      <c r="O1902" s="116">
        <v>8842</v>
      </c>
      <c r="P1902" s="116">
        <v>8964</v>
      </c>
      <c r="Q1902" s="116">
        <v>9020.2999999999993</v>
      </c>
      <c r="R1902">
        <v>374381</v>
      </c>
    </row>
    <row r="1903" spans="1:18" x14ac:dyDescent="0.25">
      <c r="A1903" s="170">
        <v>44806</v>
      </c>
      <c r="B1903" s="116">
        <v>9142.35</v>
      </c>
      <c r="C1903" s="116">
        <v>8708.4</v>
      </c>
      <c r="D1903" s="116">
        <v>8680.2000000000007</v>
      </c>
      <c r="E1903" s="116">
        <v>9050</v>
      </c>
      <c r="F1903" s="116">
        <v>8708.4</v>
      </c>
      <c r="G1903">
        <v>25459</v>
      </c>
      <c r="H1903" s="116"/>
      <c r="I1903" s="116"/>
      <c r="L1903" s="170">
        <v>44806</v>
      </c>
      <c r="M1903" s="116">
        <v>8707.25</v>
      </c>
      <c r="N1903" s="116">
        <v>9140</v>
      </c>
      <c r="O1903" s="116">
        <v>8675</v>
      </c>
      <c r="P1903" s="116">
        <v>9099</v>
      </c>
      <c r="Q1903" s="116">
        <v>8707.25</v>
      </c>
      <c r="R1903">
        <v>534396</v>
      </c>
    </row>
    <row r="1904" spans="1:18" x14ac:dyDescent="0.25">
      <c r="A1904" s="170">
        <v>44809</v>
      </c>
      <c r="B1904" s="116">
        <v>8935</v>
      </c>
      <c r="C1904" s="116">
        <v>8873.4500000000007</v>
      </c>
      <c r="D1904" s="116">
        <v>8755.5499999999993</v>
      </c>
      <c r="E1904" s="116">
        <v>8755.5499999999993</v>
      </c>
      <c r="F1904" s="116">
        <v>8873.4500000000007</v>
      </c>
      <c r="G1904">
        <v>32733</v>
      </c>
      <c r="H1904" s="116"/>
      <c r="I1904" s="116"/>
      <c r="L1904" s="170">
        <v>44809</v>
      </c>
      <c r="M1904" s="116">
        <v>8872.85</v>
      </c>
      <c r="N1904" s="116">
        <v>8943.7999999999993</v>
      </c>
      <c r="O1904" s="116">
        <v>8758.85</v>
      </c>
      <c r="P1904" s="116">
        <v>8759</v>
      </c>
      <c r="Q1904" s="116">
        <v>8872.85</v>
      </c>
      <c r="R1904">
        <v>291672</v>
      </c>
    </row>
    <row r="1905" spans="1:18" x14ac:dyDescent="0.25">
      <c r="A1905" s="170">
        <v>44810</v>
      </c>
      <c r="B1905" s="116">
        <v>9014.9500000000007</v>
      </c>
      <c r="C1905" s="116">
        <v>8842</v>
      </c>
      <c r="D1905" s="116">
        <v>8820</v>
      </c>
      <c r="E1905" s="116">
        <v>8950</v>
      </c>
      <c r="F1905" s="116">
        <v>8842</v>
      </c>
      <c r="G1905">
        <v>22220</v>
      </c>
      <c r="H1905" s="116"/>
      <c r="I1905" s="116"/>
      <c r="L1905" s="170">
        <v>44810</v>
      </c>
      <c r="M1905" s="116">
        <v>8846.4500000000007</v>
      </c>
      <c r="N1905" s="116">
        <v>9016</v>
      </c>
      <c r="O1905" s="116">
        <v>8824.4500000000007</v>
      </c>
      <c r="P1905" s="116">
        <v>8939</v>
      </c>
      <c r="Q1905" s="116">
        <v>8846.4500000000007</v>
      </c>
      <c r="R1905">
        <v>240148</v>
      </c>
    </row>
    <row r="1906" spans="1:18" x14ac:dyDescent="0.25">
      <c r="A1906" s="170">
        <v>44811</v>
      </c>
      <c r="B1906" s="116">
        <v>8896.4</v>
      </c>
      <c r="C1906" s="116">
        <v>8813.7000000000007</v>
      </c>
      <c r="D1906" s="116">
        <v>8779</v>
      </c>
      <c r="E1906" s="116">
        <v>8840</v>
      </c>
      <c r="F1906" s="116">
        <v>8813.7000000000007</v>
      </c>
      <c r="G1906">
        <v>10412</v>
      </c>
      <c r="H1906" s="116"/>
      <c r="I1906" s="116"/>
      <c r="L1906" s="170">
        <v>44811</v>
      </c>
      <c r="M1906" s="116">
        <v>8813.2000000000007</v>
      </c>
      <c r="N1906" s="116">
        <v>8897.6</v>
      </c>
      <c r="O1906" s="116">
        <v>8770.65</v>
      </c>
      <c r="P1906" s="116">
        <v>8828</v>
      </c>
      <c r="Q1906" s="116">
        <v>8813.2000000000007</v>
      </c>
      <c r="R1906">
        <v>174174</v>
      </c>
    </row>
    <row r="1907" spans="1:18" x14ac:dyDescent="0.25">
      <c r="A1907" s="170">
        <v>44812</v>
      </c>
      <c r="B1907" s="116">
        <v>8899.85</v>
      </c>
      <c r="C1907" s="116">
        <v>8762.7999999999993</v>
      </c>
      <c r="D1907" s="116">
        <v>8725.15</v>
      </c>
      <c r="E1907" s="116">
        <v>8850</v>
      </c>
      <c r="F1907" s="116">
        <v>8762.7999999999993</v>
      </c>
      <c r="G1907">
        <v>21701</v>
      </c>
      <c r="H1907" s="116"/>
      <c r="I1907" s="116"/>
      <c r="L1907" s="170">
        <v>44812</v>
      </c>
      <c r="M1907" s="116">
        <v>8766.4</v>
      </c>
      <c r="N1907" s="116">
        <v>8898.7999999999993</v>
      </c>
      <c r="O1907" s="116">
        <v>8730</v>
      </c>
      <c r="P1907" s="116">
        <v>8835.6</v>
      </c>
      <c r="Q1907" s="116">
        <v>8766.4</v>
      </c>
      <c r="R1907">
        <v>170017</v>
      </c>
    </row>
    <row r="1908" spans="1:18" x14ac:dyDescent="0.25">
      <c r="A1908" s="170">
        <v>44813</v>
      </c>
      <c r="B1908" s="116">
        <v>8935.85</v>
      </c>
      <c r="C1908" s="116">
        <v>8818.5</v>
      </c>
      <c r="D1908" s="116">
        <v>8710</v>
      </c>
      <c r="E1908" s="116">
        <v>8771.1</v>
      </c>
      <c r="F1908" s="116">
        <v>8818.5</v>
      </c>
      <c r="G1908">
        <v>13762</v>
      </c>
      <c r="H1908" s="116"/>
      <c r="I1908" s="116"/>
      <c r="L1908" s="170">
        <v>44813</v>
      </c>
      <c r="M1908" s="116">
        <v>8816.7999999999993</v>
      </c>
      <c r="N1908" s="116">
        <v>8929</v>
      </c>
      <c r="O1908" s="116">
        <v>8710</v>
      </c>
      <c r="P1908" s="116">
        <v>8844</v>
      </c>
      <c r="Q1908" s="116">
        <v>8816.7999999999993</v>
      </c>
      <c r="R1908">
        <v>294045</v>
      </c>
    </row>
    <row r="1909" spans="1:18" x14ac:dyDescent="0.25">
      <c r="A1909" s="170">
        <v>44816</v>
      </c>
      <c r="B1909" s="116">
        <v>8957.9500000000007</v>
      </c>
      <c r="C1909" s="116">
        <v>8883.9500000000007</v>
      </c>
      <c r="D1909" s="116">
        <v>8850</v>
      </c>
      <c r="E1909" s="116">
        <v>8850</v>
      </c>
      <c r="F1909" s="116">
        <v>8883.9500000000007</v>
      </c>
      <c r="G1909">
        <v>22734</v>
      </c>
      <c r="H1909" s="116"/>
      <c r="I1909" s="116"/>
      <c r="L1909" s="170">
        <v>44816</v>
      </c>
      <c r="M1909" s="116">
        <v>8885.4</v>
      </c>
      <c r="N1909" s="116">
        <v>8960</v>
      </c>
      <c r="O1909" s="116">
        <v>8860</v>
      </c>
      <c r="P1909" s="116">
        <v>8873.7999999999993</v>
      </c>
      <c r="Q1909" s="116">
        <v>8885.4</v>
      </c>
      <c r="R1909">
        <v>191956</v>
      </c>
    </row>
    <row r="1910" spans="1:18" x14ac:dyDescent="0.25">
      <c r="A1910" s="170">
        <v>44817</v>
      </c>
      <c r="B1910" s="116">
        <v>9275.0499999999993</v>
      </c>
      <c r="C1910" s="116">
        <v>9090.35</v>
      </c>
      <c r="D1910" s="116">
        <v>8904.4</v>
      </c>
      <c r="E1910" s="116">
        <v>8904.4</v>
      </c>
      <c r="F1910" s="116">
        <v>9090.35</v>
      </c>
      <c r="G1910">
        <v>27061</v>
      </c>
      <c r="H1910" s="116"/>
      <c r="I1910" s="116"/>
      <c r="L1910" s="170">
        <v>44817</v>
      </c>
      <c r="M1910" s="116">
        <v>9089.2000000000007</v>
      </c>
      <c r="N1910" s="116">
        <v>9270</v>
      </c>
      <c r="O1910" s="116">
        <v>8922.0499999999993</v>
      </c>
      <c r="P1910" s="116">
        <v>8940</v>
      </c>
      <c r="Q1910" s="116">
        <v>9089.2000000000007</v>
      </c>
      <c r="R1910">
        <v>580345</v>
      </c>
    </row>
    <row r="1911" spans="1:18" x14ac:dyDescent="0.25">
      <c r="A1911" s="170">
        <v>44818</v>
      </c>
      <c r="B1911" s="116">
        <v>9055</v>
      </c>
      <c r="C1911" s="116">
        <v>8916.4</v>
      </c>
      <c r="D1911" s="116">
        <v>8750</v>
      </c>
      <c r="E1911" s="116">
        <v>8871</v>
      </c>
      <c r="F1911" s="116">
        <v>8916.4</v>
      </c>
      <c r="G1911">
        <v>31030</v>
      </c>
      <c r="H1911" s="116"/>
      <c r="I1911" s="116"/>
      <c r="L1911" s="170">
        <v>44818</v>
      </c>
      <c r="M1911" s="116">
        <v>8914.7000000000007</v>
      </c>
      <c r="N1911" s="116">
        <v>9057.5</v>
      </c>
      <c r="O1911" s="116">
        <v>8865</v>
      </c>
      <c r="P1911" s="116">
        <v>8900</v>
      </c>
      <c r="Q1911" s="116">
        <v>8914.7000000000007</v>
      </c>
      <c r="R1911">
        <v>267989</v>
      </c>
    </row>
    <row r="1912" spans="1:18" x14ac:dyDescent="0.25">
      <c r="A1912" s="170">
        <v>44819</v>
      </c>
      <c r="B1912" s="116">
        <v>9084.5499999999993</v>
      </c>
      <c r="C1912" s="116">
        <v>8882.5499999999993</v>
      </c>
      <c r="D1912" s="116">
        <v>8870</v>
      </c>
      <c r="E1912" s="116">
        <v>8980</v>
      </c>
      <c r="F1912" s="116">
        <v>8882.5499999999993</v>
      </c>
      <c r="G1912">
        <v>18824</v>
      </c>
      <c r="H1912" s="116"/>
      <c r="I1912" s="116"/>
      <c r="L1912" s="170">
        <v>44819</v>
      </c>
      <c r="M1912" s="116">
        <v>8885.25</v>
      </c>
      <c r="N1912" s="116">
        <v>9073.2000000000007</v>
      </c>
      <c r="O1912" s="116">
        <v>8870.1</v>
      </c>
      <c r="P1912" s="116">
        <v>9000</v>
      </c>
      <c r="Q1912" s="116">
        <v>8885.25</v>
      </c>
      <c r="R1912">
        <v>183525</v>
      </c>
    </row>
    <row r="1913" spans="1:18" x14ac:dyDescent="0.25">
      <c r="A1913" s="170">
        <v>44820</v>
      </c>
      <c r="B1913" s="116">
        <v>8919.4500000000007</v>
      </c>
      <c r="C1913" s="116">
        <v>8726.6</v>
      </c>
      <c r="D1913" s="116">
        <v>8693.4</v>
      </c>
      <c r="E1913" s="116">
        <v>8885.5499999999993</v>
      </c>
      <c r="F1913" s="116">
        <v>8726.6</v>
      </c>
      <c r="G1913">
        <v>11887</v>
      </c>
      <c r="H1913" s="116"/>
      <c r="I1913" s="116"/>
      <c r="L1913" s="170">
        <v>44820</v>
      </c>
      <c r="M1913" s="116">
        <v>8730.2999999999993</v>
      </c>
      <c r="N1913" s="116">
        <v>8919</v>
      </c>
      <c r="O1913" s="116">
        <v>8701</v>
      </c>
      <c r="P1913" s="116">
        <v>8890</v>
      </c>
      <c r="Q1913" s="116">
        <v>8730.2999999999993</v>
      </c>
      <c r="R1913">
        <v>210484</v>
      </c>
    </row>
    <row r="1914" spans="1:18" x14ac:dyDescent="0.25">
      <c r="A1914" s="170">
        <v>44823</v>
      </c>
      <c r="B1914" s="116">
        <v>8816.9500000000007</v>
      </c>
      <c r="C1914" s="116">
        <v>8695.15</v>
      </c>
      <c r="D1914" s="116">
        <v>8600</v>
      </c>
      <c r="E1914" s="116">
        <v>8726.6</v>
      </c>
      <c r="F1914" s="116">
        <v>8695.15</v>
      </c>
      <c r="G1914">
        <v>40192</v>
      </c>
      <c r="H1914" s="116"/>
      <c r="I1914" s="116"/>
      <c r="L1914" s="170">
        <v>44823</v>
      </c>
      <c r="M1914" s="116">
        <v>8696.4</v>
      </c>
      <c r="N1914" s="116">
        <v>8815.2000000000007</v>
      </c>
      <c r="O1914" s="116">
        <v>8601.15</v>
      </c>
      <c r="P1914" s="116">
        <v>8769.9500000000007</v>
      </c>
      <c r="Q1914" s="116">
        <v>8696.4</v>
      </c>
      <c r="R1914">
        <v>177584</v>
      </c>
    </row>
    <row r="1915" spans="1:18" x14ac:dyDescent="0.25">
      <c r="A1915" s="170">
        <v>44824</v>
      </c>
      <c r="B1915" s="116">
        <v>8938</v>
      </c>
      <c r="C1915" s="116">
        <v>8899.9</v>
      </c>
      <c r="D1915" s="116">
        <v>8696</v>
      </c>
      <c r="E1915" s="116">
        <v>8696</v>
      </c>
      <c r="F1915" s="116">
        <v>8899.9</v>
      </c>
      <c r="G1915">
        <v>8673</v>
      </c>
      <c r="H1915" s="116"/>
      <c r="I1915" s="116"/>
      <c r="L1915" s="170">
        <v>44824</v>
      </c>
      <c r="M1915" s="116">
        <v>8901.5499999999993</v>
      </c>
      <c r="N1915" s="116">
        <v>8939</v>
      </c>
      <c r="O1915" s="116">
        <v>8713</v>
      </c>
      <c r="P1915" s="116">
        <v>8725</v>
      </c>
      <c r="Q1915" s="116">
        <v>8901.5499999999993</v>
      </c>
      <c r="R1915">
        <v>237315</v>
      </c>
    </row>
    <row r="1916" spans="1:18" x14ac:dyDescent="0.25">
      <c r="A1916" s="170">
        <v>44825</v>
      </c>
      <c r="B1916" s="116">
        <v>8929.85</v>
      </c>
      <c r="C1916" s="116">
        <v>8820.9</v>
      </c>
      <c r="D1916" s="116">
        <v>8800</v>
      </c>
      <c r="E1916" s="116">
        <v>8855.0499999999993</v>
      </c>
      <c r="F1916" s="116">
        <v>8820.9</v>
      </c>
      <c r="G1916">
        <v>5658</v>
      </c>
      <c r="H1916" s="116"/>
      <c r="I1916" s="116"/>
      <c r="L1916" s="170">
        <v>44825</v>
      </c>
      <c r="M1916" s="116">
        <v>8817.5</v>
      </c>
      <c r="N1916" s="116">
        <v>8938</v>
      </c>
      <c r="O1916" s="116">
        <v>8799</v>
      </c>
      <c r="P1916" s="116">
        <v>8904.9</v>
      </c>
      <c r="Q1916" s="116">
        <v>8817.5</v>
      </c>
      <c r="R1916">
        <v>125832</v>
      </c>
    </row>
    <row r="1917" spans="1:18" x14ac:dyDescent="0.25">
      <c r="A1917" s="170">
        <v>44826</v>
      </c>
      <c r="B1917" s="116">
        <v>9040</v>
      </c>
      <c r="C1917" s="116">
        <v>8986.5499999999993</v>
      </c>
      <c r="D1917" s="116">
        <v>8741.6</v>
      </c>
      <c r="E1917" s="116">
        <v>8765</v>
      </c>
      <c r="F1917" s="116">
        <v>8986.5499999999993</v>
      </c>
      <c r="G1917">
        <v>25202</v>
      </c>
      <c r="H1917" s="116"/>
      <c r="I1917" s="116"/>
      <c r="L1917" s="170">
        <v>44826</v>
      </c>
      <c r="M1917" s="116">
        <v>8990.65</v>
      </c>
      <c r="N1917" s="116">
        <v>9045.0499999999993</v>
      </c>
      <c r="O1917" s="116">
        <v>8744.6</v>
      </c>
      <c r="P1917" s="116">
        <v>8800</v>
      </c>
      <c r="Q1917" s="116">
        <v>8990.65</v>
      </c>
      <c r="R1917">
        <v>287232</v>
      </c>
    </row>
    <row r="1918" spans="1:18" x14ac:dyDescent="0.25">
      <c r="A1918" s="170">
        <v>44827</v>
      </c>
      <c r="B1918" s="116">
        <v>9054</v>
      </c>
      <c r="C1918" s="116">
        <v>8856.35</v>
      </c>
      <c r="D1918" s="116">
        <v>8835</v>
      </c>
      <c r="E1918" s="116">
        <v>8950</v>
      </c>
      <c r="F1918" s="116">
        <v>8856.35</v>
      </c>
      <c r="G1918">
        <v>9744</v>
      </c>
      <c r="H1918" s="116"/>
      <c r="I1918" s="116"/>
      <c r="L1918" s="170">
        <v>44827</v>
      </c>
      <c r="M1918" s="116">
        <v>8857.1</v>
      </c>
      <c r="N1918" s="116">
        <v>9059</v>
      </c>
      <c r="O1918" s="116">
        <v>8836</v>
      </c>
      <c r="P1918" s="116">
        <v>8965</v>
      </c>
      <c r="Q1918" s="116">
        <v>8857.1</v>
      </c>
      <c r="R1918">
        <v>175906</v>
      </c>
    </row>
    <row r="1919" spans="1:18" x14ac:dyDescent="0.25">
      <c r="A1919" s="170">
        <v>44830</v>
      </c>
      <c r="B1919" s="116">
        <v>8775</v>
      </c>
      <c r="C1919" s="116">
        <v>8535.4500000000007</v>
      </c>
      <c r="D1919" s="116">
        <v>8500</v>
      </c>
      <c r="E1919" s="116">
        <v>8711.0499999999993</v>
      </c>
      <c r="F1919" s="116">
        <v>8535.4500000000007</v>
      </c>
      <c r="G1919">
        <v>12809</v>
      </c>
      <c r="H1919" s="116"/>
      <c r="I1919" s="116"/>
      <c r="L1919" s="170">
        <v>44830</v>
      </c>
      <c r="M1919" s="116">
        <v>8534.7999999999993</v>
      </c>
      <c r="N1919" s="116">
        <v>8787.15</v>
      </c>
      <c r="O1919" s="116">
        <v>8511</v>
      </c>
      <c r="P1919" s="116">
        <v>8744</v>
      </c>
      <c r="Q1919" s="116">
        <v>8534.7999999999993</v>
      </c>
      <c r="R1919">
        <v>244456</v>
      </c>
    </row>
    <row r="1920" spans="1:18" x14ac:dyDescent="0.25">
      <c r="A1920" s="170">
        <v>44831</v>
      </c>
      <c r="B1920" s="116">
        <v>8641.1</v>
      </c>
      <c r="C1920" s="116">
        <v>8336</v>
      </c>
      <c r="D1920" s="116">
        <v>8285</v>
      </c>
      <c r="E1920" s="116">
        <v>8600</v>
      </c>
      <c r="F1920" s="116">
        <v>8336</v>
      </c>
      <c r="G1920">
        <v>28113</v>
      </c>
      <c r="H1920" s="116"/>
      <c r="I1920" s="116"/>
      <c r="L1920" s="170">
        <v>44831</v>
      </c>
      <c r="M1920" s="116">
        <v>8336.4500000000007</v>
      </c>
      <c r="N1920" s="116">
        <v>8643.5499999999993</v>
      </c>
      <c r="O1920" s="116">
        <v>8282.65</v>
      </c>
      <c r="P1920" s="116">
        <v>8581</v>
      </c>
      <c r="Q1920" s="116">
        <v>8336.4500000000007</v>
      </c>
      <c r="R1920">
        <v>235819</v>
      </c>
    </row>
    <row r="1921" spans="1:18" x14ac:dyDescent="0.25">
      <c r="A1921" s="170">
        <v>44832</v>
      </c>
      <c r="B1921" s="116">
        <v>8479</v>
      </c>
      <c r="C1921" s="116">
        <v>8421.4500000000007</v>
      </c>
      <c r="D1921" s="116">
        <v>8194</v>
      </c>
      <c r="E1921" s="116">
        <v>8200</v>
      </c>
      <c r="F1921" s="116">
        <v>8421.4500000000007</v>
      </c>
      <c r="G1921">
        <v>12812</v>
      </c>
      <c r="H1921" s="116"/>
      <c r="I1921" s="116"/>
      <c r="L1921" s="170">
        <v>44832</v>
      </c>
      <c r="M1921" s="116">
        <v>8422.4500000000007</v>
      </c>
      <c r="N1921" s="116">
        <v>8480</v>
      </c>
      <c r="O1921" s="116">
        <v>8220</v>
      </c>
      <c r="P1921" s="116">
        <v>8279.9</v>
      </c>
      <c r="Q1921" s="116">
        <v>8422.4500000000007</v>
      </c>
      <c r="R1921">
        <v>230368</v>
      </c>
    </row>
    <row r="1922" spans="1:18" x14ac:dyDescent="0.25">
      <c r="A1922" s="170">
        <v>44833</v>
      </c>
      <c r="B1922" s="116">
        <v>8554</v>
      </c>
      <c r="C1922" s="116">
        <v>8427.9500000000007</v>
      </c>
      <c r="D1922" s="116">
        <v>8337.0499999999993</v>
      </c>
      <c r="E1922" s="116">
        <v>8480</v>
      </c>
      <c r="F1922" s="116">
        <v>8427.9500000000007</v>
      </c>
      <c r="G1922">
        <v>7379</v>
      </c>
      <c r="H1922" s="116"/>
      <c r="I1922" s="116"/>
      <c r="L1922" s="170">
        <v>44833</v>
      </c>
      <c r="M1922" s="116">
        <v>8428.6</v>
      </c>
      <c r="N1922" s="116">
        <v>8557.9500000000007</v>
      </c>
      <c r="O1922" s="116">
        <v>8340</v>
      </c>
      <c r="P1922" s="116">
        <v>8500</v>
      </c>
      <c r="Q1922" s="116">
        <v>8428.6</v>
      </c>
      <c r="R1922">
        <v>147171</v>
      </c>
    </row>
    <row r="1923" spans="1:18" x14ac:dyDescent="0.25">
      <c r="A1923" s="170">
        <v>44834</v>
      </c>
      <c r="B1923" s="116">
        <v>8694.9</v>
      </c>
      <c r="C1923" s="116">
        <v>8583.2999999999993</v>
      </c>
      <c r="D1923" s="116">
        <v>8387.7999999999993</v>
      </c>
      <c r="E1923" s="116">
        <v>8592.35</v>
      </c>
      <c r="F1923" s="116">
        <v>8583.2999999999993</v>
      </c>
      <c r="G1923">
        <v>7751</v>
      </c>
      <c r="H1923" s="116"/>
      <c r="I1923" s="116"/>
      <c r="L1923" s="170">
        <v>44834</v>
      </c>
      <c r="M1923" s="116">
        <v>8556.4500000000007</v>
      </c>
      <c r="N1923" s="116">
        <v>8588</v>
      </c>
      <c r="O1923" s="116">
        <v>8383</v>
      </c>
      <c r="P1923" s="116">
        <v>8397</v>
      </c>
      <c r="Q1923" s="116">
        <v>8556.4500000000007</v>
      </c>
      <c r="R1923">
        <v>183744</v>
      </c>
    </row>
    <row r="1924" spans="1:18" x14ac:dyDescent="0.25">
      <c r="A1924" s="170">
        <v>44837</v>
      </c>
      <c r="B1924" s="116">
        <v>8521.5</v>
      </c>
      <c r="C1924" s="116">
        <v>8312.7999999999993</v>
      </c>
      <c r="D1924" s="116">
        <v>8300</v>
      </c>
      <c r="E1924" s="116">
        <v>8460</v>
      </c>
      <c r="F1924" s="116">
        <v>8312.7999999999993</v>
      </c>
      <c r="G1924">
        <v>21641</v>
      </c>
      <c r="H1924" s="116"/>
      <c r="I1924" s="116"/>
      <c r="L1924" s="170">
        <v>44837</v>
      </c>
      <c r="M1924" s="116">
        <v>8312.5</v>
      </c>
      <c r="N1924" s="116">
        <v>8524.6</v>
      </c>
      <c r="O1924" s="116">
        <v>8300</v>
      </c>
      <c r="P1924" s="116">
        <v>8480</v>
      </c>
      <c r="Q1924" s="116">
        <v>8312.5</v>
      </c>
      <c r="R1924">
        <v>188648</v>
      </c>
    </row>
    <row r="1925" spans="1:18" x14ac:dyDescent="0.25">
      <c r="A1925" s="170">
        <v>44838</v>
      </c>
      <c r="B1925" s="116">
        <v>8505</v>
      </c>
      <c r="C1925" s="116">
        <v>8491.1</v>
      </c>
      <c r="D1925" s="116">
        <v>8425</v>
      </c>
      <c r="E1925" s="116">
        <v>8488</v>
      </c>
      <c r="F1925" s="116">
        <v>8491.1</v>
      </c>
      <c r="G1925">
        <v>6539</v>
      </c>
      <c r="H1925" s="116"/>
      <c r="I1925" s="116"/>
      <c r="L1925" s="170">
        <v>44838</v>
      </c>
      <c r="M1925" s="116">
        <v>8489.2999999999993</v>
      </c>
      <c r="N1925" s="116">
        <v>8508</v>
      </c>
      <c r="O1925" s="116">
        <v>8424.9</v>
      </c>
      <c r="P1925" s="116">
        <v>8488</v>
      </c>
      <c r="Q1925" s="116">
        <v>8489.2999999999993</v>
      </c>
      <c r="R1925">
        <v>139119</v>
      </c>
    </row>
    <row r="1926" spans="1:18" x14ac:dyDescent="0.25">
      <c r="A1926" s="170">
        <v>44840</v>
      </c>
      <c r="B1926" s="116">
        <v>8662.85</v>
      </c>
      <c r="C1926" s="116">
        <v>8577.15</v>
      </c>
      <c r="D1926" s="116">
        <v>8529.5</v>
      </c>
      <c r="E1926" s="116">
        <v>8534.5499999999993</v>
      </c>
      <c r="F1926" s="116">
        <v>8577.15</v>
      </c>
      <c r="G1926">
        <v>14455</v>
      </c>
      <c r="H1926" s="116"/>
      <c r="I1926" s="116"/>
      <c r="L1926" s="170">
        <v>44840</v>
      </c>
      <c r="M1926" s="116">
        <v>8575.9500000000007</v>
      </c>
      <c r="N1926" s="116">
        <v>8665</v>
      </c>
      <c r="O1926" s="116">
        <v>8533</v>
      </c>
      <c r="P1926" s="116">
        <v>8590</v>
      </c>
      <c r="Q1926" s="116">
        <v>8575.9500000000007</v>
      </c>
      <c r="R1926">
        <v>187023</v>
      </c>
    </row>
    <row r="1927" spans="1:18" x14ac:dyDescent="0.25">
      <c r="A1927" s="170">
        <v>44841</v>
      </c>
      <c r="B1927" s="116">
        <v>8649.6</v>
      </c>
      <c r="C1927" s="116">
        <v>8550.25</v>
      </c>
      <c r="D1927" s="116">
        <v>8539</v>
      </c>
      <c r="E1927" s="116">
        <v>8596</v>
      </c>
      <c r="F1927" s="116">
        <v>8550.25</v>
      </c>
      <c r="G1927">
        <v>10542</v>
      </c>
      <c r="H1927" s="116"/>
      <c r="I1927" s="116"/>
      <c r="L1927" s="170">
        <v>44841</v>
      </c>
      <c r="M1927" s="116">
        <v>8550.0499999999993</v>
      </c>
      <c r="N1927" s="116">
        <v>8649.9500000000007</v>
      </c>
      <c r="O1927" s="116">
        <v>8533</v>
      </c>
      <c r="P1927" s="116">
        <v>8614.9</v>
      </c>
      <c r="Q1927" s="116">
        <v>8550.0499999999993</v>
      </c>
      <c r="R1927">
        <v>128245</v>
      </c>
    </row>
    <row r="1928" spans="1:18" x14ac:dyDescent="0.25">
      <c r="A1928" s="170">
        <v>44844</v>
      </c>
      <c r="B1928" s="116">
        <v>8620</v>
      </c>
      <c r="C1928" s="116">
        <v>8579.1</v>
      </c>
      <c r="D1928" s="116">
        <v>8397.5</v>
      </c>
      <c r="E1928" s="116">
        <v>8397.5</v>
      </c>
      <c r="F1928" s="116">
        <v>8579.1</v>
      </c>
      <c r="G1928">
        <v>13042</v>
      </c>
      <c r="H1928" s="116"/>
      <c r="I1928" s="116"/>
      <c r="L1928" s="170">
        <v>44844</v>
      </c>
      <c r="M1928" s="116">
        <v>8584.2000000000007</v>
      </c>
      <c r="N1928" s="116">
        <v>8625</v>
      </c>
      <c r="O1928" s="116">
        <v>8425</v>
      </c>
      <c r="P1928" s="116">
        <v>8450</v>
      </c>
      <c r="Q1928" s="116">
        <v>8584.2000000000007</v>
      </c>
      <c r="R1928">
        <v>127500</v>
      </c>
    </row>
    <row r="1929" spans="1:18" x14ac:dyDescent="0.25">
      <c r="A1929" s="170">
        <v>44845</v>
      </c>
      <c r="B1929" s="116">
        <v>8681.2000000000007</v>
      </c>
      <c r="C1929" s="116">
        <v>8509.6</v>
      </c>
      <c r="D1929" s="116">
        <v>8485</v>
      </c>
      <c r="E1929" s="116">
        <v>8650</v>
      </c>
      <c r="F1929" s="116">
        <v>8509.6</v>
      </c>
      <c r="G1929">
        <v>49701</v>
      </c>
      <c r="H1929" s="116"/>
      <c r="I1929" s="116"/>
      <c r="L1929" s="170">
        <v>44845</v>
      </c>
      <c r="M1929" s="116">
        <v>8509.9</v>
      </c>
      <c r="N1929" s="116">
        <v>8685</v>
      </c>
      <c r="O1929" s="116">
        <v>8480.0499999999993</v>
      </c>
      <c r="P1929" s="116">
        <v>8660</v>
      </c>
      <c r="Q1929" s="116">
        <v>8509.9</v>
      </c>
      <c r="R1929">
        <v>117106</v>
      </c>
    </row>
    <row r="1930" spans="1:18" x14ac:dyDescent="0.25">
      <c r="A1930" s="170">
        <v>44846</v>
      </c>
      <c r="B1930" s="116">
        <v>8546</v>
      </c>
      <c r="C1930" s="116">
        <v>8361.2999999999993</v>
      </c>
      <c r="D1930" s="116">
        <v>8331.6</v>
      </c>
      <c r="E1930" s="116">
        <v>8500</v>
      </c>
      <c r="F1930" s="116">
        <v>8361.2999999999993</v>
      </c>
      <c r="G1930">
        <v>6574</v>
      </c>
      <c r="H1930" s="116"/>
      <c r="I1930" s="116"/>
      <c r="L1930" s="170">
        <v>44846</v>
      </c>
      <c r="M1930" s="116">
        <v>8360.65</v>
      </c>
      <c r="N1930" s="116">
        <v>8549</v>
      </c>
      <c r="O1930" s="116">
        <v>8330</v>
      </c>
      <c r="P1930" s="116">
        <v>8509.9</v>
      </c>
      <c r="Q1930" s="116">
        <v>8360.65</v>
      </c>
      <c r="R1930">
        <v>123936</v>
      </c>
    </row>
    <row r="1931" spans="1:18" x14ac:dyDescent="0.25">
      <c r="A1931" s="170">
        <v>44847</v>
      </c>
      <c r="B1931" s="116">
        <v>8423</v>
      </c>
      <c r="C1931" s="116">
        <v>8313.1</v>
      </c>
      <c r="D1931" s="116">
        <v>8300</v>
      </c>
      <c r="E1931" s="116">
        <v>8363</v>
      </c>
      <c r="F1931" s="116">
        <v>8313.1</v>
      </c>
      <c r="G1931">
        <v>13146</v>
      </c>
      <c r="H1931" s="116"/>
      <c r="I1931" s="116"/>
      <c r="L1931" s="170">
        <v>44847</v>
      </c>
      <c r="M1931" s="116">
        <v>8312.85</v>
      </c>
      <c r="N1931" s="116">
        <v>8424.85</v>
      </c>
      <c r="O1931" s="116">
        <v>8293.6</v>
      </c>
      <c r="P1931" s="116">
        <v>8380.65</v>
      </c>
      <c r="Q1931" s="116">
        <v>8312.85</v>
      </c>
      <c r="R1931">
        <v>98972</v>
      </c>
    </row>
    <row r="1932" spans="1:18" x14ac:dyDescent="0.25">
      <c r="A1932" s="170">
        <v>44848</v>
      </c>
      <c r="B1932" s="116">
        <v>8570</v>
      </c>
      <c r="C1932" s="116">
        <v>8455.85</v>
      </c>
      <c r="D1932" s="116">
        <v>8415</v>
      </c>
      <c r="E1932" s="116">
        <v>8471.2999999999993</v>
      </c>
      <c r="F1932" s="116">
        <v>8455.85</v>
      </c>
      <c r="G1932">
        <v>16547</v>
      </c>
      <c r="H1932" s="116"/>
      <c r="I1932" s="116"/>
      <c r="L1932" s="170">
        <v>44848</v>
      </c>
      <c r="M1932" s="116">
        <v>8465.5499999999993</v>
      </c>
      <c r="N1932" s="116">
        <v>8565</v>
      </c>
      <c r="O1932" s="116">
        <v>8415</v>
      </c>
      <c r="P1932" s="116">
        <v>8500.2999999999993</v>
      </c>
      <c r="Q1932" s="116">
        <v>8465.5499999999993</v>
      </c>
      <c r="R1932">
        <v>206564</v>
      </c>
    </row>
    <row r="1933" spans="1:18" x14ac:dyDescent="0.25">
      <c r="A1933" s="170">
        <v>44851</v>
      </c>
      <c r="B1933" s="116">
        <v>7999</v>
      </c>
      <c r="C1933" s="116">
        <v>7778.35</v>
      </c>
      <c r="D1933" s="116">
        <v>7735</v>
      </c>
      <c r="E1933" s="116">
        <v>7999</v>
      </c>
      <c r="F1933" s="116">
        <v>7778.35</v>
      </c>
      <c r="G1933">
        <v>101213</v>
      </c>
      <c r="H1933" s="116"/>
      <c r="I1933" s="116"/>
      <c r="L1933" s="170">
        <v>44851</v>
      </c>
      <c r="M1933" s="116">
        <v>7782.8</v>
      </c>
      <c r="N1933" s="116">
        <v>8000</v>
      </c>
      <c r="O1933" s="116">
        <v>7735</v>
      </c>
      <c r="P1933" s="116">
        <v>8000</v>
      </c>
      <c r="Q1933" s="116">
        <v>7782.8</v>
      </c>
      <c r="R1933">
        <v>1199165</v>
      </c>
    </row>
    <row r="1934" spans="1:18" x14ac:dyDescent="0.25">
      <c r="A1934" s="170">
        <v>44852</v>
      </c>
      <c r="B1934" s="116">
        <v>7778.35</v>
      </c>
      <c r="C1934" s="116">
        <v>7203.45</v>
      </c>
      <c r="D1934" s="116">
        <v>7110</v>
      </c>
      <c r="E1934" s="116">
        <v>7778.35</v>
      </c>
      <c r="F1934" s="116">
        <v>7203.45</v>
      </c>
      <c r="G1934">
        <v>103144</v>
      </c>
      <c r="H1934" s="116"/>
      <c r="I1934" s="116"/>
      <c r="L1934" s="170">
        <v>44852</v>
      </c>
      <c r="M1934" s="116">
        <v>7204.65</v>
      </c>
      <c r="N1934" s="116">
        <v>7770</v>
      </c>
      <c r="O1934" s="116">
        <v>7168.4</v>
      </c>
      <c r="P1934" s="116">
        <v>7760</v>
      </c>
      <c r="Q1934" s="116">
        <v>7204.65</v>
      </c>
      <c r="R1934">
        <v>1890522</v>
      </c>
    </row>
    <row r="1935" spans="1:18" x14ac:dyDescent="0.25">
      <c r="A1935" s="170">
        <v>44853</v>
      </c>
      <c r="B1935" s="116">
        <v>7448.65</v>
      </c>
      <c r="C1935" s="116">
        <v>7316.45</v>
      </c>
      <c r="D1935" s="116">
        <v>7175</v>
      </c>
      <c r="E1935" s="116">
        <v>7203.1</v>
      </c>
      <c r="F1935" s="116">
        <v>7316.45</v>
      </c>
      <c r="G1935">
        <v>59368</v>
      </c>
      <c r="H1935" s="116"/>
      <c r="I1935" s="116"/>
      <c r="L1935" s="170">
        <v>44853</v>
      </c>
      <c r="M1935" s="116">
        <v>7314.2</v>
      </c>
      <c r="N1935" s="116">
        <v>7445</v>
      </c>
      <c r="O1935" s="116">
        <v>7190</v>
      </c>
      <c r="P1935" s="116">
        <v>7190</v>
      </c>
      <c r="Q1935" s="116">
        <v>7314.2</v>
      </c>
      <c r="R1935">
        <v>1253682</v>
      </c>
    </row>
    <row r="1936" spans="1:18" x14ac:dyDescent="0.25">
      <c r="A1936" s="170">
        <v>44854</v>
      </c>
      <c r="B1936" s="116">
        <v>7389</v>
      </c>
      <c r="C1936" s="116">
        <v>7370.35</v>
      </c>
      <c r="D1936" s="116">
        <v>7230.9</v>
      </c>
      <c r="E1936" s="116">
        <v>7309</v>
      </c>
      <c r="F1936" s="116">
        <v>7370.35</v>
      </c>
      <c r="G1936">
        <v>30271</v>
      </c>
      <c r="H1936" s="116"/>
      <c r="I1936" s="116"/>
      <c r="L1936" s="170">
        <v>44854</v>
      </c>
      <c r="M1936" s="116">
        <v>7374.75</v>
      </c>
      <c r="N1936" s="116">
        <v>7390</v>
      </c>
      <c r="O1936" s="116">
        <v>7233.15</v>
      </c>
      <c r="P1936" s="116">
        <v>7314.2</v>
      </c>
      <c r="Q1936" s="116">
        <v>7374.75</v>
      </c>
      <c r="R1936">
        <v>328303</v>
      </c>
    </row>
    <row r="1937" spans="1:18" x14ac:dyDescent="0.25">
      <c r="A1937" s="170">
        <v>44855</v>
      </c>
      <c r="B1937" s="116">
        <v>7442.7</v>
      </c>
      <c r="C1937" s="116">
        <v>7260.2</v>
      </c>
      <c r="D1937" s="116">
        <v>7229</v>
      </c>
      <c r="E1937" s="116">
        <v>7442.7</v>
      </c>
      <c r="F1937" s="116">
        <v>7260.2</v>
      </c>
      <c r="G1937">
        <v>13681</v>
      </c>
      <c r="H1937" s="116"/>
      <c r="I1937" s="116"/>
      <c r="L1937" s="170">
        <v>44855</v>
      </c>
      <c r="M1937" s="116">
        <v>7261.3</v>
      </c>
      <c r="N1937" s="116">
        <v>7440</v>
      </c>
      <c r="O1937" s="116">
        <v>7226</v>
      </c>
      <c r="P1937" s="116">
        <v>7410</v>
      </c>
      <c r="Q1937" s="116">
        <v>7261.3</v>
      </c>
      <c r="R1937">
        <v>300261</v>
      </c>
    </row>
    <row r="1938" spans="1:18" x14ac:dyDescent="0.25">
      <c r="A1938" s="170">
        <v>44858</v>
      </c>
      <c r="B1938" s="116">
        <v>7365.6</v>
      </c>
      <c r="C1938" s="116">
        <v>7309.65</v>
      </c>
      <c r="D1938" s="116">
        <v>7260.65</v>
      </c>
      <c r="E1938" s="116">
        <v>7321.3</v>
      </c>
      <c r="F1938" s="116">
        <v>7309.65</v>
      </c>
      <c r="G1938">
        <v>4921</v>
      </c>
      <c r="H1938" s="116"/>
      <c r="I1938" s="116"/>
      <c r="L1938" s="170">
        <v>44858</v>
      </c>
      <c r="M1938" s="116">
        <v>7309.3</v>
      </c>
      <c r="N1938" s="116">
        <v>7365</v>
      </c>
      <c r="O1938" s="116">
        <v>7272</v>
      </c>
      <c r="P1938" s="116">
        <v>7360</v>
      </c>
      <c r="Q1938" s="116">
        <v>7309.3</v>
      </c>
      <c r="R1938">
        <v>66855</v>
      </c>
    </row>
    <row r="1939" spans="1:18" x14ac:dyDescent="0.25">
      <c r="A1939" s="170">
        <v>44859</v>
      </c>
      <c r="B1939" s="116">
        <v>7341.5</v>
      </c>
      <c r="C1939" s="116">
        <v>7187.2</v>
      </c>
      <c r="D1939" s="116">
        <v>7175</v>
      </c>
      <c r="E1939" s="116">
        <v>7318</v>
      </c>
      <c r="F1939" s="116">
        <v>7187.2</v>
      </c>
      <c r="G1939">
        <v>53594</v>
      </c>
      <c r="H1939" s="116"/>
      <c r="I1939" s="116"/>
      <c r="L1939" s="170">
        <v>44859</v>
      </c>
      <c r="M1939" s="116">
        <v>7186.4</v>
      </c>
      <c r="N1939" s="116">
        <v>7344.95</v>
      </c>
      <c r="O1939" s="116">
        <v>7175.25</v>
      </c>
      <c r="P1939" s="116">
        <v>7344.95</v>
      </c>
      <c r="Q1939" s="116">
        <v>7186.4</v>
      </c>
      <c r="R1939">
        <v>222853</v>
      </c>
    </row>
    <row r="1940" spans="1:18" x14ac:dyDescent="0.25">
      <c r="A1940" s="170">
        <v>44861</v>
      </c>
      <c r="B1940" s="116">
        <v>7245</v>
      </c>
      <c r="C1940" s="116">
        <v>7021.25</v>
      </c>
      <c r="D1940" s="116">
        <v>7002</v>
      </c>
      <c r="E1940" s="116">
        <v>7205</v>
      </c>
      <c r="F1940" s="116">
        <v>7021.25</v>
      </c>
      <c r="G1940">
        <v>40315</v>
      </c>
      <c r="H1940" s="116"/>
      <c r="I1940" s="116"/>
      <c r="L1940" s="170">
        <v>44861</v>
      </c>
      <c r="M1940" s="116">
        <v>7023.1</v>
      </c>
      <c r="N1940" s="116">
        <v>7248</v>
      </c>
      <c r="O1940" s="116">
        <v>7000</v>
      </c>
      <c r="P1940" s="116">
        <v>7219.85</v>
      </c>
      <c r="Q1940" s="116">
        <v>7023.1</v>
      </c>
      <c r="R1940">
        <v>360043</v>
      </c>
    </row>
    <row r="1941" spans="1:18" x14ac:dyDescent="0.25">
      <c r="A1941" s="170">
        <v>44862</v>
      </c>
      <c r="B1941" s="116">
        <v>7021</v>
      </c>
      <c r="C1941" s="116">
        <v>6877.15</v>
      </c>
      <c r="D1941" s="116">
        <v>6842.3</v>
      </c>
      <c r="E1941" s="116">
        <v>7011</v>
      </c>
      <c r="F1941" s="116">
        <v>6877.15</v>
      </c>
      <c r="G1941">
        <v>31247</v>
      </c>
      <c r="H1941" s="116"/>
      <c r="I1941" s="116"/>
      <c r="L1941" s="170">
        <v>44862</v>
      </c>
      <c r="M1941" s="116">
        <v>6875.6</v>
      </c>
      <c r="N1941" s="116">
        <v>7025.3</v>
      </c>
      <c r="O1941" s="116">
        <v>6840</v>
      </c>
      <c r="P1941" s="116">
        <v>7021.4</v>
      </c>
      <c r="Q1941" s="116">
        <v>6875.6</v>
      </c>
      <c r="R1941">
        <v>459903</v>
      </c>
    </row>
    <row r="1942" spans="1:18" x14ac:dyDescent="0.25">
      <c r="A1942" s="170">
        <v>44865</v>
      </c>
      <c r="B1942" s="116">
        <v>7093.2</v>
      </c>
      <c r="C1942" s="116">
        <v>6997.65</v>
      </c>
      <c r="D1942" s="116">
        <v>6885.65</v>
      </c>
      <c r="E1942" s="116">
        <v>6885.65</v>
      </c>
      <c r="F1942" s="116">
        <v>6997.65</v>
      </c>
      <c r="G1942">
        <v>39679</v>
      </c>
      <c r="H1942" s="116"/>
      <c r="I1942" s="116"/>
      <c r="L1942" s="170">
        <v>44865</v>
      </c>
      <c r="M1942" s="116">
        <v>6995.85</v>
      </c>
      <c r="N1942" s="116">
        <v>7091.95</v>
      </c>
      <c r="O1942" s="116">
        <v>6900</v>
      </c>
      <c r="P1942" s="116">
        <v>6910</v>
      </c>
      <c r="Q1942" s="116">
        <v>6995.85</v>
      </c>
      <c r="R1942">
        <v>378242</v>
      </c>
    </row>
    <row r="1943" spans="1:18" x14ac:dyDescent="0.25">
      <c r="A1943" s="170">
        <v>44866</v>
      </c>
      <c r="B1943" s="116">
        <v>7079.55</v>
      </c>
      <c r="C1943" s="116">
        <v>6956.35</v>
      </c>
      <c r="D1943" s="116">
        <v>6925.1</v>
      </c>
      <c r="E1943" s="116">
        <v>7030</v>
      </c>
      <c r="F1943" s="116">
        <v>6956.35</v>
      </c>
      <c r="G1943">
        <v>22849</v>
      </c>
      <c r="H1943" s="116"/>
      <c r="I1943" s="116"/>
      <c r="L1943" s="170">
        <v>44866</v>
      </c>
      <c r="M1943" s="116">
        <v>6955.8</v>
      </c>
      <c r="N1943" s="116">
        <v>7060</v>
      </c>
      <c r="O1943" s="116">
        <v>6926.2</v>
      </c>
      <c r="P1943" s="116">
        <v>7060</v>
      </c>
      <c r="Q1943" s="116">
        <v>6955.8</v>
      </c>
      <c r="R1943">
        <v>237699</v>
      </c>
    </row>
    <row r="1944" spans="1:18" x14ac:dyDescent="0.25">
      <c r="A1944" s="170">
        <v>44867</v>
      </c>
      <c r="B1944" s="116">
        <v>7048.45</v>
      </c>
      <c r="C1944" s="116">
        <v>6941.5</v>
      </c>
      <c r="D1944" s="116">
        <v>6925.65</v>
      </c>
      <c r="E1944" s="116">
        <v>6995</v>
      </c>
      <c r="F1944" s="116">
        <v>6941.5</v>
      </c>
      <c r="G1944">
        <v>25563</v>
      </c>
      <c r="H1944" s="116"/>
      <c r="I1944" s="116"/>
      <c r="L1944" s="170">
        <v>44867</v>
      </c>
      <c r="M1944" s="116">
        <v>6943.2</v>
      </c>
      <c r="N1944" s="116">
        <v>7048</v>
      </c>
      <c r="O1944" s="116">
        <v>6925</v>
      </c>
      <c r="P1944" s="116">
        <v>6999.95</v>
      </c>
      <c r="Q1944" s="116">
        <v>6943.2</v>
      </c>
      <c r="R1944">
        <v>212622</v>
      </c>
    </row>
    <row r="1945" spans="1:18" x14ac:dyDescent="0.25">
      <c r="A1945" s="170">
        <v>44868</v>
      </c>
      <c r="B1945" s="116">
        <v>6943.95</v>
      </c>
      <c r="C1945" s="116">
        <v>6892.6</v>
      </c>
      <c r="D1945" s="116">
        <v>6879.9</v>
      </c>
      <c r="E1945" s="116">
        <v>6943.95</v>
      </c>
      <c r="F1945" s="116">
        <v>6892.6</v>
      </c>
      <c r="G1945">
        <v>12175</v>
      </c>
      <c r="H1945" s="116"/>
      <c r="I1945" s="116"/>
      <c r="L1945" s="170">
        <v>44868</v>
      </c>
      <c r="M1945" s="116">
        <v>6892.65</v>
      </c>
      <c r="N1945" s="116">
        <v>6943</v>
      </c>
      <c r="O1945" s="116">
        <v>6880.15</v>
      </c>
      <c r="P1945" s="116">
        <v>6943</v>
      </c>
      <c r="Q1945" s="116">
        <v>6892.65</v>
      </c>
      <c r="R1945">
        <v>189007</v>
      </c>
    </row>
    <row r="1946" spans="1:18" x14ac:dyDescent="0.25">
      <c r="A1946" s="170">
        <v>44869</v>
      </c>
      <c r="B1946" s="116">
        <v>6940.45</v>
      </c>
      <c r="C1946" s="116">
        <v>6913</v>
      </c>
      <c r="D1946" s="116">
        <v>6855</v>
      </c>
      <c r="E1946" s="116">
        <v>6940.45</v>
      </c>
      <c r="F1946" s="116">
        <v>6913</v>
      </c>
      <c r="G1946">
        <v>10518</v>
      </c>
      <c r="H1946" s="116"/>
      <c r="I1946" s="116"/>
      <c r="L1946" s="170">
        <v>44869</v>
      </c>
      <c r="M1946" s="116">
        <v>6908.05</v>
      </c>
      <c r="N1946" s="116">
        <v>6941</v>
      </c>
      <c r="O1946" s="116">
        <v>6852.25</v>
      </c>
      <c r="P1946" s="116">
        <v>6920</v>
      </c>
      <c r="Q1946" s="116">
        <v>6908.05</v>
      </c>
      <c r="R1946">
        <v>197189</v>
      </c>
    </row>
    <row r="1947" spans="1:18" x14ac:dyDescent="0.25">
      <c r="A1947" s="170">
        <v>44872</v>
      </c>
      <c r="B1947" s="116">
        <v>7040</v>
      </c>
      <c r="C1947" s="116">
        <v>6975.2</v>
      </c>
      <c r="D1947" s="116">
        <v>6953</v>
      </c>
      <c r="E1947" s="116">
        <v>6979.9</v>
      </c>
      <c r="F1947" s="116">
        <v>6975.2</v>
      </c>
      <c r="G1947">
        <v>22236</v>
      </c>
      <c r="H1947" s="116"/>
      <c r="I1947" s="116"/>
      <c r="L1947" s="170">
        <v>44872</v>
      </c>
      <c r="M1947" s="116">
        <v>6976.45</v>
      </c>
      <c r="N1947" s="116">
        <v>7040</v>
      </c>
      <c r="O1947" s="116">
        <v>6951.3</v>
      </c>
      <c r="P1947" s="116">
        <v>6972</v>
      </c>
      <c r="Q1947" s="116">
        <v>6976.45</v>
      </c>
      <c r="R1947">
        <v>142033</v>
      </c>
    </row>
    <row r="1948" spans="1:18" x14ac:dyDescent="0.25">
      <c r="A1948" s="170">
        <v>44874</v>
      </c>
      <c r="B1948" s="116">
        <v>7047.05</v>
      </c>
      <c r="C1948" s="116">
        <v>6991.7</v>
      </c>
      <c r="D1948" s="116">
        <v>6978.6</v>
      </c>
      <c r="E1948" s="116">
        <v>6990.8</v>
      </c>
      <c r="F1948" s="116">
        <v>6991.7</v>
      </c>
      <c r="G1948">
        <v>12332</v>
      </c>
      <c r="H1948" s="116"/>
      <c r="I1948" s="116"/>
      <c r="L1948" s="170">
        <v>44874</v>
      </c>
      <c r="M1948" s="116">
        <v>6999.5</v>
      </c>
      <c r="N1948" s="116">
        <v>7045</v>
      </c>
      <c r="O1948" s="116">
        <v>6977</v>
      </c>
      <c r="P1948" s="116">
        <v>7025</v>
      </c>
      <c r="Q1948" s="116">
        <v>6999.5</v>
      </c>
      <c r="R1948">
        <v>228537</v>
      </c>
    </row>
    <row r="1949" spans="1:18" x14ac:dyDescent="0.25">
      <c r="A1949" s="170">
        <v>44875</v>
      </c>
      <c r="B1949" s="116">
        <v>6995</v>
      </c>
      <c r="C1949" s="116">
        <v>6924.85</v>
      </c>
      <c r="D1949" s="116">
        <v>6892.65</v>
      </c>
      <c r="E1949" s="116">
        <v>6995</v>
      </c>
      <c r="F1949" s="116">
        <v>6924.85</v>
      </c>
      <c r="G1949">
        <v>4780</v>
      </c>
      <c r="H1949" s="116"/>
      <c r="I1949" s="116"/>
      <c r="L1949" s="170">
        <v>44875</v>
      </c>
      <c r="M1949" s="116">
        <v>6925.7</v>
      </c>
      <c r="N1949" s="116">
        <v>6990.25</v>
      </c>
      <c r="O1949" s="116">
        <v>6893</v>
      </c>
      <c r="P1949" s="116">
        <v>6990</v>
      </c>
      <c r="Q1949" s="116">
        <v>6925.7</v>
      </c>
      <c r="R1949">
        <v>104329</v>
      </c>
    </row>
    <row r="1950" spans="1:18" x14ac:dyDescent="0.25">
      <c r="A1950" s="170">
        <v>44876</v>
      </c>
      <c r="B1950" s="116">
        <v>7094.85</v>
      </c>
      <c r="C1950" s="116">
        <v>6960.05</v>
      </c>
      <c r="D1950" s="116">
        <v>6943.5</v>
      </c>
      <c r="E1950" s="116">
        <v>7060.05</v>
      </c>
      <c r="F1950" s="116">
        <v>6960.05</v>
      </c>
      <c r="G1950">
        <v>11537</v>
      </c>
      <c r="H1950" s="116"/>
      <c r="I1950" s="116"/>
      <c r="L1950" s="170">
        <v>44876</v>
      </c>
      <c r="M1950" s="116">
        <v>6962.5</v>
      </c>
      <c r="N1950" s="116">
        <v>7095.7</v>
      </c>
      <c r="O1950" s="116">
        <v>6941</v>
      </c>
      <c r="P1950" s="116">
        <v>7095.5</v>
      </c>
      <c r="Q1950" s="116">
        <v>6962.5</v>
      </c>
      <c r="R1950">
        <v>287465</v>
      </c>
    </row>
    <row r="1951" spans="1:18" x14ac:dyDescent="0.25">
      <c r="A1951" s="170">
        <v>44879</v>
      </c>
      <c r="B1951" s="116">
        <v>7070.35</v>
      </c>
      <c r="C1951" s="116">
        <v>6973.15</v>
      </c>
      <c r="D1951" s="116">
        <v>6960</v>
      </c>
      <c r="E1951" s="116">
        <v>7038.95</v>
      </c>
      <c r="F1951" s="116">
        <v>6973.15</v>
      </c>
      <c r="G1951">
        <v>16063</v>
      </c>
      <c r="H1951" s="116"/>
      <c r="I1951" s="116"/>
      <c r="L1951" s="170">
        <v>44879</v>
      </c>
      <c r="M1951" s="116">
        <v>6975.25</v>
      </c>
      <c r="N1951" s="116">
        <v>7070.7</v>
      </c>
      <c r="O1951" s="116">
        <v>6962</v>
      </c>
      <c r="P1951" s="116">
        <v>7030</v>
      </c>
      <c r="Q1951" s="116">
        <v>6975.25</v>
      </c>
      <c r="R1951">
        <v>172031</v>
      </c>
    </row>
    <row r="1952" spans="1:18" x14ac:dyDescent="0.25">
      <c r="A1952" s="170">
        <v>44880</v>
      </c>
      <c r="B1952" s="116">
        <v>7047.45</v>
      </c>
      <c r="C1952" s="116">
        <v>6998.9</v>
      </c>
      <c r="D1952" s="116">
        <v>6964</v>
      </c>
      <c r="E1952" s="116">
        <v>6990.05</v>
      </c>
      <c r="F1952" s="116">
        <v>6998.9</v>
      </c>
      <c r="G1952">
        <v>9406</v>
      </c>
      <c r="H1952" s="116"/>
      <c r="I1952" s="116"/>
      <c r="L1952" s="170">
        <v>44880</v>
      </c>
      <c r="M1952" s="116">
        <v>7000.65</v>
      </c>
      <c r="N1952" s="116">
        <v>7045</v>
      </c>
      <c r="O1952" s="116">
        <v>6960</v>
      </c>
      <c r="P1952" s="116">
        <v>7008</v>
      </c>
      <c r="Q1952" s="116">
        <v>7000.65</v>
      </c>
      <c r="R1952">
        <v>140336</v>
      </c>
    </row>
    <row r="1953" spans="1:18" x14ac:dyDescent="0.25">
      <c r="A1953" s="170">
        <v>44881</v>
      </c>
      <c r="B1953" s="116">
        <v>7024.95</v>
      </c>
      <c r="C1953" s="116">
        <v>6947.6</v>
      </c>
      <c r="D1953" s="116">
        <v>6936.65</v>
      </c>
      <c r="E1953" s="116">
        <v>7000.05</v>
      </c>
      <c r="F1953" s="116">
        <v>6947.6</v>
      </c>
      <c r="G1953">
        <v>6627</v>
      </c>
      <c r="H1953" s="116"/>
      <c r="I1953" s="116"/>
      <c r="L1953" s="170">
        <v>44881</v>
      </c>
      <c r="M1953" s="116">
        <v>6946.35</v>
      </c>
      <c r="N1953" s="116">
        <v>7026</v>
      </c>
      <c r="O1953" s="116">
        <v>6931.55</v>
      </c>
      <c r="P1953" s="116">
        <v>7026</v>
      </c>
      <c r="Q1953" s="116">
        <v>6946.35</v>
      </c>
      <c r="R1953">
        <v>126933</v>
      </c>
    </row>
    <row r="1954" spans="1:18" x14ac:dyDescent="0.25">
      <c r="A1954" s="170">
        <v>44882</v>
      </c>
      <c r="B1954" s="116">
        <v>6934.95</v>
      </c>
      <c r="C1954" s="116">
        <v>6841.55</v>
      </c>
      <c r="D1954" s="116">
        <v>6802.6</v>
      </c>
      <c r="E1954" s="116">
        <v>6924.75</v>
      </c>
      <c r="F1954" s="116">
        <v>6841.55</v>
      </c>
      <c r="G1954">
        <v>23172</v>
      </c>
      <c r="H1954" s="116"/>
      <c r="I1954" s="116"/>
      <c r="L1954" s="170">
        <v>44882</v>
      </c>
      <c r="M1954" s="116">
        <v>6843.2</v>
      </c>
      <c r="N1954" s="116">
        <v>6939</v>
      </c>
      <c r="O1954" s="116">
        <v>6800</v>
      </c>
      <c r="P1954" s="116">
        <v>6938</v>
      </c>
      <c r="Q1954" s="116">
        <v>6843.2</v>
      </c>
      <c r="R1954">
        <v>167046</v>
      </c>
    </row>
    <row r="1955" spans="1:18" x14ac:dyDescent="0.25">
      <c r="A1955" s="170">
        <v>44883</v>
      </c>
      <c r="B1955" s="116">
        <v>6970</v>
      </c>
      <c r="C1955" s="116">
        <v>6893</v>
      </c>
      <c r="D1955" s="116">
        <v>6802</v>
      </c>
      <c r="E1955" s="116">
        <v>6885</v>
      </c>
      <c r="F1955" s="116">
        <v>6893</v>
      </c>
      <c r="G1955">
        <v>8134</v>
      </c>
      <c r="H1955" s="116"/>
      <c r="I1955" s="116"/>
      <c r="L1955" s="170">
        <v>44883</v>
      </c>
      <c r="M1955" s="116">
        <v>6894.6</v>
      </c>
      <c r="N1955" s="116">
        <v>6969.95</v>
      </c>
      <c r="O1955" s="116">
        <v>6800</v>
      </c>
      <c r="P1955" s="116">
        <v>6888</v>
      </c>
      <c r="Q1955" s="116">
        <v>6894.6</v>
      </c>
      <c r="R1955">
        <v>185870</v>
      </c>
    </row>
    <row r="1956" spans="1:18" x14ac:dyDescent="0.25">
      <c r="A1956" s="170">
        <v>44886</v>
      </c>
      <c r="B1956" s="116">
        <v>6908.65</v>
      </c>
      <c r="C1956" s="116">
        <v>6853.95</v>
      </c>
      <c r="D1956" s="116">
        <v>6836</v>
      </c>
      <c r="E1956" s="116">
        <v>6900</v>
      </c>
      <c r="F1956" s="116">
        <v>6853.95</v>
      </c>
      <c r="G1956">
        <v>5911</v>
      </c>
      <c r="H1956" s="116"/>
      <c r="I1956" s="116"/>
      <c r="L1956" s="170">
        <v>44886</v>
      </c>
      <c r="M1956" s="116">
        <v>6855.75</v>
      </c>
      <c r="N1956" s="116">
        <v>6910.85</v>
      </c>
      <c r="O1956" s="116">
        <v>6834</v>
      </c>
      <c r="P1956" s="116">
        <v>6899</v>
      </c>
      <c r="Q1956" s="116">
        <v>6855.75</v>
      </c>
      <c r="R1956">
        <v>73793</v>
      </c>
    </row>
    <row r="1957" spans="1:18" x14ac:dyDescent="0.25">
      <c r="A1957" s="170">
        <v>44887</v>
      </c>
      <c r="B1957" s="116">
        <v>6883.1</v>
      </c>
      <c r="C1957" s="116">
        <v>6826.7</v>
      </c>
      <c r="D1957" s="116">
        <v>6810</v>
      </c>
      <c r="E1957" s="116">
        <v>6860</v>
      </c>
      <c r="F1957" s="116">
        <v>6826.7</v>
      </c>
      <c r="G1957">
        <v>7438</v>
      </c>
      <c r="H1957" s="116"/>
      <c r="I1957" s="116"/>
      <c r="L1957" s="170">
        <v>44887</v>
      </c>
      <c r="M1957" s="116">
        <v>6826.75</v>
      </c>
      <c r="N1957" s="116">
        <v>6883.9</v>
      </c>
      <c r="O1957" s="116">
        <v>6811</v>
      </c>
      <c r="P1957" s="116">
        <v>6865</v>
      </c>
      <c r="Q1957" s="116">
        <v>6826.75</v>
      </c>
      <c r="R1957">
        <v>99404</v>
      </c>
    </row>
    <row r="1958" spans="1:18" x14ac:dyDescent="0.25">
      <c r="A1958" s="170">
        <v>44888</v>
      </c>
      <c r="B1958" s="116">
        <v>6860</v>
      </c>
      <c r="C1958" s="116">
        <v>6730.85</v>
      </c>
      <c r="D1958" s="116">
        <v>6709.5</v>
      </c>
      <c r="E1958" s="116">
        <v>6827.05</v>
      </c>
      <c r="F1958" s="116">
        <v>6730.85</v>
      </c>
      <c r="G1958">
        <v>10767</v>
      </c>
      <c r="H1958" s="116"/>
      <c r="I1958" s="116"/>
      <c r="L1958" s="170">
        <v>44888</v>
      </c>
      <c r="M1958" s="116">
        <v>6732.8</v>
      </c>
      <c r="N1958" s="116">
        <v>6860</v>
      </c>
      <c r="O1958" s="116">
        <v>6707</v>
      </c>
      <c r="P1958" s="116">
        <v>6850</v>
      </c>
      <c r="Q1958" s="116">
        <v>6732.8</v>
      </c>
      <c r="R1958">
        <v>195252</v>
      </c>
    </row>
    <row r="1959" spans="1:18" x14ac:dyDescent="0.25">
      <c r="A1959" s="170">
        <v>44889</v>
      </c>
      <c r="B1959" s="116">
        <v>6795.75</v>
      </c>
      <c r="C1959" s="116">
        <v>6619.7</v>
      </c>
      <c r="D1959" s="116">
        <v>6603</v>
      </c>
      <c r="E1959" s="116">
        <v>6735</v>
      </c>
      <c r="F1959" s="116">
        <v>6619.7</v>
      </c>
      <c r="G1959">
        <v>15840</v>
      </c>
      <c r="H1959" s="116"/>
      <c r="I1959" s="116"/>
      <c r="L1959" s="170">
        <v>44889</v>
      </c>
      <c r="M1959" s="116">
        <v>6618.4</v>
      </c>
      <c r="N1959" s="116">
        <v>6793.9</v>
      </c>
      <c r="O1959" s="116">
        <v>6601</v>
      </c>
      <c r="P1959" s="116">
        <v>6750.7</v>
      </c>
      <c r="Q1959" s="116">
        <v>6618.4</v>
      </c>
      <c r="R1959">
        <v>383895</v>
      </c>
    </row>
    <row r="1960" spans="1:18" x14ac:dyDescent="0.25">
      <c r="A1960" s="170">
        <v>44890</v>
      </c>
      <c r="B1960" s="116">
        <v>6810</v>
      </c>
      <c r="C1960" s="116">
        <v>6778.5</v>
      </c>
      <c r="D1960" s="116">
        <v>6620</v>
      </c>
      <c r="E1960" s="116">
        <v>6655</v>
      </c>
      <c r="F1960" s="116">
        <v>6778.5</v>
      </c>
      <c r="G1960">
        <v>32862</v>
      </c>
      <c r="H1960" s="116"/>
      <c r="I1960" s="116"/>
      <c r="L1960" s="170">
        <v>44890</v>
      </c>
      <c r="M1960" s="116">
        <v>6779.95</v>
      </c>
      <c r="N1960" s="116">
        <v>6811</v>
      </c>
      <c r="O1960" s="116">
        <v>6619</v>
      </c>
      <c r="P1960" s="116">
        <v>6666</v>
      </c>
      <c r="Q1960" s="116">
        <v>6779.95</v>
      </c>
      <c r="R1960">
        <v>371997</v>
      </c>
    </row>
    <row r="1961" spans="1:18" x14ac:dyDescent="0.25">
      <c r="A1961" s="170">
        <v>44893</v>
      </c>
      <c r="B1961" s="116">
        <v>6850</v>
      </c>
      <c r="C1961" s="116">
        <v>6795.45</v>
      </c>
      <c r="D1961" s="116">
        <v>6778.5</v>
      </c>
      <c r="E1961" s="116">
        <v>6800</v>
      </c>
      <c r="F1961" s="116">
        <v>6795.45</v>
      </c>
      <c r="G1961">
        <v>7821</v>
      </c>
      <c r="H1961" s="116"/>
      <c r="I1961" s="116"/>
      <c r="L1961" s="170">
        <v>44893</v>
      </c>
      <c r="M1961" s="116">
        <v>6796.95</v>
      </c>
      <c r="N1961" s="116">
        <v>6849</v>
      </c>
      <c r="O1961" s="116">
        <v>6780</v>
      </c>
      <c r="P1961" s="116">
        <v>6785.55</v>
      </c>
      <c r="Q1961" s="116">
        <v>6796.95</v>
      </c>
      <c r="R1961">
        <v>145299</v>
      </c>
    </row>
    <row r="1962" spans="1:18" x14ac:dyDescent="0.25">
      <c r="A1962" s="170">
        <v>44894</v>
      </c>
      <c r="B1962" s="116">
        <v>6830</v>
      </c>
      <c r="C1962" s="116">
        <v>6780.65</v>
      </c>
      <c r="D1962" s="116">
        <v>6772.9</v>
      </c>
      <c r="E1962" s="116">
        <v>6810</v>
      </c>
      <c r="F1962" s="116">
        <v>6780.65</v>
      </c>
      <c r="G1962">
        <v>5419</v>
      </c>
      <c r="H1962" s="116"/>
      <c r="I1962" s="116"/>
      <c r="L1962" s="170">
        <v>44894</v>
      </c>
      <c r="M1962" s="116">
        <v>6781.75</v>
      </c>
      <c r="N1962" s="116">
        <v>6829.9</v>
      </c>
      <c r="O1962" s="116">
        <v>6774.35</v>
      </c>
      <c r="P1962" s="116">
        <v>6796</v>
      </c>
      <c r="Q1962" s="116">
        <v>6781.75</v>
      </c>
      <c r="R1962">
        <v>112717</v>
      </c>
    </row>
    <row r="1963" spans="1:18" x14ac:dyDescent="0.25">
      <c r="A1963" s="170">
        <v>44895</v>
      </c>
      <c r="B1963" s="116">
        <v>7050</v>
      </c>
      <c r="C1963" s="116">
        <v>7015.9</v>
      </c>
      <c r="D1963" s="116">
        <v>6782.55</v>
      </c>
      <c r="E1963" s="116">
        <v>6790.05</v>
      </c>
      <c r="F1963" s="116">
        <v>7015.9</v>
      </c>
      <c r="G1963">
        <v>18562</v>
      </c>
      <c r="H1963" s="116"/>
      <c r="I1963" s="116"/>
      <c r="L1963" s="170">
        <v>44895</v>
      </c>
      <c r="M1963" s="116">
        <v>7010.25</v>
      </c>
      <c r="N1963" s="116">
        <v>7050</v>
      </c>
      <c r="O1963" s="116">
        <v>6781</v>
      </c>
      <c r="P1963" s="116">
        <v>6810</v>
      </c>
      <c r="Q1963" s="116">
        <v>7010.25</v>
      </c>
      <c r="R1963">
        <v>489300</v>
      </c>
    </row>
    <row r="1964" spans="1:18" x14ac:dyDescent="0.25">
      <c r="A1964" s="170">
        <v>44896</v>
      </c>
      <c r="B1964" s="116">
        <v>7196.15</v>
      </c>
      <c r="C1964" s="116">
        <v>7076.7</v>
      </c>
      <c r="D1964" s="116">
        <v>7010</v>
      </c>
      <c r="E1964" s="116">
        <v>7080</v>
      </c>
      <c r="F1964" s="116">
        <v>7076.7</v>
      </c>
      <c r="G1964">
        <v>44602</v>
      </c>
      <c r="H1964" s="116"/>
      <c r="I1964" s="116"/>
      <c r="L1964" s="170">
        <v>44896</v>
      </c>
      <c r="M1964" s="116">
        <v>7071.65</v>
      </c>
      <c r="N1964" s="116">
        <v>7195</v>
      </c>
      <c r="O1964" s="116">
        <v>7050</v>
      </c>
      <c r="P1964" s="116">
        <v>7089.8</v>
      </c>
      <c r="Q1964" s="116">
        <v>7071.65</v>
      </c>
      <c r="R1964">
        <v>409392</v>
      </c>
    </row>
    <row r="1965" spans="1:18" x14ac:dyDescent="0.25">
      <c r="A1965" s="170">
        <v>44897</v>
      </c>
      <c r="B1965" s="116">
        <v>7075</v>
      </c>
      <c r="C1965" s="116">
        <v>7031</v>
      </c>
      <c r="D1965" s="116">
        <v>6946.7</v>
      </c>
      <c r="E1965" s="116">
        <v>7075</v>
      </c>
      <c r="F1965" s="116">
        <v>7031</v>
      </c>
      <c r="G1965">
        <v>19875</v>
      </c>
      <c r="H1965" s="116"/>
      <c r="I1965" s="116"/>
      <c r="L1965" s="170">
        <v>44897</v>
      </c>
      <c r="M1965" s="116">
        <v>7033.95</v>
      </c>
      <c r="N1965" s="116">
        <v>7081.65</v>
      </c>
      <c r="O1965" s="116">
        <v>6950</v>
      </c>
      <c r="P1965" s="116">
        <v>7071.65</v>
      </c>
      <c r="Q1965" s="116">
        <v>7033.95</v>
      </c>
      <c r="R1965">
        <v>202824</v>
      </c>
    </row>
    <row r="1966" spans="1:18" x14ac:dyDescent="0.25">
      <c r="A1966" s="170">
        <v>44900</v>
      </c>
      <c r="B1966" s="116">
        <v>7038.9</v>
      </c>
      <c r="C1966" s="116">
        <v>6961.75</v>
      </c>
      <c r="D1966" s="116">
        <v>6951</v>
      </c>
      <c r="E1966" s="116">
        <v>7033</v>
      </c>
      <c r="F1966" s="116">
        <v>6961.75</v>
      </c>
      <c r="G1966">
        <v>5339</v>
      </c>
      <c r="H1966" s="116"/>
      <c r="I1966" s="116"/>
      <c r="L1966" s="170">
        <v>44900</v>
      </c>
      <c r="M1966" s="116">
        <v>6961.4</v>
      </c>
      <c r="N1966" s="116">
        <v>7047.3</v>
      </c>
      <c r="O1966" s="116">
        <v>6950</v>
      </c>
      <c r="P1966" s="116">
        <v>7040</v>
      </c>
      <c r="Q1966" s="116">
        <v>6961.4</v>
      </c>
      <c r="R1966">
        <v>122569</v>
      </c>
    </row>
    <row r="1967" spans="1:18" x14ac:dyDescent="0.25">
      <c r="A1967" s="170">
        <v>44901</v>
      </c>
      <c r="B1967" s="116">
        <v>6950.6</v>
      </c>
      <c r="C1967" s="116">
        <v>6883.8</v>
      </c>
      <c r="D1967" s="116">
        <v>6860</v>
      </c>
      <c r="E1967" s="116">
        <v>6941.9</v>
      </c>
      <c r="F1967" s="116">
        <v>6883.8</v>
      </c>
      <c r="G1967">
        <v>13796</v>
      </c>
      <c r="H1967" s="116"/>
      <c r="I1967" s="116"/>
      <c r="L1967" s="170">
        <v>44901</v>
      </c>
      <c r="M1967" s="116">
        <v>6884.65</v>
      </c>
      <c r="N1967" s="116">
        <v>6950.05</v>
      </c>
      <c r="O1967" s="116">
        <v>6880</v>
      </c>
      <c r="P1967" s="116">
        <v>6950</v>
      </c>
      <c r="Q1967" s="116">
        <v>6884.65</v>
      </c>
      <c r="R1967">
        <v>108351</v>
      </c>
    </row>
    <row r="1968" spans="1:18" x14ac:dyDescent="0.25">
      <c r="A1968" s="170">
        <v>44902</v>
      </c>
      <c r="B1968" s="116">
        <v>6940</v>
      </c>
      <c r="C1968" s="116">
        <v>6835.3</v>
      </c>
      <c r="D1968" s="116">
        <v>6812.3</v>
      </c>
      <c r="E1968" s="116">
        <v>6872</v>
      </c>
      <c r="F1968" s="116">
        <v>6835.3</v>
      </c>
      <c r="G1968">
        <v>7235</v>
      </c>
      <c r="H1968" s="116"/>
      <c r="I1968" s="116"/>
      <c r="L1968" s="170">
        <v>44902</v>
      </c>
      <c r="M1968" s="116">
        <v>6836.7</v>
      </c>
      <c r="N1968" s="116">
        <v>6930</v>
      </c>
      <c r="O1968" s="116">
        <v>6822</v>
      </c>
      <c r="P1968" s="116">
        <v>6884</v>
      </c>
      <c r="Q1968" s="116">
        <v>6836.7</v>
      </c>
      <c r="R1968">
        <v>120687</v>
      </c>
    </row>
    <row r="1969" spans="1:18" x14ac:dyDescent="0.25">
      <c r="A1969" s="170">
        <v>44903</v>
      </c>
      <c r="B1969" s="116">
        <v>6886.55</v>
      </c>
      <c r="C1969" s="116">
        <v>6828.15</v>
      </c>
      <c r="D1969" s="116">
        <v>6816.8</v>
      </c>
      <c r="E1969" s="116">
        <v>6886.55</v>
      </c>
      <c r="F1969" s="116">
        <v>6828.15</v>
      </c>
      <c r="G1969">
        <v>4579</v>
      </c>
      <c r="H1969" s="116"/>
      <c r="I1969" s="116"/>
      <c r="L1969" s="170">
        <v>44903</v>
      </c>
      <c r="M1969" s="116">
        <v>6830.35</v>
      </c>
      <c r="N1969" s="116">
        <v>6887.45</v>
      </c>
      <c r="O1969" s="116">
        <v>6822</v>
      </c>
      <c r="P1969" s="116">
        <v>6840</v>
      </c>
      <c r="Q1969" s="116">
        <v>6830.35</v>
      </c>
      <c r="R1969">
        <v>81118</v>
      </c>
    </row>
    <row r="1970" spans="1:18" x14ac:dyDescent="0.25">
      <c r="A1970" s="170">
        <v>44904</v>
      </c>
      <c r="B1970" s="116">
        <v>6888.95</v>
      </c>
      <c r="C1970" s="116">
        <v>6745.1</v>
      </c>
      <c r="D1970" s="116">
        <v>6730</v>
      </c>
      <c r="E1970" s="116">
        <v>6888.95</v>
      </c>
      <c r="F1970" s="116">
        <v>6745.1</v>
      </c>
      <c r="G1970">
        <v>7448</v>
      </c>
      <c r="H1970" s="116"/>
      <c r="I1970" s="116"/>
      <c r="L1970" s="170">
        <v>44904</v>
      </c>
      <c r="M1970" s="116">
        <v>6745.75</v>
      </c>
      <c r="N1970" s="116">
        <v>6868.8</v>
      </c>
      <c r="O1970" s="116">
        <v>6731.1</v>
      </c>
      <c r="P1970" s="116">
        <v>6864.55</v>
      </c>
      <c r="Q1970" s="116">
        <v>6745.75</v>
      </c>
      <c r="R1970">
        <v>147894</v>
      </c>
    </row>
    <row r="1971" spans="1:18" x14ac:dyDescent="0.25">
      <c r="A1971" s="170">
        <v>44907</v>
      </c>
      <c r="B1971" s="116">
        <v>6745</v>
      </c>
      <c r="C1971" s="116">
        <v>6692.5</v>
      </c>
      <c r="D1971" s="116">
        <v>6680</v>
      </c>
      <c r="E1971" s="116">
        <v>6745</v>
      </c>
      <c r="F1971" s="116">
        <v>6692.5</v>
      </c>
      <c r="G1971">
        <v>7197</v>
      </c>
      <c r="H1971" s="116"/>
      <c r="I1971" s="116"/>
      <c r="L1971" s="170">
        <v>44907</v>
      </c>
      <c r="M1971" s="116">
        <v>6692.25</v>
      </c>
      <c r="N1971" s="116">
        <v>6745</v>
      </c>
      <c r="O1971" s="116">
        <v>6680</v>
      </c>
      <c r="P1971" s="116">
        <v>6742</v>
      </c>
      <c r="Q1971" s="116">
        <v>6692.25</v>
      </c>
      <c r="R1971">
        <v>106993</v>
      </c>
    </row>
    <row r="1972" spans="1:18" x14ac:dyDescent="0.25">
      <c r="A1972" s="170">
        <v>44908</v>
      </c>
      <c r="B1972" s="116">
        <v>6730</v>
      </c>
      <c r="C1972" s="116">
        <v>6633.05</v>
      </c>
      <c r="D1972" s="116">
        <v>6625</v>
      </c>
      <c r="E1972" s="116">
        <v>6725</v>
      </c>
      <c r="F1972" s="116">
        <v>6633.05</v>
      </c>
      <c r="G1972">
        <v>21295</v>
      </c>
      <c r="H1972" s="116"/>
      <c r="I1972" s="116"/>
      <c r="L1972" s="170">
        <v>44908</v>
      </c>
      <c r="M1972" s="116">
        <v>6632.6</v>
      </c>
      <c r="N1972" s="116">
        <v>6734</v>
      </c>
      <c r="O1972" s="116">
        <v>6625</v>
      </c>
      <c r="P1972" s="116">
        <v>6718</v>
      </c>
      <c r="Q1972" s="116">
        <v>6632.6</v>
      </c>
      <c r="R1972">
        <v>189805</v>
      </c>
    </row>
    <row r="1973" spans="1:18" x14ac:dyDescent="0.25">
      <c r="A1973" s="170">
        <v>44909</v>
      </c>
      <c r="B1973" s="116">
        <v>6732</v>
      </c>
      <c r="C1973" s="116">
        <v>6624.05</v>
      </c>
      <c r="D1973" s="116">
        <v>6613</v>
      </c>
      <c r="E1973" s="116">
        <v>6631.05</v>
      </c>
      <c r="F1973" s="116">
        <v>6624.05</v>
      </c>
      <c r="G1973">
        <v>20045</v>
      </c>
      <c r="H1973" s="116"/>
      <c r="I1973" s="116"/>
      <c r="L1973" s="170">
        <v>44909</v>
      </c>
      <c r="M1973" s="116">
        <v>6621.2</v>
      </c>
      <c r="N1973" s="116">
        <v>6744.4</v>
      </c>
      <c r="O1973" s="116">
        <v>6611</v>
      </c>
      <c r="P1973" s="116">
        <v>6659.95</v>
      </c>
      <c r="Q1973" s="116">
        <v>6621.2</v>
      </c>
      <c r="R1973">
        <v>195376</v>
      </c>
    </row>
    <row r="1974" spans="1:18" x14ac:dyDescent="0.25">
      <c r="A1974" s="170">
        <v>44910</v>
      </c>
      <c r="B1974" s="116">
        <v>6690</v>
      </c>
      <c r="C1974" s="116">
        <v>6552.15</v>
      </c>
      <c r="D1974" s="116">
        <v>6545</v>
      </c>
      <c r="E1974" s="116">
        <v>6635</v>
      </c>
      <c r="F1974" s="116">
        <v>6552.15</v>
      </c>
      <c r="G1974">
        <v>24471</v>
      </c>
      <c r="H1974" s="116"/>
      <c r="I1974" s="116"/>
      <c r="L1974" s="170">
        <v>44910</v>
      </c>
      <c r="M1974" s="116">
        <v>6550.35</v>
      </c>
      <c r="N1974" s="116">
        <v>6687.7</v>
      </c>
      <c r="O1974" s="116">
        <v>6545</v>
      </c>
      <c r="P1974" s="116">
        <v>6645</v>
      </c>
      <c r="Q1974" s="116">
        <v>6550.35</v>
      </c>
      <c r="R1974">
        <v>207197</v>
      </c>
    </row>
    <row r="1975" spans="1:18" x14ac:dyDescent="0.25">
      <c r="A1975" s="170">
        <v>44911</v>
      </c>
      <c r="B1975" s="116">
        <v>6540.3</v>
      </c>
      <c r="C1975" s="116">
        <v>6429.35</v>
      </c>
      <c r="D1975" s="116">
        <v>6404</v>
      </c>
      <c r="E1975" s="116">
        <v>6515</v>
      </c>
      <c r="F1975" s="116">
        <v>6429.35</v>
      </c>
      <c r="G1975">
        <v>28158</v>
      </c>
      <c r="H1975" s="116"/>
      <c r="I1975" s="116"/>
      <c r="L1975" s="170">
        <v>44911</v>
      </c>
      <c r="M1975" s="116">
        <v>6429.4</v>
      </c>
      <c r="N1975" s="116">
        <v>6544.8</v>
      </c>
      <c r="O1975" s="116">
        <v>6401</v>
      </c>
      <c r="P1975" s="116">
        <v>6535.1</v>
      </c>
      <c r="Q1975" s="116">
        <v>6429.4</v>
      </c>
      <c r="R1975">
        <v>244998</v>
      </c>
    </row>
    <row r="1976" spans="1:18" x14ac:dyDescent="0.25">
      <c r="A1976" s="170">
        <v>44914</v>
      </c>
      <c r="B1976" s="116">
        <v>6444.25</v>
      </c>
      <c r="C1976" s="116">
        <v>6352.45</v>
      </c>
      <c r="D1976" s="116">
        <v>6335.95</v>
      </c>
      <c r="E1976" s="116">
        <v>6431</v>
      </c>
      <c r="F1976" s="116">
        <v>6352.45</v>
      </c>
      <c r="G1976">
        <v>9041</v>
      </c>
      <c r="H1976" s="116"/>
      <c r="I1976" s="116"/>
      <c r="L1976" s="170">
        <v>44914</v>
      </c>
      <c r="M1976" s="116">
        <v>6353.3</v>
      </c>
      <c r="N1976" s="116">
        <v>6439.95</v>
      </c>
      <c r="O1976" s="116">
        <v>6335</v>
      </c>
      <c r="P1976" s="116">
        <v>6430</v>
      </c>
      <c r="Q1976" s="116">
        <v>6353.3</v>
      </c>
      <c r="R1976">
        <v>171823</v>
      </c>
    </row>
    <row r="1977" spans="1:18" x14ac:dyDescent="0.25">
      <c r="A1977" s="170">
        <v>44915</v>
      </c>
      <c r="B1977" s="116">
        <v>6396.65</v>
      </c>
      <c r="C1977" s="116">
        <v>6315</v>
      </c>
      <c r="D1977" s="116">
        <v>6300</v>
      </c>
      <c r="E1977" s="116">
        <v>6352.45</v>
      </c>
      <c r="F1977" s="116">
        <v>6315</v>
      </c>
      <c r="G1977">
        <v>6955</v>
      </c>
      <c r="H1977" s="116"/>
      <c r="I1977" s="116"/>
      <c r="L1977" s="170">
        <v>44915</v>
      </c>
      <c r="M1977" s="116">
        <v>6314.25</v>
      </c>
      <c r="N1977" s="116">
        <v>6394</v>
      </c>
      <c r="O1977" s="116">
        <v>6300</v>
      </c>
      <c r="P1977" s="116">
        <v>6354</v>
      </c>
      <c r="Q1977" s="116">
        <v>6314.25</v>
      </c>
      <c r="R1977">
        <v>186161</v>
      </c>
    </row>
    <row r="1978" spans="1:18" x14ac:dyDescent="0.25">
      <c r="A1978" s="170">
        <v>44916</v>
      </c>
      <c r="B1978" s="116">
        <v>6375.95</v>
      </c>
      <c r="C1978" s="116">
        <v>6204.5</v>
      </c>
      <c r="D1978" s="116">
        <v>6171.4</v>
      </c>
      <c r="E1978" s="116">
        <v>6350</v>
      </c>
      <c r="F1978" s="116">
        <v>6204.5</v>
      </c>
      <c r="G1978">
        <v>32692</v>
      </c>
      <c r="H1978" s="116"/>
      <c r="I1978" s="116"/>
      <c r="L1978" s="170">
        <v>44916</v>
      </c>
      <c r="M1978" s="116">
        <v>6202.6</v>
      </c>
      <c r="N1978" s="116">
        <v>6374</v>
      </c>
      <c r="O1978" s="116">
        <v>6181.2</v>
      </c>
      <c r="P1978" s="116">
        <v>6355.6</v>
      </c>
      <c r="Q1978" s="116">
        <v>6202.6</v>
      </c>
      <c r="R1978">
        <v>186139</v>
      </c>
    </row>
    <row r="1979" spans="1:18" x14ac:dyDescent="0.25">
      <c r="A1979" s="170">
        <v>44917</v>
      </c>
      <c r="B1979" s="116">
        <v>6265.55</v>
      </c>
      <c r="C1979" s="116">
        <v>6051.75</v>
      </c>
      <c r="D1979" s="116">
        <v>6025.5</v>
      </c>
      <c r="E1979" s="116">
        <v>6210.3</v>
      </c>
      <c r="F1979" s="116">
        <v>6051.75</v>
      </c>
      <c r="G1979">
        <v>40866</v>
      </c>
      <c r="H1979" s="116"/>
      <c r="I1979" s="116"/>
      <c r="L1979" s="170">
        <v>44917</v>
      </c>
      <c r="M1979" s="116">
        <v>6050.8</v>
      </c>
      <c r="N1979" s="116">
        <v>6268</v>
      </c>
      <c r="O1979" s="116">
        <v>6025</v>
      </c>
      <c r="P1979" s="116">
        <v>6240</v>
      </c>
      <c r="Q1979" s="116">
        <v>6050.8</v>
      </c>
      <c r="R1979">
        <v>278555</v>
      </c>
    </row>
    <row r="1980" spans="1:18" x14ac:dyDescent="0.25">
      <c r="A1980" s="170">
        <v>44918</v>
      </c>
      <c r="B1980" s="116">
        <v>6020</v>
      </c>
      <c r="C1980" s="116">
        <v>5837.65</v>
      </c>
      <c r="D1980" s="116">
        <v>5825</v>
      </c>
      <c r="E1980" s="116">
        <v>6000</v>
      </c>
      <c r="F1980" s="116">
        <v>5837.65</v>
      </c>
      <c r="G1980">
        <v>62639</v>
      </c>
      <c r="H1980" s="116"/>
      <c r="I1980" s="116"/>
      <c r="L1980" s="170">
        <v>44918</v>
      </c>
      <c r="M1980" s="116">
        <v>5837.6</v>
      </c>
      <c r="N1980" s="116">
        <v>6019.95</v>
      </c>
      <c r="O1980" s="116">
        <v>5825</v>
      </c>
      <c r="P1980" s="116">
        <v>6015</v>
      </c>
      <c r="Q1980" s="116">
        <v>5837.6</v>
      </c>
      <c r="R1980">
        <v>355787</v>
      </c>
    </row>
    <row r="1981" spans="1:18" x14ac:dyDescent="0.25">
      <c r="A1981" s="170">
        <v>44921</v>
      </c>
      <c r="B1981" s="116">
        <v>6285.25</v>
      </c>
      <c r="C1981" s="116">
        <v>6256.6</v>
      </c>
      <c r="D1981" s="116">
        <v>5708.1</v>
      </c>
      <c r="E1981" s="116">
        <v>5821</v>
      </c>
      <c r="F1981" s="116">
        <v>6256.6</v>
      </c>
      <c r="G1981">
        <v>70974</v>
      </c>
      <c r="H1981" s="116"/>
      <c r="I1981" s="116"/>
      <c r="L1981" s="170">
        <v>44921</v>
      </c>
      <c r="M1981" s="116">
        <v>6252.65</v>
      </c>
      <c r="N1981" s="116">
        <v>6290</v>
      </c>
      <c r="O1981" s="116">
        <v>5709.05</v>
      </c>
      <c r="P1981" s="116">
        <v>5840</v>
      </c>
      <c r="Q1981" s="116">
        <v>6252.65</v>
      </c>
      <c r="R1981">
        <v>619866</v>
      </c>
    </row>
    <row r="1982" spans="1:18" x14ac:dyDescent="0.25">
      <c r="A1982" s="170">
        <v>44922</v>
      </c>
      <c r="B1982" s="116">
        <v>6494</v>
      </c>
      <c r="C1982" s="116">
        <v>6431.35</v>
      </c>
      <c r="D1982" s="116">
        <v>6311.05</v>
      </c>
      <c r="E1982" s="116">
        <v>6374.2</v>
      </c>
      <c r="F1982" s="116">
        <v>6431.35</v>
      </c>
      <c r="G1982">
        <v>56673</v>
      </c>
      <c r="H1982" s="116"/>
      <c r="I1982" s="116"/>
      <c r="L1982" s="170">
        <v>44922</v>
      </c>
      <c r="M1982" s="116">
        <v>6431.65</v>
      </c>
      <c r="N1982" s="116">
        <v>6495</v>
      </c>
      <c r="O1982" s="116">
        <v>6312</v>
      </c>
      <c r="P1982" s="116">
        <v>6349.7</v>
      </c>
      <c r="Q1982" s="116">
        <v>6431.65</v>
      </c>
      <c r="R1982">
        <v>471338</v>
      </c>
    </row>
    <row r="1983" spans="1:18" x14ac:dyDescent="0.25">
      <c r="A1983" s="170">
        <v>44923</v>
      </c>
      <c r="B1983" s="116">
        <v>6454.95</v>
      </c>
      <c r="C1983" s="116">
        <v>6330.35</v>
      </c>
      <c r="D1983" s="116">
        <v>6305.1</v>
      </c>
      <c r="E1983" s="116">
        <v>6454.95</v>
      </c>
      <c r="F1983" s="116">
        <v>6330.35</v>
      </c>
      <c r="G1983">
        <v>12969</v>
      </c>
      <c r="H1983" s="116"/>
      <c r="I1983" s="116"/>
      <c r="L1983" s="170">
        <v>44923</v>
      </c>
      <c r="M1983" s="116">
        <v>6332.05</v>
      </c>
      <c r="N1983" s="116">
        <v>6417</v>
      </c>
      <c r="O1983" s="116">
        <v>6307.95</v>
      </c>
      <c r="P1983" s="116">
        <v>6365.05</v>
      </c>
      <c r="Q1983" s="116">
        <v>6332.05</v>
      </c>
      <c r="R1983">
        <v>203048</v>
      </c>
    </row>
    <row r="1984" spans="1:18" x14ac:dyDescent="0.25">
      <c r="A1984" s="170">
        <v>44924</v>
      </c>
      <c r="B1984" s="116">
        <v>6300</v>
      </c>
      <c r="C1984" s="116">
        <v>6253.8</v>
      </c>
      <c r="D1984" s="116">
        <v>6227.65</v>
      </c>
      <c r="E1984" s="116">
        <v>6300</v>
      </c>
      <c r="F1984" s="116">
        <v>6253.8</v>
      </c>
      <c r="G1984">
        <v>6635</v>
      </c>
      <c r="H1984" s="116"/>
      <c r="I1984" s="116"/>
      <c r="L1984" s="170">
        <v>44924</v>
      </c>
      <c r="M1984" s="116">
        <v>6256.4</v>
      </c>
      <c r="N1984" s="116">
        <v>6295</v>
      </c>
      <c r="O1984" s="116">
        <v>6228</v>
      </c>
      <c r="P1984" s="116">
        <v>6280</v>
      </c>
      <c r="Q1984" s="116">
        <v>6256.4</v>
      </c>
      <c r="R1984">
        <v>137789</v>
      </c>
    </row>
    <row r="1985" spans="1:18" x14ac:dyDescent="0.25">
      <c r="A1985" s="170">
        <v>44925</v>
      </c>
      <c r="B1985" s="116">
        <v>6438.9</v>
      </c>
      <c r="C1985" s="116">
        <v>6287.1</v>
      </c>
      <c r="D1985" s="116">
        <v>6250</v>
      </c>
      <c r="E1985" s="116">
        <v>6310</v>
      </c>
      <c r="F1985" s="116">
        <v>6287.1</v>
      </c>
      <c r="G1985">
        <v>11817</v>
      </c>
      <c r="H1985" s="116"/>
      <c r="I1985" s="116"/>
      <c r="L1985" s="170">
        <v>44925</v>
      </c>
      <c r="M1985" s="116">
        <v>6285.9</v>
      </c>
      <c r="N1985" s="116">
        <v>6440</v>
      </c>
      <c r="O1985" s="116">
        <v>6254</v>
      </c>
      <c r="P1985" s="116">
        <v>6337</v>
      </c>
      <c r="Q1985" s="116">
        <v>6285.9</v>
      </c>
      <c r="R1985">
        <v>206310</v>
      </c>
    </row>
    <row r="1986" spans="1:18" x14ac:dyDescent="0.25">
      <c r="A1986" s="170">
        <v>44928</v>
      </c>
      <c r="B1986" s="116">
        <v>6380</v>
      </c>
      <c r="C1986" s="116">
        <v>6293.45</v>
      </c>
      <c r="D1986" s="116">
        <v>6262.95</v>
      </c>
      <c r="E1986" s="116">
        <v>6354.95</v>
      </c>
      <c r="F1986" s="116">
        <v>6293.45</v>
      </c>
      <c r="G1986">
        <v>19610</v>
      </c>
      <c r="H1986" s="116"/>
      <c r="I1986" s="116"/>
      <c r="L1986" s="170">
        <v>44928</v>
      </c>
      <c r="M1986" s="116">
        <v>6300.4</v>
      </c>
      <c r="N1986" s="116">
        <v>6388.8</v>
      </c>
      <c r="O1986" s="116">
        <v>6261.2</v>
      </c>
      <c r="P1986" s="116">
        <v>6317.35</v>
      </c>
      <c r="Q1986" s="116">
        <v>6300.4</v>
      </c>
      <c r="R1986">
        <v>181854</v>
      </c>
    </row>
    <row r="1987" spans="1:18" x14ac:dyDescent="0.25">
      <c r="A1987" s="170">
        <v>44929</v>
      </c>
      <c r="B1987" s="116">
        <v>6446.45</v>
      </c>
      <c r="C1987" s="116">
        <v>6425.65</v>
      </c>
      <c r="D1987" s="116">
        <v>6283.9</v>
      </c>
      <c r="E1987" s="116">
        <v>6310</v>
      </c>
      <c r="F1987" s="116">
        <v>6425.65</v>
      </c>
      <c r="G1987">
        <v>10187</v>
      </c>
      <c r="H1987" s="116"/>
      <c r="I1987" s="116"/>
      <c r="L1987" s="170">
        <v>44929</v>
      </c>
      <c r="M1987" s="116">
        <v>6416.65</v>
      </c>
      <c r="N1987" s="116">
        <v>6446</v>
      </c>
      <c r="O1987" s="116">
        <v>6275</v>
      </c>
      <c r="P1987" s="116">
        <v>6321</v>
      </c>
      <c r="Q1987" s="116">
        <v>6416.65</v>
      </c>
      <c r="R1987">
        <v>206183</v>
      </c>
    </row>
    <row r="1988" spans="1:18" x14ac:dyDescent="0.25">
      <c r="A1988" s="170">
        <v>44930</v>
      </c>
      <c r="B1988" s="116">
        <v>6473.1</v>
      </c>
      <c r="C1988" s="116">
        <v>6366.8</v>
      </c>
      <c r="D1988" s="116">
        <v>6355</v>
      </c>
      <c r="E1988" s="116">
        <v>6440</v>
      </c>
      <c r="F1988" s="116">
        <v>6366.8</v>
      </c>
      <c r="G1988">
        <v>15152</v>
      </c>
      <c r="H1988" s="116"/>
      <c r="I1988" s="116"/>
      <c r="L1988" s="170">
        <v>44930</v>
      </c>
      <c r="M1988" s="116">
        <v>6369.55</v>
      </c>
      <c r="N1988" s="116">
        <v>6478.45</v>
      </c>
      <c r="O1988" s="116">
        <v>6352</v>
      </c>
      <c r="P1988" s="116">
        <v>6448.75</v>
      </c>
      <c r="Q1988" s="116">
        <v>6369.55</v>
      </c>
      <c r="R1988">
        <v>122264</v>
      </c>
    </row>
    <row r="1989" spans="1:18" x14ac:dyDescent="0.25">
      <c r="A1989" s="170">
        <v>44931</v>
      </c>
      <c r="B1989" s="116">
        <v>6399</v>
      </c>
      <c r="C1989" s="116">
        <v>6288.9</v>
      </c>
      <c r="D1989" s="116">
        <v>6270</v>
      </c>
      <c r="E1989" s="116">
        <v>6399</v>
      </c>
      <c r="F1989" s="116">
        <v>6288.9</v>
      </c>
      <c r="G1989">
        <v>8200</v>
      </c>
      <c r="H1989" s="116"/>
      <c r="I1989" s="116"/>
      <c r="L1989" s="170">
        <v>44931</v>
      </c>
      <c r="M1989" s="116">
        <v>6287.45</v>
      </c>
      <c r="N1989" s="116">
        <v>6396.85</v>
      </c>
      <c r="O1989" s="116">
        <v>6270</v>
      </c>
      <c r="P1989" s="116">
        <v>6384.95</v>
      </c>
      <c r="Q1989" s="116">
        <v>6287.45</v>
      </c>
      <c r="R1989">
        <v>125426</v>
      </c>
    </row>
    <row r="1990" spans="1:18" x14ac:dyDescent="0.25">
      <c r="A1990" s="170">
        <v>44932</v>
      </c>
      <c r="B1990" s="116">
        <v>6310.6</v>
      </c>
      <c r="C1990" s="116">
        <v>6191.45</v>
      </c>
      <c r="D1990" s="116">
        <v>6181.1</v>
      </c>
      <c r="E1990" s="116">
        <v>6299.9</v>
      </c>
      <c r="F1990" s="116">
        <v>6191.45</v>
      </c>
      <c r="G1990">
        <v>15952</v>
      </c>
      <c r="H1990" s="116"/>
      <c r="I1990" s="116"/>
      <c r="L1990" s="170">
        <v>44932</v>
      </c>
      <c r="M1990" s="116">
        <v>6193.9</v>
      </c>
      <c r="N1990" s="116">
        <v>6315</v>
      </c>
      <c r="O1990" s="116">
        <v>6185</v>
      </c>
      <c r="P1990" s="116">
        <v>6315</v>
      </c>
      <c r="Q1990" s="116">
        <v>6193.9</v>
      </c>
      <c r="R1990">
        <v>117274</v>
      </c>
    </row>
    <row r="1991" spans="1:18" x14ac:dyDescent="0.25">
      <c r="A1991" s="170">
        <v>44935</v>
      </c>
      <c r="B1991" s="116">
        <v>6320</v>
      </c>
      <c r="C1991" s="116">
        <v>6225.95</v>
      </c>
      <c r="D1991" s="116">
        <v>6210</v>
      </c>
      <c r="E1991" s="116">
        <v>6270.1</v>
      </c>
      <c r="F1991" s="116">
        <v>6225.95</v>
      </c>
      <c r="G1991">
        <v>6825</v>
      </c>
      <c r="H1991" s="116"/>
      <c r="I1991" s="116"/>
      <c r="L1991" s="170">
        <v>44935</v>
      </c>
      <c r="M1991" s="116">
        <v>6232</v>
      </c>
      <c r="N1991" s="116">
        <v>6323.2</v>
      </c>
      <c r="O1991" s="116">
        <v>6206</v>
      </c>
      <c r="P1991" s="116">
        <v>6270</v>
      </c>
      <c r="Q1991" s="116">
        <v>6232</v>
      </c>
      <c r="R1991">
        <v>134158</v>
      </c>
    </row>
    <row r="1992" spans="1:18" x14ac:dyDescent="0.25">
      <c r="A1992" s="170">
        <v>44936</v>
      </c>
      <c r="B1992" s="116">
        <v>6239.75</v>
      </c>
      <c r="C1992" s="116">
        <v>6202.65</v>
      </c>
      <c r="D1992" s="116">
        <v>6165.9</v>
      </c>
      <c r="E1992" s="116">
        <v>6220.05</v>
      </c>
      <c r="F1992" s="116">
        <v>6202.65</v>
      </c>
      <c r="G1992">
        <v>5660</v>
      </c>
      <c r="H1992" s="116"/>
      <c r="I1992" s="116"/>
      <c r="L1992" s="170">
        <v>44936</v>
      </c>
      <c r="M1992" s="116">
        <v>6199.8</v>
      </c>
      <c r="N1992" s="116">
        <v>6235</v>
      </c>
      <c r="O1992" s="116">
        <v>6165</v>
      </c>
      <c r="P1992" s="116">
        <v>6232</v>
      </c>
      <c r="Q1992" s="116">
        <v>6199.8</v>
      </c>
      <c r="R1992">
        <v>101262</v>
      </c>
    </row>
    <row r="1993" spans="1:18" x14ac:dyDescent="0.25">
      <c r="A1993" s="170">
        <v>44937</v>
      </c>
      <c r="B1993" s="116">
        <v>6288</v>
      </c>
      <c r="C1993" s="116">
        <v>6221.65</v>
      </c>
      <c r="D1993" s="116">
        <v>6202.1</v>
      </c>
      <c r="E1993" s="116">
        <v>6206</v>
      </c>
      <c r="F1993" s="116">
        <v>6221.65</v>
      </c>
      <c r="G1993">
        <v>10002</v>
      </c>
      <c r="H1993" s="116"/>
      <c r="I1993" s="116"/>
      <c r="L1993" s="170">
        <v>44937</v>
      </c>
      <c r="M1993" s="116">
        <v>6216.8</v>
      </c>
      <c r="N1993" s="116">
        <v>6289.6</v>
      </c>
      <c r="O1993" s="116">
        <v>6202</v>
      </c>
      <c r="P1993" s="116">
        <v>6230.8</v>
      </c>
      <c r="Q1993" s="116">
        <v>6216.8</v>
      </c>
      <c r="R1993">
        <v>109176</v>
      </c>
    </row>
    <row r="1994" spans="1:18" x14ac:dyDescent="0.25">
      <c r="A1994" s="170">
        <v>44938</v>
      </c>
      <c r="B1994" s="116">
        <v>6230</v>
      </c>
      <c r="C1994" s="116">
        <v>6182.2</v>
      </c>
      <c r="D1994" s="116">
        <v>6133.15</v>
      </c>
      <c r="E1994" s="116">
        <v>6200.05</v>
      </c>
      <c r="F1994" s="116">
        <v>6182.2</v>
      </c>
      <c r="G1994">
        <v>13216</v>
      </c>
      <c r="H1994" s="116"/>
      <c r="I1994" s="116"/>
      <c r="L1994" s="170">
        <v>44938</v>
      </c>
      <c r="M1994" s="116">
        <v>6196.65</v>
      </c>
      <c r="N1994" s="116">
        <v>6231.15</v>
      </c>
      <c r="O1994" s="116">
        <v>6131.75</v>
      </c>
      <c r="P1994" s="116">
        <v>6217.6</v>
      </c>
      <c r="Q1994" s="116">
        <v>6196.65</v>
      </c>
      <c r="R1994">
        <v>95308</v>
      </c>
    </row>
    <row r="1995" spans="1:18" x14ac:dyDescent="0.25">
      <c r="A1995" s="170">
        <v>44939</v>
      </c>
      <c r="B1995" s="116">
        <v>6259.95</v>
      </c>
      <c r="C1995" s="116">
        <v>6245.45</v>
      </c>
      <c r="D1995" s="116">
        <v>6190.7</v>
      </c>
      <c r="E1995" s="116">
        <v>6238.95</v>
      </c>
      <c r="F1995" s="116">
        <v>6245.45</v>
      </c>
      <c r="G1995">
        <v>5099</v>
      </c>
      <c r="H1995" s="116"/>
      <c r="I1995" s="116"/>
      <c r="L1995" s="170">
        <v>44939</v>
      </c>
      <c r="M1995" s="116">
        <v>6242.25</v>
      </c>
      <c r="N1995" s="116">
        <v>6261.55</v>
      </c>
      <c r="O1995" s="116">
        <v>6190</v>
      </c>
      <c r="P1995" s="116">
        <v>6225</v>
      </c>
      <c r="Q1995" s="116">
        <v>6242.25</v>
      </c>
      <c r="R1995">
        <v>91031</v>
      </c>
    </row>
    <row r="1996" spans="1:18" x14ac:dyDescent="0.25">
      <c r="A1996" s="170">
        <v>44942</v>
      </c>
      <c r="B1996" s="116">
        <v>6299</v>
      </c>
      <c r="C1996" s="116">
        <v>6250.5</v>
      </c>
      <c r="D1996" s="116">
        <v>6223.05</v>
      </c>
      <c r="E1996" s="116">
        <v>6246</v>
      </c>
      <c r="F1996" s="116">
        <v>6250.5</v>
      </c>
      <c r="G1996">
        <v>11097</v>
      </c>
      <c r="H1996" s="116"/>
      <c r="I1996" s="116"/>
      <c r="L1996" s="170">
        <v>44942</v>
      </c>
      <c r="M1996" s="116">
        <v>6252.85</v>
      </c>
      <c r="N1996" s="116">
        <v>6299</v>
      </c>
      <c r="O1996" s="116">
        <v>6221.5</v>
      </c>
      <c r="P1996" s="116">
        <v>6251</v>
      </c>
      <c r="Q1996" s="116">
        <v>6252.85</v>
      </c>
      <c r="R1996">
        <v>81340</v>
      </c>
    </row>
    <row r="1997" spans="1:18" x14ac:dyDescent="0.25">
      <c r="A1997" s="170">
        <v>44943</v>
      </c>
      <c r="B1997" s="116">
        <v>6299.15</v>
      </c>
      <c r="C1997" s="116">
        <v>6253</v>
      </c>
      <c r="D1997" s="116">
        <v>6226.05</v>
      </c>
      <c r="E1997" s="116">
        <v>6260.05</v>
      </c>
      <c r="F1997" s="116">
        <v>6253</v>
      </c>
      <c r="G1997">
        <v>3632</v>
      </c>
      <c r="H1997" s="116"/>
      <c r="I1997" s="116"/>
      <c r="L1997" s="170">
        <v>44943</v>
      </c>
      <c r="M1997" s="116">
        <v>6254.75</v>
      </c>
      <c r="N1997" s="116">
        <v>6280</v>
      </c>
      <c r="O1997" s="116">
        <v>6225</v>
      </c>
      <c r="P1997" s="116">
        <v>6277</v>
      </c>
      <c r="Q1997" s="116">
        <v>6254.75</v>
      </c>
      <c r="R1997">
        <v>58291</v>
      </c>
    </row>
    <row r="1998" spans="1:18" x14ac:dyDescent="0.25">
      <c r="A1998" s="170">
        <v>44944</v>
      </c>
      <c r="B1998" s="116">
        <v>6286</v>
      </c>
      <c r="C1998" s="116">
        <v>6258.05</v>
      </c>
      <c r="D1998" s="116">
        <v>6228.25</v>
      </c>
      <c r="E1998" s="116">
        <v>6260.05</v>
      </c>
      <c r="F1998" s="116">
        <v>6258.05</v>
      </c>
      <c r="G1998">
        <v>2603</v>
      </c>
      <c r="H1998" s="116"/>
      <c r="I1998" s="116"/>
      <c r="L1998" s="170">
        <v>44944</v>
      </c>
      <c r="M1998" s="116">
        <v>6262.9</v>
      </c>
      <c r="N1998" s="116">
        <v>6285</v>
      </c>
      <c r="O1998" s="116">
        <v>6226.6</v>
      </c>
      <c r="P1998" s="116">
        <v>6270</v>
      </c>
      <c r="Q1998" s="116">
        <v>6262.9</v>
      </c>
      <c r="R1998">
        <v>64601</v>
      </c>
    </row>
    <row r="1999" spans="1:18" x14ac:dyDescent="0.25">
      <c r="A1999" s="170">
        <v>44945</v>
      </c>
      <c r="B1999" s="116">
        <v>6423.05</v>
      </c>
      <c r="C1999" s="116">
        <v>6299.75</v>
      </c>
      <c r="D1999" s="116">
        <v>6251.05</v>
      </c>
      <c r="E1999" s="116">
        <v>6251.05</v>
      </c>
      <c r="F1999" s="116">
        <v>6299.75</v>
      </c>
      <c r="G1999">
        <v>9970</v>
      </c>
      <c r="H1999" s="116"/>
      <c r="I1999" s="116"/>
      <c r="L1999" s="170">
        <v>44945</v>
      </c>
      <c r="M1999" s="116">
        <v>6301.65</v>
      </c>
      <c r="N1999" s="116">
        <v>6424.95</v>
      </c>
      <c r="O1999" s="116">
        <v>6251.05</v>
      </c>
      <c r="P1999" s="116">
        <v>6283</v>
      </c>
      <c r="Q1999" s="116">
        <v>6301.65</v>
      </c>
      <c r="R1999">
        <v>220851</v>
      </c>
    </row>
    <row r="2000" spans="1:18" x14ac:dyDescent="0.25">
      <c r="A2000" s="170">
        <v>44946</v>
      </c>
      <c r="B2000" s="116">
        <v>6397.85</v>
      </c>
      <c r="C2000" s="116">
        <v>6375.55</v>
      </c>
      <c r="D2000" s="116">
        <v>6284.45</v>
      </c>
      <c r="E2000" s="116">
        <v>6329.95</v>
      </c>
      <c r="F2000" s="116">
        <v>6375.55</v>
      </c>
      <c r="G2000">
        <v>6049</v>
      </c>
      <c r="H2000" s="116"/>
      <c r="I2000" s="116"/>
      <c r="L2000" s="170">
        <v>44946</v>
      </c>
      <c r="M2000" s="116">
        <v>6378.3</v>
      </c>
      <c r="N2000" s="116">
        <v>6398.8</v>
      </c>
      <c r="O2000" s="116">
        <v>6283.55</v>
      </c>
      <c r="P2000" s="116">
        <v>6301</v>
      </c>
      <c r="Q2000" s="116">
        <v>6378.3</v>
      </c>
      <c r="R2000">
        <v>145009</v>
      </c>
    </row>
    <row r="2001" spans="1:18" x14ac:dyDescent="0.25">
      <c r="A2001" s="170">
        <v>44949</v>
      </c>
      <c r="B2001" s="116">
        <v>6693.9</v>
      </c>
      <c r="C2001" s="116">
        <v>6666.2</v>
      </c>
      <c r="D2001" s="116">
        <v>6372.55</v>
      </c>
      <c r="E2001" s="116">
        <v>6430</v>
      </c>
      <c r="F2001" s="116">
        <v>6666.2</v>
      </c>
      <c r="G2001">
        <v>20686</v>
      </c>
      <c r="H2001" s="116"/>
      <c r="I2001" s="116"/>
      <c r="L2001" s="170">
        <v>44949</v>
      </c>
      <c r="M2001" s="116">
        <v>6655.45</v>
      </c>
      <c r="N2001" s="116">
        <v>6688</v>
      </c>
      <c r="O2001" s="116">
        <v>6365</v>
      </c>
      <c r="P2001" s="116">
        <v>6412</v>
      </c>
      <c r="Q2001" s="116">
        <v>6655.45</v>
      </c>
      <c r="R2001">
        <v>422749</v>
      </c>
    </row>
    <row r="2002" spans="1:18" x14ac:dyDescent="0.25">
      <c r="A2002" s="170">
        <v>44950</v>
      </c>
      <c r="B2002" s="116">
        <v>6819</v>
      </c>
      <c r="C2002" s="116">
        <v>6686.7</v>
      </c>
      <c r="D2002" s="116">
        <v>6636.75</v>
      </c>
      <c r="E2002" s="116">
        <v>6741</v>
      </c>
      <c r="F2002" s="116">
        <v>6686.7</v>
      </c>
      <c r="G2002">
        <v>46983</v>
      </c>
      <c r="H2002" s="116"/>
      <c r="I2002" s="116"/>
      <c r="L2002" s="170">
        <v>44950</v>
      </c>
      <c r="M2002" s="116">
        <v>6698.85</v>
      </c>
      <c r="N2002" s="116">
        <v>6819.95</v>
      </c>
      <c r="O2002" s="116">
        <v>6655.8</v>
      </c>
      <c r="P2002" s="116">
        <v>6744</v>
      </c>
      <c r="Q2002" s="116">
        <v>6698.85</v>
      </c>
      <c r="R2002">
        <v>368883</v>
      </c>
    </row>
    <row r="2003" spans="1:18" x14ac:dyDescent="0.25">
      <c r="A2003" s="170">
        <v>44951</v>
      </c>
      <c r="B2003" s="116">
        <v>6753.05</v>
      </c>
      <c r="C2003" s="116">
        <v>6596.8</v>
      </c>
      <c r="D2003" s="116">
        <v>6575.9</v>
      </c>
      <c r="E2003" s="116">
        <v>6714.95</v>
      </c>
      <c r="F2003" s="116">
        <v>6596.8</v>
      </c>
      <c r="G2003">
        <v>14303</v>
      </c>
      <c r="H2003" s="116"/>
      <c r="I2003" s="116"/>
      <c r="L2003" s="170">
        <v>44951</v>
      </c>
      <c r="M2003" s="116">
        <v>6597.2</v>
      </c>
      <c r="N2003" s="116">
        <v>6755</v>
      </c>
      <c r="O2003" s="116">
        <v>6576.9</v>
      </c>
      <c r="P2003" s="116">
        <v>6678</v>
      </c>
      <c r="Q2003" s="116">
        <v>6597.2</v>
      </c>
      <c r="R2003">
        <v>174700</v>
      </c>
    </row>
    <row r="2004" spans="1:18" x14ac:dyDescent="0.25">
      <c r="A2004" s="170">
        <v>44953</v>
      </c>
      <c r="B2004" s="116">
        <v>6747.5</v>
      </c>
      <c r="C2004" s="116">
        <v>6662.1</v>
      </c>
      <c r="D2004" s="116">
        <v>6475</v>
      </c>
      <c r="E2004" s="116">
        <v>6676.05</v>
      </c>
      <c r="F2004" s="116">
        <v>6662.1</v>
      </c>
      <c r="G2004">
        <v>18096</v>
      </c>
      <c r="H2004" s="116"/>
      <c r="I2004" s="116"/>
      <c r="L2004" s="170">
        <v>44953</v>
      </c>
      <c r="M2004" s="116">
        <v>6664.35</v>
      </c>
      <c r="N2004" s="116">
        <v>6750</v>
      </c>
      <c r="O2004" s="116">
        <v>6475</v>
      </c>
      <c r="P2004" s="116">
        <v>6700</v>
      </c>
      <c r="Q2004" s="116">
        <v>6664.35</v>
      </c>
      <c r="R2004">
        <v>305450</v>
      </c>
    </row>
    <row r="2005" spans="1:18" x14ac:dyDescent="0.25">
      <c r="A2005" s="170">
        <v>44956</v>
      </c>
      <c r="B2005" s="116">
        <v>6690</v>
      </c>
      <c r="C2005" s="116">
        <v>6574.95</v>
      </c>
      <c r="D2005" s="116">
        <v>6531.2</v>
      </c>
      <c r="E2005" s="116">
        <v>6651</v>
      </c>
      <c r="F2005" s="116">
        <v>6574.95</v>
      </c>
      <c r="G2005">
        <v>9543</v>
      </c>
      <c r="H2005" s="116"/>
      <c r="I2005" s="116"/>
      <c r="L2005" s="170">
        <v>44956</v>
      </c>
      <c r="M2005" s="116">
        <v>6578.15</v>
      </c>
      <c r="N2005" s="116">
        <v>6699</v>
      </c>
      <c r="O2005" s="116">
        <v>6545</v>
      </c>
      <c r="P2005" s="116">
        <v>6655</v>
      </c>
      <c r="Q2005" s="116">
        <v>6578.15</v>
      </c>
      <c r="R2005">
        <v>147520</v>
      </c>
    </row>
    <row r="2006" spans="1:18" x14ac:dyDescent="0.25">
      <c r="A2006" s="170">
        <v>44957</v>
      </c>
      <c r="B2006" s="116">
        <v>6649.95</v>
      </c>
      <c r="C2006" s="116">
        <v>6631.3</v>
      </c>
      <c r="D2006" s="116">
        <v>6516.75</v>
      </c>
      <c r="E2006" s="116">
        <v>6610.2</v>
      </c>
      <c r="F2006" s="116">
        <v>6631.3</v>
      </c>
      <c r="G2006">
        <v>7464</v>
      </c>
      <c r="H2006" s="116"/>
      <c r="I2006" s="116"/>
      <c r="L2006" s="170">
        <v>44957</v>
      </c>
      <c r="M2006" s="116">
        <v>6632.7</v>
      </c>
      <c r="N2006" s="116">
        <v>6650</v>
      </c>
      <c r="O2006" s="116">
        <v>6510.05</v>
      </c>
      <c r="P2006" s="116">
        <v>6580</v>
      </c>
      <c r="Q2006" s="116">
        <v>6632.7</v>
      </c>
      <c r="R2006">
        <v>164980</v>
      </c>
    </row>
    <row r="2007" spans="1:18" x14ac:dyDescent="0.25">
      <c r="A2007" s="170">
        <v>44958</v>
      </c>
      <c r="B2007" s="116">
        <v>6745</v>
      </c>
      <c r="C2007" s="116">
        <v>6592.15</v>
      </c>
      <c r="D2007" s="116">
        <v>6386.15</v>
      </c>
      <c r="E2007" s="116">
        <v>6674</v>
      </c>
      <c r="F2007" s="116">
        <v>6592.15</v>
      </c>
      <c r="G2007">
        <v>9617</v>
      </c>
      <c r="H2007" s="116"/>
      <c r="I2007" s="116"/>
      <c r="L2007" s="170">
        <v>44958</v>
      </c>
      <c r="M2007" s="116">
        <v>6597.15</v>
      </c>
      <c r="N2007" s="116">
        <v>6745.95</v>
      </c>
      <c r="O2007" s="116">
        <v>6381.95</v>
      </c>
      <c r="P2007" s="116">
        <v>6666</v>
      </c>
      <c r="Q2007" s="116">
        <v>6597.15</v>
      </c>
      <c r="R2007">
        <v>221307</v>
      </c>
    </row>
    <row r="2008" spans="1:18" x14ac:dyDescent="0.25">
      <c r="A2008" s="170">
        <v>44959</v>
      </c>
      <c r="B2008" s="116">
        <v>6696</v>
      </c>
      <c r="C2008" s="116">
        <v>6595.6</v>
      </c>
      <c r="D2008" s="116">
        <v>6549.7</v>
      </c>
      <c r="E2008" s="116">
        <v>6649.95</v>
      </c>
      <c r="F2008" s="116">
        <v>6595.6</v>
      </c>
      <c r="G2008">
        <v>9510</v>
      </c>
      <c r="H2008" s="116"/>
      <c r="I2008" s="116"/>
      <c r="L2008" s="170">
        <v>44959</v>
      </c>
      <c r="M2008" s="116">
        <v>6588.25</v>
      </c>
      <c r="N2008" s="116">
        <v>6679</v>
      </c>
      <c r="O2008" s="116">
        <v>6552.6</v>
      </c>
      <c r="P2008" s="116">
        <v>6619.85</v>
      </c>
      <c r="Q2008" s="116">
        <v>6588.25</v>
      </c>
      <c r="R2008">
        <v>154532</v>
      </c>
    </row>
    <row r="2009" spans="1:18" x14ac:dyDescent="0.25">
      <c r="A2009" s="170">
        <v>44960</v>
      </c>
      <c r="B2009" s="116">
        <v>6634.95</v>
      </c>
      <c r="C2009" s="116">
        <v>6569.55</v>
      </c>
      <c r="D2009" s="116">
        <v>6480</v>
      </c>
      <c r="E2009" s="116">
        <v>6610</v>
      </c>
      <c r="F2009" s="116">
        <v>6569.55</v>
      </c>
      <c r="G2009">
        <v>17169</v>
      </c>
      <c r="H2009" s="116"/>
      <c r="I2009" s="116"/>
      <c r="L2009" s="170">
        <v>44960</v>
      </c>
      <c r="M2009" s="116">
        <v>6571.15</v>
      </c>
      <c r="N2009" s="116">
        <v>6642</v>
      </c>
      <c r="O2009" s="116">
        <v>6482</v>
      </c>
      <c r="P2009" s="116">
        <v>6621.2</v>
      </c>
      <c r="Q2009" s="116">
        <v>6571.15</v>
      </c>
      <c r="R2009">
        <v>121697</v>
      </c>
    </row>
    <row r="2010" spans="1:18" x14ac:dyDescent="0.25">
      <c r="A2010" s="170">
        <v>44963</v>
      </c>
      <c r="B2010" s="116">
        <v>6690</v>
      </c>
      <c r="C2010" s="116">
        <v>6666.75</v>
      </c>
      <c r="D2010" s="116">
        <v>6513.9</v>
      </c>
      <c r="E2010" s="116">
        <v>6580</v>
      </c>
      <c r="F2010" s="116">
        <v>6666.75</v>
      </c>
      <c r="G2010">
        <v>10154</v>
      </c>
      <c r="H2010" s="116"/>
      <c r="I2010" s="116"/>
      <c r="L2010" s="170">
        <v>44963</v>
      </c>
      <c r="M2010" s="116">
        <v>6669.2</v>
      </c>
      <c r="N2010" s="116">
        <v>6693.75</v>
      </c>
      <c r="O2010" s="116">
        <v>6510</v>
      </c>
      <c r="P2010" s="116">
        <v>6575</v>
      </c>
      <c r="Q2010" s="116">
        <v>6669.2</v>
      </c>
      <c r="R2010">
        <v>140677</v>
      </c>
    </row>
    <row r="2011" spans="1:18" x14ac:dyDescent="0.25">
      <c r="A2011" s="170">
        <v>44964</v>
      </c>
      <c r="B2011" s="116">
        <v>6728</v>
      </c>
      <c r="C2011" s="116">
        <v>6677.95</v>
      </c>
      <c r="D2011" s="116">
        <v>6625</v>
      </c>
      <c r="E2011" s="116">
        <v>6719.95</v>
      </c>
      <c r="F2011" s="116">
        <v>6677.95</v>
      </c>
      <c r="G2011">
        <v>8266</v>
      </c>
      <c r="H2011" s="116"/>
      <c r="I2011" s="116"/>
      <c r="L2011" s="170">
        <v>44964</v>
      </c>
      <c r="M2011" s="116">
        <v>6692.5</v>
      </c>
      <c r="N2011" s="116">
        <v>6733.2</v>
      </c>
      <c r="O2011" s="116">
        <v>6624</v>
      </c>
      <c r="P2011" s="116">
        <v>6700</v>
      </c>
      <c r="Q2011" s="116">
        <v>6692.5</v>
      </c>
      <c r="R2011">
        <v>137821</v>
      </c>
    </row>
    <row r="2012" spans="1:18" x14ac:dyDescent="0.25">
      <c r="A2012" s="170">
        <v>44965</v>
      </c>
      <c r="B2012" s="116">
        <v>6826.7</v>
      </c>
      <c r="C2012" s="116">
        <v>6693</v>
      </c>
      <c r="D2012" s="116">
        <v>6671.6</v>
      </c>
      <c r="E2012" s="116">
        <v>6682.85</v>
      </c>
      <c r="F2012" s="116">
        <v>6693</v>
      </c>
      <c r="G2012">
        <v>8705</v>
      </c>
      <c r="H2012" s="116"/>
      <c r="I2012" s="116"/>
      <c r="L2012" s="170">
        <v>44965</v>
      </c>
      <c r="M2012" s="116">
        <v>6697.85</v>
      </c>
      <c r="N2012" s="116">
        <v>6824.9</v>
      </c>
      <c r="O2012" s="116">
        <v>6670</v>
      </c>
      <c r="P2012" s="116">
        <v>6726</v>
      </c>
      <c r="Q2012" s="116">
        <v>6697.85</v>
      </c>
      <c r="R2012">
        <v>154384</v>
      </c>
    </row>
    <row r="2013" spans="1:18" x14ac:dyDescent="0.25">
      <c r="A2013" s="170">
        <v>44966</v>
      </c>
      <c r="B2013" s="116">
        <v>6745</v>
      </c>
      <c r="C2013" s="116">
        <v>6684.85</v>
      </c>
      <c r="D2013" s="116">
        <v>6647.1</v>
      </c>
      <c r="E2013" s="116">
        <v>6745</v>
      </c>
      <c r="F2013" s="116">
        <v>6684.85</v>
      </c>
      <c r="G2013">
        <v>5116</v>
      </c>
      <c r="H2013" s="116"/>
      <c r="I2013" s="116"/>
      <c r="L2013" s="170">
        <v>44966</v>
      </c>
      <c r="M2013" s="116">
        <v>6685.15</v>
      </c>
      <c r="N2013" s="116">
        <v>6735</v>
      </c>
      <c r="O2013" s="116">
        <v>6640</v>
      </c>
      <c r="P2013" s="116">
        <v>6700</v>
      </c>
      <c r="Q2013" s="116">
        <v>6685.15</v>
      </c>
      <c r="R2013">
        <v>77303</v>
      </c>
    </row>
    <row r="2014" spans="1:18" x14ac:dyDescent="0.25">
      <c r="A2014" s="170">
        <v>44967</v>
      </c>
      <c r="B2014" s="116">
        <v>6735</v>
      </c>
      <c r="C2014" s="116">
        <v>6679.5</v>
      </c>
      <c r="D2014" s="116">
        <v>6666.2</v>
      </c>
      <c r="E2014" s="116">
        <v>6695.05</v>
      </c>
      <c r="F2014" s="116">
        <v>6679.5</v>
      </c>
      <c r="G2014">
        <v>4276</v>
      </c>
      <c r="H2014" s="116"/>
      <c r="I2014" s="116"/>
      <c r="L2014" s="170">
        <v>44967</v>
      </c>
      <c r="M2014" s="116">
        <v>6683.65</v>
      </c>
      <c r="N2014" s="116">
        <v>6735</v>
      </c>
      <c r="O2014" s="116">
        <v>6667.55</v>
      </c>
      <c r="P2014" s="116">
        <v>6710</v>
      </c>
      <c r="Q2014" s="116">
        <v>6683.65</v>
      </c>
      <c r="R2014">
        <v>76760</v>
      </c>
    </row>
    <row r="2015" spans="1:18" x14ac:dyDescent="0.25">
      <c r="A2015" s="170">
        <v>44970</v>
      </c>
      <c r="B2015" s="116">
        <v>6695.05</v>
      </c>
      <c r="C2015" s="116">
        <v>6567.5</v>
      </c>
      <c r="D2015" s="116">
        <v>6547.85</v>
      </c>
      <c r="E2015" s="116">
        <v>6695</v>
      </c>
      <c r="F2015" s="116">
        <v>6567.5</v>
      </c>
      <c r="G2015">
        <v>4004</v>
      </c>
      <c r="H2015" s="116"/>
      <c r="I2015" s="116"/>
      <c r="L2015" s="170">
        <v>44970</v>
      </c>
      <c r="M2015" s="116">
        <v>6571.95</v>
      </c>
      <c r="N2015" s="116">
        <v>6700</v>
      </c>
      <c r="O2015" s="116">
        <v>6550</v>
      </c>
      <c r="P2015" s="116">
        <v>6685</v>
      </c>
      <c r="Q2015" s="116">
        <v>6571.95</v>
      </c>
      <c r="R2015">
        <v>69536</v>
      </c>
    </row>
    <row r="2016" spans="1:18" x14ac:dyDescent="0.25">
      <c r="A2016" s="170">
        <v>44971</v>
      </c>
      <c r="B2016" s="116">
        <v>6650</v>
      </c>
      <c r="C2016" s="116">
        <v>6594.9</v>
      </c>
      <c r="D2016" s="116">
        <v>6564.1</v>
      </c>
      <c r="E2016" s="116">
        <v>6570.05</v>
      </c>
      <c r="F2016" s="116">
        <v>6594.9</v>
      </c>
      <c r="G2016">
        <v>4577</v>
      </c>
      <c r="H2016" s="116"/>
      <c r="I2016" s="116"/>
      <c r="L2016" s="170">
        <v>44971</v>
      </c>
      <c r="M2016" s="116">
        <v>6596.8</v>
      </c>
      <c r="N2016" s="116">
        <v>6625</v>
      </c>
      <c r="O2016" s="116">
        <v>6562.2</v>
      </c>
      <c r="P2016" s="116">
        <v>6580.1</v>
      </c>
      <c r="Q2016" s="116">
        <v>6596.8</v>
      </c>
      <c r="R2016">
        <v>65601</v>
      </c>
    </row>
    <row r="2017" spans="1:18" x14ac:dyDescent="0.25">
      <c r="A2017" s="170">
        <v>44972</v>
      </c>
      <c r="B2017" s="116">
        <v>6659</v>
      </c>
      <c r="C2017" s="116">
        <v>6648.05</v>
      </c>
      <c r="D2017" s="116">
        <v>6560.4</v>
      </c>
      <c r="E2017" s="116">
        <v>6638.95</v>
      </c>
      <c r="F2017" s="116">
        <v>6648.05</v>
      </c>
      <c r="G2017">
        <v>19819</v>
      </c>
      <c r="H2017" s="116"/>
      <c r="I2017" s="116"/>
      <c r="L2017" s="170">
        <v>44972</v>
      </c>
      <c r="M2017" s="116">
        <v>6649.95</v>
      </c>
      <c r="N2017" s="116">
        <v>6660.05</v>
      </c>
      <c r="O2017" s="116">
        <v>6560.05</v>
      </c>
      <c r="P2017" s="116">
        <v>6610</v>
      </c>
      <c r="Q2017" s="116">
        <v>6649.95</v>
      </c>
      <c r="R2017">
        <v>121266</v>
      </c>
    </row>
    <row r="2018" spans="1:18" x14ac:dyDescent="0.25">
      <c r="A2018" s="170">
        <v>44973</v>
      </c>
      <c r="B2018" s="116">
        <v>6793.8</v>
      </c>
      <c r="C2018" s="116">
        <v>6688.4</v>
      </c>
      <c r="D2018" s="116">
        <v>6625</v>
      </c>
      <c r="E2018" s="116">
        <v>6625</v>
      </c>
      <c r="F2018" s="116">
        <v>6688.4</v>
      </c>
      <c r="G2018">
        <v>7411</v>
      </c>
      <c r="H2018" s="116"/>
      <c r="I2018" s="116"/>
      <c r="L2018" s="170">
        <v>44973</v>
      </c>
      <c r="M2018" s="116">
        <v>6688.75</v>
      </c>
      <c r="N2018" s="116">
        <v>6792</v>
      </c>
      <c r="O2018" s="116">
        <v>6645.1</v>
      </c>
      <c r="P2018" s="116">
        <v>6650</v>
      </c>
      <c r="Q2018" s="116">
        <v>6688.75</v>
      </c>
      <c r="R2018">
        <v>129947</v>
      </c>
    </row>
    <row r="2019" spans="1:18" x14ac:dyDescent="0.25">
      <c r="A2019" s="170">
        <v>44974</v>
      </c>
      <c r="B2019" s="116">
        <v>6743.85</v>
      </c>
      <c r="C2019" s="116">
        <v>6659.45</v>
      </c>
      <c r="D2019" s="116">
        <v>6620.3</v>
      </c>
      <c r="E2019" s="116">
        <v>6674</v>
      </c>
      <c r="F2019" s="116">
        <v>6659.45</v>
      </c>
      <c r="G2019">
        <v>5183</v>
      </c>
      <c r="H2019" s="116"/>
      <c r="I2019" s="116"/>
      <c r="L2019" s="170">
        <v>44974</v>
      </c>
      <c r="M2019" s="116">
        <v>6662.9</v>
      </c>
      <c r="N2019" s="116">
        <v>6749</v>
      </c>
      <c r="O2019" s="116">
        <v>6625</v>
      </c>
      <c r="P2019" s="116">
        <v>6670</v>
      </c>
      <c r="Q2019" s="116">
        <v>6662.9</v>
      </c>
      <c r="R2019">
        <v>81448</v>
      </c>
    </row>
    <row r="2020" spans="1:18" x14ac:dyDescent="0.25">
      <c r="A2020" s="170">
        <v>44977</v>
      </c>
      <c r="B2020" s="116">
        <v>6720</v>
      </c>
      <c r="C2020" s="116">
        <v>6669.75</v>
      </c>
      <c r="D2020" s="116">
        <v>6617.65</v>
      </c>
      <c r="E2020" s="116">
        <v>6709.3</v>
      </c>
      <c r="F2020" s="116">
        <v>6669.75</v>
      </c>
      <c r="G2020">
        <v>6056</v>
      </c>
      <c r="H2020" s="116"/>
      <c r="I2020" s="116"/>
      <c r="L2020" s="170">
        <v>44977</v>
      </c>
      <c r="M2020" s="116">
        <v>6666.9</v>
      </c>
      <c r="N2020" s="116">
        <v>6720</v>
      </c>
      <c r="O2020" s="116">
        <v>6625</v>
      </c>
      <c r="P2020" s="116">
        <v>6666.05</v>
      </c>
      <c r="Q2020" s="116">
        <v>6666.9</v>
      </c>
      <c r="R2020">
        <v>68365</v>
      </c>
    </row>
    <row r="2021" spans="1:18" x14ac:dyDescent="0.25">
      <c r="A2021" s="170">
        <v>44978</v>
      </c>
      <c r="B2021" s="116">
        <v>6710.5</v>
      </c>
      <c r="C2021" s="116">
        <v>6662.2</v>
      </c>
      <c r="D2021" s="116">
        <v>6642</v>
      </c>
      <c r="E2021" s="116">
        <v>6670.05</v>
      </c>
      <c r="F2021" s="116">
        <v>6662.2</v>
      </c>
      <c r="G2021">
        <v>8576</v>
      </c>
      <c r="H2021" s="116"/>
      <c r="I2021" s="116"/>
      <c r="L2021" s="170">
        <v>44978</v>
      </c>
      <c r="M2021" s="116">
        <v>6661.75</v>
      </c>
      <c r="N2021" s="116">
        <v>6712.2</v>
      </c>
      <c r="O2021" s="116">
        <v>6645.25</v>
      </c>
      <c r="P2021" s="116">
        <v>6699</v>
      </c>
      <c r="Q2021" s="116">
        <v>6661.75</v>
      </c>
      <c r="R2021">
        <v>56129</v>
      </c>
    </row>
    <row r="2022" spans="1:18" x14ac:dyDescent="0.25">
      <c r="A2022" s="170">
        <v>44979</v>
      </c>
      <c r="B2022" s="116">
        <v>6617.25</v>
      </c>
      <c r="C2022" s="116">
        <v>6520.75</v>
      </c>
      <c r="D2022" s="116">
        <v>6505</v>
      </c>
      <c r="E2022" s="116">
        <v>6600</v>
      </c>
      <c r="F2022" s="116">
        <v>6520.75</v>
      </c>
      <c r="G2022">
        <v>14238</v>
      </c>
      <c r="H2022" s="116"/>
      <c r="I2022" s="116"/>
      <c r="L2022" s="170">
        <v>44979</v>
      </c>
      <c r="M2022" s="116">
        <v>6517.95</v>
      </c>
      <c r="N2022" s="116">
        <v>6619.9</v>
      </c>
      <c r="O2022" s="116">
        <v>6500</v>
      </c>
      <c r="P2022" s="116">
        <v>6610</v>
      </c>
      <c r="Q2022" s="116">
        <v>6517.95</v>
      </c>
      <c r="R2022">
        <v>83155</v>
      </c>
    </row>
    <row r="2023" spans="1:18" x14ac:dyDescent="0.25">
      <c r="A2023" s="170">
        <v>44980</v>
      </c>
      <c r="B2023" s="116">
        <v>6520.75</v>
      </c>
      <c r="C2023" s="116">
        <v>6482.9</v>
      </c>
      <c r="D2023" s="116">
        <v>6410.45</v>
      </c>
      <c r="E2023" s="116">
        <v>6487.65</v>
      </c>
      <c r="F2023" s="116">
        <v>6482.9</v>
      </c>
      <c r="G2023">
        <v>10033</v>
      </c>
      <c r="H2023" s="116"/>
      <c r="I2023" s="116"/>
      <c r="L2023" s="170">
        <v>44980</v>
      </c>
      <c r="M2023" s="116">
        <v>6484.5</v>
      </c>
      <c r="N2023" s="116">
        <v>6524.9</v>
      </c>
      <c r="O2023" s="116">
        <v>6415</v>
      </c>
      <c r="P2023" s="116">
        <v>6510</v>
      </c>
      <c r="Q2023" s="116">
        <v>6484.5</v>
      </c>
      <c r="R2023">
        <v>78315</v>
      </c>
    </row>
    <row r="2024" spans="1:18" x14ac:dyDescent="0.25">
      <c r="A2024" s="170">
        <v>44981</v>
      </c>
      <c r="B2024" s="116">
        <v>6524.95</v>
      </c>
      <c r="C2024" s="116">
        <v>6511</v>
      </c>
      <c r="D2024" s="116">
        <v>6444.05</v>
      </c>
      <c r="E2024" s="116">
        <v>6482.9</v>
      </c>
      <c r="F2024" s="116">
        <v>6511</v>
      </c>
      <c r="G2024">
        <v>3207</v>
      </c>
      <c r="H2024" s="116"/>
      <c r="I2024" s="116"/>
      <c r="L2024" s="170">
        <v>44981</v>
      </c>
      <c r="M2024" s="116">
        <v>6512.85</v>
      </c>
      <c r="N2024" s="116">
        <v>6525</v>
      </c>
      <c r="O2024" s="116">
        <v>6440</v>
      </c>
      <c r="P2024" s="116">
        <v>6514</v>
      </c>
      <c r="Q2024" s="116">
        <v>6512.85</v>
      </c>
      <c r="R2024">
        <v>63935</v>
      </c>
    </row>
    <row r="2025" spans="1:18" x14ac:dyDescent="0.25">
      <c r="A2025" s="170">
        <v>44984</v>
      </c>
      <c r="B2025" s="116">
        <v>6500</v>
      </c>
      <c r="C2025" s="116">
        <v>6360.4</v>
      </c>
      <c r="D2025" s="116">
        <v>6325</v>
      </c>
      <c r="E2025" s="116">
        <v>6460.05</v>
      </c>
      <c r="F2025" s="116">
        <v>6360.4</v>
      </c>
      <c r="G2025">
        <v>7867</v>
      </c>
      <c r="H2025" s="116"/>
      <c r="I2025" s="116"/>
      <c r="L2025" s="170">
        <v>44984</v>
      </c>
      <c r="M2025" s="116">
        <v>6358.7</v>
      </c>
      <c r="N2025" s="116">
        <v>6509.9</v>
      </c>
      <c r="O2025" s="116">
        <v>6350</v>
      </c>
      <c r="P2025" s="116">
        <v>6500</v>
      </c>
      <c r="Q2025" s="116">
        <v>6358.7</v>
      </c>
      <c r="R2025">
        <v>76466</v>
      </c>
    </row>
    <row r="2026" spans="1:18" x14ac:dyDescent="0.25">
      <c r="A2026" s="170">
        <v>44985</v>
      </c>
      <c r="B2026" s="116">
        <v>6392.25</v>
      </c>
      <c r="C2026" s="116">
        <v>6127.35</v>
      </c>
      <c r="D2026" s="116">
        <v>6080</v>
      </c>
      <c r="E2026" s="116">
        <v>6380</v>
      </c>
      <c r="F2026" s="116">
        <v>6127.35</v>
      </c>
      <c r="G2026">
        <v>27911</v>
      </c>
      <c r="H2026" s="116"/>
      <c r="I2026" s="116"/>
      <c r="L2026" s="170">
        <v>44985</v>
      </c>
      <c r="M2026" s="116">
        <v>6129.25</v>
      </c>
      <c r="N2026" s="116">
        <v>6390</v>
      </c>
      <c r="O2026" s="116">
        <v>6089</v>
      </c>
      <c r="P2026" s="116">
        <v>6380</v>
      </c>
      <c r="Q2026" s="116">
        <v>6129.25</v>
      </c>
      <c r="R2026">
        <v>203406</v>
      </c>
    </row>
    <row r="2027" spans="1:18" x14ac:dyDescent="0.25">
      <c r="A2027" s="170">
        <v>44986</v>
      </c>
      <c r="B2027" s="116">
        <v>6270.15</v>
      </c>
      <c r="C2027" s="116">
        <v>6196.95</v>
      </c>
      <c r="D2027" s="116">
        <v>6101.3</v>
      </c>
      <c r="E2027" s="116">
        <v>6101.3</v>
      </c>
      <c r="F2027" s="116">
        <v>6196.95</v>
      </c>
      <c r="G2027">
        <v>7435</v>
      </c>
      <c r="H2027" s="116"/>
      <c r="I2027" s="116"/>
      <c r="L2027" s="170">
        <v>44986</v>
      </c>
      <c r="M2027" s="116">
        <v>6194.6</v>
      </c>
      <c r="N2027" s="116">
        <v>6243.95</v>
      </c>
      <c r="O2027" s="116">
        <v>6123</v>
      </c>
      <c r="P2027" s="116">
        <v>6128.85</v>
      </c>
      <c r="Q2027" s="116">
        <v>6194.6</v>
      </c>
      <c r="R2027">
        <v>97556</v>
      </c>
    </row>
    <row r="2028" spans="1:18" x14ac:dyDescent="0.25">
      <c r="A2028" s="170">
        <v>44987</v>
      </c>
      <c r="B2028" s="116">
        <v>6230</v>
      </c>
      <c r="C2028" s="116">
        <v>6151.15</v>
      </c>
      <c r="D2028" s="116">
        <v>6131.7</v>
      </c>
      <c r="E2028" s="116">
        <v>6215</v>
      </c>
      <c r="F2028" s="116">
        <v>6151.15</v>
      </c>
      <c r="G2028">
        <v>11189</v>
      </c>
      <c r="H2028" s="116"/>
      <c r="I2028" s="116"/>
      <c r="L2028" s="170">
        <v>44987</v>
      </c>
      <c r="M2028" s="116">
        <v>6150.55</v>
      </c>
      <c r="N2028" s="116">
        <v>6237.15</v>
      </c>
      <c r="O2028" s="116">
        <v>6131.3</v>
      </c>
      <c r="P2028" s="116">
        <v>6218</v>
      </c>
      <c r="Q2028" s="116">
        <v>6150.55</v>
      </c>
      <c r="R2028">
        <v>101691</v>
      </c>
    </row>
    <row r="2029" spans="1:18" x14ac:dyDescent="0.25">
      <c r="A2029" s="170">
        <v>44988</v>
      </c>
      <c r="B2029" s="116">
        <v>6220</v>
      </c>
      <c r="C2029" s="116">
        <v>6179.75</v>
      </c>
      <c r="D2029" s="116">
        <v>6160.05</v>
      </c>
      <c r="E2029" s="116">
        <v>6160.05</v>
      </c>
      <c r="F2029" s="116">
        <v>6179.75</v>
      </c>
      <c r="G2029">
        <v>13884</v>
      </c>
      <c r="H2029" s="116"/>
      <c r="I2029" s="116"/>
      <c r="L2029" s="170">
        <v>44988</v>
      </c>
      <c r="M2029" s="116">
        <v>6176.45</v>
      </c>
      <c r="N2029" s="116">
        <v>6221.95</v>
      </c>
      <c r="O2029" s="116">
        <v>6150</v>
      </c>
      <c r="P2029" s="116">
        <v>6181</v>
      </c>
      <c r="Q2029" s="116">
        <v>6176.45</v>
      </c>
      <c r="R2029">
        <v>78784</v>
      </c>
    </row>
    <row r="2030" spans="1:18" x14ac:dyDescent="0.25">
      <c r="A2030" s="170">
        <v>44991</v>
      </c>
      <c r="B2030" s="116">
        <v>6320.75</v>
      </c>
      <c r="C2030" s="116">
        <v>6236.25</v>
      </c>
      <c r="D2030" s="116">
        <v>6219.9</v>
      </c>
      <c r="E2030" s="116">
        <v>6221</v>
      </c>
      <c r="F2030" s="116">
        <v>6236.25</v>
      </c>
      <c r="G2030">
        <v>14262</v>
      </c>
      <c r="H2030" s="116"/>
      <c r="I2030" s="116"/>
      <c r="L2030" s="170">
        <v>44991</v>
      </c>
      <c r="M2030" s="116">
        <v>6237.65</v>
      </c>
      <c r="N2030" s="116">
        <v>6325</v>
      </c>
      <c r="O2030" s="116">
        <v>6220.85</v>
      </c>
      <c r="P2030" s="116">
        <v>6239.85</v>
      </c>
      <c r="Q2030" s="116">
        <v>6237.65</v>
      </c>
      <c r="R2030">
        <v>113971</v>
      </c>
    </row>
    <row r="2031" spans="1:18" x14ac:dyDescent="0.25">
      <c r="A2031" s="170">
        <v>44993</v>
      </c>
      <c r="B2031" s="116">
        <v>6356.2</v>
      </c>
      <c r="C2031" s="116">
        <v>6333.6</v>
      </c>
      <c r="D2031" s="116">
        <v>6164.45</v>
      </c>
      <c r="E2031" s="116">
        <v>6219.95</v>
      </c>
      <c r="F2031" s="116">
        <v>6333.6</v>
      </c>
      <c r="G2031">
        <v>7802</v>
      </c>
      <c r="H2031" s="116"/>
      <c r="I2031" s="116"/>
      <c r="L2031" s="170">
        <v>44993</v>
      </c>
      <c r="M2031" s="116">
        <v>6340.2</v>
      </c>
      <c r="N2031" s="116">
        <v>6357.8</v>
      </c>
      <c r="O2031" s="116">
        <v>6160.4</v>
      </c>
      <c r="P2031" s="116">
        <v>6200</v>
      </c>
      <c r="Q2031" s="116">
        <v>6340.2</v>
      </c>
      <c r="R2031">
        <v>164335</v>
      </c>
    </row>
    <row r="2032" spans="1:18" x14ac:dyDescent="0.25">
      <c r="A2032" s="170">
        <v>44994</v>
      </c>
      <c r="B2032" s="116">
        <v>6379</v>
      </c>
      <c r="C2032" s="116">
        <v>6284.3</v>
      </c>
      <c r="D2032" s="116">
        <v>6266.35</v>
      </c>
      <c r="E2032" s="116">
        <v>6345</v>
      </c>
      <c r="F2032" s="116">
        <v>6284.3</v>
      </c>
      <c r="G2032">
        <v>4589</v>
      </c>
      <c r="H2032" s="116"/>
      <c r="I2032" s="116"/>
      <c r="L2032" s="170">
        <v>44994</v>
      </c>
      <c r="M2032" s="116">
        <v>6284.55</v>
      </c>
      <c r="N2032" s="116">
        <v>6379.95</v>
      </c>
      <c r="O2032" s="116">
        <v>6260</v>
      </c>
      <c r="P2032" s="116">
        <v>6370</v>
      </c>
      <c r="Q2032" s="116">
        <v>6284.55</v>
      </c>
      <c r="R2032">
        <v>91114</v>
      </c>
    </row>
    <row r="2033" spans="1:18" x14ac:dyDescent="0.25">
      <c r="A2033" s="170">
        <v>44995</v>
      </c>
      <c r="B2033" s="116">
        <v>6318.1</v>
      </c>
      <c r="C2033" s="116">
        <v>6247.05</v>
      </c>
      <c r="D2033" s="116">
        <v>6185.85</v>
      </c>
      <c r="E2033" s="116">
        <v>6249.65</v>
      </c>
      <c r="F2033" s="116">
        <v>6247.05</v>
      </c>
      <c r="G2033">
        <v>4467</v>
      </c>
      <c r="H2033" s="116"/>
      <c r="I2033" s="116"/>
      <c r="L2033" s="170">
        <v>44995</v>
      </c>
      <c r="M2033" s="116">
        <v>6249.3</v>
      </c>
      <c r="N2033" s="116">
        <v>6320</v>
      </c>
      <c r="O2033" s="116">
        <v>6181</v>
      </c>
      <c r="P2033" s="116">
        <v>6223.1</v>
      </c>
      <c r="Q2033" s="116">
        <v>6249.3</v>
      </c>
      <c r="R2033">
        <v>88898</v>
      </c>
    </row>
    <row r="2034" spans="1:18" x14ac:dyDescent="0.25">
      <c r="A2034" s="170">
        <v>44998</v>
      </c>
      <c r="B2034" s="116">
        <v>6297.3</v>
      </c>
      <c r="C2034" s="116">
        <v>6130.95</v>
      </c>
      <c r="D2034" s="116">
        <v>6112.95</v>
      </c>
      <c r="E2034" s="116">
        <v>6249</v>
      </c>
      <c r="F2034" s="116">
        <v>6130.95</v>
      </c>
      <c r="G2034">
        <v>8301</v>
      </c>
      <c r="H2034" s="116"/>
      <c r="I2034" s="116"/>
      <c r="L2034" s="170">
        <v>44998</v>
      </c>
      <c r="M2034" s="116">
        <v>6130.95</v>
      </c>
      <c r="N2034" s="116">
        <v>6295</v>
      </c>
      <c r="O2034" s="116">
        <v>6120.2</v>
      </c>
      <c r="P2034" s="116">
        <v>6249.3</v>
      </c>
      <c r="Q2034" s="116">
        <v>6130.95</v>
      </c>
      <c r="R2034">
        <v>89686</v>
      </c>
    </row>
    <row r="2035" spans="1:18" x14ac:dyDescent="0.25">
      <c r="A2035" s="170">
        <v>44999</v>
      </c>
      <c r="B2035" s="116">
        <v>6186</v>
      </c>
      <c r="C2035" s="116">
        <v>6062.1</v>
      </c>
      <c r="D2035" s="116">
        <v>5918.15</v>
      </c>
      <c r="E2035" s="116">
        <v>6133.05</v>
      </c>
      <c r="F2035" s="116">
        <v>6062.1</v>
      </c>
      <c r="G2035">
        <v>17536</v>
      </c>
      <c r="H2035" s="116"/>
      <c r="I2035" s="116"/>
      <c r="L2035" s="170">
        <v>44999</v>
      </c>
      <c r="M2035" s="116">
        <v>6062.5</v>
      </c>
      <c r="N2035" s="116">
        <v>6189.9</v>
      </c>
      <c r="O2035" s="116">
        <v>5919</v>
      </c>
      <c r="P2035" s="116">
        <v>6161.65</v>
      </c>
      <c r="Q2035" s="116">
        <v>6062.5</v>
      </c>
      <c r="R2035">
        <v>220025</v>
      </c>
    </row>
    <row r="2036" spans="1:18" x14ac:dyDescent="0.25">
      <c r="A2036" s="170">
        <v>45000</v>
      </c>
      <c r="B2036" s="116">
        <v>6189</v>
      </c>
      <c r="C2036" s="116">
        <v>6089.6</v>
      </c>
      <c r="D2036" s="116">
        <v>6060</v>
      </c>
      <c r="E2036" s="116">
        <v>6100</v>
      </c>
      <c r="F2036" s="116">
        <v>6089.6</v>
      </c>
      <c r="G2036">
        <v>11454</v>
      </c>
      <c r="H2036" s="116"/>
      <c r="I2036" s="116"/>
      <c r="L2036" s="170">
        <v>45000</v>
      </c>
      <c r="M2036" s="116">
        <v>6088.05</v>
      </c>
      <c r="N2036" s="116">
        <v>6194</v>
      </c>
      <c r="O2036" s="116">
        <v>6058</v>
      </c>
      <c r="P2036" s="116">
        <v>6100</v>
      </c>
      <c r="Q2036" s="116">
        <v>6088.05</v>
      </c>
      <c r="R2036">
        <v>107844</v>
      </c>
    </row>
    <row r="2037" spans="1:18" x14ac:dyDescent="0.25">
      <c r="A2037" s="170">
        <v>45001</v>
      </c>
      <c r="B2037" s="116">
        <v>6139.05</v>
      </c>
      <c r="C2037" s="116">
        <v>6108.15</v>
      </c>
      <c r="D2037" s="116">
        <v>5900.4</v>
      </c>
      <c r="E2037" s="116">
        <v>6090</v>
      </c>
      <c r="F2037" s="116">
        <v>6108.15</v>
      </c>
      <c r="G2037">
        <v>12644</v>
      </c>
      <c r="H2037" s="116"/>
      <c r="I2037" s="116"/>
      <c r="L2037" s="170">
        <v>45001</v>
      </c>
      <c r="M2037" s="116">
        <v>6115.1</v>
      </c>
      <c r="N2037" s="116">
        <v>6139.9</v>
      </c>
      <c r="O2037" s="116">
        <v>6031</v>
      </c>
      <c r="P2037" s="116">
        <v>6088</v>
      </c>
      <c r="Q2037" s="116">
        <v>6115.1</v>
      </c>
      <c r="R2037">
        <v>101504</v>
      </c>
    </row>
    <row r="2038" spans="1:18" x14ac:dyDescent="0.25">
      <c r="A2038" s="170">
        <v>45002</v>
      </c>
      <c r="B2038" s="116">
        <v>6198.3</v>
      </c>
      <c r="C2038" s="116">
        <v>6154.2</v>
      </c>
      <c r="D2038" s="116">
        <v>6140</v>
      </c>
      <c r="E2038" s="116">
        <v>6178.75</v>
      </c>
      <c r="F2038" s="116">
        <v>6154.2</v>
      </c>
      <c r="G2038">
        <v>8637</v>
      </c>
      <c r="H2038" s="116"/>
      <c r="I2038" s="116"/>
      <c r="L2038" s="170">
        <v>45002</v>
      </c>
      <c r="M2038" s="116">
        <v>6159</v>
      </c>
      <c r="N2038" s="116">
        <v>6198.4</v>
      </c>
      <c r="O2038" s="116">
        <v>6139.75</v>
      </c>
      <c r="P2038" s="116">
        <v>6149.95</v>
      </c>
      <c r="Q2038" s="116">
        <v>6159</v>
      </c>
      <c r="R2038">
        <v>109736</v>
      </c>
    </row>
    <row r="2039" spans="1:18" x14ac:dyDescent="0.25">
      <c r="A2039" s="170">
        <v>45005</v>
      </c>
      <c r="B2039" s="116">
        <v>6184.4</v>
      </c>
      <c r="C2039" s="116">
        <v>6034.6</v>
      </c>
      <c r="D2039" s="116">
        <v>5991.3</v>
      </c>
      <c r="E2039" s="116">
        <v>6136.8</v>
      </c>
      <c r="F2039" s="116">
        <v>6034.6</v>
      </c>
      <c r="G2039">
        <v>7048</v>
      </c>
      <c r="H2039" s="116"/>
      <c r="I2039" s="116"/>
      <c r="L2039" s="170">
        <v>45005</v>
      </c>
      <c r="M2039" s="116">
        <v>6037.95</v>
      </c>
      <c r="N2039" s="116">
        <v>6199</v>
      </c>
      <c r="O2039" s="116">
        <v>5971</v>
      </c>
      <c r="P2039" s="116">
        <v>5971</v>
      </c>
      <c r="Q2039" s="116">
        <v>6037.95</v>
      </c>
      <c r="R2039">
        <v>100299</v>
      </c>
    </row>
    <row r="2040" spans="1:18" x14ac:dyDescent="0.25">
      <c r="A2040" s="170">
        <v>45006</v>
      </c>
      <c r="B2040" s="116">
        <v>6170.35</v>
      </c>
      <c r="C2040" s="116">
        <v>6092.65</v>
      </c>
      <c r="D2040" s="116">
        <v>6050</v>
      </c>
      <c r="E2040" s="116">
        <v>6098.95</v>
      </c>
      <c r="F2040" s="116">
        <v>6092.65</v>
      </c>
      <c r="G2040">
        <v>6857</v>
      </c>
      <c r="H2040" s="116"/>
      <c r="I2040" s="116"/>
      <c r="L2040" s="170">
        <v>45006</v>
      </c>
      <c r="M2040" s="116">
        <v>6089.7</v>
      </c>
      <c r="N2040" s="116">
        <v>6170</v>
      </c>
      <c r="O2040" s="116">
        <v>6049</v>
      </c>
      <c r="P2040" s="116">
        <v>6068.15</v>
      </c>
      <c r="Q2040" s="116">
        <v>6089.7</v>
      </c>
      <c r="R2040">
        <v>98216</v>
      </c>
    </row>
    <row r="2041" spans="1:18" x14ac:dyDescent="0.25">
      <c r="A2041" s="170">
        <v>45007</v>
      </c>
      <c r="B2041" s="116">
        <v>6150</v>
      </c>
      <c r="C2041" s="116">
        <v>6054.85</v>
      </c>
      <c r="D2041" s="116">
        <v>6036</v>
      </c>
      <c r="E2041" s="116">
        <v>6100.05</v>
      </c>
      <c r="F2041" s="116">
        <v>6054.85</v>
      </c>
      <c r="G2041">
        <v>10137</v>
      </c>
      <c r="H2041" s="116"/>
      <c r="I2041" s="116"/>
      <c r="L2041" s="170">
        <v>45007</v>
      </c>
      <c r="M2041" s="116">
        <v>6055.4</v>
      </c>
      <c r="N2041" s="116">
        <v>6149.85</v>
      </c>
      <c r="O2041" s="116">
        <v>6034.5</v>
      </c>
      <c r="P2041" s="116">
        <v>6120.15</v>
      </c>
      <c r="Q2041" s="116">
        <v>6055.4</v>
      </c>
      <c r="R2041">
        <v>63280</v>
      </c>
    </row>
    <row r="2042" spans="1:18" x14ac:dyDescent="0.25">
      <c r="A2042" s="170">
        <v>45008</v>
      </c>
      <c r="B2042" s="116">
        <v>6070</v>
      </c>
      <c r="C2042" s="116">
        <v>6039.7</v>
      </c>
      <c r="D2042" s="116">
        <v>6008</v>
      </c>
      <c r="E2042" s="116">
        <v>6050</v>
      </c>
      <c r="F2042" s="116">
        <v>6039.7</v>
      </c>
      <c r="G2042">
        <v>4367</v>
      </c>
      <c r="H2042" s="116"/>
      <c r="I2042" s="116"/>
      <c r="L2042" s="170">
        <v>45008</v>
      </c>
      <c r="M2042" s="116">
        <v>6040.85</v>
      </c>
      <c r="N2042" s="116">
        <v>6073.3</v>
      </c>
      <c r="O2042" s="116">
        <v>6006</v>
      </c>
      <c r="P2042" s="116">
        <v>6050</v>
      </c>
      <c r="Q2042" s="116">
        <v>6040.85</v>
      </c>
      <c r="R2042">
        <v>73026</v>
      </c>
    </row>
    <row r="2043" spans="1:18" x14ac:dyDescent="0.25">
      <c r="A2043" s="170">
        <v>45009</v>
      </c>
      <c r="B2043" s="116">
        <v>6098.65</v>
      </c>
      <c r="C2043" s="116">
        <v>5992.85</v>
      </c>
      <c r="D2043" s="116">
        <v>5942.3</v>
      </c>
      <c r="E2043" s="116">
        <v>6098.65</v>
      </c>
      <c r="F2043" s="116">
        <v>5992.85</v>
      </c>
      <c r="G2043">
        <v>7951</v>
      </c>
      <c r="H2043" s="116"/>
      <c r="I2043" s="116"/>
      <c r="L2043" s="170">
        <v>45009</v>
      </c>
      <c r="M2043" s="116">
        <v>6000.7</v>
      </c>
      <c r="N2043" s="116">
        <v>6085</v>
      </c>
      <c r="O2043" s="116">
        <v>5970.5</v>
      </c>
      <c r="P2043" s="116">
        <v>6051.15</v>
      </c>
      <c r="Q2043" s="116">
        <v>6000.7</v>
      </c>
      <c r="R2043">
        <v>104926</v>
      </c>
    </row>
    <row r="2044" spans="1:18" x14ac:dyDescent="0.25">
      <c r="A2044" s="170">
        <v>45012</v>
      </c>
      <c r="B2044" s="116">
        <v>6032.3</v>
      </c>
      <c r="C2044" s="116">
        <v>5958.05</v>
      </c>
      <c r="D2044" s="116">
        <v>5941.55</v>
      </c>
      <c r="E2044" s="116">
        <v>5992.9</v>
      </c>
      <c r="F2044" s="116">
        <v>5958.05</v>
      </c>
      <c r="G2044">
        <v>7517</v>
      </c>
      <c r="H2044" s="116"/>
      <c r="I2044" s="116"/>
      <c r="L2044" s="170">
        <v>45012</v>
      </c>
      <c r="M2044" s="116">
        <v>5956.4</v>
      </c>
      <c r="N2044" s="116">
        <v>6029.8</v>
      </c>
      <c r="O2044" s="116">
        <v>5942</v>
      </c>
      <c r="P2044" s="116">
        <v>6005</v>
      </c>
      <c r="Q2044" s="116">
        <v>5956.4</v>
      </c>
      <c r="R2044">
        <v>91053</v>
      </c>
    </row>
    <row r="2045" spans="1:18" x14ac:dyDescent="0.25">
      <c r="A2045" s="170">
        <v>45013</v>
      </c>
      <c r="B2045" s="116">
        <v>5987.3</v>
      </c>
      <c r="C2045" s="116">
        <v>5926.25</v>
      </c>
      <c r="D2045" s="116">
        <v>5883.05</v>
      </c>
      <c r="E2045" s="116">
        <v>5958.1</v>
      </c>
      <c r="F2045" s="116">
        <v>5926.25</v>
      </c>
      <c r="G2045">
        <v>16976</v>
      </c>
      <c r="H2045" s="116"/>
      <c r="I2045" s="116"/>
      <c r="L2045" s="170">
        <v>45013</v>
      </c>
      <c r="M2045" s="116">
        <v>5926.15</v>
      </c>
      <c r="N2045" s="116">
        <v>5986.2</v>
      </c>
      <c r="O2045" s="116">
        <v>5882.55</v>
      </c>
      <c r="P2045" s="116">
        <v>5986.2</v>
      </c>
      <c r="Q2045" s="116">
        <v>5926.15</v>
      </c>
      <c r="R2045">
        <v>120434</v>
      </c>
    </row>
    <row r="2046" spans="1:18" x14ac:dyDescent="0.25">
      <c r="A2046" s="170">
        <v>45014</v>
      </c>
      <c r="B2046" s="116">
        <v>5977.05</v>
      </c>
      <c r="C2046" s="116">
        <v>5952.3</v>
      </c>
      <c r="D2046" s="116">
        <v>5900</v>
      </c>
      <c r="E2046" s="116">
        <v>5926.25</v>
      </c>
      <c r="F2046" s="116">
        <v>5952.3</v>
      </c>
      <c r="G2046">
        <v>13832</v>
      </c>
      <c r="H2046" s="116"/>
      <c r="I2046" s="116"/>
      <c r="L2046" s="170">
        <v>45014</v>
      </c>
      <c r="M2046" s="116">
        <v>5956.05</v>
      </c>
      <c r="N2046" s="116">
        <v>5976</v>
      </c>
      <c r="O2046" s="116">
        <v>5900.05</v>
      </c>
      <c r="P2046" s="116">
        <v>5929</v>
      </c>
      <c r="Q2046" s="116">
        <v>5956.05</v>
      </c>
      <c r="R2046">
        <v>98539</v>
      </c>
    </row>
    <row r="2047" spans="1:18" x14ac:dyDescent="0.25">
      <c r="A2047" s="170">
        <v>45016</v>
      </c>
      <c r="B2047" s="116">
        <v>6037</v>
      </c>
      <c r="C2047" s="116">
        <v>5961.5</v>
      </c>
      <c r="D2047" s="116">
        <v>5943.85</v>
      </c>
      <c r="E2047" s="116">
        <v>5975.95</v>
      </c>
      <c r="F2047" s="116">
        <v>5961.5</v>
      </c>
      <c r="G2047">
        <v>10100</v>
      </c>
      <c r="H2047" s="116"/>
      <c r="I2047" s="116"/>
      <c r="L2047" s="170">
        <v>45016</v>
      </c>
      <c r="M2047" s="116">
        <v>5959.1</v>
      </c>
      <c r="N2047" s="116">
        <v>6039.95</v>
      </c>
      <c r="O2047" s="116">
        <v>5946</v>
      </c>
      <c r="P2047" s="116">
        <v>5985.85</v>
      </c>
      <c r="Q2047" s="116">
        <v>5959.1</v>
      </c>
      <c r="R2047">
        <v>134855</v>
      </c>
    </row>
    <row r="2048" spans="1:18" x14ac:dyDescent="0.25">
      <c r="A2048" s="170">
        <v>45019</v>
      </c>
      <c r="B2048" s="116">
        <v>6098.25</v>
      </c>
      <c r="C2048" s="116">
        <v>6015.35</v>
      </c>
      <c r="D2048" s="116">
        <v>5976.05</v>
      </c>
      <c r="E2048" s="116">
        <v>6060.05</v>
      </c>
      <c r="F2048" s="116">
        <v>6015.35</v>
      </c>
      <c r="G2048">
        <v>13664</v>
      </c>
      <c r="H2048" s="116"/>
      <c r="I2048" s="116"/>
      <c r="L2048" s="170">
        <v>45019</v>
      </c>
      <c r="M2048" s="116">
        <v>6011.3</v>
      </c>
      <c r="N2048" s="116">
        <v>6097</v>
      </c>
      <c r="O2048" s="116">
        <v>5975.25</v>
      </c>
      <c r="P2048" s="116">
        <v>6070</v>
      </c>
      <c r="Q2048" s="116">
        <v>6011.3</v>
      </c>
      <c r="R2048">
        <v>110447</v>
      </c>
    </row>
    <row r="2049" spans="1:18" x14ac:dyDescent="0.25">
      <c r="A2049" s="170">
        <v>45021</v>
      </c>
      <c r="B2049" s="116">
        <v>6160.85</v>
      </c>
      <c r="C2049" s="116">
        <v>6099.3</v>
      </c>
      <c r="D2049" s="116">
        <v>6015.4</v>
      </c>
      <c r="E2049" s="116">
        <v>6015.4</v>
      </c>
      <c r="F2049" s="116">
        <v>6099.3</v>
      </c>
      <c r="G2049">
        <v>18709</v>
      </c>
      <c r="H2049" s="116"/>
      <c r="I2049" s="116"/>
      <c r="L2049" s="170">
        <v>45021</v>
      </c>
      <c r="M2049" s="116">
        <v>6099.2</v>
      </c>
      <c r="N2049" s="116">
        <v>6162</v>
      </c>
      <c r="O2049" s="116">
        <v>6020</v>
      </c>
      <c r="P2049" s="116">
        <v>6027</v>
      </c>
      <c r="Q2049" s="116">
        <v>6099.2</v>
      </c>
      <c r="R2049">
        <v>146548</v>
      </c>
    </row>
    <row r="2050" spans="1:18" x14ac:dyDescent="0.25">
      <c r="A2050" s="170">
        <v>45022</v>
      </c>
      <c r="B2050" s="116">
        <v>6113</v>
      </c>
      <c r="C2050" s="116">
        <v>6062.3</v>
      </c>
      <c r="D2050" s="116">
        <v>6023.3</v>
      </c>
      <c r="E2050" s="116">
        <v>6100</v>
      </c>
      <c r="F2050" s="116">
        <v>6062.3</v>
      </c>
      <c r="G2050">
        <v>11753</v>
      </c>
      <c r="H2050" s="116"/>
      <c r="I2050" s="116"/>
      <c r="L2050" s="170">
        <v>45022</v>
      </c>
      <c r="M2050" s="116">
        <v>6068.15</v>
      </c>
      <c r="N2050" s="116">
        <v>6114.9</v>
      </c>
      <c r="O2050" s="116">
        <v>6035.05</v>
      </c>
      <c r="P2050" s="116">
        <v>6096</v>
      </c>
      <c r="Q2050" s="116">
        <v>6068.15</v>
      </c>
      <c r="R2050">
        <v>97084</v>
      </c>
    </row>
    <row r="2051" spans="1:18" x14ac:dyDescent="0.25">
      <c r="A2051" s="170">
        <v>45026</v>
      </c>
      <c r="B2051" s="116">
        <v>6245</v>
      </c>
      <c r="C2051" s="116">
        <v>6197.35</v>
      </c>
      <c r="D2051" s="116">
        <v>6048.35</v>
      </c>
      <c r="E2051" s="116">
        <v>6080</v>
      </c>
      <c r="F2051" s="116">
        <v>6197.35</v>
      </c>
      <c r="G2051">
        <v>8222</v>
      </c>
      <c r="H2051" s="116"/>
      <c r="I2051" s="116"/>
      <c r="L2051" s="170">
        <v>45026</v>
      </c>
      <c r="M2051" s="116">
        <v>6201.1</v>
      </c>
      <c r="N2051" s="116">
        <v>6247</v>
      </c>
      <c r="O2051" s="116">
        <v>6043.95</v>
      </c>
      <c r="P2051" s="116">
        <v>6097</v>
      </c>
      <c r="Q2051" s="116">
        <v>6201.1</v>
      </c>
      <c r="R2051">
        <v>145279</v>
      </c>
    </row>
    <row r="2052" spans="1:18" x14ac:dyDescent="0.25">
      <c r="A2052" s="170">
        <v>45027</v>
      </c>
      <c r="B2052" s="116">
        <v>6418</v>
      </c>
      <c r="C2052" s="116">
        <v>6376.9</v>
      </c>
      <c r="D2052" s="116">
        <v>6219.45</v>
      </c>
      <c r="E2052" s="116">
        <v>6229</v>
      </c>
      <c r="F2052" s="116">
        <v>6376.9</v>
      </c>
      <c r="G2052">
        <v>15864</v>
      </c>
      <c r="H2052" s="116"/>
      <c r="I2052" s="116"/>
      <c r="L2052" s="170">
        <v>45027</v>
      </c>
      <c r="M2052" s="116">
        <v>6381.3</v>
      </c>
      <c r="N2052" s="116">
        <v>6415</v>
      </c>
      <c r="O2052" s="116">
        <v>6205.5</v>
      </c>
      <c r="P2052" s="116">
        <v>6205.5</v>
      </c>
      <c r="Q2052" s="116">
        <v>6381.3</v>
      </c>
      <c r="R2052">
        <v>260064</v>
      </c>
    </row>
    <row r="2053" spans="1:18" x14ac:dyDescent="0.25">
      <c r="A2053" s="170">
        <v>45028</v>
      </c>
      <c r="B2053" s="116">
        <v>6448.65</v>
      </c>
      <c r="C2053" s="116">
        <v>6376.85</v>
      </c>
      <c r="D2053" s="116">
        <v>6350.05</v>
      </c>
      <c r="E2053" s="116">
        <v>6381</v>
      </c>
      <c r="F2053" s="116">
        <v>6376.85</v>
      </c>
      <c r="G2053">
        <v>9692</v>
      </c>
      <c r="H2053" s="116"/>
      <c r="I2053" s="116"/>
      <c r="L2053" s="170">
        <v>45028</v>
      </c>
      <c r="M2053" s="116">
        <v>6376.95</v>
      </c>
      <c r="N2053" s="116">
        <v>6448</v>
      </c>
      <c r="O2053" s="116">
        <v>6350</v>
      </c>
      <c r="P2053" s="116">
        <v>6404</v>
      </c>
      <c r="Q2053" s="116">
        <v>6376.95</v>
      </c>
      <c r="R2053">
        <v>134439</v>
      </c>
    </row>
    <row r="2054" spans="1:18" x14ac:dyDescent="0.25">
      <c r="A2054" s="170">
        <v>45029</v>
      </c>
      <c r="B2054" s="116">
        <v>6392</v>
      </c>
      <c r="C2054" s="116">
        <v>6283.45</v>
      </c>
      <c r="D2054" s="116">
        <v>6263</v>
      </c>
      <c r="E2054" s="116">
        <v>6392</v>
      </c>
      <c r="F2054" s="116">
        <v>6283.45</v>
      </c>
      <c r="G2054">
        <v>3379</v>
      </c>
      <c r="H2054" s="116"/>
      <c r="I2054" s="116"/>
      <c r="L2054" s="170">
        <v>45029</v>
      </c>
      <c r="M2054" s="116">
        <v>6283.5</v>
      </c>
      <c r="N2054" s="116">
        <v>6374.9</v>
      </c>
      <c r="O2054" s="116">
        <v>6260.5</v>
      </c>
      <c r="P2054" s="116">
        <v>6374</v>
      </c>
      <c r="Q2054" s="116">
        <v>6283.5</v>
      </c>
      <c r="R2054">
        <v>86143</v>
      </c>
    </row>
    <row r="2055" spans="1:18" x14ac:dyDescent="0.25">
      <c r="A2055" s="170">
        <v>45033</v>
      </c>
      <c r="B2055" s="116">
        <v>6300</v>
      </c>
      <c r="C2055" s="116">
        <v>6285.45</v>
      </c>
      <c r="D2055" s="116">
        <v>6186</v>
      </c>
      <c r="E2055" s="116">
        <v>6279.95</v>
      </c>
      <c r="F2055" s="116">
        <v>6285.45</v>
      </c>
      <c r="G2055">
        <v>4736</v>
      </c>
      <c r="H2055" s="116"/>
      <c r="I2055" s="116"/>
      <c r="L2055" s="170">
        <v>45033</v>
      </c>
      <c r="M2055" s="116">
        <v>6289.75</v>
      </c>
      <c r="N2055" s="116">
        <v>6300</v>
      </c>
      <c r="O2055" s="116">
        <v>6180</v>
      </c>
      <c r="P2055" s="116">
        <v>6237.95</v>
      </c>
      <c r="Q2055" s="116">
        <v>6289.75</v>
      </c>
      <c r="R2055">
        <v>108512</v>
      </c>
    </row>
    <row r="2056" spans="1:18" x14ac:dyDescent="0.25">
      <c r="A2056" s="170">
        <v>45034</v>
      </c>
      <c r="B2056" s="116">
        <v>6395</v>
      </c>
      <c r="C2056" s="116">
        <v>6364.7</v>
      </c>
      <c r="D2056" s="116">
        <v>6291.4</v>
      </c>
      <c r="E2056" s="116">
        <v>6310</v>
      </c>
      <c r="F2056" s="116">
        <v>6364.7</v>
      </c>
      <c r="G2056">
        <v>5144</v>
      </c>
      <c r="H2056" s="116"/>
      <c r="I2056" s="116"/>
      <c r="L2056" s="170">
        <v>45034</v>
      </c>
      <c r="M2056" s="116">
        <v>6367.3</v>
      </c>
      <c r="N2056" s="116">
        <v>6396</v>
      </c>
      <c r="O2056" s="116">
        <v>6295</v>
      </c>
      <c r="P2056" s="116">
        <v>6298.75</v>
      </c>
      <c r="Q2056" s="116">
        <v>6367.3</v>
      </c>
      <c r="R2056">
        <v>100611</v>
      </c>
    </row>
    <row r="2057" spans="1:18" x14ac:dyDescent="0.25">
      <c r="A2057" s="170">
        <v>45035</v>
      </c>
      <c r="B2057" s="116">
        <v>6365.5</v>
      </c>
      <c r="C2057" s="116">
        <v>6309.65</v>
      </c>
      <c r="D2057" s="116">
        <v>6295</v>
      </c>
      <c r="E2057" s="116">
        <v>6365</v>
      </c>
      <c r="F2057" s="116">
        <v>6309.65</v>
      </c>
      <c r="G2057">
        <v>2914</v>
      </c>
      <c r="H2057" s="116"/>
      <c r="I2057" s="116"/>
      <c r="L2057" s="170">
        <v>45035</v>
      </c>
      <c r="M2057" s="116">
        <v>6307.2</v>
      </c>
      <c r="N2057" s="116">
        <v>6375</v>
      </c>
      <c r="O2057" s="116">
        <v>6290.05</v>
      </c>
      <c r="P2057" s="116">
        <v>6368</v>
      </c>
      <c r="Q2057" s="116">
        <v>6307.2</v>
      </c>
      <c r="R2057">
        <v>69527</v>
      </c>
    </row>
    <row r="2058" spans="1:18" x14ac:dyDescent="0.25">
      <c r="A2058" s="170">
        <v>45036</v>
      </c>
      <c r="B2058" s="116">
        <v>6359.4</v>
      </c>
      <c r="C2058" s="116">
        <v>6250.15</v>
      </c>
      <c r="D2058" s="116">
        <v>6235</v>
      </c>
      <c r="E2058" s="116">
        <v>6307.65</v>
      </c>
      <c r="F2058" s="116">
        <v>6250.15</v>
      </c>
      <c r="G2058">
        <v>7531</v>
      </c>
      <c r="H2058" s="116"/>
      <c r="I2058" s="116"/>
      <c r="L2058" s="170">
        <v>45036</v>
      </c>
      <c r="M2058" s="116">
        <v>6251.65</v>
      </c>
      <c r="N2058" s="116">
        <v>6364.5</v>
      </c>
      <c r="O2058" s="116">
        <v>6235.35</v>
      </c>
      <c r="P2058" s="116">
        <v>6316</v>
      </c>
      <c r="Q2058" s="116">
        <v>6251.65</v>
      </c>
      <c r="R2058">
        <v>90809</v>
      </c>
    </row>
    <row r="2059" spans="1:18" x14ac:dyDescent="0.25">
      <c r="A2059" s="170">
        <v>45037</v>
      </c>
      <c r="B2059" s="116">
        <v>6330.8</v>
      </c>
      <c r="C2059" s="116">
        <v>6291.4</v>
      </c>
      <c r="D2059" s="116">
        <v>6211.3</v>
      </c>
      <c r="E2059" s="116">
        <v>6299.95</v>
      </c>
      <c r="F2059" s="116">
        <v>6291.4</v>
      </c>
      <c r="G2059">
        <v>4348</v>
      </c>
      <c r="H2059" s="116"/>
      <c r="I2059" s="116"/>
      <c r="L2059" s="170">
        <v>45037</v>
      </c>
      <c r="M2059" s="116">
        <v>6281</v>
      </c>
      <c r="N2059" s="116">
        <v>6300</v>
      </c>
      <c r="O2059" s="116">
        <v>6205.55</v>
      </c>
      <c r="P2059" s="116">
        <v>6269</v>
      </c>
      <c r="Q2059" s="116">
        <v>6281</v>
      </c>
      <c r="R2059">
        <v>66308</v>
      </c>
    </row>
    <row r="2060" spans="1:18" x14ac:dyDescent="0.25">
      <c r="A2060" s="170">
        <v>45040</v>
      </c>
      <c r="B2060" s="116">
        <v>6324.2</v>
      </c>
      <c r="C2060" s="116">
        <v>6252.1</v>
      </c>
      <c r="D2060" s="116">
        <v>6217.9</v>
      </c>
      <c r="E2060" s="116">
        <v>6230.2</v>
      </c>
      <c r="F2060" s="116">
        <v>6252.1</v>
      </c>
      <c r="G2060">
        <v>8069</v>
      </c>
      <c r="H2060" s="116"/>
      <c r="I2060" s="116"/>
      <c r="L2060" s="170">
        <v>45040</v>
      </c>
      <c r="M2060" s="116">
        <v>6252.95</v>
      </c>
      <c r="N2060" s="116">
        <v>6330</v>
      </c>
      <c r="O2060" s="116">
        <v>6220.05</v>
      </c>
      <c r="P2060" s="116">
        <v>6280.85</v>
      </c>
      <c r="Q2060" s="116">
        <v>6252.95</v>
      </c>
      <c r="R2060">
        <v>61632</v>
      </c>
    </row>
    <row r="2061" spans="1:18" x14ac:dyDescent="0.25">
      <c r="A2061" s="170">
        <v>45041</v>
      </c>
      <c r="B2061" s="116">
        <v>6306.1</v>
      </c>
      <c r="C2061" s="116">
        <v>6275.55</v>
      </c>
      <c r="D2061" s="116">
        <v>6242.25</v>
      </c>
      <c r="E2061" s="116">
        <v>6252.1</v>
      </c>
      <c r="F2061" s="116">
        <v>6275.55</v>
      </c>
      <c r="G2061">
        <v>2215</v>
      </c>
      <c r="H2061" s="116"/>
      <c r="I2061" s="116"/>
      <c r="L2061" s="170">
        <v>45041</v>
      </c>
      <c r="M2061" s="116">
        <v>6271.2</v>
      </c>
      <c r="N2061" s="116">
        <v>6307</v>
      </c>
      <c r="O2061" s="116">
        <v>6235.3</v>
      </c>
      <c r="P2061" s="116">
        <v>6253</v>
      </c>
      <c r="Q2061" s="116">
        <v>6271.2</v>
      </c>
      <c r="R2061">
        <v>47904</v>
      </c>
    </row>
    <row r="2062" spans="1:18" x14ac:dyDescent="0.25">
      <c r="A2062" s="170">
        <v>45042</v>
      </c>
      <c r="B2062" s="116">
        <v>6299.65</v>
      </c>
      <c r="C2062" s="116">
        <v>6288.5</v>
      </c>
      <c r="D2062" s="116">
        <v>6228.3</v>
      </c>
      <c r="E2062" s="116">
        <v>6228.3</v>
      </c>
      <c r="F2062" s="116">
        <v>6288.5</v>
      </c>
      <c r="G2062">
        <v>6129</v>
      </c>
      <c r="H2062" s="116"/>
      <c r="I2062" s="116"/>
      <c r="L2062" s="170">
        <v>45042</v>
      </c>
      <c r="M2062" s="116">
        <v>6290.85</v>
      </c>
      <c r="N2062" s="116">
        <v>6300</v>
      </c>
      <c r="O2062" s="116">
        <v>6240</v>
      </c>
      <c r="P2062" s="116">
        <v>6269</v>
      </c>
      <c r="Q2062" s="116">
        <v>6290.85</v>
      </c>
      <c r="R2062">
        <v>56123</v>
      </c>
    </row>
    <row r="2063" spans="1:18" x14ac:dyDescent="0.25">
      <c r="A2063" s="170">
        <v>45043</v>
      </c>
      <c r="B2063" s="116">
        <v>6635.2</v>
      </c>
      <c r="C2063" s="116">
        <v>6581.6</v>
      </c>
      <c r="D2063" s="116">
        <v>6264.2</v>
      </c>
      <c r="E2063" s="116">
        <v>6288.5</v>
      </c>
      <c r="F2063" s="116">
        <v>6581.6</v>
      </c>
      <c r="G2063">
        <v>20338</v>
      </c>
      <c r="H2063" s="116"/>
      <c r="I2063" s="116"/>
      <c r="L2063" s="170">
        <v>45043</v>
      </c>
      <c r="M2063" s="116">
        <v>6578.2</v>
      </c>
      <c r="N2063" s="116">
        <v>6635</v>
      </c>
      <c r="O2063" s="116">
        <v>6265.15</v>
      </c>
      <c r="P2063" s="116">
        <v>6284</v>
      </c>
      <c r="Q2063" s="116">
        <v>6578.2</v>
      </c>
      <c r="R2063">
        <v>493002</v>
      </c>
    </row>
    <row r="2064" spans="1:18" x14ac:dyDescent="0.25">
      <c r="A2064" s="170">
        <v>45044</v>
      </c>
      <c r="B2064" s="116">
        <v>6687</v>
      </c>
      <c r="C2064" s="116">
        <v>6641.45</v>
      </c>
      <c r="D2064" s="116">
        <v>6563.1</v>
      </c>
      <c r="E2064" s="116">
        <v>6600</v>
      </c>
      <c r="F2064" s="116">
        <v>6641.45</v>
      </c>
      <c r="G2064">
        <v>23490</v>
      </c>
      <c r="H2064" s="116"/>
      <c r="I2064" s="116"/>
      <c r="L2064" s="170">
        <v>45044</v>
      </c>
      <c r="M2064" s="116">
        <v>6643.6</v>
      </c>
      <c r="N2064" s="116">
        <v>6687</v>
      </c>
      <c r="O2064" s="116">
        <v>6565.65</v>
      </c>
      <c r="P2064" s="116">
        <v>6629</v>
      </c>
      <c r="Q2064" s="116">
        <v>6643.6</v>
      </c>
      <c r="R2064">
        <v>191519</v>
      </c>
    </row>
    <row r="2065" spans="1:18" x14ac:dyDescent="0.25">
      <c r="A2065" s="170">
        <v>45048</v>
      </c>
      <c r="B2065" s="116">
        <v>6718.5</v>
      </c>
      <c r="C2065" s="116">
        <v>6646.6</v>
      </c>
      <c r="D2065" s="116">
        <v>6620.5</v>
      </c>
      <c r="E2065" s="116">
        <v>6642.05</v>
      </c>
      <c r="F2065" s="116">
        <v>6646.6</v>
      </c>
      <c r="G2065">
        <v>8581</v>
      </c>
      <c r="H2065" s="116"/>
      <c r="I2065" s="116"/>
      <c r="L2065" s="170">
        <v>45048</v>
      </c>
      <c r="M2065" s="116">
        <v>6643.25</v>
      </c>
      <c r="N2065" s="116">
        <v>6719.95</v>
      </c>
      <c r="O2065" s="116">
        <v>6600</v>
      </c>
      <c r="P2065" s="116">
        <v>6650</v>
      </c>
      <c r="Q2065" s="116">
        <v>6643.25</v>
      </c>
      <c r="R2065">
        <v>125521</v>
      </c>
    </row>
    <row r="2066" spans="1:18" x14ac:dyDescent="0.25">
      <c r="A2066" s="170">
        <v>45049</v>
      </c>
      <c r="B2066" s="116">
        <v>6720</v>
      </c>
      <c r="C2066" s="116">
        <v>6680</v>
      </c>
      <c r="D2066" s="116">
        <v>6559</v>
      </c>
      <c r="E2066" s="116">
        <v>6646.6</v>
      </c>
      <c r="F2066" s="116">
        <v>6680</v>
      </c>
      <c r="G2066">
        <v>16295</v>
      </c>
      <c r="H2066" s="116"/>
      <c r="I2066" s="116"/>
      <c r="L2066" s="170">
        <v>45049</v>
      </c>
      <c r="M2066" s="116">
        <v>6678.45</v>
      </c>
      <c r="N2066" s="116">
        <v>6719.9</v>
      </c>
      <c r="O2066" s="116">
        <v>6555.7</v>
      </c>
      <c r="P2066" s="116">
        <v>6639</v>
      </c>
      <c r="Q2066" s="116">
        <v>6678.45</v>
      </c>
      <c r="R2066">
        <v>95506</v>
      </c>
    </row>
    <row r="2067" spans="1:18" x14ac:dyDescent="0.25">
      <c r="A2067" s="170">
        <v>45050</v>
      </c>
      <c r="B2067" s="116">
        <v>6758</v>
      </c>
      <c r="C2067" s="116">
        <v>6722.85</v>
      </c>
      <c r="D2067" s="116">
        <v>6608.7</v>
      </c>
      <c r="E2067" s="116">
        <v>6648</v>
      </c>
      <c r="F2067" s="116">
        <v>6722.85</v>
      </c>
      <c r="G2067">
        <v>20293</v>
      </c>
      <c r="H2067" s="116"/>
      <c r="I2067" s="116"/>
      <c r="L2067" s="170">
        <v>45050</v>
      </c>
      <c r="M2067" s="116">
        <v>6721.3</v>
      </c>
      <c r="N2067" s="116">
        <v>6758.9</v>
      </c>
      <c r="O2067" s="116">
        <v>6610</v>
      </c>
      <c r="P2067" s="116">
        <v>6688</v>
      </c>
      <c r="Q2067" s="116">
        <v>6721.3</v>
      </c>
      <c r="R2067">
        <v>219751</v>
      </c>
    </row>
    <row r="2068" spans="1:18" x14ac:dyDescent="0.25">
      <c r="A2068" s="170">
        <v>45051</v>
      </c>
      <c r="B2068" s="116">
        <v>6720.05</v>
      </c>
      <c r="C2068" s="116">
        <v>6661.25</v>
      </c>
      <c r="D2068" s="116">
        <v>6640.15</v>
      </c>
      <c r="E2068" s="116">
        <v>6706</v>
      </c>
      <c r="F2068" s="116">
        <v>6661.25</v>
      </c>
      <c r="G2068">
        <v>13020</v>
      </c>
      <c r="H2068" s="116"/>
      <c r="I2068" s="116"/>
      <c r="L2068" s="170">
        <v>45051</v>
      </c>
      <c r="M2068" s="116">
        <v>6660.25</v>
      </c>
      <c r="N2068" s="116">
        <v>6720</v>
      </c>
      <c r="O2068" s="116">
        <v>6645</v>
      </c>
      <c r="P2068" s="116">
        <v>6715</v>
      </c>
      <c r="Q2068" s="116">
        <v>6660.25</v>
      </c>
      <c r="R2068">
        <v>77948</v>
      </c>
    </row>
    <row r="2069" spans="1:18" x14ac:dyDescent="0.25">
      <c r="A2069" s="170">
        <v>45054</v>
      </c>
      <c r="B2069" s="116">
        <v>6795.7</v>
      </c>
      <c r="C2069" s="116">
        <v>6777.15</v>
      </c>
      <c r="D2069" s="116">
        <v>6662</v>
      </c>
      <c r="E2069" s="116">
        <v>6662</v>
      </c>
      <c r="F2069" s="116">
        <v>6777.15</v>
      </c>
      <c r="G2069">
        <v>17310</v>
      </c>
      <c r="H2069" s="116"/>
      <c r="I2069" s="116"/>
      <c r="L2069" s="170">
        <v>45054</v>
      </c>
      <c r="M2069" s="116">
        <v>6779.3</v>
      </c>
      <c r="N2069" s="116">
        <v>6798.45</v>
      </c>
      <c r="O2069" s="116">
        <v>6671.75</v>
      </c>
      <c r="P2069" s="116">
        <v>6714</v>
      </c>
      <c r="Q2069" s="116">
        <v>6779.3</v>
      </c>
      <c r="R2069">
        <v>132023</v>
      </c>
    </row>
    <row r="2070" spans="1:18" x14ac:dyDescent="0.25">
      <c r="A2070" s="170">
        <v>45055</v>
      </c>
      <c r="B2070" s="116">
        <v>7075.1</v>
      </c>
      <c r="C2070" s="116">
        <v>6994.95</v>
      </c>
      <c r="D2070" s="116">
        <v>6780.8</v>
      </c>
      <c r="E2070" s="116">
        <v>6794.95</v>
      </c>
      <c r="F2070" s="116">
        <v>6994.95</v>
      </c>
      <c r="G2070">
        <v>24731</v>
      </c>
      <c r="H2070" s="116"/>
      <c r="I2070" s="116"/>
      <c r="L2070" s="170">
        <v>45055</v>
      </c>
      <c r="M2070" s="116">
        <v>6991.95</v>
      </c>
      <c r="N2070" s="116">
        <v>7080</v>
      </c>
      <c r="O2070" s="116">
        <v>6779.35</v>
      </c>
      <c r="P2070" s="116">
        <v>6779.35</v>
      </c>
      <c r="Q2070" s="116">
        <v>6991.95</v>
      </c>
      <c r="R2070">
        <v>512348</v>
      </c>
    </row>
    <row r="2071" spans="1:18" x14ac:dyDescent="0.25">
      <c r="A2071" s="170">
        <v>45056</v>
      </c>
      <c r="B2071" s="116">
        <v>7160</v>
      </c>
      <c r="C2071" s="116">
        <v>7122.35</v>
      </c>
      <c r="D2071" s="116">
        <v>6995.1</v>
      </c>
      <c r="E2071" s="116">
        <v>6997.05</v>
      </c>
      <c r="F2071" s="116">
        <v>7122.35</v>
      </c>
      <c r="G2071">
        <v>35051</v>
      </c>
      <c r="H2071" s="116"/>
      <c r="I2071" s="116"/>
      <c r="L2071" s="170">
        <v>45056</v>
      </c>
      <c r="M2071" s="116">
        <v>7121.85</v>
      </c>
      <c r="N2071" s="116">
        <v>7165</v>
      </c>
      <c r="O2071" s="116">
        <v>6996.6</v>
      </c>
      <c r="P2071" s="116">
        <v>7022</v>
      </c>
      <c r="Q2071" s="116">
        <v>7121.85</v>
      </c>
      <c r="R2071">
        <v>347603</v>
      </c>
    </row>
    <row r="2072" spans="1:18" x14ac:dyDescent="0.25">
      <c r="A2072" s="170">
        <v>45057</v>
      </c>
      <c r="B2072" s="116">
        <v>7224.1</v>
      </c>
      <c r="C2072" s="116">
        <v>7195.25</v>
      </c>
      <c r="D2072" s="116">
        <v>7139.15</v>
      </c>
      <c r="E2072" s="116">
        <v>7159.8</v>
      </c>
      <c r="F2072" s="116">
        <v>7195.25</v>
      </c>
      <c r="G2072">
        <v>28009</v>
      </c>
      <c r="H2072" s="116"/>
      <c r="I2072" s="116"/>
      <c r="L2072" s="170">
        <v>45057</v>
      </c>
      <c r="M2072" s="116">
        <v>7198.35</v>
      </c>
      <c r="N2072" s="116">
        <v>7225</v>
      </c>
      <c r="O2072" s="116">
        <v>7130.05</v>
      </c>
      <c r="P2072" s="116">
        <v>7140</v>
      </c>
      <c r="Q2072" s="116">
        <v>7198.35</v>
      </c>
      <c r="R2072">
        <v>235153</v>
      </c>
    </row>
    <row r="2073" spans="1:18" x14ac:dyDescent="0.25">
      <c r="A2073" s="170">
        <v>45058</v>
      </c>
      <c r="B2073" s="116">
        <v>7229.95</v>
      </c>
      <c r="C2073" s="116">
        <v>7078.1</v>
      </c>
      <c r="D2073" s="116">
        <v>7054.4</v>
      </c>
      <c r="E2073" s="116">
        <v>7229.95</v>
      </c>
      <c r="F2073" s="116">
        <v>7078.1</v>
      </c>
      <c r="G2073">
        <v>9184</v>
      </c>
      <c r="H2073" s="116"/>
      <c r="I2073" s="116"/>
      <c r="L2073" s="170">
        <v>45058</v>
      </c>
      <c r="M2073" s="116">
        <v>7078.6</v>
      </c>
      <c r="N2073" s="116">
        <v>7200</v>
      </c>
      <c r="O2073" s="116">
        <v>7057</v>
      </c>
      <c r="P2073" s="116">
        <v>7198.35</v>
      </c>
      <c r="Q2073" s="116">
        <v>7078.6</v>
      </c>
      <c r="R2073">
        <v>142267</v>
      </c>
    </row>
    <row r="2074" spans="1:18" x14ac:dyDescent="0.25">
      <c r="A2074" s="170">
        <v>45061</v>
      </c>
      <c r="B2074" s="116">
        <v>7205</v>
      </c>
      <c r="C2074" s="116">
        <v>7034.5</v>
      </c>
      <c r="D2074" s="116">
        <v>6979.85</v>
      </c>
      <c r="E2074" s="116">
        <v>7110</v>
      </c>
      <c r="F2074" s="116">
        <v>7034.5</v>
      </c>
      <c r="G2074">
        <v>7774</v>
      </c>
      <c r="H2074" s="116"/>
      <c r="I2074" s="116"/>
      <c r="L2074" s="170">
        <v>45061</v>
      </c>
      <c r="M2074" s="116">
        <v>7031.6</v>
      </c>
      <c r="N2074" s="116">
        <v>7209</v>
      </c>
      <c r="O2074" s="116">
        <v>6974</v>
      </c>
      <c r="P2074" s="116">
        <v>7102</v>
      </c>
      <c r="Q2074" s="116">
        <v>7031.6</v>
      </c>
      <c r="R2074">
        <v>177522</v>
      </c>
    </row>
    <row r="2075" spans="1:18" x14ac:dyDescent="0.25">
      <c r="A2075" s="170">
        <v>45062</v>
      </c>
      <c r="B2075" s="116">
        <v>7174</v>
      </c>
      <c r="C2075" s="116">
        <v>7112.55</v>
      </c>
      <c r="D2075" s="116">
        <v>7051.3</v>
      </c>
      <c r="E2075" s="116">
        <v>7088</v>
      </c>
      <c r="F2075" s="116">
        <v>7112.55</v>
      </c>
      <c r="G2075">
        <v>20786</v>
      </c>
      <c r="H2075" s="116"/>
      <c r="I2075" s="116"/>
      <c r="L2075" s="170">
        <v>45062</v>
      </c>
      <c r="M2075" s="116">
        <v>7115.7</v>
      </c>
      <c r="N2075" s="116">
        <v>7175</v>
      </c>
      <c r="O2075" s="116">
        <v>7050</v>
      </c>
      <c r="P2075" s="116">
        <v>7068</v>
      </c>
      <c r="Q2075" s="116">
        <v>7115.7</v>
      </c>
      <c r="R2075">
        <v>154662</v>
      </c>
    </row>
    <row r="2076" spans="1:18" x14ac:dyDescent="0.25">
      <c r="A2076" s="170">
        <v>45063</v>
      </c>
      <c r="B2076" s="116">
        <v>7150</v>
      </c>
      <c r="C2076" s="116">
        <v>7097.4</v>
      </c>
      <c r="D2076" s="116">
        <v>7070</v>
      </c>
      <c r="E2076" s="116">
        <v>7115.05</v>
      </c>
      <c r="F2076" s="116">
        <v>7097.4</v>
      </c>
      <c r="G2076">
        <v>7485</v>
      </c>
      <c r="H2076" s="116"/>
      <c r="I2076" s="116"/>
      <c r="L2076" s="170">
        <v>45063</v>
      </c>
      <c r="M2076" s="116">
        <v>7099.15</v>
      </c>
      <c r="N2076" s="116">
        <v>7153.2</v>
      </c>
      <c r="O2076" s="116">
        <v>7060.05</v>
      </c>
      <c r="P2076" s="116">
        <v>7135</v>
      </c>
      <c r="Q2076" s="116">
        <v>7099.15</v>
      </c>
      <c r="R2076">
        <v>115618</v>
      </c>
    </row>
    <row r="2077" spans="1:18" x14ac:dyDescent="0.25">
      <c r="A2077" s="170">
        <v>45064</v>
      </c>
      <c r="B2077" s="116">
        <v>7177.45</v>
      </c>
      <c r="C2077" s="116">
        <v>7001.85</v>
      </c>
      <c r="D2077" s="116">
        <v>6943.25</v>
      </c>
      <c r="E2077" s="116">
        <v>7120</v>
      </c>
      <c r="F2077" s="116">
        <v>7001.85</v>
      </c>
      <c r="G2077">
        <v>7117</v>
      </c>
      <c r="H2077" s="116"/>
      <c r="I2077" s="116"/>
      <c r="L2077" s="170">
        <v>45064</v>
      </c>
      <c r="M2077" s="116">
        <v>6995.6</v>
      </c>
      <c r="N2077" s="116">
        <v>7175</v>
      </c>
      <c r="O2077" s="116">
        <v>6941</v>
      </c>
      <c r="P2077" s="116">
        <v>7156.95</v>
      </c>
      <c r="Q2077" s="116">
        <v>6995.6</v>
      </c>
      <c r="R2077">
        <v>115117</v>
      </c>
    </row>
    <row r="2078" spans="1:18" x14ac:dyDescent="0.25">
      <c r="A2078" s="170">
        <v>45065</v>
      </c>
      <c r="B2078" s="116">
        <v>7071</v>
      </c>
      <c r="C2078" s="116">
        <v>7022.75</v>
      </c>
      <c r="D2078" s="116">
        <v>6720.05</v>
      </c>
      <c r="E2078" s="116">
        <v>6900</v>
      </c>
      <c r="F2078" s="116">
        <v>7022.75</v>
      </c>
      <c r="G2078">
        <v>59439</v>
      </c>
      <c r="H2078" s="116"/>
      <c r="I2078" s="116"/>
      <c r="L2078" s="170">
        <v>45065</v>
      </c>
      <c r="M2078" s="116">
        <v>7027.35</v>
      </c>
      <c r="N2078" s="116">
        <v>7075</v>
      </c>
      <c r="O2078" s="116">
        <v>6715</v>
      </c>
      <c r="P2078" s="116">
        <v>6870</v>
      </c>
      <c r="Q2078" s="116">
        <v>7027.35</v>
      </c>
      <c r="R2078">
        <v>588194</v>
      </c>
    </row>
    <row r="2079" spans="1:18" x14ac:dyDescent="0.25">
      <c r="A2079" s="170">
        <v>45068</v>
      </c>
      <c r="B2079" s="116">
        <v>7029.45</v>
      </c>
      <c r="C2079" s="116">
        <v>6927.75</v>
      </c>
      <c r="D2079" s="116">
        <v>6909.7</v>
      </c>
      <c r="E2079" s="116">
        <v>7022.75</v>
      </c>
      <c r="F2079" s="116">
        <v>6927.75</v>
      </c>
      <c r="G2079">
        <v>8067</v>
      </c>
      <c r="H2079" s="116"/>
      <c r="I2079" s="116"/>
      <c r="L2079" s="170">
        <v>45068</v>
      </c>
      <c r="M2079" s="116">
        <v>6931</v>
      </c>
      <c r="N2079" s="116">
        <v>7032.7</v>
      </c>
      <c r="O2079" s="116">
        <v>6910</v>
      </c>
      <c r="P2079" s="116">
        <v>7030</v>
      </c>
      <c r="Q2079" s="116">
        <v>6931</v>
      </c>
      <c r="R2079">
        <v>137531</v>
      </c>
    </row>
    <row r="2080" spans="1:18" x14ac:dyDescent="0.25">
      <c r="A2080" s="170">
        <v>45069</v>
      </c>
      <c r="B2080" s="116">
        <v>7040</v>
      </c>
      <c r="C2080" s="116">
        <v>7020.7</v>
      </c>
      <c r="D2080" s="116">
        <v>6902.8</v>
      </c>
      <c r="E2080" s="116">
        <v>6931</v>
      </c>
      <c r="F2080" s="116">
        <v>7020.7</v>
      </c>
      <c r="G2080">
        <v>7678</v>
      </c>
      <c r="H2080" s="116"/>
      <c r="I2080" s="116"/>
      <c r="L2080" s="170">
        <v>45069</v>
      </c>
      <c r="M2080" s="116">
        <v>7023.05</v>
      </c>
      <c r="N2080" s="116">
        <v>7040</v>
      </c>
      <c r="O2080" s="116">
        <v>6902.2</v>
      </c>
      <c r="P2080" s="116">
        <v>6955.35</v>
      </c>
      <c r="Q2080" s="116">
        <v>7023.05</v>
      </c>
      <c r="R2080">
        <v>140520</v>
      </c>
    </row>
    <row r="2081" spans="1:18" x14ac:dyDescent="0.25">
      <c r="A2081" s="170">
        <v>45070</v>
      </c>
      <c r="B2081" s="116">
        <v>7050</v>
      </c>
      <c r="C2081" s="116">
        <v>7028.85</v>
      </c>
      <c r="D2081" s="116">
        <v>6947.1</v>
      </c>
      <c r="E2081" s="116">
        <v>7020.55</v>
      </c>
      <c r="F2081" s="116">
        <v>7028.85</v>
      </c>
      <c r="G2081">
        <v>5042</v>
      </c>
      <c r="H2081" s="116"/>
      <c r="I2081" s="116"/>
      <c r="L2081" s="170">
        <v>45070</v>
      </c>
      <c r="M2081" s="116">
        <v>7032.45</v>
      </c>
      <c r="N2081" s="116">
        <v>7053</v>
      </c>
      <c r="O2081" s="116">
        <v>6944</v>
      </c>
      <c r="P2081" s="116">
        <v>7000</v>
      </c>
      <c r="Q2081" s="116">
        <v>7032.45</v>
      </c>
      <c r="R2081">
        <v>150701</v>
      </c>
    </row>
    <row r="2082" spans="1:18" x14ac:dyDescent="0.25">
      <c r="A2082" s="170">
        <v>45071</v>
      </c>
      <c r="B2082" s="116">
        <v>7287.85</v>
      </c>
      <c r="C2082" s="116">
        <v>7257.8</v>
      </c>
      <c r="D2082" s="116">
        <v>7007.9</v>
      </c>
      <c r="E2082" s="116">
        <v>7049.95</v>
      </c>
      <c r="F2082" s="116">
        <v>7257.8</v>
      </c>
      <c r="G2082">
        <v>23396</v>
      </c>
      <c r="H2082" s="116"/>
      <c r="I2082" s="116"/>
      <c r="L2082" s="170">
        <v>45071</v>
      </c>
      <c r="M2082" s="116">
        <v>7261</v>
      </c>
      <c r="N2082" s="116">
        <v>7289.6</v>
      </c>
      <c r="O2082" s="116">
        <v>7000.05</v>
      </c>
      <c r="P2082" s="116">
        <v>7032.45</v>
      </c>
      <c r="Q2082" s="116">
        <v>7261</v>
      </c>
      <c r="R2082">
        <v>533209</v>
      </c>
    </row>
    <row r="2083" spans="1:18" x14ac:dyDescent="0.25">
      <c r="A2083" s="170">
        <v>45072</v>
      </c>
      <c r="B2083" s="116">
        <v>7550</v>
      </c>
      <c r="C2083" s="116">
        <v>7467.15</v>
      </c>
      <c r="D2083" s="116">
        <v>7293.95</v>
      </c>
      <c r="E2083" s="116">
        <v>7311.65</v>
      </c>
      <c r="F2083" s="116">
        <v>7467.15</v>
      </c>
      <c r="G2083">
        <v>34830</v>
      </c>
      <c r="H2083" s="116"/>
      <c r="I2083" s="116"/>
      <c r="L2083" s="170">
        <v>45072</v>
      </c>
      <c r="M2083" s="116">
        <v>7467.1</v>
      </c>
      <c r="N2083" s="116">
        <v>7549</v>
      </c>
      <c r="O2083" s="116">
        <v>7288.05</v>
      </c>
      <c r="P2083" s="116">
        <v>7300</v>
      </c>
      <c r="Q2083" s="116">
        <v>7467.1</v>
      </c>
      <c r="R2083">
        <v>714927</v>
      </c>
    </row>
    <row r="2084" spans="1:18" x14ac:dyDescent="0.25">
      <c r="A2084" s="170">
        <v>45075</v>
      </c>
      <c r="B2084" s="116">
        <v>7625</v>
      </c>
      <c r="C2084" s="116">
        <v>7491.05</v>
      </c>
      <c r="D2084" s="116">
        <v>7451</v>
      </c>
      <c r="E2084" s="116">
        <v>7552</v>
      </c>
      <c r="F2084" s="116">
        <v>7491.05</v>
      </c>
      <c r="G2084">
        <v>28735</v>
      </c>
      <c r="H2084" s="116"/>
      <c r="I2084" s="116"/>
      <c r="L2084" s="170">
        <v>45075</v>
      </c>
      <c r="M2084" s="116">
        <v>7494.95</v>
      </c>
      <c r="N2084" s="116">
        <v>7619.95</v>
      </c>
      <c r="O2084" s="116">
        <v>7451</v>
      </c>
      <c r="P2084" s="116">
        <v>7560</v>
      </c>
      <c r="Q2084" s="116">
        <v>7494.95</v>
      </c>
      <c r="R2084">
        <v>200412</v>
      </c>
    </row>
    <row r="2085" spans="1:18" x14ac:dyDescent="0.25">
      <c r="A2085" s="170">
        <v>45076</v>
      </c>
      <c r="B2085" s="116">
        <v>7501.95</v>
      </c>
      <c r="C2085" s="116">
        <v>7419.45</v>
      </c>
      <c r="D2085" s="116">
        <v>7403.3</v>
      </c>
      <c r="E2085" s="116">
        <v>7501.95</v>
      </c>
      <c r="F2085" s="116">
        <v>7419.45</v>
      </c>
      <c r="G2085">
        <v>5591</v>
      </c>
      <c r="H2085" s="116"/>
      <c r="I2085" s="116"/>
      <c r="L2085" s="170">
        <v>45076</v>
      </c>
      <c r="M2085" s="116">
        <v>7422</v>
      </c>
      <c r="N2085" s="116">
        <v>7498</v>
      </c>
      <c r="O2085" s="116">
        <v>7400</v>
      </c>
      <c r="P2085" s="116">
        <v>7485</v>
      </c>
      <c r="Q2085" s="116">
        <v>7422</v>
      </c>
      <c r="R2085">
        <v>116607</v>
      </c>
    </row>
    <row r="2086" spans="1:18" x14ac:dyDescent="0.25">
      <c r="A2086" s="170">
        <v>45077</v>
      </c>
      <c r="B2086" s="116">
        <v>7593.4</v>
      </c>
      <c r="C2086" s="116">
        <v>7421</v>
      </c>
      <c r="D2086" s="116">
        <v>7353.7</v>
      </c>
      <c r="E2086" s="116">
        <v>7390.05</v>
      </c>
      <c r="F2086" s="116">
        <v>7421</v>
      </c>
      <c r="G2086">
        <v>18587</v>
      </c>
      <c r="H2086" s="116"/>
      <c r="I2086" s="116"/>
      <c r="L2086" s="170">
        <v>45077</v>
      </c>
      <c r="M2086" s="116">
        <v>7421.55</v>
      </c>
      <c r="N2086" s="116">
        <v>7590</v>
      </c>
      <c r="O2086" s="116">
        <v>7360.65</v>
      </c>
      <c r="P2086" s="116">
        <v>7414</v>
      </c>
      <c r="Q2086" s="116">
        <v>7421.55</v>
      </c>
      <c r="R2086">
        <v>440466</v>
      </c>
    </row>
    <row r="2087" spans="1:18" x14ac:dyDescent="0.25">
      <c r="A2087" s="170">
        <v>45078</v>
      </c>
      <c r="B2087" s="116">
        <v>7651</v>
      </c>
      <c r="C2087" s="116">
        <v>7635.55</v>
      </c>
      <c r="D2087" s="116">
        <v>7457.45</v>
      </c>
      <c r="E2087" s="116">
        <v>7485</v>
      </c>
      <c r="F2087" s="116">
        <v>7635.55</v>
      </c>
      <c r="G2087">
        <v>20289</v>
      </c>
      <c r="H2087" s="116"/>
      <c r="I2087" s="116"/>
      <c r="L2087" s="170">
        <v>45078</v>
      </c>
      <c r="M2087" s="116">
        <v>7634.5</v>
      </c>
      <c r="N2087" s="116">
        <v>7650</v>
      </c>
      <c r="O2087" s="116">
        <v>7456.2</v>
      </c>
      <c r="P2087" s="116">
        <v>7478.8</v>
      </c>
      <c r="Q2087" s="116">
        <v>7634.5</v>
      </c>
      <c r="R2087">
        <v>382173</v>
      </c>
    </row>
    <row r="2088" spans="1:18" x14ac:dyDescent="0.25">
      <c r="A2088" s="170">
        <v>45079</v>
      </c>
      <c r="B2088" s="116">
        <v>7750</v>
      </c>
      <c r="C2088" s="116">
        <v>7697.9</v>
      </c>
      <c r="D2088" s="116">
        <v>7652.05</v>
      </c>
      <c r="E2088" s="116">
        <v>7652.05</v>
      </c>
      <c r="F2088" s="116">
        <v>7697.9</v>
      </c>
      <c r="G2088">
        <v>24167</v>
      </c>
      <c r="H2088" s="116"/>
      <c r="I2088" s="116"/>
      <c r="L2088" s="170">
        <v>45079</v>
      </c>
      <c r="M2088" s="116">
        <v>7695.95</v>
      </c>
      <c r="N2088" s="116">
        <v>7748.8</v>
      </c>
      <c r="O2088" s="116">
        <v>7660</v>
      </c>
      <c r="P2088" s="116">
        <v>7675</v>
      </c>
      <c r="Q2088" s="116">
        <v>7695.95</v>
      </c>
      <c r="R2088">
        <v>228387</v>
      </c>
    </row>
    <row r="2089" spans="1:18" x14ac:dyDescent="0.25">
      <c r="A2089" s="170">
        <v>45082</v>
      </c>
      <c r="B2089" s="116">
        <v>7776.75</v>
      </c>
      <c r="C2089" s="116">
        <v>7694.05</v>
      </c>
      <c r="D2089" s="116">
        <v>7674.8</v>
      </c>
      <c r="E2089" s="116">
        <v>7719.8</v>
      </c>
      <c r="F2089" s="116">
        <v>7694.05</v>
      </c>
      <c r="G2089">
        <v>20440</v>
      </c>
      <c r="H2089" s="116"/>
      <c r="I2089" s="116"/>
      <c r="L2089" s="170">
        <v>45082</v>
      </c>
      <c r="M2089" s="116">
        <v>7698.15</v>
      </c>
      <c r="N2089" s="116">
        <v>7777</v>
      </c>
      <c r="O2089" s="116">
        <v>7680</v>
      </c>
      <c r="P2089" s="116">
        <v>7725</v>
      </c>
      <c r="Q2089" s="116">
        <v>7698.15</v>
      </c>
      <c r="R2089">
        <v>131164</v>
      </c>
    </row>
    <row r="2090" spans="1:18" x14ac:dyDescent="0.25">
      <c r="A2090" s="170">
        <v>45083</v>
      </c>
      <c r="B2090" s="116">
        <v>7730.2</v>
      </c>
      <c r="C2090" s="116">
        <v>7600.35</v>
      </c>
      <c r="D2090" s="116">
        <v>7555</v>
      </c>
      <c r="E2090" s="116">
        <v>7700.1</v>
      </c>
      <c r="F2090" s="116">
        <v>7600.35</v>
      </c>
      <c r="G2090">
        <v>11723</v>
      </c>
      <c r="H2090" s="116"/>
      <c r="I2090" s="116"/>
      <c r="L2090" s="170">
        <v>45083</v>
      </c>
      <c r="M2090" s="116">
        <v>7604.5</v>
      </c>
      <c r="N2090" s="116">
        <v>7731</v>
      </c>
      <c r="O2090" s="116">
        <v>7551</v>
      </c>
      <c r="P2090" s="116">
        <v>7718.95</v>
      </c>
      <c r="Q2090" s="116">
        <v>7604.5</v>
      </c>
      <c r="R2090">
        <v>155852</v>
      </c>
    </row>
    <row r="2091" spans="1:18" x14ac:dyDescent="0.25">
      <c r="A2091" s="170">
        <v>45084</v>
      </c>
      <c r="B2091" s="116">
        <v>7713</v>
      </c>
      <c r="C2091" s="116">
        <v>7690.35</v>
      </c>
      <c r="D2091" s="116">
        <v>7612</v>
      </c>
      <c r="E2091" s="116">
        <v>7669.95</v>
      </c>
      <c r="F2091" s="116">
        <v>7690.35</v>
      </c>
      <c r="G2091">
        <v>6166</v>
      </c>
      <c r="H2091" s="116"/>
      <c r="I2091" s="116"/>
      <c r="L2091" s="170">
        <v>45084</v>
      </c>
      <c r="M2091" s="116">
        <v>7693.05</v>
      </c>
      <c r="N2091" s="116">
        <v>7715</v>
      </c>
      <c r="O2091" s="116">
        <v>7610</v>
      </c>
      <c r="P2091" s="116">
        <v>7650.2</v>
      </c>
      <c r="Q2091" s="116">
        <v>7693.05</v>
      </c>
      <c r="R2091">
        <v>129652</v>
      </c>
    </row>
    <row r="2092" spans="1:18" x14ac:dyDescent="0.25">
      <c r="A2092" s="170">
        <v>45085</v>
      </c>
      <c r="B2092" s="116">
        <v>7950</v>
      </c>
      <c r="C2092" s="116">
        <v>7846.1</v>
      </c>
      <c r="D2092" s="116">
        <v>7763.85</v>
      </c>
      <c r="E2092" s="116">
        <v>7942</v>
      </c>
      <c r="F2092" s="116">
        <v>7846.1</v>
      </c>
      <c r="G2092">
        <v>19114</v>
      </c>
      <c r="H2092" s="116"/>
      <c r="I2092" s="116"/>
      <c r="L2092" s="170">
        <v>45085</v>
      </c>
      <c r="M2092" s="116">
        <v>7844.65</v>
      </c>
      <c r="N2092" s="116">
        <v>7947</v>
      </c>
      <c r="O2092" s="116">
        <v>7766.65</v>
      </c>
      <c r="P2092" s="116">
        <v>7920</v>
      </c>
      <c r="Q2092" s="116">
        <v>7844.65</v>
      </c>
      <c r="R2092">
        <v>410366</v>
      </c>
    </row>
    <row r="2093" spans="1:18" x14ac:dyDescent="0.25">
      <c r="A2093" s="170">
        <v>45086</v>
      </c>
      <c r="B2093" s="116">
        <v>7920</v>
      </c>
      <c r="C2093" s="116">
        <v>7816.45</v>
      </c>
      <c r="D2093" s="116">
        <v>7800</v>
      </c>
      <c r="E2093" s="116">
        <v>7836.05</v>
      </c>
      <c r="F2093" s="116">
        <v>7816.45</v>
      </c>
      <c r="G2093">
        <v>20061</v>
      </c>
      <c r="H2093" s="116"/>
      <c r="I2093" s="116"/>
      <c r="L2093" s="170">
        <v>45086</v>
      </c>
      <c r="M2093" s="116">
        <v>7817.6</v>
      </c>
      <c r="N2093" s="116">
        <v>7921.45</v>
      </c>
      <c r="O2093" s="116">
        <v>7791.1</v>
      </c>
      <c r="P2093" s="116">
        <v>7881.45</v>
      </c>
      <c r="Q2093" s="116">
        <v>7817.6</v>
      </c>
      <c r="R2093">
        <v>142993</v>
      </c>
    </row>
    <row r="2094" spans="1:18" x14ac:dyDescent="0.25">
      <c r="A2094" s="170">
        <v>45089</v>
      </c>
      <c r="B2094" s="116">
        <v>7910</v>
      </c>
      <c r="C2094" s="116">
        <v>7855.25</v>
      </c>
      <c r="D2094" s="116">
        <v>7783</v>
      </c>
      <c r="E2094" s="116">
        <v>7820.1</v>
      </c>
      <c r="F2094" s="116">
        <v>7855.25</v>
      </c>
      <c r="G2094">
        <v>7014</v>
      </c>
      <c r="H2094" s="116"/>
      <c r="I2094" s="116"/>
      <c r="L2094" s="170">
        <v>45089</v>
      </c>
      <c r="M2094" s="116">
        <v>7858.5</v>
      </c>
      <c r="N2094" s="116">
        <v>7909</v>
      </c>
      <c r="O2094" s="116">
        <v>7781</v>
      </c>
      <c r="P2094" s="116">
        <v>7855</v>
      </c>
      <c r="Q2094" s="116">
        <v>7858.5</v>
      </c>
      <c r="R2094">
        <v>124640</v>
      </c>
    </row>
    <row r="2095" spans="1:18" x14ac:dyDescent="0.25">
      <c r="A2095" s="170">
        <v>45090</v>
      </c>
      <c r="B2095" s="116">
        <v>7939.9</v>
      </c>
      <c r="C2095" s="116">
        <v>7849.2</v>
      </c>
      <c r="D2095" s="116">
        <v>7828.7</v>
      </c>
      <c r="E2095" s="116">
        <v>7899.95</v>
      </c>
      <c r="F2095" s="116">
        <v>7849.2</v>
      </c>
      <c r="G2095">
        <v>7380</v>
      </c>
      <c r="H2095" s="116"/>
      <c r="I2095" s="116"/>
      <c r="L2095" s="170">
        <v>45090</v>
      </c>
      <c r="M2095" s="116">
        <v>7852</v>
      </c>
      <c r="N2095" s="116">
        <v>7939.95</v>
      </c>
      <c r="O2095" s="116">
        <v>7825.5</v>
      </c>
      <c r="P2095" s="116">
        <v>7888</v>
      </c>
      <c r="Q2095" s="116">
        <v>7852</v>
      </c>
      <c r="R2095">
        <v>150301</v>
      </c>
    </row>
    <row r="2096" spans="1:18" x14ac:dyDescent="0.25">
      <c r="A2096" s="170">
        <v>45091</v>
      </c>
      <c r="B2096" s="116">
        <v>7870.75</v>
      </c>
      <c r="C2096" s="116">
        <v>7749.8</v>
      </c>
      <c r="D2096" s="116">
        <v>7728</v>
      </c>
      <c r="E2096" s="116">
        <v>7852.1</v>
      </c>
      <c r="F2096" s="116">
        <v>7749.8</v>
      </c>
      <c r="G2096">
        <v>19291</v>
      </c>
      <c r="H2096" s="116"/>
      <c r="I2096" s="116"/>
      <c r="L2096" s="170">
        <v>45091</v>
      </c>
      <c r="M2096" s="116">
        <v>7749.9</v>
      </c>
      <c r="N2096" s="116">
        <v>7869.95</v>
      </c>
      <c r="O2096" s="116">
        <v>7730</v>
      </c>
      <c r="P2096" s="116">
        <v>7869.95</v>
      </c>
      <c r="Q2096" s="116">
        <v>7749.9</v>
      </c>
      <c r="R2096">
        <v>151994</v>
      </c>
    </row>
    <row r="2097" spans="1:18" x14ac:dyDescent="0.25">
      <c r="A2097" s="170">
        <v>45092</v>
      </c>
      <c r="B2097" s="116">
        <v>7810</v>
      </c>
      <c r="C2097" s="116">
        <v>7783.5</v>
      </c>
      <c r="D2097" s="116">
        <v>7709.95</v>
      </c>
      <c r="E2097" s="116">
        <v>7755.2</v>
      </c>
      <c r="F2097" s="116">
        <v>7783.5</v>
      </c>
      <c r="G2097">
        <v>8006</v>
      </c>
      <c r="H2097" s="116"/>
      <c r="I2097" s="116"/>
      <c r="L2097" s="170">
        <v>45092</v>
      </c>
      <c r="M2097" s="116">
        <v>7786.55</v>
      </c>
      <c r="N2097" s="116">
        <v>7810</v>
      </c>
      <c r="O2097" s="116">
        <v>7706</v>
      </c>
      <c r="P2097" s="116">
        <v>7770</v>
      </c>
      <c r="Q2097" s="116">
        <v>7786.55</v>
      </c>
      <c r="R2097">
        <v>136247</v>
      </c>
    </row>
    <row r="2098" spans="1:18" x14ac:dyDescent="0.25">
      <c r="A2098" s="170">
        <v>45093</v>
      </c>
      <c r="B2098" s="116">
        <v>7865.15</v>
      </c>
      <c r="C2098" s="116">
        <v>7633.45</v>
      </c>
      <c r="D2098" s="116">
        <v>7592.85</v>
      </c>
      <c r="E2098" s="116">
        <v>7786.55</v>
      </c>
      <c r="F2098" s="116">
        <v>7633.45</v>
      </c>
      <c r="G2098">
        <v>7472</v>
      </c>
      <c r="H2098" s="116"/>
      <c r="I2098" s="116"/>
      <c r="L2098" s="170">
        <v>45093</v>
      </c>
      <c r="M2098" s="116">
        <v>7640.2</v>
      </c>
      <c r="N2098" s="116">
        <v>7870</v>
      </c>
      <c r="O2098" s="116">
        <v>7600</v>
      </c>
      <c r="P2098" s="116">
        <v>7786.55</v>
      </c>
      <c r="Q2098" s="116">
        <v>7640.2</v>
      </c>
      <c r="R2098">
        <v>200139</v>
      </c>
    </row>
    <row r="2099" spans="1:18" x14ac:dyDescent="0.25">
      <c r="A2099" s="170">
        <v>45096</v>
      </c>
      <c r="B2099" s="116">
        <v>7767.85</v>
      </c>
      <c r="C2099" s="116">
        <v>7682.5</v>
      </c>
      <c r="D2099" s="116">
        <v>7635.05</v>
      </c>
      <c r="E2099" s="116">
        <v>7635.05</v>
      </c>
      <c r="F2099" s="116">
        <v>7682.5</v>
      </c>
      <c r="G2099">
        <v>7153</v>
      </c>
      <c r="H2099" s="116"/>
      <c r="I2099" s="116"/>
      <c r="L2099" s="170">
        <v>45096</v>
      </c>
      <c r="M2099" s="116">
        <v>7683.25</v>
      </c>
      <c r="N2099" s="116">
        <v>7769.95</v>
      </c>
      <c r="O2099" s="116">
        <v>7656.05</v>
      </c>
      <c r="P2099" s="116">
        <v>7662.7</v>
      </c>
      <c r="Q2099" s="116">
        <v>7683.25</v>
      </c>
      <c r="R2099">
        <v>146303</v>
      </c>
    </row>
    <row r="2100" spans="1:18" x14ac:dyDescent="0.25">
      <c r="A2100" s="170">
        <v>45097</v>
      </c>
      <c r="B2100" s="116">
        <v>7812.45</v>
      </c>
      <c r="C2100" s="116">
        <v>7768.05</v>
      </c>
      <c r="D2100" s="116">
        <v>7683.05</v>
      </c>
      <c r="E2100" s="116">
        <v>7683.05</v>
      </c>
      <c r="F2100" s="116">
        <v>7768.05</v>
      </c>
      <c r="G2100">
        <v>8036</v>
      </c>
      <c r="H2100" s="116"/>
      <c r="I2100" s="116"/>
      <c r="L2100" s="170">
        <v>45097</v>
      </c>
      <c r="M2100" s="116">
        <v>7770.45</v>
      </c>
      <c r="N2100" s="116">
        <v>7816.95</v>
      </c>
      <c r="O2100" s="116">
        <v>7703</v>
      </c>
      <c r="P2100" s="116">
        <v>7707.3</v>
      </c>
      <c r="Q2100" s="116">
        <v>7770.45</v>
      </c>
      <c r="R2100">
        <v>173677</v>
      </c>
    </row>
    <row r="2101" spans="1:18" x14ac:dyDescent="0.25">
      <c r="A2101" s="170">
        <v>45098</v>
      </c>
      <c r="B2101" s="116">
        <v>7887.55</v>
      </c>
      <c r="C2101" s="116">
        <v>7793.45</v>
      </c>
      <c r="D2101" s="116">
        <v>7728.65</v>
      </c>
      <c r="E2101" s="116">
        <v>7799.95</v>
      </c>
      <c r="F2101" s="116">
        <v>7793.45</v>
      </c>
      <c r="G2101">
        <v>9664</v>
      </c>
      <c r="H2101" s="116"/>
      <c r="I2101" s="116"/>
      <c r="L2101" s="170">
        <v>45098</v>
      </c>
      <c r="M2101" s="116">
        <v>7790.75</v>
      </c>
      <c r="N2101" s="116">
        <v>7885</v>
      </c>
      <c r="O2101" s="116">
        <v>7724.3</v>
      </c>
      <c r="P2101" s="116">
        <v>7786</v>
      </c>
      <c r="Q2101" s="116">
        <v>7790.75</v>
      </c>
      <c r="R2101">
        <v>180193</v>
      </c>
    </row>
    <row r="2102" spans="1:18" x14ac:dyDescent="0.25">
      <c r="A2102" s="170">
        <v>45099</v>
      </c>
      <c r="B2102" s="116">
        <v>7782.95</v>
      </c>
      <c r="C2102" s="116">
        <v>7669.35</v>
      </c>
      <c r="D2102" s="116">
        <v>7645</v>
      </c>
      <c r="E2102" s="116">
        <v>7782.95</v>
      </c>
      <c r="F2102" s="116">
        <v>7669.35</v>
      </c>
      <c r="G2102">
        <v>14949</v>
      </c>
      <c r="H2102" s="116"/>
      <c r="I2102" s="116"/>
      <c r="L2102" s="170">
        <v>45099</v>
      </c>
      <c r="M2102" s="116">
        <v>7667.25</v>
      </c>
      <c r="N2102" s="116">
        <v>7770</v>
      </c>
      <c r="O2102" s="116">
        <v>7640</v>
      </c>
      <c r="P2102" s="116">
        <v>7770</v>
      </c>
      <c r="Q2102" s="116">
        <v>7667.25</v>
      </c>
      <c r="R2102">
        <v>102273</v>
      </c>
    </row>
    <row r="2103" spans="1:18" x14ac:dyDescent="0.25">
      <c r="A2103" s="170">
        <v>45100</v>
      </c>
      <c r="B2103" s="116">
        <v>7669.15</v>
      </c>
      <c r="C2103" s="116">
        <v>7481.6</v>
      </c>
      <c r="D2103" s="116">
        <v>7450</v>
      </c>
      <c r="E2103" s="116">
        <v>7668.2</v>
      </c>
      <c r="F2103" s="116">
        <v>7481.6</v>
      </c>
      <c r="G2103">
        <v>24141</v>
      </c>
      <c r="H2103" s="116"/>
      <c r="I2103" s="116"/>
      <c r="L2103" s="170">
        <v>45100</v>
      </c>
      <c r="M2103" s="116">
        <v>7481.95</v>
      </c>
      <c r="N2103" s="116">
        <v>7674</v>
      </c>
      <c r="O2103" s="116">
        <v>7450.1</v>
      </c>
      <c r="P2103" s="116">
        <v>7674</v>
      </c>
      <c r="Q2103" s="116">
        <v>7481.95</v>
      </c>
      <c r="R2103">
        <v>135452</v>
      </c>
    </row>
    <row r="2104" spans="1:18" x14ac:dyDescent="0.25">
      <c r="A2104" s="170">
        <v>45103</v>
      </c>
      <c r="B2104" s="116">
        <v>7591</v>
      </c>
      <c r="C2104" s="116">
        <v>7508.05</v>
      </c>
      <c r="D2104" s="116">
        <v>7481.6</v>
      </c>
      <c r="E2104" s="116">
        <v>7481.6</v>
      </c>
      <c r="F2104" s="116">
        <v>7508.05</v>
      </c>
      <c r="G2104">
        <v>6903</v>
      </c>
      <c r="H2104" s="116"/>
      <c r="I2104" s="116"/>
      <c r="L2104" s="170">
        <v>45103</v>
      </c>
      <c r="M2104" s="116">
        <v>7507.75</v>
      </c>
      <c r="N2104" s="116">
        <v>7595</v>
      </c>
      <c r="O2104" s="116">
        <v>7490</v>
      </c>
      <c r="P2104" s="116">
        <v>7490</v>
      </c>
      <c r="Q2104" s="116">
        <v>7507.75</v>
      </c>
      <c r="R2104">
        <v>108405</v>
      </c>
    </row>
    <row r="2105" spans="1:18" x14ac:dyDescent="0.25">
      <c r="A2105" s="170">
        <v>45104</v>
      </c>
      <c r="B2105" s="116">
        <v>7663</v>
      </c>
      <c r="C2105" s="116">
        <v>7544.15</v>
      </c>
      <c r="D2105" s="116">
        <v>7530</v>
      </c>
      <c r="E2105" s="116">
        <v>7532.85</v>
      </c>
      <c r="F2105" s="116">
        <v>7544.15</v>
      </c>
      <c r="G2105">
        <v>13416</v>
      </c>
      <c r="H2105" s="116"/>
      <c r="I2105" s="116"/>
      <c r="L2105" s="170">
        <v>45104</v>
      </c>
      <c r="M2105" s="116">
        <v>7546.2</v>
      </c>
      <c r="N2105" s="116">
        <v>7666</v>
      </c>
      <c r="O2105" s="116">
        <v>7530.35</v>
      </c>
      <c r="P2105" s="116">
        <v>7578.8</v>
      </c>
      <c r="Q2105" s="116">
        <v>7546.2</v>
      </c>
      <c r="R2105">
        <v>143885</v>
      </c>
    </row>
    <row r="2106" spans="1:18" x14ac:dyDescent="0.25">
      <c r="A2106" s="170">
        <v>45105</v>
      </c>
      <c r="B2106" s="116">
        <v>7676.45</v>
      </c>
      <c r="C2106" s="116">
        <v>7575.6</v>
      </c>
      <c r="D2106" s="116">
        <v>7551.55</v>
      </c>
      <c r="E2106" s="116">
        <v>7644.1</v>
      </c>
      <c r="F2106" s="116">
        <v>7575.6</v>
      </c>
      <c r="G2106">
        <v>4579</v>
      </c>
      <c r="H2106" s="116"/>
      <c r="I2106" s="116"/>
      <c r="L2106" s="170">
        <v>45105</v>
      </c>
      <c r="M2106" s="116">
        <v>7586.15</v>
      </c>
      <c r="N2106" s="116">
        <v>7678.1</v>
      </c>
      <c r="O2106" s="116">
        <v>7552</v>
      </c>
      <c r="P2106" s="116">
        <v>7609</v>
      </c>
      <c r="Q2106" s="116">
        <v>7586.15</v>
      </c>
      <c r="R2106">
        <v>101231</v>
      </c>
    </row>
    <row r="2107" spans="1:18" x14ac:dyDescent="0.25">
      <c r="A2107" s="170">
        <v>45107</v>
      </c>
      <c r="B2107" s="116">
        <v>7681</v>
      </c>
      <c r="C2107" s="116">
        <v>7584.05</v>
      </c>
      <c r="D2107" s="116">
        <v>7571.2</v>
      </c>
      <c r="E2107" s="116">
        <v>7600.05</v>
      </c>
      <c r="F2107" s="116">
        <v>7584.05</v>
      </c>
      <c r="G2107">
        <v>6532</v>
      </c>
      <c r="H2107" s="116"/>
      <c r="I2107" s="116"/>
      <c r="L2107" s="170">
        <v>45107</v>
      </c>
      <c r="M2107" s="116">
        <v>7588.5</v>
      </c>
      <c r="N2107" s="116">
        <v>7686.15</v>
      </c>
      <c r="O2107" s="116">
        <v>7575</v>
      </c>
      <c r="P2107" s="116">
        <v>7623</v>
      </c>
      <c r="Q2107" s="116">
        <v>7588.5</v>
      </c>
      <c r="R2107">
        <v>139681</v>
      </c>
    </row>
    <row r="2108" spans="1:18" x14ac:dyDescent="0.25">
      <c r="A2108" s="170">
        <v>45110</v>
      </c>
      <c r="B2108" s="116">
        <v>7678.95</v>
      </c>
      <c r="C2108" s="116">
        <v>7547.3</v>
      </c>
      <c r="D2108" s="116">
        <v>7516.15</v>
      </c>
      <c r="E2108" s="116">
        <v>7678.95</v>
      </c>
      <c r="F2108" s="116">
        <v>7547.3</v>
      </c>
      <c r="G2108">
        <v>5803</v>
      </c>
      <c r="H2108" s="116"/>
      <c r="I2108" s="116"/>
      <c r="L2108" s="170">
        <v>45110</v>
      </c>
      <c r="M2108" s="116">
        <v>7546.3</v>
      </c>
      <c r="N2108" s="116">
        <v>7637.55</v>
      </c>
      <c r="O2108" s="116">
        <v>7520.95</v>
      </c>
      <c r="P2108" s="116">
        <v>7618.05</v>
      </c>
      <c r="Q2108" s="116">
        <v>7546.3</v>
      </c>
      <c r="R2108">
        <v>106546</v>
      </c>
    </row>
    <row r="2109" spans="1:18" x14ac:dyDescent="0.25">
      <c r="A2109" s="170">
        <v>45111</v>
      </c>
      <c r="B2109" s="116">
        <v>7569.8</v>
      </c>
      <c r="C2109" s="116">
        <v>7512.6</v>
      </c>
      <c r="D2109" s="116">
        <v>7491</v>
      </c>
      <c r="E2109" s="116">
        <v>7548.05</v>
      </c>
      <c r="F2109" s="116">
        <v>7512.6</v>
      </c>
      <c r="G2109">
        <v>15673</v>
      </c>
      <c r="H2109" s="116"/>
      <c r="I2109" s="116"/>
      <c r="L2109" s="170">
        <v>45111</v>
      </c>
      <c r="M2109" s="116">
        <v>7513.8</v>
      </c>
      <c r="N2109" s="116">
        <v>7567.7</v>
      </c>
      <c r="O2109" s="116">
        <v>7492</v>
      </c>
      <c r="P2109" s="116">
        <v>7561.5</v>
      </c>
      <c r="Q2109" s="116">
        <v>7513.8</v>
      </c>
      <c r="R2109">
        <v>70316</v>
      </c>
    </row>
    <row r="2110" spans="1:18" x14ac:dyDescent="0.25">
      <c r="A2110" s="170">
        <v>45112</v>
      </c>
      <c r="B2110" s="116">
        <v>7581.9</v>
      </c>
      <c r="C2110" s="116">
        <v>7548.55</v>
      </c>
      <c r="D2110" s="116">
        <v>7510</v>
      </c>
      <c r="E2110" s="116">
        <v>7510.05</v>
      </c>
      <c r="F2110" s="116">
        <v>7548.55</v>
      </c>
      <c r="G2110">
        <v>3295</v>
      </c>
      <c r="H2110" s="116"/>
      <c r="I2110" s="116"/>
      <c r="L2110" s="170">
        <v>45112</v>
      </c>
      <c r="M2110" s="116">
        <v>7553.05</v>
      </c>
      <c r="N2110" s="116">
        <v>7585</v>
      </c>
      <c r="O2110" s="116">
        <v>7506.3</v>
      </c>
      <c r="P2110" s="116">
        <v>7522.45</v>
      </c>
      <c r="Q2110" s="116">
        <v>7553.05</v>
      </c>
      <c r="R2110">
        <v>75250</v>
      </c>
    </row>
    <row r="2111" spans="1:18" x14ac:dyDescent="0.25">
      <c r="A2111" s="170">
        <v>45113</v>
      </c>
      <c r="B2111" s="116">
        <v>7569.65</v>
      </c>
      <c r="C2111" s="116">
        <v>7533.95</v>
      </c>
      <c r="D2111" s="116">
        <v>7505.3</v>
      </c>
      <c r="E2111" s="116">
        <v>7553.05</v>
      </c>
      <c r="F2111" s="116">
        <v>7533.95</v>
      </c>
      <c r="G2111">
        <v>3758</v>
      </c>
      <c r="H2111" s="116"/>
      <c r="I2111" s="116"/>
      <c r="L2111" s="170">
        <v>45113</v>
      </c>
      <c r="M2111" s="116">
        <v>7535.35</v>
      </c>
      <c r="N2111" s="116">
        <v>7566.9</v>
      </c>
      <c r="O2111" s="116">
        <v>7508</v>
      </c>
      <c r="P2111" s="116">
        <v>7566.15</v>
      </c>
      <c r="Q2111" s="116">
        <v>7535.35</v>
      </c>
      <c r="R2111">
        <v>78240</v>
      </c>
    </row>
    <row r="2112" spans="1:18" x14ac:dyDescent="0.25">
      <c r="A2112" s="170">
        <v>45114</v>
      </c>
      <c r="B2112" s="116">
        <v>7598.5</v>
      </c>
      <c r="C2112" s="116">
        <v>7544.7</v>
      </c>
      <c r="D2112" s="116">
        <v>7516</v>
      </c>
      <c r="E2112" s="116">
        <v>7516</v>
      </c>
      <c r="F2112" s="116">
        <v>7544.7</v>
      </c>
      <c r="G2112">
        <v>3940</v>
      </c>
      <c r="H2112" s="116"/>
      <c r="I2112" s="116"/>
      <c r="L2112" s="170">
        <v>45114</v>
      </c>
      <c r="M2112" s="116">
        <v>7541.65</v>
      </c>
      <c r="N2112" s="116">
        <v>7600</v>
      </c>
      <c r="O2112" s="116">
        <v>7515.05</v>
      </c>
      <c r="P2112" s="116">
        <v>7538.95</v>
      </c>
      <c r="Q2112" s="116">
        <v>7541.65</v>
      </c>
      <c r="R2112">
        <v>90023</v>
      </c>
    </row>
    <row r="2113" spans="1:18" x14ac:dyDescent="0.25">
      <c r="A2113" s="170">
        <v>45117</v>
      </c>
      <c r="B2113" s="116">
        <v>7580</v>
      </c>
      <c r="C2113" s="116">
        <v>7479.1</v>
      </c>
      <c r="D2113" s="116">
        <v>7448.75</v>
      </c>
      <c r="E2113" s="116">
        <v>7520</v>
      </c>
      <c r="F2113" s="116">
        <v>7479.1</v>
      </c>
      <c r="G2113">
        <v>13391</v>
      </c>
      <c r="H2113" s="116"/>
      <c r="I2113" s="116"/>
      <c r="L2113" s="170">
        <v>45117</v>
      </c>
      <c r="M2113" s="116">
        <v>7487.25</v>
      </c>
      <c r="N2113" s="116">
        <v>7579.55</v>
      </c>
      <c r="O2113" s="116">
        <v>7454.35</v>
      </c>
      <c r="P2113" s="116">
        <v>7550</v>
      </c>
      <c r="Q2113" s="116">
        <v>7487.25</v>
      </c>
      <c r="R2113">
        <v>84656</v>
      </c>
    </row>
    <row r="2114" spans="1:18" x14ac:dyDescent="0.25">
      <c r="A2114" s="170">
        <v>45118</v>
      </c>
      <c r="B2114" s="116">
        <v>7519.45</v>
      </c>
      <c r="C2114" s="116">
        <v>7439.1</v>
      </c>
      <c r="D2114" s="116">
        <v>7313.75</v>
      </c>
      <c r="E2114" s="116">
        <v>7439.9</v>
      </c>
      <c r="F2114" s="116">
        <v>7439.1</v>
      </c>
      <c r="G2114">
        <v>15354</v>
      </c>
      <c r="H2114" s="116"/>
      <c r="I2114" s="116"/>
      <c r="L2114" s="170">
        <v>45118</v>
      </c>
      <c r="M2114" s="116">
        <v>7453.15</v>
      </c>
      <c r="N2114" s="116">
        <v>7520.85</v>
      </c>
      <c r="O2114" s="116">
        <v>7310</v>
      </c>
      <c r="P2114" s="116">
        <v>7410</v>
      </c>
      <c r="Q2114" s="116">
        <v>7453.15</v>
      </c>
      <c r="R2114">
        <v>250639</v>
      </c>
    </row>
    <row r="2115" spans="1:18" x14ac:dyDescent="0.25">
      <c r="A2115" s="170">
        <v>45119</v>
      </c>
      <c r="B2115" s="116">
        <v>7510.1</v>
      </c>
      <c r="C2115" s="116">
        <v>7431.85</v>
      </c>
      <c r="D2115" s="116">
        <v>7411</v>
      </c>
      <c r="E2115" s="116">
        <v>7445.05</v>
      </c>
      <c r="F2115" s="116">
        <v>7431.85</v>
      </c>
      <c r="G2115">
        <v>4798</v>
      </c>
      <c r="H2115" s="116"/>
      <c r="I2115" s="116"/>
      <c r="L2115" s="170">
        <v>45119</v>
      </c>
      <c r="M2115" s="116">
        <v>7431.25</v>
      </c>
      <c r="N2115" s="116">
        <v>7512</v>
      </c>
      <c r="O2115" s="116">
        <v>7410</v>
      </c>
      <c r="P2115" s="116">
        <v>7457.8</v>
      </c>
      <c r="Q2115" s="116">
        <v>7431.25</v>
      </c>
      <c r="R2115">
        <v>86187</v>
      </c>
    </row>
    <row r="2116" spans="1:18" x14ac:dyDescent="0.25">
      <c r="A2116" s="170">
        <v>45120</v>
      </c>
      <c r="B2116" s="116">
        <v>7593.15</v>
      </c>
      <c r="C2116" s="116">
        <v>7560.8</v>
      </c>
      <c r="D2116" s="116">
        <v>7420.05</v>
      </c>
      <c r="E2116" s="116">
        <v>7420.05</v>
      </c>
      <c r="F2116" s="116">
        <v>7560.8</v>
      </c>
      <c r="G2116">
        <v>23429</v>
      </c>
      <c r="H2116" s="116"/>
      <c r="I2116" s="116"/>
      <c r="L2116" s="170">
        <v>45120</v>
      </c>
      <c r="M2116" s="116">
        <v>7568.05</v>
      </c>
      <c r="N2116" s="116">
        <v>7593.7</v>
      </c>
      <c r="O2116" s="116">
        <v>7431</v>
      </c>
      <c r="P2116" s="116">
        <v>7431.25</v>
      </c>
      <c r="Q2116" s="116">
        <v>7568.05</v>
      </c>
      <c r="R2116">
        <v>192087</v>
      </c>
    </row>
    <row r="2117" spans="1:18" x14ac:dyDescent="0.25">
      <c r="A2117" s="170">
        <v>45121</v>
      </c>
      <c r="B2117" s="116">
        <v>7764.95</v>
      </c>
      <c r="C2117" s="116">
        <v>7734.05</v>
      </c>
      <c r="D2117" s="116">
        <v>7568.1</v>
      </c>
      <c r="E2117" s="116">
        <v>7568.1</v>
      </c>
      <c r="F2117" s="116">
        <v>7734.05</v>
      </c>
      <c r="G2117">
        <v>16656</v>
      </c>
      <c r="H2117" s="116"/>
      <c r="I2117" s="116"/>
      <c r="L2117" s="170">
        <v>45121</v>
      </c>
      <c r="M2117" s="116">
        <v>7730.75</v>
      </c>
      <c r="N2117" s="116">
        <v>7750</v>
      </c>
      <c r="O2117" s="116">
        <v>7577.9</v>
      </c>
      <c r="P2117" s="116">
        <v>7607.2</v>
      </c>
      <c r="Q2117" s="116">
        <v>7730.75</v>
      </c>
      <c r="R2117">
        <v>315095</v>
      </c>
    </row>
    <row r="2118" spans="1:18" x14ac:dyDescent="0.25">
      <c r="A2118" s="170">
        <v>45124</v>
      </c>
      <c r="B2118" s="116">
        <v>7849.95</v>
      </c>
      <c r="C2118" s="116">
        <v>7710.85</v>
      </c>
      <c r="D2118" s="116">
        <v>7666.7</v>
      </c>
      <c r="E2118" s="116">
        <v>7735.05</v>
      </c>
      <c r="F2118" s="116">
        <v>7710.85</v>
      </c>
      <c r="G2118">
        <v>29952</v>
      </c>
      <c r="H2118" s="116"/>
      <c r="I2118" s="116"/>
      <c r="L2118" s="170">
        <v>45124</v>
      </c>
      <c r="M2118" s="116">
        <v>7719.5</v>
      </c>
      <c r="N2118" s="116">
        <v>7846.5</v>
      </c>
      <c r="O2118" s="116">
        <v>7690</v>
      </c>
      <c r="P2118" s="116">
        <v>7766</v>
      </c>
      <c r="Q2118" s="116">
        <v>7719.5</v>
      </c>
      <c r="R2118">
        <v>198416</v>
      </c>
    </row>
    <row r="2119" spans="1:18" x14ac:dyDescent="0.25">
      <c r="A2119" s="170">
        <v>45125</v>
      </c>
      <c r="B2119" s="116">
        <v>7655.45</v>
      </c>
      <c r="C2119" s="116">
        <v>7542.85</v>
      </c>
      <c r="D2119" s="116">
        <v>7352.55</v>
      </c>
      <c r="E2119" s="116">
        <v>7379.95</v>
      </c>
      <c r="F2119" s="116">
        <v>7542.85</v>
      </c>
      <c r="G2119">
        <v>19588</v>
      </c>
      <c r="H2119" s="116"/>
      <c r="I2119" s="116"/>
      <c r="L2119" s="170">
        <v>45125</v>
      </c>
      <c r="M2119" s="116">
        <v>7542.75</v>
      </c>
      <c r="N2119" s="116">
        <v>7655</v>
      </c>
      <c r="O2119" s="116">
        <v>7345.05</v>
      </c>
      <c r="P2119" s="116">
        <v>7345.05</v>
      </c>
      <c r="Q2119" s="116">
        <v>7542.75</v>
      </c>
      <c r="R2119">
        <v>505141</v>
      </c>
    </row>
    <row r="2120" spans="1:18" x14ac:dyDescent="0.25">
      <c r="A2120" s="170">
        <v>45126</v>
      </c>
      <c r="B2120" s="116">
        <v>7595.65</v>
      </c>
      <c r="C2120" s="116">
        <v>7554.45</v>
      </c>
      <c r="D2120" s="116">
        <v>7515</v>
      </c>
      <c r="E2120" s="116">
        <v>7535</v>
      </c>
      <c r="F2120" s="116">
        <v>7554.45</v>
      </c>
      <c r="G2120">
        <v>14515</v>
      </c>
      <c r="H2120" s="116"/>
      <c r="I2120" s="116"/>
      <c r="L2120" s="170">
        <v>45126</v>
      </c>
      <c r="M2120" s="116">
        <v>7558.9</v>
      </c>
      <c r="N2120" s="116">
        <v>7595</v>
      </c>
      <c r="O2120" s="116">
        <v>7518</v>
      </c>
      <c r="P2120" s="116">
        <v>7540</v>
      </c>
      <c r="Q2120" s="116">
        <v>7558.9</v>
      </c>
      <c r="R2120">
        <v>132383</v>
      </c>
    </row>
    <row r="2121" spans="1:18" x14ac:dyDescent="0.25">
      <c r="A2121" s="170">
        <v>45127</v>
      </c>
      <c r="B2121" s="116">
        <v>7582.5</v>
      </c>
      <c r="C2121" s="116">
        <v>7504</v>
      </c>
      <c r="D2121" s="116">
        <v>7475.2</v>
      </c>
      <c r="E2121" s="116">
        <v>7560.05</v>
      </c>
      <c r="F2121" s="116">
        <v>7504</v>
      </c>
      <c r="G2121">
        <v>6740</v>
      </c>
      <c r="H2121" s="116"/>
      <c r="I2121" s="116"/>
      <c r="L2121" s="170">
        <v>45127</v>
      </c>
      <c r="M2121" s="116">
        <v>7494.3</v>
      </c>
      <c r="N2121" s="116">
        <v>7576.9</v>
      </c>
      <c r="O2121" s="116">
        <v>7480</v>
      </c>
      <c r="P2121" s="116">
        <v>7575</v>
      </c>
      <c r="Q2121" s="116">
        <v>7494.3</v>
      </c>
      <c r="R2121">
        <v>90406</v>
      </c>
    </row>
    <row r="2122" spans="1:18" x14ac:dyDescent="0.25">
      <c r="A2122" s="170">
        <v>45128</v>
      </c>
      <c r="B2122" s="116">
        <v>7456.65</v>
      </c>
      <c r="C2122" s="116">
        <v>7311.3</v>
      </c>
      <c r="D2122" s="116">
        <v>7300</v>
      </c>
      <c r="E2122" s="116">
        <v>7450.1</v>
      </c>
      <c r="F2122" s="116">
        <v>7311.3</v>
      </c>
      <c r="G2122">
        <v>24843</v>
      </c>
      <c r="H2122" s="116"/>
      <c r="I2122" s="116"/>
      <c r="L2122" s="170">
        <v>45128</v>
      </c>
      <c r="M2122" s="116">
        <v>7310.85</v>
      </c>
      <c r="N2122" s="116">
        <v>7450</v>
      </c>
      <c r="O2122" s="116">
        <v>7300</v>
      </c>
      <c r="P2122" s="116">
        <v>7450</v>
      </c>
      <c r="Q2122" s="116">
        <v>7310.85</v>
      </c>
      <c r="R2122">
        <v>190064</v>
      </c>
    </row>
    <row r="2123" spans="1:18" x14ac:dyDescent="0.25">
      <c r="A2123" s="170">
        <v>45131</v>
      </c>
      <c r="B2123" s="116">
        <v>7385.85</v>
      </c>
      <c r="C2123" s="116">
        <v>7253.85</v>
      </c>
      <c r="D2123" s="116">
        <v>7241</v>
      </c>
      <c r="E2123" s="116">
        <v>7365</v>
      </c>
      <c r="F2123" s="116">
        <v>7253.85</v>
      </c>
      <c r="G2123">
        <v>18852</v>
      </c>
      <c r="H2123" s="116"/>
      <c r="I2123" s="116"/>
      <c r="L2123" s="170">
        <v>45131</v>
      </c>
      <c r="M2123" s="116">
        <v>7256.7</v>
      </c>
      <c r="N2123" s="116">
        <v>7379.05</v>
      </c>
      <c r="O2123" s="116">
        <v>7241</v>
      </c>
      <c r="P2123" s="116">
        <v>7379.05</v>
      </c>
      <c r="Q2123" s="116">
        <v>7256.7</v>
      </c>
      <c r="R2123">
        <v>117088</v>
      </c>
    </row>
    <row r="2124" spans="1:18" x14ac:dyDescent="0.25">
      <c r="A2124" s="170">
        <v>45132</v>
      </c>
      <c r="B2124" s="116">
        <v>7289.25</v>
      </c>
      <c r="C2124" s="116">
        <v>7225.8</v>
      </c>
      <c r="D2124" s="116">
        <v>7201</v>
      </c>
      <c r="E2124" s="116">
        <v>7261.1</v>
      </c>
      <c r="F2124" s="116">
        <v>7225.8</v>
      </c>
      <c r="G2124">
        <v>5659</v>
      </c>
      <c r="H2124" s="116"/>
      <c r="I2124" s="116"/>
      <c r="L2124" s="170">
        <v>45132</v>
      </c>
      <c r="M2124" s="116">
        <v>7228.85</v>
      </c>
      <c r="N2124" s="116">
        <v>7289.95</v>
      </c>
      <c r="O2124" s="116">
        <v>7200.05</v>
      </c>
      <c r="P2124" s="116">
        <v>7289.95</v>
      </c>
      <c r="Q2124" s="116">
        <v>7228.85</v>
      </c>
      <c r="R2124">
        <v>113807</v>
      </c>
    </row>
    <row r="2125" spans="1:18" x14ac:dyDescent="0.25">
      <c r="A2125" s="170">
        <v>45133</v>
      </c>
      <c r="B2125" s="116">
        <v>7300</v>
      </c>
      <c r="C2125" s="116">
        <v>7226.1</v>
      </c>
      <c r="D2125" s="116">
        <v>7214</v>
      </c>
      <c r="E2125" s="116">
        <v>7300</v>
      </c>
      <c r="F2125" s="116">
        <v>7226.1</v>
      </c>
      <c r="G2125">
        <v>4688</v>
      </c>
      <c r="H2125" s="116"/>
      <c r="I2125" s="116"/>
      <c r="L2125" s="170">
        <v>45133</v>
      </c>
      <c r="M2125" s="116">
        <v>7226.7</v>
      </c>
      <c r="N2125" s="116">
        <v>7300</v>
      </c>
      <c r="O2125" s="116">
        <v>7212</v>
      </c>
      <c r="P2125" s="116">
        <v>7290</v>
      </c>
      <c r="Q2125" s="116">
        <v>7226.7</v>
      </c>
      <c r="R2125">
        <v>93794</v>
      </c>
    </row>
    <row r="2126" spans="1:18" x14ac:dyDescent="0.25">
      <c r="A2126" s="170">
        <v>45134</v>
      </c>
      <c r="B2126" s="116">
        <v>7349.95</v>
      </c>
      <c r="C2126" s="116">
        <v>7228.2</v>
      </c>
      <c r="D2126" s="116">
        <v>7215</v>
      </c>
      <c r="E2126" s="116">
        <v>7349.95</v>
      </c>
      <c r="F2126" s="116">
        <v>7228.2</v>
      </c>
      <c r="G2126">
        <v>3920</v>
      </c>
      <c r="H2126" s="116"/>
      <c r="I2126" s="116"/>
      <c r="L2126" s="170">
        <v>45134</v>
      </c>
      <c r="M2126" s="116">
        <v>7231.05</v>
      </c>
      <c r="N2126" s="116">
        <v>7269.95</v>
      </c>
      <c r="O2126" s="116">
        <v>7214.05</v>
      </c>
      <c r="P2126" s="116">
        <v>7254.05</v>
      </c>
      <c r="Q2126" s="116">
        <v>7231.05</v>
      </c>
      <c r="R2126">
        <v>74652</v>
      </c>
    </row>
    <row r="2127" spans="1:18" x14ac:dyDescent="0.25">
      <c r="A2127" s="170">
        <v>45135</v>
      </c>
      <c r="B2127" s="116">
        <v>7270.1</v>
      </c>
      <c r="C2127" s="116">
        <v>7215.95</v>
      </c>
      <c r="D2127" s="116">
        <v>7206.2</v>
      </c>
      <c r="E2127" s="116">
        <v>7270.1</v>
      </c>
      <c r="F2127" s="116">
        <v>7215.95</v>
      </c>
      <c r="G2127">
        <v>3752</v>
      </c>
      <c r="H2127" s="116"/>
      <c r="I2127" s="116"/>
      <c r="L2127" s="170">
        <v>45135</v>
      </c>
      <c r="M2127" s="116">
        <v>7223.05</v>
      </c>
      <c r="N2127" s="116">
        <v>7279.95</v>
      </c>
      <c r="O2127" s="116">
        <v>7205.05</v>
      </c>
      <c r="P2127" s="116">
        <v>7279.95</v>
      </c>
      <c r="Q2127" s="116">
        <v>7223.05</v>
      </c>
      <c r="R2127">
        <v>53585</v>
      </c>
    </row>
    <row r="2128" spans="1:18" x14ac:dyDescent="0.25">
      <c r="A2128" s="170">
        <v>45138</v>
      </c>
      <c r="B2128" s="116">
        <v>7254.55</v>
      </c>
      <c r="C2128" s="116">
        <v>7157.5</v>
      </c>
      <c r="D2128" s="116">
        <v>7145</v>
      </c>
      <c r="E2128" s="116">
        <v>7217.05</v>
      </c>
      <c r="F2128" s="116">
        <v>7157.5</v>
      </c>
      <c r="G2128">
        <v>5627</v>
      </c>
      <c r="H2128" s="116"/>
      <c r="I2128" s="116"/>
      <c r="L2128" s="170">
        <v>45138</v>
      </c>
      <c r="M2128" s="116">
        <v>7159.4</v>
      </c>
      <c r="N2128" s="116">
        <v>7250</v>
      </c>
      <c r="O2128" s="116">
        <v>7140</v>
      </c>
      <c r="P2128" s="116">
        <v>7229.95</v>
      </c>
      <c r="Q2128" s="116">
        <v>7159.4</v>
      </c>
      <c r="R2128">
        <v>141580</v>
      </c>
    </row>
    <row r="2129" spans="1:18" x14ac:dyDescent="0.25">
      <c r="A2129" s="170">
        <v>45139</v>
      </c>
      <c r="B2129" s="116">
        <v>7250</v>
      </c>
      <c r="C2129" s="116">
        <v>7178.35</v>
      </c>
      <c r="D2129" s="116">
        <v>7160.05</v>
      </c>
      <c r="E2129" s="116">
        <v>7160.05</v>
      </c>
      <c r="F2129" s="116">
        <v>7178.35</v>
      </c>
      <c r="G2129">
        <v>4226</v>
      </c>
      <c r="H2129" s="116"/>
      <c r="I2129" s="116"/>
      <c r="L2129" s="170">
        <v>45139</v>
      </c>
      <c r="M2129" s="116">
        <v>7185.05</v>
      </c>
      <c r="N2129" s="116">
        <v>7250</v>
      </c>
      <c r="O2129" s="116">
        <v>7160.1</v>
      </c>
      <c r="P2129" s="116">
        <v>7240</v>
      </c>
      <c r="Q2129" s="116">
        <v>7185.05</v>
      </c>
      <c r="R2129">
        <v>105750</v>
      </c>
    </row>
    <row r="2130" spans="1:18" x14ac:dyDescent="0.25">
      <c r="A2130" s="170">
        <v>45140</v>
      </c>
      <c r="B2130" s="116">
        <v>7243.55</v>
      </c>
      <c r="C2130" s="116">
        <v>7187.3</v>
      </c>
      <c r="D2130" s="116">
        <v>7157.2</v>
      </c>
      <c r="E2130" s="116">
        <v>7180.05</v>
      </c>
      <c r="F2130" s="116">
        <v>7187.3</v>
      </c>
      <c r="G2130">
        <v>4187</v>
      </c>
      <c r="H2130" s="116"/>
      <c r="I2130" s="116"/>
      <c r="L2130" s="170">
        <v>45140</v>
      </c>
      <c r="M2130" s="116">
        <v>7187.2</v>
      </c>
      <c r="N2130" s="116">
        <v>7239.5</v>
      </c>
      <c r="O2130" s="116">
        <v>7155.15</v>
      </c>
      <c r="P2130" s="116">
        <v>7199</v>
      </c>
      <c r="Q2130" s="116">
        <v>7187.2</v>
      </c>
      <c r="R2130">
        <v>81993</v>
      </c>
    </row>
    <row r="2131" spans="1:18" x14ac:dyDescent="0.25">
      <c r="A2131" s="170">
        <v>45141</v>
      </c>
      <c r="B2131" s="116">
        <v>7233</v>
      </c>
      <c r="C2131" s="116">
        <v>7167.1</v>
      </c>
      <c r="D2131" s="116">
        <v>7141</v>
      </c>
      <c r="E2131" s="116">
        <v>7155.05</v>
      </c>
      <c r="F2131" s="116">
        <v>7167.1</v>
      </c>
      <c r="G2131">
        <v>8408</v>
      </c>
      <c r="H2131" s="116"/>
      <c r="I2131" s="116"/>
      <c r="L2131" s="170">
        <v>45141</v>
      </c>
      <c r="M2131" s="116">
        <v>7168.85</v>
      </c>
      <c r="N2131" s="116">
        <v>7235</v>
      </c>
      <c r="O2131" s="116">
        <v>7145</v>
      </c>
      <c r="P2131" s="116">
        <v>7187.2</v>
      </c>
      <c r="Q2131" s="116">
        <v>7168.85</v>
      </c>
      <c r="R2131">
        <v>56859</v>
      </c>
    </row>
    <row r="2132" spans="1:18" x14ac:dyDescent="0.25">
      <c r="A2132" s="170">
        <v>45142</v>
      </c>
      <c r="B2132" s="116">
        <v>7218</v>
      </c>
      <c r="C2132" s="116">
        <v>7183.65</v>
      </c>
      <c r="D2132" s="116">
        <v>7167.1</v>
      </c>
      <c r="E2132" s="116">
        <v>7175.05</v>
      </c>
      <c r="F2132" s="116">
        <v>7183.65</v>
      </c>
      <c r="G2132">
        <v>3466</v>
      </c>
      <c r="H2132" s="116"/>
      <c r="I2132" s="116"/>
      <c r="L2132" s="170">
        <v>45142</v>
      </c>
      <c r="M2132" s="116">
        <v>7182.45</v>
      </c>
      <c r="N2132" s="116">
        <v>7217</v>
      </c>
      <c r="O2132" s="116">
        <v>7169.8</v>
      </c>
      <c r="P2132" s="116">
        <v>7200</v>
      </c>
      <c r="Q2132" s="116">
        <v>7182.45</v>
      </c>
      <c r="R2132">
        <v>76182</v>
      </c>
    </row>
    <row r="2133" spans="1:18" x14ac:dyDescent="0.25">
      <c r="A2133" s="170">
        <v>45145</v>
      </c>
      <c r="B2133" s="116">
        <v>7249.95</v>
      </c>
      <c r="C2133" s="116">
        <v>7178.45</v>
      </c>
      <c r="D2133" s="116">
        <v>7151.2</v>
      </c>
      <c r="E2133" s="116">
        <v>7249.95</v>
      </c>
      <c r="F2133" s="116">
        <v>7178.45</v>
      </c>
      <c r="G2133">
        <v>13256</v>
      </c>
      <c r="H2133" s="116"/>
      <c r="I2133" s="116"/>
      <c r="L2133" s="170">
        <v>45145</v>
      </c>
      <c r="M2133" s="116">
        <v>7177.9</v>
      </c>
      <c r="N2133" s="116">
        <v>7230</v>
      </c>
      <c r="O2133" s="116">
        <v>7156.05</v>
      </c>
      <c r="P2133" s="116">
        <v>7221.7</v>
      </c>
      <c r="Q2133" s="116">
        <v>7177.9</v>
      </c>
      <c r="R2133">
        <v>59673</v>
      </c>
    </row>
    <row r="2134" spans="1:18" x14ac:dyDescent="0.25">
      <c r="A2134" s="170">
        <v>45146</v>
      </c>
      <c r="B2134" s="116">
        <v>7225.1</v>
      </c>
      <c r="C2134" s="116">
        <v>7162.2</v>
      </c>
      <c r="D2134" s="116">
        <v>7143.3</v>
      </c>
      <c r="E2134" s="116">
        <v>7178.45</v>
      </c>
      <c r="F2134" s="116">
        <v>7162.2</v>
      </c>
      <c r="G2134">
        <v>7740</v>
      </c>
      <c r="H2134" s="116"/>
      <c r="I2134" s="116"/>
      <c r="L2134" s="170">
        <v>45146</v>
      </c>
      <c r="M2134" s="116">
        <v>7162</v>
      </c>
      <c r="N2134" s="116">
        <v>7224.8</v>
      </c>
      <c r="O2134" s="116">
        <v>7150</v>
      </c>
      <c r="P2134" s="116">
        <v>7177.9</v>
      </c>
      <c r="Q2134" s="116">
        <v>7162</v>
      </c>
      <c r="R2134">
        <v>56597</v>
      </c>
    </row>
    <row r="2135" spans="1:18" x14ac:dyDescent="0.25">
      <c r="A2135" s="170">
        <v>45147</v>
      </c>
      <c r="B2135" s="116">
        <v>7214.6</v>
      </c>
      <c r="C2135" s="116">
        <v>7158.85</v>
      </c>
      <c r="D2135" s="116">
        <v>7135</v>
      </c>
      <c r="E2135" s="116">
        <v>7162.3</v>
      </c>
      <c r="F2135" s="116">
        <v>7158.85</v>
      </c>
      <c r="G2135">
        <v>9558</v>
      </c>
      <c r="H2135" s="116"/>
      <c r="I2135" s="116"/>
      <c r="L2135" s="170">
        <v>45147</v>
      </c>
      <c r="M2135" s="116">
        <v>7159.95</v>
      </c>
      <c r="N2135" s="116">
        <v>7215</v>
      </c>
      <c r="O2135" s="116">
        <v>7135</v>
      </c>
      <c r="P2135" s="116">
        <v>7187</v>
      </c>
      <c r="Q2135" s="116">
        <v>7159.95</v>
      </c>
      <c r="R2135">
        <v>80609</v>
      </c>
    </row>
    <row r="2136" spans="1:18" x14ac:dyDescent="0.25">
      <c r="A2136" s="170">
        <v>45148</v>
      </c>
      <c r="B2136" s="116">
        <v>7162.35</v>
      </c>
      <c r="C2136" s="116">
        <v>7084.7</v>
      </c>
      <c r="D2136" s="116">
        <v>7080</v>
      </c>
      <c r="E2136" s="116">
        <v>7155</v>
      </c>
      <c r="F2136" s="116">
        <v>7084.7</v>
      </c>
      <c r="G2136">
        <v>3940</v>
      </c>
      <c r="H2136" s="116"/>
      <c r="I2136" s="116"/>
      <c r="L2136" s="170">
        <v>45148</v>
      </c>
      <c r="M2136" s="116">
        <v>7084.8</v>
      </c>
      <c r="N2136" s="116">
        <v>7166.1</v>
      </c>
      <c r="O2136" s="116">
        <v>7075</v>
      </c>
      <c r="P2136" s="116">
        <v>7159.5</v>
      </c>
      <c r="Q2136" s="116">
        <v>7084.8</v>
      </c>
      <c r="R2136">
        <v>104273</v>
      </c>
    </row>
    <row r="2137" spans="1:18" x14ac:dyDescent="0.25">
      <c r="A2137" s="170">
        <v>45149</v>
      </c>
      <c r="B2137" s="116">
        <v>7213.4</v>
      </c>
      <c r="C2137" s="116">
        <v>7110.3</v>
      </c>
      <c r="D2137" s="116">
        <v>7089.25</v>
      </c>
      <c r="E2137" s="116">
        <v>7126.95</v>
      </c>
      <c r="F2137" s="116">
        <v>7110.3</v>
      </c>
      <c r="G2137">
        <v>4181</v>
      </c>
      <c r="H2137" s="116"/>
      <c r="I2137" s="116"/>
      <c r="L2137" s="170">
        <v>45149</v>
      </c>
      <c r="M2137" s="116">
        <v>7113.75</v>
      </c>
      <c r="N2137" s="116">
        <v>7220</v>
      </c>
      <c r="O2137" s="116">
        <v>7090</v>
      </c>
      <c r="P2137" s="116">
        <v>7094.8</v>
      </c>
      <c r="Q2137" s="116">
        <v>7113.75</v>
      </c>
      <c r="R2137">
        <v>111517</v>
      </c>
    </row>
    <row r="2138" spans="1:18" x14ac:dyDescent="0.25">
      <c r="A2138" s="170">
        <v>45152</v>
      </c>
      <c r="B2138" s="116">
        <v>7208.35</v>
      </c>
      <c r="C2138" s="116">
        <v>7069.25</v>
      </c>
      <c r="D2138" s="116">
        <v>7054.35</v>
      </c>
      <c r="E2138" s="116">
        <v>7100.05</v>
      </c>
      <c r="F2138" s="116">
        <v>7069.25</v>
      </c>
      <c r="G2138">
        <v>4766</v>
      </c>
      <c r="H2138" s="116"/>
      <c r="I2138" s="116"/>
      <c r="L2138" s="170">
        <v>45152</v>
      </c>
      <c r="M2138" s="116">
        <v>7073.45</v>
      </c>
      <c r="N2138" s="116">
        <v>7208.85</v>
      </c>
      <c r="O2138" s="116">
        <v>7050</v>
      </c>
      <c r="P2138" s="116">
        <v>7113</v>
      </c>
      <c r="Q2138" s="116">
        <v>7073.45</v>
      </c>
      <c r="R2138">
        <v>101383</v>
      </c>
    </row>
    <row r="2139" spans="1:18" x14ac:dyDescent="0.25">
      <c r="A2139" s="170">
        <v>45154</v>
      </c>
      <c r="B2139" s="116">
        <v>7147.3</v>
      </c>
      <c r="C2139" s="116">
        <v>7067.5</v>
      </c>
      <c r="D2139" s="116">
        <v>7060</v>
      </c>
      <c r="E2139" s="116">
        <v>7071.15</v>
      </c>
      <c r="F2139" s="116">
        <v>7067.5</v>
      </c>
      <c r="G2139">
        <v>3706</v>
      </c>
      <c r="H2139" s="116"/>
      <c r="I2139" s="116"/>
      <c r="L2139" s="170">
        <v>45154</v>
      </c>
      <c r="M2139" s="116">
        <v>7065.6</v>
      </c>
      <c r="N2139" s="116">
        <v>7146.7</v>
      </c>
      <c r="O2139" s="116">
        <v>7060</v>
      </c>
      <c r="P2139" s="116">
        <v>7070</v>
      </c>
      <c r="Q2139" s="116">
        <v>7065.6</v>
      </c>
      <c r="R2139">
        <v>84469</v>
      </c>
    </row>
    <row r="2140" spans="1:18" x14ac:dyDescent="0.25">
      <c r="A2140" s="170">
        <v>45155</v>
      </c>
      <c r="B2140" s="116">
        <v>7129.25</v>
      </c>
      <c r="C2140" s="116">
        <v>7078.75</v>
      </c>
      <c r="D2140" s="116">
        <v>7056.05</v>
      </c>
      <c r="E2140" s="116">
        <v>7056.05</v>
      </c>
      <c r="F2140" s="116">
        <v>7078.75</v>
      </c>
      <c r="G2140">
        <v>8231</v>
      </c>
      <c r="H2140" s="116"/>
      <c r="I2140" s="116"/>
      <c r="L2140" s="170">
        <v>45155</v>
      </c>
      <c r="M2140" s="116">
        <v>7080.2</v>
      </c>
      <c r="N2140" s="116">
        <v>7129.95</v>
      </c>
      <c r="O2140" s="116">
        <v>7060</v>
      </c>
      <c r="P2140" s="116">
        <v>7075.15</v>
      </c>
      <c r="Q2140" s="116">
        <v>7080.2</v>
      </c>
      <c r="R2140">
        <v>59336</v>
      </c>
    </row>
    <row r="2141" spans="1:18" x14ac:dyDescent="0.25">
      <c r="A2141" s="170">
        <v>45156</v>
      </c>
      <c r="B2141" s="116">
        <v>7114.65</v>
      </c>
      <c r="C2141" s="116">
        <v>7008.55</v>
      </c>
      <c r="D2141" s="116">
        <v>6990.05</v>
      </c>
      <c r="E2141" s="116">
        <v>7078.75</v>
      </c>
      <c r="F2141" s="116">
        <v>7008.55</v>
      </c>
      <c r="G2141">
        <v>3502</v>
      </c>
      <c r="H2141" s="116"/>
      <c r="I2141" s="116"/>
      <c r="L2141" s="170">
        <v>45156</v>
      </c>
      <c r="M2141" s="116">
        <v>7008.15</v>
      </c>
      <c r="N2141" s="116">
        <v>7109.5</v>
      </c>
      <c r="O2141" s="116">
        <v>6992.05</v>
      </c>
      <c r="P2141" s="116">
        <v>7080</v>
      </c>
      <c r="Q2141" s="116">
        <v>7008.15</v>
      </c>
      <c r="R2141">
        <v>87087</v>
      </c>
    </row>
    <row r="2142" spans="1:18" x14ac:dyDescent="0.25">
      <c r="A2142" s="170">
        <v>45159</v>
      </c>
      <c r="B2142" s="116">
        <v>7070</v>
      </c>
      <c r="C2142" s="116">
        <v>7015.35</v>
      </c>
      <c r="D2142" s="116">
        <v>7001.6</v>
      </c>
      <c r="E2142" s="116">
        <v>7010</v>
      </c>
      <c r="F2142" s="116">
        <v>7015.35</v>
      </c>
      <c r="G2142">
        <v>9656</v>
      </c>
      <c r="H2142" s="116"/>
      <c r="I2142" s="116"/>
      <c r="L2142" s="170">
        <v>45159</v>
      </c>
      <c r="M2142" s="116">
        <v>7016.8</v>
      </c>
      <c r="N2142" s="116">
        <v>7065</v>
      </c>
      <c r="O2142" s="116">
        <v>7003.55</v>
      </c>
      <c r="P2142" s="116">
        <v>7010</v>
      </c>
      <c r="Q2142" s="116">
        <v>7016.8</v>
      </c>
      <c r="R2142">
        <v>54283</v>
      </c>
    </row>
    <row r="2143" spans="1:18" x14ac:dyDescent="0.25">
      <c r="A2143" s="170">
        <v>45160</v>
      </c>
      <c r="B2143" s="116">
        <v>7052</v>
      </c>
      <c r="C2143" s="116">
        <v>7022.5</v>
      </c>
      <c r="D2143" s="116">
        <v>7015.65</v>
      </c>
      <c r="E2143" s="116">
        <v>7028.95</v>
      </c>
      <c r="F2143" s="116">
        <v>7022.5</v>
      </c>
      <c r="G2143">
        <v>2385</v>
      </c>
      <c r="H2143" s="116"/>
      <c r="I2143" s="116"/>
      <c r="L2143" s="170">
        <v>45160</v>
      </c>
      <c r="M2143" s="116">
        <v>7024.05</v>
      </c>
      <c r="N2143" s="116">
        <v>7045</v>
      </c>
      <c r="O2143" s="116">
        <v>7016.8</v>
      </c>
      <c r="P2143" s="116">
        <v>7016.8</v>
      </c>
      <c r="Q2143" s="116">
        <v>7024.05</v>
      </c>
      <c r="R2143">
        <v>48289</v>
      </c>
    </row>
    <row r="2144" spans="1:18" x14ac:dyDescent="0.25">
      <c r="A2144" s="170">
        <v>45161</v>
      </c>
      <c r="B2144" s="116">
        <v>7188</v>
      </c>
      <c r="C2144" s="116">
        <v>7110.5</v>
      </c>
      <c r="D2144" s="116">
        <v>7039.95</v>
      </c>
      <c r="E2144" s="116">
        <v>7039.95</v>
      </c>
      <c r="F2144" s="116">
        <v>7110.5</v>
      </c>
      <c r="G2144">
        <v>7294</v>
      </c>
      <c r="H2144" s="116"/>
      <c r="I2144" s="116"/>
      <c r="L2144" s="170">
        <v>45161</v>
      </c>
      <c r="M2144" s="116">
        <v>7106.75</v>
      </c>
      <c r="N2144" s="116">
        <v>7188</v>
      </c>
      <c r="O2144" s="116">
        <v>7024.05</v>
      </c>
      <c r="P2144" s="116">
        <v>7024.05</v>
      </c>
      <c r="Q2144" s="116">
        <v>7106.75</v>
      </c>
      <c r="R2144">
        <v>149840</v>
      </c>
    </row>
    <row r="2145" spans="1:18" x14ac:dyDescent="0.25">
      <c r="A2145" s="170">
        <v>45162</v>
      </c>
      <c r="B2145" s="116">
        <v>7290</v>
      </c>
      <c r="C2145" s="116">
        <v>7278.55</v>
      </c>
      <c r="D2145" s="116">
        <v>7203.25</v>
      </c>
      <c r="E2145" s="116">
        <v>7244.95</v>
      </c>
      <c r="F2145" s="116">
        <v>7278.55</v>
      </c>
      <c r="G2145">
        <v>27919</v>
      </c>
      <c r="H2145" s="116"/>
      <c r="I2145" s="116"/>
      <c r="L2145" s="170">
        <v>45162</v>
      </c>
      <c r="M2145" s="116">
        <v>7278.65</v>
      </c>
      <c r="N2145" s="116">
        <v>7290</v>
      </c>
      <c r="O2145" s="116">
        <v>7215</v>
      </c>
      <c r="P2145" s="116">
        <v>7230</v>
      </c>
      <c r="Q2145" s="116">
        <v>7278.65</v>
      </c>
      <c r="R2145">
        <v>219977</v>
      </c>
    </row>
    <row r="2146" spans="1:18" x14ac:dyDescent="0.25">
      <c r="A2146" s="170">
        <v>45163</v>
      </c>
      <c r="B2146" s="116">
        <v>7326.5</v>
      </c>
      <c r="C2146" s="116">
        <v>7301.45</v>
      </c>
      <c r="D2146" s="116">
        <v>7229.95</v>
      </c>
      <c r="E2146" s="116">
        <v>7272</v>
      </c>
      <c r="F2146" s="116">
        <v>7301.45</v>
      </c>
      <c r="G2146">
        <v>6609</v>
      </c>
      <c r="H2146" s="116"/>
      <c r="I2146" s="116"/>
      <c r="L2146" s="170">
        <v>45163</v>
      </c>
      <c r="M2146" s="116">
        <v>7301.45</v>
      </c>
      <c r="N2146" s="116">
        <v>7325</v>
      </c>
      <c r="O2146" s="116">
        <v>7223.3</v>
      </c>
      <c r="P2146" s="116">
        <v>7279</v>
      </c>
      <c r="Q2146" s="116">
        <v>7301.45</v>
      </c>
      <c r="R2146">
        <v>131217</v>
      </c>
    </row>
    <row r="2147" spans="1:18" x14ac:dyDescent="0.25">
      <c r="A2147" s="170">
        <v>45166</v>
      </c>
      <c r="B2147" s="116">
        <v>7385</v>
      </c>
      <c r="C2147" s="116">
        <v>7371.7</v>
      </c>
      <c r="D2147" s="116">
        <v>7303.3</v>
      </c>
      <c r="E2147" s="116">
        <v>7320.05</v>
      </c>
      <c r="F2147" s="116">
        <v>7371.7</v>
      </c>
      <c r="G2147">
        <v>13182</v>
      </c>
      <c r="H2147" s="116"/>
      <c r="I2147" s="116"/>
      <c r="L2147" s="170">
        <v>45166</v>
      </c>
      <c r="M2147" s="116">
        <v>7374.15</v>
      </c>
      <c r="N2147" s="116">
        <v>7389.9</v>
      </c>
      <c r="O2147" s="116">
        <v>7302.9</v>
      </c>
      <c r="P2147" s="116">
        <v>7330</v>
      </c>
      <c r="Q2147" s="116">
        <v>7374.15</v>
      </c>
      <c r="R2147">
        <v>101737</v>
      </c>
    </row>
    <row r="2148" spans="1:18" x14ac:dyDescent="0.25">
      <c r="A2148" s="170">
        <v>45167</v>
      </c>
      <c r="B2148" s="116">
        <v>7396.8</v>
      </c>
      <c r="C2148" s="116">
        <v>7385.35</v>
      </c>
      <c r="D2148" s="116">
        <v>7279.55</v>
      </c>
      <c r="E2148" s="116">
        <v>7372.3</v>
      </c>
      <c r="F2148" s="116">
        <v>7385.35</v>
      </c>
      <c r="G2148">
        <v>5200</v>
      </c>
      <c r="H2148" s="116"/>
      <c r="I2148" s="116"/>
      <c r="L2148" s="170">
        <v>45167</v>
      </c>
      <c r="M2148" s="116">
        <v>7383.35</v>
      </c>
      <c r="N2148" s="116">
        <v>7397</v>
      </c>
      <c r="O2148" s="116">
        <v>7280</v>
      </c>
      <c r="P2148" s="116">
        <v>7389</v>
      </c>
      <c r="Q2148" s="116">
        <v>7383.35</v>
      </c>
      <c r="R2148">
        <v>110039</v>
      </c>
    </row>
    <row r="2149" spans="1:18" x14ac:dyDescent="0.25">
      <c r="A2149" s="170">
        <v>45168</v>
      </c>
      <c r="B2149" s="116">
        <v>7420</v>
      </c>
      <c r="C2149" s="116">
        <v>7398.7</v>
      </c>
      <c r="D2149" s="116">
        <v>7364.8</v>
      </c>
      <c r="E2149" s="116">
        <v>7400.05</v>
      </c>
      <c r="F2149" s="116">
        <v>7398.7</v>
      </c>
      <c r="G2149">
        <v>56638</v>
      </c>
      <c r="H2149" s="116"/>
      <c r="I2149" s="116"/>
      <c r="L2149" s="170">
        <v>45168</v>
      </c>
      <c r="M2149" s="116">
        <v>7402.05</v>
      </c>
      <c r="N2149" s="116">
        <v>7419.9</v>
      </c>
      <c r="O2149" s="116">
        <v>7371</v>
      </c>
      <c r="P2149" s="116">
        <v>7412</v>
      </c>
      <c r="Q2149" s="116">
        <v>7402.05</v>
      </c>
      <c r="R2149">
        <v>82450</v>
      </c>
    </row>
    <row r="2150" spans="1:18" x14ac:dyDescent="0.25">
      <c r="A2150" s="170">
        <v>45169</v>
      </c>
      <c r="B2150" s="116">
        <v>7421</v>
      </c>
      <c r="C2150" s="116">
        <v>7246.2</v>
      </c>
      <c r="D2150" s="116">
        <v>7054</v>
      </c>
      <c r="E2150" s="116">
        <v>7403.05</v>
      </c>
      <c r="F2150" s="116">
        <v>7246.2</v>
      </c>
      <c r="G2150">
        <v>7140</v>
      </c>
      <c r="H2150" s="116"/>
      <c r="I2150" s="116"/>
      <c r="L2150" s="170">
        <v>45169</v>
      </c>
      <c r="M2150" s="116">
        <v>7247.1</v>
      </c>
      <c r="N2150" s="116">
        <v>7424</v>
      </c>
      <c r="O2150" s="116">
        <v>7053.5</v>
      </c>
      <c r="P2150" s="116">
        <v>7419.95</v>
      </c>
      <c r="Q2150" s="116">
        <v>7247.1</v>
      </c>
      <c r="R2150">
        <v>225869</v>
      </c>
    </row>
    <row r="2151" spans="1:18" x14ac:dyDescent="0.25">
      <c r="A2151" s="170">
        <v>45170</v>
      </c>
      <c r="B2151" s="116">
        <v>7310</v>
      </c>
      <c r="C2151" s="116">
        <v>7283.45</v>
      </c>
      <c r="D2151" s="116">
        <v>7195.8</v>
      </c>
      <c r="E2151" s="116">
        <v>7250</v>
      </c>
      <c r="F2151" s="116">
        <v>7283.45</v>
      </c>
      <c r="G2151">
        <v>4064</v>
      </c>
      <c r="H2151" s="116"/>
      <c r="I2151" s="116"/>
      <c r="L2151" s="170">
        <v>45170</v>
      </c>
      <c r="M2151" s="116">
        <v>7284.1</v>
      </c>
      <c r="N2151" s="116">
        <v>7318.9</v>
      </c>
      <c r="O2151" s="116">
        <v>7201.05</v>
      </c>
      <c r="P2151" s="116">
        <v>7300</v>
      </c>
      <c r="Q2151" s="116">
        <v>7284.1</v>
      </c>
      <c r="R2151">
        <v>98424</v>
      </c>
    </row>
    <row r="2152" spans="1:18" x14ac:dyDescent="0.25">
      <c r="A2152" s="170">
        <v>45173</v>
      </c>
      <c r="B2152" s="116">
        <v>7329.8</v>
      </c>
      <c r="C2152" s="116">
        <v>7318.85</v>
      </c>
      <c r="D2152" s="116">
        <v>7225</v>
      </c>
      <c r="E2152" s="116">
        <v>7290.9</v>
      </c>
      <c r="F2152" s="116">
        <v>7318.85</v>
      </c>
      <c r="G2152">
        <v>4162</v>
      </c>
      <c r="H2152" s="116"/>
      <c r="I2152" s="116"/>
      <c r="L2152" s="170">
        <v>45173</v>
      </c>
      <c r="M2152" s="116">
        <v>7319.8</v>
      </c>
      <c r="N2152" s="116">
        <v>7330.55</v>
      </c>
      <c r="O2152" s="116">
        <v>7219.95</v>
      </c>
      <c r="P2152" s="116">
        <v>7310</v>
      </c>
      <c r="Q2152" s="116">
        <v>7319.8</v>
      </c>
      <c r="R2152">
        <v>100661</v>
      </c>
    </row>
    <row r="2153" spans="1:18" x14ac:dyDescent="0.25">
      <c r="A2153" s="170">
        <v>45174</v>
      </c>
      <c r="B2153" s="116">
        <v>7442.55</v>
      </c>
      <c r="C2153" s="116">
        <v>7406</v>
      </c>
      <c r="D2153" s="116">
        <v>7255.05</v>
      </c>
      <c r="E2153" s="116">
        <v>7255.05</v>
      </c>
      <c r="F2153" s="116">
        <v>7406</v>
      </c>
      <c r="G2153">
        <v>6612</v>
      </c>
      <c r="H2153" s="116"/>
      <c r="I2153" s="116"/>
      <c r="L2153" s="170">
        <v>45174</v>
      </c>
      <c r="M2153" s="116">
        <v>7405.3</v>
      </c>
      <c r="N2153" s="116">
        <v>7440</v>
      </c>
      <c r="O2153" s="116">
        <v>7280</v>
      </c>
      <c r="P2153" s="116">
        <v>7280</v>
      </c>
      <c r="Q2153" s="116">
        <v>7405.3</v>
      </c>
      <c r="R2153">
        <v>211914</v>
      </c>
    </row>
    <row r="2154" spans="1:18" x14ac:dyDescent="0.25">
      <c r="A2154" s="170">
        <v>45175</v>
      </c>
      <c r="B2154" s="116">
        <v>7463.95</v>
      </c>
      <c r="C2154" s="116">
        <v>7356.4</v>
      </c>
      <c r="D2154" s="116">
        <v>7339.35</v>
      </c>
      <c r="E2154" s="116">
        <v>7425</v>
      </c>
      <c r="F2154" s="116">
        <v>7356.4</v>
      </c>
      <c r="G2154">
        <v>11167</v>
      </c>
      <c r="H2154" s="116"/>
      <c r="I2154" s="116"/>
      <c r="L2154" s="170">
        <v>45175</v>
      </c>
      <c r="M2154" s="116">
        <v>7356.2</v>
      </c>
      <c r="N2154" s="116">
        <v>7465</v>
      </c>
      <c r="O2154" s="116">
        <v>7335</v>
      </c>
      <c r="P2154" s="116">
        <v>7442.25</v>
      </c>
      <c r="Q2154" s="116">
        <v>7356.2</v>
      </c>
      <c r="R2154">
        <v>72454</v>
      </c>
    </row>
    <row r="2155" spans="1:18" x14ac:dyDescent="0.25">
      <c r="A2155" s="170">
        <v>45176</v>
      </c>
      <c r="B2155" s="116">
        <v>7440</v>
      </c>
      <c r="C2155" s="116">
        <v>7399.85</v>
      </c>
      <c r="D2155" s="116">
        <v>7316.6</v>
      </c>
      <c r="E2155" s="116">
        <v>7330.55</v>
      </c>
      <c r="F2155" s="116">
        <v>7399.85</v>
      </c>
      <c r="G2155">
        <v>13648</v>
      </c>
      <c r="H2155" s="116"/>
      <c r="I2155" s="116"/>
      <c r="L2155" s="170">
        <v>45176</v>
      </c>
      <c r="M2155" s="116">
        <v>7399.05</v>
      </c>
      <c r="N2155" s="116">
        <v>7442</v>
      </c>
      <c r="O2155" s="116">
        <v>7320.05</v>
      </c>
      <c r="P2155" s="116">
        <v>7354</v>
      </c>
      <c r="Q2155" s="116">
        <v>7399.05</v>
      </c>
      <c r="R2155">
        <v>137742</v>
      </c>
    </row>
    <row r="2156" spans="1:18" x14ac:dyDescent="0.25">
      <c r="A2156" s="170">
        <v>45177</v>
      </c>
      <c r="B2156" s="116">
        <v>7435.7</v>
      </c>
      <c r="C2156" s="116">
        <v>7364.85</v>
      </c>
      <c r="D2156" s="116">
        <v>7360</v>
      </c>
      <c r="E2156" s="116">
        <v>7425</v>
      </c>
      <c r="F2156" s="116">
        <v>7364.85</v>
      </c>
      <c r="G2156">
        <v>11191</v>
      </c>
      <c r="H2156" s="116"/>
      <c r="I2156" s="116"/>
      <c r="L2156" s="170">
        <v>45177</v>
      </c>
      <c r="M2156" s="116">
        <v>7366.2</v>
      </c>
      <c r="N2156" s="116">
        <v>7443.95</v>
      </c>
      <c r="O2156" s="116">
        <v>7355</v>
      </c>
      <c r="P2156" s="116">
        <v>7409.9</v>
      </c>
      <c r="Q2156" s="116">
        <v>7366.2</v>
      </c>
      <c r="R2156">
        <v>60782</v>
      </c>
    </row>
    <row r="2157" spans="1:18" x14ac:dyDescent="0.25">
      <c r="A2157" s="170">
        <v>45180</v>
      </c>
      <c r="B2157" s="116">
        <v>7420</v>
      </c>
      <c r="C2157" s="116">
        <v>7403.45</v>
      </c>
      <c r="D2157" s="116">
        <v>7368</v>
      </c>
      <c r="E2157" s="116">
        <v>7368</v>
      </c>
      <c r="F2157" s="116">
        <v>7403.45</v>
      </c>
      <c r="G2157">
        <v>7571</v>
      </c>
      <c r="H2157" s="116"/>
      <c r="I2157" s="116"/>
      <c r="L2157" s="170">
        <v>45180</v>
      </c>
      <c r="M2157" s="116">
        <v>7402.15</v>
      </c>
      <c r="N2157" s="116">
        <v>7424.95</v>
      </c>
      <c r="O2157" s="116">
        <v>7370</v>
      </c>
      <c r="P2157" s="116">
        <v>7370</v>
      </c>
      <c r="Q2157" s="116">
        <v>7402.15</v>
      </c>
      <c r="R2157">
        <v>103972</v>
      </c>
    </row>
    <row r="2158" spans="1:18" x14ac:dyDescent="0.25">
      <c r="A2158" s="170">
        <v>45181</v>
      </c>
      <c r="B2158" s="116">
        <v>7429.2</v>
      </c>
      <c r="C2158" s="116">
        <v>7365.2</v>
      </c>
      <c r="D2158" s="116">
        <v>7232.3</v>
      </c>
      <c r="E2158" s="116">
        <v>7415</v>
      </c>
      <c r="F2158" s="116">
        <v>7365.2</v>
      </c>
      <c r="G2158">
        <v>17691</v>
      </c>
      <c r="H2158" s="116"/>
      <c r="I2158" s="116"/>
      <c r="L2158" s="170">
        <v>45181</v>
      </c>
      <c r="M2158" s="116">
        <v>7366.85</v>
      </c>
      <c r="N2158" s="116">
        <v>7430</v>
      </c>
      <c r="O2158" s="116">
        <v>7253</v>
      </c>
      <c r="P2158" s="116">
        <v>7410</v>
      </c>
      <c r="Q2158" s="116">
        <v>7366.85</v>
      </c>
      <c r="R2158">
        <v>111611</v>
      </c>
    </row>
    <row r="2159" spans="1:18" x14ac:dyDescent="0.25">
      <c r="A2159" s="170">
        <v>45182</v>
      </c>
      <c r="B2159" s="116">
        <v>7359.95</v>
      </c>
      <c r="C2159" s="116">
        <v>7263.85</v>
      </c>
      <c r="D2159" s="116">
        <v>7248</v>
      </c>
      <c r="E2159" s="116">
        <v>7340.05</v>
      </c>
      <c r="F2159" s="116">
        <v>7263.85</v>
      </c>
      <c r="G2159">
        <v>5992</v>
      </c>
      <c r="H2159" s="116"/>
      <c r="I2159" s="116"/>
      <c r="L2159" s="170">
        <v>45182</v>
      </c>
      <c r="M2159" s="116">
        <v>7264.4</v>
      </c>
      <c r="N2159" s="116">
        <v>7359.85</v>
      </c>
      <c r="O2159" s="116">
        <v>7252.1</v>
      </c>
      <c r="P2159" s="116">
        <v>7358</v>
      </c>
      <c r="Q2159" s="116">
        <v>7264.4</v>
      </c>
      <c r="R2159">
        <v>105616</v>
      </c>
    </row>
    <row r="2160" spans="1:18" x14ac:dyDescent="0.25">
      <c r="A2160" s="170">
        <v>45183</v>
      </c>
      <c r="B2160" s="116">
        <v>7350</v>
      </c>
      <c r="C2160" s="116">
        <v>7310</v>
      </c>
      <c r="D2160" s="116">
        <v>7284.9</v>
      </c>
      <c r="E2160" s="116">
        <v>7324.95</v>
      </c>
      <c r="F2160" s="116">
        <v>7310</v>
      </c>
      <c r="G2160">
        <v>3492</v>
      </c>
      <c r="H2160" s="116"/>
      <c r="I2160" s="116"/>
      <c r="L2160" s="170">
        <v>45183</v>
      </c>
      <c r="M2160" s="116">
        <v>7310.65</v>
      </c>
      <c r="N2160" s="116">
        <v>7348</v>
      </c>
      <c r="O2160" s="116">
        <v>7285</v>
      </c>
      <c r="P2160" s="116">
        <v>7300</v>
      </c>
      <c r="Q2160" s="116">
        <v>7310.65</v>
      </c>
      <c r="R2160">
        <v>47205</v>
      </c>
    </row>
    <row r="2161" spans="1:18" x14ac:dyDescent="0.25">
      <c r="A2161" s="170">
        <v>45184</v>
      </c>
      <c r="B2161" s="116">
        <v>7363.25</v>
      </c>
      <c r="C2161" s="116">
        <v>7232.7</v>
      </c>
      <c r="D2161" s="116">
        <v>7201.15</v>
      </c>
      <c r="E2161" s="116">
        <v>7347.6</v>
      </c>
      <c r="F2161" s="116">
        <v>7232.7</v>
      </c>
      <c r="G2161">
        <v>3544</v>
      </c>
      <c r="H2161" s="116"/>
      <c r="I2161" s="116"/>
      <c r="L2161" s="170">
        <v>45184</v>
      </c>
      <c r="M2161" s="116">
        <v>7234.65</v>
      </c>
      <c r="N2161" s="116">
        <v>7360</v>
      </c>
      <c r="O2161" s="116">
        <v>7201.05</v>
      </c>
      <c r="P2161" s="116">
        <v>7332</v>
      </c>
      <c r="Q2161" s="116">
        <v>7234.65</v>
      </c>
      <c r="R2161">
        <v>92775</v>
      </c>
    </row>
    <row r="2162" spans="1:18" x14ac:dyDescent="0.25">
      <c r="A2162" s="170">
        <v>45187</v>
      </c>
      <c r="B2162" s="116">
        <v>7316.6</v>
      </c>
      <c r="C2162" s="116">
        <v>7284.35</v>
      </c>
      <c r="D2162" s="116">
        <v>7235.1</v>
      </c>
      <c r="E2162" s="116">
        <v>7235.1</v>
      </c>
      <c r="F2162" s="116">
        <v>7284.35</v>
      </c>
      <c r="G2162">
        <v>4042</v>
      </c>
      <c r="H2162" s="116"/>
      <c r="I2162" s="116"/>
      <c r="L2162" s="170">
        <v>45187</v>
      </c>
      <c r="M2162" s="116">
        <v>7288.15</v>
      </c>
      <c r="N2162" s="116">
        <v>7316</v>
      </c>
      <c r="O2162" s="116">
        <v>7239</v>
      </c>
      <c r="P2162" s="116">
        <v>7260</v>
      </c>
      <c r="Q2162" s="116">
        <v>7288.15</v>
      </c>
      <c r="R2162">
        <v>65434</v>
      </c>
    </row>
    <row r="2163" spans="1:18" x14ac:dyDescent="0.25">
      <c r="A2163" s="170">
        <v>45189</v>
      </c>
      <c r="B2163" s="116">
        <v>7313.8</v>
      </c>
      <c r="C2163" s="116">
        <v>7305.95</v>
      </c>
      <c r="D2163" s="116">
        <v>7225.65</v>
      </c>
      <c r="E2163" s="116">
        <v>7260.05</v>
      </c>
      <c r="F2163" s="116">
        <v>7305.95</v>
      </c>
      <c r="G2163">
        <v>15403</v>
      </c>
      <c r="H2163" s="116"/>
      <c r="I2163" s="116"/>
      <c r="L2163" s="170">
        <v>45189</v>
      </c>
      <c r="M2163" s="116">
        <v>7301.9</v>
      </c>
      <c r="N2163" s="116">
        <v>7311</v>
      </c>
      <c r="O2163" s="116">
        <v>7230</v>
      </c>
      <c r="P2163" s="116">
        <v>7268.95</v>
      </c>
      <c r="Q2163" s="116">
        <v>7301.9</v>
      </c>
      <c r="R2163">
        <v>61657</v>
      </c>
    </row>
    <row r="2164" spans="1:18" x14ac:dyDescent="0.25">
      <c r="A2164" s="170">
        <v>45190</v>
      </c>
      <c r="B2164" s="116">
        <v>7305.95</v>
      </c>
      <c r="C2164" s="116">
        <v>7281.25</v>
      </c>
      <c r="D2164" s="116">
        <v>7219.5</v>
      </c>
      <c r="E2164" s="116">
        <v>7305.95</v>
      </c>
      <c r="F2164" s="116">
        <v>7281.25</v>
      </c>
      <c r="G2164">
        <v>8097</v>
      </c>
      <c r="H2164" s="116"/>
      <c r="I2164" s="116"/>
      <c r="L2164" s="170">
        <v>45190</v>
      </c>
      <c r="M2164" s="116">
        <v>7285.95</v>
      </c>
      <c r="N2164" s="116">
        <v>7303</v>
      </c>
      <c r="O2164" s="116">
        <v>7222</v>
      </c>
      <c r="P2164" s="116">
        <v>7300</v>
      </c>
      <c r="Q2164" s="116">
        <v>7285.95</v>
      </c>
      <c r="R2164">
        <v>64624</v>
      </c>
    </row>
    <row r="2165" spans="1:18" x14ac:dyDescent="0.25">
      <c r="A2165" s="170">
        <v>45191</v>
      </c>
      <c r="B2165" s="116">
        <v>7315.55</v>
      </c>
      <c r="C2165" s="116">
        <v>7255.1</v>
      </c>
      <c r="D2165" s="116">
        <v>7240</v>
      </c>
      <c r="E2165" s="116">
        <v>7299.5</v>
      </c>
      <c r="F2165" s="116">
        <v>7255.1</v>
      </c>
      <c r="G2165">
        <v>1625</v>
      </c>
      <c r="H2165" s="116"/>
      <c r="I2165" s="116"/>
      <c r="L2165" s="170">
        <v>45191</v>
      </c>
      <c r="M2165" s="116">
        <v>7254.85</v>
      </c>
      <c r="N2165" s="116">
        <v>7317</v>
      </c>
      <c r="O2165" s="116">
        <v>7240</v>
      </c>
      <c r="P2165" s="116">
        <v>7308.95</v>
      </c>
      <c r="Q2165" s="116">
        <v>7254.85</v>
      </c>
      <c r="R2165">
        <v>35750</v>
      </c>
    </row>
    <row r="2166" spans="1:18" x14ac:dyDescent="0.25">
      <c r="A2166" s="170">
        <v>45194</v>
      </c>
      <c r="B2166" s="116">
        <v>7290</v>
      </c>
      <c r="C2166" s="116">
        <v>7267.1</v>
      </c>
      <c r="D2166" s="116">
        <v>7220</v>
      </c>
      <c r="E2166" s="116">
        <v>7260.05</v>
      </c>
      <c r="F2166" s="116">
        <v>7267.1</v>
      </c>
      <c r="G2166">
        <v>8061</v>
      </c>
      <c r="H2166" s="116"/>
      <c r="I2166" s="116"/>
      <c r="L2166" s="170">
        <v>45194</v>
      </c>
      <c r="M2166" s="116">
        <v>7267.75</v>
      </c>
      <c r="N2166" s="116">
        <v>7290.25</v>
      </c>
      <c r="O2166" s="116">
        <v>7220.7</v>
      </c>
      <c r="P2166" s="116">
        <v>7271.95</v>
      </c>
      <c r="Q2166" s="116">
        <v>7267.75</v>
      </c>
      <c r="R2166">
        <v>45714</v>
      </c>
    </row>
    <row r="2167" spans="1:18" x14ac:dyDescent="0.25">
      <c r="A2167" s="170">
        <v>45195</v>
      </c>
      <c r="B2167" s="116">
        <v>7366</v>
      </c>
      <c r="C2167" s="116">
        <v>7311.85</v>
      </c>
      <c r="D2167" s="116">
        <v>7251.3</v>
      </c>
      <c r="E2167" s="116">
        <v>7289.95</v>
      </c>
      <c r="F2167" s="116">
        <v>7311.85</v>
      </c>
      <c r="G2167">
        <v>6929</v>
      </c>
      <c r="H2167" s="116"/>
      <c r="I2167" s="116"/>
      <c r="L2167" s="170">
        <v>45195</v>
      </c>
      <c r="M2167" s="116">
        <v>7310.9</v>
      </c>
      <c r="N2167" s="116">
        <v>7374</v>
      </c>
      <c r="O2167" s="116">
        <v>7240.15</v>
      </c>
      <c r="P2167" s="116">
        <v>7270</v>
      </c>
      <c r="Q2167" s="116">
        <v>7310.9</v>
      </c>
      <c r="R2167">
        <v>74758</v>
      </c>
    </row>
    <row r="2168" spans="1:18" x14ac:dyDescent="0.25">
      <c r="A2168" s="170">
        <v>45196</v>
      </c>
      <c r="B2168" s="116">
        <v>7325.8</v>
      </c>
      <c r="C2168" s="116">
        <v>7300.3</v>
      </c>
      <c r="D2168" s="116">
        <v>7250</v>
      </c>
      <c r="E2168" s="116">
        <v>7300.05</v>
      </c>
      <c r="F2168" s="116">
        <v>7300.3</v>
      </c>
      <c r="G2168">
        <v>7792</v>
      </c>
      <c r="H2168" s="116"/>
      <c r="I2168" s="116"/>
      <c r="L2168" s="170">
        <v>45196</v>
      </c>
      <c r="M2168" s="116">
        <v>7301.7</v>
      </c>
      <c r="N2168" s="116">
        <v>7329.95</v>
      </c>
      <c r="O2168" s="116">
        <v>7239.55</v>
      </c>
      <c r="P2168" s="116">
        <v>7310.9</v>
      </c>
      <c r="Q2168" s="116">
        <v>7301.7</v>
      </c>
      <c r="R2168">
        <v>48873</v>
      </c>
    </row>
    <row r="2169" spans="1:18" x14ac:dyDescent="0.25">
      <c r="A2169" s="170">
        <v>45197</v>
      </c>
      <c r="B2169" s="116">
        <v>7339</v>
      </c>
      <c r="C2169" s="116">
        <v>7226.75</v>
      </c>
      <c r="D2169" s="116">
        <v>7209.05</v>
      </c>
      <c r="E2169" s="116">
        <v>7301.75</v>
      </c>
      <c r="F2169" s="116">
        <v>7226.75</v>
      </c>
      <c r="G2169">
        <v>2628</v>
      </c>
      <c r="H2169" s="116"/>
      <c r="I2169" s="116"/>
      <c r="L2169" s="170">
        <v>45197</v>
      </c>
      <c r="M2169" s="116">
        <v>7228</v>
      </c>
      <c r="N2169" s="116">
        <v>7339</v>
      </c>
      <c r="O2169" s="116">
        <v>7205</v>
      </c>
      <c r="P2169" s="116">
        <v>7339</v>
      </c>
      <c r="Q2169" s="116">
        <v>7228</v>
      </c>
      <c r="R2169">
        <v>46573</v>
      </c>
    </row>
    <row r="2170" spans="1:18" x14ac:dyDescent="0.25">
      <c r="A2170" s="170">
        <v>45198</v>
      </c>
      <c r="B2170" s="116">
        <v>7279.95</v>
      </c>
      <c r="C2170" s="116">
        <v>7220.8</v>
      </c>
      <c r="D2170" s="116">
        <v>7202.75</v>
      </c>
      <c r="E2170" s="116">
        <v>7279.95</v>
      </c>
      <c r="F2170" s="116">
        <v>7220.8</v>
      </c>
      <c r="G2170">
        <v>2536</v>
      </c>
      <c r="H2170" s="116"/>
      <c r="I2170" s="116"/>
      <c r="L2170" s="170">
        <v>45198</v>
      </c>
      <c r="M2170" s="116">
        <v>7227.15</v>
      </c>
      <c r="N2170" s="116">
        <v>7264</v>
      </c>
      <c r="O2170" s="116">
        <v>7206</v>
      </c>
      <c r="P2170" s="116">
        <v>7248</v>
      </c>
      <c r="Q2170" s="116">
        <v>7227.15</v>
      </c>
      <c r="R2170">
        <v>50735</v>
      </c>
    </row>
    <row r="2171" spans="1:18" x14ac:dyDescent="0.25">
      <c r="A2171" s="170">
        <v>45202</v>
      </c>
      <c r="B2171" s="116">
        <v>7267</v>
      </c>
      <c r="C2171" s="116">
        <v>7213.1</v>
      </c>
      <c r="D2171" s="116">
        <v>7175</v>
      </c>
      <c r="E2171" s="116">
        <v>7245.05</v>
      </c>
      <c r="F2171" s="116">
        <v>7213.1</v>
      </c>
      <c r="G2171">
        <v>3055</v>
      </c>
      <c r="H2171" s="116"/>
      <c r="I2171" s="116"/>
      <c r="L2171" s="170">
        <v>45202</v>
      </c>
      <c r="M2171" s="116">
        <v>7210.7</v>
      </c>
      <c r="N2171" s="116">
        <v>7270</v>
      </c>
      <c r="O2171" s="116">
        <v>7172</v>
      </c>
      <c r="P2171" s="116">
        <v>7260</v>
      </c>
      <c r="Q2171" s="116">
        <v>7210.7</v>
      </c>
      <c r="R2171">
        <v>123949</v>
      </c>
    </row>
    <row r="2172" spans="1:18" x14ac:dyDescent="0.25">
      <c r="A2172" s="170">
        <v>45203</v>
      </c>
      <c r="B2172" s="116">
        <v>7324</v>
      </c>
      <c r="C2172" s="116">
        <v>7277</v>
      </c>
      <c r="D2172" s="116">
        <v>7176.45</v>
      </c>
      <c r="E2172" s="116">
        <v>7200</v>
      </c>
      <c r="F2172" s="116">
        <v>7277</v>
      </c>
      <c r="G2172">
        <v>8161</v>
      </c>
      <c r="H2172" s="116"/>
      <c r="I2172" s="116"/>
      <c r="L2172" s="170">
        <v>45203</v>
      </c>
      <c r="M2172" s="116">
        <v>7281.9</v>
      </c>
      <c r="N2172" s="116">
        <v>7325.25</v>
      </c>
      <c r="O2172" s="116">
        <v>7180</v>
      </c>
      <c r="P2172" s="116">
        <v>7200</v>
      </c>
      <c r="Q2172" s="116">
        <v>7281.9</v>
      </c>
      <c r="R2172">
        <v>80466</v>
      </c>
    </row>
    <row r="2173" spans="1:18" x14ac:dyDescent="0.25">
      <c r="A2173" s="170">
        <v>45204</v>
      </c>
      <c r="B2173" s="116">
        <v>7316.7</v>
      </c>
      <c r="C2173" s="116">
        <v>7239.25</v>
      </c>
      <c r="D2173" s="116">
        <v>7214.55</v>
      </c>
      <c r="E2173" s="116">
        <v>7280.05</v>
      </c>
      <c r="F2173" s="116">
        <v>7239.25</v>
      </c>
      <c r="G2173">
        <v>2400</v>
      </c>
      <c r="H2173" s="116"/>
      <c r="I2173" s="116"/>
      <c r="L2173" s="170">
        <v>45204</v>
      </c>
      <c r="M2173" s="116">
        <v>7257.2</v>
      </c>
      <c r="N2173" s="116">
        <v>7309</v>
      </c>
      <c r="O2173" s="116">
        <v>7221.1</v>
      </c>
      <c r="P2173" s="116">
        <v>7290</v>
      </c>
      <c r="Q2173" s="116">
        <v>7257.2</v>
      </c>
      <c r="R2173">
        <v>70537</v>
      </c>
    </row>
    <row r="2174" spans="1:18" x14ac:dyDescent="0.25">
      <c r="A2174" s="170">
        <v>45205</v>
      </c>
      <c r="B2174" s="116">
        <v>7343.85</v>
      </c>
      <c r="C2174" s="116">
        <v>7301.85</v>
      </c>
      <c r="D2174" s="116">
        <v>7240.05</v>
      </c>
      <c r="E2174" s="116">
        <v>7240.05</v>
      </c>
      <c r="F2174" s="116">
        <v>7301.85</v>
      </c>
      <c r="G2174">
        <v>2700</v>
      </c>
      <c r="H2174" s="116"/>
      <c r="I2174" s="116"/>
      <c r="L2174" s="170">
        <v>45205</v>
      </c>
      <c r="M2174" s="116">
        <v>7302.75</v>
      </c>
      <c r="N2174" s="116">
        <v>7348</v>
      </c>
      <c r="O2174" s="116">
        <v>7264.05</v>
      </c>
      <c r="P2174" s="116">
        <v>7270</v>
      </c>
      <c r="Q2174" s="116">
        <v>7302.75</v>
      </c>
      <c r="R2174">
        <v>65339</v>
      </c>
    </row>
    <row r="2175" spans="1:18" x14ac:dyDescent="0.25">
      <c r="A2175" s="170">
        <v>45208</v>
      </c>
      <c r="B2175" s="116">
        <v>7310</v>
      </c>
      <c r="C2175" s="116">
        <v>7299.5</v>
      </c>
      <c r="D2175" s="116">
        <v>7170.05</v>
      </c>
      <c r="E2175" s="116">
        <v>7170.05</v>
      </c>
      <c r="F2175" s="116">
        <v>7299.5</v>
      </c>
      <c r="G2175">
        <v>9430</v>
      </c>
      <c r="H2175" s="116"/>
      <c r="I2175" s="116"/>
      <c r="L2175" s="170">
        <v>45208</v>
      </c>
      <c r="M2175" s="116">
        <v>7299.4</v>
      </c>
      <c r="N2175" s="116">
        <v>7315.9</v>
      </c>
      <c r="O2175" s="116">
        <v>7185</v>
      </c>
      <c r="P2175" s="116">
        <v>7199.95</v>
      </c>
      <c r="Q2175" s="116">
        <v>7299.4</v>
      </c>
      <c r="R2175">
        <v>84115</v>
      </c>
    </row>
    <row r="2176" spans="1:18" x14ac:dyDescent="0.25">
      <c r="A2176" s="170">
        <v>45209</v>
      </c>
      <c r="B2176" s="116">
        <v>7415</v>
      </c>
      <c r="C2176" s="116">
        <v>7355.2</v>
      </c>
      <c r="D2176" s="116">
        <v>7287.65</v>
      </c>
      <c r="E2176" s="116">
        <v>7299.9</v>
      </c>
      <c r="F2176" s="116">
        <v>7355.2</v>
      </c>
      <c r="G2176">
        <v>14191</v>
      </c>
      <c r="H2176" s="116"/>
      <c r="I2176" s="116"/>
      <c r="L2176" s="170">
        <v>45209</v>
      </c>
      <c r="M2176" s="116">
        <v>7359.4</v>
      </c>
      <c r="N2176" s="116">
        <v>7415.8</v>
      </c>
      <c r="O2176" s="116">
        <v>7283.4</v>
      </c>
      <c r="P2176" s="116">
        <v>7309.95</v>
      </c>
      <c r="Q2176" s="116">
        <v>7359.4</v>
      </c>
      <c r="R2176">
        <v>110152</v>
      </c>
    </row>
    <row r="2177" spans="1:18" x14ac:dyDescent="0.25">
      <c r="A2177" s="170">
        <v>45210</v>
      </c>
      <c r="B2177" s="116">
        <v>7492.8</v>
      </c>
      <c r="C2177" s="116">
        <v>7313.35</v>
      </c>
      <c r="D2177" s="116">
        <v>7301</v>
      </c>
      <c r="E2177" s="116">
        <v>7371.05</v>
      </c>
      <c r="F2177" s="116">
        <v>7313.35</v>
      </c>
      <c r="G2177">
        <v>5707</v>
      </c>
      <c r="H2177" s="116"/>
      <c r="I2177" s="116"/>
      <c r="L2177" s="170">
        <v>45210</v>
      </c>
      <c r="M2177" s="116">
        <v>7315.1</v>
      </c>
      <c r="N2177" s="116">
        <v>7490</v>
      </c>
      <c r="O2177" s="116">
        <v>7299</v>
      </c>
      <c r="P2177" s="116">
        <v>7399</v>
      </c>
      <c r="Q2177" s="116">
        <v>7315.1</v>
      </c>
      <c r="R2177">
        <v>163676</v>
      </c>
    </row>
    <row r="2178" spans="1:18" x14ac:dyDescent="0.25">
      <c r="A2178" s="170">
        <v>45211</v>
      </c>
      <c r="B2178" s="116">
        <v>7380.05</v>
      </c>
      <c r="C2178" s="116">
        <v>7359.15</v>
      </c>
      <c r="D2178" s="116">
        <v>7305.05</v>
      </c>
      <c r="E2178" s="116">
        <v>7379.95</v>
      </c>
      <c r="F2178" s="116">
        <v>7359.15</v>
      </c>
      <c r="G2178">
        <v>8497</v>
      </c>
      <c r="H2178" s="116"/>
      <c r="I2178" s="116"/>
      <c r="L2178" s="170">
        <v>45211</v>
      </c>
      <c r="M2178" s="116">
        <v>7355.3</v>
      </c>
      <c r="N2178" s="116">
        <v>7385.4</v>
      </c>
      <c r="O2178" s="116">
        <v>7301.8</v>
      </c>
      <c r="P2178" s="116">
        <v>7360</v>
      </c>
      <c r="Q2178" s="116">
        <v>7355.3</v>
      </c>
      <c r="R2178">
        <v>59816</v>
      </c>
    </row>
    <row r="2179" spans="1:18" x14ac:dyDescent="0.25">
      <c r="A2179" s="170">
        <v>45212</v>
      </c>
      <c r="B2179" s="116">
        <v>7465</v>
      </c>
      <c r="C2179" s="116">
        <v>7444.65</v>
      </c>
      <c r="D2179" s="116">
        <v>7300.05</v>
      </c>
      <c r="E2179" s="116">
        <v>7300.05</v>
      </c>
      <c r="F2179" s="116">
        <v>7444.65</v>
      </c>
      <c r="G2179">
        <v>17424</v>
      </c>
      <c r="H2179" s="116"/>
      <c r="I2179" s="116"/>
      <c r="L2179" s="170">
        <v>45212</v>
      </c>
      <c r="M2179" s="116">
        <v>7443.75</v>
      </c>
      <c r="N2179" s="116">
        <v>7462.5</v>
      </c>
      <c r="O2179" s="116">
        <v>7311</v>
      </c>
      <c r="P2179" s="116">
        <v>7344.95</v>
      </c>
      <c r="Q2179" s="116">
        <v>7443.75</v>
      </c>
      <c r="R2179">
        <v>147510</v>
      </c>
    </row>
    <row r="2180" spans="1:18" x14ac:dyDescent="0.25">
      <c r="A2180" s="170">
        <v>45215</v>
      </c>
      <c r="B2180" s="116">
        <v>7485</v>
      </c>
      <c r="C2180" s="116">
        <v>7474.55</v>
      </c>
      <c r="D2180" s="116">
        <v>7381.2</v>
      </c>
      <c r="E2180" s="116">
        <v>7461.7</v>
      </c>
      <c r="F2180" s="116">
        <v>7474.55</v>
      </c>
      <c r="G2180">
        <v>13659</v>
      </c>
      <c r="H2180" s="116"/>
      <c r="I2180" s="116"/>
      <c r="L2180" s="170">
        <v>45215</v>
      </c>
      <c r="M2180" s="116">
        <v>7477.05</v>
      </c>
      <c r="N2180" s="116">
        <v>7490</v>
      </c>
      <c r="O2180" s="116">
        <v>7385</v>
      </c>
      <c r="P2180" s="116">
        <v>7490</v>
      </c>
      <c r="Q2180" s="116">
        <v>7477.05</v>
      </c>
      <c r="R2180">
        <v>100722</v>
      </c>
    </row>
    <row r="2181" spans="1:18" x14ac:dyDescent="0.25">
      <c r="A2181" s="170">
        <v>45216</v>
      </c>
      <c r="B2181" s="116">
        <v>7510.95</v>
      </c>
      <c r="C2181" s="116">
        <v>7449.2</v>
      </c>
      <c r="D2181" s="116">
        <v>7400</v>
      </c>
      <c r="E2181" s="116">
        <v>7474.6</v>
      </c>
      <c r="F2181" s="116">
        <v>7449.2</v>
      </c>
      <c r="G2181">
        <v>6961</v>
      </c>
      <c r="H2181" s="116"/>
      <c r="I2181" s="116"/>
      <c r="L2181" s="170">
        <v>45216</v>
      </c>
      <c r="M2181" s="116">
        <v>7445.35</v>
      </c>
      <c r="N2181" s="116">
        <v>7510</v>
      </c>
      <c r="O2181" s="116">
        <v>7400</v>
      </c>
      <c r="P2181" s="116">
        <v>7496.95</v>
      </c>
      <c r="Q2181" s="116">
        <v>7445.35</v>
      </c>
      <c r="R2181">
        <v>112435</v>
      </c>
    </row>
    <row r="2182" spans="1:18" x14ac:dyDescent="0.25">
      <c r="A2182" s="170">
        <v>45217</v>
      </c>
      <c r="B2182" s="116">
        <v>7694</v>
      </c>
      <c r="C2182" s="116">
        <v>7601.4</v>
      </c>
      <c r="D2182" s="116">
        <v>7480</v>
      </c>
      <c r="E2182" s="116">
        <v>7490</v>
      </c>
      <c r="F2182" s="116">
        <v>7601.4</v>
      </c>
      <c r="G2182">
        <v>50447</v>
      </c>
      <c r="H2182" s="116"/>
      <c r="I2182" s="116"/>
      <c r="L2182" s="170">
        <v>45217</v>
      </c>
      <c r="M2182" s="116">
        <v>7608.9</v>
      </c>
      <c r="N2182" s="116">
        <v>7694.4</v>
      </c>
      <c r="O2182" s="116">
        <v>7480.5</v>
      </c>
      <c r="P2182" s="116">
        <v>7485</v>
      </c>
      <c r="Q2182" s="116">
        <v>7608.9</v>
      </c>
      <c r="R2182">
        <v>497848</v>
      </c>
    </row>
    <row r="2183" spans="1:18" x14ac:dyDescent="0.25">
      <c r="A2183" s="170">
        <v>45218</v>
      </c>
      <c r="B2183" s="116">
        <v>7759.95</v>
      </c>
      <c r="C2183" s="116">
        <v>7706.4</v>
      </c>
      <c r="D2183" s="116">
        <v>7575</v>
      </c>
      <c r="E2183" s="116">
        <v>7602</v>
      </c>
      <c r="F2183" s="116">
        <v>7706.4</v>
      </c>
      <c r="G2183">
        <v>11924</v>
      </c>
      <c r="H2183" s="116"/>
      <c r="I2183" s="116"/>
      <c r="L2183" s="170">
        <v>45218</v>
      </c>
      <c r="M2183" s="116">
        <v>7704.05</v>
      </c>
      <c r="N2183" s="116">
        <v>7758.9</v>
      </c>
      <c r="O2183" s="116">
        <v>7569.95</v>
      </c>
      <c r="P2183" s="116">
        <v>7608.9</v>
      </c>
      <c r="Q2183" s="116">
        <v>7704.05</v>
      </c>
      <c r="R2183">
        <v>282308</v>
      </c>
    </row>
    <row r="2184" spans="1:18" x14ac:dyDescent="0.25">
      <c r="A2184" s="170">
        <v>45219</v>
      </c>
      <c r="B2184" s="116">
        <v>7744.9</v>
      </c>
      <c r="C2184" s="116">
        <v>7552.2</v>
      </c>
      <c r="D2184" s="116">
        <v>7516</v>
      </c>
      <c r="E2184" s="116">
        <v>7730</v>
      </c>
      <c r="F2184" s="116">
        <v>7552.2</v>
      </c>
      <c r="G2184">
        <v>13479</v>
      </c>
      <c r="H2184" s="116"/>
      <c r="I2184" s="116"/>
      <c r="L2184" s="170">
        <v>45219</v>
      </c>
      <c r="M2184" s="116">
        <v>7564.4</v>
      </c>
      <c r="N2184" s="116">
        <v>7738</v>
      </c>
      <c r="O2184" s="116">
        <v>7501</v>
      </c>
      <c r="P2184" s="116">
        <v>7736.6</v>
      </c>
      <c r="Q2184" s="116">
        <v>7564.4</v>
      </c>
      <c r="R2184">
        <v>119490</v>
      </c>
    </row>
    <row r="2185" spans="1:18" x14ac:dyDescent="0.25">
      <c r="A2185" s="170">
        <v>45222</v>
      </c>
      <c r="B2185" s="116">
        <v>7618.25</v>
      </c>
      <c r="C2185" s="116">
        <v>7337.2</v>
      </c>
      <c r="D2185" s="116">
        <v>7310.2</v>
      </c>
      <c r="E2185" s="116">
        <v>7524.05</v>
      </c>
      <c r="F2185" s="116">
        <v>7337.2</v>
      </c>
      <c r="G2185">
        <v>6640</v>
      </c>
      <c r="H2185" s="116"/>
      <c r="I2185" s="116"/>
      <c r="L2185" s="170">
        <v>45222</v>
      </c>
      <c r="M2185" s="116">
        <v>7336.45</v>
      </c>
      <c r="N2185" s="116">
        <v>7612</v>
      </c>
      <c r="O2185" s="116">
        <v>7300</v>
      </c>
      <c r="P2185" s="116">
        <v>7564.4</v>
      </c>
      <c r="Q2185" s="116">
        <v>7336.45</v>
      </c>
      <c r="R2185">
        <v>117797</v>
      </c>
    </row>
    <row r="2186" spans="1:18" x14ac:dyDescent="0.25">
      <c r="A2186" s="170">
        <v>45224</v>
      </c>
      <c r="B2186" s="116">
        <v>7584.95</v>
      </c>
      <c r="C2186" s="116">
        <v>7542.9</v>
      </c>
      <c r="D2186" s="116">
        <v>7385.55</v>
      </c>
      <c r="E2186" s="116">
        <v>7385.55</v>
      </c>
      <c r="F2186" s="116">
        <v>7542.9</v>
      </c>
      <c r="G2186">
        <v>19639</v>
      </c>
      <c r="H2186" s="116"/>
      <c r="I2186" s="116"/>
      <c r="L2186" s="170">
        <v>45224</v>
      </c>
      <c r="M2186" s="116">
        <v>7545.25</v>
      </c>
      <c r="N2186" s="116">
        <v>7590</v>
      </c>
      <c r="O2186" s="116">
        <v>7381.5</v>
      </c>
      <c r="P2186" s="116">
        <v>7399.85</v>
      </c>
      <c r="Q2186" s="116">
        <v>7545.25</v>
      </c>
      <c r="R2186">
        <v>198994</v>
      </c>
    </row>
    <row r="2187" spans="1:18" x14ac:dyDescent="0.25">
      <c r="A2187" s="170">
        <v>45225</v>
      </c>
      <c r="B2187" s="116">
        <v>7524.95</v>
      </c>
      <c r="C2187" s="116">
        <v>7461.95</v>
      </c>
      <c r="D2187" s="116">
        <v>7374.9</v>
      </c>
      <c r="E2187" s="116">
        <v>7500</v>
      </c>
      <c r="F2187" s="116">
        <v>7461.95</v>
      </c>
      <c r="G2187">
        <v>8331</v>
      </c>
      <c r="H2187" s="116"/>
      <c r="I2187" s="116"/>
      <c r="L2187" s="170">
        <v>45225</v>
      </c>
      <c r="M2187" s="116">
        <v>7463.5</v>
      </c>
      <c r="N2187" s="116">
        <v>7520</v>
      </c>
      <c r="O2187" s="116">
        <v>7380</v>
      </c>
      <c r="P2187" s="116">
        <v>7500</v>
      </c>
      <c r="Q2187" s="116">
        <v>7463.5</v>
      </c>
      <c r="R2187">
        <v>126826</v>
      </c>
    </row>
    <row r="2188" spans="1:18" x14ac:dyDescent="0.25">
      <c r="A2188" s="170">
        <v>45226</v>
      </c>
      <c r="B2188" s="116">
        <v>7656.35</v>
      </c>
      <c r="C2188" s="116">
        <v>7596</v>
      </c>
      <c r="D2188" s="116">
        <v>7500</v>
      </c>
      <c r="E2188" s="116">
        <v>7500</v>
      </c>
      <c r="F2188" s="116">
        <v>7596</v>
      </c>
      <c r="G2188">
        <v>4959</v>
      </c>
      <c r="H2188" s="116"/>
      <c r="I2188" s="116"/>
      <c r="L2188" s="170">
        <v>45226</v>
      </c>
      <c r="M2188" s="116">
        <v>7601.6</v>
      </c>
      <c r="N2188" s="116">
        <v>7655</v>
      </c>
      <c r="O2188" s="116">
        <v>7500</v>
      </c>
      <c r="P2188" s="116">
        <v>7500</v>
      </c>
      <c r="Q2188" s="116">
        <v>7601.6</v>
      </c>
      <c r="R2188">
        <v>110987</v>
      </c>
    </row>
    <row r="2189" spans="1:18" x14ac:dyDescent="0.25">
      <c r="A2189" s="170">
        <v>45229</v>
      </c>
      <c r="B2189" s="116">
        <v>7680</v>
      </c>
      <c r="C2189" s="116">
        <v>7625.35</v>
      </c>
      <c r="D2189" s="116">
        <v>7580.35</v>
      </c>
      <c r="E2189" s="116">
        <v>7612.1</v>
      </c>
      <c r="F2189" s="116">
        <v>7625.35</v>
      </c>
      <c r="G2189">
        <v>3515</v>
      </c>
      <c r="H2189" s="116"/>
      <c r="I2189" s="116"/>
      <c r="L2189" s="170">
        <v>45229</v>
      </c>
      <c r="M2189" s="116">
        <v>7639.25</v>
      </c>
      <c r="N2189" s="116">
        <v>7685</v>
      </c>
      <c r="O2189" s="116">
        <v>7580.55</v>
      </c>
      <c r="P2189" s="116">
        <v>7660</v>
      </c>
      <c r="Q2189" s="116">
        <v>7639.25</v>
      </c>
      <c r="R2189">
        <v>110688</v>
      </c>
    </row>
    <row r="2190" spans="1:18" x14ac:dyDescent="0.25">
      <c r="A2190" s="170">
        <v>45230</v>
      </c>
      <c r="B2190" s="116">
        <v>7679.3</v>
      </c>
      <c r="C2190" s="116">
        <v>7626.05</v>
      </c>
      <c r="D2190" s="116">
        <v>7590</v>
      </c>
      <c r="E2190" s="116">
        <v>7630.05</v>
      </c>
      <c r="F2190" s="116">
        <v>7626.05</v>
      </c>
      <c r="G2190">
        <v>2131</v>
      </c>
      <c r="H2190" s="116"/>
      <c r="I2190" s="116"/>
      <c r="L2190" s="170">
        <v>45230</v>
      </c>
      <c r="M2190" s="116">
        <v>7625.2</v>
      </c>
      <c r="N2190" s="116">
        <v>7680.95</v>
      </c>
      <c r="O2190" s="116">
        <v>7585</v>
      </c>
      <c r="P2190" s="116">
        <v>7650.95</v>
      </c>
      <c r="Q2190" s="116">
        <v>7625.2</v>
      </c>
      <c r="R2190">
        <v>61348</v>
      </c>
    </row>
    <row r="2191" spans="1:18" x14ac:dyDescent="0.25">
      <c r="A2191" s="170">
        <v>45231</v>
      </c>
      <c r="B2191" s="116">
        <v>7650.85</v>
      </c>
      <c r="C2191" s="116">
        <v>7479.1</v>
      </c>
      <c r="D2191" s="116">
        <v>7465</v>
      </c>
      <c r="E2191" s="116">
        <v>7650</v>
      </c>
      <c r="F2191" s="116">
        <v>7479.1</v>
      </c>
      <c r="G2191">
        <v>7367</v>
      </c>
      <c r="H2191" s="116"/>
      <c r="I2191" s="116"/>
      <c r="L2191" s="170">
        <v>45231</v>
      </c>
      <c r="M2191" s="116">
        <v>7483.4</v>
      </c>
      <c r="N2191" s="116">
        <v>7657.75</v>
      </c>
      <c r="O2191" s="116">
        <v>7450</v>
      </c>
      <c r="P2191" s="116">
        <v>7650</v>
      </c>
      <c r="Q2191" s="116">
        <v>7483.4</v>
      </c>
      <c r="R2191">
        <v>87104</v>
      </c>
    </row>
    <row r="2192" spans="1:18" x14ac:dyDescent="0.25">
      <c r="A2192" s="170">
        <v>45232</v>
      </c>
      <c r="B2192" s="116">
        <v>7583.95</v>
      </c>
      <c r="C2192" s="116">
        <v>7488.85</v>
      </c>
      <c r="D2192" s="116">
        <v>7415</v>
      </c>
      <c r="E2192" s="116">
        <v>7543.35</v>
      </c>
      <c r="F2192" s="116">
        <v>7488.85</v>
      </c>
      <c r="G2192">
        <v>3950</v>
      </c>
      <c r="H2192" s="116"/>
      <c r="I2192" s="116"/>
      <c r="L2192" s="170">
        <v>45232</v>
      </c>
      <c r="M2192" s="116">
        <v>7496.9</v>
      </c>
      <c r="N2192" s="116">
        <v>7587.95</v>
      </c>
      <c r="O2192" s="116">
        <v>7413.7</v>
      </c>
      <c r="P2192" s="116">
        <v>7550.95</v>
      </c>
      <c r="Q2192" s="116">
        <v>7496.9</v>
      </c>
      <c r="R2192">
        <v>105161</v>
      </c>
    </row>
    <row r="2193" spans="1:18" x14ac:dyDescent="0.25">
      <c r="A2193" s="170">
        <v>45233</v>
      </c>
      <c r="B2193" s="116">
        <v>7638</v>
      </c>
      <c r="C2193" s="116">
        <v>7615.2</v>
      </c>
      <c r="D2193" s="116">
        <v>7525.9</v>
      </c>
      <c r="E2193" s="116">
        <v>7527.65</v>
      </c>
      <c r="F2193" s="116">
        <v>7615.2</v>
      </c>
      <c r="G2193">
        <v>2608</v>
      </c>
      <c r="H2193" s="116"/>
      <c r="I2193" s="116"/>
      <c r="L2193" s="170">
        <v>45233</v>
      </c>
      <c r="M2193" s="116">
        <v>7617</v>
      </c>
      <c r="N2193" s="116">
        <v>7640</v>
      </c>
      <c r="O2193" s="116">
        <v>7501.1</v>
      </c>
      <c r="P2193" s="116">
        <v>7519</v>
      </c>
      <c r="Q2193" s="116">
        <v>7617</v>
      </c>
      <c r="R2193">
        <v>75629</v>
      </c>
    </row>
    <row r="2194" spans="1:18" x14ac:dyDescent="0.25">
      <c r="A2194" s="170">
        <v>45236</v>
      </c>
      <c r="B2194" s="116">
        <v>7849.5</v>
      </c>
      <c r="C2194" s="116">
        <v>7830.6</v>
      </c>
      <c r="D2194" s="116">
        <v>7680.1</v>
      </c>
      <c r="E2194" s="116">
        <v>7697.95</v>
      </c>
      <c r="F2194" s="116">
        <v>7830.6</v>
      </c>
      <c r="G2194">
        <v>9890</v>
      </c>
      <c r="H2194" s="116"/>
      <c r="I2194" s="116"/>
      <c r="L2194" s="170">
        <v>45236</v>
      </c>
      <c r="M2194" s="116">
        <v>7831.6</v>
      </c>
      <c r="N2194" s="116">
        <v>7850</v>
      </c>
      <c r="O2194" s="116">
        <v>7660.05</v>
      </c>
      <c r="P2194" s="116">
        <v>7673.35</v>
      </c>
      <c r="Q2194" s="116">
        <v>7831.6</v>
      </c>
      <c r="R2194">
        <v>231690</v>
      </c>
    </row>
    <row r="2195" spans="1:18" x14ac:dyDescent="0.25">
      <c r="A2195" s="170">
        <v>45237</v>
      </c>
      <c r="B2195" s="116">
        <v>8210</v>
      </c>
      <c r="C2195" s="116">
        <v>8179</v>
      </c>
      <c r="D2195" s="116">
        <v>7855</v>
      </c>
      <c r="E2195" s="116">
        <v>7871.05</v>
      </c>
      <c r="F2195" s="116">
        <v>8179</v>
      </c>
      <c r="G2195">
        <v>27994</v>
      </c>
      <c r="H2195" s="116"/>
      <c r="I2195" s="116"/>
      <c r="L2195" s="170">
        <v>45237</v>
      </c>
      <c r="M2195" s="116">
        <v>8171.15</v>
      </c>
      <c r="N2195" s="116">
        <v>8204.0499999999993</v>
      </c>
      <c r="O2195" s="116">
        <v>7860.15</v>
      </c>
      <c r="P2195" s="116">
        <v>7880</v>
      </c>
      <c r="Q2195" s="116">
        <v>8171.15</v>
      </c>
      <c r="R2195">
        <v>703184</v>
      </c>
    </row>
    <row r="2196" spans="1:18" x14ac:dyDescent="0.25">
      <c r="A2196" s="170">
        <v>45238</v>
      </c>
      <c r="B2196" s="116">
        <v>8338.85</v>
      </c>
      <c r="C2196" s="116">
        <v>8239.9</v>
      </c>
      <c r="D2196" s="116">
        <v>8154.7</v>
      </c>
      <c r="E2196" s="116">
        <v>8221.5</v>
      </c>
      <c r="F2196" s="116">
        <v>8239.9</v>
      </c>
      <c r="G2196">
        <v>31008</v>
      </c>
      <c r="H2196" s="116"/>
      <c r="I2196" s="116"/>
      <c r="L2196" s="170">
        <v>45238</v>
      </c>
      <c r="M2196" s="116">
        <v>8242.9</v>
      </c>
      <c r="N2196" s="116">
        <v>8349.9500000000007</v>
      </c>
      <c r="O2196" s="116">
        <v>8160</v>
      </c>
      <c r="P2196" s="116">
        <v>8240</v>
      </c>
      <c r="Q2196" s="116">
        <v>8242.9</v>
      </c>
      <c r="R2196">
        <v>239800</v>
      </c>
    </row>
    <row r="2197" spans="1:18" x14ac:dyDescent="0.25">
      <c r="A2197" s="170">
        <v>45239</v>
      </c>
      <c r="B2197" s="116">
        <v>8239.85</v>
      </c>
      <c r="C2197" s="116">
        <v>8042</v>
      </c>
      <c r="D2197" s="116">
        <v>8015</v>
      </c>
      <c r="E2197" s="116">
        <v>8239.85</v>
      </c>
      <c r="F2197" s="116">
        <v>8042</v>
      </c>
      <c r="G2197">
        <v>7908</v>
      </c>
      <c r="H2197" s="116"/>
      <c r="I2197" s="116"/>
      <c r="L2197" s="170">
        <v>45239</v>
      </c>
      <c r="M2197" s="116">
        <v>8050.9</v>
      </c>
      <c r="N2197" s="116">
        <v>8219.85</v>
      </c>
      <c r="O2197" s="116">
        <v>8011.55</v>
      </c>
      <c r="P2197" s="116">
        <v>8205.0499999999993</v>
      </c>
      <c r="Q2197" s="116">
        <v>8050.9</v>
      </c>
      <c r="R2197">
        <v>148049</v>
      </c>
    </row>
    <row r="2198" spans="1:18" x14ac:dyDescent="0.25">
      <c r="A2198" s="170">
        <v>45240</v>
      </c>
      <c r="B2198" s="116">
        <v>8091.65</v>
      </c>
      <c r="C2198" s="116">
        <v>8057.65</v>
      </c>
      <c r="D2198" s="116">
        <v>7958.1</v>
      </c>
      <c r="E2198" s="116">
        <v>8062.05</v>
      </c>
      <c r="F2198" s="116">
        <v>8057.65</v>
      </c>
      <c r="G2198">
        <v>4750</v>
      </c>
      <c r="H2198" s="116"/>
      <c r="I2198" s="116"/>
      <c r="L2198" s="170">
        <v>45240</v>
      </c>
      <c r="M2198" s="116">
        <v>8055.05</v>
      </c>
      <c r="N2198" s="116">
        <v>8091</v>
      </c>
      <c r="O2198" s="116">
        <v>7955.55</v>
      </c>
      <c r="P2198" s="116">
        <v>8090.95</v>
      </c>
      <c r="Q2198" s="116">
        <v>8055.05</v>
      </c>
      <c r="R2198">
        <v>88542</v>
      </c>
    </row>
    <row r="2199" spans="1:18" x14ac:dyDescent="0.25">
      <c r="A2199" s="170">
        <v>45242</v>
      </c>
      <c r="B2199" s="116">
        <v>8170.85</v>
      </c>
      <c r="C2199" s="116">
        <v>8136.4</v>
      </c>
      <c r="D2199" s="116">
        <v>8110.75</v>
      </c>
      <c r="E2199" s="116">
        <v>8130</v>
      </c>
      <c r="F2199" s="116">
        <v>8136.4</v>
      </c>
      <c r="G2199">
        <v>5486</v>
      </c>
      <c r="H2199" s="116"/>
      <c r="I2199" s="116"/>
      <c r="L2199" s="170">
        <v>45242</v>
      </c>
      <c r="M2199" s="116">
        <v>8139.05</v>
      </c>
      <c r="N2199" s="116">
        <v>8171</v>
      </c>
      <c r="O2199" s="116">
        <v>8077</v>
      </c>
      <c r="P2199" s="116">
        <v>8148.95</v>
      </c>
      <c r="Q2199" s="116">
        <v>8139.05</v>
      </c>
      <c r="R2199">
        <v>29206</v>
      </c>
    </row>
    <row r="2200" spans="1:18" x14ac:dyDescent="0.25">
      <c r="A2200" s="170">
        <v>45243</v>
      </c>
      <c r="B2200" s="116">
        <v>8190</v>
      </c>
      <c r="C2200" s="116">
        <v>8083.5</v>
      </c>
      <c r="D2200" s="116">
        <v>8022</v>
      </c>
      <c r="E2200" s="116">
        <v>8139.3</v>
      </c>
      <c r="F2200" s="116">
        <v>8083.5</v>
      </c>
      <c r="G2200">
        <v>3119</v>
      </c>
      <c r="H2200" s="116"/>
      <c r="I2200" s="116"/>
      <c r="L2200" s="170">
        <v>45243</v>
      </c>
      <c r="M2200" s="116">
        <v>8086.8</v>
      </c>
      <c r="N2200" s="116">
        <v>8199</v>
      </c>
      <c r="O2200" s="116">
        <v>8021.1</v>
      </c>
      <c r="P2200" s="116">
        <v>8139</v>
      </c>
      <c r="Q2200" s="116">
        <v>8086.8</v>
      </c>
      <c r="R2200">
        <v>74252</v>
      </c>
    </row>
    <row r="2201" spans="1:18" x14ac:dyDescent="0.25">
      <c r="A2201" s="170">
        <v>45245</v>
      </c>
      <c r="B2201" s="116">
        <v>8219.9500000000007</v>
      </c>
      <c r="C2201" s="116">
        <v>8190.15</v>
      </c>
      <c r="D2201" s="116">
        <v>8111.05</v>
      </c>
      <c r="E2201" s="116">
        <v>8111.05</v>
      </c>
      <c r="F2201" s="116">
        <v>8190.15</v>
      </c>
      <c r="G2201">
        <v>3659</v>
      </c>
      <c r="H2201" s="116"/>
      <c r="I2201" s="116"/>
      <c r="L2201" s="170">
        <v>45245</v>
      </c>
      <c r="M2201" s="116">
        <v>8194.75</v>
      </c>
      <c r="N2201" s="116">
        <v>8219</v>
      </c>
      <c r="O2201" s="116">
        <v>8120.25</v>
      </c>
      <c r="P2201" s="116">
        <v>8170.9</v>
      </c>
      <c r="Q2201" s="116">
        <v>8194.75</v>
      </c>
      <c r="R2201">
        <v>94762</v>
      </c>
    </row>
    <row r="2202" spans="1:18" x14ac:dyDescent="0.25">
      <c r="A2202" s="170">
        <v>45246</v>
      </c>
      <c r="B2202" s="116">
        <v>8497.9500000000007</v>
      </c>
      <c r="C2202" s="116">
        <v>8453.5</v>
      </c>
      <c r="D2202" s="116">
        <v>8166.3</v>
      </c>
      <c r="E2202" s="116">
        <v>8191.05</v>
      </c>
      <c r="F2202" s="116">
        <v>8453.5</v>
      </c>
      <c r="G2202">
        <v>11621</v>
      </c>
      <c r="H2202" s="116"/>
      <c r="I2202" s="116"/>
      <c r="L2202" s="170">
        <v>45246</v>
      </c>
      <c r="M2202" s="116">
        <v>8459.15</v>
      </c>
      <c r="N2202" s="116">
        <v>8497</v>
      </c>
      <c r="O2202" s="116">
        <v>8168</v>
      </c>
      <c r="P2202" s="116">
        <v>8204.9500000000007</v>
      </c>
      <c r="Q2202" s="116">
        <v>8459.15</v>
      </c>
      <c r="R2202">
        <v>317224</v>
      </c>
    </row>
    <row r="2203" spans="1:18" x14ac:dyDescent="0.25">
      <c r="A2203" s="170">
        <v>45247</v>
      </c>
      <c r="B2203" s="116">
        <v>8576.25</v>
      </c>
      <c r="C2203" s="116">
        <v>8301.85</v>
      </c>
      <c r="D2203" s="116">
        <v>8280</v>
      </c>
      <c r="E2203" s="116">
        <v>8460.0499999999993</v>
      </c>
      <c r="F2203" s="116">
        <v>8301.85</v>
      </c>
      <c r="G2203">
        <v>8828</v>
      </c>
      <c r="H2203" s="116"/>
      <c r="I2203" s="116"/>
      <c r="L2203" s="170">
        <v>45247</v>
      </c>
      <c r="M2203" s="116">
        <v>8306.6</v>
      </c>
      <c r="N2203" s="116">
        <v>8576.0499999999993</v>
      </c>
      <c r="O2203" s="116">
        <v>8271.75</v>
      </c>
      <c r="P2203" s="116">
        <v>8489.5499999999993</v>
      </c>
      <c r="Q2203" s="116">
        <v>8306.6</v>
      </c>
      <c r="R2203">
        <v>196640</v>
      </c>
    </row>
    <row r="2204" spans="1:18" x14ac:dyDescent="0.25">
      <c r="A2204" s="170">
        <v>45250</v>
      </c>
      <c r="B2204" s="116">
        <v>8390.75</v>
      </c>
      <c r="C2204" s="116">
        <v>8290.2999999999993</v>
      </c>
      <c r="D2204" s="116">
        <v>8256.7000000000007</v>
      </c>
      <c r="E2204" s="116">
        <v>8332</v>
      </c>
      <c r="F2204" s="116">
        <v>8290.2999999999993</v>
      </c>
      <c r="G2204">
        <v>4980</v>
      </c>
      <c r="H2204" s="116"/>
      <c r="I2204" s="116"/>
      <c r="L2204" s="170">
        <v>45250</v>
      </c>
      <c r="M2204" s="116">
        <v>8284.7000000000007</v>
      </c>
      <c r="N2204" s="116">
        <v>8399.9</v>
      </c>
      <c r="O2204" s="116">
        <v>8262</v>
      </c>
      <c r="P2204" s="116">
        <v>8314.85</v>
      </c>
      <c r="Q2204" s="116">
        <v>8284.7000000000007</v>
      </c>
      <c r="R2204">
        <v>98817</v>
      </c>
    </row>
    <row r="2205" spans="1:18" x14ac:dyDescent="0.25">
      <c r="A2205" s="170">
        <v>45251</v>
      </c>
      <c r="B2205" s="116">
        <v>8453.75</v>
      </c>
      <c r="C2205" s="116">
        <v>8420.2000000000007</v>
      </c>
      <c r="D2205" s="116">
        <v>8300.75</v>
      </c>
      <c r="E2205" s="116">
        <v>8337.9500000000007</v>
      </c>
      <c r="F2205" s="116">
        <v>8420.2000000000007</v>
      </c>
      <c r="G2205">
        <v>19412</v>
      </c>
      <c r="H2205" s="116"/>
      <c r="I2205" s="116"/>
      <c r="L2205" s="170">
        <v>45251</v>
      </c>
      <c r="M2205" s="116">
        <v>8423.25</v>
      </c>
      <c r="N2205" s="116">
        <v>8455</v>
      </c>
      <c r="O2205" s="116">
        <v>8301</v>
      </c>
      <c r="P2205" s="116">
        <v>8325.85</v>
      </c>
      <c r="Q2205" s="116">
        <v>8423.25</v>
      </c>
      <c r="R2205">
        <v>144008</v>
      </c>
    </row>
    <row r="2206" spans="1:18" x14ac:dyDescent="0.25">
      <c r="A2206" s="170">
        <v>45252</v>
      </c>
      <c r="B2206" s="116">
        <v>8451.5</v>
      </c>
      <c r="C2206" s="116">
        <v>8389.0499999999993</v>
      </c>
      <c r="D2206" s="116">
        <v>8341.9</v>
      </c>
      <c r="E2206" s="116">
        <v>8425</v>
      </c>
      <c r="F2206" s="116">
        <v>8389.0499999999993</v>
      </c>
      <c r="G2206">
        <v>2876</v>
      </c>
      <c r="H2206" s="116"/>
      <c r="I2206" s="116"/>
      <c r="L2206" s="170">
        <v>45252</v>
      </c>
      <c r="M2206" s="116">
        <v>8389.7000000000007</v>
      </c>
      <c r="N2206" s="116">
        <v>8458</v>
      </c>
      <c r="O2206" s="116">
        <v>8333.2000000000007</v>
      </c>
      <c r="P2206" s="116">
        <v>8425</v>
      </c>
      <c r="Q2206" s="116">
        <v>8389.7000000000007</v>
      </c>
      <c r="R2206">
        <v>78752</v>
      </c>
    </row>
    <row r="2207" spans="1:18" x14ac:dyDescent="0.25">
      <c r="A2207" s="170">
        <v>45253</v>
      </c>
      <c r="B2207" s="116">
        <v>8503.35</v>
      </c>
      <c r="C2207" s="116">
        <v>8384.9500000000007</v>
      </c>
      <c r="D2207" s="116">
        <v>8349.0499999999993</v>
      </c>
      <c r="E2207" s="116">
        <v>8410</v>
      </c>
      <c r="F2207" s="116">
        <v>8384.9500000000007</v>
      </c>
      <c r="G2207">
        <v>3708</v>
      </c>
      <c r="H2207" s="116"/>
      <c r="I2207" s="116"/>
      <c r="L2207" s="170">
        <v>45253</v>
      </c>
      <c r="M2207" s="116">
        <v>8380.35</v>
      </c>
      <c r="N2207" s="116">
        <v>8510.2000000000007</v>
      </c>
      <c r="O2207" s="116">
        <v>8351</v>
      </c>
      <c r="P2207" s="116">
        <v>8399</v>
      </c>
      <c r="Q2207" s="116">
        <v>8380.35</v>
      </c>
      <c r="R2207">
        <v>96295</v>
      </c>
    </row>
    <row r="2208" spans="1:18" x14ac:dyDescent="0.25">
      <c r="A2208" s="170">
        <v>45254</v>
      </c>
      <c r="B2208" s="116">
        <v>8510.9</v>
      </c>
      <c r="C2208" s="116">
        <v>8333</v>
      </c>
      <c r="D2208" s="116">
        <v>8311</v>
      </c>
      <c r="E2208" s="116">
        <v>8400.15</v>
      </c>
      <c r="F2208" s="116">
        <v>8333</v>
      </c>
      <c r="G2208">
        <v>11534</v>
      </c>
      <c r="H2208" s="116"/>
      <c r="I2208" s="116"/>
      <c r="L2208" s="170">
        <v>45254</v>
      </c>
      <c r="M2208" s="116">
        <v>8334.5499999999993</v>
      </c>
      <c r="N2208" s="116">
        <v>8508</v>
      </c>
      <c r="O2208" s="116">
        <v>8310</v>
      </c>
      <c r="P2208" s="116">
        <v>8421.65</v>
      </c>
      <c r="Q2208" s="116">
        <v>8334.5499999999993</v>
      </c>
      <c r="R2208">
        <v>82775</v>
      </c>
    </row>
    <row r="2209" spans="1:18" x14ac:dyDescent="0.25">
      <c r="A2209" s="170">
        <v>45258</v>
      </c>
      <c r="B2209" s="116">
        <v>8472.2999999999993</v>
      </c>
      <c r="C2209" s="116">
        <v>8303.9500000000007</v>
      </c>
      <c r="D2209" s="116">
        <v>8205</v>
      </c>
      <c r="E2209" s="116">
        <v>8376</v>
      </c>
      <c r="F2209" s="116">
        <v>8303.9500000000007</v>
      </c>
      <c r="G2209">
        <v>6360</v>
      </c>
      <c r="H2209" s="116"/>
      <c r="I2209" s="116"/>
      <c r="L2209" s="170">
        <v>45258</v>
      </c>
      <c r="M2209" s="116">
        <v>8306.2000000000007</v>
      </c>
      <c r="N2209" s="116">
        <v>8479.9500000000007</v>
      </c>
      <c r="O2209" s="116">
        <v>8203.4500000000007</v>
      </c>
      <c r="P2209" s="116">
        <v>8331.0499999999993</v>
      </c>
      <c r="Q2209" s="116">
        <v>8306.2000000000007</v>
      </c>
      <c r="R2209">
        <v>128466</v>
      </c>
    </row>
    <row r="2210" spans="1:18" x14ac:dyDescent="0.25">
      <c r="A2210" s="170">
        <v>45259</v>
      </c>
      <c r="B2210" s="116">
        <v>8465.4500000000007</v>
      </c>
      <c r="C2210" s="116">
        <v>8387.7000000000007</v>
      </c>
      <c r="D2210" s="116">
        <v>8336</v>
      </c>
      <c r="E2210" s="116">
        <v>8449.9500000000007</v>
      </c>
      <c r="F2210" s="116">
        <v>8387.7000000000007</v>
      </c>
      <c r="G2210">
        <v>4852</v>
      </c>
      <c r="H2210" s="116"/>
      <c r="I2210" s="116"/>
      <c r="L2210" s="170">
        <v>45259</v>
      </c>
      <c r="M2210" s="116">
        <v>8388.5499999999993</v>
      </c>
      <c r="N2210" s="116">
        <v>8470</v>
      </c>
      <c r="O2210" s="116">
        <v>8330.15</v>
      </c>
      <c r="P2210" s="116">
        <v>8340</v>
      </c>
      <c r="Q2210" s="116">
        <v>8388.5499999999993</v>
      </c>
      <c r="R2210">
        <v>138630</v>
      </c>
    </row>
    <row r="2211" spans="1:18" x14ac:dyDescent="0.25">
      <c r="A2211" s="170">
        <v>45260</v>
      </c>
      <c r="B2211" s="116">
        <v>8489.9500000000007</v>
      </c>
      <c r="C2211" s="116">
        <v>8261.5499999999993</v>
      </c>
      <c r="D2211" s="116">
        <v>8206.7999999999993</v>
      </c>
      <c r="E2211" s="116">
        <v>8489.9500000000007</v>
      </c>
      <c r="F2211" s="116">
        <v>8261.5499999999993</v>
      </c>
      <c r="G2211">
        <v>9597</v>
      </c>
      <c r="H2211" s="116"/>
      <c r="I2211" s="116"/>
      <c r="L2211" s="170">
        <v>45260</v>
      </c>
      <c r="M2211" s="116">
        <v>8252.7999999999993</v>
      </c>
      <c r="N2211" s="116">
        <v>8446.85</v>
      </c>
      <c r="O2211" s="116">
        <v>8207</v>
      </c>
      <c r="P2211" s="116">
        <v>8432.1</v>
      </c>
      <c r="Q2211" s="116">
        <v>8252.7999999999993</v>
      </c>
      <c r="R2211">
        <v>314893</v>
      </c>
    </row>
    <row r="2212" spans="1:18" x14ac:dyDescent="0.25">
      <c r="A2212" s="170">
        <v>45261</v>
      </c>
      <c r="B2212" s="116">
        <v>8450</v>
      </c>
      <c r="C2212" s="116">
        <v>8417.7999999999993</v>
      </c>
      <c r="D2212" s="116">
        <v>8328.9500000000007</v>
      </c>
      <c r="E2212" s="116">
        <v>8374.9500000000007</v>
      </c>
      <c r="F2212" s="116">
        <v>8417.7999999999993</v>
      </c>
      <c r="G2212">
        <v>17472</v>
      </c>
      <c r="H2212" s="116"/>
      <c r="I2212" s="116"/>
      <c r="L2212" s="170">
        <v>45261</v>
      </c>
      <c r="M2212" s="116">
        <v>8423.25</v>
      </c>
      <c r="N2212" s="116">
        <v>8440</v>
      </c>
      <c r="O2212" s="116">
        <v>8316.35</v>
      </c>
      <c r="P2212" s="116">
        <v>8333.25</v>
      </c>
      <c r="Q2212" s="116">
        <v>8423.25</v>
      </c>
      <c r="R2212">
        <v>127176</v>
      </c>
    </row>
    <row r="2213" spans="1:18" x14ac:dyDescent="0.25">
      <c r="A2213" s="170">
        <v>45264</v>
      </c>
      <c r="B2213" s="116">
        <v>8500.9</v>
      </c>
      <c r="C2213" s="116">
        <v>8400.7999999999993</v>
      </c>
      <c r="D2213" s="116">
        <v>8341</v>
      </c>
      <c r="E2213" s="116">
        <v>8425.1</v>
      </c>
      <c r="F2213" s="116">
        <v>8400.7999999999993</v>
      </c>
      <c r="G2213">
        <v>5664</v>
      </c>
      <c r="H2213" s="116"/>
      <c r="I2213" s="116"/>
      <c r="L2213" s="170">
        <v>45264</v>
      </c>
      <c r="M2213" s="116">
        <v>8402.7999999999993</v>
      </c>
      <c r="N2213" s="116">
        <v>8500</v>
      </c>
      <c r="O2213" s="116">
        <v>8335</v>
      </c>
      <c r="P2213" s="116">
        <v>8499</v>
      </c>
      <c r="Q2213" s="116">
        <v>8402.7999999999993</v>
      </c>
      <c r="R2213">
        <v>106243</v>
      </c>
    </row>
    <row r="2214" spans="1:18" x14ac:dyDescent="0.25">
      <c r="A2214" s="170">
        <v>45265</v>
      </c>
      <c r="B2214" s="116">
        <v>8447.4500000000007</v>
      </c>
      <c r="C2214" s="116">
        <v>8390.75</v>
      </c>
      <c r="D2214" s="116">
        <v>8357.35</v>
      </c>
      <c r="E2214" s="116">
        <v>8429.9500000000007</v>
      </c>
      <c r="F2214" s="116">
        <v>8390.75</v>
      </c>
      <c r="G2214">
        <v>9882</v>
      </c>
      <c r="H2214" s="116"/>
      <c r="I2214" s="116"/>
      <c r="L2214" s="170">
        <v>45265</v>
      </c>
      <c r="M2214" s="116">
        <v>8392.1</v>
      </c>
      <c r="N2214" s="116">
        <v>8443.35</v>
      </c>
      <c r="O2214" s="116">
        <v>8360</v>
      </c>
      <c r="P2214" s="116">
        <v>8402.0499999999993</v>
      </c>
      <c r="Q2214" s="116">
        <v>8392.1</v>
      </c>
      <c r="R2214">
        <v>81006</v>
      </c>
    </row>
    <row r="2215" spans="1:18" x14ac:dyDescent="0.25">
      <c r="A2215" s="170">
        <v>45266</v>
      </c>
      <c r="B2215" s="116">
        <v>8496</v>
      </c>
      <c r="C2215" s="116">
        <v>8435.5499999999993</v>
      </c>
      <c r="D2215" s="116">
        <v>8392.9500000000007</v>
      </c>
      <c r="E2215" s="116">
        <v>8400</v>
      </c>
      <c r="F2215" s="116">
        <v>8435.5499999999993</v>
      </c>
      <c r="G2215">
        <v>4998</v>
      </c>
      <c r="H2215" s="116"/>
      <c r="I2215" s="116"/>
      <c r="L2215" s="170">
        <v>45266</v>
      </c>
      <c r="M2215" s="116">
        <v>8454.5499999999993</v>
      </c>
      <c r="N2215" s="116">
        <v>8499</v>
      </c>
      <c r="O2215" s="116">
        <v>8380</v>
      </c>
      <c r="P2215" s="116">
        <v>8431.0499999999993</v>
      </c>
      <c r="Q2215" s="116">
        <v>8454.5499999999993</v>
      </c>
      <c r="R2215">
        <v>137436</v>
      </c>
    </row>
    <row r="2216" spans="1:18" x14ac:dyDescent="0.25">
      <c r="A2216" s="170">
        <v>45267</v>
      </c>
      <c r="B2216" s="116">
        <v>8455.0499999999993</v>
      </c>
      <c r="C2216" s="116">
        <v>8365.5</v>
      </c>
      <c r="D2216" s="116">
        <v>8348</v>
      </c>
      <c r="E2216" s="116">
        <v>8404.35</v>
      </c>
      <c r="F2216" s="116">
        <v>8365.5</v>
      </c>
      <c r="G2216">
        <v>2871</v>
      </c>
      <c r="H2216" s="116"/>
      <c r="I2216" s="116"/>
      <c r="L2216" s="170">
        <v>45267</v>
      </c>
      <c r="M2216" s="116">
        <v>8365.4500000000007</v>
      </c>
      <c r="N2216" s="116">
        <v>8469</v>
      </c>
      <c r="O2216" s="116">
        <v>8350</v>
      </c>
      <c r="P2216" s="116">
        <v>8469</v>
      </c>
      <c r="Q2216" s="116">
        <v>8365.4500000000007</v>
      </c>
      <c r="R2216">
        <v>68049</v>
      </c>
    </row>
    <row r="2217" spans="1:18" x14ac:dyDescent="0.25">
      <c r="A2217" s="170">
        <v>45268</v>
      </c>
      <c r="B2217" s="116">
        <v>8417.9500000000007</v>
      </c>
      <c r="C2217" s="116">
        <v>8362.1</v>
      </c>
      <c r="D2217" s="116">
        <v>8300</v>
      </c>
      <c r="E2217" s="116">
        <v>8365.5</v>
      </c>
      <c r="F2217" s="116">
        <v>8362.1</v>
      </c>
      <c r="G2217">
        <v>20076</v>
      </c>
      <c r="H2217" s="116"/>
      <c r="I2217" s="116"/>
      <c r="L2217" s="170">
        <v>45268</v>
      </c>
      <c r="M2217" s="116">
        <v>8365.85</v>
      </c>
      <c r="N2217" s="116">
        <v>8409.75</v>
      </c>
      <c r="O2217" s="116">
        <v>8300</v>
      </c>
      <c r="P2217" s="116">
        <v>8370.0499999999993</v>
      </c>
      <c r="Q2217" s="116">
        <v>8365.85</v>
      </c>
      <c r="R2217">
        <v>81159</v>
      </c>
    </row>
    <row r="2218" spans="1:18" x14ac:dyDescent="0.25">
      <c r="A2218" s="170">
        <v>45271</v>
      </c>
      <c r="B2218" s="116">
        <v>8457.0499999999993</v>
      </c>
      <c r="C2218" s="116">
        <v>8448.7000000000007</v>
      </c>
      <c r="D2218" s="116">
        <v>8371.1</v>
      </c>
      <c r="E2218" s="116">
        <v>8371.1</v>
      </c>
      <c r="F2218" s="116">
        <v>8448.7000000000007</v>
      </c>
      <c r="G2218">
        <v>4472</v>
      </c>
      <c r="H2218" s="116"/>
      <c r="I2218" s="116"/>
      <c r="L2218" s="170">
        <v>45271</v>
      </c>
      <c r="M2218" s="116">
        <v>8446.25</v>
      </c>
      <c r="N2218" s="116">
        <v>8460</v>
      </c>
      <c r="O2218" s="116">
        <v>8400</v>
      </c>
      <c r="P2218" s="116">
        <v>8401.7000000000007</v>
      </c>
      <c r="Q2218" s="116">
        <v>8446.25</v>
      </c>
      <c r="R2218">
        <v>81052</v>
      </c>
    </row>
    <row r="2219" spans="1:18" x14ac:dyDescent="0.25">
      <c r="A2219" s="170">
        <v>45272</v>
      </c>
      <c r="B2219" s="116">
        <v>8989</v>
      </c>
      <c r="C2219" s="116">
        <v>8903.65</v>
      </c>
      <c r="D2219" s="116">
        <v>8455</v>
      </c>
      <c r="E2219" s="116">
        <v>8455</v>
      </c>
      <c r="F2219" s="116">
        <v>8903.65</v>
      </c>
      <c r="G2219">
        <v>83002</v>
      </c>
      <c r="H2219" s="116"/>
      <c r="I2219" s="116"/>
      <c r="L2219" s="170">
        <v>45272</v>
      </c>
      <c r="M2219" s="116">
        <v>8901.9</v>
      </c>
      <c r="N2219" s="116">
        <v>8994.7000000000007</v>
      </c>
      <c r="O2219" s="116">
        <v>8450.9</v>
      </c>
      <c r="P2219" s="116">
        <v>8450.9</v>
      </c>
      <c r="Q2219" s="116">
        <v>8901.9</v>
      </c>
      <c r="R2219">
        <v>957240</v>
      </c>
    </row>
    <row r="2220" spans="1:18" x14ac:dyDescent="0.25">
      <c r="A2220" s="170">
        <v>45273</v>
      </c>
      <c r="B2220" s="116">
        <v>8903.6</v>
      </c>
      <c r="C2220" s="116">
        <v>8863.75</v>
      </c>
      <c r="D2220" s="116">
        <v>8715</v>
      </c>
      <c r="E2220" s="116">
        <v>8903.6</v>
      </c>
      <c r="F2220" s="116">
        <v>8863.75</v>
      </c>
      <c r="G2220">
        <v>20400</v>
      </c>
      <c r="H2220" s="116"/>
      <c r="I2220" s="116"/>
      <c r="L2220" s="170">
        <v>45273</v>
      </c>
      <c r="M2220" s="116">
        <v>8858.75</v>
      </c>
      <c r="N2220" s="116">
        <v>8940</v>
      </c>
      <c r="O2220" s="116">
        <v>8714.35</v>
      </c>
      <c r="P2220" s="116">
        <v>8892.25</v>
      </c>
      <c r="Q2220" s="116">
        <v>8858.75</v>
      </c>
      <c r="R2220">
        <v>189094</v>
      </c>
    </row>
    <row r="2221" spans="1:18" x14ac:dyDescent="0.25">
      <c r="A2221" s="170">
        <v>45274</v>
      </c>
      <c r="B2221" s="116">
        <v>9180</v>
      </c>
      <c r="C2221" s="116">
        <v>8972.7000000000007</v>
      </c>
      <c r="D2221" s="116">
        <v>8907.2000000000007</v>
      </c>
      <c r="E2221" s="116">
        <v>8940.9</v>
      </c>
      <c r="F2221" s="116">
        <v>8972.7000000000007</v>
      </c>
      <c r="G2221">
        <v>37899</v>
      </c>
      <c r="H2221" s="116"/>
      <c r="I2221" s="116"/>
      <c r="L2221" s="170">
        <v>45274</v>
      </c>
      <c r="M2221" s="116">
        <v>8985.65</v>
      </c>
      <c r="N2221" s="116">
        <v>9183.25</v>
      </c>
      <c r="O2221" s="116">
        <v>8920</v>
      </c>
      <c r="P2221" s="116">
        <v>8949.9</v>
      </c>
      <c r="Q2221" s="116">
        <v>8985.65</v>
      </c>
      <c r="R2221">
        <v>376386</v>
      </c>
    </row>
    <row r="2222" spans="1:18" x14ac:dyDescent="0.25">
      <c r="A2222" s="170">
        <v>45275</v>
      </c>
      <c r="B2222" s="116">
        <v>9147.85</v>
      </c>
      <c r="C2222" s="116">
        <v>9057.85</v>
      </c>
      <c r="D2222" s="116">
        <v>8969</v>
      </c>
      <c r="E2222" s="116">
        <v>8994.1</v>
      </c>
      <c r="F2222" s="116">
        <v>9057.85</v>
      </c>
      <c r="G2222">
        <v>9697</v>
      </c>
      <c r="H2222" s="116"/>
      <c r="I2222" s="116"/>
      <c r="L2222" s="170">
        <v>45275</v>
      </c>
      <c r="M2222" s="116">
        <v>9053.6</v>
      </c>
      <c r="N2222" s="116">
        <v>9145.5</v>
      </c>
      <c r="O2222" s="116">
        <v>8960.9500000000007</v>
      </c>
      <c r="P2222" s="116">
        <v>8985.0499999999993</v>
      </c>
      <c r="Q2222" s="116">
        <v>9053.6</v>
      </c>
      <c r="R2222">
        <v>227532</v>
      </c>
    </row>
    <row r="2223" spans="1:18" x14ac:dyDescent="0.25">
      <c r="A2223" s="170">
        <v>45278</v>
      </c>
      <c r="B2223" s="116">
        <v>9191.1</v>
      </c>
      <c r="C2223" s="116">
        <v>9088.1</v>
      </c>
      <c r="D2223" s="116">
        <v>8987.1</v>
      </c>
      <c r="E2223" s="116">
        <v>9099.9500000000007</v>
      </c>
      <c r="F2223" s="116">
        <v>9088.1</v>
      </c>
      <c r="G2223">
        <v>16018</v>
      </c>
      <c r="H2223" s="116"/>
      <c r="I2223" s="116"/>
      <c r="L2223" s="170">
        <v>45278</v>
      </c>
      <c r="M2223" s="116">
        <v>9087.35</v>
      </c>
      <c r="N2223" s="116">
        <v>9200</v>
      </c>
      <c r="O2223" s="116">
        <v>9001.25</v>
      </c>
      <c r="P2223" s="116">
        <v>9060.0499999999993</v>
      </c>
      <c r="Q2223" s="116">
        <v>9087.35</v>
      </c>
      <c r="R2223">
        <v>136439</v>
      </c>
    </row>
    <row r="2224" spans="1:18" x14ac:dyDescent="0.25">
      <c r="A2224" s="170">
        <v>45279</v>
      </c>
      <c r="B2224" s="116">
        <v>9139.4</v>
      </c>
      <c r="C2224" s="116">
        <v>8900.35</v>
      </c>
      <c r="D2224" s="116">
        <v>8876.25</v>
      </c>
      <c r="E2224" s="116">
        <v>9088.1</v>
      </c>
      <c r="F2224" s="116">
        <v>8900.35</v>
      </c>
      <c r="G2224">
        <v>19091</v>
      </c>
      <c r="H2224" s="116"/>
      <c r="I2224" s="116"/>
      <c r="L2224" s="170">
        <v>45279</v>
      </c>
      <c r="M2224" s="116">
        <v>8900.75</v>
      </c>
      <c r="N2224" s="116">
        <v>9140</v>
      </c>
      <c r="O2224" s="116">
        <v>8870</v>
      </c>
      <c r="P2224" s="116">
        <v>9099</v>
      </c>
      <c r="Q2224" s="116">
        <v>8900.75</v>
      </c>
      <c r="R2224">
        <v>145418</v>
      </c>
    </row>
    <row r="2225" spans="1:18" x14ac:dyDescent="0.25">
      <c r="A2225" s="170">
        <v>45280</v>
      </c>
      <c r="B2225" s="116">
        <v>9022.75</v>
      </c>
      <c r="C2225" s="116">
        <v>8598.0499999999993</v>
      </c>
      <c r="D2225" s="116">
        <v>8500.5499999999993</v>
      </c>
      <c r="E2225" s="116">
        <v>8984.25</v>
      </c>
      <c r="F2225" s="116">
        <v>8598.0499999999993</v>
      </c>
      <c r="G2225">
        <v>8410</v>
      </c>
      <c r="H2225" s="116"/>
      <c r="I2225" s="116"/>
      <c r="L2225" s="170">
        <v>45280</v>
      </c>
      <c r="M2225" s="116">
        <v>8608.35</v>
      </c>
      <c r="N2225" s="116">
        <v>9029</v>
      </c>
      <c r="O2225" s="116">
        <v>8500</v>
      </c>
      <c r="P2225" s="116">
        <v>8935</v>
      </c>
      <c r="Q2225" s="116">
        <v>8608.35</v>
      </c>
      <c r="R2225">
        <v>140635</v>
      </c>
    </row>
    <row r="2226" spans="1:18" x14ac:dyDescent="0.25">
      <c r="A2226" s="170">
        <v>45281</v>
      </c>
      <c r="B2226" s="116">
        <v>8798.7999999999993</v>
      </c>
      <c r="C2226" s="116">
        <v>8745.85</v>
      </c>
      <c r="D2226" s="116">
        <v>8420.9500000000007</v>
      </c>
      <c r="E2226" s="116">
        <v>8512.0499999999993</v>
      </c>
      <c r="F2226" s="116">
        <v>8745.85</v>
      </c>
      <c r="G2226">
        <v>9519</v>
      </c>
      <c r="H2226" s="116"/>
      <c r="I2226" s="116"/>
      <c r="L2226" s="170">
        <v>45281</v>
      </c>
      <c r="M2226" s="116">
        <v>8770.4500000000007</v>
      </c>
      <c r="N2226" s="116">
        <v>8800</v>
      </c>
      <c r="O2226" s="116">
        <v>8408.35</v>
      </c>
      <c r="P2226" s="116">
        <v>8520</v>
      </c>
      <c r="Q2226" s="116">
        <v>8770.4500000000007</v>
      </c>
      <c r="R2226">
        <v>169773</v>
      </c>
    </row>
    <row r="2227" spans="1:18" x14ac:dyDescent="0.25">
      <c r="A2227" s="170">
        <v>45282</v>
      </c>
      <c r="B2227" s="116">
        <v>8899.9500000000007</v>
      </c>
      <c r="C2227" s="116">
        <v>8870.6</v>
      </c>
      <c r="D2227" s="116">
        <v>8767.7999999999993</v>
      </c>
      <c r="E2227" s="116">
        <v>8899.9500000000007</v>
      </c>
      <c r="F2227" s="116">
        <v>8870.6</v>
      </c>
      <c r="G2227">
        <v>5633</v>
      </c>
      <c r="H2227" s="116"/>
      <c r="I2227" s="116"/>
      <c r="L2227" s="170">
        <v>45282</v>
      </c>
      <c r="M2227" s="116">
        <v>8870.65</v>
      </c>
      <c r="N2227" s="116">
        <v>8899.9500000000007</v>
      </c>
      <c r="O2227" s="116">
        <v>8770.4</v>
      </c>
      <c r="P2227" s="116">
        <v>8770.4500000000007</v>
      </c>
      <c r="Q2227" s="116">
        <v>8870.65</v>
      </c>
      <c r="R2227">
        <v>94150</v>
      </c>
    </row>
    <row r="2228" spans="1:18" x14ac:dyDescent="0.25">
      <c r="A2228" s="170">
        <v>45286</v>
      </c>
      <c r="B2228" s="116">
        <v>8944.85</v>
      </c>
      <c r="C2228" s="116">
        <v>8863.2999999999993</v>
      </c>
      <c r="D2228" s="116">
        <v>8825</v>
      </c>
      <c r="E2228" s="116">
        <v>8913.5</v>
      </c>
      <c r="F2228" s="116">
        <v>8863.2999999999993</v>
      </c>
      <c r="G2228">
        <v>5722</v>
      </c>
      <c r="H2228" s="116"/>
      <c r="I2228" s="116"/>
      <c r="L2228" s="170">
        <v>45286</v>
      </c>
      <c r="M2228" s="116">
        <v>8860.2999999999993</v>
      </c>
      <c r="N2228" s="116">
        <v>8930</v>
      </c>
      <c r="O2228" s="116">
        <v>8824</v>
      </c>
      <c r="P2228" s="116">
        <v>8914</v>
      </c>
      <c r="Q2228" s="116">
        <v>8860.2999999999993</v>
      </c>
      <c r="R2228">
        <v>59102</v>
      </c>
    </row>
    <row r="2229" spans="1:18" x14ac:dyDescent="0.25">
      <c r="A2229" s="170">
        <v>45287</v>
      </c>
      <c r="B2229" s="116">
        <v>8924.9500000000007</v>
      </c>
      <c r="C2229" s="116">
        <v>8802</v>
      </c>
      <c r="D2229" s="116">
        <v>8779.2000000000007</v>
      </c>
      <c r="E2229" s="116">
        <v>8906</v>
      </c>
      <c r="F2229" s="116">
        <v>8802</v>
      </c>
      <c r="G2229">
        <v>9539</v>
      </c>
      <c r="H2229" s="116"/>
      <c r="I2229" s="116"/>
      <c r="L2229" s="170">
        <v>45287</v>
      </c>
      <c r="M2229" s="116">
        <v>8801.5</v>
      </c>
      <c r="N2229" s="116">
        <v>8925.5499999999993</v>
      </c>
      <c r="O2229" s="116">
        <v>8781</v>
      </c>
      <c r="P2229" s="116">
        <v>8897</v>
      </c>
      <c r="Q2229" s="116">
        <v>8801.5</v>
      </c>
      <c r="R2229">
        <v>58680</v>
      </c>
    </row>
    <row r="2230" spans="1:18" x14ac:dyDescent="0.25">
      <c r="A2230" s="170">
        <v>45288</v>
      </c>
      <c r="B2230" s="116">
        <v>8858.9500000000007</v>
      </c>
      <c r="C2230" s="116">
        <v>8754.85</v>
      </c>
      <c r="D2230" s="116">
        <v>8746.2000000000007</v>
      </c>
      <c r="E2230" s="116">
        <v>8858.9500000000007</v>
      </c>
      <c r="F2230" s="116">
        <v>8754.85</v>
      </c>
      <c r="G2230">
        <v>10236</v>
      </c>
      <c r="H2230" s="116"/>
      <c r="I2230" s="116"/>
      <c r="L2230" s="170">
        <v>45288</v>
      </c>
      <c r="M2230" s="116">
        <v>8757.9500000000007</v>
      </c>
      <c r="N2230" s="116">
        <v>8855</v>
      </c>
      <c r="O2230" s="116">
        <v>8742</v>
      </c>
      <c r="P2230" s="116">
        <v>8850</v>
      </c>
      <c r="Q2230" s="116">
        <v>8757.9500000000007</v>
      </c>
      <c r="R2230">
        <v>52729</v>
      </c>
    </row>
    <row r="2231" spans="1:18" x14ac:dyDescent="0.25">
      <c r="A2231" s="170">
        <v>45289</v>
      </c>
      <c r="B2231" s="116">
        <v>8783</v>
      </c>
      <c r="C2231" s="116">
        <v>8757.7000000000007</v>
      </c>
      <c r="D2231" s="116">
        <v>8700.15</v>
      </c>
      <c r="E2231" s="116">
        <v>8757</v>
      </c>
      <c r="F2231" s="116">
        <v>8757.7000000000007</v>
      </c>
      <c r="G2231">
        <v>4996</v>
      </c>
      <c r="H2231" s="116"/>
      <c r="I2231" s="116"/>
      <c r="L2231" s="170">
        <v>45289</v>
      </c>
      <c r="M2231" s="116">
        <v>8753.4500000000007</v>
      </c>
      <c r="N2231" s="116">
        <v>8799.15</v>
      </c>
      <c r="O2231" s="116">
        <v>8701.5</v>
      </c>
      <c r="P2231" s="116">
        <v>8799.15</v>
      </c>
      <c r="Q2231" s="116">
        <v>8753.4500000000007</v>
      </c>
      <c r="R2231">
        <v>67924</v>
      </c>
    </row>
    <row r="2232" spans="1:18" x14ac:dyDescent="0.25">
      <c r="A2232" s="170">
        <v>45292</v>
      </c>
      <c r="B2232" s="116">
        <v>8789.9</v>
      </c>
      <c r="C2232" s="116">
        <v>8746.7000000000007</v>
      </c>
      <c r="D2232" s="116">
        <v>8708.4500000000007</v>
      </c>
      <c r="E2232" s="116">
        <v>8759</v>
      </c>
      <c r="F2232" s="116">
        <v>8746.7000000000007</v>
      </c>
      <c r="G2232">
        <v>7177</v>
      </c>
      <c r="H2232" s="116"/>
      <c r="I2232" s="116"/>
      <c r="L2232" s="170">
        <v>45292</v>
      </c>
      <c r="M2232" s="116">
        <v>8744.2000000000007</v>
      </c>
      <c r="N2232" s="116">
        <v>8793</v>
      </c>
      <c r="O2232" s="116">
        <v>8710</v>
      </c>
      <c r="P2232" s="116">
        <v>8793</v>
      </c>
      <c r="Q2232" s="116">
        <v>8744.2000000000007</v>
      </c>
      <c r="R2232">
        <v>34849</v>
      </c>
    </row>
    <row r="2233" spans="1:18" x14ac:dyDescent="0.25">
      <c r="A2233" s="170">
        <v>45293</v>
      </c>
      <c r="B2233" s="116">
        <v>8789.9500000000007</v>
      </c>
      <c r="C2233" s="116">
        <v>8709.85</v>
      </c>
      <c r="D2233" s="116">
        <v>8609</v>
      </c>
      <c r="E2233" s="116">
        <v>8746.7000000000007</v>
      </c>
      <c r="F2233" s="116">
        <v>8709.85</v>
      </c>
      <c r="G2233">
        <v>8496</v>
      </c>
      <c r="H2233" s="116"/>
      <c r="I2233" s="116"/>
      <c r="L2233" s="170">
        <v>45293</v>
      </c>
      <c r="M2233" s="116">
        <v>8711.4500000000007</v>
      </c>
      <c r="N2233" s="116">
        <v>8784.6</v>
      </c>
      <c r="O2233" s="116">
        <v>8609</v>
      </c>
      <c r="P2233" s="116">
        <v>8740</v>
      </c>
      <c r="Q2233" s="116">
        <v>8711.4500000000007</v>
      </c>
      <c r="R2233">
        <v>47188</v>
      </c>
    </row>
    <row r="2234" spans="1:18" x14ac:dyDescent="0.25">
      <c r="A2234" s="170">
        <v>45294</v>
      </c>
      <c r="B2234" s="116">
        <v>8723.1</v>
      </c>
      <c r="C2234" s="116">
        <v>8612.9500000000007</v>
      </c>
      <c r="D2234" s="116">
        <v>8600</v>
      </c>
      <c r="E2234" s="116">
        <v>8713.5499999999993</v>
      </c>
      <c r="F2234" s="116">
        <v>8612.9500000000007</v>
      </c>
      <c r="G2234">
        <v>3727</v>
      </c>
      <c r="H2234" s="116"/>
      <c r="I2234" s="116"/>
      <c r="L2234" s="170">
        <v>45294</v>
      </c>
      <c r="M2234" s="116">
        <v>8607.5499999999993</v>
      </c>
      <c r="N2234" s="116">
        <v>8728.7999999999993</v>
      </c>
      <c r="O2234" s="116">
        <v>8600</v>
      </c>
      <c r="P2234" s="116">
        <v>8722.9500000000007</v>
      </c>
      <c r="Q2234" s="116">
        <v>8607.5499999999993</v>
      </c>
      <c r="R2234">
        <v>53427</v>
      </c>
    </row>
    <row r="2235" spans="1:18" x14ac:dyDescent="0.25">
      <c r="A2235" s="170">
        <v>45295</v>
      </c>
      <c r="B2235" s="116">
        <v>8699</v>
      </c>
      <c r="C2235" s="116">
        <v>8634.7999999999993</v>
      </c>
      <c r="D2235" s="116">
        <v>8610</v>
      </c>
      <c r="E2235" s="116">
        <v>8612.9500000000007</v>
      </c>
      <c r="F2235" s="116">
        <v>8634.7999999999993</v>
      </c>
      <c r="G2235">
        <v>10223</v>
      </c>
      <c r="H2235" s="116"/>
      <c r="I2235" s="116"/>
      <c r="L2235" s="170">
        <v>45295</v>
      </c>
      <c r="M2235" s="116">
        <v>8639.65</v>
      </c>
      <c r="N2235" s="116">
        <v>8698</v>
      </c>
      <c r="O2235" s="116">
        <v>8607.5499999999993</v>
      </c>
      <c r="P2235" s="116">
        <v>8607.5499999999993</v>
      </c>
      <c r="Q2235" s="116">
        <v>8639.65</v>
      </c>
      <c r="R2235">
        <v>51866</v>
      </c>
    </row>
    <row r="2236" spans="1:18" x14ac:dyDescent="0.25">
      <c r="A2236" s="170">
        <v>45296</v>
      </c>
      <c r="B2236" s="116">
        <v>8712.5</v>
      </c>
      <c r="C2236" s="116">
        <v>8642.85</v>
      </c>
      <c r="D2236" s="116">
        <v>8580</v>
      </c>
      <c r="E2236" s="116">
        <v>8651.1</v>
      </c>
      <c r="F2236" s="116">
        <v>8642.85</v>
      </c>
      <c r="G2236">
        <v>3586</v>
      </c>
      <c r="H2236" s="116"/>
      <c r="I2236" s="116"/>
      <c r="L2236" s="170">
        <v>45296</v>
      </c>
      <c r="M2236" s="116">
        <v>8645.85</v>
      </c>
      <c r="N2236" s="116">
        <v>8718.9500000000007</v>
      </c>
      <c r="O2236" s="116">
        <v>8575.1</v>
      </c>
      <c r="P2236" s="116">
        <v>8677.9500000000007</v>
      </c>
      <c r="Q2236" s="116">
        <v>8645.85</v>
      </c>
      <c r="R2236">
        <v>48283</v>
      </c>
    </row>
    <row r="2237" spans="1:18" x14ac:dyDescent="0.25">
      <c r="A2237" s="170">
        <v>45299</v>
      </c>
      <c r="B2237" s="116">
        <v>8698.5499999999993</v>
      </c>
      <c r="C2237" s="116">
        <v>8586.0499999999993</v>
      </c>
      <c r="D2237" s="116">
        <v>8570</v>
      </c>
      <c r="E2237" s="116">
        <v>8643</v>
      </c>
      <c r="F2237" s="116">
        <v>8586.0499999999993</v>
      </c>
      <c r="G2237">
        <v>3598</v>
      </c>
      <c r="H2237" s="116"/>
      <c r="I2237" s="116"/>
      <c r="L2237" s="170">
        <v>45299</v>
      </c>
      <c r="M2237" s="116">
        <v>8584.15</v>
      </c>
      <c r="N2237" s="116">
        <v>8695</v>
      </c>
      <c r="O2237" s="116">
        <v>8565.1</v>
      </c>
      <c r="P2237" s="116">
        <v>8647.7000000000007</v>
      </c>
      <c r="Q2237" s="116">
        <v>8584.15</v>
      </c>
      <c r="R2237">
        <v>43107</v>
      </c>
    </row>
    <row r="2238" spans="1:18" x14ac:dyDescent="0.25">
      <c r="A2238" s="170">
        <v>45300</v>
      </c>
      <c r="B2238" s="116">
        <v>8740</v>
      </c>
      <c r="C2238" s="116">
        <v>8635.65</v>
      </c>
      <c r="D2238" s="116">
        <v>8600.15</v>
      </c>
      <c r="E2238" s="116">
        <v>8600.15</v>
      </c>
      <c r="F2238" s="116">
        <v>8635.65</v>
      </c>
      <c r="G2238">
        <v>12564</v>
      </c>
      <c r="H2238" s="116"/>
      <c r="I2238" s="116"/>
      <c r="L2238" s="170">
        <v>45300</v>
      </c>
      <c r="M2238" s="116">
        <v>8643.6</v>
      </c>
      <c r="N2238" s="116">
        <v>8744.4</v>
      </c>
      <c r="O2238" s="116">
        <v>8610</v>
      </c>
      <c r="P2238" s="116">
        <v>8650</v>
      </c>
      <c r="Q2238" s="116">
        <v>8643.6</v>
      </c>
      <c r="R2238">
        <v>75444</v>
      </c>
    </row>
    <row r="2239" spans="1:18" x14ac:dyDescent="0.25">
      <c r="A2239" s="170">
        <v>45301</v>
      </c>
      <c r="B2239" s="116">
        <v>8800</v>
      </c>
      <c r="C2239" s="116">
        <v>8759.5</v>
      </c>
      <c r="D2239" s="116">
        <v>8599.9</v>
      </c>
      <c r="E2239" s="116">
        <v>8643.4500000000007</v>
      </c>
      <c r="F2239" s="116">
        <v>8759.5</v>
      </c>
      <c r="G2239">
        <v>3985</v>
      </c>
      <c r="H2239" s="116"/>
      <c r="I2239" s="116"/>
      <c r="L2239" s="170">
        <v>45301</v>
      </c>
      <c r="M2239" s="116">
        <v>8755.4500000000007</v>
      </c>
      <c r="N2239" s="116">
        <v>8800</v>
      </c>
      <c r="O2239" s="116">
        <v>8602.2999999999993</v>
      </c>
      <c r="P2239" s="116">
        <v>8679</v>
      </c>
      <c r="Q2239" s="116">
        <v>8755.4500000000007</v>
      </c>
      <c r="R2239">
        <v>63726</v>
      </c>
    </row>
    <row r="2240" spans="1:18" x14ac:dyDescent="0.25">
      <c r="A2240" s="170">
        <v>45302</v>
      </c>
      <c r="B2240" s="116">
        <v>8863</v>
      </c>
      <c r="C2240" s="116">
        <v>8715.2000000000007</v>
      </c>
      <c r="D2240" s="116">
        <v>8691.2999999999993</v>
      </c>
      <c r="E2240" s="116">
        <v>8791.1</v>
      </c>
      <c r="F2240" s="116">
        <v>8715.2000000000007</v>
      </c>
      <c r="G2240">
        <v>12502</v>
      </c>
      <c r="H2240" s="116"/>
      <c r="I2240" s="116"/>
      <c r="L2240" s="170">
        <v>45302</v>
      </c>
      <c r="M2240" s="116">
        <v>8720.7999999999993</v>
      </c>
      <c r="N2240" s="116">
        <v>8868.65</v>
      </c>
      <c r="O2240" s="116">
        <v>8700</v>
      </c>
      <c r="P2240" s="116">
        <v>8800</v>
      </c>
      <c r="Q2240" s="116">
        <v>8720.7999999999993</v>
      </c>
      <c r="R2240">
        <v>79837</v>
      </c>
    </row>
    <row r="2241" spans="1:18" x14ac:dyDescent="0.25">
      <c r="A2241" s="170">
        <v>45303</v>
      </c>
      <c r="B2241" s="116">
        <v>8948.4</v>
      </c>
      <c r="C2241" s="116">
        <v>8731.2999999999993</v>
      </c>
      <c r="D2241" s="116">
        <v>8711.7999999999993</v>
      </c>
      <c r="E2241" s="116">
        <v>8741.65</v>
      </c>
      <c r="F2241" s="116">
        <v>8731.2999999999993</v>
      </c>
      <c r="G2241">
        <v>7164</v>
      </c>
      <c r="H2241" s="116"/>
      <c r="I2241" s="116"/>
      <c r="L2241" s="170">
        <v>45303</v>
      </c>
      <c r="M2241" s="116">
        <v>8737.25</v>
      </c>
      <c r="N2241" s="116">
        <v>8949</v>
      </c>
      <c r="O2241" s="116">
        <v>8712.15</v>
      </c>
      <c r="P2241" s="116">
        <v>8799.9</v>
      </c>
      <c r="Q2241" s="116">
        <v>8737.25</v>
      </c>
      <c r="R2241">
        <v>156840</v>
      </c>
    </row>
    <row r="2242" spans="1:18" x14ac:dyDescent="0.25">
      <c r="A2242" s="170">
        <v>45306</v>
      </c>
      <c r="B2242" s="116">
        <v>8814.4500000000007</v>
      </c>
      <c r="C2242" s="116">
        <v>8720.2000000000007</v>
      </c>
      <c r="D2242" s="116">
        <v>8682.25</v>
      </c>
      <c r="E2242" s="116">
        <v>8814.4500000000007</v>
      </c>
      <c r="F2242" s="116">
        <v>8720.2000000000007</v>
      </c>
      <c r="G2242">
        <v>20610</v>
      </c>
      <c r="H2242" s="116"/>
      <c r="I2242" s="116"/>
      <c r="L2242" s="170">
        <v>45306</v>
      </c>
      <c r="M2242" s="116">
        <v>8716.65</v>
      </c>
      <c r="N2242" s="116">
        <v>8819.9</v>
      </c>
      <c r="O2242" s="116">
        <v>8677.25</v>
      </c>
      <c r="P2242" s="116">
        <v>8797.4500000000007</v>
      </c>
      <c r="Q2242" s="116">
        <v>8716.65</v>
      </c>
      <c r="R2242">
        <v>75064</v>
      </c>
    </row>
    <row r="2243" spans="1:18" x14ac:dyDescent="0.25">
      <c r="A2243" s="170">
        <v>45307</v>
      </c>
      <c r="B2243" s="116">
        <v>8729.9500000000007</v>
      </c>
      <c r="C2243" s="116">
        <v>8606.75</v>
      </c>
      <c r="D2243" s="116">
        <v>8585.5499999999993</v>
      </c>
      <c r="E2243" s="116">
        <v>8706.35</v>
      </c>
      <c r="F2243" s="116">
        <v>8606.75</v>
      </c>
      <c r="G2243">
        <v>11161</v>
      </c>
      <c r="H2243" s="116"/>
      <c r="I2243" s="116"/>
      <c r="L2243" s="170">
        <v>45307</v>
      </c>
      <c r="M2243" s="116">
        <v>8604.5499999999993</v>
      </c>
      <c r="N2243" s="116">
        <v>8730.7999999999993</v>
      </c>
      <c r="O2243" s="116">
        <v>8580.2999999999993</v>
      </c>
      <c r="P2243" s="116">
        <v>8719.9</v>
      </c>
      <c r="Q2243" s="116">
        <v>8604.5499999999993</v>
      </c>
      <c r="R2243">
        <v>61082</v>
      </c>
    </row>
    <row r="2244" spans="1:18" x14ac:dyDescent="0.25">
      <c r="A2244" s="170">
        <v>45308</v>
      </c>
      <c r="B2244" s="116">
        <v>8638</v>
      </c>
      <c r="C2244" s="116">
        <v>8597.4</v>
      </c>
      <c r="D2244" s="116">
        <v>8520</v>
      </c>
      <c r="E2244" s="116">
        <v>8572.9500000000007</v>
      </c>
      <c r="F2244" s="116">
        <v>8597.4</v>
      </c>
      <c r="G2244">
        <v>10047</v>
      </c>
      <c r="H2244" s="116"/>
      <c r="I2244" s="116"/>
      <c r="L2244" s="170">
        <v>45308</v>
      </c>
      <c r="M2244" s="116">
        <v>8597.7999999999993</v>
      </c>
      <c r="N2244" s="116">
        <v>8640</v>
      </c>
      <c r="O2244" s="116">
        <v>8511</v>
      </c>
      <c r="P2244" s="116">
        <v>8599</v>
      </c>
      <c r="Q2244" s="116">
        <v>8597.7999999999993</v>
      </c>
      <c r="R2244">
        <v>73451</v>
      </c>
    </row>
    <row r="2245" spans="1:18" x14ac:dyDescent="0.25">
      <c r="A2245" s="170">
        <v>45309</v>
      </c>
      <c r="B2245" s="116">
        <v>8558.65</v>
      </c>
      <c r="C2245" s="116">
        <v>8309.5</v>
      </c>
      <c r="D2245" s="116">
        <v>8040.3</v>
      </c>
      <c r="E2245" s="116">
        <v>8550</v>
      </c>
      <c r="F2245" s="116">
        <v>8309.5</v>
      </c>
      <c r="G2245">
        <v>13740</v>
      </c>
      <c r="H2245" s="116"/>
      <c r="I2245" s="116"/>
      <c r="L2245" s="170">
        <v>45309</v>
      </c>
      <c r="M2245" s="116">
        <v>8310.7000000000007</v>
      </c>
      <c r="N2245" s="116">
        <v>8579.9500000000007</v>
      </c>
      <c r="O2245" s="116">
        <v>8033.6</v>
      </c>
      <c r="P2245" s="116">
        <v>8550</v>
      </c>
      <c r="Q2245" s="116">
        <v>8310.7000000000007</v>
      </c>
      <c r="R2245">
        <v>306055</v>
      </c>
    </row>
    <row r="2246" spans="1:18" x14ac:dyDescent="0.25">
      <c r="A2246" s="170">
        <v>45310</v>
      </c>
      <c r="B2246" s="116">
        <v>8475.6</v>
      </c>
      <c r="C2246" s="116">
        <v>8302.4500000000007</v>
      </c>
      <c r="D2246" s="116">
        <v>8264.2999999999993</v>
      </c>
      <c r="E2246" s="116">
        <v>8475.6</v>
      </c>
      <c r="F2246" s="116">
        <v>8302.4500000000007</v>
      </c>
      <c r="G2246">
        <v>5219</v>
      </c>
      <c r="H2246" s="116"/>
      <c r="I2246" s="116"/>
      <c r="L2246" s="170">
        <v>45310</v>
      </c>
      <c r="M2246" s="116">
        <v>8307.2999999999993</v>
      </c>
      <c r="N2246" s="116">
        <v>8610.7000000000007</v>
      </c>
      <c r="O2246" s="116">
        <v>8231.85</v>
      </c>
      <c r="P2246" s="116">
        <v>8409</v>
      </c>
      <c r="Q2246" s="116">
        <v>8307.2999999999993</v>
      </c>
      <c r="R2246">
        <v>97841</v>
      </c>
    </row>
    <row r="2247" spans="1:18" x14ac:dyDescent="0.25">
      <c r="A2247" s="170">
        <v>45311</v>
      </c>
      <c r="B2247" s="116">
        <v>8395.2000000000007</v>
      </c>
      <c r="C2247" s="116">
        <v>8286.0499999999993</v>
      </c>
      <c r="D2247" s="116">
        <v>8274.2999999999993</v>
      </c>
      <c r="E2247" s="116">
        <v>8350.65</v>
      </c>
      <c r="F2247" s="116">
        <v>8286.0499999999993</v>
      </c>
      <c r="G2247">
        <v>3361</v>
      </c>
      <c r="H2247" s="116"/>
      <c r="I2247" s="116"/>
      <c r="L2247" s="170">
        <v>45311</v>
      </c>
      <c r="M2247" s="116">
        <v>8290.25</v>
      </c>
      <c r="N2247" s="116">
        <v>8388</v>
      </c>
      <c r="O2247" s="116">
        <v>8276.9</v>
      </c>
      <c r="P2247" s="116">
        <v>8380</v>
      </c>
      <c r="Q2247" s="116">
        <v>8290.25</v>
      </c>
      <c r="R2247">
        <v>31365</v>
      </c>
    </row>
    <row r="2248" spans="1:18" x14ac:dyDescent="0.25">
      <c r="A2248" s="170">
        <v>45314</v>
      </c>
      <c r="B2248" s="116">
        <v>8357.2999999999993</v>
      </c>
      <c r="C2248" s="116">
        <v>8193.65</v>
      </c>
      <c r="D2248" s="116">
        <v>8080</v>
      </c>
      <c r="E2248" s="116">
        <v>8286.2000000000007</v>
      </c>
      <c r="F2248" s="116">
        <v>8193.65</v>
      </c>
      <c r="G2248">
        <v>7569</v>
      </c>
      <c r="H2248" s="116"/>
      <c r="I2248" s="116"/>
      <c r="L2248" s="170">
        <v>45314</v>
      </c>
      <c r="M2248" s="116">
        <v>8195.7000000000007</v>
      </c>
      <c r="N2248" s="116">
        <v>8358</v>
      </c>
      <c r="O2248" s="116">
        <v>8075.45</v>
      </c>
      <c r="P2248" s="116">
        <v>8300</v>
      </c>
      <c r="Q2248" s="116">
        <v>8195.7000000000007</v>
      </c>
      <c r="R2248">
        <v>117490</v>
      </c>
    </row>
    <row r="2249" spans="1:18" x14ac:dyDescent="0.25">
      <c r="A2249" s="170">
        <v>45315</v>
      </c>
      <c r="B2249" s="116">
        <v>8099</v>
      </c>
      <c r="C2249" s="116">
        <v>7766.65</v>
      </c>
      <c r="D2249" s="116">
        <v>7750</v>
      </c>
      <c r="E2249" s="116">
        <v>8099</v>
      </c>
      <c r="F2249" s="116">
        <v>7766.65</v>
      </c>
      <c r="G2249">
        <v>16832</v>
      </c>
      <c r="H2249" s="116"/>
      <c r="I2249" s="116"/>
      <c r="L2249" s="170">
        <v>45315</v>
      </c>
      <c r="M2249" s="116">
        <v>7768.45</v>
      </c>
      <c r="N2249" s="116">
        <v>8150</v>
      </c>
      <c r="O2249" s="116">
        <v>7744.1</v>
      </c>
      <c r="P2249" s="116">
        <v>8000</v>
      </c>
      <c r="Q2249" s="116">
        <v>7768.45</v>
      </c>
      <c r="R2249">
        <v>400343</v>
      </c>
    </row>
    <row r="2250" spans="1:18" x14ac:dyDescent="0.25">
      <c r="A2250" s="170">
        <v>45316</v>
      </c>
      <c r="B2250" s="116">
        <v>7935.95</v>
      </c>
      <c r="C2250" s="116">
        <v>7660.15</v>
      </c>
      <c r="D2250" s="116">
        <v>7633</v>
      </c>
      <c r="E2250" s="116">
        <v>7935.95</v>
      </c>
      <c r="F2250" s="116">
        <v>7660.15</v>
      </c>
      <c r="G2250">
        <v>9621</v>
      </c>
      <c r="H2250" s="116"/>
      <c r="I2250" s="116"/>
      <c r="L2250" s="170">
        <v>45316</v>
      </c>
      <c r="M2250" s="116">
        <v>7667.15</v>
      </c>
      <c r="N2250" s="116">
        <v>7952.45</v>
      </c>
      <c r="O2250" s="116">
        <v>7640</v>
      </c>
      <c r="P2250" s="116">
        <v>7952.45</v>
      </c>
      <c r="Q2250" s="116">
        <v>7667.15</v>
      </c>
      <c r="R2250">
        <v>184113</v>
      </c>
    </row>
    <row r="2251" spans="1:18" x14ac:dyDescent="0.25">
      <c r="A2251" s="170">
        <v>45320</v>
      </c>
      <c r="B2251" s="116">
        <v>7748.15</v>
      </c>
      <c r="C2251" s="116">
        <v>7692.6</v>
      </c>
      <c r="D2251" s="116">
        <v>7658</v>
      </c>
      <c r="E2251" s="116">
        <v>7748.15</v>
      </c>
      <c r="F2251" s="116">
        <v>7692.6</v>
      </c>
      <c r="G2251">
        <v>8160</v>
      </c>
      <c r="H2251" s="116"/>
      <c r="I2251" s="116"/>
      <c r="L2251" s="170">
        <v>45320</v>
      </c>
      <c r="M2251" s="116">
        <v>7694</v>
      </c>
      <c r="N2251" s="116">
        <v>7744.65</v>
      </c>
      <c r="O2251" s="116">
        <v>7650.05</v>
      </c>
      <c r="P2251" s="116">
        <v>7677</v>
      </c>
      <c r="Q2251" s="116">
        <v>7694</v>
      </c>
      <c r="R2251">
        <v>100972</v>
      </c>
    </row>
    <row r="2252" spans="1:18" x14ac:dyDescent="0.25">
      <c r="A2252" s="170">
        <v>45321</v>
      </c>
      <c r="B2252" s="116">
        <v>7770</v>
      </c>
      <c r="C2252" s="116">
        <v>7594.65</v>
      </c>
      <c r="D2252" s="116">
        <v>7565</v>
      </c>
      <c r="E2252" s="116">
        <v>7735.7</v>
      </c>
      <c r="F2252" s="116">
        <v>7594.65</v>
      </c>
      <c r="G2252">
        <v>5435</v>
      </c>
      <c r="H2252" s="116"/>
      <c r="I2252" s="116"/>
      <c r="L2252" s="170">
        <v>45321</v>
      </c>
      <c r="M2252" s="116">
        <v>7594.8</v>
      </c>
      <c r="N2252" s="116">
        <v>7770.85</v>
      </c>
      <c r="O2252" s="116">
        <v>7564.2</v>
      </c>
      <c r="P2252" s="116">
        <v>7721</v>
      </c>
      <c r="Q2252" s="116">
        <v>7594.8</v>
      </c>
      <c r="R2252">
        <v>135861</v>
      </c>
    </row>
    <row r="2253" spans="1:18" x14ac:dyDescent="0.25">
      <c r="A2253" s="170">
        <v>45322</v>
      </c>
      <c r="B2253" s="116">
        <v>7656</v>
      </c>
      <c r="C2253" s="116">
        <v>7603.6</v>
      </c>
      <c r="D2253" s="116">
        <v>7576.3</v>
      </c>
      <c r="E2253" s="116">
        <v>7596.55</v>
      </c>
      <c r="F2253" s="116">
        <v>7603.6</v>
      </c>
      <c r="G2253">
        <v>6258</v>
      </c>
      <c r="H2253" s="116"/>
      <c r="I2253" s="116"/>
      <c r="L2253" s="170">
        <v>45322</v>
      </c>
      <c r="M2253" s="116">
        <v>7605.15</v>
      </c>
      <c r="N2253" s="116">
        <v>7657.1</v>
      </c>
      <c r="O2253" s="116">
        <v>7572.05</v>
      </c>
      <c r="P2253" s="116">
        <v>7600</v>
      </c>
      <c r="Q2253" s="116">
        <v>7605.15</v>
      </c>
      <c r="R2253">
        <v>141141</v>
      </c>
    </row>
    <row r="2254" spans="1:18" x14ac:dyDescent="0.25">
      <c r="A2254" s="170">
        <v>45323</v>
      </c>
      <c r="B2254" s="116">
        <v>7704.55</v>
      </c>
      <c r="C2254" s="116">
        <v>7636.05</v>
      </c>
      <c r="D2254" s="116">
        <v>7600</v>
      </c>
      <c r="E2254" s="116">
        <v>7619.15</v>
      </c>
      <c r="F2254" s="116">
        <v>7636.05</v>
      </c>
      <c r="G2254">
        <v>3767</v>
      </c>
      <c r="H2254" s="116"/>
      <c r="I2254" s="116"/>
      <c r="L2254" s="170">
        <v>45323</v>
      </c>
      <c r="M2254" s="116">
        <v>7640.9</v>
      </c>
      <c r="N2254" s="116">
        <v>7700</v>
      </c>
      <c r="O2254" s="116">
        <v>7600</v>
      </c>
      <c r="P2254" s="116">
        <v>7610</v>
      </c>
      <c r="Q2254" s="116">
        <v>7640.9</v>
      </c>
      <c r="R2254">
        <v>81838</v>
      </c>
    </row>
    <row r="2255" spans="1:18" x14ac:dyDescent="0.25">
      <c r="A2255" s="170">
        <v>45324</v>
      </c>
      <c r="B2255" s="116">
        <v>7765</v>
      </c>
      <c r="C2255" s="116">
        <v>7650.45</v>
      </c>
      <c r="D2255" s="116">
        <v>7605</v>
      </c>
      <c r="E2255" s="116">
        <v>7681</v>
      </c>
      <c r="F2255" s="116">
        <v>7650.45</v>
      </c>
      <c r="G2255">
        <v>5513</v>
      </c>
      <c r="H2255" s="116"/>
      <c r="I2255" s="116"/>
      <c r="L2255" s="170">
        <v>45324</v>
      </c>
      <c r="M2255" s="116">
        <v>7641</v>
      </c>
      <c r="N2255" s="116">
        <v>7770</v>
      </c>
      <c r="O2255" s="116">
        <v>7601</v>
      </c>
      <c r="P2255" s="116">
        <v>7695</v>
      </c>
      <c r="Q2255" s="116">
        <v>7641</v>
      </c>
      <c r="R2255">
        <v>102021</v>
      </c>
    </row>
    <row r="2256" spans="1:18" x14ac:dyDescent="0.25">
      <c r="A2256" s="170">
        <v>45327</v>
      </c>
      <c r="B2256" s="116">
        <v>7736.35</v>
      </c>
      <c r="C2256" s="116">
        <v>7602.85</v>
      </c>
      <c r="D2256" s="116">
        <v>7582.05</v>
      </c>
      <c r="E2256" s="116">
        <v>7650.3</v>
      </c>
      <c r="F2256" s="116">
        <v>7602.85</v>
      </c>
      <c r="G2256">
        <v>15914</v>
      </c>
      <c r="H2256" s="116"/>
      <c r="I2256" s="116"/>
      <c r="L2256" s="170">
        <v>45327</v>
      </c>
      <c r="M2256" s="116">
        <v>7601</v>
      </c>
      <c r="N2256" s="116">
        <v>7739</v>
      </c>
      <c r="O2256" s="116">
        <v>7583.3</v>
      </c>
      <c r="P2256" s="116">
        <v>7641.05</v>
      </c>
      <c r="Q2256" s="116">
        <v>7601</v>
      </c>
      <c r="R2256">
        <v>82526</v>
      </c>
    </row>
    <row r="2257" spans="1:18" x14ac:dyDescent="0.25">
      <c r="A2257" s="170">
        <v>45328</v>
      </c>
      <c r="B2257" s="116">
        <v>7780</v>
      </c>
      <c r="C2257" s="116">
        <v>7716.7</v>
      </c>
      <c r="D2257" s="116">
        <v>7643</v>
      </c>
      <c r="E2257" s="116">
        <v>7685.1</v>
      </c>
      <c r="F2257" s="116">
        <v>7716.7</v>
      </c>
      <c r="G2257">
        <v>15348</v>
      </c>
      <c r="H2257" s="116"/>
      <c r="I2257" s="116"/>
      <c r="L2257" s="170">
        <v>45328</v>
      </c>
      <c r="M2257" s="116">
        <v>7721.8</v>
      </c>
      <c r="N2257" s="116">
        <v>7787.95</v>
      </c>
      <c r="O2257" s="116">
        <v>7643.75</v>
      </c>
      <c r="P2257" s="116">
        <v>7697.95</v>
      </c>
      <c r="Q2257" s="116">
        <v>7721.8</v>
      </c>
      <c r="R2257">
        <v>154874</v>
      </c>
    </row>
    <row r="2258" spans="1:18" x14ac:dyDescent="0.25">
      <c r="A2258" s="170">
        <v>45329</v>
      </c>
      <c r="B2258" s="116">
        <v>7846.55</v>
      </c>
      <c r="C2258" s="116">
        <v>7790.2</v>
      </c>
      <c r="D2258" s="116">
        <v>7760</v>
      </c>
      <c r="E2258" s="116">
        <v>7846.55</v>
      </c>
      <c r="F2258" s="116">
        <v>7790.2</v>
      </c>
      <c r="G2258">
        <v>3952</v>
      </c>
      <c r="H2258" s="116"/>
      <c r="I2258" s="116"/>
      <c r="L2258" s="170">
        <v>45329</v>
      </c>
      <c r="M2258" s="116">
        <v>7790.15</v>
      </c>
      <c r="N2258" s="116">
        <v>7850.15</v>
      </c>
      <c r="O2258" s="116">
        <v>7760.6</v>
      </c>
      <c r="P2258" s="116">
        <v>7800</v>
      </c>
      <c r="Q2258" s="116">
        <v>7790.15</v>
      </c>
      <c r="R2258">
        <v>76592</v>
      </c>
    </row>
    <row r="2259" spans="1:18" x14ac:dyDescent="0.25">
      <c r="A2259" s="170">
        <v>45330</v>
      </c>
      <c r="B2259" s="116">
        <v>7844.5</v>
      </c>
      <c r="C2259" s="116">
        <v>7724.05</v>
      </c>
      <c r="D2259" s="116">
        <v>7660.5</v>
      </c>
      <c r="E2259" s="116">
        <v>7832.8</v>
      </c>
      <c r="F2259" s="116">
        <v>7724.05</v>
      </c>
      <c r="G2259">
        <v>10654</v>
      </c>
      <c r="H2259" s="116"/>
      <c r="I2259" s="116"/>
      <c r="L2259" s="170">
        <v>45330</v>
      </c>
      <c r="M2259" s="116">
        <v>7726.4</v>
      </c>
      <c r="N2259" s="116">
        <v>7848</v>
      </c>
      <c r="O2259" s="116">
        <v>7667.05</v>
      </c>
      <c r="P2259" s="116">
        <v>7848</v>
      </c>
      <c r="Q2259" s="116">
        <v>7726.4</v>
      </c>
      <c r="R2259">
        <v>70163</v>
      </c>
    </row>
    <row r="2260" spans="1:18" x14ac:dyDescent="0.25">
      <c r="A2260" s="170">
        <v>45331</v>
      </c>
      <c r="B2260" s="116">
        <v>7750</v>
      </c>
      <c r="C2260" s="116">
        <v>7627.8</v>
      </c>
      <c r="D2260" s="116">
        <v>7519.45</v>
      </c>
      <c r="E2260" s="116">
        <v>7682.2</v>
      </c>
      <c r="F2260" s="116">
        <v>7627.8</v>
      </c>
      <c r="G2260">
        <v>5482</v>
      </c>
      <c r="H2260" s="116"/>
      <c r="I2260" s="116"/>
      <c r="L2260" s="170">
        <v>45331</v>
      </c>
      <c r="M2260" s="116">
        <v>7629.35</v>
      </c>
      <c r="N2260" s="116">
        <v>7758.95</v>
      </c>
      <c r="O2260" s="116">
        <v>7521</v>
      </c>
      <c r="P2260" s="116">
        <v>7734.95</v>
      </c>
      <c r="Q2260" s="116">
        <v>7629.35</v>
      </c>
      <c r="R2260">
        <v>111039</v>
      </c>
    </row>
    <row r="2261" spans="1:18" x14ac:dyDescent="0.25">
      <c r="A2261" s="170">
        <v>45334</v>
      </c>
      <c r="B2261" s="116">
        <v>7716.75</v>
      </c>
      <c r="C2261" s="116">
        <v>7499.75</v>
      </c>
      <c r="D2261" s="116">
        <v>7475</v>
      </c>
      <c r="E2261" s="116">
        <v>7630.25</v>
      </c>
      <c r="F2261" s="116">
        <v>7499.75</v>
      </c>
      <c r="G2261">
        <v>3971</v>
      </c>
      <c r="H2261" s="116"/>
      <c r="I2261" s="116"/>
      <c r="L2261" s="170">
        <v>45334</v>
      </c>
      <c r="M2261" s="116">
        <v>7498.6</v>
      </c>
      <c r="N2261" s="116">
        <v>7740</v>
      </c>
      <c r="O2261" s="116">
        <v>7475</v>
      </c>
      <c r="P2261" s="116">
        <v>7720.95</v>
      </c>
      <c r="Q2261" s="116">
        <v>7498.6</v>
      </c>
      <c r="R2261">
        <v>97038</v>
      </c>
    </row>
    <row r="2262" spans="1:18" x14ac:dyDescent="0.25">
      <c r="A2262" s="170">
        <v>45335</v>
      </c>
      <c r="B2262" s="116">
        <v>7534.2</v>
      </c>
      <c r="C2262" s="116">
        <v>7446.8</v>
      </c>
      <c r="D2262" s="116">
        <v>7382</v>
      </c>
      <c r="E2262" s="116">
        <v>7500.1</v>
      </c>
      <c r="F2262" s="116">
        <v>7446.8</v>
      </c>
      <c r="G2262">
        <v>11404</v>
      </c>
      <c r="H2262" s="116"/>
      <c r="I2262" s="116"/>
      <c r="L2262" s="170">
        <v>45335</v>
      </c>
      <c r="M2262" s="116">
        <v>7443.3</v>
      </c>
      <c r="N2262" s="116">
        <v>7541.15</v>
      </c>
      <c r="O2262" s="116">
        <v>7379.05</v>
      </c>
      <c r="P2262" s="116">
        <v>7539.95</v>
      </c>
      <c r="Q2262" s="116">
        <v>7443.3</v>
      </c>
      <c r="R2262">
        <v>73951</v>
      </c>
    </row>
    <row r="2263" spans="1:18" x14ac:dyDescent="0.25">
      <c r="A2263" s="170">
        <v>45336</v>
      </c>
      <c r="B2263" s="116">
        <v>7440</v>
      </c>
      <c r="C2263" s="116">
        <v>7424</v>
      </c>
      <c r="D2263" s="116">
        <v>7350</v>
      </c>
      <c r="E2263" s="116">
        <v>7440</v>
      </c>
      <c r="F2263" s="116">
        <v>7424</v>
      </c>
      <c r="G2263">
        <v>9138</v>
      </c>
      <c r="H2263" s="116"/>
      <c r="I2263" s="116"/>
      <c r="L2263" s="170">
        <v>45336</v>
      </c>
      <c r="M2263" s="116">
        <v>7429.55</v>
      </c>
      <c r="N2263" s="116">
        <v>7449.9</v>
      </c>
      <c r="O2263" s="116">
        <v>7350</v>
      </c>
      <c r="P2263" s="116">
        <v>7440</v>
      </c>
      <c r="Q2263" s="116">
        <v>7429.55</v>
      </c>
      <c r="R2263">
        <v>104915</v>
      </c>
    </row>
    <row r="2264" spans="1:18" x14ac:dyDescent="0.25">
      <c r="A2264" s="170">
        <v>45337</v>
      </c>
      <c r="B2264" s="116">
        <v>7535</v>
      </c>
      <c r="C2264" s="116">
        <v>7472.9</v>
      </c>
      <c r="D2264" s="116">
        <v>7450</v>
      </c>
      <c r="E2264" s="116">
        <v>7453.3</v>
      </c>
      <c r="F2264" s="116">
        <v>7472.9</v>
      </c>
      <c r="G2264">
        <v>2501</v>
      </c>
      <c r="H2264" s="116"/>
      <c r="I2264" s="116"/>
      <c r="L2264" s="170">
        <v>45337</v>
      </c>
      <c r="M2264" s="116">
        <v>7470.2</v>
      </c>
      <c r="N2264" s="116">
        <v>7540</v>
      </c>
      <c r="O2264" s="116">
        <v>7450</v>
      </c>
      <c r="P2264" s="116">
        <v>7499.95</v>
      </c>
      <c r="Q2264" s="116">
        <v>7470.2</v>
      </c>
      <c r="R2264">
        <v>61560</v>
      </c>
    </row>
    <row r="2265" spans="1:18" x14ac:dyDescent="0.25">
      <c r="A2265" s="170">
        <v>45338</v>
      </c>
      <c r="B2265" s="116">
        <v>7571.65</v>
      </c>
      <c r="C2265" s="116">
        <v>7510.3</v>
      </c>
      <c r="D2265" s="116">
        <v>7480.05</v>
      </c>
      <c r="E2265" s="116">
        <v>7504.1</v>
      </c>
      <c r="F2265" s="116">
        <v>7510.3</v>
      </c>
      <c r="G2265">
        <v>7402</v>
      </c>
      <c r="H2265" s="116"/>
      <c r="I2265" s="116"/>
      <c r="L2265" s="170">
        <v>45338</v>
      </c>
      <c r="M2265" s="116">
        <v>7513.45</v>
      </c>
      <c r="N2265" s="116">
        <v>7539.9</v>
      </c>
      <c r="O2265" s="116">
        <v>7475.2</v>
      </c>
      <c r="P2265" s="116">
        <v>7518</v>
      </c>
      <c r="Q2265" s="116">
        <v>7513.45</v>
      </c>
      <c r="R2265">
        <v>80901</v>
      </c>
    </row>
    <row r="2266" spans="1:18" x14ac:dyDescent="0.25">
      <c r="A2266" s="170">
        <v>45341</v>
      </c>
      <c r="B2266" s="116">
        <v>7742.35</v>
      </c>
      <c r="C2266" s="116">
        <v>7707.6</v>
      </c>
      <c r="D2266" s="116">
        <v>7515.45</v>
      </c>
      <c r="E2266" s="116">
        <v>7515.45</v>
      </c>
      <c r="F2266" s="116">
        <v>7707.6</v>
      </c>
      <c r="G2266">
        <v>5344</v>
      </c>
      <c r="H2266" s="116"/>
      <c r="I2266" s="116"/>
      <c r="L2266" s="170">
        <v>45341</v>
      </c>
      <c r="M2266" s="116">
        <v>7708.65</v>
      </c>
      <c r="N2266" s="116">
        <v>7744.7</v>
      </c>
      <c r="O2266" s="116">
        <v>7550.15</v>
      </c>
      <c r="P2266" s="116">
        <v>7560</v>
      </c>
      <c r="Q2266" s="116">
        <v>7708.65</v>
      </c>
      <c r="R2266">
        <v>146755</v>
      </c>
    </row>
    <row r="2267" spans="1:18" x14ac:dyDescent="0.25">
      <c r="A2267" s="170">
        <v>45342</v>
      </c>
      <c r="B2267" s="116">
        <v>7841.65</v>
      </c>
      <c r="C2267" s="116">
        <v>7785.6</v>
      </c>
      <c r="D2267" s="116">
        <v>7615</v>
      </c>
      <c r="E2267" s="116">
        <v>7764.95</v>
      </c>
      <c r="F2267" s="116">
        <v>7785.6</v>
      </c>
      <c r="G2267">
        <v>9338</v>
      </c>
      <c r="H2267" s="116"/>
      <c r="I2267" s="116"/>
      <c r="L2267" s="170">
        <v>45342</v>
      </c>
      <c r="M2267" s="116">
        <v>7776.3</v>
      </c>
      <c r="N2267" s="116">
        <v>7838.15</v>
      </c>
      <c r="O2267" s="116">
        <v>7610</v>
      </c>
      <c r="P2267" s="116">
        <v>7755</v>
      </c>
      <c r="Q2267" s="116">
        <v>7776.3</v>
      </c>
      <c r="R2267">
        <v>191041</v>
      </c>
    </row>
    <row r="2268" spans="1:18" x14ac:dyDescent="0.25">
      <c r="A2268" s="170">
        <v>45343</v>
      </c>
      <c r="B2268" s="116">
        <v>7848</v>
      </c>
      <c r="C2268" s="116">
        <v>7741.3</v>
      </c>
      <c r="D2268" s="116">
        <v>7717.95</v>
      </c>
      <c r="E2268" s="116">
        <v>7780.15</v>
      </c>
      <c r="F2268" s="116">
        <v>7741.3</v>
      </c>
      <c r="G2268">
        <v>13616</v>
      </c>
      <c r="H2268" s="116"/>
      <c r="I2268" s="116"/>
      <c r="L2268" s="170">
        <v>45343</v>
      </c>
      <c r="M2268" s="116">
        <v>7746.2</v>
      </c>
      <c r="N2268" s="116">
        <v>7849</v>
      </c>
      <c r="O2268" s="116">
        <v>7712.05</v>
      </c>
      <c r="P2268" s="116">
        <v>7846.25</v>
      </c>
      <c r="Q2268" s="116">
        <v>7746.2</v>
      </c>
      <c r="R2268">
        <v>107925</v>
      </c>
    </row>
    <row r="2269" spans="1:18" x14ac:dyDescent="0.25">
      <c r="A2269" s="170">
        <v>45344</v>
      </c>
      <c r="B2269" s="116">
        <v>7833.85</v>
      </c>
      <c r="C2269" s="116">
        <v>7787.3</v>
      </c>
      <c r="D2269" s="116">
        <v>7750</v>
      </c>
      <c r="E2269" s="116">
        <v>7833.85</v>
      </c>
      <c r="F2269" s="116">
        <v>7787.3</v>
      </c>
      <c r="G2269">
        <v>3945</v>
      </c>
      <c r="H2269" s="116"/>
      <c r="I2269" s="116"/>
      <c r="L2269" s="170">
        <v>45344</v>
      </c>
      <c r="M2269" s="116">
        <v>7791.05</v>
      </c>
      <c r="N2269" s="116">
        <v>7807</v>
      </c>
      <c r="O2269" s="116">
        <v>7746.75</v>
      </c>
      <c r="P2269" s="116">
        <v>7806</v>
      </c>
      <c r="Q2269" s="116">
        <v>7791.05</v>
      </c>
      <c r="R2269">
        <v>83690</v>
      </c>
    </row>
    <row r="2270" spans="1:18" x14ac:dyDescent="0.25">
      <c r="A2270" s="170">
        <v>45345</v>
      </c>
      <c r="B2270" s="116">
        <v>7988.3</v>
      </c>
      <c r="C2270" s="116">
        <v>7812</v>
      </c>
      <c r="D2270" s="116">
        <v>7760</v>
      </c>
      <c r="E2270" s="116">
        <v>7917.95</v>
      </c>
      <c r="F2270" s="116">
        <v>7812</v>
      </c>
      <c r="G2270">
        <v>7870</v>
      </c>
      <c r="H2270" s="116"/>
      <c r="I2270" s="116"/>
      <c r="L2270" s="170">
        <v>45345</v>
      </c>
      <c r="M2270" s="116">
        <v>7812.3</v>
      </c>
      <c r="N2270" s="116">
        <v>7995</v>
      </c>
      <c r="O2270" s="116">
        <v>7750</v>
      </c>
      <c r="P2270" s="116">
        <v>7900.05</v>
      </c>
      <c r="Q2270" s="116">
        <v>7812.3</v>
      </c>
      <c r="R2270">
        <v>172141</v>
      </c>
    </row>
    <row r="2271" spans="1:18" x14ac:dyDescent="0.25">
      <c r="A2271" s="170">
        <v>45348</v>
      </c>
      <c r="B2271" s="116">
        <v>7929.75</v>
      </c>
      <c r="C2271" s="116">
        <v>7708.05</v>
      </c>
      <c r="D2271" s="116">
        <v>7694.1</v>
      </c>
      <c r="E2271" s="116">
        <v>7929.75</v>
      </c>
      <c r="F2271" s="116">
        <v>7708.05</v>
      </c>
      <c r="G2271">
        <v>4155</v>
      </c>
      <c r="H2271" s="116"/>
      <c r="I2271" s="116"/>
      <c r="L2271" s="170">
        <v>45348</v>
      </c>
      <c r="M2271" s="116">
        <v>7706.9</v>
      </c>
      <c r="N2271" s="116">
        <v>7859.8</v>
      </c>
      <c r="O2271" s="116">
        <v>7685</v>
      </c>
      <c r="P2271" s="116">
        <v>7853</v>
      </c>
      <c r="Q2271" s="116">
        <v>7706.9</v>
      </c>
      <c r="R2271">
        <v>69244</v>
      </c>
    </row>
    <row r="2272" spans="1:18" x14ac:dyDescent="0.25">
      <c r="A2272" s="170">
        <v>45349</v>
      </c>
      <c r="B2272" s="116">
        <v>7751.3</v>
      </c>
      <c r="C2272" s="116">
        <v>7635.95</v>
      </c>
      <c r="D2272" s="116">
        <v>7605.1</v>
      </c>
      <c r="E2272" s="116">
        <v>7700.15</v>
      </c>
      <c r="F2272" s="116">
        <v>7635.95</v>
      </c>
      <c r="G2272">
        <v>10369</v>
      </c>
      <c r="H2272" s="116"/>
      <c r="I2272" s="116"/>
      <c r="L2272" s="170">
        <v>45349</v>
      </c>
      <c r="M2272" s="116">
        <v>7640.6</v>
      </c>
      <c r="N2272" s="116">
        <v>7744.4</v>
      </c>
      <c r="O2272" s="116">
        <v>7605</v>
      </c>
      <c r="P2272" s="116">
        <v>7715</v>
      </c>
      <c r="Q2272" s="116">
        <v>7640.6</v>
      </c>
      <c r="R2272">
        <v>92008</v>
      </c>
    </row>
    <row r="2273" spans="1:18" x14ac:dyDescent="0.25">
      <c r="A2273" s="170">
        <v>45350</v>
      </c>
      <c r="B2273" s="116">
        <v>7713</v>
      </c>
      <c r="C2273" s="116">
        <v>7591.2</v>
      </c>
      <c r="D2273" s="116">
        <v>7560.5</v>
      </c>
      <c r="E2273" s="116">
        <v>7680</v>
      </c>
      <c r="F2273" s="116">
        <v>7591.2</v>
      </c>
      <c r="G2273">
        <v>5512</v>
      </c>
      <c r="H2273" s="116"/>
      <c r="I2273" s="116"/>
      <c r="L2273" s="170">
        <v>45350</v>
      </c>
      <c r="M2273" s="116">
        <v>7593.65</v>
      </c>
      <c r="N2273" s="116">
        <v>7716.45</v>
      </c>
      <c r="O2273" s="116">
        <v>7562</v>
      </c>
      <c r="P2273" s="116">
        <v>7695</v>
      </c>
      <c r="Q2273" s="116">
        <v>7593.65</v>
      </c>
      <c r="R2273">
        <v>72324</v>
      </c>
    </row>
    <row r="2274" spans="1:18" x14ac:dyDescent="0.25">
      <c r="A2274" s="170">
        <v>45351</v>
      </c>
      <c r="B2274" s="116">
        <v>7945</v>
      </c>
      <c r="C2274" s="116">
        <v>7786.7</v>
      </c>
      <c r="D2274" s="116">
        <v>7436.05</v>
      </c>
      <c r="E2274" s="116">
        <v>7592.55</v>
      </c>
      <c r="F2274" s="116">
        <v>7786.7</v>
      </c>
      <c r="G2274">
        <v>10759</v>
      </c>
      <c r="H2274" s="116"/>
      <c r="I2274" s="116"/>
      <c r="L2274" s="170">
        <v>45351</v>
      </c>
      <c r="M2274" s="116">
        <v>7811.05</v>
      </c>
      <c r="N2274" s="116">
        <v>7950</v>
      </c>
      <c r="O2274" s="116">
        <v>7440</v>
      </c>
      <c r="P2274" s="116">
        <v>7580</v>
      </c>
      <c r="Q2274" s="116">
        <v>7811.05</v>
      </c>
      <c r="R2274">
        <v>307875</v>
      </c>
    </row>
    <row r="2275" spans="1:18" x14ac:dyDescent="0.25">
      <c r="A2275" s="170">
        <v>45352</v>
      </c>
      <c r="B2275" s="116">
        <v>7991.75</v>
      </c>
      <c r="C2275" s="116">
        <v>7738.65</v>
      </c>
      <c r="D2275" s="116">
        <v>7715</v>
      </c>
      <c r="E2275" s="116">
        <v>7942.45</v>
      </c>
      <c r="F2275" s="116">
        <v>7738.65</v>
      </c>
      <c r="G2275">
        <v>8362</v>
      </c>
      <c r="H2275" s="116"/>
      <c r="I2275" s="116"/>
      <c r="L2275" s="170">
        <v>45352</v>
      </c>
      <c r="M2275" s="116">
        <v>7745.25</v>
      </c>
      <c r="N2275" s="116">
        <v>7993.2</v>
      </c>
      <c r="O2275" s="116">
        <v>7720</v>
      </c>
      <c r="P2275" s="116">
        <v>7900</v>
      </c>
      <c r="Q2275" s="116">
        <v>7745.25</v>
      </c>
      <c r="R2275">
        <v>217687</v>
      </c>
    </row>
    <row r="2276" spans="1:18" x14ac:dyDescent="0.25">
      <c r="A2276" s="170">
        <v>45353</v>
      </c>
      <c r="B2276" s="116">
        <v>7900</v>
      </c>
      <c r="C2276" s="116">
        <v>7790.3</v>
      </c>
      <c r="D2276" s="116">
        <v>7751</v>
      </c>
      <c r="E2276" s="116">
        <v>7784.95</v>
      </c>
      <c r="F2276" s="116">
        <v>7790.3</v>
      </c>
      <c r="G2276">
        <v>918</v>
      </c>
      <c r="H2276" s="116"/>
      <c r="I2276" s="116"/>
      <c r="L2276" s="170">
        <v>45353</v>
      </c>
      <c r="M2276" s="116">
        <v>7792.65</v>
      </c>
      <c r="N2276" s="116">
        <v>7819.9</v>
      </c>
      <c r="O2276" s="116">
        <v>7745</v>
      </c>
      <c r="P2276" s="116">
        <v>7753</v>
      </c>
      <c r="Q2276" s="116">
        <v>7792.65</v>
      </c>
      <c r="R2276">
        <v>13355</v>
      </c>
    </row>
    <row r="2277" spans="1:18" x14ac:dyDescent="0.25">
      <c r="A2277" s="170">
        <v>45355</v>
      </c>
      <c r="B2277" s="116">
        <v>7869.75</v>
      </c>
      <c r="C2277" s="116">
        <v>7689.45</v>
      </c>
      <c r="D2277" s="116">
        <v>7660.5</v>
      </c>
      <c r="E2277" s="116">
        <v>7869.75</v>
      </c>
      <c r="F2277" s="116">
        <v>7689.45</v>
      </c>
      <c r="G2277">
        <v>4656</v>
      </c>
      <c r="H2277" s="116"/>
      <c r="I2277" s="116"/>
      <c r="L2277" s="170">
        <v>45355</v>
      </c>
      <c r="M2277" s="116">
        <v>7692.9</v>
      </c>
      <c r="N2277" s="116">
        <v>7839.8</v>
      </c>
      <c r="O2277" s="116">
        <v>7658.85</v>
      </c>
      <c r="P2277" s="116">
        <v>7819</v>
      </c>
      <c r="Q2277" s="116">
        <v>7692.9</v>
      </c>
      <c r="R2277">
        <v>101325</v>
      </c>
    </row>
    <row r="2278" spans="1:18" x14ac:dyDescent="0.25">
      <c r="A2278" s="170">
        <v>45356</v>
      </c>
      <c r="B2278" s="116">
        <v>7690</v>
      </c>
      <c r="C2278" s="116">
        <v>7657.35</v>
      </c>
      <c r="D2278" s="116">
        <v>7607.65</v>
      </c>
      <c r="E2278" s="116">
        <v>7689.45</v>
      </c>
      <c r="F2278" s="116">
        <v>7657.35</v>
      </c>
      <c r="G2278">
        <v>4791</v>
      </c>
      <c r="H2278" s="116"/>
      <c r="I2278" s="116"/>
      <c r="L2278" s="170">
        <v>45356</v>
      </c>
      <c r="M2278" s="116">
        <v>7662.45</v>
      </c>
      <c r="N2278" s="116">
        <v>7732.95</v>
      </c>
      <c r="O2278" s="116">
        <v>7601.05</v>
      </c>
      <c r="P2278" s="116">
        <v>7692.9</v>
      </c>
      <c r="Q2278" s="116">
        <v>7662.45</v>
      </c>
      <c r="R2278">
        <v>107340</v>
      </c>
    </row>
    <row r="2279" spans="1:18" x14ac:dyDescent="0.25">
      <c r="A2279" s="170">
        <v>45357</v>
      </c>
      <c r="B2279" s="116">
        <v>7700</v>
      </c>
      <c r="C2279" s="116">
        <v>7600.7</v>
      </c>
      <c r="D2279" s="116">
        <v>7545.55</v>
      </c>
      <c r="E2279" s="116">
        <v>7675.15</v>
      </c>
      <c r="F2279" s="116">
        <v>7600.7</v>
      </c>
      <c r="G2279">
        <v>4670</v>
      </c>
      <c r="H2279" s="116"/>
      <c r="I2279" s="116"/>
      <c r="L2279" s="170">
        <v>45357</v>
      </c>
      <c r="M2279" s="116">
        <v>7602.3</v>
      </c>
      <c r="N2279" s="116">
        <v>7723.9</v>
      </c>
      <c r="O2279" s="116">
        <v>7540.1</v>
      </c>
      <c r="P2279" s="116">
        <v>7710</v>
      </c>
      <c r="Q2279" s="116">
        <v>7602.3</v>
      </c>
      <c r="R2279">
        <v>106522</v>
      </c>
    </row>
    <row r="2280" spans="1:18" x14ac:dyDescent="0.25">
      <c r="A2280" s="170">
        <v>45358</v>
      </c>
      <c r="B2280" s="116">
        <v>7915.8</v>
      </c>
      <c r="C2280" s="116">
        <v>7689.75</v>
      </c>
      <c r="D2280" s="116">
        <v>7590</v>
      </c>
      <c r="E2280" s="116">
        <v>7600.7</v>
      </c>
      <c r="F2280" s="116">
        <v>7689.75</v>
      </c>
      <c r="G2280">
        <v>9349</v>
      </c>
      <c r="H2280" s="116"/>
      <c r="I2280" s="116"/>
      <c r="L2280" s="170">
        <v>45358</v>
      </c>
      <c r="M2280" s="116">
        <v>7686.75</v>
      </c>
      <c r="N2280" s="116">
        <v>7914.6</v>
      </c>
      <c r="O2280" s="116">
        <v>7585.85</v>
      </c>
      <c r="P2280" s="116">
        <v>7590.1</v>
      </c>
      <c r="Q2280" s="116">
        <v>7686.75</v>
      </c>
      <c r="R2280">
        <v>302528</v>
      </c>
    </row>
    <row r="2281" spans="1:18" x14ac:dyDescent="0.25">
      <c r="A2281" s="170">
        <v>45362</v>
      </c>
      <c r="B2281" s="116">
        <v>7732.9</v>
      </c>
      <c r="C2281" s="116">
        <v>7702.85</v>
      </c>
      <c r="D2281" s="116">
        <v>7627.25</v>
      </c>
      <c r="E2281" s="116">
        <v>7700.75</v>
      </c>
      <c r="F2281" s="116">
        <v>7702.85</v>
      </c>
      <c r="G2281">
        <v>14993</v>
      </c>
      <c r="H2281" s="116"/>
      <c r="I2281" s="116"/>
      <c r="L2281" s="170">
        <v>45362</v>
      </c>
      <c r="M2281" s="116">
        <v>7702.95</v>
      </c>
      <c r="N2281" s="116">
        <v>7748</v>
      </c>
      <c r="O2281" s="116">
        <v>7633.15</v>
      </c>
      <c r="P2281" s="116">
        <v>7724.9</v>
      </c>
      <c r="Q2281" s="116">
        <v>7702.95</v>
      </c>
      <c r="R2281">
        <v>132700</v>
      </c>
    </row>
    <row r="2282" spans="1:18" x14ac:dyDescent="0.25">
      <c r="A2282" s="170">
        <v>45363</v>
      </c>
      <c r="B2282" s="116">
        <v>7830</v>
      </c>
      <c r="C2282" s="116">
        <v>7574.65</v>
      </c>
      <c r="D2282" s="116">
        <v>7527.65</v>
      </c>
      <c r="E2282" s="116">
        <v>7714.95</v>
      </c>
      <c r="F2282" s="116">
        <v>7574.65</v>
      </c>
      <c r="G2282">
        <v>5640</v>
      </c>
      <c r="H2282" s="116"/>
      <c r="I2282" s="116"/>
      <c r="L2282" s="170">
        <v>45363</v>
      </c>
      <c r="M2282" s="116">
        <v>7573.9</v>
      </c>
      <c r="N2282" s="116">
        <v>7838.8</v>
      </c>
      <c r="O2282" s="116">
        <v>7515</v>
      </c>
      <c r="P2282" s="116">
        <v>7706</v>
      </c>
      <c r="Q2282" s="116">
        <v>7573.9</v>
      </c>
      <c r="R2282">
        <v>112485</v>
      </c>
    </row>
    <row r="2283" spans="1:18" x14ac:dyDescent="0.25">
      <c r="A2283" s="170">
        <v>45364</v>
      </c>
      <c r="B2283" s="116">
        <v>7825</v>
      </c>
      <c r="C2283" s="116">
        <v>7403.85</v>
      </c>
      <c r="D2283" s="116">
        <v>7340</v>
      </c>
      <c r="E2283" s="116">
        <v>7630.1</v>
      </c>
      <c r="F2283" s="116">
        <v>7403.85</v>
      </c>
      <c r="G2283">
        <v>40589</v>
      </c>
      <c r="H2283" s="116"/>
      <c r="I2283" s="116"/>
      <c r="L2283" s="170">
        <v>45364</v>
      </c>
      <c r="M2283" s="116">
        <v>7392.8</v>
      </c>
      <c r="N2283" s="116">
        <v>7837.65</v>
      </c>
      <c r="O2283" s="116">
        <v>7335</v>
      </c>
      <c r="P2283" s="116">
        <v>7650</v>
      </c>
      <c r="Q2283" s="116">
        <v>7392.8</v>
      </c>
      <c r="R2283">
        <v>314712</v>
      </c>
    </row>
    <row r="2284" spans="1:18" x14ac:dyDescent="0.25">
      <c r="A2284" s="170">
        <v>45365</v>
      </c>
      <c r="B2284" s="116">
        <v>7769.55</v>
      </c>
      <c r="C2284" s="116">
        <v>7727.9</v>
      </c>
      <c r="D2284" s="116">
        <v>7358.9</v>
      </c>
      <c r="E2284" s="116">
        <v>7404.2</v>
      </c>
      <c r="F2284" s="116">
        <v>7727.9</v>
      </c>
      <c r="G2284">
        <v>18768</v>
      </c>
      <c r="H2284" s="116"/>
      <c r="I2284" s="116"/>
      <c r="L2284" s="170">
        <v>45365</v>
      </c>
      <c r="M2284" s="116">
        <v>7730.6</v>
      </c>
      <c r="N2284" s="116">
        <v>7772.25</v>
      </c>
      <c r="O2284" s="116">
        <v>7351.95</v>
      </c>
      <c r="P2284" s="116">
        <v>7456.75</v>
      </c>
      <c r="Q2284" s="116">
        <v>7730.6</v>
      </c>
      <c r="R2284">
        <v>134183</v>
      </c>
    </row>
    <row r="2285" spans="1:18" x14ac:dyDescent="0.25">
      <c r="A2285" s="170">
        <v>45366</v>
      </c>
      <c r="B2285" s="116">
        <v>7818.5</v>
      </c>
      <c r="C2285" s="116">
        <v>7697.1</v>
      </c>
      <c r="D2285" s="116">
        <v>7607</v>
      </c>
      <c r="E2285" s="116">
        <v>7759.85</v>
      </c>
      <c r="F2285" s="116">
        <v>7697.1</v>
      </c>
      <c r="G2285">
        <v>5404</v>
      </c>
      <c r="H2285" s="116"/>
      <c r="I2285" s="116"/>
      <c r="L2285" s="170">
        <v>45366</v>
      </c>
      <c r="M2285" s="116">
        <v>7707</v>
      </c>
      <c r="N2285" s="116">
        <v>7825</v>
      </c>
      <c r="O2285" s="116">
        <v>7600</v>
      </c>
      <c r="P2285" s="116">
        <v>7744</v>
      </c>
      <c r="Q2285" s="116">
        <v>7707</v>
      </c>
      <c r="R2285">
        <v>166240</v>
      </c>
    </row>
    <row r="2286" spans="1:18" x14ac:dyDescent="0.25">
      <c r="A2286" s="170">
        <v>45369</v>
      </c>
      <c r="B2286" s="116">
        <v>7784.45</v>
      </c>
      <c r="C2286" s="116">
        <v>7694.85</v>
      </c>
      <c r="D2286" s="116">
        <v>7667.5</v>
      </c>
      <c r="E2286" s="116">
        <v>7700.15</v>
      </c>
      <c r="F2286" s="116">
        <v>7694.85</v>
      </c>
      <c r="G2286">
        <v>4061</v>
      </c>
      <c r="H2286" s="116"/>
      <c r="I2286" s="116"/>
      <c r="L2286" s="170">
        <v>45369</v>
      </c>
      <c r="M2286" s="116">
        <v>7702.7</v>
      </c>
      <c r="N2286" s="116">
        <v>7790</v>
      </c>
      <c r="O2286" s="116">
        <v>7657</v>
      </c>
      <c r="P2286" s="116">
        <v>7725</v>
      </c>
      <c r="Q2286" s="116">
        <v>7702.7</v>
      </c>
      <c r="R2286">
        <v>79507</v>
      </c>
    </row>
    <row r="2287" spans="1:18" x14ac:dyDescent="0.25">
      <c r="A2287" s="170">
        <v>45370</v>
      </c>
      <c r="B2287" s="116">
        <v>7777.85</v>
      </c>
      <c r="C2287" s="116">
        <v>7633.7</v>
      </c>
      <c r="D2287" s="116">
        <v>7557.35</v>
      </c>
      <c r="E2287" s="116">
        <v>7777.85</v>
      </c>
      <c r="F2287" s="116">
        <v>7633.7</v>
      </c>
      <c r="G2287">
        <v>3748</v>
      </c>
      <c r="H2287" s="116"/>
      <c r="I2287" s="116"/>
      <c r="L2287" s="170">
        <v>45370</v>
      </c>
      <c r="M2287" s="116">
        <v>7635.85</v>
      </c>
      <c r="N2287" s="116">
        <v>7718.75</v>
      </c>
      <c r="O2287" s="116">
        <v>7552.05</v>
      </c>
      <c r="P2287" s="116">
        <v>7708</v>
      </c>
      <c r="Q2287" s="116">
        <v>7635.85</v>
      </c>
      <c r="R2287">
        <v>78340</v>
      </c>
    </row>
    <row r="2288" spans="1:18" x14ac:dyDescent="0.25">
      <c r="A2288" s="170">
        <v>45371</v>
      </c>
      <c r="B2288" s="116">
        <v>7699.8</v>
      </c>
      <c r="C2288" s="116">
        <v>7564</v>
      </c>
      <c r="D2288" s="116">
        <v>7523</v>
      </c>
      <c r="E2288" s="116">
        <v>7699.8</v>
      </c>
      <c r="F2288" s="116">
        <v>7564</v>
      </c>
      <c r="G2288">
        <v>3947</v>
      </c>
      <c r="H2288" s="116"/>
      <c r="I2288" s="116"/>
      <c r="L2288" s="170">
        <v>45371</v>
      </c>
      <c r="M2288" s="116">
        <v>7556.5</v>
      </c>
      <c r="N2288" s="116">
        <v>7675</v>
      </c>
      <c r="O2288" s="116">
        <v>7525</v>
      </c>
      <c r="P2288" s="116">
        <v>7633</v>
      </c>
      <c r="Q2288" s="116">
        <v>7556.5</v>
      </c>
      <c r="R2288">
        <v>67469</v>
      </c>
    </row>
    <row r="2289" spans="1:18" x14ac:dyDescent="0.25">
      <c r="A2289" s="170">
        <v>45372</v>
      </c>
      <c r="B2289" s="116">
        <v>7714.4</v>
      </c>
      <c r="C2289" s="116">
        <v>7693.9</v>
      </c>
      <c r="D2289" s="116">
        <v>7591.3</v>
      </c>
      <c r="E2289" s="116">
        <v>7649.85</v>
      </c>
      <c r="F2289" s="116">
        <v>7693.9</v>
      </c>
      <c r="G2289">
        <v>11300</v>
      </c>
      <c r="H2289" s="116"/>
      <c r="I2289" s="116"/>
      <c r="L2289" s="170">
        <v>45372</v>
      </c>
      <c r="M2289" s="116">
        <v>7704.75</v>
      </c>
      <c r="N2289" s="116">
        <v>7719.95</v>
      </c>
      <c r="O2289" s="116">
        <v>7588.95</v>
      </c>
      <c r="P2289" s="116">
        <v>7626.05</v>
      </c>
      <c r="Q2289" s="116">
        <v>7704.75</v>
      </c>
      <c r="R2289">
        <v>79906</v>
      </c>
    </row>
    <row r="2290" spans="1:18" x14ac:dyDescent="0.25">
      <c r="A2290" s="170">
        <v>45373</v>
      </c>
      <c r="B2290" s="116">
        <v>7685</v>
      </c>
      <c r="C2290" s="116">
        <v>7663.85</v>
      </c>
      <c r="D2290" s="116">
        <v>7623.1</v>
      </c>
      <c r="E2290" s="116">
        <v>7685</v>
      </c>
      <c r="F2290" s="116">
        <v>7663.85</v>
      </c>
      <c r="G2290">
        <v>4382</v>
      </c>
      <c r="H2290" s="116"/>
      <c r="I2290" s="116"/>
      <c r="L2290" s="170">
        <v>45373</v>
      </c>
      <c r="M2290" s="116">
        <v>7665</v>
      </c>
      <c r="N2290" s="116">
        <v>7689.8</v>
      </c>
      <c r="O2290" s="116">
        <v>7616.95</v>
      </c>
      <c r="P2290" s="116">
        <v>7655.55</v>
      </c>
      <c r="Q2290" s="116">
        <v>7665</v>
      </c>
      <c r="R2290">
        <v>63721</v>
      </c>
    </row>
    <row r="2291" spans="1:18" x14ac:dyDescent="0.25">
      <c r="A2291" s="170">
        <v>45377</v>
      </c>
      <c r="B2291" s="116">
        <v>7731</v>
      </c>
      <c r="C2291" s="116">
        <v>7687.65</v>
      </c>
      <c r="D2291" s="116">
        <v>7515</v>
      </c>
      <c r="E2291" s="116">
        <v>7587.85</v>
      </c>
      <c r="F2291" s="116">
        <v>7687.65</v>
      </c>
      <c r="G2291">
        <v>4800</v>
      </c>
      <c r="H2291" s="116"/>
      <c r="I2291" s="116"/>
      <c r="L2291" s="170">
        <v>45377</v>
      </c>
      <c r="M2291" s="116">
        <v>7693.75</v>
      </c>
      <c r="N2291" s="116">
        <v>7725</v>
      </c>
      <c r="O2291" s="116">
        <v>7500.05</v>
      </c>
      <c r="P2291" s="116">
        <v>7500.05</v>
      </c>
      <c r="Q2291" s="116">
        <v>7693.75</v>
      </c>
      <c r="R2291">
        <v>117670</v>
      </c>
    </row>
    <row r="2292" spans="1:18" x14ac:dyDescent="0.25">
      <c r="A2292" s="170">
        <v>45378</v>
      </c>
      <c r="B2292" s="116">
        <v>7740</v>
      </c>
      <c r="C2292" s="116">
        <v>7669.85</v>
      </c>
      <c r="D2292" s="116">
        <v>7635</v>
      </c>
      <c r="E2292" s="116">
        <v>7687.65</v>
      </c>
      <c r="F2292" s="116">
        <v>7669.85</v>
      </c>
      <c r="G2292">
        <v>4443</v>
      </c>
      <c r="H2292" s="116"/>
      <c r="I2292" s="116"/>
      <c r="L2292" s="170">
        <v>45378</v>
      </c>
      <c r="M2292" s="116">
        <v>7674.8</v>
      </c>
      <c r="N2292" s="116">
        <v>7751.95</v>
      </c>
      <c r="O2292" s="116">
        <v>7632.1</v>
      </c>
      <c r="P2292" s="116">
        <v>7725</v>
      </c>
      <c r="Q2292" s="116">
        <v>7674.8</v>
      </c>
      <c r="R2292">
        <v>156037</v>
      </c>
    </row>
    <row r="2293" spans="1:18" x14ac:dyDescent="0.25">
      <c r="A2293" s="170">
        <v>45379</v>
      </c>
      <c r="B2293" s="116">
        <v>7869.75</v>
      </c>
      <c r="C2293" s="116">
        <v>7779.6</v>
      </c>
      <c r="D2293" s="116">
        <v>7704.85</v>
      </c>
      <c r="E2293" s="116">
        <v>7750.1</v>
      </c>
      <c r="F2293" s="116">
        <v>7779.6</v>
      </c>
      <c r="G2293">
        <v>8741</v>
      </c>
      <c r="H2293" s="116"/>
      <c r="I2293" s="116"/>
      <c r="L2293" s="170">
        <v>45379</v>
      </c>
      <c r="M2293" s="116">
        <v>7785.15</v>
      </c>
      <c r="N2293" s="116">
        <v>7870</v>
      </c>
      <c r="O2293" s="116">
        <v>7704</v>
      </c>
      <c r="P2293" s="116">
        <v>7750</v>
      </c>
      <c r="Q2293" s="116">
        <v>7785.15</v>
      </c>
      <c r="R2293">
        <v>273766</v>
      </c>
    </row>
    <row r="2294" spans="1:18" x14ac:dyDescent="0.25">
      <c r="A2294" s="170">
        <v>45383</v>
      </c>
      <c r="B2294" s="116">
        <v>7877.95</v>
      </c>
      <c r="C2294" s="116">
        <v>7743.4</v>
      </c>
      <c r="D2294" s="116">
        <v>7725</v>
      </c>
      <c r="E2294" s="116">
        <v>7877.95</v>
      </c>
      <c r="F2294" s="116">
        <v>7743.4</v>
      </c>
      <c r="G2294">
        <v>5326</v>
      </c>
      <c r="H2294" s="116"/>
      <c r="I2294" s="116"/>
      <c r="L2294" s="170">
        <v>45383</v>
      </c>
      <c r="M2294" s="116">
        <v>7745.3</v>
      </c>
      <c r="N2294" s="116">
        <v>7858</v>
      </c>
      <c r="O2294" s="116">
        <v>7725.4</v>
      </c>
      <c r="P2294" s="116">
        <v>7845</v>
      </c>
      <c r="Q2294" s="116">
        <v>7745.3</v>
      </c>
      <c r="R2294">
        <v>78571</v>
      </c>
    </row>
    <row r="2295" spans="1:18" x14ac:dyDescent="0.25">
      <c r="A2295" s="170">
        <v>45384</v>
      </c>
      <c r="B2295" s="116">
        <v>7764.9</v>
      </c>
      <c r="C2295" s="116">
        <v>7697.9</v>
      </c>
      <c r="D2295" s="116">
        <v>7651.4</v>
      </c>
      <c r="E2295" s="116">
        <v>7764.9</v>
      </c>
      <c r="F2295" s="116">
        <v>7697.9</v>
      </c>
      <c r="G2295">
        <v>4111</v>
      </c>
      <c r="H2295" s="116"/>
      <c r="I2295" s="116"/>
      <c r="L2295" s="170">
        <v>45384</v>
      </c>
      <c r="M2295" s="116">
        <v>7701.75</v>
      </c>
      <c r="N2295" s="116">
        <v>7769.9</v>
      </c>
      <c r="O2295" s="116">
        <v>7645</v>
      </c>
      <c r="P2295" s="116">
        <v>7740</v>
      </c>
      <c r="Q2295" s="116">
        <v>7701.75</v>
      </c>
      <c r="R2295">
        <v>93065</v>
      </c>
    </row>
    <row r="2296" spans="1:18" x14ac:dyDescent="0.25">
      <c r="A2296" s="170">
        <v>45385</v>
      </c>
      <c r="B2296" s="116">
        <v>8108.4</v>
      </c>
      <c r="C2296" s="116">
        <v>8001.25</v>
      </c>
      <c r="D2296" s="116">
        <v>7669.15</v>
      </c>
      <c r="E2296" s="116">
        <v>7812.6</v>
      </c>
      <c r="F2296" s="116">
        <v>8001.25</v>
      </c>
      <c r="G2296">
        <v>22289</v>
      </c>
      <c r="H2296" s="116"/>
      <c r="I2296" s="116"/>
      <c r="L2296" s="170">
        <v>45385</v>
      </c>
      <c r="M2296" s="116">
        <v>7997.9</v>
      </c>
      <c r="N2296" s="116">
        <v>8106</v>
      </c>
      <c r="O2296" s="116">
        <v>7666</v>
      </c>
      <c r="P2296" s="116">
        <v>7703</v>
      </c>
      <c r="Q2296" s="116">
        <v>7997.9</v>
      </c>
      <c r="R2296">
        <v>621796</v>
      </c>
    </row>
    <row r="2297" spans="1:18" x14ac:dyDescent="0.25">
      <c r="A2297" s="170">
        <v>45386</v>
      </c>
      <c r="B2297" s="116">
        <v>8194.85</v>
      </c>
      <c r="C2297" s="116">
        <v>8017.8</v>
      </c>
      <c r="D2297" s="116">
        <v>7992</v>
      </c>
      <c r="E2297" s="116">
        <v>8122</v>
      </c>
      <c r="F2297" s="116">
        <v>8017.8</v>
      </c>
      <c r="G2297">
        <v>24710</v>
      </c>
      <c r="H2297" s="116"/>
      <c r="I2297" s="116"/>
      <c r="L2297" s="170">
        <v>45386</v>
      </c>
      <c r="M2297" s="116">
        <v>8027.5</v>
      </c>
      <c r="N2297" s="116">
        <v>8195</v>
      </c>
      <c r="O2297" s="116">
        <v>7985</v>
      </c>
      <c r="P2297" s="116">
        <v>8117.85</v>
      </c>
      <c r="Q2297" s="116">
        <v>8027.5</v>
      </c>
      <c r="R2297">
        <v>224695</v>
      </c>
    </row>
    <row r="2298" spans="1:18" x14ac:dyDescent="0.25">
      <c r="A2298" s="170">
        <v>45387</v>
      </c>
      <c r="B2298" s="116">
        <v>8171.6</v>
      </c>
      <c r="C2298" s="116">
        <v>8047.4</v>
      </c>
      <c r="D2298" s="116">
        <v>7989.3</v>
      </c>
      <c r="E2298" s="116">
        <v>8018.15</v>
      </c>
      <c r="F2298" s="116">
        <v>8047.4</v>
      </c>
      <c r="G2298">
        <v>7290</v>
      </c>
      <c r="H2298" s="116"/>
      <c r="I2298" s="116"/>
      <c r="L2298" s="170">
        <v>45387</v>
      </c>
      <c r="M2298" s="116">
        <v>8041.55</v>
      </c>
      <c r="N2298" s="116">
        <v>8174.2</v>
      </c>
      <c r="O2298" s="116">
        <v>7988.1</v>
      </c>
      <c r="P2298" s="116">
        <v>8027.5</v>
      </c>
      <c r="Q2298" s="116">
        <v>8041.55</v>
      </c>
      <c r="R2298">
        <v>125061</v>
      </c>
    </row>
    <row r="2299" spans="1:18" x14ac:dyDescent="0.25">
      <c r="A2299" s="170">
        <v>45390</v>
      </c>
      <c r="B2299" s="116">
        <v>8144.95</v>
      </c>
      <c r="C2299" s="116">
        <v>7927.15</v>
      </c>
      <c r="D2299" s="116">
        <v>7883.95</v>
      </c>
      <c r="E2299" s="116">
        <v>8144.95</v>
      </c>
      <c r="F2299" s="116">
        <v>7927.15</v>
      </c>
      <c r="G2299">
        <v>15293</v>
      </c>
      <c r="H2299" s="116"/>
      <c r="I2299" s="116"/>
      <c r="L2299" s="170">
        <v>45390</v>
      </c>
      <c r="M2299" s="116">
        <v>7922.45</v>
      </c>
      <c r="N2299" s="116">
        <v>8133.85</v>
      </c>
      <c r="O2299" s="116">
        <v>7814</v>
      </c>
      <c r="P2299" s="116">
        <v>8120.05</v>
      </c>
      <c r="Q2299" s="116">
        <v>7922.45</v>
      </c>
      <c r="R2299">
        <v>125342</v>
      </c>
    </row>
    <row r="2300" spans="1:18" x14ac:dyDescent="0.25">
      <c r="A2300" s="170">
        <v>45391</v>
      </c>
      <c r="B2300" s="116">
        <v>8065.7</v>
      </c>
      <c r="C2300" s="116">
        <v>7895.15</v>
      </c>
      <c r="D2300" s="116">
        <v>7871</v>
      </c>
      <c r="E2300" s="116">
        <v>7955.15</v>
      </c>
      <c r="F2300" s="116">
        <v>7895.15</v>
      </c>
      <c r="G2300">
        <v>12226</v>
      </c>
      <c r="H2300" s="116"/>
      <c r="I2300" s="116"/>
      <c r="L2300" s="170">
        <v>45391</v>
      </c>
      <c r="M2300" s="116">
        <v>7900.05</v>
      </c>
      <c r="N2300" s="116">
        <v>8009</v>
      </c>
      <c r="O2300" s="116">
        <v>7871</v>
      </c>
      <c r="P2300" s="116">
        <v>7985.85</v>
      </c>
      <c r="Q2300" s="116">
        <v>7900.05</v>
      </c>
      <c r="R2300">
        <v>115014</v>
      </c>
    </row>
    <row r="2301" spans="1:18" x14ac:dyDescent="0.25">
      <c r="A2301" s="170">
        <v>45392</v>
      </c>
      <c r="B2301" s="116">
        <v>7950</v>
      </c>
      <c r="C2301" s="116">
        <v>7857.25</v>
      </c>
      <c r="D2301" s="116">
        <v>7812.2</v>
      </c>
      <c r="E2301" s="116">
        <v>7908.8</v>
      </c>
      <c r="F2301" s="116">
        <v>7857.25</v>
      </c>
      <c r="G2301">
        <v>4824</v>
      </c>
      <c r="H2301" s="116"/>
      <c r="I2301" s="116"/>
      <c r="L2301" s="170">
        <v>45392</v>
      </c>
      <c r="M2301" s="116">
        <v>7846.75</v>
      </c>
      <c r="N2301" s="116">
        <v>7956</v>
      </c>
      <c r="O2301" s="116">
        <v>7801</v>
      </c>
      <c r="P2301" s="116">
        <v>7956</v>
      </c>
      <c r="Q2301" s="116">
        <v>7846.75</v>
      </c>
      <c r="R2301">
        <v>82754</v>
      </c>
    </row>
    <row r="2302" spans="1:18" x14ac:dyDescent="0.25">
      <c r="A2302" s="170">
        <v>45394</v>
      </c>
      <c r="B2302" s="116">
        <v>7895.15</v>
      </c>
      <c r="C2302" s="116">
        <v>7752.65</v>
      </c>
      <c r="D2302" s="116">
        <v>7736.05</v>
      </c>
      <c r="E2302" s="116">
        <v>7811.25</v>
      </c>
      <c r="F2302" s="116">
        <v>7752.65</v>
      </c>
      <c r="G2302">
        <v>10560</v>
      </c>
      <c r="H2302" s="116"/>
      <c r="I2302" s="116"/>
      <c r="L2302" s="170">
        <v>45394</v>
      </c>
      <c r="M2302" s="116">
        <v>7753.75</v>
      </c>
      <c r="N2302" s="116">
        <v>7898.8</v>
      </c>
      <c r="O2302" s="116">
        <v>7733</v>
      </c>
      <c r="P2302" s="116">
        <v>7847</v>
      </c>
      <c r="Q2302" s="116">
        <v>7753.75</v>
      </c>
      <c r="R2302">
        <v>98316</v>
      </c>
    </row>
    <row r="2303" spans="1:18" x14ac:dyDescent="0.25">
      <c r="A2303" s="170">
        <v>45397</v>
      </c>
      <c r="B2303" s="116">
        <v>7700</v>
      </c>
      <c r="C2303" s="116">
        <v>7526</v>
      </c>
      <c r="D2303" s="116">
        <v>7507</v>
      </c>
      <c r="E2303" s="116">
        <v>7650.05</v>
      </c>
      <c r="F2303" s="116">
        <v>7526</v>
      </c>
      <c r="G2303">
        <v>8838</v>
      </c>
      <c r="H2303" s="116"/>
      <c r="I2303" s="116"/>
      <c r="L2303" s="170">
        <v>45397</v>
      </c>
      <c r="M2303" s="116">
        <v>7525.75</v>
      </c>
      <c r="N2303" s="116">
        <v>7710</v>
      </c>
      <c r="O2303" s="116">
        <v>7506</v>
      </c>
      <c r="P2303" s="116">
        <v>7669.95</v>
      </c>
      <c r="Q2303" s="116">
        <v>7525.75</v>
      </c>
      <c r="R2303">
        <v>185200</v>
      </c>
    </row>
    <row r="2304" spans="1:18" x14ac:dyDescent="0.25">
      <c r="A2304" s="170">
        <v>45398</v>
      </c>
      <c r="B2304" s="116">
        <v>7632.4</v>
      </c>
      <c r="C2304" s="116">
        <v>7528.7</v>
      </c>
      <c r="D2304" s="116">
        <v>7510.25</v>
      </c>
      <c r="E2304" s="116">
        <v>7510.25</v>
      </c>
      <c r="F2304" s="116">
        <v>7528.7</v>
      </c>
      <c r="G2304">
        <v>11890</v>
      </c>
      <c r="H2304" s="116"/>
      <c r="I2304" s="116"/>
      <c r="L2304" s="170">
        <v>45398</v>
      </c>
      <c r="M2304" s="116">
        <v>7530</v>
      </c>
      <c r="N2304" s="116">
        <v>7629.9</v>
      </c>
      <c r="O2304" s="116">
        <v>7510.1</v>
      </c>
      <c r="P2304" s="116">
        <v>7526.95</v>
      </c>
      <c r="Q2304" s="116">
        <v>7530</v>
      </c>
      <c r="R2304">
        <v>80626</v>
      </c>
    </row>
    <row r="2305" spans="1:18" x14ac:dyDescent="0.25">
      <c r="A2305" s="170">
        <v>45400</v>
      </c>
      <c r="B2305" s="116">
        <v>7619.85</v>
      </c>
      <c r="C2305" s="116">
        <v>7493.15</v>
      </c>
      <c r="D2305" s="116">
        <v>7480</v>
      </c>
      <c r="E2305" s="116">
        <v>7619.85</v>
      </c>
      <c r="F2305" s="116">
        <v>7493.15</v>
      </c>
      <c r="G2305">
        <v>5925</v>
      </c>
      <c r="H2305" s="116"/>
      <c r="I2305" s="116"/>
      <c r="L2305" s="170">
        <v>45400</v>
      </c>
      <c r="M2305" s="116">
        <v>7493.35</v>
      </c>
      <c r="N2305" s="116">
        <v>7584.3</v>
      </c>
      <c r="O2305" s="116">
        <v>7477</v>
      </c>
      <c r="P2305" s="116">
        <v>7578.05</v>
      </c>
      <c r="Q2305" s="116">
        <v>7493.35</v>
      </c>
      <c r="R2305">
        <v>138170</v>
      </c>
    </row>
    <row r="2306" spans="1:18" x14ac:dyDescent="0.25">
      <c r="A2306" s="170">
        <v>45401</v>
      </c>
      <c r="B2306" s="116">
        <v>7485</v>
      </c>
      <c r="C2306" s="116">
        <v>7444.5</v>
      </c>
      <c r="D2306" s="116">
        <v>7370.5</v>
      </c>
      <c r="E2306" s="116">
        <v>7485</v>
      </c>
      <c r="F2306" s="116">
        <v>7444.5</v>
      </c>
      <c r="G2306">
        <v>4351</v>
      </c>
      <c r="H2306" s="116"/>
      <c r="I2306" s="116"/>
      <c r="L2306" s="170">
        <v>45401</v>
      </c>
      <c r="M2306" s="116">
        <v>7451</v>
      </c>
      <c r="N2306" s="116">
        <v>7475.85</v>
      </c>
      <c r="O2306" s="116">
        <v>7368</v>
      </c>
      <c r="P2306" s="116">
        <v>7474</v>
      </c>
      <c r="Q2306" s="116">
        <v>7451</v>
      </c>
      <c r="R2306">
        <v>97601</v>
      </c>
    </row>
    <row r="2307" spans="1:18" x14ac:dyDescent="0.25">
      <c r="A2307" s="170">
        <v>45404</v>
      </c>
      <c r="B2307" s="116">
        <v>7573</v>
      </c>
      <c r="C2307" s="116">
        <v>7436.15</v>
      </c>
      <c r="D2307" s="116">
        <v>7416.4</v>
      </c>
      <c r="E2307" s="116">
        <v>7494.5</v>
      </c>
      <c r="F2307" s="116">
        <v>7436.15</v>
      </c>
      <c r="G2307">
        <v>5897</v>
      </c>
      <c r="H2307" s="116"/>
      <c r="I2307" s="116"/>
      <c r="L2307" s="170">
        <v>45404</v>
      </c>
      <c r="M2307" s="116">
        <v>7436.65</v>
      </c>
      <c r="N2307" s="116">
        <v>7575.75</v>
      </c>
      <c r="O2307" s="116">
        <v>7420</v>
      </c>
      <c r="P2307" s="116">
        <v>7487</v>
      </c>
      <c r="Q2307" s="116">
        <v>7436.65</v>
      </c>
      <c r="R2307">
        <v>121025</v>
      </c>
    </row>
    <row r="2308" spans="1:18" x14ac:dyDescent="0.25">
      <c r="A2308" s="170">
        <v>45405</v>
      </c>
      <c r="B2308" s="116">
        <v>7500</v>
      </c>
      <c r="C2308" s="116">
        <v>7393.85</v>
      </c>
      <c r="D2308" s="116">
        <v>7372</v>
      </c>
      <c r="E2308" s="116">
        <v>7500</v>
      </c>
      <c r="F2308" s="116">
        <v>7393.85</v>
      </c>
      <c r="G2308">
        <v>5217</v>
      </c>
      <c r="H2308" s="116"/>
      <c r="I2308" s="116"/>
      <c r="L2308" s="170">
        <v>45405</v>
      </c>
      <c r="M2308" s="116">
        <v>7395.2</v>
      </c>
      <c r="N2308" s="116">
        <v>7498.8</v>
      </c>
      <c r="O2308" s="116">
        <v>7380</v>
      </c>
      <c r="P2308" s="116">
        <v>7498</v>
      </c>
      <c r="Q2308" s="116">
        <v>7395.2</v>
      </c>
      <c r="R2308">
        <v>127264</v>
      </c>
    </row>
    <row r="2309" spans="1:18" x14ac:dyDescent="0.25">
      <c r="A2309" s="170">
        <v>45406</v>
      </c>
      <c r="B2309" s="116">
        <v>7231.7</v>
      </c>
      <c r="C2309" s="116">
        <v>7035.1</v>
      </c>
      <c r="D2309" s="116">
        <v>7000.7</v>
      </c>
      <c r="E2309" s="116">
        <v>7173.15</v>
      </c>
      <c r="F2309" s="116">
        <v>7035.1</v>
      </c>
      <c r="G2309">
        <v>33569</v>
      </c>
      <c r="H2309" s="116"/>
      <c r="I2309" s="116"/>
      <c r="L2309" s="170">
        <v>45406</v>
      </c>
      <c r="M2309" s="116">
        <v>7030.15</v>
      </c>
      <c r="N2309" s="116">
        <v>7247.3</v>
      </c>
      <c r="O2309" s="116">
        <v>7000</v>
      </c>
      <c r="P2309" s="116">
        <v>7034.05</v>
      </c>
      <c r="Q2309" s="116">
        <v>7030.15</v>
      </c>
      <c r="R2309">
        <v>806331</v>
      </c>
    </row>
    <row r="2310" spans="1:18" x14ac:dyDescent="0.25">
      <c r="A2310" s="170">
        <v>45407</v>
      </c>
      <c r="B2310" s="116">
        <v>7117.55</v>
      </c>
      <c r="C2310" s="116">
        <v>7093.75</v>
      </c>
      <c r="D2310" s="116">
        <v>7040.15</v>
      </c>
      <c r="E2310" s="116">
        <v>7040.15</v>
      </c>
      <c r="F2310" s="116">
        <v>7093.75</v>
      </c>
      <c r="G2310">
        <v>23519</v>
      </c>
      <c r="H2310" s="116"/>
      <c r="I2310" s="116"/>
      <c r="L2310" s="170">
        <v>45407</v>
      </c>
      <c r="M2310" s="116">
        <v>7093.9</v>
      </c>
      <c r="N2310" s="116">
        <v>7115</v>
      </c>
      <c r="O2310" s="116">
        <v>7060</v>
      </c>
      <c r="P2310" s="116">
        <v>7087.15</v>
      </c>
      <c r="Q2310" s="116">
        <v>7093.9</v>
      </c>
      <c r="R2310">
        <v>145948</v>
      </c>
    </row>
    <row r="2311" spans="1:18" x14ac:dyDescent="0.25">
      <c r="A2311" s="170">
        <v>45408</v>
      </c>
      <c r="B2311" s="116">
        <v>7193.6</v>
      </c>
      <c r="C2311" s="116">
        <v>7100.75</v>
      </c>
      <c r="D2311" s="116">
        <v>7075</v>
      </c>
      <c r="E2311" s="116">
        <v>7148.85</v>
      </c>
      <c r="F2311" s="116">
        <v>7100.75</v>
      </c>
      <c r="G2311">
        <v>7246</v>
      </c>
      <c r="H2311" s="116"/>
      <c r="I2311" s="116"/>
      <c r="L2311" s="170">
        <v>45408</v>
      </c>
      <c r="M2311" s="116">
        <v>7103.7</v>
      </c>
      <c r="N2311" s="116">
        <v>7195</v>
      </c>
      <c r="O2311" s="116">
        <v>7082</v>
      </c>
      <c r="P2311" s="116">
        <v>7130</v>
      </c>
      <c r="Q2311" s="116">
        <v>7103.7</v>
      </c>
      <c r="R2311">
        <v>125101</v>
      </c>
    </row>
    <row r="2312" spans="1:18" x14ac:dyDescent="0.25">
      <c r="A2312" s="170">
        <v>45411</v>
      </c>
      <c r="B2312" s="116">
        <v>7175.7</v>
      </c>
      <c r="C2312" s="116">
        <v>7104.3</v>
      </c>
      <c r="D2312" s="116">
        <v>7082.9</v>
      </c>
      <c r="E2312" s="116">
        <v>7169.65</v>
      </c>
      <c r="F2312" s="116">
        <v>7104.3</v>
      </c>
      <c r="G2312">
        <v>6325</v>
      </c>
      <c r="H2312" s="116"/>
      <c r="I2312" s="116"/>
      <c r="L2312" s="170">
        <v>45411</v>
      </c>
      <c r="M2312" s="116">
        <v>7102.6</v>
      </c>
      <c r="N2312" s="116">
        <v>7174</v>
      </c>
      <c r="O2312" s="116">
        <v>7078.05</v>
      </c>
      <c r="P2312" s="116">
        <v>7174</v>
      </c>
      <c r="Q2312" s="116">
        <v>7102.6</v>
      </c>
      <c r="R2312">
        <v>93406</v>
      </c>
    </row>
    <row r="2313" spans="1:18" x14ac:dyDescent="0.25">
      <c r="A2313" s="170">
        <v>45412</v>
      </c>
      <c r="B2313" s="116">
        <v>7160.6</v>
      </c>
      <c r="C2313" s="116">
        <v>7047.75</v>
      </c>
      <c r="D2313" s="116">
        <v>7011.2</v>
      </c>
      <c r="E2313" s="116">
        <v>7104</v>
      </c>
      <c r="F2313" s="116">
        <v>7047.75</v>
      </c>
      <c r="G2313">
        <v>19509</v>
      </c>
      <c r="H2313" s="116"/>
      <c r="I2313" s="116"/>
      <c r="L2313" s="170">
        <v>45412</v>
      </c>
      <c r="M2313" s="116">
        <v>7051.9</v>
      </c>
      <c r="N2313" s="116">
        <v>7162.95</v>
      </c>
      <c r="O2313" s="116">
        <v>7025</v>
      </c>
      <c r="P2313" s="116">
        <v>7100</v>
      </c>
      <c r="Q2313" s="116">
        <v>7051.9</v>
      </c>
      <c r="R2313">
        <v>134157</v>
      </c>
    </row>
    <row r="2314" spans="1:18" x14ac:dyDescent="0.25">
      <c r="A2314" s="170">
        <v>45414</v>
      </c>
      <c r="B2314" s="116">
        <v>7195</v>
      </c>
      <c r="C2314" s="116">
        <v>7156.25</v>
      </c>
      <c r="D2314" s="116">
        <v>7070</v>
      </c>
      <c r="E2314" s="116">
        <v>7119.85</v>
      </c>
      <c r="F2314" s="116">
        <v>7156.25</v>
      </c>
      <c r="G2314">
        <v>6530</v>
      </c>
      <c r="H2314" s="116"/>
      <c r="I2314" s="116"/>
      <c r="L2314" s="170">
        <v>45414</v>
      </c>
      <c r="M2314" s="116">
        <v>7151.45</v>
      </c>
      <c r="N2314" s="116">
        <v>7195</v>
      </c>
      <c r="O2314" s="116">
        <v>7065.9</v>
      </c>
      <c r="P2314" s="116">
        <v>7098</v>
      </c>
      <c r="Q2314" s="116">
        <v>7151.45</v>
      </c>
      <c r="R2314">
        <v>117397</v>
      </c>
    </row>
    <row r="2315" spans="1:18" x14ac:dyDescent="0.25">
      <c r="A2315" s="170">
        <v>45415</v>
      </c>
      <c r="B2315" s="116">
        <v>7200</v>
      </c>
      <c r="C2315" s="116">
        <v>7109.6</v>
      </c>
      <c r="D2315" s="116">
        <v>7080</v>
      </c>
      <c r="E2315" s="116">
        <v>7198</v>
      </c>
      <c r="F2315" s="116">
        <v>7109.6</v>
      </c>
      <c r="G2315">
        <v>14911</v>
      </c>
      <c r="H2315" s="116"/>
      <c r="I2315" s="116"/>
      <c r="L2315" s="170">
        <v>45415</v>
      </c>
      <c r="M2315" s="116">
        <v>7111.75</v>
      </c>
      <c r="N2315" s="116">
        <v>7198</v>
      </c>
      <c r="O2315" s="116">
        <v>7080</v>
      </c>
      <c r="P2315" s="116">
        <v>7195</v>
      </c>
      <c r="Q2315" s="116">
        <v>7111.75</v>
      </c>
      <c r="R2315">
        <v>82962</v>
      </c>
    </row>
    <row r="2316" spans="1:18" x14ac:dyDescent="0.25">
      <c r="A2316" s="170">
        <v>45418</v>
      </c>
      <c r="B2316" s="116">
        <v>7188.45</v>
      </c>
      <c r="C2316" s="116">
        <v>7088</v>
      </c>
      <c r="D2316" s="116">
        <v>7075</v>
      </c>
      <c r="E2316" s="116">
        <v>7188.45</v>
      </c>
      <c r="F2316" s="116">
        <v>7088</v>
      </c>
      <c r="G2316">
        <v>4383</v>
      </c>
      <c r="H2316" s="116"/>
      <c r="I2316" s="116"/>
      <c r="L2316" s="170">
        <v>45418</v>
      </c>
      <c r="M2316" s="116">
        <v>7087.55</v>
      </c>
      <c r="N2316" s="116">
        <v>7165.9</v>
      </c>
      <c r="O2316" s="116">
        <v>7071.15</v>
      </c>
      <c r="P2316" s="116">
        <v>7148</v>
      </c>
      <c r="Q2316" s="116">
        <v>7087.55</v>
      </c>
      <c r="R2316">
        <v>67837</v>
      </c>
    </row>
    <row r="2317" spans="1:18" x14ac:dyDescent="0.25">
      <c r="A2317" s="170">
        <v>45419</v>
      </c>
      <c r="B2317" s="116">
        <v>7156</v>
      </c>
      <c r="C2317" s="116">
        <v>7134.05</v>
      </c>
      <c r="D2317" s="116">
        <v>7011.1</v>
      </c>
      <c r="E2317" s="116">
        <v>7137.7</v>
      </c>
      <c r="F2317" s="116">
        <v>7134.05</v>
      </c>
      <c r="G2317">
        <v>15256</v>
      </c>
      <c r="H2317" s="116"/>
      <c r="I2317" s="116"/>
      <c r="L2317" s="170">
        <v>45419</v>
      </c>
      <c r="M2317" s="116">
        <v>7137.85</v>
      </c>
      <c r="N2317" s="116">
        <v>7159</v>
      </c>
      <c r="O2317" s="116">
        <v>7010.75</v>
      </c>
      <c r="P2317" s="116">
        <v>7143.95</v>
      </c>
      <c r="Q2317" s="116">
        <v>7137.85</v>
      </c>
      <c r="R2317">
        <v>84322</v>
      </c>
    </row>
    <row r="2318" spans="1:18" x14ac:dyDescent="0.25">
      <c r="A2318" s="170">
        <v>45420</v>
      </c>
      <c r="B2318" s="116">
        <v>7147.15</v>
      </c>
      <c r="C2318" s="116">
        <v>7113</v>
      </c>
      <c r="D2318" s="116">
        <v>7066.15</v>
      </c>
      <c r="E2318" s="116">
        <v>7147.15</v>
      </c>
      <c r="F2318" s="116">
        <v>7113</v>
      </c>
      <c r="G2318">
        <v>2827</v>
      </c>
      <c r="H2318" s="116"/>
      <c r="I2318" s="116"/>
      <c r="L2318" s="170">
        <v>45420</v>
      </c>
      <c r="M2318" s="116">
        <v>7115.6</v>
      </c>
      <c r="N2318" s="116">
        <v>7145</v>
      </c>
      <c r="O2318" s="116">
        <v>7062</v>
      </c>
      <c r="P2318" s="116">
        <v>7140</v>
      </c>
      <c r="Q2318" s="116">
        <v>7115.6</v>
      </c>
      <c r="R2318">
        <v>65874</v>
      </c>
    </row>
    <row r="2319" spans="1:18" x14ac:dyDescent="0.25">
      <c r="A2319" s="170">
        <v>45421</v>
      </c>
      <c r="B2319" s="116">
        <v>7181.8</v>
      </c>
      <c r="C2319" s="116">
        <v>7150.7</v>
      </c>
      <c r="D2319" s="116">
        <v>7079.65</v>
      </c>
      <c r="E2319" s="116">
        <v>7139.55</v>
      </c>
      <c r="F2319" s="116">
        <v>7150.7</v>
      </c>
      <c r="G2319">
        <v>12508</v>
      </c>
      <c r="H2319" s="116"/>
      <c r="I2319" s="116"/>
      <c r="L2319" s="170">
        <v>45421</v>
      </c>
      <c r="M2319" s="116">
        <v>7151.45</v>
      </c>
      <c r="N2319" s="116">
        <v>7188</v>
      </c>
      <c r="O2319" s="116">
        <v>7076.3</v>
      </c>
      <c r="P2319" s="116">
        <v>7115.6</v>
      </c>
      <c r="Q2319" s="116">
        <v>7151.45</v>
      </c>
      <c r="R2319">
        <v>82557</v>
      </c>
    </row>
    <row r="2320" spans="1:18" x14ac:dyDescent="0.25">
      <c r="A2320" s="170">
        <v>45422</v>
      </c>
      <c r="B2320" s="116">
        <v>7152.65</v>
      </c>
      <c r="C2320" s="116">
        <v>7122.8</v>
      </c>
      <c r="D2320" s="116">
        <v>7075</v>
      </c>
      <c r="E2320" s="116">
        <v>7150</v>
      </c>
      <c r="F2320" s="116">
        <v>7122.8</v>
      </c>
      <c r="G2320">
        <v>7796</v>
      </c>
      <c r="H2320" s="116"/>
      <c r="I2320" s="116"/>
      <c r="L2320" s="170">
        <v>45422</v>
      </c>
      <c r="M2320" s="116">
        <v>7127.4</v>
      </c>
      <c r="N2320" s="116">
        <v>7151.2</v>
      </c>
      <c r="O2320" s="116">
        <v>7070.5</v>
      </c>
      <c r="P2320" s="116">
        <v>7151.2</v>
      </c>
      <c r="Q2320" s="116">
        <v>7127.4</v>
      </c>
      <c r="R2320">
        <v>70788</v>
      </c>
    </row>
    <row r="2321" spans="1:18" x14ac:dyDescent="0.25">
      <c r="A2321" s="170">
        <v>45425</v>
      </c>
      <c r="B2321" s="116">
        <v>7127.25</v>
      </c>
      <c r="C2321" s="116">
        <v>7064.6</v>
      </c>
      <c r="D2321" s="116">
        <v>7010</v>
      </c>
      <c r="E2321" s="116">
        <v>7127.25</v>
      </c>
      <c r="F2321" s="116">
        <v>7064.6</v>
      </c>
      <c r="G2321">
        <v>5095</v>
      </c>
      <c r="H2321" s="116"/>
      <c r="I2321" s="116"/>
      <c r="L2321" s="170">
        <v>45425</v>
      </c>
      <c r="M2321" s="116">
        <v>7069</v>
      </c>
      <c r="N2321" s="116">
        <v>7120</v>
      </c>
      <c r="O2321" s="116">
        <v>7006</v>
      </c>
      <c r="P2321" s="116">
        <v>7120</v>
      </c>
      <c r="Q2321" s="116">
        <v>7069</v>
      </c>
      <c r="R2321">
        <v>84651</v>
      </c>
    </row>
    <row r="2322" spans="1:18" x14ac:dyDescent="0.25">
      <c r="A2322" s="170">
        <v>45426</v>
      </c>
      <c r="B2322" s="116">
        <v>7131.15</v>
      </c>
      <c r="C2322" s="116">
        <v>7085.7</v>
      </c>
      <c r="D2322" s="116">
        <v>7049.25</v>
      </c>
      <c r="E2322" s="116">
        <v>7049.25</v>
      </c>
      <c r="F2322" s="116">
        <v>7085.7</v>
      </c>
      <c r="G2322">
        <v>2275</v>
      </c>
      <c r="H2322" s="116"/>
      <c r="I2322" s="116"/>
      <c r="L2322" s="170">
        <v>45426</v>
      </c>
      <c r="M2322" s="116">
        <v>7088.15</v>
      </c>
      <c r="N2322" s="116">
        <v>7131</v>
      </c>
      <c r="O2322" s="116">
        <v>7055.45</v>
      </c>
      <c r="P2322" s="116">
        <v>7070</v>
      </c>
      <c r="Q2322" s="116">
        <v>7088.15</v>
      </c>
      <c r="R2322">
        <v>50731</v>
      </c>
    </row>
    <row r="2323" spans="1:18" x14ac:dyDescent="0.25">
      <c r="A2323" s="170">
        <v>45427</v>
      </c>
      <c r="B2323" s="116">
        <v>7270</v>
      </c>
      <c r="C2323" s="116">
        <v>7219.1</v>
      </c>
      <c r="D2323" s="116">
        <v>7070</v>
      </c>
      <c r="E2323" s="116">
        <v>7104.7</v>
      </c>
      <c r="F2323" s="116">
        <v>7219.1</v>
      </c>
      <c r="G2323">
        <v>4505</v>
      </c>
      <c r="H2323" s="116"/>
      <c r="I2323" s="116"/>
      <c r="L2323" s="170">
        <v>45427</v>
      </c>
      <c r="M2323" s="116">
        <v>7222.25</v>
      </c>
      <c r="N2323" s="116">
        <v>7271</v>
      </c>
      <c r="O2323" s="116">
        <v>7065</v>
      </c>
      <c r="P2323" s="116">
        <v>7097</v>
      </c>
      <c r="Q2323" s="116">
        <v>7222.25</v>
      </c>
      <c r="R2323">
        <v>126317</v>
      </c>
    </row>
    <row r="2324" spans="1:18" x14ac:dyDescent="0.25">
      <c r="A2324" s="170">
        <v>45428</v>
      </c>
      <c r="B2324" s="116">
        <v>7316</v>
      </c>
      <c r="C2324" s="116">
        <v>7298.15</v>
      </c>
      <c r="D2324" s="116">
        <v>7239.85</v>
      </c>
      <c r="E2324" s="116">
        <v>7299.95</v>
      </c>
      <c r="F2324" s="116">
        <v>7298.15</v>
      </c>
      <c r="G2324">
        <v>6581</v>
      </c>
      <c r="H2324" s="116"/>
      <c r="I2324" s="116"/>
      <c r="L2324" s="170">
        <v>45428</v>
      </c>
      <c r="M2324" s="116">
        <v>7299.6</v>
      </c>
      <c r="N2324" s="116">
        <v>7320</v>
      </c>
      <c r="O2324" s="116">
        <v>7243</v>
      </c>
      <c r="P2324" s="116">
        <v>7251</v>
      </c>
      <c r="Q2324" s="116">
        <v>7299.6</v>
      </c>
      <c r="R2324">
        <v>146481</v>
      </c>
    </row>
    <row r="2325" spans="1:18" x14ac:dyDescent="0.25">
      <c r="A2325" s="170">
        <v>45429</v>
      </c>
      <c r="B2325" s="116">
        <v>7370.2</v>
      </c>
      <c r="C2325" s="116">
        <v>7359.35</v>
      </c>
      <c r="D2325" s="116">
        <v>7268.85</v>
      </c>
      <c r="E2325" s="116">
        <v>7307.35</v>
      </c>
      <c r="F2325" s="116">
        <v>7359.35</v>
      </c>
      <c r="G2325">
        <v>4911</v>
      </c>
      <c r="H2325" s="116"/>
      <c r="I2325" s="116"/>
      <c r="L2325" s="170">
        <v>45429</v>
      </c>
      <c r="M2325" s="116">
        <v>7359</v>
      </c>
      <c r="N2325" s="116">
        <v>7369.7</v>
      </c>
      <c r="O2325" s="116">
        <v>7270</v>
      </c>
      <c r="P2325" s="116">
        <v>7300</v>
      </c>
      <c r="Q2325" s="116">
        <v>7359</v>
      </c>
      <c r="R2325">
        <v>82866</v>
      </c>
    </row>
    <row r="2326" spans="1:18" x14ac:dyDescent="0.25">
      <c r="A2326" s="170">
        <v>45430</v>
      </c>
      <c r="B2326" s="116">
        <v>7390.65</v>
      </c>
      <c r="C2326" s="116">
        <v>7311.1</v>
      </c>
      <c r="D2326" s="116">
        <v>7000.05</v>
      </c>
      <c r="E2326" s="116">
        <v>7375</v>
      </c>
      <c r="F2326" s="116">
        <v>7311.1</v>
      </c>
      <c r="G2326">
        <v>2669</v>
      </c>
      <c r="H2326" s="116"/>
      <c r="I2326" s="116"/>
      <c r="L2326" s="170">
        <v>45430</v>
      </c>
      <c r="M2326" s="116">
        <v>7314.95</v>
      </c>
      <c r="N2326" s="116">
        <v>7398.8</v>
      </c>
      <c r="O2326" s="116">
        <v>7305</v>
      </c>
      <c r="P2326" s="116">
        <v>7375</v>
      </c>
      <c r="Q2326" s="116">
        <v>7314.95</v>
      </c>
      <c r="R2326">
        <v>10409</v>
      </c>
    </row>
    <row r="2327" spans="1:18" x14ac:dyDescent="0.25">
      <c r="A2327" s="170">
        <v>45433</v>
      </c>
      <c r="B2327" s="116">
        <v>7347.3</v>
      </c>
      <c r="C2327" s="116">
        <v>7238.2</v>
      </c>
      <c r="D2327" s="116">
        <v>7225</v>
      </c>
      <c r="E2327" s="116">
        <v>7311.2</v>
      </c>
      <c r="F2327" s="116">
        <v>7238.2</v>
      </c>
      <c r="G2327">
        <v>3673</v>
      </c>
      <c r="H2327" s="116"/>
      <c r="I2327" s="116"/>
      <c r="L2327" s="170">
        <v>45433</v>
      </c>
      <c r="M2327" s="116">
        <v>7238.9</v>
      </c>
      <c r="N2327" s="116">
        <v>7350</v>
      </c>
      <c r="O2327" s="116">
        <v>7220</v>
      </c>
      <c r="P2327" s="116">
        <v>7350</v>
      </c>
      <c r="Q2327" s="116">
        <v>7238.9</v>
      </c>
      <c r="R2327">
        <v>62475</v>
      </c>
    </row>
    <row r="2328" spans="1:18" x14ac:dyDescent="0.25">
      <c r="A2328" s="170">
        <v>45434</v>
      </c>
      <c r="B2328" s="116">
        <v>7303.8</v>
      </c>
      <c r="C2328" s="116">
        <v>7204.65</v>
      </c>
      <c r="D2328" s="116">
        <v>7172.4</v>
      </c>
      <c r="E2328" s="116">
        <v>7239.25</v>
      </c>
      <c r="F2328" s="116">
        <v>7204.65</v>
      </c>
      <c r="G2328">
        <v>3992</v>
      </c>
      <c r="H2328" s="116"/>
      <c r="I2328" s="116"/>
      <c r="L2328" s="170">
        <v>45434</v>
      </c>
      <c r="M2328" s="116">
        <v>7211.6</v>
      </c>
      <c r="N2328" s="116">
        <v>7303.6</v>
      </c>
      <c r="O2328" s="116">
        <v>7171.5</v>
      </c>
      <c r="P2328" s="116">
        <v>7232.05</v>
      </c>
      <c r="Q2328" s="116">
        <v>7211.6</v>
      </c>
      <c r="R2328">
        <v>112856</v>
      </c>
    </row>
    <row r="2329" spans="1:18" x14ac:dyDescent="0.25">
      <c r="A2329" s="170">
        <v>45435</v>
      </c>
      <c r="B2329" s="116">
        <v>7558.85</v>
      </c>
      <c r="C2329" s="116">
        <v>7425.75</v>
      </c>
      <c r="D2329" s="116">
        <v>7215.1</v>
      </c>
      <c r="E2329" s="116">
        <v>7215.1</v>
      </c>
      <c r="F2329" s="116">
        <v>7425.75</v>
      </c>
      <c r="G2329">
        <v>10062</v>
      </c>
      <c r="H2329" s="116"/>
      <c r="I2329" s="116"/>
      <c r="L2329" s="170">
        <v>45435</v>
      </c>
      <c r="M2329" s="116">
        <v>7416.6</v>
      </c>
      <c r="N2329" s="116">
        <v>7559</v>
      </c>
      <c r="O2329" s="116">
        <v>7240.15</v>
      </c>
      <c r="P2329" s="116">
        <v>7268.95</v>
      </c>
      <c r="Q2329" s="116">
        <v>7416.6</v>
      </c>
      <c r="R2329">
        <v>280742</v>
      </c>
    </row>
    <row r="2330" spans="1:18" x14ac:dyDescent="0.25">
      <c r="A2330" s="170">
        <v>45436</v>
      </c>
      <c r="B2330" s="116">
        <v>7424.9</v>
      </c>
      <c r="C2330" s="116">
        <v>7374.65</v>
      </c>
      <c r="D2330" s="116">
        <v>7328.5</v>
      </c>
      <c r="E2330" s="116">
        <v>7424.9</v>
      </c>
      <c r="F2330" s="116">
        <v>7374.65</v>
      </c>
      <c r="G2330">
        <v>14606</v>
      </c>
      <c r="H2330" s="116"/>
      <c r="I2330" s="116"/>
      <c r="L2330" s="170">
        <v>45436</v>
      </c>
      <c r="M2330" s="116">
        <v>7374.95</v>
      </c>
      <c r="N2330" s="116">
        <v>7423.9</v>
      </c>
      <c r="O2330" s="116">
        <v>7326.05</v>
      </c>
      <c r="P2330" s="116">
        <v>7416.6</v>
      </c>
      <c r="Q2330" s="116">
        <v>7374.95</v>
      </c>
      <c r="R2330">
        <v>86161</v>
      </c>
    </row>
    <row r="2331" spans="1:18" x14ac:dyDescent="0.25">
      <c r="A2331" s="170">
        <v>45439</v>
      </c>
      <c r="B2331" s="116">
        <v>7450</v>
      </c>
      <c r="C2331" s="116">
        <v>7318.5</v>
      </c>
      <c r="D2331" s="116">
        <v>7305.65</v>
      </c>
      <c r="E2331" s="116">
        <v>7375</v>
      </c>
      <c r="F2331" s="116">
        <v>7318.5</v>
      </c>
      <c r="G2331">
        <v>4107</v>
      </c>
      <c r="H2331" s="116"/>
      <c r="I2331" s="116"/>
      <c r="L2331" s="170">
        <v>45439</v>
      </c>
      <c r="M2331" s="116">
        <v>7316.8</v>
      </c>
      <c r="N2331" s="116">
        <v>7459.9</v>
      </c>
      <c r="O2331" s="116">
        <v>7305</v>
      </c>
      <c r="P2331" s="116">
        <v>7374.95</v>
      </c>
      <c r="Q2331" s="116">
        <v>7316.8</v>
      </c>
      <c r="R2331">
        <v>83671</v>
      </c>
    </row>
    <row r="2332" spans="1:18" x14ac:dyDescent="0.25">
      <c r="A2332" s="170">
        <v>45440</v>
      </c>
      <c r="B2332" s="116">
        <v>7387.9</v>
      </c>
      <c r="C2332" s="116">
        <v>7317.05</v>
      </c>
      <c r="D2332" s="116">
        <v>7300.2</v>
      </c>
      <c r="E2332" s="116">
        <v>7387.9</v>
      </c>
      <c r="F2332" s="116">
        <v>7317.05</v>
      </c>
      <c r="G2332">
        <v>11266</v>
      </c>
      <c r="H2332" s="116"/>
      <c r="I2332" s="116"/>
      <c r="L2332" s="170">
        <v>45440</v>
      </c>
      <c r="M2332" s="116">
        <v>7319.9</v>
      </c>
      <c r="N2332" s="116">
        <v>7385</v>
      </c>
      <c r="O2332" s="116">
        <v>7303.35</v>
      </c>
      <c r="P2332" s="116">
        <v>7360</v>
      </c>
      <c r="Q2332" s="116">
        <v>7319.9</v>
      </c>
      <c r="R2332">
        <v>64306</v>
      </c>
    </row>
    <row r="2333" spans="1:18" x14ac:dyDescent="0.25">
      <c r="A2333" s="170">
        <v>45441</v>
      </c>
      <c r="B2333" s="116">
        <v>7312</v>
      </c>
      <c r="C2333" s="116">
        <v>7290.5</v>
      </c>
      <c r="D2333" s="116">
        <v>7255</v>
      </c>
      <c r="E2333" s="116">
        <v>7295.05</v>
      </c>
      <c r="F2333" s="116">
        <v>7290.5</v>
      </c>
      <c r="G2333">
        <v>2160</v>
      </c>
      <c r="H2333" s="116"/>
      <c r="I2333" s="116"/>
      <c r="L2333" s="170">
        <v>45441</v>
      </c>
      <c r="M2333" s="116">
        <v>7290.2</v>
      </c>
      <c r="N2333" s="116">
        <v>7313</v>
      </c>
      <c r="O2333" s="116">
        <v>7252.35</v>
      </c>
      <c r="P2333" s="116">
        <v>7310.5</v>
      </c>
      <c r="Q2333" s="116">
        <v>7290.2</v>
      </c>
      <c r="R2333">
        <v>67954</v>
      </c>
    </row>
    <row r="2334" spans="1:18" x14ac:dyDescent="0.25">
      <c r="A2334" s="170">
        <v>45442</v>
      </c>
      <c r="B2334" s="116">
        <v>7345</v>
      </c>
      <c r="C2334" s="116">
        <v>7194.3</v>
      </c>
      <c r="D2334" s="116">
        <v>7165</v>
      </c>
      <c r="E2334" s="116">
        <v>7298.55</v>
      </c>
      <c r="F2334" s="116">
        <v>7194.3</v>
      </c>
      <c r="G2334">
        <v>11245</v>
      </c>
      <c r="H2334" s="116"/>
      <c r="I2334" s="116"/>
      <c r="L2334" s="170">
        <v>45442</v>
      </c>
      <c r="M2334" s="116">
        <v>7194.85</v>
      </c>
      <c r="N2334" s="116">
        <v>7343.25</v>
      </c>
      <c r="O2334" s="116">
        <v>7165.85</v>
      </c>
      <c r="P2334" s="116">
        <v>7326.7</v>
      </c>
      <c r="Q2334" s="116">
        <v>7194.85</v>
      </c>
      <c r="R2334">
        <v>189987</v>
      </c>
    </row>
    <row r="2335" spans="1:18" x14ac:dyDescent="0.25">
      <c r="A2335" s="170">
        <v>45443</v>
      </c>
      <c r="B2335" s="116">
        <v>7254.3</v>
      </c>
      <c r="C2335" s="116">
        <v>6953.4</v>
      </c>
      <c r="D2335" s="116">
        <v>6905.05</v>
      </c>
      <c r="E2335" s="116">
        <v>7254.3</v>
      </c>
      <c r="F2335" s="116">
        <v>6953.4</v>
      </c>
      <c r="G2335">
        <v>12836</v>
      </c>
      <c r="H2335" s="116"/>
      <c r="I2335" s="116"/>
      <c r="L2335" s="170">
        <v>45443</v>
      </c>
      <c r="M2335" s="116">
        <v>6944.35</v>
      </c>
      <c r="N2335" s="116">
        <v>7244</v>
      </c>
      <c r="O2335" s="116">
        <v>6903</v>
      </c>
      <c r="P2335" s="116">
        <v>7240</v>
      </c>
      <c r="Q2335" s="116">
        <v>6944.35</v>
      </c>
      <c r="R2335">
        <v>506546</v>
      </c>
    </row>
    <row r="2336" spans="1:18" x14ac:dyDescent="0.25">
      <c r="A2336" s="170">
        <v>45446</v>
      </c>
      <c r="B2336" s="116">
        <v>7194.95</v>
      </c>
      <c r="C2336" s="116">
        <v>6948.15</v>
      </c>
      <c r="D2336" s="116">
        <v>6930</v>
      </c>
      <c r="E2336" s="116">
        <v>7194.95</v>
      </c>
      <c r="F2336" s="116">
        <v>6948.15</v>
      </c>
      <c r="G2336">
        <v>28194</v>
      </c>
      <c r="H2336" s="116"/>
      <c r="I2336" s="116"/>
      <c r="L2336" s="170">
        <v>45446</v>
      </c>
      <c r="M2336" s="116">
        <v>6947.6</v>
      </c>
      <c r="N2336" s="116">
        <v>7148</v>
      </c>
      <c r="O2336" s="116">
        <v>6926.45</v>
      </c>
      <c r="P2336" s="116">
        <v>7148</v>
      </c>
      <c r="Q2336" s="116">
        <v>6947.6</v>
      </c>
      <c r="R2336">
        <v>189575</v>
      </c>
    </row>
    <row r="2337" spans="1:18" x14ac:dyDescent="0.25">
      <c r="A2337" s="170">
        <v>45447</v>
      </c>
      <c r="B2337" s="116">
        <v>6999.9</v>
      </c>
      <c r="C2337" s="116">
        <v>6727.65</v>
      </c>
      <c r="D2337" s="116">
        <v>6406.6</v>
      </c>
      <c r="E2337" s="116">
        <v>6999.9</v>
      </c>
      <c r="F2337" s="116">
        <v>6727.65</v>
      </c>
      <c r="G2337">
        <v>46341</v>
      </c>
      <c r="H2337" s="116"/>
      <c r="I2337" s="116"/>
      <c r="L2337" s="170">
        <v>45447</v>
      </c>
      <c r="M2337" s="116">
        <v>6726.2</v>
      </c>
      <c r="N2337" s="116">
        <v>6975</v>
      </c>
      <c r="O2337" s="116">
        <v>6411.2</v>
      </c>
      <c r="P2337" s="116">
        <v>6975</v>
      </c>
      <c r="Q2337" s="116">
        <v>6726.2</v>
      </c>
      <c r="R2337">
        <v>298357</v>
      </c>
    </row>
    <row r="2338" spans="1:18" x14ac:dyDescent="0.25">
      <c r="A2338" s="170">
        <v>45448</v>
      </c>
      <c r="B2338" s="116">
        <v>6940</v>
      </c>
      <c r="C2338" s="116">
        <v>6888.5</v>
      </c>
      <c r="D2338" s="116">
        <v>6659.65</v>
      </c>
      <c r="E2338" s="116">
        <v>6750.75</v>
      </c>
      <c r="F2338" s="116">
        <v>6888.5</v>
      </c>
      <c r="G2338">
        <v>23309</v>
      </c>
      <c r="H2338" s="116"/>
      <c r="I2338" s="116"/>
      <c r="L2338" s="170">
        <v>45448</v>
      </c>
      <c r="M2338" s="116">
        <v>6878.9</v>
      </c>
      <c r="N2338" s="116">
        <v>6943.55</v>
      </c>
      <c r="O2338" s="116">
        <v>6652.55</v>
      </c>
      <c r="P2338" s="116">
        <v>6850</v>
      </c>
      <c r="Q2338" s="116">
        <v>6878.9</v>
      </c>
      <c r="R2338">
        <v>116845</v>
      </c>
    </row>
    <row r="2339" spans="1:18" x14ac:dyDescent="0.25">
      <c r="A2339" s="170">
        <v>45449</v>
      </c>
      <c r="B2339" s="116">
        <v>7019.2</v>
      </c>
      <c r="C2339" s="116">
        <v>6927.5</v>
      </c>
      <c r="D2339" s="116">
        <v>6900</v>
      </c>
      <c r="E2339" s="116">
        <v>6998.75</v>
      </c>
      <c r="F2339" s="116">
        <v>6927.5</v>
      </c>
      <c r="G2339">
        <v>16501</v>
      </c>
      <c r="H2339" s="116"/>
      <c r="I2339" s="116"/>
      <c r="L2339" s="170">
        <v>45449</v>
      </c>
      <c r="M2339" s="116">
        <v>6932.2</v>
      </c>
      <c r="N2339" s="116">
        <v>7018.5</v>
      </c>
      <c r="O2339" s="116">
        <v>6900</v>
      </c>
      <c r="P2339" s="116">
        <v>6983.3</v>
      </c>
      <c r="Q2339" s="116">
        <v>6932.2</v>
      </c>
      <c r="R2339">
        <v>138019</v>
      </c>
    </row>
    <row r="2340" spans="1:18" x14ac:dyDescent="0.25">
      <c r="A2340" s="170">
        <v>45450</v>
      </c>
      <c r="B2340" s="116">
        <v>7167.4</v>
      </c>
      <c r="C2340" s="116">
        <v>7118.8</v>
      </c>
      <c r="D2340" s="116">
        <v>6954.75</v>
      </c>
      <c r="E2340" s="116">
        <v>6996.45</v>
      </c>
      <c r="F2340" s="116">
        <v>7118.8</v>
      </c>
      <c r="G2340">
        <v>8693</v>
      </c>
      <c r="H2340" s="116"/>
      <c r="I2340" s="116"/>
      <c r="L2340" s="170">
        <v>45450</v>
      </c>
      <c r="M2340" s="116">
        <v>7120</v>
      </c>
      <c r="N2340" s="116">
        <v>7165</v>
      </c>
      <c r="O2340" s="116">
        <v>6960</v>
      </c>
      <c r="P2340" s="116">
        <v>6960</v>
      </c>
      <c r="Q2340" s="116">
        <v>7120</v>
      </c>
      <c r="R2340">
        <v>231746</v>
      </c>
    </row>
    <row r="2341" spans="1:18" x14ac:dyDescent="0.25">
      <c r="A2341" s="170">
        <v>45453</v>
      </c>
      <c r="B2341" s="116">
        <v>7219.75</v>
      </c>
      <c r="C2341" s="116">
        <v>7139.1</v>
      </c>
      <c r="D2341" s="116">
        <v>7080.3</v>
      </c>
      <c r="E2341" s="116">
        <v>7219.75</v>
      </c>
      <c r="F2341" s="116">
        <v>7139.1</v>
      </c>
      <c r="G2341">
        <v>4422</v>
      </c>
      <c r="H2341" s="116"/>
      <c r="I2341" s="116"/>
      <c r="L2341" s="170">
        <v>45453</v>
      </c>
      <c r="M2341" s="116">
        <v>7140.15</v>
      </c>
      <c r="N2341" s="116">
        <v>7190</v>
      </c>
      <c r="O2341" s="116">
        <v>7090</v>
      </c>
      <c r="P2341" s="116">
        <v>7189</v>
      </c>
      <c r="Q2341" s="116">
        <v>7140.15</v>
      </c>
      <c r="R2341">
        <v>75286</v>
      </c>
    </row>
    <row r="2342" spans="1:18" x14ac:dyDescent="0.25">
      <c r="A2342" s="170">
        <v>45454</v>
      </c>
      <c r="B2342" s="116">
        <v>7194.5</v>
      </c>
      <c r="C2342" s="116">
        <v>7088</v>
      </c>
      <c r="D2342" s="116">
        <v>7080</v>
      </c>
      <c r="E2342" s="116">
        <v>7194.5</v>
      </c>
      <c r="F2342" s="116">
        <v>7088</v>
      </c>
      <c r="G2342">
        <v>4947</v>
      </c>
      <c r="H2342" s="116"/>
      <c r="I2342" s="116"/>
      <c r="L2342" s="170">
        <v>45454</v>
      </c>
      <c r="M2342" s="116">
        <v>7087.65</v>
      </c>
      <c r="N2342" s="116">
        <v>7165</v>
      </c>
      <c r="O2342" s="116">
        <v>7080</v>
      </c>
      <c r="P2342" s="116">
        <v>7159.9</v>
      </c>
      <c r="Q2342" s="116">
        <v>7087.65</v>
      </c>
      <c r="R2342">
        <v>77665</v>
      </c>
    </row>
    <row r="2343" spans="1:18" x14ac:dyDescent="0.25">
      <c r="A2343" s="170">
        <v>45455</v>
      </c>
      <c r="B2343" s="116">
        <v>7160</v>
      </c>
      <c r="C2343" s="116">
        <v>7115.65</v>
      </c>
      <c r="D2343" s="116">
        <v>7060.5</v>
      </c>
      <c r="E2343" s="116">
        <v>7060.5</v>
      </c>
      <c r="F2343" s="116">
        <v>7115.65</v>
      </c>
      <c r="G2343">
        <v>11382</v>
      </c>
      <c r="H2343" s="116"/>
      <c r="I2343" s="116"/>
      <c r="L2343" s="170">
        <v>45455</v>
      </c>
      <c r="M2343" s="116">
        <v>7120.25</v>
      </c>
      <c r="N2343" s="116">
        <v>7158.3</v>
      </c>
      <c r="O2343" s="116">
        <v>7092</v>
      </c>
      <c r="P2343" s="116">
        <v>7099.2</v>
      </c>
      <c r="Q2343" s="116">
        <v>7120.25</v>
      </c>
      <c r="R2343">
        <v>68176</v>
      </c>
    </row>
    <row r="2344" spans="1:18" x14ac:dyDescent="0.25">
      <c r="A2344" s="170">
        <v>45456</v>
      </c>
      <c r="B2344" s="116">
        <v>7288.8</v>
      </c>
      <c r="C2344" s="116">
        <v>7232.35</v>
      </c>
      <c r="D2344" s="116">
        <v>7142.7</v>
      </c>
      <c r="E2344" s="116">
        <v>7178.9</v>
      </c>
      <c r="F2344" s="116">
        <v>7232.35</v>
      </c>
      <c r="G2344">
        <v>9059</v>
      </c>
      <c r="H2344" s="116"/>
      <c r="I2344" s="116"/>
      <c r="L2344" s="170">
        <v>45456</v>
      </c>
      <c r="M2344" s="116">
        <v>7231.05</v>
      </c>
      <c r="N2344" s="116">
        <v>7291.05</v>
      </c>
      <c r="O2344" s="116">
        <v>7140</v>
      </c>
      <c r="P2344" s="116">
        <v>7151</v>
      </c>
      <c r="Q2344" s="116">
        <v>7231.05</v>
      </c>
      <c r="R2344">
        <v>162140</v>
      </c>
    </row>
    <row r="2345" spans="1:18" x14ac:dyDescent="0.25">
      <c r="A2345" s="170">
        <v>45457</v>
      </c>
      <c r="B2345" s="116">
        <v>7373.75</v>
      </c>
      <c r="C2345" s="116">
        <v>7266.15</v>
      </c>
      <c r="D2345" s="116">
        <v>7200.1</v>
      </c>
      <c r="E2345" s="116">
        <v>7264.8</v>
      </c>
      <c r="F2345" s="116">
        <v>7266.15</v>
      </c>
      <c r="G2345">
        <v>19892</v>
      </c>
      <c r="H2345" s="116"/>
      <c r="I2345" s="116"/>
      <c r="L2345" s="170">
        <v>45457</v>
      </c>
      <c r="M2345" s="116">
        <v>7268</v>
      </c>
      <c r="N2345" s="116">
        <v>7375</v>
      </c>
      <c r="O2345" s="116">
        <v>7201.9</v>
      </c>
      <c r="P2345" s="116">
        <v>7260</v>
      </c>
      <c r="Q2345" s="116">
        <v>7268</v>
      </c>
      <c r="R2345">
        <v>168944</v>
      </c>
    </row>
    <row r="2346" spans="1:18" x14ac:dyDescent="0.25">
      <c r="A2346" s="170">
        <v>45461</v>
      </c>
      <c r="B2346" s="116">
        <v>7369.95</v>
      </c>
      <c r="C2346" s="116">
        <v>7291.95</v>
      </c>
      <c r="D2346" s="116">
        <v>7277.95</v>
      </c>
      <c r="E2346" s="116">
        <v>7277.95</v>
      </c>
      <c r="F2346" s="116">
        <v>7291.95</v>
      </c>
      <c r="G2346">
        <v>3521</v>
      </c>
      <c r="H2346" s="116"/>
      <c r="I2346" s="116"/>
      <c r="L2346" s="170">
        <v>45461</v>
      </c>
      <c r="M2346" s="116">
        <v>7289.7</v>
      </c>
      <c r="N2346" s="116">
        <v>7362.5</v>
      </c>
      <c r="O2346" s="116">
        <v>7275</v>
      </c>
      <c r="P2346" s="116">
        <v>7327.25</v>
      </c>
      <c r="Q2346" s="116">
        <v>7289.7</v>
      </c>
      <c r="R2346">
        <v>94020</v>
      </c>
    </row>
    <row r="2347" spans="1:18" x14ac:dyDescent="0.25">
      <c r="A2347" s="170">
        <v>45462</v>
      </c>
      <c r="B2347" s="116">
        <v>7321.5</v>
      </c>
      <c r="C2347" s="116">
        <v>7240.25</v>
      </c>
      <c r="D2347" s="116">
        <v>7199.3</v>
      </c>
      <c r="E2347" s="116">
        <v>7291.95</v>
      </c>
      <c r="F2347" s="116">
        <v>7240.25</v>
      </c>
      <c r="G2347">
        <v>12050</v>
      </c>
      <c r="H2347" s="116"/>
      <c r="I2347" s="116"/>
      <c r="L2347" s="170">
        <v>45462</v>
      </c>
      <c r="M2347" s="116">
        <v>7244.8</v>
      </c>
      <c r="N2347" s="116">
        <v>7316.65</v>
      </c>
      <c r="O2347" s="116">
        <v>7202.8</v>
      </c>
      <c r="P2347" s="116">
        <v>7290</v>
      </c>
      <c r="Q2347" s="116">
        <v>7244.8</v>
      </c>
      <c r="R2347">
        <v>58610</v>
      </c>
    </row>
    <row r="2348" spans="1:18" x14ac:dyDescent="0.25">
      <c r="A2348" s="170">
        <v>45463</v>
      </c>
      <c r="B2348" s="116">
        <v>7299.95</v>
      </c>
      <c r="C2348" s="116">
        <v>7228.35</v>
      </c>
      <c r="D2348" s="116">
        <v>7196.6</v>
      </c>
      <c r="E2348" s="116">
        <v>7299.95</v>
      </c>
      <c r="F2348" s="116">
        <v>7228.35</v>
      </c>
      <c r="G2348">
        <v>3319</v>
      </c>
      <c r="H2348" s="116"/>
      <c r="I2348" s="116"/>
      <c r="L2348" s="170">
        <v>45463</v>
      </c>
      <c r="M2348" s="116">
        <v>7230.55</v>
      </c>
      <c r="N2348" s="116">
        <v>7269.85</v>
      </c>
      <c r="O2348" s="116">
        <v>7192.1</v>
      </c>
      <c r="P2348" s="116">
        <v>7244.05</v>
      </c>
      <c r="Q2348" s="116">
        <v>7230.55</v>
      </c>
      <c r="R2348">
        <v>68329</v>
      </c>
    </row>
    <row r="2349" spans="1:18" x14ac:dyDescent="0.25">
      <c r="A2349" s="170">
        <v>45464</v>
      </c>
      <c r="B2349" s="116">
        <v>7355.7</v>
      </c>
      <c r="C2349" s="116">
        <v>7123.2</v>
      </c>
      <c r="D2349" s="116">
        <v>7081.8</v>
      </c>
      <c r="E2349" s="116">
        <v>7230.05</v>
      </c>
      <c r="F2349" s="116">
        <v>7123.2</v>
      </c>
      <c r="G2349">
        <v>6962</v>
      </c>
      <c r="H2349" s="116"/>
      <c r="I2349" s="116"/>
      <c r="L2349" s="170">
        <v>45464</v>
      </c>
      <c r="M2349" s="116">
        <v>7120.6</v>
      </c>
      <c r="N2349" s="116">
        <v>7357.95</v>
      </c>
      <c r="O2349" s="116">
        <v>7077.1</v>
      </c>
      <c r="P2349" s="116">
        <v>7260</v>
      </c>
      <c r="Q2349" s="116">
        <v>7120.6</v>
      </c>
      <c r="R2349">
        <v>173733</v>
      </c>
    </row>
    <row r="2350" spans="1:18" x14ac:dyDescent="0.25">
      <c r="A2350" s="170">
        <v>45467</v>
      </c>
      <c r="B2350" s="116">
        <v>7348</v>
      </c>
      <c r="C2350" s="116">
        <v>7250.1</v>
      </c>
      <c r="D2350" s="116">
        <v>7129.65</v>
      </c>
      <c r="E2350" s="116">
        <v>7199.4</v>
      </c>
      <c r="F2350" s="116">
        <v>7250.1</v>
      </c>
      <c r="G2350">
        <v>19974</v>
      </c>
      <c r="H2350" s="116"/>
      <c r="I2350" s="116"/>
      <c r="L2350" s="170">
        <v>45467</v>
      </c>
      <c r="M2350" s="116">
        <v>7250.7</v>
      </c>
      <c r="N2350" s="116">
        <v>7349.8</v>
      </c>
      <c r="O2350" s="116">
        <v>7131</v>
      </c>
      <c r="P2350" s="116">
        <v>7161.9</v>
      </c>
      <c r="Q2350" s="116">
        <v>7250.7</v>
      </c>
      <c r="R2350">
        <v>152443</v>
      </c>
    </row>
    <row r="2351" spans="1:18" x14ac:dyDescent="0.25">
      <c r="A2351" s="170">
        <v>45468</v>
      </c>
      <c r="B2351" s="116">
        <v>7225.2</v>
      </c>
      <c r="C2351" s="116">
        <v>7108.5</v>
      </c>
      <c r="D2351" s="116">
        <v>7100</v>
      </c>
      <c r="E2351" s="116">
        <v>7225.2</v>
      </c>
      <c r="F2351" s="116">
        <v>7108.5</v>
      </c>
      <c r="G2351">
        <v>6921</v>
      </c>
      <c r="H2351" s="116"/>
      <c r="I2351" s="116"/>
      <c r="L2351" s="170">
        <v>45468</v>
      </c>
      <c r="M2351" s="116">
        <v>7106.05</v>
      </c>
      <c r="N2351" s="116">
        <v>7228.8</v>
      </c>
      <c r="O2351" s="116">
        <v>7100</v>
      </c>
      <c r="P2351" s="116">
        <v>7200</v>
      </c>
      <c r="Q2351" s="116">
        <v>7106.05</v>
      </c>
      <c r="R2351">
        <v>153628</v>
      </c>
    </row>
    <row r="2352" spans="1:18" x14ac:dyDescent="0.25">
      <c r="A2352" s="170">
        <v>45469</v>
      </c>
      <c r="B2352" s="116">
        <v>7150</v>
      </c>
      <c r="C2352" s="116">
        <v>7088.15</v>
      </c>
      <c r="D2352" s="116">
        <v>7072.05</v>
      </c>
      <c r="E2352" s="116">
        <v>7109</v>
      </c>
      <c r="F2352" s="116">
        <v>7088.15</v>
      </c>
      <c r="G2352">
        <v>11938</v>
      </c>
      <c r="H2352" s="116"/>
      <c r="I2352" s="116"/>
      <c r="L2352" s="170">
        <v>45469</v>
      </c>
      <c r="M2352" s="116">
        <v>7089.9</v>
      </c>
      <c r="N2352" s="116">
        <v>7150</v>
      </c>
      <c r="O2352" s="116">
        <v>7075</v>
      </c>
      <c r="P2352" s="116">
        <v>7106.05</v>
      </c>
      <c r="Q2352" s="116">
        <v>7089.9</v>
      </c>
      <c r="R2352">
        <v>67695</v>
      </c>
    </row>
    <row r="2353" spans="1:18" x14ac:dyDescent="0.25">
      <c r="A2353" s="170">
        <v>45470</v>
      </c>
      <c r="B2353" s="116">
        <v>7104.95</v>
      </c>
      <c r="C2353" s="116">
        <v>6999.35</v>
      </c>
      <c r="D2353" s="116">
        <v>6968.05</v>
      </c>
      <c r="E2353" s="116">
        <v>7104.95</v>
      </c>
      <c r="F2353" s="116">
        <v>6999.35</v>
      </c>
      <c r="G2353">
        <v>8358</v>
      </c>
      <c r="H2353" s="116"/>
      <c r="I2353" s="116"/>
      <c r="L2353" s="170">
        <v>45470</v>
      </c>
      <c r="M2353" s="116">
        <v>6997.55</v>
      </c>
      <c r="N2353" s="116">
        <v>7099</v>
      </c>
      <c r="O2353" s="116">
        <v>6966</v>
      </c>
      <c r="P2353" s="116">
        <v>7095.05</v>
      </c>
      <c r="Q2353" s="116">
        <v>6997.55</v>
      </c>
      <c r="R2353">
        <v>235708</v>
      </c>
    </row>
    <row r="2354" spans="1:18" x14ac:dyDescent="0.25">
      <c r="A2354" s="170">
        <v>45471</v>
      </c>
      <c r="B2354" s="116">
        <v>7076.4</v>
      </c>
      <c r="C2354" s="116">
        <v>7001.95</v>
      </c>
      <c r="D2354" s="116">
        <v>6990</v>
      </c>
      <c r="E2354" s="116">
        <v>7076.4</v>
      </c>
      <c r="F2354" s="116">
        <v>7001.95</v>
      </c>
      <c r="G2354">
        <v>14199</v>
      </c>
      <c r="H2354" s="116"/>
      <c r="I2354" s="116"/>
      <c r="L2354" s="170">
        <v>45471</v>
      </c>
      <c r="M2354" s="116">
        <v>7001.4</v>
      </c>
      <c r="N2354" s="116">
        <v>7045.95</v>
      </c>
      <c r="O2354" s="116">
        <v>6990</v>
      </c>
      <c r="P2354" s="116">
        <v>7045.95</v>
      </c>
      <c r="Q2354" s="116">
        <v>7001.4</v>
      </c>
      <c r="R2354">
        <v>104106</v>
      </c>
    </row>
    <row r="2355" spans="1:18" x14ac:dyDescent="0.25">
      <c r="A2355" s="170">
        <v>45474</v>
      </c>
      <c r="B2355" s="116">
        <v>7089.5</v>
      </c>
      <c r="C2355" s="116">
        <v>7071.5</v>
      </c>
      <c r="D2355" s="116">
        <v>6980</v>
      </c>
      <c r="E2355" s="116">
        <v>7002</v>
      </c>
      <c r="F2355" s="116">
        <v>7071.5</v>
      </c>
      <c r="G2355">
        <v>13887</v>
      </c>
      <c r="H2355" s="116"/>
      <c r="I2355" s="116"/>
      <c r="L2355" s="170">
        <v>45474</v>
      </c>
      <c r="M2355" s="116">
        <v>7072.95</v>
      </c>
      <c r="N2355" s="116">
        <v>7088.9</v>
      </c>
      <c r="O2355" s="116">
        <v>6980</v>
      </c>
      <c r="P2355" s="116">
        <v>7001.4</v>
      </c>
      <c r="Q2355" s="116">
        <v>7072.95</v>
      </c>
      <c r="R2355">
        <v>93997</v>
      </c>
    </row>
    <row r="2356" spans="1:18" x14ac:dyDescent="0.25">
      <c r="A2356" s="170">
        <v>45475</v>
      </c>
      <c r="B2356" s="116">
        <v>7139.6</v>
      </c>
      <c r="C2356" s="116">
        <v>7057.85</v>
      </c>
      <c r="D2356" s="116">
        <v>7033.45</v>
      </c>
      <c r="E2356" s="116">
        <v>7139.6</v>
      </c>
      <c r="F2356" s="116">
        <v>7057.85</v>
      </c>
      <c r="G2356">
        <v>3159</v>
      </c>
      <c r="H2356" s="116"/>
      <c r="I2356" s="116"/>
      <c r="L2356" s="170">
        <v>45475</v>
      </c>
      <c r="M2356" s="116">
        <v>7057.75</v>
      </c>
      <c r="N2356" s="116">
        <v>7117.5</v>
      </c>
      <c r="O2356" s="116">
        <v>7030.45</v>
      </c>
      <c r="P2356" s="116">
        <v>7100</v>
      </c>
      <c r="Q2356" s="116">
        <v>7057.75</v>
      </c>
      <c r="R2356">
        <v>69081</v>
      </c>
    </row>
    <row r="2357" spans="1:18" x14ac:dyDescent="0.25">
      <c r="A2357" s="170">
        <v>45476</v>
      </c>
      <c r="B2357" s="116">
        <v>7110</v>
      </c>
      <c r="C2357" s="116">
        <v>7094.9</v>
      </c>
      <c r="D2357" s="116">
        <v>7043.75</v>
      </c>
      <c r="E2357" s="116">
        <v>7065</v>
      </c>
      <c r="F2357" s="116">
        <v>7094.9</v>
      </c>
      <c r="G2357">
        <v>16560</v>
      </c>
      <c r="H2357" s="116"/>
      <c r="I2357" s="116"/>
      <c r="L2357" s="170">
        <v>45476</v>
      </c>
      <c r="M2357" s="116">
        <v>7096.15</v>
      </c>
      <c r="N2357" s="116">
        <v>7114.7</v>
      </c>
      <c r="O2357" s="116">
        <v>7044.85</v>
      </c>
      <c r="P2357" s="116">
        <v>7071.8</v>
      </c>
      <c r="Q2357" s="116">
        <v>7096.15</v>
      </c>
      <c r="R2357">
        <v>86404</v>
      </c>
    </row>
    <row r="2358" spans="1:18" x14ac:dyDescent="0.25">
      <c r="A2358" s="170">
        <v>45477</v>
      </c>
      <c r="B2358" s="116">
        <v>7139.95</v>
      </c>
      <c r="C2358" s="116">
        <v>7078.9</v>
      </c>
      <c r="D2358" s="116">
        <v>7071</v>
      </c>
      <c r="E2358" s="116">
        <v>7139.95</v>
      </c>
      <c r="F2358" s="116">
        <v>7078.9</v>
      </c>
      <c r="G2358">
        <v>3398</v>
      </c>
      <c r="H2358" s="116"/>
      <c r="I2358" s="116"/>
      <c r="L2358" s="170">
        <v>45477</v>
      </c>
      <c r="M2358" s="116">
        <v>7075.85</v>
      </c>
      <c r="N2358" s="116">
        <v>7127.75</v>
      </c>
      <c r="O2358" s="116">
        <v>7070</v>
      </c>
      <c r="P2358" s="116">
        <v>7114</v>
      </c>
      <c r="Q2358" s="116">
        <v>7075.85</v>
      </c>
      <c r="R2358">
        <v>65868</v>
      </c>
    </row>
    <row r="2359" spans="1:18" x14ac:dyDescent="0.25">
      <c r="A2359" s="170">
        <v>45478</v>
      </c>
      <c r="B2359" s="116">
        <v>7107.2</v>
      </c>
      <c r="C2359" s="116">
        <v>7051.3</v>
      </c>
      <c r="D2359" s="116">
        <v>7024</v>
      </c>
      <c r="E2359" s="116">
        <v>7060.75</v>
      </c>
      <c r="F2359" s="116">
        <v>7051.3</v>
      </c>
      <c r="G2359">
        <v>14037</v>
      </c>
      <c r="H2359" s="116"/>
      <c r="I2359" s="116"/>
      <c r="L2359" s="170">
        <v>45478</v>
      </c>
      <c r="M2359" s="116">
        <v>7054.45</v>
      </c>
      <c r="N2359" s="116">
        <v>7106.4</v>
      </c>
      <c r="O2359" s="116">
        <v>7025</v>
      </c>
      <c r="P2359" s="116">
        <v>7075.85</v>
      </c>
      <c r="Q2359" s="116">
        <v>7054.45</v>
      </c>
      <c r="R2359">
        <v>90055</v>
      </c>
    </row>
    <row r="2360" spans="1:18" x14ac:dyDescent="0.25">
      <c r="A2360" s="170">
        <v>45481</v>
      </c>
      <c r="B2360" s="116">
        <v>7089.75</v>
      </c>
      <c r="C2360" s="116">
        <v>7025.55</v>
      </c>
      <c r="D2360" s="116">
        <v>7014.6</v>
      </c>
      <c r="E2360" s="116">
        <v>7059</v>
      </c>
      <c r="F2360" s="116">
        <v>7025.55</v>
      </c>
      <c r="G2360">
        <v>3576</v>
      </c>
      <c r="H2360" s="116"/>
      <c r="I2360" s="116"/>
      <c r="L2360" s="170">
        <v>45481</v>
      </c>
      <c r="M2360" s="116">
        <v>7027</v>
      </c>
      <c r="N2360" s="116">
        <v>7095.95</v>
      </c>
      <c r="O2360" s="116">
        <v>7012.4</v>
      </c>
      <c r="P2360" s="116">
        <v>7061</v>
      </c>
      <c r="Q2360" s="116">
        <v>7027</v>
      </c>
      <c r="R2360">
        <v>84065</v>
      </c>
    </row>
    <row r="2361" spans="1:18" x14ac:dyDescent="0.25">
      <c r="A2361" s="170">
        <v>45482</v>
      </c>
      <c r="B2361" s="116">
        <v>7030.2</v>
      </c>
      <c r="C2361" s="116">
        <v>7018.45</v>
      </c>
      <c r="D2361" s="116">
        <v>6973</v>
      </c>
      <c r="E2361" s="116">
        <v>7002.05</v>
      </c>
      <c r="F2361" s="116">
        <v>7018.45</v>
      </c>
      <c r="G2361">
        <v>4718</v>
      </c>
      <c r="H2361" s="116"/>
      <c r="I2361" s="116"/>
      <c r="L2361" s="170">
        <v>45482</v>
      </c>
      <c r="M2361" s="116">
        <v>7016.8</v>
      </c>
      <c r="N2361" s="116">
        <v>7027</v>
      </c>
      <c r="O2361" s="116">
        <v>6971.15</v>
      </c>
      <c r="P2361" s="116">
        <v>7012</v>
      </c>
      <c r="Q2361" s="116">
        <v>7016.8</v>
      </c>
      <c r="R2361">
        <v>137764</v>
      </c>
    </row>
    <row r="2362" spans="1:18" x14ac:dyDescent="0.25">
      <c r="A2362" s="170">
        <v>45483</v>
      </c>
      <c r="B2362" s="116">
        <v>7172</v>
      </c>
      <c r="C2362" s="116">
        <v>7118.8</v>
      </c>
      <c r="D2362" s="116">
        <v>7045</v>
      </c>
      <c r="E2362" s="116">
        <v>7050</v>
      </c>
      <c r="F2362" s="116">
        <v>7118.8</v>
      </c>
      <c r="G2362">
        <v>27506</v>
      </c>
      <c r="H2362" s="116"/>
      <c r="I2362" s="116"/>
      <c r="L2362" s="170">
        <v>45483</v>
      </c>
      <c r="M2362" s="116">
        <v>7119.45</v>
      </c>
      <c r="N2362" s="116">
        <v>7175</v>
      </c>
      <c r="O2362" s="116">
        <v>7045</v>
      </c>
      <c r="P2362" s="116">
        <v>7075</v>
      </c>
      <c r="Q2362" s="116">
        <v>7119.45</v>
      </c>
      <c r="R2362">
        <v>225270</v>
      </c>
    </row>
    <row r="2363" spans="1:18" x14ac:dyDescent="0.25">
      <c r="A2363" s="170">
        <v>45484</v>
      </c>
      <c r="B2363" s="116">
        <v>7040</v>
      </c>
      <c r="C2363" s="116">
        <v>6957.3</v>
      </c>
      <c r="D2363" s="116">
        <v>6930.45</v>
      </c>
      <c r="E2363" s="116">
        <v>7040</v>
      </c>
      <c r="F2363" s="116">
        <v>6957.3</v>
      </c>
      <c r="G2363">
        <v>18724</v>
      </c>
      <c r="H2363" s="116"/>
      <c r="I2363" s="116"/>
      <c r="L2363" s="170">
        <v>45484</v>
      </c>
      <c r="M2363" s="116">
        <v>6957.45</v>
      </c>
      <c r="N2363" s="116">
        <v>7037.9</v>
      </c>
      <c r="O2363" s="116">
        <v>6931.35</v>
      </c>
      <c r="P2363" s="116">
        <v>7021</v>
      </c>
      <c r="Q2363" s="116">
        <v>6957.45</v>
      </c>
      <c r="R2363">
        <v>355671</v>
      </c>
    </row>
    <row r="2364" spans="1:18" x14ac:dyDescent="0.25">
      <c r="A2364" s="170">
        <v>45485</v>
      </c>
      <c r="B2364" s="116">
        <v>7133.9</v>
      </c>
      <c r="C2364" s="116">
        <v>7065.75</v>
      </c>
      <c r="D2364" s="116">
        <v>6955</v>
      </c>
      <c r="E2364" s="116">
        <v>6957.3</v>
      </c>
      <c r="F2364" s="116">
        <v>7065.75</v>
      </c>
      <c r="G2364">
        <v>9859</v>
      </c>
      <c r="H2364" s="116"/>
      <c r="I2364" s="116"/>
      <c r="L2364" s="170">
        <v>45485</v>
      </c>
      <c r="M2364" s="116">
        <v>7065.55</v>
      </c>
      <c r="N2364" s="116">
        <v>7134.7</v>
      </c>
      <c r="O2364" s="116">
        <v>6950.05</v>
      </c>
      <c r="P2364" s="116">
        <v>6960</v>
      </c>
      <c r="Q2364" s="116">
        <v>7065.55</v>
      </c>
      <c r="R2364">
        <v>271006</v>
      </c>
    </row>
    <row r="2365" spans="1:18" x14ac:dyDescent="0.25">
      <c r="A2365" s="170">
        <v>45488</v>
      </c>
      <c r="B2365" s="116">
        <v>7105</v>
      </c>
      <c r="C2365" s="116">
        <v>7015.95</v>
      </c>
      <c r="D2365" s="116">
        <v>7001.55</v>
      </c>
      <c r="E2365" s="116">
        <v>7050.25</v>
      </c>
      <c r="F2365" s="116">
        <v>7015.95</v>
      </c>
      <c r="G2365">
        <v>15281</v>
      </c>
      <c r="H2365" s="116"/>
      <c r="I2365" s="116"/>
      <c r="L2365" s="170">
        <v>45488</v>
      </c>
      <c r="M2365" s="116">
        <v>7017.8</v>
      </c>
      <c r="N2365" s="116">
        <v>7103.8</v>
      </c>
      <c r="O2365" s="116">
        <v>7004</v>
      </c>
      <c r="P2365" s="116">
        <v>7079</v>
      </c>
      <c r="Q2365" s="116">
        <v>7017.8</v>
      </c>
      <c r="R2365">
        <v>84637</v>
      </c>
    </row>
    <row r="2366" spans="1:18" x14ac:dyDescent="0.25">
      <c r="A2366" s="170">
        <v>45489</v>
      </c>
      <c r="B2366" s="116">
        <v>7036.15</v>
      </c>
      <c r="C2366" s="116">
        <v>6995.2</v>
      </c>
      <c r="D2366" s="116">
        <v>6982.35</v>
      </c>
      <c r="E2366" s="116">
        <v>7016.5</v>
      </c>
      <c r="F2366" s="116">
        <v>6995.2</v>
      </c>
      <c r="G2366">
        <v>4249</v>
      </c>
      <c r="H2366" s="116"/>
      <c r="I2366" s="116"/>
      <c r="L2366" s="170">
        <v>45489</v>
      </c>
      <c r="M2366" s="116">
        <v>6998.2</v>
      </c>
      <c r="N2366" s="116">
        <v>7043.95</v>
      </c>
      <c r="O2366" s="116">
        <v>6985</v>
      </c>
      <c r="P2366" s="116">
        <v>7017.8</v>
      </c>
      <c r="Q2366" s="116">
        <v>6998.2</v>
      </c>
      <c r="R2366">
        <v>86895</v>
      </c>
    </row>
    <row r="2367" spans="1:18" x14ac:dyDescent="0.25">
      <c r="A2367" s="170">
        <v>45491</v>
      </c>
      <c r="B2367" s="116">
        <v>7049.95</v>
      </c>
      <c r="C2367" s="116">
        <v>7035</v>
      </c>
      <c r="D2367" s="116">
        <v>6944</v>
      </c>
      <c r="E2367" s="116">
        <v>7000</v>
      </c>
      <c r="F2367" s="116">
        <v>7035</v>
      </c>
      <c r="G2367">
        <v>4523</v>
      </c>
      <c r="H2367" s="116"/>
      <c r="I2367" s="116"/>
      <c r="L2367" s="170">
        <v>45491</v>
      </c>
      <c r="M2367" s="116">
        <v>7034.4</v>
      </c>
      <c r="N2367" s="116">
        <v>7050</v>
      </c>
      <c r="O2367" s="116">
        <v>6942</v>
      </c>
      <c r="P2367" s="116">
        <v>6998</v>
      </c>
      <c r="Q2367" s="116">
        <v>7034.4</v>
      </c>
      <c r="R2367">
        <v>108684</v>
      </c>
    </row>
    <row r="2368" spans="1:18" x14ac:dyDescent="0.25">
      <c r="A2368" s="170">
        <v>45492</v>
      </c>
      <c r="B2368" s="116">
        <v>7072.2</v>
      </c>
      <c r="C2368" s="116">
        <v>6973.25</v>
      </c>
      <c r="D2368" s="116">
        <v>6941.95</v>
      </c>
      <c r="E2368" s="116">
        <v>7038.05</v>
      </c>
      <c r="F2368" s="116">
        <v>6973.25</v>
      </c>
      <c r="G2368">
        <v>20572</v>
      </c>
      <c r="H2368" s="116"/>
      <c r="I2368" s="116"/>
      <c r="L2368" s="170">
        <v>45492</v>
      </c>
      <c r="M2368" s="116">
        <v>6980.55</v>
      </c>
      <c r="N2368" s="116">
        <v>7074.9</v>
      </c>
      <c r="O2368" s="116">
        <v>6945</v>
      </c>
      <c r="P2368" s="116">
        <v>7050</v>
      </c>
      <c r="Q2368" s="116">
        <v>6980.55</v>
      </c>
      <c r="R2368">
        <v>81910</v>
      </c>
    </row>
    <row r="2369" spans="1:18" x14ac:dyDescent="0.25">
      <c r="A2369" s="170">
        <v>45495</v>
      </c>
      <c r="B2369" s="116">
        <v>6980</v>
      </c>
      <c r="C2369" s="116">
        <v>6963.1</v>
      </c>
      <c r="D2369" s="116">
        <v>6904.5</v>
      </c>
      <c r="E2369" s="116">
        <v>6967.05</v>
      </c>
      <c r="F2369" s="116">
        <v>6963.1</v>
      </c>
      <c r="G2369">
        <v>6272</v>
      </c>
      <c r="H2369" s="116"/>
      <c r="I2369" s="116"/>
      <c r="L2369" s="170">
        <v>45495</v>
      </c>
      <c r="M2369" s="116">
        <v>6964.25</v>
      </c>
      <c r="N2369" s="116">
        <v>6978.95</v>
      </c>
      <c r="O2369" s="116">
        <v>6903</v>
      </c>
      <c r="P2369" s="116">
        <v>6978.95</v>
      </c>
      <c r="Q2369" s="116">
        <v>6964.25</v>
      </c>
      <c r="R2369">
        <v>80518</v>
      </c>
    </row>
    <row r="2370" spans="1:18" x14ac:dyDescent="0.25">
      <c r="A2370" s="170">
        <v>45496</v>
      </c>
      <c r="B2370" s="116">
        <v>7055</v>
      </c>
      <c r="C2370" s="116">
        <v>6997.65</v>
      </c>
      <c r="D2370" s="116">
        <v>6899</v>
      </c>
      <c r="E2370" s="116">
        <v>6959.95</v>
      </c>
      <c r="F2370" s="116">
        <v>6997.65</v>
      </c>
      <c r="G2370">
        <v>4527</v>
      </c>
      <c r="H2370" s="116"/>
      <c r="I2370" s="116"/>
      <c r="L2370" s="170">
        <v>45496</v>
      </c>
      <c r="M2370" s="116">
        <v>6994.15</v>
      </c>
      <c r="N2370" s="116">
        <v>7069.15</v>
      </c>
      <c r="O2370" s="116">
        <v>6900</v>
      </c>
      <c r="P2370" s="116">
        <v>6924.3</v>
      </c>
      <c r="Q2370" s="116">
        <v>6994.15</v>
      </c>
      <c r="R2370">
        <v>114304</v>
      </c>
    </row>
    <row r="2371" spans="1:18" x14ac:dyDescent="0.25">
      <c r="A2371" s="170">
        <v>45497</v>
      </c>
      <c r="B2371" s="116">
        <v>7023.5</v>
      </c>
      <c r="C2371" s="116">
        <v>6935.65</v>
      </c>
      <c r="D2371" s="116">
        <v>6927.25</v>
      </c>
      <c r="E2371" s="116">
        <v>7006.95</v>
      </c>
      <c r="F2371" s="116">
        <v>6935.65</v>
      </c>
      <c r="G2371">
        <v>9421</v>
      </c>
      <c r="H2371" s="116"/>
      <c r="I2371" s="116"/>
      <c r="L2371" s="170">
        <v>45497</v>
      </c>
      <c r="M2371" s="116">
        <v>6938.05</v>
      </c>
      <c r="N2371" s="116">
        <v>7019</v>
      </c>
      <c r="O2371" s="116">
        <v>6925</v>
      </c>
      <c r="P2371" s="116">
        <v>6950</v>
      </c>
      <c r="Q2371" s="116">
        <v>6938.05</v>
      </c>
      <c r="R2371">
        <v>72490</v>
      </c>
    </row>
    <row r="2372" spans="1:18" x14ac:dyDescent="0.25">
      <c r="A2372" s="170">
        <v>45498</v>
      </c>
      <c r="B2372" s="116">
        <v>6929.55</v>
      </c>
      <c r="C2372" s="116">
        <v>6866.3</v>
      </c>
      <c r="D2372" s="116">
        <v>6852.95</v>
      </c>
      <c r="E2372" s="116">
        <v>6929.55</v>
      </c>
      <c r="F2372" s="116">
        <v>6866.3</v>
      </c>
      <c r="G2372">
        <v>5168</v>
      </c>
      <c r="H2372" s="116"/>
      <c r="I2372" s="116"/>
      <c r="L2372" s="170">
        <v>45498</v>
      </c>
      <c r="M2372" s="116">
        <v>6869.7</v>
      </c>
      <c r="N2372" s="116">
        <v>6936.65</v>
      </c>
      <c r="O2372" s="116">
        <v>6852</v>
      </c>
      <c r="P2372" s="116">
        <v>6906</v>
      </c>
      <c r="Q2372" s="116">
        <v>6869.7</v>
      </c>
      <c r="R2372">
        <v>117635</v>
      </c>
    </row>
    <row r="2373" spans="1:18" x14ac:dyDescent="0.25">
      <c r="A2373" s="170">
        <v>45499</v>
      </c>
      <c r="B2373" s="116">
        <v>6979</v>
      </c>
      <c r="C2373" s="116">
        <v>6961.6</v>
      </c>
      <c r="D2373" s="116">
        <v>6866.3</v>
      </c>
      <c r="E2373" s="116">
        <v>6866.3</v>
      </c>
      <c r="F2373" s="116">
        <v>6961.6</v>
      </c>
      <c r="G2373">
        <v>4266</v>
      </c>
      <c r="H2373" s="116"/>
      <c r="I2373" s="116"/>
      <c r="L2373" s="170">
        <v>45499</v>
      </c>
      <c r="M2373" s="116">
        <v>6961.6</v>
      </c>
      <c r="N2373" s="116">
        <v>6974.95</v>
      </c>
      <c r="O2373" s="116">
        <v>6871</v>
      </c>
      <c r="P2373" s="116">
        <v>6871</v>
      </c>
      <c r="Q2373" s="116">
        <v>6961.6</v>
      </c>
      <c r="R2373">
        <v>68837</v>
      </c>
    </row>
    <row r="2374" spans="1:18" x14ac:dyDescent="0.25">
      <c r="A2374" s="170">
        <v>45502</v>
      </c>
      <c r="B2374" s="116">
        <v>7010.6</v>
      </c>
      <c r="C2374" s="116">
        <v>6930.1</v>
      </c>
      <c r="D2374" s="116">
        <v>6920.5</v>
      </c>
      <c r="E2374" s="116">
        <v>6977</v>
      </c>
      <c r="F2374" s="116">
        <v>6930.1</v>
      </c>
      <c r="G2374">
        <v>11654</v>
      </c>
      <c r="H2374" s="116"/>
      <c r="I2374" s="116"/>
      <c r="L2374" s="170">
        <v>45502</v>
      </c>
      <c r="M2374" s="116">
        <v>6930.2</v>
      </c>
      <c r="N2374" s="116">
        <v>7010</v>
      </c>
      <c r="O2374" s="116">
        <v>6921</v>
      </c>
      <c r="P2374" s="116">
        <v>6975</v>
      </c>
      <c r="Q2374" s="116">
        <v>6930.2</v>
      </c>
      <c r="R2374">
        <v>64690</v>
      </c>
    </row>
    <row r="2375" spans="1:18" x14ac:dyDescent="0.25">
      <c r="A2375" s="170">
        <v>45503</v>
      </c>
      <c r="B2375" s="116">
        <v>6952.45</v>
      </c>
      <c r="C2375" s="116">
        <v>6924.8</v>
      </c>
      <c r="D2375" s="116">
        <v>6917</v>
      </c>
      <c r="E2375" s="116">
        <v>6923.05</v>
      </c>
      <c r="F2375" s="116">
        <v>6924.8</v>
      </c>
      <c r="G2375">
        <v>3269</v>
      </c>
      <c r="H2375" s="116"/>
      <c r="I2375" s="116"/>
      <c r="L2375" s="170">
        <v>45503</v>
      </c>
      <c r="M2375" s="116">
        <v>6925.6</v>
      </c>
      <c r="N2375" s="116">
        <v>6955</v>
      </c>
      <c r="O2375" s="116">
        <v>6916</v>
      </c>
      <c r="P2375" s="116">
        <v>6935</v>
      </c>
      <c r="Q2375" s="116">
        <v>6925.6</v>
      </c>
      <c r="R2375">
        <v>49770</v>
      </c>
    </row>
    <row r="2376" spans="1:18" x14ac:dyDescent="0.25">
      <c r="A2376" s="170">
        <v>45504</v>
      </c>
      <c r="B2376" s="116">
        <v>6992</v>
      </c>
      <c r="C2376" s="116">
        <v>6981.2</v>
      </c>
      <c r="D2376" s="116">
        <v>6925</v>
      </c>
      <c r="E2376" s="116">
        <v>6925</v>
      </c>
      <c r="F2376" s="116">
        <v>6981.2</v>
      </c>
      <c r="G2376">
        <v>3382</v>
      </c>
      <c r="H2376" s="116"/>
      <c r="I2376" s="116"/>
      <c r="L2376" s="170">
        <v>45504</v>
      </c>
      <c r="M2376" s="116">
        <v>6984.5</v>
      </c>
      <c r="N2376" s="116">
        <v>6990</v>
      </c>
      <c r="O2376" s="116">
        <v>6925</v>
      </c>
      <c r="P2376" s="116">
        <v>6925</v>
      </c>
      <c r="Q2376" s="116">
        <v>6984.5</v>
      </c>
      <c r="R2376">
        <v>82695</v>
      </c>
    </row>
    <row r="2377" spans="1:18" x14ac:dyDescent="0.25">
      <c r="A2377" s="170">
        <v>45505</v>
      </c>
      <c r="B2377" s="116">
        <v>7012.45</v>
      </c>
      <c r="C2377" s="116">
        <v>6940.35</v>
      </c>
      <c r="D2377" s="116">
        <v>6920</v>
      </c>
      <c r="E2377" s="116">
        <v>7000</v>
      </c>
      <c r="F2377" s="116">
        <v>6940.35</v>
      </c>
      <c r="G2377">
        <v>3518</v>
      </c>
      <c r="H2377" s="116"/>
      <c r="I2377" s="116"/>
      <c r="L2377" s="170">
        <v>45505</v>
      </c>
      <c r="M2377" s="116">
        <v>6942.95</v>
      </c>
      <c r="N2377" s="116">
        <v>7011.85</v>
      </c>
      <c r="O2377" s="116">
        <v>6919.35</v>
      </c>
      <c r="P2377" s="116">
        <v>7000</v>
      </c>
      <c r="Q2377" s="116">
        <v>6942.95</v>
      </c>
      <c r="R2377">
        <v>55665</v>
      </c>
    </row>
    <row r="2378" spans="1:18" x14ac:dyDescent="0.25">
      <c r="A2378" s="170">
        <v>45506</v>
      </c>
      <c r="B2378" s="116">
        <v>6942.95</v>
      </c>
      <c r="C2378" s="116">
        <v>6913.5</v>
      </c>
      <c r="D2378" s="116">
        <v>6892.95</v>
      </c>
      <c r="E2378" s="116">
        <v>6940.25</v>
      </c>
      <c r="F2378" s="116">
        <v>6913.5</v>
      </c>
      <c r="G2378">
        <v>2228</v>
      </c>
      <c r="H2378" s="116"/>
      <c r="I2378" s="116"/>
      <c r="L2378" s="170">
        <v>45506</v>
      </c>
      <c r="M2378" s="116">
        <v>6911.05</v>
      </c>
      <c r="N2378" s="116">
        <v>6940</v>
      </c>
      <c r="O2378" s="116">
        <v>6890.05</v>
      </c>
      <c r="P2378" s="116">
        <v>6918</v>
      </c>
      <c r="Q2378" s="116">
        <v>6911.05</v>
      </c>
      <c r="R2378">
        <v>51480</v>
      </c>
    </row>
    <row r="2379" spans="1:18" x14ac:dyDescent="0.25">
      <c r="A2379" s="170">
        <v>45509</v>
      </c>
      <c r="B2379" s="116">
        <v>6865</v>
      </c>
      <c r="C2379" s="116">
        <v>6772.1</v>
      </c>
      <c r="D2379" s="116">
        <v>6619.75</v>
      </c>
      <c r="E2379" s="116">
        <v>6619.75</v>
      </c>
      <c r="F2379" s="116">
        <v>6772.1</v>
      </c>
      <c r="G2379">
        <v>29886</v>
      </c>
      <c r="H2379" s="116"/>
      <c r="I2379" s="116"/>
      <c r="L2379" s="170">
        <v>45509</v>
      </c>
      <c r="M2379" s="116">
        <v>6777.8</v>
      </c>
      <c r="N2379" s="116">
        <v>6870</v>
      </c>
      <c r="O2379" s="116">
        <v>6730</v>
      </c>
      <c r="P2379" s="116">
        <v>6831.2</v>
      </c>
      <c r="Q2379" s="116">
        <v>6777.8</v>
      </c>
      <c r="R2379">
        <v>105442</v>
      </c>
    </row>
    <row r="2380" spans="1:18" x14ac:dyDescent="0.25">
      <c r="A2380" s="170">
        <v>45510</v>
      </c>
      <c r="B2380" s="116">
        <v>6885.05</v>
      </c>
      <c r="C2380" s="116">
        <v>6699.95</v>
      </c>
      <c r="D2380" s="116">
        <v>6661.1</v>
      </c>
      <c r="E2380" s="116">
        <v>6755.15</v>
      </c>
      <c r="F2380" s="116">
        <v>6699.95</v>
      </c>
      <c r="G2380">
        <v>6143</v>
      </c>
      <c r="H2380" s="116"/>
      <c r="I2380" s="116"/>
      <c r="L2380" s="170">
        <v>45510</v>
      </c>
      <c r="M2380" s="116">
        <v>6696</v>
      </c>
      <c r="N2380" s="116">
        <v>6888.5</v>
      </c>
      <c r="O2380" s="116">
        <v>6666</v>
      </c>
      <c r="P2380" s="116">
        <v>6777.8</v>
      </c>
      <c r="Q2380" s="116">
        <v>6696</v>
      </c>
      <c r="R2380">
        <v>96655</v>
      </c>
    </row>
    <row r="2381" spans="1:18" x14ac:dyDescent="0.25">
      <c r="A2381" s="170">
        <v>45511</v>
      </c>
      <c r="B2381" s="116">
        <v>6874.85</v>
      </c>
      <c r="C2381" s="116">
        <v>6851.65</v>
      </c>
      <c r="D2381" s="116">
        <v>6720</v>
      </c>
      <c r="E2381" s="116">
        <v>6755</v>
      </c>
      <c r="F2381" s="116">
        <v>6851.65</v>
      </c>
      <c r="G2381">
        <v>12345</v>
      </c>
      <c r="H2381" s="116"/>
      <c r="I2381" s="116"/>
      <c r="L2381" s="170">
        <v>45511</v>
      </c>
      <c r="M2381" s="116">
        <v>6844.45</v>
      </c>
      <c r="N2381" s="116">
        <v>6879.95</v>
      </c>
      <c r="O2381" s="116">
        <v>6716</v>
      </c>
      <c r="P2381" s="116">
        <v>6750</v>
      </c>
      <c r="Q2381" s="116">
        <v>6844.45</v>
      </c>
      <c r="R2381">
        <v>66125</v>
      </c>
    </row>
    <row r="2382" spans="1:18" x14ac:dyDescent="0.25">
      <c r="A2382" s="170">
        <v>45512</v>
      </c>
      <c r="B2382" s="116">
        <v>6859.35</v>
      </c>
      <c r="C2382" s="116">
        <v>6819.65</v>
      </c>
      <c r="D2382" s="116">
        <v>6780.05</v>
      </c>
      <c r="E2382" s="116">
        <v>6840</v>
      </c>
      <c r="F2382" s="116">
        <v>6819.65</v>
      </c>
      <c r="G2382">
        <v>6878</v>
      </c>
      <c r="H2382" s="116"/>
      <c r="I2382" s="116"/>
      <c r="L2382" s="170">
        <v>45512</v>
      </c>
      <c r="M2382" s="116">
        <v>6819.5</v>
      </c>
      <c r="N2382" s="116">
        <v>6864</v>
      </c>
      <c r="O2382" s="116">
        <v>6780</v>
      </c>
      <c r="P2382" s="116">
        <v>6844.45</v>
      </c>
      <c r="Q2382" s="116">
        <v>6819.5</v>
      </c>
      <c r="R2382">
        <v>43024</v>
      </c>
    </row>
    <row r="2383" spans="1:18" x14ac:dyDescent="0.25">
      <c r="A2383" s="170">
        <v>45513</v>
      </c>
      <c r="B2383" s="116">
        <v>6899</v>
      </c>
      <c r="C2383" s="116">
        <v>6872.4</v>
      </c>
      <c r="D2383" s="116">
        <v>6796.1</v>
      </c>
      <c r="E2383" s="116">
        <v>6898.65</v>
      </c>
      <c r="F2383" s="116">
        <v>6872.4</v>
      </c>
      <c r="G2383">
        <v>7310</v>
      </c>
      <c r="H2383" s="116"/>
      <c r="I2383" s="116"/>
      <c r="L2383" s="170">
        <v>45513</v>
      </c>
      <c r="M2383" s="116">
        <v>6875.75</v>
      </c>
      <c r="N2383" s="116">
        <v>6899.9</v>
      </c>
      <c r="O2383" s="116">
        <v>6795</v>
      </c>
      <c r="P2383" s="116">
        <v>6879</v>
      </c>
      <c r="Q2383" s="116">
        <v>6875.75</v>
      </c>
      <c r="R2383">
        <v>47694</v>
      </c>
    </row>
    <row r="2384" spans="1:18" x14ac:dyDescent="0.25">
      <c r="A2384" s="170">
        <v>45516</v>
      </c>
      <c r="B2384" s="116">
        <v>6887.3</v>
      </c>
      <c r="C2384" s="116">
        <v>6836.5</v>
      </c>
      <c r="D2384" s="116">
        <v>6790</v>
      </c>
      <c r="E2384" s="116">
        <v>6872</v>
      </c>
      <c r="F2384" s="116">
        <v>6836.5</v>
      </c>
      <c r="G2384">
        <v>5985</v>
      </c>
      <c r="H2384" s="116"/>
      <c r="I2384" s="116"/>
      <c r="L2384" s="170">
        <v>45516</v>
      </c>
      <c r="M2384" s="116">
        <v>6834.4</v>
      </c>
      <c r="N2384" s="116">
        <v>6888</v>
      </c>
      <c r="O2384" s="116">
        <v>6790.1</v>
      </c>
      <c r="P2384" s="116">
        <v>6875.75</v>
      </c>
      <c r="Q2384" s="116">
        <v>6834.4</v>
      </c>
      <c r="R2384">
        <v>58216</v>
      </c>
    </row>
    <row r="2385" spans="1:18" x14ac:dyDescent="0.25">
      <c r="A2385" s="170">
        <v>45517</v>
      </c>
      <c r="B2385" s="116">
        <v>6836.5</v>
      </c>
      <c r="C2385" s="116">
        <v>6788.7</v>
      </c>
      <c r="D2385" s="116">
        <v>6726.4</v>
      </c>
      <c r="E2385" s="116">
        <v>6836.5</v>
      </c>
      <c r="F2385" s="116">
        <v>6788.7</v>
      </c>
      <c r="G2385">
        <v>8853</v>
      </c>
      <c r="H2385" s="116"/>
      <c r="I2385" s="116"/>
      <c r="L2385" s="170">
        <v>45517</v>
      </c>
      <c r="M2385" s="116">
        <v>6791</v>
      </c>
      <c r="N2385" s="116">
        <v>6834.4</v>
      </c>
      <c r="O2385" s="116">
        <v>6724.65</v>
      </c>
      <c r="P2385" s="116">
        <v>6834.4</v>
      </c>
      <c r="Q2385" s="116">
        <v>6791</v>
      </c>
      <c r="R2385">
        <v>60349</v>
      </c>
    </row>
    <row r="2386" spans="1:18" x14ac:dyDescent="0.25">
      <c r="A2386" s="170">
        <v>45518</v>
      </c>
      <c r="B2386" s="116">
        <v>6839.95</v>
      </c>
      <c r="C2386" s="116">
        <v>6824.15</v>
      </c>
      <c r="D2386" s="116">
        <v>6732</v>
      </c>
      <c r="E2386" s="116">
        <v>6788.95</v>
      </c>
      <c r="F2386" s="116">
        <v>6824.15</v>
      </c>
      <c r="G2386">
        <v>3312</v>
      </c>
      <c r="H2386" s="116"/>
      <c r="I2386" s="116"/>
      <c r="L2386" s="170">
        <v>45518</v>
      </c>
      <c r="M2386" s="116">
        <v>6827.75</v>
      </c>
      <c r="N2386" s="116">
        <v>6840</v>
      </c>
      <c r="O2386" s="116">
        <v>6731</v>
      </c>
      <c r="P2386" s="116">
        <v>6798</v>
      </c>
      <c r="Q2386" s="116">
        <v>6827.75</v>
      </c>
      <c r="R2386">
        <v>51721</v>
      </c>
    </row>
    <row r="2387" spans="1:18" x14ac:dyDescent="0.25">
      <c r="A2387" s="170">
        <v>45520</v>
      </c>
      <c r="B2387" s="116">
        <v>6876.85</v>
      </c>
      <c r="C2387" s="116">
        <v>6799</v>
      </c>
      <c r="D2387" s="116">
        <v>6763.05</v>
      </c>
      <c r="E2387" s="116">
        <v>6851.5</v>
      </c>
      <c r="F2387" s="116">
        <v>6799</v>
      </c>
      <c r="G2387">
        <v>2792</v>
      </c>
      <c r="H2387" s="116"/>
      <c r="I2387" s="116"/>
      <c r="L2387" s="170">
        <v>45520</v>
      </c>
      <c r="M2387" s="116">
        <v>6799.65</v>
      </c>
      <c r="N2387" s="116">
        <v>6875</v>
      </c>
      <c r="O2387" s="116">
        <v>6756</v>
      </c>
      <c r="P2387" s="116">
        <v>6827.9</v>
      </c>
      <c r="Q2387" s="116">
        <v>6799.65</v>
      </c>
      <c r="R2387">
        <v>63779</v>
      </c>
    </row>
    <row r="2388" spans="1:18" x14ac:dyDescent="0.25">
      <c r="A2388" s="170">
        <v>45523</v>
      </c>
      <c r="B2388" s="116">
        <v>6965</v>
      </c>
      <c r="C2388" s="116">
        <v>6921.9</v>
      </c>
      <c r="D2388" s="116">
        <v>6780.05</v>
      </c>
      <c r="E2388" s="116">
        <v>6799</v>
      </c>
      <c r="F2388" s="116">
        <v>6921.9</v>
      </c>
      <c r="G2388">
        <v>5867</v>
      </c>
      <c r="H2388" s="116"/>
      <c r="I2388" s="116"/>
      <c r="L2388" s="170">
        <v>45523</v>
      </c>
      <c r="M2388" s="116">
        <v>6927.5</v>
      </c>
      <c r="N2388" s="116">
        <v>6971</v>
      </c>
      <c r="O2388" s="116">
        <v>6780</v>
      </c>
      <c r="P2388" s="116">
        <v>6799.65</v>
      </c>
      <c r="Q2388" s="116">
        <v>6927.5</v>
      </c>
      <c r="R2388">
        <v>117580</v>
      </c>
    </row>
    <row r="2389" spans="1:18" x14ac:dyDescent="0.25">
      <c r="A2389" s="170">
        <v>45524</v>
      </c>
      <c r="B2389" s="116">
        <v>6980.95</v>
      </c>
      <c r="C2389" s="116">
        <v>6925.05</v>
      </c>
      <c r="D2389" s="116">
        <v>6898.9</v>
      </c>
      <c r="E2389" s="116">
        <v>6922.95</v>
      </c>
      <c r="F2389" s="116">
        <v>6925.05</v>
      </c>
      <c r="G2389">
        <v>4360</v>
      </c>
      <c r="H2389" s="116"/>
      <c r="I2389" s="116"/>
      <c r="L2389" s="170">
        <v>45524</v>
      </c>
      <c r="M2389" s="116">
        <v>6929.35</v>
      </c>
      <c r="N2389" s="116">
        <v>6980</v>
      </c>
      <c r="O2389" s="116">
        <v>6901</v>
      </c>
      <c r="P2389" s="116">
        <v>6927.5</v>
      </c>
      <c r="Q2389" s="116">
        <v>6929.35</v>
      </c>
      <c r="R2389">
        <v>75961</v>
      </c>
    </row>
    <row r="2390" spans="1:18" x14ac:dyDescent="0.25">
      <c r="A2390" s="170">
        <v>45525</v>
      </c>
      <c r="B2390" s="116">
        <v>6994.3</v>
      </c>
      <c r="C2390" s="116">
        <v>6926.2</v>
      </c>
      <c r="D2390" s="116">
        <v>6899</v>
      </c>
      <c r="E2390" s="116">
        <v>6925</v>
      </c>
      <c r="F2390" s="116">
        <v>6926.2</v>
      </c>
      <c r="G2390">
        <v>3850</v>
      </c>
      <c r="H2390" s="116"/>
      <c r="I2390" s="116"/>
      <c r="L2390" s="170">
        <v>45525</v>
      </c>
      <c r="M2390" s="116">
        <v>6926.5</v>
      </c>
      <c r="N2390" s="116">
        <v>6992.95</v>
      </c>
      <c r="O2390" s="116">
        <v>6895</v>
      </c>
      <c r="P2390" s="116">
        <v>6930</v>
      </c>
      <c r="Q2390" s="116">
        <v>6926.5</v>
      </c>
      <c r="R2390">
        <v>61677</v>
      </c>
    </row>
    <row r="2391" spans="1:18" x14ac:dyDescent="0.25">
      <c r="A2391" s="170">
        <v>45526</v>
      </c>
      <c r="B2391" s="116">
        <v>7039.75</v>
      </c>
      <c r="C2391" s="116">
        <v>6957.6</v>
      </c>
      <c r="D2391" s="116">
        <v>6920.3</v>
      </c>
      <c r="E2391" s="116">
        <v>6940.05</v>
      </c>
      <c r="F2391" s="116">
        <v>6957.6</v>
      </c>
      <c r="G2391">
        <v>4790</v>
      </c>
      <c r="H2391" s="116"/>
      <c r="I2391" s="116"/>
      <c r="L2391" s="170">
        <v>45526</v>
      </c>
      <c r="M2391" s="116">
        <v>6963.7</v>
      </c>
      <c r="N2391" s="116">
        <v>7040</v>
      </c>
      <c r="O2391" s="116">
        <v>6920</v>
      </c>
      <c r="P2391" s="116">
        <v>6947.7</v>
      </c>
      <c r="Q2391" s="116">
        <v>6963.7</v>
      </c>
      <c r="R2391">
        <v>94274</v>
      </c>
    </row>
    <row r="2392" spans="1:18" x14ac:dyDescent="0.25">
      <c r="A2392" s="170">
        <v>45527</v>
      </c>
      <c r="B2392" s="116">
        <v>7135.6</v>
      </c>
      <c r="C2392" s="116">
        <v>7086.4</v>
      </c>
      <c r="D2392" s="116">
        <v>6930</v>
      </c>
      <c r="E2392" s="116">
        <v>6996.95</v>
      </c>
      <c r="F2392" s="116">
        <v>7086.4</v>
      </c>
      <c r="G2392">
        <v>8622</v>
      </c>
      <c r="H2392" s="116"/>
      <c r="I2392" s="116"/>
      <c r="L2392" s="170">
        <v>45527</v>
      </c>
      <c r="M2392" s="116">
        <v>7088.15</v>
      </c>
      <c r="N2392" s="116">
        <v>7139</v>
      </c>
      <c r="O2392" s="116">
        <v>6930.1</v>
      </c>
      <c r="P2392" s="116">
        <v>6975</v>
      </c>
      <c r="Q2392" s="116">
        <v>7088.15</v>
      </c>
      <c r="R2392">
        <v>197126</v>
      </c>
    </row>
    <row r="2393" spans="1:18" x14ac:dyDescent="0.25">
      <c r="A2393" s="170">
        <v>45530</v>
      </c>
      <c r="B2393" s="116">
        <v>7930.65</v>
      </c>
      <c r="C2393" s="116">
        <v>7715.95</v>
      </c>
      <c r="D2393" s="116">
        <v>7104.15</v>
      </c>
      <c r="E2393" s="116">
        <v>7120</v>
      </c>
      <c r="F2393" s="116">
        <v>7715.95</v>
      </c>
      <c r="G2393">
        <v>50485</v>
      </c>
      <c r="H2393" s="116"/>
      <c r="I2393" s="116"/>
      <c r="L2393" s="170">
        <v>45530</v>
      </c>
      <c r="M2393" s="116">
        <v>7683.05</v>
      </c>
      <c r="N2393" s="116">
        <v>7940</v>
      </c>
      <c r="O2393" s="116">
        <v>7103</v>
      </c>
      <c r="P2393" s="116">
        <v>7149</v>
      </c>
      <c r="Q2393" s="116">
        <v>7683.05</v>
      </c>
      <c r="R2393">
        <v>1291665</v>
      </c>
    </row>
    <row r="2394" spans="1:18" x14ac:dyDescent="0.25">
      <c r="A2394" s="170">
        <v>45531</v>
      </c>
      <c r="B2394" s="116">
        <v>9082.9</v>
      </c>
      <c r="C2394" s="116">
        <v>8970.35</v>
      </c>
      <c r="D2394" s="116">
        <v>7744.6</v>
      </c>
      <c r="E2394" s="116">
        <v>7800</v>
      </c>
      <c r="F2394" s="116">
        <v>8970.35</v>
      </c>
      <c r="G2394">
        <v>481130</v>
      </c>
      <c r="H2394" s="116"/>
      <c r="I2394" s="116"/>
      <c r="L2394" s="170">
        <v>45531</v>
      </c>
      <c r="M2394" s="116">
        <v>8971.4</v>
      </c>
      <c r="N2394" s="116">
        <v>9080</v>
      </c>
      <c r="O2394" s="116">
        <v>7750</v>
      </c>
      <c r="P2394" s="116">
        <v>7800</v>
      </c>
      <c r="Q2394" s="116">
        <v>8971.4</v>
      </c>
      <c r="R2394">
        <v>5503022</v>
      </c>
    </row>
    <row r="2395" spans="1:18" x14ac:dyDescent="0.25">
      <c r="A2395" s="170">
        <v>45532</v>
      </c>
      <c r="B2395" s="116">
        <v>8900</v>
      </c>
      <c r="C2395" s="116">
        <v>8231.9</v>
      </c>
      <c r="D2395" s="116">
        <v>8158.8</v>
      </c>
      <c r="E2395" s="116">
        <v>8900</v>
      </c>
      <c r="F2395" s="116">
        <v>8231.9</v>
      </c>
      <c r="G2395">
        <v>146348</v>
      </c>
      <c r="H2395" s="116"/>
      <c r="I2395" s="116"/>
      <c r="L2395" s="170">
        <v>45532</v>
      </c>
      <c r="M2395" s="116">
        <v>8227.5</v>
      </c>
      <c r="N2395" s="116">
        <v>8900</v>
      </c>
      <c r="O2395" s="116">
        <v>8177</v>
      </c>
      <c r="P2395" s="116">
        <v>8900</v>
      </c>
      <c r="Q2395" s="116">
        <v>8227.5</v>
      </c>
      <c r="R2395">
        <v>2848938</v>
      </c>
    </row>
    <row r="2396" spans="1:18" x14ac:dyDescent="0.25">
      <c r="A2396" s="170">
        <v>45533</v>
      </c>
      <c r="B2396" s="116">
        <v>8223.85</v>
      </c>
      <c r="C2396" s="116">
        <v>7929.05</v>
      </c>
      <c r="D2396" s="116">
        <v>7860</v>
      </c>
      <c r="E2396" s="116">
        <v>8188.95</v>
      </c>
      <c r="F2396" s="116">
        <v>7929.05</v>
      </c>
      <c r="G2396">
        <v>109758</v>
      </c>
      <c r="H2396" s="116"/>
      <c r="I2396" s="116"/>
      <c r="L2396" s="170">
        <v>45533</v>
      </c>
      <c r="M2396" s="116">
        <v>7922.45</v>
      </c>
      <c r="N2396" s="116">
        <v>8227</v>
      </c>
      <c r="O2396" s="116">
        <v>7861</v>
      </c>
      <c r="P2396" s="116">
        <v>8178</v>
      </c>
      <c r="Q2396" s="116">
        <v>7922.45</v>
      </c>
      <c r="R2396">
        <v>1187989</v>
      </c>
    </row>
    <row r="2397" spans="1:18" x14ac:dyDescent="0.25">
      <c r="A2397" s="170">
        <v>45534</v>
      </c>
      <c r="B2397" s="116">
        <v>8343.9500000000007</v>
      </c>
      <c r="C2397" s="116">
        <v>7992.05</v>
      </c>
      <c r="D2397" s="116">
        <v>7950</v>
      </c>
      <c r="E2397" s="116">
        <v>7950</v>
      </c>
      <c r="F2397" s="116">
        <v>7992.05</v>
      </c>
      <c r="G2397">
        <v>93856</v>
      </c>
      <c r="H2397" s="116"/>
      <c r="I2397" s="116"/>
      <c r="L2397" s="170">
        <v>45534</v>
      </c>
      <c r="M2397" s="116">
        <v>8000.7</v>
      </c>
      <c r="N2397" s="116">
        <v>8345</v>
      </c>
      <c r="O2397" s="116">
        <v>7951.2</v>
      </c>
      <c r="P2397" s="116">
        <v>7960.05</v>
      </c>
      <c r="Q2397" s="116">
        <v>8000.7</v>
      </c>
      <c r="R2397">
        <v>1267303</v>
      </c>
    </row>
    <row r="2398" spans="1:18" x14ac:dyDescent="0.25">
      <c r="A2398" s="170">
        <v>45537</v>
      </c>
      <c r="B2398" s="116">
        <v>8040</v>
      </c>
      <c r="C2398" s="116">
        <v>7792.4</v>
      </c>
      <c r="D2398" s="116">
        <v>7771</v>
      </c>
      <c r="E2398" s="116">
        <v>8039.7</v>
      </c>
      <c r="F2398" s="116">
        <v>7792.4</v>
      </c>
      <c r="G2398">
        <v>21317</v>
      </c>
      <c r="H2398" s="116"/>
      <c r="I2398" s="116"/>
      <c r="L2398" s="170">
        <v>45537</v>
      </c>
      <c r="M2398" s="116">
        <v>7795.9</v>
      </c>
      <c r="N2398" s="116">
        <v>8050</v>
      </c>
      <c r="O2398" s="116">
        <v>7770</v>
      </c>
      <c r="P2398" s="116">
        <v>8009</v>
      </c>
      <c r="Q2398" s="116">
        <v>7795.9</v>
      </c>
      <c r="R2398">
        <v>404577</v>
      </c>
    </row>
    <row r="2399" spans="1:18" x14ac:dyDescent="0.25">
      <c r="A2399" s="170">
        <v>45538</v>
      </c>
      <c r="B2399" s="116">
        <v>7979</v>
      </c>
      <c r="C2399" s="116">
        <v>7870.7</v>
      </c>
      <c r="D2399" s="116">
        <v>7771.05</v>
      </c>
      <c r="E2399" s="116">
        <v>7795.9</v>
      </c>
      <c r="F2399" s="116">
        <v>7870.7</v>
      </c>
      <c r="G2399">
        <v>21880</v>
      </c>
      <c r="H2399" s="116"/>
      <c r="I2399" s="116"/>
      <c r="L2399" s="170">
        <v>45538</v>
      </c>
      <c r="M2399" s="116">
        <v>7867.35</v>
      </c>
      <c r="N2399" s="116">
        <v>7979</v>
      </c>
      <c r="O2399" s="116">
        <v>7770</v>
      </c>
      <c r="P2399" s="116">
        <v>7808.95</v>
      </c>
      <c r="Q2399" s="116">
        <v>7867.35</v>
      </c>
      <c r="R2399">
        <v>319607</v>
      </c>
    </row>
    <row r="2400" spans="1:18" x14ac:dyDescent="0.25">
      <c r="A2400" s="170">
        <v>45539</v>
      </c>
      <c r="B2400" s="116">
        <v>7808</v>
      </c>
      <c r="C2400" s="116">
        <v>7748.85</v>
      </c>
      <c r="D2400" s="116">
        <v>7701.6</v>
      </c>
      <c r="E2400" s="116">
        <v>7701.6</v>
      </c>
      <c r="F2400" s="116">
        <v>7748.85</v>
      </c>
      <c r="G2400">
        <v>16329</v>
      </c>
      <c r="H2400" s="116"/>
      <c r="I2400" s="116"/>
      <c r="L2400" s="170">
        <v>45539</v>
      </c>
      <c r="M2400" s="116">
        <v>7748.65</v>
      </c>
      <c r="N2400" s="116">
        <v>7812.9</v>
      </c>
      <c r="O2400" s="116">
        <v>7720</v>
      </c>
      <c r="P2400" s="116">
        <v>7720</v>
      </c>
      <c r="Q2400" s="116">
        <v>7748.65</v>
      </c>
      <c r="R2400">
        <v>156852</v>
      </c>
    </row>
    <row r="2401" spans="1:18" x14ac:dyDescent="0.25">
      <c r="A2401" s="170">
        <v>45540</v>
      </c>
      <c r="B2401" s="116">
        <v>7860</v>
      </c>
      <c r="C2401" s="116">
        <v>7723.1</v>
      </c>
      <c r="D2401" s="116">
        <v>7700</v>
      </c>
      <c r="E2401" s="116">
        <v>7770.2</v>
      </c>
      <c r="F2401" s="116">
        <v>7723.1</v>
      </c>
      <c r="G2401">
        <v>15933</v>
      </c>
      <c r="H2401" s="116"/>
      <c r="I2401" s="116"/>
      <c r="L2401" s="170">
        <v>45540</v>
      </c>
      <c r="M2401" s="116">
        <v>7727.05</v>
      </c>
      <c r="N2401" s="116">
        <v>7864</v>
      </c>
      <c r="O2401" s="116">
        <v>7706.2</v>
      </c>
      <c r="P2401" s="116">
        <v>7788.1</v>
      </c>
      <c r="Q2401" s="116">
        <v>7727.05</v>
      </c>
      <c r="R2401">
        <v>137503</v>
      </c>
    </row>
    <row r="2402" spans="1:18" x14ac:dyDescent="0.25">
      <c r="A2402" s="170">
        <v>45541</v>
      </c>
      <c r="B2402" s="116">
        <v>7855.8</v>
      </c>
      <c r="C2402" s="116">
        <v>7588.65</v>
      </c>
      <c r="D2402" s="116">
        <v>7570</v>
      </c>
      <c r="E2402" s="116">
        <v>7795.95</v>
      </c>
      <c r="F2402" s="116">
        <v>7588.65</v>
      </c>
      <c r="G2402">
        <v>11744</v>
      </c>
      <c r="H2402" s="116"/>
      <c r="I2402" s="116"/>
      <c r="L2402" s="170">
        <v>45541</v>
      </c>
      <c r="M2402" s="116">
        <v>7589.45</v>
      </c>
      <c r="N2402" s="116">
        <v>7857.45</v>
      </c>
      <c r="O2402" s="116">
        <v>7567.1</v>
      </c>
      <c r="P2402" s="116">
        <v>7730</v>
      </c>
      <c r="Q2402" s="116">
        <v>7589.45</v>
      </c>
      <c r="R2402">
        <v>230086</v>
      </c>
    </row>
    <row r="2403" spans="1:18" x14ac:dyDescent="0.25">
      <c r="A2403" s="170">
        <v>45544</v>
      </c>
      <c r="B2403" s="116">
        <v>7984.8</v>
      </c>
      <c r="C2403" s="116">
        <v>7843.5</v>
      </c>
      <c r="D2403" s="116">
        <v>7490</v>
      </c>
      <c r="E2403" s="116">
        <v>7560.05</v>
      </c>
      <c r="F2403" s="116">
        <v>7843.5</v>
      </c>
      <c r="G2403">
        <v>28820</v>
      </c>
      <c r="H2403" s="116"/>
      <c r="I2403" s="116"/>
      <c r="L2403" s="170">
        <v>45544</v>
      </c>
      <c r="M2403" s="116">
        <v>7839.05</v>
      </c>
      <c r="N2403" s="116">
        <v>7980</v>
      </c>
      <c r="O2403" s="116">
        <v>7490</v>
      </c>
      <c r="P2403" s="116">
        <v>7590</v>
      </c>
      <c r="Q2403" s="116">
        <v>7839.05</v>
      </c>
      <c r="R2403">
        <v>704407</v>
      </c>
    </row>
    <row r="2404" spans="1:18" x14ac:dyDescent="0.25">
      <c r="A2404" s="170">
        <v>45545</v>
      </c>
      <c r="B2404" s="116">
        <v>8022.4</v>
      </c>
      <c r="C2404" s="116">
        <v>7849.75</v>
      </c>
      <c r="D2404" s="116">
        <v>7831.15</v>
      </c>
      <c r="E2404" s="116">
        <v>7898.45</v>
      </c>
      <c r="F2404" s="116">
        <v>7849.75</v>
      </c>
      <c r="G2404">
        <v>35172</v>
      </c>
      <c r="H2404" s="116"/>
      <c r="I2404" s="116"/>
      <c r="L2404" s="170">
        <v>45545</v>
      </c>
      <c r="M2404" s="116">
        <v>7850.7</v>
      </c>
      <c r="N2404" s="116">
        <v>8024</v>
      </c>
      <c r="O2404" s="116">
        <v>7830.9</v>
      </c>
      <c r="P2404" s="116">
        <v>7879.95</v>
      </c>
      <c r="Q2404" s="116">
        <v>7850.7</v>
      </c>
      <c r="R2404">
        <v>358444</v>
      </c>
    </row>
    <row r="2405" spans="1:18" x14ac:dyDescent="0.25">
      <c r="A2405" s="170">
        <v>45546</v>
      </c>
      <c r="B2405" s="116">
        <v>7881.7</v>
      </c>
      <c r="C2405" s="116">
        <v>7717.85</v>
      </c>
      <c r="D2405" s="116">
        <v>7700.5</v>
      </c>
      <c r="E2405" s="116">
        <v>7855.15</v>
      </c>
      <c r="F2405" s="116">
        <v>7717.85</v>
      </c>
      <c r="G2405">
        <v>7388</v>
      </c>
      <c r="H2405" s="116"/>
      <c r="I2405" s="116"/>
      <c r="L2405" s="170">
        <v>45546</v>
      </c>
      <c r="M2405" s="116">
        <v>7717.1</v>
      </c>
      <c r="N2405" s="116">
        <v>7881.55</v>
      </c>
      <c r="O2405" s="116">
        <v>7700</v>
      </c>
      <c r="P2405" s="116">
        <v>7880</v>
      </c>
      <c r="Q2405" s="116">
        <v>7717.1</v>
      </c>
      <c r="R2405">
        <v>153919</v>
      </c>
    </row>
    <row r="2406" spans="1:18" x14ac:dyDescent="0.25">
      <c r="A2406" s="170">
        <v>45547</v>
      </c>
      <c r="B2406" s="116">
        <v>7870</v>
      </c>
      <c r="C2406" s="116">
        <v>7791.75</v>
      </c>
      <c r="D2406" s="116">
        <v>7740.3</v>
      </c>
      <c r="E2406" s="116">
        <v>7740.3</v>
      </c>
      <c r="F2406" s="116">
        <v>7791.75</v>
      </c>
      <c r="G2406">
        <v>14695</v>
      </c>
      <c r="H2406" s="116"/>
      <c r="I2406" s="116"/>
      <c r="L2406" s="170">
        <v>45547</v>
      </c>
      <c r="M2406" s="116">
        <v>7788.4</v>
      </c>
      <c r="N2406" s="116">
        <v>7870</v>
      </c>
      <c r="O2406" s="116">
        <v>7752</v>
      </c>
      <c r="P2406" s="116">
        <v>7757.4</v>
      </c>
      <c r="Q2406" s="116">
        <v>7788.4</v>
      </c>
      <c r="R2406">
        <v>152510</v>
      </c>
    </row>
    <row r="2407" spans="1:18" x14ac:dyDescent="0.25">
      <c r="A2407" s="170">
        <v>45548</v>
      </c>
      <c r="B2407" s="116">
        <v>7834.65</v>
      </c>
      <c r="C2407" s="116">
        <v>7713.2</v>
      </c>
      <c r="D2407" s="116">
        <v>7695.85</v>
      </c>
      <c r="E2407" s="116">
        <v>7834.65</v>
      </c>
      <c r="F2407" s="116">
        <v>7713.2</v>
      </c>
      <c r="G2407">
        <v>15264</v>
      </c>
      <c r="H2407" s="116"/>
      <c r="I2407" s="116"/>
      <c r="L2407" s="170">
        <v>45548</v>
      </c>
      <c r="M2407" s="116">
        <v>7714.9</v>
      </c>
      <c r="N2407" s="116">
        <v>7830</v>
      </c>
      <c r="O2407" s="116">
        <v>7695</v>
      </c>
      <c r="P2407" s="116">
        <v>7825</v>
      </c>
      <c r="Q2407" s="116">
        <v>7714.9</v>
      </c>
      <c r="R2407">
        <v>121235</v>
      </c>
    </row>
    <row r="2408" spans="1:18" x14ac:dyDescent="0.25">
      <c r="A2408" s="170">
        <v>45551</v>
      </c>
      <c r="B2408" s="116">
        <v>7768</v>
      </c>
      <c r="C2408" s="116">
        <v>7687.45</v>
      </c>
      <c r="D2408" s="116">
        <v>7675.15</v>
      </c>
      <c r="E2408" s="116">
        <v>7720.85</v>
      </c>
      <c r="F2408" s="116">
        <v>7687.45</v>
      </c>
      <c r="G2408">
        <v>5736</v>
      </c>
      <c r="H2408" s="116"/>
      <c r="I2408" s="116"/>
      <c r="L2408" s="170">
        <v>45551</v>
      </c>
      <c r="M2408" s="116">
        <v>7688.75</v>
      </c>
      <c r="N2408" s="116">
        <v>7768</v>
      </c>
      <c r="O2408" s="116">
        <v>7677</v>
      </c>
      <c r="P2408" s="116">
        <v>7750</v>
      </c>
      <c r="Q2408" s="116">
        <v>7688.75</v>
      </c>
      <c r="R2408">
        <v>98044</v>
      </c>
    </row>
    <row r="2409" spans="1:18" x14ac:dyDescent="0.25">
      <c r="A2409" s="170">
        <v>45552</v>
      </c>
      <c r="B2409" s="116">
        <v>7780.4</v>
      </c>
      <c r="C2409" s="116">
        <v>7710.45</v>
      </c>
      <c r="D2409" s="116">
        <v>7657</v>
      </c>
      <c r="E2409" s="116">
        <v>7685.1</v>
      </c>
      <c r="F2409" s="116">
        <v>7710.45</v>
      </c>
      <c r="G2409">
        <v>14565</v>
      </c>
      <c r="H2409" s="116"/>
      <c r="I2409" s="116"/>
      <c r="L2409" s="170">
        <v>45552</v>
      </c>
      <c r="M2409" s="116">
        <v>7707.6</v>
      </c>
      <c r="N2409" s="116">
        <v>7784.6</v>
      </c>
      <c r="O2409" s="116">
        <v>7651.05</v>
      </c>
      <c r="P2409" s="116">
        <v>7688.75</v>
      </c>
      <c r="Q2409" s="116">
        <v>7707.6</v>
      </c>
      <c r="R2409">
        <v>127522</v>
      </c>
    </row>
    <row r="2410" spans="1:18" x14ac:dyDescent="0.25">
      <c r="A2410" s="170">
        <v>45553</v>
      </c>
      <c r="B2410" s="116">
        <v>7749.15</v>
      </c>
      <c r="C2410" s="116">
        <v>7641.8</v>
      </c>
      <c r="D2410" s="116">
        <v>7620</v>
      </c>
      <c r="E2410" s="116">
        <v>7715</v>
      </c>
      <c r="F2410" s="116">
        <v>7641.8</v>
      </c>
      <c r="G2410">
        <v>11800</v>
      </c>
      <c r="H2410" s="116"/>
      <c r="I2410" s="116"/>
      <c r="L2410" s="170">
        <v>45553</v>
      </c>
      <c r="M2410" s="116">
        <v>7639.5</v>
      </c>
      <c r="N2410" s="116">
        <v>7719.95</v>
      </c>
      <c r="O2410" s="116">
        <v>7620</v>
      </c>
      <c r="P2410" s="116">
        <v>7708</v>
      </c>
      <c r="Q2410" s="116">
        <v>7639.5</v>
      </c>
      <c r="R2410">
        <v>85829</v>
      </c>
    </row>
    <row r="2411" spans="1:18" x14ac:dyDescent="0.25">
      <c r="A2411" s="170">
        <v>45554</v>
      </c>
      <c r="B2411" s="116">
        <v>7758.65</v>
      </c>
      <c r="C2411" s="116">
        <v>7519.7</v>
      </c>
      <c r="D2411" s="116">
        <v>7499</v>
      </c>
      <c r="E2411" s="116">
        <v>7650.35</v>
      </c>
      <c r="F2411" s="116">
        <v>7519.7</v>
      </c>
      <c r="G2411">
        <v>20105</v>
      </c>
      <c r="H2411" s="116"/>
      <c r="I2411" s="116"/>
      <c r="L2411" s="170">
        <v>45554</v>
      </c>
      <c r="M2411" s="116">
        <v>7523.15</v>
      </c>
      <c r="N2411" s="116">
        <v>7757</v>
      </c>
      <c r="O2411" s="116">
        <v>7496.7</v>
      </c>
      <c r="P2411" s="116">
        <v>7682</v>
      </c>
      <c r="Q2411" s="116">
        <v>7523.15</v>
      </c>
      <c r="R2411">
        <v>129289</v>
      </c>
    </row>
    <row r="2412" spans="1:18" x14ac:dyDescent="0.25">
      <c r="A2412" s="170">
        <v>45555</v>
      </c>
      <c r="B2412" s="116">
        <v>7930</v>
      </c>
      <c r="C2412" s="116">
        <v>7858.95</v>
      </c>
      <c r="D2412" s="116">
        <v>7560</v>
      </c>
      <c r="E2412" s="116">
        <v>7560</v>
      </c>
      <c r="F2412" s="116">
        <v>7858.95</v>
      </c>
      <c r="G2412">
        <v>19537</v>
      </c>
      <c r="H2412" s="116"/>
      <c r="I2412" s="116"/>
      <c r="L2412" s="170">
        <v>45555</v>
      </c>
      <c r="M2412" s="116">
        <v>7859.4</v>
      </c>
      <c r="N2412" s="116">
        <v>7939</v>
      </c>
      <c r="O2412" s="116">
        <v>7560.4</v>
      </c>
      <c r="P2412" s="116">
        <v>7570</v>
      </c>
      <c r="Q2412" s="116">
        <v>7859.4</v>
      </c>
      <c r="R2412">
        <v>377846</v>
      </c>
    </row>
    <row r="2413" spans="1:18" x14ac:dyDescent="0.25">
      <c r="A2413" s="170">
        <v>45558</v>
      </c>
      <c r="B2413" s="116">
        <v>7998.95</v>
      </c>
      <c r="C2413" s="116">
        <v>7833.95</v>
      </c>
      <c r="D2413" s="116">
        <v>7812.55</v>
      </c>
      <c r="E2413" s="116">
        <v>7998.95</v>
      </c>
      <c r="F2413" s="116">
        <v>7833.95</v>
      </c>
      <c r="G2413">
        <v>9032</v>
      </c>
      <c r="H2413" s="116"/>
      <c r="I2413" s="116"/>
      <c r="L2413" s="170">
        <v>45558</v>
      </c>
      <c r="M2413" s="116">
        <v>7833</v>
      </c>
      <c r="N2413" s="116">
        <v>7978</v>
      </c>
      <c r="O2413" s="116">
        <v>7802.3</v>
      </c>
      <c r="P2413" s="116">
        <v>7885.05</v>
      </c>
      <c r="Q2413" s="116">
        <v>7833</v>
      </c>
      <c r="R2413">
        <v>231866</v>
      </c>
    </row>
    <row r="2414" spans="1:18" x14ac:dyDescent="0.25">
      <c r="A2414" s="170">
        <v>45559</v>
      </c>
      <c r="B2414" s="116">
        <v>7956</v>
      </c>
      <c r="C2414" s="116">
        <v>7915.1</v>
      </c>
      <c r="D2414" s="116">
        <v>7790</v>
      </c>
      <c r="E2414" s="116">
        <v>7879.65</v>
      </c>
      <c r="F2414" s="116">
        <v>7915.1</v>
      </c>
      <c r="G2414">
        <v>18016</v>
      </c>
      <c r="H2414" s="116"/>
      <c r="I2414" s="116"/>
      <c r="L2414" s="170">
        <v>45559</v>
      </c>
      <c r="M2414" s="116">
        <v>7920.25</v>
      </c>
      <c r="N2414" s="116">
        <v>7962</v>
      </c>
      <c r="O2414" s="116">
        <v>7789</v>
      </c>
      <c r="P2414" s="116">
        <v>7850</v>
      </c>
      <c r="Q2414" s="116">
        <v>7920.25</v>
      </c>
      <c r="R2414">
        <v>176369</v>
      </c>
    </row>
    <row r="2415" spans="1:18" x14ac:dyDescent="0.25">
      <c r="A2415" s="170">
        <v>45560</v>
      </c>
      <c r="B2415" s="116">
        <v>7951.9</v>
      </c>
      <c r="C2415" s="116">
        <v>7830</v>
      </c>
      <c r="D2415" s="116">
        <v>7806.9</v>
      </c>
      <c r="E2415" s="116">
        <v>7945</v>
      </c>
      <c r="F2415" s="116">
        <v>7830</v>
      </c>
      <c r="G2415">
        <v>5247</v>
      </c>
      <c r="H2415" s="116"/>
      <c r="I2415" s="116"/>
      <c r="L2415" s="170">
        <v>45560</v>
      </c>
      <c r="M2415" s="116">
        <v>7829.1</v>
      </c>
      <c r="N2415" s="116">
        <v>7950</v>
      </c>
      <c r="O2415" s="116">
        <v>7800</v>
      </c>
      <c r="P2415" s="116">
        <v>7950</v>
      </c>
      <c r="Q2415" s="116">
        <v>7829.1</v>
      </c>
      <c r="R2415">
        <v>114985</v>
      </c>
    </row>
    <row r="2416" spans="1:18" x14ac:dyDescent="0.25">
      <c r="A2416" s="170">
        <v>45561</v>
      </c>
      <c r="B2416" s="116">
        <v>7921</v>
      </c>
      <c r="C2416" s="116">
        <v>7831.05</v>
      </c>
      <c r="D2416" s="116">
        <v>7794.8</v>
      </c>
      <c r="E2416" s="116">
        <v>7830</v>
      </c>
      <c r="F2416" s="116">
        <v>7831.05</v>
      </c>
      <c r="G2416">
        <v>15110</v>
      </c>
      <c r="H2416" s="116"/>
      <c r="I2416" s="116"/>
      <c r="L2416" s="170">
        <v>45561</v>
      </c>
      <c r="M2416" s="116">
        <v>7834.3</v>
      </c>
      <c r="N2416" s="116">
        <v>7924.8</v>
      </c>
      <c r="O2416" s="116">
        <v>7800</v>
      </c>
      <c r="P2416" s="116">
        <v>7827</v>
      </c>
      <c r="Q2416" s="116">
        <v>7834.3</v>
      </c>
      <c r="R2416">
        <v>113372</v>
      </c>
    </row>
    <row r="2417" spans="1:18" x14ac:dyDescent="0.25">
      <c r="A2417" s="170">
        <v>45562</v>
      </c>
      <c r="B2417" s="116">
        <v>8140</v>
      </c>
      <c r="C2417" s="116">
        <v>7775.45</v>
      </c>
      <c r="D2417" s="116">
        <v>7609</v>
      </c>
      <c r="E2417" s="116">
        <v>7845</v>
      </c>
      <c r="F2417" s="116">
        <v>7775.45</v>
      </c>
      <c r="G2417">
        <v>26670</v>
      </c>
      <c r="H2417" s="116"/>
      <c r="I2417" s="116"/>
      <c r="L2417" s="170">
        <v>45562</v>
      </c>
      <c r="M2417" s="116">
        <v>7811.4</v>
      </c>
      <c r="N2417" s="116">
        <v>8142.15</v>
      </c>
      <c r="O2417" s="116">
        <v>7600</v>
      </c>
      <c r="P2417" s="116">
        <v>7860</v>
      </c>
      <c r="Q2417" s="116">
        <v>7811.4</v>
      </c>
      <c r="R2417">
        <v>470425</v>
      </c>
    </row>
    <row r="2418" spans="1:18" x14ac:dyDescent="0.25">
      <c r="A2418" s="170">
        <v>45565</v>
      </c>
      <c r="B2418" s="116">
        <v>7805.8</v>
      </c>
      <c r="C2418" s="116">
        <v>7727.4</v>
      </c>
      <c r="D2418" s="116">
        <v>7693.95</v>
      </c>
      <c r="E2418" s="116">
        <v>7799.8</v>
      </c>
      <c r="F2418" s="116">
        <v>7727.4</v>
      </c>
      <c r="G2418">
        <v>5623</v>
      </c>
      <c r="H2418" s="116"/>
      <c r="I2418" s="116"/>
      <c r="L2418" s="170">
        <v>45565</v>
      </c>
      <c r="M2418" s="116">
        <v>7724.45</v>
      </c>
      <c r="N2418" s="116">
        <v>7799</v>
      </c>
      <c r="O2418" s="116">
        <v>7691</v>
      </c>
      <c r="P2418" s="116">
        <v>7780</v>
      </c>
      <c r="Q2418" s="116">
        <v>7724.45</v>
      </c>
      <c r="R2418">
        <v>130533</v>
      </c>
    </row>
    <row r="2419" spans="1:18" x14ac:dyDescent="0.25">
      <c r="A2419" s="170">
        <v>45566</v>
      </c>
      <c r="B2419" s="116">
        <v>7800</v>
      </c>
      <c r="C2419" s="116">
        <v>7767.9</v>
      </c>
      <c r="D2419" s="116">
        <v>7727.4</v>
      </c>
      <c r="E2419" s="116">
        <v>7731</v>
      </c>
      <c r="F2419" s="116">
        <v>7767.9</v>
      </c>
      <c r="G2419">
        <v>8175</v>
      </c>
      <c r="H2419" s="116"/>
      <c r="I2419" s="116"/>
      <c r="L2419" s="170">
        <v>45566</v>
      </c>
      <c r="M2419" s="116">
        <v>7765.25</v>
      </c>
      <c r="N2419" s="116">
        <v>7807.95</v>
      </c>
      <c r="O2419" s="116">
        <v>7725</v>
      </c>
      <c r="P2419" s="116">
        <v>7725</v>
      </c>
      <c r="Q2419" s="116">
        <v>7765.25</v>
      </c>
      <c r="R2419">
        <v>90103</v>
      </c>
    </row>
    <row r="2420" spans="1:18" x14ac:dyDescent="0.25">
      <c r="A2420" s="170">
        <v>45568</v>
      </c>
      <c r="B2420" s="116">
        <v>7730</v>
      </c>
      <c r="C2420" s="116">
        <v>7590.4</v>
      </c>
      <c r="D2420" s="116">
        <v>7575.5</v>
      </c>
      <c r="E2420" s="116">
        <v>7695</v>
      </c>
      <c r="F2420" s="116">
        <v>7590.4</v>
      </c>
      <c r="G2420">
        <v>18055</v>
      </c>
      <c r="H2420" s="116"/>
      <c r="I2420" s="116"/>
      <c r="L2420" s="170">
        <v>45568</v>
      </c>
      <c r="M2420" s="116">
        <v>7589.9</v>
      </c>
      <c r="N2420" s="116">
        <v>7733</v>
      </c>
      <c r="O2420" s="116">
        <v>7570</v>
      </c>
      <c r="P2420" s="116">
        <v>7689.05</v>
      </c>
      <c r="Q2420" s="116">
        <v>7589.9</v>
      </c>
      <c r="R2420">
        <v>127058</v>
      </c>
    </row>
    <row r="2421" spans="1:18" x14ac:dyDescent="0.25">
      <c r="A2421" s="170">
        <v>45569</v>
      </c>
      <c r="B2421" s="116">
        <v>7625</v>
      </c>
      <c r="C2421" s="116">
        <v>7575</v>
      </c>
      <c r="D2421" s="116">
        <v>7446</v>
      </c>
      <c r="E2421" s="116">
        <v>7580.05</v>
      </c>
      <c r="F2421" s="116">
        <v>7575</v>
      </c>
      <c r="G2421">
        <v>18655</v>
      </c>
      <c r="H2421" s="116"/>
      <c r="I2421" s="116"/>
      <c r="L2421" s="170">
        <v>45569</v>
      </c>
      <c r="M2421" s="116">
        <v>7576.1</v>
      </c>
      <c r="N2421" s="116">
        <v>7628.9</v>
      </c>
      <c r="O2421" s="116">
        <v>7451</v>
      </c>
      <c r="P2421" s="116">
        <v>7589</v>
      </c>
      <c r="Q2421" s="116">
        <v>7576.1</v>
      </c>
      <c r="R2421">
        <v>129147</v>
      </c>
    </row>
    <row r="2422" spans="1:18" x14ac:dyDescent="0.25">
      <c r="A2422" s="170">
        <v>45572</v>
      </c>
      <c r="B2422" s="116">
        <v>7619.95</v>
      </c>
      <c r="C2422" s="116">
        <v>7423.2</v>
      </c>
      <c r="D2422" s="116">
        <v>7350</v>
      </c>
      <c r="E2422" s="116">
        <v>7575.3</v>
      </c>
      <c r="F2422" s="116">
        <v>7423.2</v>
      </c>
      <c r="G2422">
        <v>8798</v>
      </c>
      <c r="H2422" s="116"/>
      <c r="I2422" s="116"/>
      <c r="L2422" s="170">
        <v>45572</v>
      </c>
      <c r="M2422" s="116">
        <v>7430.65</v>
      </c>
      <c r="N2422" s="116">
        <v>7627.95</v>
      </c>
      <c r="O2422" s="116">
        <v>7352</v>
      </c>
      <c r="P2422" s="116">
        <v>7580</v>
      </c>
      <c r="Q2422" s="116">
        <v>7430.65</v>
      </c>
      <c r="R2422">
        <v>137781</v>
      </c>
    </row>
    <row r="2423" spans="1:18" x14ac:dyDescent="0.25">
      <c r="A2423" s="170">
        <v>45573</v>
      </c>
      <c r="B2423" s="116">
        <v>7599</v>
      </c>
      <c r="C2423" s="116">
        <v>7549.75</v>
      </c>
      <c r="D2423" s="116">
        <v>7380.7</v>
      </c>
      <c r="E2423" s="116">
        <v>7403.25</v>
      </c>
      <c r="F2423" s="116">
        <v>7549.75</v>
      </c>
      <c r="G2423">
        <v>5008</v>
      </c>
      <c r="H2423" s="116"/>
      <c r="I2423" s="116"/>
      <c r="L2423" s="170">
        <v>45573</v>
      </c>
      <c r="M2423" s="116">
        <v>7550.1</v>
      </c>
      <c r="N2423" s="116">
        <v>7599</v>
      </c>
      <c r="O2423" s="116">
        <v>7380</v>
      </c>
      <c r="P2423" s="116">
        <v>7430</v>
      </c>
      <c r="Q2423" s="116">
        <v>7550.1</v>
      </c>
      <c r="R2423">
        <v>113271</v>
      </c>
    </row>
    <row r="2424" spans="1:18" x14ac:dyDescent="0.25">
      <c r="A2424" s="170">
        <v>45574</v>
      </c>
      <c r="B2424" s="116">
        <v>7770</v>
      </c>
      <c r="C2424" s="116">
        <v>7611.2</v>
      </c>
      <c r="D2424" s="116">
        <v>7549.75</v>
      </c>
      <c r="E2424" s="116">
        <v>7623.95</v>
      </c>
      <c r="F2424" s="116">
        <v>7611.2</v>
      </c>
      <c r="G2424">
        <v>9951</v>
      </c>
      <c r="H2424" s="116"/>
      <c r="I2424" s="116"/>
      <c r="L2424" s="170">
        <v>45574</v>
      </c>
      <c r="M2424" s="116">
        <v>7614.3</v>
      </c>
      <c r="N2424" s="116">
        <v>7775</v>
      </c>
      <c r="O2424" s="116">
        <v>7540.35</v>
      </c>
      <c r="P2424" s="116">
        <v>7584</v>
      </c>
      <c r="Q2424" s="116">
        <v>7614.3</v>
      </c>
      <c r="R2424">
        <v>162611</v>
      </c>
    </row>
    <row r="2425" spans="1:18" x14ac:dyDescent="0.25">
      <c r="A2425" s="170">
        <v>45575</v>
      </c>
      <c r="B2425" s="116">
        <v>8025</v>
      </c>
      <c r="C2425" s="116">
        <v>7762.35</v>
      </c>
      <c r="D2425" s="116">
        <v>7629</v>
      </c>
      <c r="E2425" s="116">
        <v>7629</v>
      </c>
      <c r="F2425" s="116">
        <v>7762.35</v>
      </c>
      <c r="G2425">
        <v>22856</v>
      </c>
      <c r="H2425" s="116"/>
      <c r="I2425" s="116"/>
      <c r="L2425" s="170">
        <v>45575</v>
      </c>
      <c r="M2425" s="116">
        <v>7759.3</v>
      </c>
      <c r="N2425" s="116">
        <v>8027</v>
      </c>
      <c r="O2425" s="116">
        <v>7627</v>
      </c>
      <c r="P2425" s="116">
        <v>7627</v>
      </c>
      <c r="Q2425" s="116">
        <v>7759.3</v>
      </c>
      <c r="R2425">
        <v>679383</v>
      </c>
    </row>
    <row r="2426" spans="1:18" x14ac:dyDescent="0.25">
      <c r="A2426" s="170">
        <v>45576</v>
      </c>
      <c r="B2426" s="116">
        <v>7980.3</v>
      </c>
      <c r="C2426" s="116">
        <v>7676.45</v>
      </c>
      <c r="D2426" s="116">
        <v>7660</v>
      </c>
      <c r="E2426" s="116">
        <v>7847.95</v>
      </c>
      <c r="F2426" s="116">
        <v>7676.45</v>
      </c>
      <c r="G2426">
        <v>36625</v>
      </c>
      <c r="H2426" s="116"/>
      <c r="I2426" s="116"/>
      <c r="L2426" s="170">
        <v>45576</v>
      </c>
      <c r="M2426" s="116">
        <v>7675.15</v>
      </c>
      <c r="N2426" s="116">
        <v>7985</v>
      </c>
      <c r="O2426" s="116">
        <v>7655.2</v>
      </c>
      <c r="P2426" s="116">
        <v>7800</v>
      </c>
      <c r="Q2426" s="116">
        <v>7675.15</v>
      </c>
      <c r="R2426">
        <v>531591</v>
      </c>
    </row>
    <row r="2427" spans="1:18" x14ac:dyDescent="0.25">
      <c r="A2427" s="170">
        <v>45579</v>
      </c>
      <c r="B2427" s="116">
        <v>7743.2</v>
      </c>
      <c r="C2427" s="116">
        <v>7572.9</v>
      </c>
      <c r="D2427" s="116">
        <v>7561.65</v>
      </c>
      <c r="E2427" s="116">
        <v>7700.05</v>
      </c>
      <c r="F2427" s="116">
        <v>7572.9</v>
      </c>
      <c r="G2427">
        <v>17720</v>
      </c>
      <c r="H2427" s="116"/>
      <c r="I2427" s="116"/>
      <c r="L2427" s="170">
        <v>45579</v>
      </c>
      <c r="M2427" s="116">
        <v>7573.5</v>
      </c>
      <c r="N2427" s="116">
        <v>7749</v>
      </c>
      <c r="O2427" s="116">
        <v>7560.1</v>
      </c>
      <c r="P2427" s="116">
        <v>7728.4</v>
      </c>
      <c r="Q2427" s="116">
        <v>7573.5</v>
      </c>
      <c r="R2427">
        <v>142578</v>
      </c>
    </row>
    <row r="2428" spans="1:18" x14ac:dyDescent="0.25">
      <c r="A2428" s="170">
        <v>45580</v>
      </c>
      <c r="B2428" s="116">
        <v>7623</v>
      </c>
      <c r="C2428" s="116">
        <v>7471.65</v>
      </c>
      <c r="D2428" s="116">
        <v>7459.35</v>
      </c>
      <c r="E2428" s="116">
        <v>7570</v>
      </c>
      <c r="F2428" s="116">
        <v>7471.65</v>
      </c>
      <c r="G2428">
        <v>5988</v>
      </c>
      <c r="H2428" s="116"/>
      <c r="I2428" s="116"/>
      <c r="L2428" s="170">
        <v>45580</v>
      </c>
      <c r="M2428" s="116">
        <v>7469.1</v>
      </c>
      <c r="N2428" s="116">
        <v>7631.35</v>
      </c>
      <c r="O2428" s="116">
        <v>7455</v>
      </c>
      <c r="P2428" s="116">
        <v>7575</v>
      </c>
      <c r="Q2428" s="116">
        <v>7469.1</v>
      </c>
      <c r="R2428">
        <v>158563</v>
      </c>
    </row>
    <row r="2429" spans="1:18" x14ac:dyDescent="0.25">
      <c r="A2429" s="170">
        <v>45581</v>
      </c>
      <c r="B2429" s="116">
        <v>7545</v>
      </c>
      <c r="C2429" s="116">
        <v>7401.55</v>
      </c>
      <c r="D2429" s="116">
        <v>7371.1</v>
      </c>
      <c r="E2429" s="116">
        <v>7451.65</v>
      </c>
      <c r="F2429" s="116">
        <v>7401.55</v>
      </c>
      <c r="G2429">
        <v>12174</v>
      </c>
      <c r="H2429" s="116"/>
      <c r="I2429" s="116"/>
      <c r="L2429" s="170">
        <v>45581</v>
      </c>
      <c r="M2429" s="116">
        <v>7400.5</v>
      </c>
      <c r="N2429" s="116">
        <v>7548.9</v>
      </c>
      <c r="O2429" s="116">
        <v>7370</v>
      </c>
      <c r="P2429" s="116">
        <v>7450</v>
      </c>
      <c r="Q2429" s="116">
        <v>7400.5</v>
      </c>
      <c r="R2429">
        <v>133627</v>
      </c>
    </row>
    <row r="2430" spans="1:18" x14ac:dyDescent="0.25">
      <c r="A2430" s="170">
        <v>45582</v>
      </c>
      <c r="B2430" s="116">
        <v>7542</v>
      </c>
      <c r="C2430" s="116">
        <v>7365.3</v>
      </c>
      <c r="D2430" s="116">
        <v>7340</v>
      </c>
      <c r="E2430" s="116">
        <v>7459.35</v>
      </c>
      <c r="F2430" s="116">
        <v>7365.3</v>
      </c>
      <c r="G2430">
        <v>16349</v>
      </c>
      <c r="H2430" s="116"/>
      <c r="I2430" s="116"/>
      <c r="L2430" s="170">
        <v>45582</v>
      </c>
      <c r="M2430" s="116">
        <v>7365.1</v>
      </c>
      <c r="N2430" s="116">
        <v>7548</v>
      </c>
      <c r="O2430" s="116">
        <v>7330.65</v>
      </c>
      <c r="P2430" s="116">
        <v>7420.4</v>
      </c>
      <c r="Q2430" s="116">
        <v>7365.1</v>
      </c>
      <c r="R2430">
        <v>167307</v>
      </c>
    </row>
    <row r="2431" spans="1:18" x14ac:dyDescent="0.25">
      <c r="A2431" s="170">
        <v>45583</v>
      </c>
      <c r="B2431" s="116">
        <v>7399.9</v>
      </c>
      <c r="C2431" s="116">
        <v>7329.6</v>
      </c>
      <c r="D2431" s="116">
        <v>7273.05</v>
      </c>
      <c r="E2431" s="116">
        <v>7399.9</v>
      </c>
      <c r="F2431" s="116">
        <v>7329.6</v>
      </c>
      <c r="G2431">
        <v>11418</v>
      </c>
      <c r="H2431" s="116"/>
      <c r="I2431" s="116"/>
      <c r="L2431" s="170">
        <v>45583</v>
      </c>
      <c r="M2431" s="116">
        <v>7328.7</v>
      </c>
      <c r="N2431" s="116">
        <v>7362.05</v>
      </c>
      <c r="O2431" s="116">
        <v>7275</v>
      </c>
      <c r="P2431" s="116">
        <v>7360</v>
      </c>
      <c r="Q2431" s="116">
        <v>7328.7</v>
      </c>
      <c r="R2431">
        <v>72674</v>
      </c>
    </row>
    <row r="2432" spans="1:18" x14ac:dyDescent="0.25">
      <c r="A2432" s="170">
        <v>45586</v>
      </c>
      <c r="B2432" s="116">
        <v>7485</v>
      </c>
      <c r="C2432" s="116">
        <v>7404.1</v>
      </c>
      <c r="D2432" s="116">
        <v>7290.4</v>
      </c>
      <c r="E2432" s="116">
        <v>7398.95</v>
      </c>
      <c r="F2432" s="116">
        <v>7404.1</v>
      </c>
      <c r="G2432">
        <v>20205</v>
      </c>
      <c r="H2432" s="116"/>
      <c r="I2432" s="116"/>
      <c r="L2432" s="170">
        <v>45586</v>
      </c>
      <c r="M2432" s="116">
        <v>7409.2</v>
      </c>
      <c r="N2432" s="116">
        <v>7485</v>
      </c>
      <c r="O2432" s="116">
        <v>7290.9</v>
      </c>
      <c r="P2432" s="116">
        <v>7365</v>
      </c>
      <c r="Q2432" s="116">
        <v>7409.2</v>
      </c>
      <c r="R2432">
        <v>160306</v>
      </c>
    </row>
    <row r="2433" spans="1:18" x14ac:dyDescent="0.25">
      <c r="A2433" s="170">
        <v>45587</v>
      </c>
      <c r="B2433" s="116">
        <v>7420</v>
      </c>
      <c r="C2433" s="116">
        <v>7132.8</v>
      </c>
      <c r="D2433" s="116">
        <v>7110</v>
      </c>
      <c r="E2433" s="116">
        <v>7400.05</v>
      </c>
      <c r="F2433" s="116">
        <v>7132.8</v>
      </c>
      <c r="G2433">
        <v>8899</v>
      </c>
      <c r="H2433" s="116"/>
      <c r="I2433" s="116"/>
      <c r="L2433" s="170">
        <v>45587</v>
      </c>
      <c r="M2433" s="116">
        <v>7126.5</v>
      </c>
      <c r="N2433" s="116">
        <v>7435</v>
      </c>
      <c r="O2433" s="116">
        <v>7101.05</v>
      </c>
      <c r="P2433" s="116">
        <v>7410</v>
      </c>
      <c r="Q2433" s="116">
        <v>7126.5</v>
      </c>
      <c r="R2433">
        <v>121709</v>
      </c>
    </row>
    <row r="2434" spans="1:18" x14ac:dyDescent="0.25">
      <c r="A2434" s="170">
        <v>45588</v>
      </c>
      <c r="B2434" s="116">
        <v>7272</v>
      </c>
      <c r="C2434" s="116">
        <v>7223.75</v>
      </c>
      <c r="D2434" s="116">
        <v>7012</v>
      </c>
      <c r="E2434" s="116">
        <v>7126.55</v>
      </c>
      <c r="F2434" s="116">
        <v>7223.75</v>
      </c>
      <c r="G2434">
        <v>17351</v>
      </c>
      <c r="H2434" s="116"/>
      <c r="I2434" s="116"/>
      <c r="L2434" s="170">
        <v>45588</v>
      </c>
      <c r="M2434" s="116">
        <v>7217.15</v>
      </c>
      <c r="N2434" s="116">
        <v>7271</v>
      </c>
      <c r="O2434" s="116">
        <v>7017.8</v>
      </c>
      <c r="P2434" s="116">
        <v>7137.95</v>
      </c>
      <c r="Q2434" s="116">
        <v>7217.15</v>
      </c>
      <c r="R2434">
        <v>170785</v>
      </c>
    </row>
    <row r="2435" spans="1:18" x14ac:dyDescent="0.25">
      <c r="A2435" s="170">
        <v>45589</v>
      </c>
      <c r="B2435" s="116">
        <v>7225</v>
      </c>
      <c r="C2435" s="116">
        <v>6967.4</v>
      </c>
      <c r="D2435" s="116">
        <v>6950</v>
      </c>
      <c r="E2435" s="116">
        <v>7225</v>
      </c>
      <c r="F2435" s="116">
        <v>6967.4</v>
      </c>
      <c r="G2435">
        <v>19594</v>
      </c>
      <c r="H2435" s="116"/>
      <c r="I2435" s="116"/>
      <c r="L2435" s="170">
        <v>45589</v>
      </c>
      <c r="M2435" s="116">
        <v>6966.4</v>
      </c>
      <c r="N2435" s="116">
        <v>7247.7</v>
      </c>
      <c r="O2435" s="116">
        <v>6950</v>
      </c>
      <c r="P2435" s="116">
        <v>7247.7</v>
      </c>
      <c r="Q2435" s="116">
        <v>6966.4</v>
      </c>
      <c r="R2435">
        <v>178050</v>
      </c>
    </row>
    <row r="2436" spans="1:18" x14ac:dyDescent="0.25">
      <c r="A2436" s="170">
        <v>45590</v>
      </c>
      <c r="B2436" s="116">
        <v>7045</v>
      </c>
      <c r="C2436" s="116">
        <v>6992.25</v>
      </c>
      <c r="D2436" s="116">
        <v>6871.7</v>
      </c>
      <c r="E2436" s="116">
        <v>6970.05</v>
      </c>
      <c r="F2436" s="116">
        <v>6992.25</v>
      </c>
      <c r="G2436">
        <v>21798</v>
      </c>
      <c r="H2436" s="116"/>
      <c r="I2436" s="116"/>
      <c r="L2436" s="170">
        <v>45590</v>
      </c>
      <c r="M2436" s="116">
        <v>6990.65</v>
      </c>
      <c r="N2436" s="116">
        <v>7048.45</v>
      </c>
      <c r="O2436" s="116">
        <v>6870.6</v>
      </c>
      <c r="P2436" s="116">
        <v>6990</v>
      </c>
      <c r="Q2436" s="116">
        <v>6990.65</v>
      </c>
      <c r="R2436">
        <v>142390</v>
      </c>
    </row>
    <row r="2437" spans="1:18" x14ac:dyDescent="0.25">
      <c r="A2437" s="170">
        <v>45593</v>
      </c>
      <c r="B2437" s="116">
        <v>7399.95</v>
      </c>
      <c r="C2437" s="116">
        <v>7062.3</v>
      </c>
      <c r="D2437" s="116">
        <v>7006.95</v>
      </c>
      <c r="E2437" s="116">
        <v>7399.95</v>
      </c>
      <c r="F2437" s="116">
        <v>7062.3</v>
      </c>
      <c r="G2437">
        <v>13600</v>
      </c>
      <c r="H2437" s="116"/>
      <c r="I2437" s="116"/>
      <c r="L2437" s="170">
        <v>45593</v>
      </c>
      <c r="M2437" s="116">
        <v>7060</v>
      </c>
      <c r="N2437" s="116">
        <v>7133</v>
      </c>
      <c r="O2437" s="116">
        <v>7007</v>
      </c>
      <c r="P2437" s="116">
        <v>7068</v>
      </c>
      <c r="Q2437" s="116">
        <v>7060</v>
      </c>
      <c r="R2437">
        <v>97684</v>
      </c>
    </row>
    <row r="2438" spans="1:18" x14ac:dyDescent="0.25">
      <c r="A2438" s="170">
        <v>45594</v>
      </c>
      <c r="B2438" s="116">
        <v>7111.5</v>
      </c>
      <c r="C2438" s="116">
        <v>7037.95</v>
      </c>
      <c r="D2438" s="116">
        <v>6969.05</v>
      </c>
      <c r="E2438" s="116">
        <v>7067.9</v>
      </c>
      <c r="F2438" s="116">
        <v>7037.95</v>
      </c>
      <c r="G2438">
        <v>9929</v>
      </c>
      <c r="H2438" s="116"/>
      <c r="I2438" s="116"/>
      <c r="L2438" s="170">
        <v>45594</v>
      </c>
      <c r="M2438" s="116">
        <v>7038.95</v>
      </c>
      <c r="N2438" s="116">
        <v>7089</v>
      </c>
      <c r="O2438" s="116">
        <v>6969</v>
      </c>
      <c r="P2438" s="116">
        <v>7080</v>
      </c>
      <c r="Q2438" s="116">
        <v>7038.95</v>
      </c>
      <c r="R2438">
        <v>73770</v>
      </c>
    </row>
    <row r="2439" spans="1:18" x14ac:dyDescent="0.25">
      <c r="A2439" s="170">
        <v>45595</v>
      </c>
      <c r="B2439" s="116">
        <v>7130.45</v>
      </c>
      <c r="C2439" s="116">
        <v>7102.5</v>
      </c>
      <c r="D2439" s="116">
        <v>6975</v>
      </c>
      <c r="E2439" s="116">
        <v>7049.8</v>
      </c>
      <c r="F2439" s="116">
        <v>7102.5</v>
      </c>
      <c r="G2439">
        <v>6194</v>
      </c>
      <c r="H2439" s="116"/>
      <c r="I2439" s="116"/>
      <c r="L2439" s="170">
        <v>45595</v>
      </c>
      <c r="M2439" s="116">
        <v>7101</v>
      </c>
      <c r="N2439" s="116">
        <v>7131.4</v>
      </c>
      <c r="O2439" s="116">
        <v>6969</v>
      </c>
      <c r="P2439" s="116">
        <v>7030</v>
      </c>
      <c r="Q2439" s="116">
        <v>7101</v>
      </c>
      <c r="R2439">
        <v>73886</v>
      </c>
    </row>
    <row r="2440" spans="1:18" x14ac:dyDescent="0.25">
      <c r="A2440" s="170">
        <v>45596</v>
      </c>
      <c r="B2440" s="116">
        <v>7159.65</v>
      </c>
      <c r="C2440" s="116">
        <v>7031.1</v>
      </c>
      <c r="D2440" s="116">
        <v>7000</v>
      </c>
      <c r="E2440" s="116">
        <v>7159.65</v>
      </c>
      <c r="F2440" s="116">
        <v>7031.1</v>
      </c>
      <c r="G2440">
        <v>6868</v>
      </c>
      <c r="H2440" s="116"/>
      <c r="I2440" s="116"/>
      <c r="L2440" s="170">
        <v>45596</v>
      </c>
      <c r="M2440" s="116">
        <v>7021.85</v>
      </c>
      <c r="N2440" s="116">
        <v>7101</v>
      </c>
      <c r="O2440" s="116">
        <v>7000</v>
      </c>
      <c r="P2440" s="116">
        <v>7100</v>
      </c>
      <c r="Q2440" s="116">
        <v>7021.85</v>
      </c>
      <c r="R2440">
        <v>52624</v>
      </c>
    </row>
    <row r="2441" spans="1:18" x14ac:dyDescent="0.25">
      <c r="A2441" s="170">
        <v>45597</v>
      </c>
      <c r="B2441" s="116">
        <v>7127.55</v>
      </c>
      <c r="C2441" s="116">
        <v>7107.7</v>
      </c>
      <c r="D2441" s="116">
        <v>7069.95</v>
      </c>
      <c r="E2441" s="116">
        <v>7094.95</v>
      </c>
      <c r="F2441" s="116">
        <v>7107.7</v>
      </c>
      <c r="G2441">
        <v>4029</v>
      </c>
      <c r="H2441" s="116"/>
      <c r="I2441" s="116"/>
      <c r="L2441" s="170">
        <v>45597</v>
      </c>
      <c r="M2441" s="116">
        <v>7107.5</v>
      </c>
      <c r="N2441" s="116">
        <v>7134</v>
      </c>
      <c r="O2441" s="116">
        <v>7030</v>
      </c>
      <c r="P2441" s="116">
        <v>7069</v>
      </c>
      <c r="Q2441" s="116">
        <v>7107.5</v>
      </c>
      <c r="R2441">
        <v>19781</v>
      </c>
    </row>
    <row r="2442" spans="1:18" x14ac:dyDescent="0.25">
      <c r="A2442" s="170">
        <v>45600</v>
      </c>
      <c r="B2442" s="116">
        <v>7120.05</v>
      </c>
      <c r="C2442" s="116">
        <v>7034.5</v>
      </c>
      <c r="D2442" s="116">
        <v>6970</v>
      </c>
      <c r="E2442" s="116">
        <v>7120.05</v>
      </c>
      <c r="F2442" s="116">
        <v>7034.5</v>
      </c>
      <c r="G2442">
        <v>10072</v>
      </c>
      <c r="H2442" s="116"/>
      <c r="I2442" s="116"/>
      <c r="L2442" s="170">
        <v>45600</v>
      </c>
      <c r="M2442" s="116">
        <v>7035.1</v>
      </c>
      <c r="N2442" s="116">
        <v>7146.95</v>
      </c>
      <c r="O2442" s="116">
        <v>6969</v>
      </c>
      <c r="P2442" s="116">
        <v>7146.95</v>
      </c>
      <c r="Q2442" s="116">
        <v>7035.1</v>
      </c>
      <c r="R2442">
        <v>62065</v>
      </c>
    </row>
    <row r="2443" spans="1:18" x14ac:dyDescent="0.25">
      <c r="A2443" s="170">
        <v>45601</v>
      </c>
      <c r="B2443" s="116">
        <v>7072.6</v>
      </c>
      <c r="C2443" s="116">
        <v>7032.8</v>
      </c>
      <c r="D2443" s="116">
        <v>6988.9</v>
      </c>
      <c r="E2443" s="116">
        <v>7029.95</v>
      </c>
      <c r="F2443" s="116">
        <v>7032.8</v>
      </c>
      <c r="G2443">
        <v>4535</v>
      </c>
      <c r="H2443" s="116"/>
      <c r="I2443" s="116"/>
      <c r="L2443" s="170">
        <v>45601</v>
      </c>
      <c r="M2443" s="116">
        <v>7031.6</v>
      </c>
      <c r="N2443" s="116">
        <v>7078.85</v>
      </c>
      <c r="O2443" s="116">
        <v>6993</v>
      </c>
      <c r="P2443" s="116">
        <v>7040</v>
      </c>
      <c r="Q2443" s="116">
        <v>7031.6</v>
      </c>
      <c r="R2443">
        <v>48917</v>
      </c>
    </row>
    <row r="2444" spans="1:18" x14ac:dyDescent="0.25">
      <c r="A2444" s="170">
        <v>45602</v>
      </c>
      <c r="B2444" s="116">
        <v>7260</v>
      </c>
      <c r="C2444" s="116">
        <v>7231.05</v>
      </c>
      <c r="D2444" s="116">
        <v>7020</v>
      </c>
      <c r="E2444" s="116">
        <v>7050</v>
      </c>
      <c r="F2444" s="116">
        <v>7231.05</v>
      </c>
      <c r="G2444">
        <v>14240</v>
      </c>
      <c r="H2444" s="116"/>
      <c r="I2444" s="116"/>
      <c r="L2444" s="170">
        <v>45602</v>
      </c>
      <c r="M2444" s="116">
        <v>7232.35</v>
      </c>
      <c r="N2444" s="116">
        <v>7265</v>
      </c>
      <c r="O2444" s="116">
        <v>7029.95</v>
      </c>
      <c r="P2444" s="116">
        <v>7030</v>
      </c>
      <c r="Q2444" s="116">
        <v>7232.35</v>
      </c>
      <c r="R2444">
        <v>106190</v>
      </c>
    </row>
    <row r="2445" spans="1:18" x14ac:dyDescent="0.25">
      <c r="A2445" s="170">
        <v>45603</v>
      </c>
      <c r="B2445" s="116">
        <v>7380</v>
      </c>
      <c r="C2445" s="116">
        <v>7161.45</v>
      </c>
      <c r="D2445" s="116">
        <v>7135</v>
      </c>
      <c r="E2445" s="116">
        <v>7370</v>
      </c>
      <c r="F2445" s="116">
        <v>7161.45</v>
      </c>
      <c r="G2445">
        <v>8884</v>
      </c>
      <c r="H2445" s="116"/>
      <c r="I2445" s="116"/>
      <c r="L2445" s="170">
        <v>45603</v>
      </c>
      <c r="M2445" s="116">
        <v>7164.95</v>
      </c>
      <c r="N2445" s="116">
        <v>7390</v>
      </c>
      <c r="O2445" s="116">
        <v>7136.65</v>
      </c>
      <c r="P2445" s="116">
        <v>7349.25</v>
      </c>
      <c r="Q2445" s="116">
        <v>7164.95</v>
      </c>
      <c r="R2445">
        <v>121246</v>
      </c>
    </row>
    <row r="2446" spans="1:18" x14ac:dyDescent="0.25">
      <c r="A2446" s="170">
        <v>45604</v>
      </c>
      <c r="B2446" s="116">
        <v>7235</v>
      </c>
      <c r="C2446" s="116">
        <v>6952.65</v>
      </c>
      <c r="D2446" s="116">
        <v>6853.05</v>
      </c>
      <c r="E2446" s="116">
        <v>7167.3</v>
      </c>
      <c r="F2446" s="116">
        <v>6952.65</v>
      </c>
      <c r="G2446">
        <v>4821</v>
      </c>
      <c r="H2446" s="116"/>
      <c r="I2446" s="116"/>
      <c r="L2446" s="170">
        <v>45604</v>
      </c>
      <c r="M2446" s="116">
        <v>6940.8</v>
      </c>
      <c r="N2446" s="116">
        <v>7238.55</v>
      </c>
      <c r="O2446" s="116">
        <v>6821.65</v>
      </c>
      <c r="P2446" s="116">
        <v>7159.35</v>
      </c>
      <c r="Q2446" s="116">
        <v>6940.8</v>
      </c>
      <c r="R2446">
        <v>126103</v>
      </c>
    </row>
    <row r="2447" spans="1:18" x14ac:dyDescent="0.25">
      <c r="A2447" s="170">
        <v>45607</v>
      </c>
      <c r="B2447" s="116">
        <v>7010</v>
      </c>
      <c r="C2447" s="116">
        <v>6529.5</v>
      </c>
      <c r="D2447" s="116">
        <v>6490</v>
      </c>
      <c r="E2447" s="116">
        <v>6945</v>
      </c>
      <c r="F2447" s="116">
        <v>6529.5</v>
      </c>
      <c r="G2447">
        <v>52575</v>
      </c>
      <c r="H2447" s="116"/>
      <c r="I2447" s="116"/>
      <c r="L2447" s="170">
        <v>45607</v>
      </c>
      <c r="M2447" s="116">
        <v>6524.9</v>
      </c>
      <c r="N2447" s="116">
        <v>7011.05</v>
      </c>
      <c r="O2447" s="116">
        <v>6494</v>
      </c>
      <c r="P2447" s="116">
        <v>6940.8</v>
      </c>
      <c r="Q2447" s="116">
        <v>6524.9</v>
      </c>
      <c r="R2447">
        <v>498013</v>
      </c>
    </row>
    <row r="2448" spans="1:18" x14ac:dyDescent="0.25">
      <c r="A2448" s="170">
        <v>45608</v>
      </c>
      <c r="B2448" s="116">
        <v>6695</v>
      </c>
      <c r="C2448" s="116">
        <v>6634.25</v>
      </c>
      <c r="D2448" s="116">
        <v>6489.5</v>
      </c>
      <c r="E2448" s="116">
        <v>6550</v>
      </c>
      <c r="F2448" s="116">
        <v>6634.25</v>
      </c>
      <c r="G2448">
        <v>30661</v>
      </c>
      <c r="H2448" s="116"/>
      <c r="I2448" s="116"/>
      <c r="L2448" s="170">
        <v>45608</v>
      </c>
      <c r="M2448" s="116">
        <v>6635.5</v>
      </c>
      <c r="N2448" s="116">
        <v>6694.95</v>
      </c>
      <c r="O2448" s="116">
        <v>6483.3</v>
      </c>
      <c r="P2448" s="116">
        <v>6560</v>
      </c>
      <c r="Q2448" s="116">
        <v>6635.5</v>
      </c>
      <c r="R2448">
        <v>387058</v>
      </c>
    </row>
    <row r="2449" spans="1:18" x14ac:dyDescent="0.25">
      <c r="A2449" s="170">
        <v>45609</v>
      </c>
      <c r="B2449" s="116">
        <v>6721.25</v>
      </c>
      <c r="C2449" s="116">
        <v>6420</v>
      </c>
      <c r="D2449" s="116">
        <v>6386.85</v>
      </c>
      <c r="E2449" s="116">
        <v>6688.35</v>
      </c>
      <c r="F2449" s="116">
        <v>6420</v>
      </c>
      <c r="G2449">
        <v>12103</v>
      </c>
      <c r="H2449" s="116"/>
      <c r="I2449" s="116"/>
      <c r="L2449" s="170">
        <v>45609</v>
      </c>
      <c r="M2449" s="116">
        <v>6417.3</v>
      </c>
      <c r="N2449" s="116">
        <v>6719.9</v>
      </c>
      <c r="O2449" s="116">
        <v>6379.6</v>
      </c>
      <c r="P2449" s="116">
        <v>6630</v>
      </c>
      <c r="Q2449" s="116">
        <v>6417.3</v>
      </c>
      <c r="R2449">
        <v>328149</v>
      </c>
    </row>
    <row r="2450" spans="1:18" x14ac:dyDescent="0.25">
      <c r="A2450" s="170">
        <v>45610</v>
      </c>
      <c r="B2450" s="116">
        <v>6511.65</v>
      </c>
      <c r="C2450" s="116">
        <v>6366.6</v>
      </c>
      <c r="D2450" s="116">
        <v>6345.55</v>
      </c>
      <c r="E2450" s="116">
        <v>6446</v>
      </c>
      <c r="F2450" s="116">
        <v>6366.6</v>
      </c>
      <c r="G2450">
        <v>20002</v>
      </c>
      <c r="H2450" s="116"/>
      <c r="I2450" s="116"/>
      <c r="L2450" s="170">
        <v>45610</v>
      </c>
      <c r="M2450" s="116">
        <v>6374.55</v>
      </c>
      <c r="N2450" s="116">
        <v>6511</v>
      </c>
      <c r="O2450" s="116">
        <v>6338.2</v>
      </c>
      <c r="P2450" s="116">
        <v>6445.3</v>
      </c>
      <c r="Q2450" s="116">
        <v>6374.55</v>
      </c>
      <c r="R2450">
        <v>241446</v>
      </c>
    </row>
    <row r="2451" spans="1:18" x14ac:dyDescent="0.25">
      <c r="A2451" s="170">
        <v>45614</v>
      </c>
      <c r="B2451" s="116">
        <v>6565.95</v>
      </c>
      <c r="C2451" s="116">
        <v>6453.45</v>
      </c>
      <c r="D2451" s="116">
        <v>6285.05</v>
      </c>
      <c r="E2451" s="116">
        <v>6419.95</v>
      </c>
      <c r="F2451" s="116">
        <v>6453.45</v>
      </c>
      <c r="G2451">
        <v>12225</v>
      </c>
      <c r="H2451" s="116"/>
      <c r="I2451" s="116"/>
      <c r="L2451" s="170">
        <v>45614</v>
      </c>
      <c r="M2451" s="116">
        <v>6456</v>
      </c>
      <c r="N2451" s="116">
        <v>6565</v>
      </c>
      <c r="O2451" s="116">
        <v>6286</v>
      </c>
      <c r="P2451" s="116">
        <v>6405.05</v>
      </c>
      <c r="Q2451" s="116">
        <v>6456</v>
      </c>
      <c r="R2451">
        <v>251620</v>
      </c>
    </row>
    <row r="2452" spans="1:18" x14ac:dyDescent="0.25">
      <c r="A2452" s="170">
        <v>45615</v>
      </c>
      <c r="B2452" s="116">
        <v>6597.05</v>
      </c>
      <c r="C2452" s="116">
        <v>6548.95</v>
      </c>
      <c r="D2452" s="116">
        <v>6478</v>
      </c>
      <c r="E2452" s="116">
        <v>6499.35</v>
      </c>
      <c r="F2452" s="116">
        <v>6548.95</v>
      </c>
      <c r="G2452">
        <v>7897</v>
      </c>
      <c r="H2452" s="116"/>
      <c r="I2452" s="116"/>
      <c r="L2452" s="170">
        <v>45615</v>
      </c>
      <c r="M2452" s="116">
        <v>6549</v>
      </c>
      <c r="N2452" s="116">
        <v>6598</v>
      </c>
      <c r="O2452" s="116">
        <v>6473.85</v>
      </c>
      <c r="P2452" s="116">
        <v>6492.2</v>
      </c>
      <c r="Q2452" s="116">
        <v>6549</v>
      </c>
      <c r="R2452">
        <v>118483</v>
      </c>
    </row>
    <row r="2453" spans="1:18" x14ac:dyDescent="0.25">
      <c r="A2453" s="170">
        <v>45617</v>
      </c>
      <c r="B2453" s="116">
        <v>6617.45</v>
      </c>
      <c r="C2453" s="116">
        <v>6494.35</v>
      </c>
      <c r="D2453" s="116">
        <v>6460</v>
      </c>
      <c r="E2453" s="116">
        <v>6587.4</v>
      </c>
      <c r="F2453" s="116">
        <v>6494.35</v>
      </c>
      <c r="G2453">
        <v>5507</v>
      </c>
      <c r="H2453" s="116"/>
      <c r="I2453" s="116"/>
      <c r="L2453" s="170">
        <v>45617</v>
      </c>
      <c r="M2453" s="116">
        <v>6496.1</v>
      </c>
      <c r="N2453" s="116">
        <v>6617.2</v>
      </c>
      <c r="O2453" s="116">
        <v>6458</v>
      </c>
      <c r="P2453" s="116">
        <v>6555</v>
      </c>
      <c r="Q2453" s="116">
        <v>6496.1</v>
      </c>
      <c r="R2453">
        <v>112613</v>
      </c>
    </row>
    <row r="2454" spans="1:18" x14ac:dyDescent="0.25">
      <c r="A2454" s="170">
        <v>45618</v>
      </c>
      <c r="B2454" s="116">
        <v>6619.85</v>
      </c>
      <c r="C2454" s="116">
        <v>6585.2</v>
      </c>
      <c r="D2454" s="116">
        <v>6490.45</v>
      </c>
      <c r="E2454" s="116">
        <v>6490.45</v>
      </c>
      <c r="F2454" s="116">
        <v>6585.2</v>
      </c>
      <c r="G2454">
        <v>4148</v>
      </c>
      <c r="H2454" s="116"/>
      <c r="I2454" s="116"/>
      <c r="L2454" s="170">
        <v>45618</v>
      </c>
      <c r="M2454" s="116">
        <v>6586.45</v>
      </c>
      <c r="N2454" s="116">
        <v>6620</v>
      </c>
      <c r="O2454" s="116">
        <v>6497.6</v>
      </c>
      <c r="P2454" s="116">
        <v>6500.05</v>
      </c>
      <c r="Q2454" s="116">
        <v>6586.45</v>
      </c>
      <c r="R2454">
        <v>107055</v>
      </c>
    </row>
    <row r="2455" spans="1:18" x14ac:dyDescent="0.25">
      <c r="A2455" s="170">
        <v>45621</v>
      </c>
      <c r="B2455" s="116">
        <v>6877.1</v>
      </c>
      <c r="C2455" s="116">
        <v>6776.1</v>
      </c>
      <c r="D2455" s="116">
        <v>6611</v>
      </c>
      <c r="E2455" s="116">
        <v>6700</v>
      </c>
      <c r="F2455" s="116">
        <v>6776.1</v>
      </c>
      <c r="G2455">
        <v>6789</v>
      </c>
      <c r="H2455" s="116"/>
      <c r="I2455" s="116"/>
      <c r="L2455" s="170">
        <v>45621</v>
      </c>
      <c r="M2455" s="116">
        <v>6791.4</v>
      </c>
      <c r="N2455" s="116">
        <v>6875</v>
      </c>
      <c r="O2455" s="116">
        <v>6610.15</v>
      </c>
      <c r="P2455" s="116">
        <v>6690</v>
      </c>
      <c r="Q2455" s="116">
        <v>6791.4</v>
      </c>
      <c r="R2455">
        <v>275298</v>
      </c>
    </row>
    <row r="2456" spans="1:18" x14ac:dyDescent="0.25">
      <c r="A2456" s="170">
        <v>45622</v>
      </c>
      <c r="B2456" s="116">
        <v>6870</v>
      </c>
      <c r="C2456" s="116">
        <v>6714.7</v>
      </c>
      <c r="D2456" s="116">
        <v>6684.45</v>
      </c>
      <c r="E2456" s="116">
        <v>6820.65</v>
      </c>
      <c r="F2456" s="116">
        <v>6714.7</v>
      </c>
      <c r="G2456">
        <v>4068</v>
      </c>
      <c r="H2456" s="116"/>
      <c r="I2456" s="116"/>
      <c r="L2456" s="170">
        <v>45622</v>
      </c>
      <c r="M2456" s="116">
        <v>6713.75</v>
      </c>
      <c r="N2456" s="116">
        <v>6879</v>
      </c>
      <c r="O2456" s="116">
        <v>6689</v>
      </c>
      <c r="P2456" s="116">
        <v>6848</v>
      </c>
      <c r="Q2456" s="116">
        <v>6713.75</v>
      </c>
      <c r="R2456">
        <v>93554</v>
      </c>
    </row>
    <row r="2457" spans="1:18" x14ac:dyDescent="0.25">
      <c r="A2457" s="170">
        <v>45623</v>
      </c>
      <c r="B2457" s="116">
        <v>6825</v>
      </c>
      <c r="C2457" s="116">
        <v>6751.45</v>
      </c>
      <c r="D2457" s="116">
        <v>6669.75</v>
      </c>
      <c r="E2457" s="116">
        <v>6723.05</v>
      </c>
      <c r="F2457" s="116">
        <v>6751.45</v>
      </c>
      <c r="G2457">
        <v>10478</v>
      </c>
      <c r="H2457" s="116"/>
      <c r="I2457" s="116"/>
      <c r="L2457" s="170">
        <v>45623</v>
      </c>
      <c r="M2457" s="116">
        <v>6755</v>
      </c>
      <c r="N2457" s="116">
        <v>6830.95</v>
      </c>
      <c r="O2457" s="116">
        <v>6670</v>
      </c>
      <c r="P2457" s="116">
        <v>6736</v>
      </c>
      <c r="Q2457" s="116">
        <v>6755</v>
      </c>
      <c r="R2457">
        <v>112698</v>
      </c>
    </row>
    <row r="2458" spans="1:18" x14ac:dyDescent="0.25">
      <c r="A2458" s="170">
        <v>45624</v>
      </c>
      <c r="B2458" s="116">
        <v>6800</v>
      </c>
      <c r="C2458" s="116">
        <v>6754.8</v>
      </c>
      <c r="D2458" s="116">
        <v>6710</v>
      </c>
      <c r="E2458" s="116">
        <v>6759</v>
      </c>
      <c r="F2458" s="116">
        <v>6754.8</v>
      </c>
      <c r="G2458">
        <v>3990</v>
      </c>
      <c r="H2458" s="116"/>
      <c r="I2458" s="116"/>
      <c r="L2458" s="170">
        <v>45624</v>
      </c>
      <c r="M2458" s="116">
        <v>6757</v>
      </c>
      <c r="N2458" s="116">
        <v>6803.55</v>
      </c>
      <c r="O2458" s="116">
        <v>6706</v>
      </c>
      <c r="P2458" s="116">
        <v>6748</v>
      </c>
      <c r="Q2458" s="116">
        <v>6757</v>
      </c>
      <c r="R2458">
        <v>81096</v>
      </c>
    </row>
    <row r="2459" spans="1:18" x14ac:dyDescent="0.25">
      <c r="A2459" s="170">
        <v>45625</v>
      </c>
      <c r="B2459" s="116">
        <v>6775</v>
      </c>
      <c r="C2459" s="116">
        <v>6670.5</v>
      </c>
      <c r="D2459" s="116">
        <v>6653</v>
      </c>
      <c r="E2459" s="116">
        <v>6775</v>
      </c>
      <c r="F2459" s="116">
        <v>6670.5</v>
      </c>
      <c r="G2459">
        <v>3454</v>
      </c>
      <c r="H2459" s="116"/>
      <c r="I2459" s="116"/>
      <c r="L2459" s="170">
        <v>45625</v>
      </c>
      <c r="M2459" s="116">
        <v>6670.75</v>
      </c>
      <c r="N2459" s="116">
        <v>6779.3</v>
      </c>
      <c r="O2459" s="116">
        <v>6654.3</v>
      </c>
      <c r="P2459" s="116">
        <v>6769.9</v>
      </c>
      <c r="Q2459" s="116">
        <v>6670.75</v>
      </c>
      <c r="R2459">
        <v>144216</v>
      </c>
    </row>
    <row r="2460" spans="1:18" x14ac:dyDescent="0.25">
      <c r="A2460" s="170">
        <v>45628</v>
      </c>
      <c r="B2460" s="116">
        <v>6771</v>
      </c>
      <c r="C2460" s="116">
        <v>6715</v>
      </c>
      <c r="D2460" s="116">
        <v>6613</v>
      </c>
      <c r="E2460" s="116">
        <v>6700</v>
      </c>
      <c r="F2460" s="116">
        <v>6715</v>
      </c>
      <c r="G2460">
        <v>2977</v>
      </c>
      <c r="H2460" s="116"/>
      <c r="I2460" s="116"/>
      <c r="L2460" s="170">
        <v>45628</v>
      </c>
      <c r="M2460" s="116">
        <v>6712.95</v>
      </c>
      <c r="N2460" s="116">
        <v>6775</v>
      </c>
      <c r="O2460" s="116">
        <v>6613</v>
      </c>
      <c r="P2460" s="116">
        <v>6670.75</v>
      </c>
      <c r="Q2460" s="116">
        <v>6712.95</v>
      </c>
      <c r="R2460">
        <v>101706</v>
      </c>
    </row>
    <row r="2461" spans="1:18" x14ac:dyDescent="0.25">
      <c r="A2461" s="170">
        <v>45629</v>
      </c>
      <c r="B2461" s="116">
        <v>7175</v>
      </c>
      <c r="C2461" s="116">
        <v>7099.85</v>
      </c>
      <c r="D2461" s="116">
        <v>6715.45</v>
      </c>
      <c r="E2461" s="116">
        <v>6715.45</v>
      </c>
      <c r="F2461" s="116">
        <v>7099.85</v>
      </c>
      <c r="G2461">
        <v>59789</v>
      </c>
      <c r="H2461" s="116"/>
      <c r="I2461" s="116"/>
      <c r="L2461" s="170">
        <v>45629</v>
      </c>
      <c r="M2461" s="116">
        <v>7098.55</v>
      </c>
      <c r="N2461" s="116">
        <v>7178</v>
      </c>
      <c r="O2461" s="116">
        <v>6740</v>
      </c>
      <c r="P2461" s="116">
        <v>6750.05</v>
      </c>
      <c r="Q2461" s="116">
        <v>7098.55</v>
      </c>
      <c r="R2461">
        <v>1080035</v>
      </c>
    </row>
    <row r="2462" spans="1:18" x14ac:dyDescent="0.25">
      <c r="A2462" s="170">
        <v>45630</v>
      </c>
      <c r="B2462" s="116">
        <v>7198.05</v>
      </c>
      <c r="C2462" s="116">
        <v>7140.2</v>
      </c>
      <c r="D2462" s="116">
        <v>7060</v>
      </c>
      <c r="E2462" s="116">
        <v>7100.2</v>
      </c>
      <c r="F2462" s="116">
        <v>7140.2</v>
      </c>
      <c r="G2462">
        <v>14643</v>
      </c>
      <c r="H2462" s="116"/>
      <c r="I2462" s="116"/>
      <c r="L2462" s="170">
        <v>45630</v>
      </c>
      <c r="M2462" s="116">
        <v>7138.95</v>
      </c>
      <c r="N2462" s="116">
        <v>7199</v>
      </c>
      <c r="O2462" s="116">
        <v>7060.4</v>
      </c>
      <c r="P2462" s="116">
        <v>7124.25</v>
      </c>
      <c r="Q2462" s="116">
        <v>7138.95</v>
      </c>
      <c r="R2462">
        <v>248591</v>
      </c>
    </row>
    <row r="2463" spans="1:18" x14ac:dyDescent="0.25">
      <c r="A2463" s="170">
        <v>45631</v>
      </c>
      <c r="B2463" s="116">
        <v>7474</v>
      </c>
      <c r="C2463" s="116">
        <v>7364.25</v>
      </c>
      <c r="D2463" s="116">
        <v>7167.65</v>
      </c>
      <c r="E2463" s="116">
        <v>7171</v>
      </c>
      <c r="F2463" s="116">
        <v>7364.25</v>
      </c>
      <c r="G2463">
        <v>43174</v>
      </c>
      <c r="H2463" s="116"/>
      <c r="I2463" s="116"/>
      <c r="L2463" s="170">
        <v>45631</v>
      </c>
      <c r="M2463" s="116">
        <v>7367.75</v>
      </c>
      <c r="N2463" s="116">
        <v>7474</v>
      </c>
      <c r="O2463" s="116">
        <v>7151</v>
      </c>
      <c r="P2463" s="116">
        <v>7200</v>
      </c>
      <c r="Q2463" s="116">
        <v>7367.75</v>
      </c>
      <c r="R2463">
        <v>548868</v>
      </c>
    </row>
    <row r="2464" spans="1:18" x14ac:dyDescent="0.25">
      <c r="A2464" s="170">
        <v>45632</v>
      </c>
      <c r="B2464" s="116">
        <v>7429.55</v>
      </c>
      <c r="C2464" s="116">
        <v>7395.15</v>
      </c>
      <c r="D2464" s="116">
        <v>7325</v>
      </c>
      <c r="E2464" s="116">
        <v>7370.6</v>
      </c>
      <c r="F2464" s="116">
        <v>7395.15</v>
      </c>
      <c r="G2464">
        <v>9201</v>
      </c>
      <c r="H2464" s="116"/>
      <c r="I2464" s="116"/>
      <c r="L2464" s="170">
        <v>45632</v>
      </c>
      <c r="M2464" s="116">
        <v>7396.45</v>
      </c>
      <c r="N2464" s="116">
        <v>7429</v>
      </c>
      <c r="O2464" s="116">
        <v>7324.45</v>
      </c>
      <c r="P2464" s="116">
        <v>7385.55</v>
      </c>
      <c r="Q2464" s="116">
        <v>7396.45</v>
      </c>
      <c r="R2464">
        <v>169740</v>
      </c>
    </row>
    <row r="2465" spans="1:18" x14ac:dyDescent="0.25">
      <c r="A2465" s="170">
        <v>45635</v>
      </c>
      <c r="B2465" s="116">
        <v>7462.25</v>
      </c>
      <c r="C2465" s="116">
        <v>7360.6</v>
      </c>
      <c r="D2465" s="116">
        <v>7322.6</v>
      </c>
      <c r="E2465" s="116">
        <v>7400</v>
      </c>
      <c r="F2465" s="116">
        <v>7360.6</v>
      </c>
      <c r="G2465">
        <v>5604</v>
      </c>
      <c r="H2465" s="116"/>
      <c r="I2465" s="116"/>
      <c r="L2465" s="170">
        <v>45635</v>
      </c>
      <c r="M2465" s="116">
        <v>7356</v>
      </c>
      <c r="N2465" s="116">
        <v>7460</v>
      </c>
      <c r="O2465" s="116">
        <v>7320</v>
      </c>
      <c r="P2465" s="116">
        <v>7400</v>
      </c>
      <c r="Q2465" s="116">
        <v>7356</v>
      </c>
      <c r="R2465">
        <v>130211</v>
      </c>
    </row>
    <row r="2466" spans="1:18" x14ac:dyDescent="0.25">
      <c r="A2466" s="170">
        <v>45636</v>
      </c>
      <c r="B2466" s="116">
        <v>7415.35</v>
      </c>
      <c r="C2466" s="116">
        <v>7403</v>
      </c>
      <c r="D2466" s="116">
        <v>7330.6</v>
      </c>
      <c r="E2466" s="116">
        <v>7359.95</v>
      </c>
      <c r="F2466" s="116">
        <v>7403</v>
      </c>
      <c r="G2466">
        <v>10894</v>
      </c>
      <c r="H2466" s="116"/>
      <c r="I2466" s="116"/>
      <c r="L2466" s="170">
        <v>45636</v>
      </c>
      <c r="M2466" s="116">
        <v>7403.15</v>
      </c>
      <c r="N2466" s="116">
        <v>7417.15</v>
      </c>
      <c r="O2466" s="116">
        <v>7325</v>
      </c>
      <c r="P2466" s="116">
        <v>7325</v>
      </c>
      <c r="Q2466" s="116">
        <v>7403.15</v>
      </c>
      <c r="R2466">
        <v>164865</v>
      </c>
    </row>
    <row r="2467" spans="1:18" x14ac:dyDescent="0.25">
      <c r="A2467" s="170">
        <v>45637</v>
      </c>
      <c r="B2467" s="116">
        <v>7413</v>
      </c>
      <c r="C2467" s="116">
        <v>7345.95</v>
      </c>
      <c r="D2467" s="116">
        <v>7328</v>
      </c>
      <c r="E2467" s="116">
        <v>7400.7</v>
      </c>
      <c r="F2467" s="116">
        <v>7345.95</v>
      </c>
      <c r="G2467">
        <v>5376</v>
      </c>
      <c r="H2467" s="116"/>
      <c r="I2467" s="116"/>
      <c r="L2467" s="170">
        <v>45637</v>
      </c>
      <c r="M2467" s="116">
        <v>7350.25</v>
      </c>
      <c r="N2467" s="116">
        <v>7415</v>
      </c>
      <c r="O2467" s="116">
        <v>7326.65</v>
      </c>
      <c r="P2467" s="116">
        <v>7410</v>
      </c>
      <c r="Q2467" s="116">
        <v>7350.25</v>
      </c>
      <c r="R2467">
        <v>117885</v>
      </c>
    </row>
    <row r="2468" spans="1:18" x14ac:dyDescent="0.25">
      <c r="A2468" s="170">
        <v>45638</v>
      </c>
      <c r="B2468" s="116">
        <v>7448.75</v>
      </c>
      <c r="C2468" s="116">
        <v>7324.8</v>
      </c>
      <c r="D2468" s="116">
        <v>7286.15</v>
      </c>
      <c r="E2468" s="116">
        <v>7370</v>
      </c>
      <c r="F2468" s="116">
        <v>7324.8</v>
      </c>
      <c r="G2468">
        <v>7265</v>
      </c>
      <c r="H2468" s="116"/>
      <c r="I2468" s="116"/>
      <c r="L2468" s="170">
        <v>45638</v>
      </c>
      <c r="M2468" s="116">
        <v>7319.7</v>
      </c>
      <c r="N2468" s="116">
        <v>7448.95</v>
      </c>
      <c r="O2468" s="116">
        <v>7286.5</v>
      </c>
      <c r="P2468" s="116">
        <v>7360.05</v>
      </c>
      <c r="Q2468" s="116">
        <v>7319.7</v>
      </c>
      <c r="R2468">
        <v>236072</v>
      </c>
    </row>
    <row r="2469" spans="1:18" x14ac:dyDescent="0.25">
      <c r="A2469" s="170">
        <v>45639</v>
      </c>
      <c r="B2469" s="116">
        <v>7412</v>
      </c>
      <c r="C2469" s="116">
        <v>7360.8</v>
      </c>
      <c r="D2469" s="116">
        <v>7215.2</v>
      </c>
      <c r="E2469" s="116">
        <v>7280.05</v>
      </c>
      <c r="F2469" s="116">
        <v>7360.8</v>
      </c>
      <c r="G2469">
        <v>17815</v>
      </c>
      <c r="H2469" s="116"/>
      <c r="I2469" s="116"/>
      <c r="L2469" s="170">
        <v>45639</v>
      </c>
      <c r="M2469" s="116">
        <v>7364.4</v>
      </c>
      <c r="N2469" s="116">
        <v>7414</v>
      </c>
      <c r="O2469" s="116">
        <v>7211.95</v>
      </c>
      <c r="P2469" s="116">
        <v>7314</v>
      </c>
      <c r="Q2469" s="116">
        <v>7364.4</v>
      </c>
      <c r="R2469">
        <v>170937</v>
      </c>
    </row>
    <row r="2470" spans="1:18" x14ac:dyDescent="0.25">
      <c r="A2470" s="170">
        <v>45642</v>
      </c>
      <c r="B2470" s="116">
        <v>7416.15</v>
      </c>
      <c r="C2470" s="116">
        <v>7356</v>
      </c>
      <c r="D2470" s="116">
        <v>7318.8</v>
      </c>
      <c r="E2470" s="116">
        <v>7399.2</v>
      </c>
      <c r="F2470" s="116">
        <v>7356</v>
      </c>
      <c r="G2470">
        <v>3622</v>
      </c>
      <c r="H2470" s="116"/>
      <c r="I2470" s="116"/>
      <c r="L2470" s="170">
        <v>45642</v>
      </c>
      <c r="M2470" s="116">
        <v>7357</v>
      </c>
      <c r="N2470" s="116">
        <v>7424.35</v>
      </c>
      <c r="O2470" s="116">
        <v>7317.35</v>
      </c>
      <c r="P2470" s="116">
        <v>7372.5</v>
      </c>
      <c r="Q2470" s="116">
        <v>7357</v>
      </c>
      <c r="R2470">
        <v>76612</v>
      </c>
    </row>
    <row r="2471" spans="1:18" x14ac:dyDescent="0.25">
      <c r="A2471" s="170">
        <v>45643</v>
      </c>
      <c r="B2471" s="116">
        <v>7400</v>
      </c>
      <c r="C2471" s="116">
        <v>7264</v>
      </c>
      <c r="D2471" s="116">
        <v>7235.1</v>
      </c>
      <c r="E2471" s="116">
        <v>7305.2</v>
      </c>
      <c r="F2471" s="116">
        <v>7264</v>
      </c>
      <c r="G2471">
        <v>3402</v>
      </c>
      <c r="H2471" s="116"/>
      <c r="I2471" s="116"/>
      <c r="L2471" s="170">
        <v>45643</v>
      </c>
      <c r="M2471" s="116">
        <v>7273.65</v>
      </c>
      <c r="N2471" s="116">
        <v>7400</v>
      </c>
      <c r="O2471" s="116">
        <v>7232.6</v>
      </c>
      <c r="P2471" s="116">
        <v>7352</v>
      </c>
      <c r="Q2471" s="116">
        <v>7273.65</v>
      </c>
      <c r="R2471">
        <v>135615</v>
      </c>
    </row>
    <row r="2472" spans="1:18" x14ac:dyDescent="0.25">
      <c r="A2472" s="170">
        <v>45644</v>
      </c>
      <c r="B2472" s="116">
        <v>7360</v>
      </c>
      <c r="C2472" s="116">
        <v>7232.15</v>
      </c>
      <c r="D2472" s="116">
        <v>7218</v>
      </c>
      <c r="E2472" s="116">
        <v>7273.65</v>
      </c>
      <c r="F2472" s="116">
        <v>7232.15</v>
      </c>
      <c r="G2472">
        <v>4015</v>
      </c>
      <c r="H2472" s="116"/>
      <c r="I2472" s="116"/>
      <c r="L2472" s="170">
        <v>45644</v>
      </c>
      <c r="M2472" s="116">
        <v>7230.55</v>
      </c>
      <c r="N2472" s="116">
        <v>7363.5</v>
      </c>
      <c r="O2472" s="116">
        <v>7214.55</v>
      </c>
      <c r="P2472" s="116">
        <v>7265</v>
      </c>
      <c r="Q2472" s="116">
        <v>7230.55</v>
      </c>
      <c r="R2472">
        <v>159943</v>
      </c>
    </row>
    <row r="2473" spans="1:18" x14ac:dyDescent="0.25">
      <c r="A2473" s="170">
        <v>45645</v>
      </c>
      <c r="B2473" s="116">
        <v>7308</v>
      </c>
      <c r="C2473" s="116">
        <v>7230.15</v>
      </c>
      <c r="D2473" s="116">
        <v>7090.7</v>
      </c>
      <c r="E2473" s="116">
        <v>7100.3</v>
      </c>
      <c r="F2473" s="116">
        <v>7230.15</v>
      </c>
      <c r="G2473">
        <v>35345</v>
      </c>
      <c r="H2473" s="116"/>
      <c r="I2473" s="116"/>
      <c r="L2473" s="170">
        <v>45645</v>
      </c>
      <c r="M2473" s="116">
        <v>7235.3</v>
      </c>
      <c r="N2473" s="116">
        <v>7308.4</v>
      </c>
      <c r="O2473" s="116">
        <v>7095.05</v>
      </c>
      <c r="P2473" s="116">
        <v>7150</v>
      </c>
      <c r="Q2473" s="116">
        <v>7235.3</v>
      </c>
      <c r="R2473">
        <v>134846</v>
      </c>
    </row>
    <row r="2474" spans="1:18" x14ac:dyDescent="0.25">
      <c r="A2474" s="170">
        <v>45646</v>
      </c>
      <c r="B2474" s="116">
        <v>7322.85</v>
      </c>
      <c r="C2474" s="116">
        <v>6922.95</v>
      </c>
      <c r="D2474" s="116">
        <v>6901</v>
      </c>
      <c r="E2474" s="116">
        <v>7300</v>
      </c>
      <c r="F2474" s="116">
        <v>6922.95</v>
      </c>
      <c r="G2474">
        <v>10977</v>
      </c>
      <c r="H2474" s="116"/>
      <c r="I2474" s="116"/>
      <c r="L2474" s="170">
        <v>45646</v>
      </c>
      <c r="M2474" s="116">
        <v>6921.6</v>
      </c>
      <c r="N2474" s="116">
        <v>7325</v>
      </c>
      <c r="O2474" s="116">
        <v>6900</v>
      </c>
      <c r="P2474" s="116">
        <v>7301.05</v>
      </c>
      <c r="Q2474" s="116">
        <v>6921.6</v>
      </c>
      <c r="R2474">
        <v>258016</v>
      </c>
    </row>
    <row r="2475" spans="1:18" x14ac:dyDescent="0.25">
      <c r="A2475" s="170">
        <v>45649</v>
      </c>
      <c r="B2475" s="116">
        <v>7020.95</v>
      </c>
      <c r="C2475" s="116">
        <v>6899.45</v>
      </c>
      <c r="D2475" s="116">
        <v>6826.7</v>
      </c>
      <c r="E2475" s="116">
        <v>7020.95</v>
      </c>
      <c r="F2475" s="116">
        <v>6899.45</v>
      </c>
      <c r="G2475">
        <v>9152</v>
      </c>
      <c r="H2475" s="116"/>
      <c r="I2475" s="116"/>
      <c r="L2475" s="170">
        <v>45649</v>
      </c>
      <c r="M2475" s="116">
        <v>6900.75</v>
      </c>
      <c r="N2475" s="116">
        <v>7037.7</v>
      </c>
      <c r="O2475" s="116">
        <v>6825</v>
      </c>
      <c r="P2475" s="116">
        <v>7037.7</v>
      </c>
      <c r="Q2475" s="116">
        <v>6900.75</v>
      </c>
      <c r="R2475">
        <v>113431</v>
      </c>
    </row>
    <row r="2476" spans="1:18" x14ac:dyDescent="0.25">
      <c r="A2476" s="170">
        <v>45650</v>
      </c>
      <c r="B2476" s="116">
        <v>7012.45</v>
      </c>
      <c r="C2476" s="116">
        <v>6858.15</v>
      </c>
      <c r="D2476" s="116">
        <v>6842.45</v>
      </c>
      <c r="E2476" s="116">
        <v>6905</v>
      </c>
      <c r="F2476" s="116">
        <v>6858.15</v>
      </c>
      <c r="G2476">
        <v>3370</v>
      </c>
      <c r="H2476" s="116"/>
      <c r="I2476" s="116"/>
      <c r="L2476" s="170">
        <v>45650</v>
      </c>
      <c r="M2476" s="116">
        <v>6857.75</v>
      </c>
      <c r="N2476" s="116">
        <v>7015</v>
      </c>
      <c r="O2476" s="116">
        <v>6828.05</v>
      </c>
      <c r="P2476" s="116">
        <v>6930</v>
      </c>
      <c r="Q2476" s="116">
        <v>6857.75</v>
      </c>
      <c r="R2476">
        <v>150784</v>
      </c>
    </row>
    <row r="2477" spans="1:18" x14ac:dyDescent="0.25">
      <c r="A2477" s="170">
        <v>45652</v>
      </c>
      <c r="B2477" s="116">
        <v>6916.5</v>
      </c>
      <c r="C2477" s="116">
        <v>6892.25</v>
      </c>
      <c r="D2477" s="116">
        <v>6766</v>
      </c>
      <c r="E2477" s="116">
        <v>6862</v>
      </c>
      <c r="F2477" s="116">
        <v>6892.25</v>
      </c>
      <c r="G2477">
        <v>9439</v>
      </c>
      <c r="H2477" s="116"/>
      <c r="I2477" s="116"/>
      <c r="L2477" s="170">
        <v>45652</v>
      </c>
      <c r="M2477" s="116">
        <v>6896.2</v>
      </c>
      <c r="N2477" s="116">
        <v>6918.5</v>
      </c>
      <c r="O2477" s="116">
        <v>6764.4</v>
      </c>
      <c r="P2477" s="116">
        <v>6865</v>
      </c>
      <c r="Q2477" s="116">
        <v>6896.2</v>
      </c>
      <c r="R2477">
        <v>122161</v>
      </c>
    </row>
    <row r="2478" spans="1:18" x14ac:dyDescent="0.25">
      <c r="A2478" s="170">
        <v>45653</v>
      </c>
      <c r="B2478" s="116">
        <v>6979.95</v>
      </c>
      <c r="C2478" s="116">
        <v>6886.45</v>
      </c>
      <c r="D2478" s="116">
        <v>6832.9</v>
      </c>
      <c r="E2478" s="116">
        <v>6892.4</v>
      </c>
      <c r="F2478" s="116">
        <v>6886.45</v>
      </c>
      <c r="G2478">
        <v>2974</v>
      </c>
      <c r="H2478" s="116"/>
      <c r="I2478" s="116"/>
      <c r="L2478" s="170">
        <v>45653</v>
      </c>
      <c r="M2478" s="116">
        <v>6886.35</v>
      </c>
      <c r="N2478" s="116">
        <v>6974.8</v>
      </c>
      <c r="O2478" s="116">
        <v>6831</v>
      </c>
      <c r="P2478" s="116">
        <v>6920</v>
      </c>
      <c r="Q2478" s="116">
        <v>6886.35</v>
      </c>
      <c r="R2478">
        <v>89937</v>
      </c>
    </row>
    <row r="2479" spans="1:18" x14ac:dyDescent="0.25">
      <c r="A2479" s="170">
        <v>45656</v>
      </c>
      <c r="B2479" s="116">
        <v>6966</v>
      </c>
      <c r="C2479" s="116">
        <v>6920.15</v>
      </c>
      <c r="D2479" s="116">
        <v>6816.05</v>
      </c>
      <c r="E2479" s="116">
        <v>6850.45</v>
      </c>
      <c r="F2479" s="116">
        <v>6920.15</v>
      </c>
      <c r="G2479">
        <v>9004</v>
      </c>
      <c r="H2479" s="116"/>
      <c r="I2479" s="116"/>
      <c r="L2479" s="170">
        <v>45656</v>
      </c>
      <c r="M2479" s="116">
        <v>6925.55</v>
      </c>
      <c r="N2479" s="116">
        <v>6965.7</v>
      </c>
      <c r="O2479" s="116">
        <v>6814.05</v>
      </c>
      <c r="P2479" s="116">
        <v>6881</v>
      </c>
      <c r="Q2479" s="116">
        <v>6925.55</v>
      </c>
      <c r="R2479">
        <v>112066</v>
      </c>
    </row>
    <row r="2480" spans="1:18" x14ac:dyDescent="0.25">
      <c r="A2480" s="170">
        <v>45657</v>
      </c>
      <c r="B2480" s="116">
        <v>6952.85</v>
      </c>
      <c r="C2480" s="116">
        <v>6794</v>
      </c>
      <c r="D2480" s="116">
        <v>6725.7</v>
      </c>
      <c r="E2480" s="116">
        <v>6930.6</v>
      </c>
      <c r="F2480" s="116">
        <v>6794</v>
      </c>
      <c r="G2480">
        <v>6125</v>
      </c>
      <c r="H2480" s="116"/>
      <c r="I2480" s="116"/>
      <c r="L2480" s="170">
        <v>45657</v>
      </c>
      <c r="M2480" s="116">
        <v>6796.55</v>
      </c>
      <c r="N2480" s="116">
        <v>6925.55</v>
      </c>
      <c r="O2480" s="116">
        <v>6724.1</v>
      </c>
      <c r="P2480" s="116">
        <v>6906.3</v>
      </c>
      <c r="Q2480" s="116">
        <v>6796.55</v>
      </c>
      <c r="R2480">
        <v>104133</v>
      </c>
    </row>
    <row r="2481" spans="1:18" x14ac:dyDescent="0.25">
      <c r="A2481" s="170">
        <v>45658</v>
      </c>
      <c r="B2481" s="116">
        <v>6899.95</v>
      </c>
      <c r="C2481" s="116">
        <v>6746.7</v>
      </c>
      <c r="D2481" s="116">
        <v>6716.65</v>
      </c>
      <c r="E2481" s="116">
        <v>6899.95</v>
      </c>
      <c r="F2481" s="116">
        <v>6746.7</v>
      </c>
      <c r="G2481">
        <v>2947</v>
      </c>
      <c r="H2481" s="116"/>
      <c r="I2481" s="116"/>
      <c r="L2481" s="170">
        <v>45658</v>
      </c>
      <c r="M2481" s="116">
        <v>6743.75</v>
      </c>
      <c r="N2481" s="116">
        <v>6840</v>
      </c>
      <c r="O2481" s="116">
        <v>6711.6</v>
      </c>
      <c r="P2481" s="116">
        <v>6810.5</v>
      </c>
      <c r="Q2481" s="116">
        <v>6743.75</v>
      </c>
      <c r="R2481">
        <v>91883</v>
      </c>
    </row>
    <row r="2482" spans="1:18" x14ac:dyDescent="0.25">
      <c r="A2482" s="170">
        <v>45659</v>
      </c>
      <c r="B2482" s="116">
        <v>6770.4</v>
      </c>
      <c r="C2482" s="116">
        <v>6702.5</v>
      </c>
      <c r="D2482" s="116">
        <v>6511</v>
      </c>
      <c r="E2482" s="116">
        <v>6715.05</v>
      </c>
      <c r="F2482" s="116">
        <v>6702.5</v>
      </c>
      <c r="G2482">
        <v>28408</v>
      </c>
      <c r="H2482" s="116"/>
      <c r="I2482" s="116"/>
      <c r="L2482" s="170">
        <v>45659</v>
      </c>
      <c r="M2482" s="116">
        <v>6705.25</v>
      </c>
      <c r="N2482" s="116">
        <v>6779.95</v>
      </c>
      <c r="O2482" s="116">
        <v>6508.2</v>
      </c>
      <c r="P2482" s="116">
        <v>6743.75</v>
      </c>
      <c r="Q2482" s="116">
        <v>6705.25</v>
      </c>
      <c r="R2482">
        <v>381285</v>
      </c>
    </row>
    <row r="2483" spans="1:18" x14ac:dyDescent="0.25">
      <c r="A2483" s="170">
        <v>45660</v>
      </c>
      <c r="B2483" s="116">
        <v>6755</v>
      </c>
      <c r="C2483" s="116">
        <v>6647.4</v>
      </c>
      <c r="D2483" s="116">
        <v>6612</v>
      </c>
      <c r="E2483" s="116">
        <v>6703.25</v>
      </c>
      <c r="F2483" s="116">
        <v>6647.4</v>
      </c>
      <c r="G2483">
        <v>9390</v>
      </c>
      <c r="H2483" s="116"/>
      <c r="I2483" s="116"/>
      <c r="L2483" s="170">
        <v>45660</v>
      </c>
      <c r="M2483" s="116">
        <v>6647.55</v>
      </c>
      <c r="N2483" s="116">
        <v>6759.8</v>
      </c>
      <c r="O2483" s="116">
        <v>6607</v>
      </c>
      <c r="P2483" s="116">
        <v>6710</v>
      </c>
      <c r="Q2483" s="116">
        <v>6647.55</v>
      </c>
      <c r="R2483">
        <v>227250</v>
      </c>
    </row>
    <row r="2484" spans="1:18" x14ac:dyDescent="0.25">
      <c r="A2484" s="170">
        <v>45663</v>
      </c>
      <c r="B2484" s="116">
        <v>6710.1</v>
      </c>
      <c r="C2484" s="116">
        <v>6490.8</v>
      </c>
      <c r="D2484" s="116">
        <v>6475.3</v>
      </c>
      <c r="E2484" s="116">
        <v>6698</v>
      </c>
      <c r="F2484" s="116">
        <v>6490.8</v>
      </c>
      <c r="G2484">
        <v>9941</v>
      </c>
      <c r="H2484" s="116"/>
      <c r="I2484" s="116"/>
      <c r="L2484" s="170">
        <v>45663</v>
      </c>
      <c r="M2484" s="116">
        <v>6486.45</v>
      </c>
      <c r="N2484" s="116">
        <v>6710.9</v>
      </c>
      <c r="O2484" s="116">
        <v>6470.15</v>
      </c>
      <c r="P2484" s="116">
        <v>6690</v>
      </c>
      <c r="Q2484" s="116">
        <v>6486.45</v>
      </c>
      <c r="R2484">
        <v>175457</v>
      </c>
    </row>
    <row r="2485" spans="1:18" x14ac:dyDescent="0.25">
      <c r="A2485" s="170">
        <v>45664</v>
      </c>
      <c r="B2485" s="116">
        <v>6574.65</v>
      </c>
      <c r="C2485" s="116">
        <v>6542.25</v>
      </c>
      <c r="D2485" s="116">
        <v>6428</v>
      </c>
      <c r="E2485" s="116">
        <v>6510.35</v>
      </c>
      <c r="F2485" s="116">
        <v>6542.25</v>
      </c>
      <c r="G2485">
        <v>14844</v>
      </c>
      <c r="H2485" s="116"/>
      <c r="I2485" s="116"/>
      <c r="L2485" s="170">
        <v>45664</v>
      </c>
      <c r="M2485" s="116">
        <v>6542.35</v>
      </c>
      <c r="N2485" s="116">
        <v>6577.75</v>
      </c>
      <c r="O2485" s="116">
        <v>6422.5</v>
      </c>
      <c r="P2485" s="116">
        <v>6540</v>
      </c>
      <c r="Q2485" s="116">
        <v>6542.35</v>
      </c>
      <c r="R2485">
        <v>208512</v>
      </c>
    </row>
    <row r="2486" spans="1:18" x14ac:dyDescent="0.25">
      <c r="A2486" s="170">
        <v>45665</v>
      </c>
      <c r="B2486" s="116">
        <v>6595.4</v>
      </c>
      <c r="C2486" s="116">
        <v>6472.75</v>
      </c>
      <c r="D2486" s="116">
        <v>6339.75</v>
      </c>
      <c r="E2486" s="116">
        <v>6570</v>
      </c>
      <c r="F2486" s="116">
        <v>6472.75</v>
      </c>
      <c r="G2486">
        <v>17328</v>
      </c>
      <c r="H2486" s="116"/>
      <c r="I2486" s="116"/>
      <c r="L2486" s="170">
        <v>45665</v>
      </c>
      <c r="M2486" s="116">
        <v>6473.5</v>
      </c>
      <c r="N2486" s="116">
        <v>6591.85</v>
      </c>
      <c r="O2486" s="116">
        <v>6338</v>
      </c>
      <c r="P2486" s="116">
        <v>6575</v>
      </c>
      <c r="Q2486" s="116">
        <v>6473.5</v>
      </c>
      <c r="R2486">
        <v>380865</v>
      </c>
    </row>
    <row r="2487" spans="1:18" x14ac:dyDescent="0.25">
      <c r="A2487" s="170">
        <v>45666</v>
      </c>
      <c r="B2487" s="116">
        <v>6633.05</v>
      </c>
      <c r="C2487" s="116">
        <v>6443.7</v>
      </c>
      <c r="D2487" s="116">
        <v>6425.95</v>
      </c>
      <c r="E2487" s="116">
        <v>6541.35</v>
      </c>
      <c r="F2487" s="116">
        <v>6443.7</v>
      </c>
      <c r="G2487">
        <v>10065</v>
      </c>
      <c r="H2487" s="116"/>
      <c r="I2487" s="116"/>
      <c r="L2487" s="170">
        <v>45666</v>
      </c>
      <c r="M2487" s="116">
        <v>6439.95</v>
      </c>
      <c r="N2487" s="116">
        <v>6635</v>
      </c>
      <c r="O2487" s="116">
        <v>6425</v>
      </c>
      <c r="P2487" s="116">
        <v>6525</v>
      </c>
      <c r="Q2487" s="116">
        <v>6439.95</v>
      </c>
      <c r="R2487">
        <v>346979</v>
      </c>
    </row>
    <row r="2488" spans="1:18" x14ac:dyDescent="0.25">
      <c r="A2488" s="170">
        <v>45667</v>
      </c>
      <c r="B2488" s="116">
        <v>6200</v>
      </c>
      <c r="C2488" s="116">
        <v>6003.15</v>
      </c>
      <c r="D2488" s="116">
        <v>5924</v>
      </c>
      <c r="E2488" s="116">
        <v>5999.95</v>
      </c>
      <c r="F2488" s="116">
        <v>6003.15</v>
      </c>
      <c r="G2488">
        <v>96030</v>
      </c>
      <c r="H2488" s="116"/>
      <c r="I2488" s="116"/>
      <c r="L2488" s="170">
        <v>45667</v>
      </c>
      <c r="M2488" s="116">
        <v>6000.6</v>
      </c>
      <c r="N2488" s="116">
        <v>6200</v>
      </c>
      <c r="O2488" s="116">
        <v>5921</v>
      </c>
      <c r="P2488" s="116">
        <v>5950</v>
      </c>
      <c r="Q2488" s="116">
        <v>6000.6</v>
      </c>
      <c r="R2488">
        <v>1431569</v>
      </c>
    </row>
    <row r="2489" spans="1:18" x14ac:dyDescent="0.25">
      <c r="A2489" s="170">
        <v>45670</v>
      </c>
      <c r="B2489" s="116">
        <v>6086</v>
      </c>
      <c r="C2489" s="116">
        <v>5942.35</v>
      </c>
      <c r="D2489" s="116">
        <v>5925.5</v>
      </c>
      <c r="E2489" s="116">
        <v>5993.8</v>
      </c>
      <c r="F2489" s="116">
        <v>5942.35</v>
      </c>
      <c r="G2489">
        <v>40280</v>
      </c>
      <c r="H2489" s="116"/>
      <c r="I2489" s="116"/>
      <c r="L2489" s="170">
        <v>45670</v>
      </c>
      <c r="M2489" s="116">
        <v>5941.6</v>
      </c>
      <c r="N2489" s="116">
        <v>6088.95</v>
      </c>
      <c r="O2489" s="116">
        <v>5920</v>
      </c>
      <c r="P2489" s="116">
        <v>5975</v>
      </c>
      <c r="Q2489" s="116">
        <v>5941.6</v>
      </c>
      <c r="R2489">
        <v>368080</v>
      </c>
    </row>
    <row r="2490" spans="1:18" x14ac:dyDescent="0.25">
      <c r="A2490" s="170">
        <v>45671</v>
      </c>
      <c r="B2490" s="116">
        <v>6123.4</v>
      </c>
      <c r="C2490" s="116">
        <v>6086.3</v>
      </c>
      <c r="D2490" s="116">
        <v>5942.4</v>
      </c>
      <c r="E2490" s="116">
        <v>5942.4</v>
      </c>
      <c r="F2490" s="116">
        <v>6086.3</v>
      </c>
      <c r="G2490">
        <v>25398</v>
      </c>
      <c r="H2490" s="116"/>
      <c r="I2490" s="116"/>
      <c r="L2490" s="170">
        <v>45671</v>
      </c>
      <c r="M2490" s="116">
        <v>6084.8</v>
      </c>
      <c r="N2490" s="116">
        <v>6125</v>
      </c>
      <c r="O2490" s="116">
        <v>5959.9</v>
      </c>
      <c r="P2490" s="116">
        <v>5959.9</v>
      </c>
      <c r="Q2490" s="116">
        <v>6084.8</v>
      </c>
      <c r="R2490">
        <v>230728</v>
      </c>
    </row>
    <row r="2491" spans="1:18" x14ac:dyDescent="0.25">
      <c r="A2491" s="170">
        <v>45672</v>
      </c>
      <c r="B2491" s="116">
        <v>6138.85</v>
      </c>
      <c r="C2491" s="116">
        <v>6114.6</v>
      </c>
      <c r="D2491" s="116">
        <v>6025.05</v>
      </c>
      <c r="E2491" s="116">
        <v>6100</v>
      </c>
      <c r="F2491" s="116">
        <v>6114.6</v>
      </c>
      <c r="G2491">
        <v>14279</v>
      </c>
      <c r="H2491" s="116"/>
      <c r="I2491" s="116"/>
      <c r="L2491" s="170">
        <v>45672</v>
      </c>
      <c r="M2491" s="116">
        <v>6115.75</v>
      </c>
      <c r="N2491" s="116">
        <v>6135.05</v>
      </c>
      <c r="O2491" s="116">
        <v>6026.6</v>
      </c>
      <c r="P2491" s="116">
        <v>6093.9</v>
      </c>
      <c r="Q2491" s="116">
        <v>6115.75</v>
      </c>
      <c r="R2491">
        <v>119683</v>
      </c>
    </row>
    <row r="2492" spans="1:18" x14ac:dyDescent="0.25">
      <c r="A2492" s="170">
        <v>45673</v>
      </c>
      <c r="B2492" s="116">
        <v>6245.6</v>
      </c>
      <c r="C2492" s="116">
        <v>6188.25</v>
      </c>
      <c r="D2492" s="116">
        <v>6115.35</v>
      </c>
      <c r="E2492" s="116">
        <v>6115.35</v>
      </c>
      <c r="F2492" s="116">
        <v>6188.25</v>
      </c>
      <c r="G2492">
        <v>7993</v>
      </c>
      <c r="H2492" s="116"/>
      <c r="I2492" s="116"/>
      <c r="L2492" s="170">
        <v>45673</v>
      </c>
      <c r="M2492" s="116">
        <v>6184.25</v>
      </c>
      <c r="N2492" s="116">
        <v>6245.2</v>
      </c>
      <c r="O2492" s="116">
        <v>6130</v>
      </c>
      <c r="P2492" s="116">
        <v>6140</v>
      </c>
      <c r="Q2492" s="116">
        <v>6184.25</v>
      </c>
      <c r="R2492">
        <v>144322</v>
      </c>
    </row>
    <row r="2493" spans="1:18" x14ac:dyDescent="0.25">
      <c r="A2493" s="170">
        <v>45674</v>
      </c>
      <c r="B2493" s="116">
        <v>6250</v>
      </c>
      <c r="C2493" s="116">
        <v>6211.35</v>
      </c>
      <c r="D2493" s="116">
        <v>6144.7</v>
      </c>
      <c r="E2493" s="116">
        <v>6199.7</v>
      </c>
      <c r="F2493" s="116">
        <v>6211.35</v>
      </c>
      <c r="G2493">
        <v>12389</v>
      </c>
      <c r="H2493" s="116"/>
      <c r="I2493" s="116"/>
      <c r="L2493" s="170">
        <v>45674</v>
      </c>
      <c r="M2493" s="116">
        <v>6212.1</v>
      </c>
      <c r="N2493" s="116">
        <v>6250.85</v>
      </c>
      <c r="O2493" s="116">
        <v>6150</v>
      </c>
      <c r="P2493" s="116">
        <v>6190</v>
      </c>
      <c r="Q2493" s="116">
        <v>6212.1</v>
      </c>
      <c r="R2493">
        <v>131996</v>
      </c>
    </row>
    <row r="2494" spans="1:18" x14ac:dyDescent="0.25">
      <c r="A2494" s="170">
        <v>45677</v>
      </c>
      <c r="B2494" s="116">
        <v>6249.2</v>
      </c>
      <c r="C2494" s="116">
        <v>6204.3</v>
      </c>
      <c r="D2494" s="116">
        <v>6122.05</v>
      </c>
      <c r="E2494" s="116">
        <v>6249.2</v>
      </c>
      <c r="F2494" s="116">
        <v>6204.3</v>
      </c>
      <c r="G2494">
        <v>8043</v>
      </c>
      <c r="H2494" s="116"/>
      <c r="I2494" s="116"/>
      <c r="L2494" s="170">
        <v>45677</v>
      </c>
      <c r="M2494" s="116">
        <v>6199.8</v>
      </c>
      <c r="N2494" s="116">
        <v>6229.05</v>
      </c>
      <c r="O2494" s="116">
        <v>6121.45</v>
      </c>
      <c r="P2494" s="116">
        <v>6218</v>
      </c>
      <c r="Q2494" s="116">
        <v>6199.8</v>
      </c>
      <c r="R2494">
        <v>91944</v>
      </c>
    </row>
    <row r="2495" spans="1:18" x14ac:dyDescent="0.25">
      <c r="A2495" s="170">
        <v>45678</v>
      </c>
      <c r="B2495" s="116">
        <v>6273.35</v>
      </c>
      <c r="C2495" s="116">
        <v>6154.15</v>
      </c>
      <c r="D2495" s="116">
        <v>6140.6</v>
      </c>
      <c r="E2495" s="116">
        <v>6202.05</v>
      </c>
      <c r="F2495" s="116">
        <v>6154.15</v>
      </c>
      <c r="G2495">
        <v>10870</v>
      </c>
      <c r="H2495" s="116"/>
      <c r="I2495" s="116"/>
      <c r="L2495" s="170">
        <v>45678</v>
      </c>
      <c r="M2495" s="116">
        <v>6153.95</v>
      </c>
      <c r="N2495" s="116">
        <v>6275</v>
      </c>
      <c r="O2495" s="116">
        <v>6140</v>
      </c>
      <c r="P2495" s="116">
        <v>6220.2</v>
      </c>
      <c r="Q2495" s="116">
        <v>6153.95</v>
      </c>
      <c r="R2495">
        <v>87671</v>
      </c>
    </row>
    <row r="2496" spans="1:18" x14ac:dyDescent="0.25">
      <c r="A2496" s="170">
        <v>45679</v>
      </c>
      <c r="B2496" s="116">
        <v>6188.3</v>
      </c>
      <c r="C2496" s="116">
        <v>6164.5</v>
      </c>
      <c r="D2496" s="116">
        <v>6060.05</v>
      </c>
      <c r="E2496" s="116">
        <v>6188.3</v>
      </c>
      <c r="F2496" s="116">
        <v>6164.5</v>
      </c>
      <c r="G2496">
        <v>18103</v>
      </c>
      <c r="H2496" s="116"/>
      <c r="I2496" s="116"/>
      <c r="L2496" s="170">
        <v>45679</v>
      </c>
      <c r="M2496" s="116">
        <v>6167.35</v>
      </c>
      <c r="N2496" s="116">
        <v>6178</v>
      </c>
      <c r="O2496" s="116">
        <v>6060.7</v>
      </c>
      <c r="P2496" s="116">
        <v>6170</v>
      </c>
      <c r="Q2496" s="116">
        <v>6167.35</v>
      </c>
      <c r="R2496">
        <v>124965</v>
      </c>
    </row>
    <row r="2497" spans="1:18" x14ac:dyDescent="0.25">
      <c r="A2497" s="170">
        <v>45680</v>
      </c>
      <c r="B2497" s="116">
        <v>6421</v>
      </c>
      <c r="C2497" s="116">
        <v>6350.55</v>
      </c>
      <c r="D2497" s="116">
        <v>6154.1</v>
      </c>
      <c r="E2497" s="116">
        <v>6185.85</v>
      </c>
      <c r="F2497" s="116">
        <v>6350.55</v>
      </c>
      <c r="G2497">
        <v>12877</v>
      </c>
      <c r="H2497" s="116"/>
      <c r="I2497" s="116"/>
      <c r="L2497" s="170">
        <v>45680</v>
      </c>
      <c r="M2497" s="116">
        <v>6353.95</v>
      </c>
      <c r="N2497" s="116">
        <v>6425</v>
      </c>
      <c r="O2497" s="116">
        <v>6150</v>
      </c>
      <c r="P2497" s="116">
        <v>6167.5</v>
      </c>
      <c r="Q2497" s="116">
        <v>6353.95</v>
      </c>
      <c r="R2497">
        <v>221641</v>
      </c>
    </row>
    <row r="2498" spans="1:18" x14ac:dyDescent="0.25">
      <c r="A2498" s="170">
        <v>45681</v>
      </c>
      <c r="B2498" s="116">
        <v>6385.8</v>
      </c>
      <c r="C2498" s="116">
        <v>6372.25</v>
      </c>
      <c r="D2498" s="116">
        <v>6291.6</v>
      </c>
      <c r="E2498" s="116">
        <v>6345</v>
      </c>
      <c r="F2498" s="116">
        <v>6372.25</v>
      </c>
      <c r="G2498">
        <v>4876</v>
      </c>
      <c r="H2498" s="116"/>
      <c r="I2498" s="116"/>
      <c r="L2498" s="170">
        <v>45681</v>
      </c>
      <c r="M2498" s="116">
        <v>6372.7</v>
      </c>
      <c r="N2498" s="116">
        <v>6392.95</v>
      </c>
      <c r="O2498" s="116">
        <v>6290</v>
      </c>
      <c r="P2498" s="116">
        <v>6353.95</v>
      </c>
      <c r="Q2498" s="116">
        <v>6372.7</v>
      </c>
      <c r="R2498">
        <v>108179</v>
      </c>
    </row>
    <row r="2499" spans="1:18" x14ac:dyDescent="0.25">
      <c r="A2499" s="170">
        <v>45684</v>
      </c>
      <c r="B2499" s="116">
        <v>6371.95</v>
      </c>
      <c r="C2499" s="116">
        <v>6154.4</v>
      </c>
      <c r="D2499" s="116">
        <v>6130</v>
      </c>
      <c r="E2499" s="116">
        <v>6371.95</v>
      </c>
      <c r="F2499" s="116">
        <v>6154.4</v>
      </c>
      <c r="G2499">
        <v>4530</v>
      </c>
      <c r="H2499" s="116"/>
      <c r="I2499" s="116"/>
      <c r="L2499" s="170">
        <v>45684</v>
      </c>
      <c r="M2499" s="116">
        <v>6156.05</v>
      </c>
      <c r="N2499" s="116">
        <v>6327.55</v>
      </c>
      <c r="O2499" s="116">
        <v>6128.15</v>
      </c>
      <c r="P2499" s="116">
        <v>6319.95</v>
      </c>
      <c r="Q2499" s="116">
        <v>6156.05</v>
      </c>
      <c r="R2499">
        <v>161634</v>
      </c>
    </row>
    <row r="2500" spans="1:18" x14ac:dyDescent="0.25">
      <c r="A2500" s="170">
        <v>45685</v>
      </c>
      <c r="B2500" s="116">
        <v>6203.7</v>
      </c>
      <c r="C2500" s="116">
        <v>6126.1</v>
      </c>
      <c r="D2500" s="116">
        <v>6081</v>
      </c>
      <c r="E2500" s="116">
        <v>6145</v>
      </c>
      <c r="F2500" s="116">
        <v>6126.1</v>
      </c>
      <c r="G2500">
        <v>5548</v>
      </c>
      <c r="H2500" s="116"/>
      <c r="I2500" s="116"/>
      <c r="L2500" s="170">
        <v>45685</v>
      </c>
      <c r="M2500" s="116">
        <v>6125.4</v>
      </c>
      <c r="N2500" s="116">
        <v>6203.9</v>
      </c>
      <c r="O2500" s="116">
        <v>6078.05</v>
      </c>
      <c r="P2500" s="116">
        <v>6150</v>
      </c>
      <c r="Q2500" s="116">
        <v>6125.4</v>
      </c>
      <c r="R2500">
        <v>148138</v>
      </c>
    </row>
    <row r="2501" spans="1:18" x14ac:dyDescent="0.25">
      <c r="A2501" s="170">
        <v>45686</v>
      </c>
      <c r="B2501" s="116">
        <v>6220</v>
      </c>
      <c r="C2501" s="116">
        <v>6174.25</v>
      </c>
      <c r="D2501" s="116">
        <v>6093</v>
      </c>
      <c r="E2501" s="116">
        <v>6100.3</v>
      </c>
      <c r="F2501" s="116">
        <v>6174.25</v>
      </c>
      <c r="G2501">
        <v>9648</v>
      </c>
      <c r="H2501" s="116"/>
      <c r="I2501" s="116"/>
      <c r="L2501" s="170">
        <v>45686</v>
      </c>
      <c r="M2501" s="116">
        <v>6173.85</v>
      </c>
      <c r="N2501" s="116">
        <v>6221.95</v>
      </c>
      <c r="O2501" s="116">
        <v>6094.95</v>
      </c>
      <c r="P2501" s="116">
        <v>6129.2</v>
      </c>
      <c r="Q2501" s="116">
        <v>6173.85</v>
      </c>
      <c r="R2501">
        <v>143522</v>
      </c>
    </row>
    <row r="2502" spans="1:18" x14ac:dyDescent="0.25">
      <c r="A2502" s="170">
        <v>45687</v>
      </c>
      <c r="B2502" s="116">
        <v>6200</v>
      </c>
      <c r="C2502" s="116">
        <v>6138.9</v>
      </c>
      <c r="D2502" s="116">
        <v>6094.95</v>
      </c>
      <c r="E2502" s="116">
        <v>6195</v>
      </c>
      <c r="F2502" s="116">
        <v>6138.9</v>
      </c>
      <c r="G2502">
        <v>10192</v>
      </c>
      <c r="H2502" s="116"/>
      <c r="I2502" s="116"/>
      <c r="L2502" s="170">
        <v>45687</v>
      </c>
      <c r="M2502" s="116">
        <v>6135.7</v>
      </c>
      <c r="N2502" s="116">
        <v>6215.95</v>
      </c>
      <c r="O2502" s="116">
        <v>6090</v>
      </c>
      <c r="P2502" s="116">
        <v>6195</v>
      </c>
      <c r="Q2502" s="116">
        <v>6135.7</v>
      </c>
      <c r="R2502">
        <v>138349</v>
      </c>
    </row>
    <row r="2503" spans="1:18" x14ac:dyDescent="0.25">
      <c r="A2503" s="170">
        <v>45688</v>
      </c>
      <c r="B2503" s="116">
        <v>6350</v>
      </c>
      <c r="C2503" s="116">
        <v>6331.95</v>
      </c>
      <c r="D2503" s="116">
        <v>6123.75</v>
      </c>
      <c r="E2503" s="116">
        <v>6141.95</v>
      </c>
      <c r="F2503" s="116">
        <v>6331.95</v>
      </c>
      <c r="G2503">
        <v>13725</v>
      </c>
      <c r="H2503" s="116"/>
      <c r="I2503" s="116"/>
      <c r="L2503" s="170">
        <v>45688</v>
      </c>
      <c r="M2503" s="116">
        <v>6336</v>
      </c>
      <c r="N2503" s="116">
        <v>6350</v>
      </c>
      <c r="O2503" s="116">
        <v>6130.1</v>
      </c>
      <c r="P2503" s="116">
        <v>6145</v>
      </c>
      <c r="Q2503" s="116">
        <v>6336</v>
      </c>
      <c r="R2503">
        <v>122121</v>
      </c>
    </row>
    <row r="2504" spans="1:18" x14ac:dyDescent="0.25">
      <c r="A2504" s="170">
        <v>45689</v>
      </c>
      <c r="B2504" s="116">
        <v>6398.85</v>
      </c>
      <c r="C2504" s="116">
        <v>6381.2</v>
      </c>
      <c r="D2504" s="116">
        <v>6272</v>
      </c>
      <c r="E2504" s="116">
        <v>6398.85</v>
      </c>
      <c r="F2504" s="116">
        <v>6381.2</v>
      </c>
      <c r="G2504">
        <v>7023</v>
      </c>
      <c r="H2504" s="116"/>
      <c r="I2504" s="116"/>
      <c r="L2504" s="170">
        <v>45689</v>
      </c>
      <c r="M2504" s="116">
        <v>6381.25</v>
      </c>
      <c r="N2504" s="116">
        <v>6400</v>
      </c>
      <c r="O2504" s="116">
        <v>6269.05</v>
      </c>
      <c r="P2504" s="116">
        <v>6370</v>
      </c>
      <c r="Q2504" s="116">
        <v>6381.25</v>
      </c>
      <c r="R2504">
        <v>80662</v>
      </c>
    </row>
    <row r="2505" spans="1:18" x14ac:dyDescent="0.25">
      <c r="A2505" s="170">
        <v>45691</v>
      </c>
      <c r="B2505" s="116">
        <v>6410.7</v>
      </c>
      <c r="C2505" s="116">
        <v>6396.65</v>
      </c>
      <c r="D2505" s="116">
        <v>6248.45</v>
      </c>
      <c r="E2505" s="116">
        <v>6389.65</v>
      </c>
      <c r="F2505" s="116">
        <v>6396.65</v>
      </c>
      <c r="G2505">
        <v>5386</v>
      </c>
      <c r="H2505" s="116"/>
      <c r="I2505" s="116"/>
      <c r="L2505" s="170">
        <v>45691</v>
      </c>
      <c r="M2505" s="116">
        <v>6396.25</v>
      </c>
      <c r="N2505" s="116">
        <v>6420</v>
      </c>
      <c r="O2505" s="116">
        <v>6250.7</v>
      </c>
      <c r="P2505" s="116">
        <v>6330</v>
      </c>
      <c r="Q2505" s="116">
        <v>6396.25</v>
      </c>
      <c r="R2505">
        <v>71348</v>
      </c>
    </row>
    <row r="2506" spans="1:18" x14ac:dyDescent="0.25">
      <c r="A2506" s="170">
        <v>45692</v>
      </c>
      <c r="B2506" s="116">
        <v>6465.3</v>
      </c>
      <c r="C2506" s="116">
        <v>6373.05</v>
      </c>
      <c r="D2506" s="116">
        <v>6311.1</v>
      </c>
      <c r="E2506" s="116">
        <v>6397.1</v>
      </c>
      <c r="F2506" s="116">
        <v>6373.05</v>
      </c>
      <c r="G2506">
        <v>8182</v>
      </c>
      <c r="H2506" s="116"/>
      <c r="I2506" s="116"/>
      <c r="L2506" s="170">
        <v>45692</v>
      </c>
      <c r="M2506" s="116">
        <v>6371.1</v>
      </c>
      <c r="N2506" s="116">
        <v>6467</v>
      </c>
      <c r="O2506" s="116">
        <v>6312.65</v>
      </c>
      <c r="P2506" s="116">
        <v>6415</v>
      </c>
      <c r="Q2506" s="116">
        <v>6371.1</v>
      </c>
      <c r="R2506">
        <v>87790</v>
      </c>
    </row>
    <row r="2507" spans="1:18" x14ac:dyDescent="0.25">
      <c r="A2507" s="170">
        <v>45693</v>
      </c>
      <c r="B2507" s="116">
        <v>6440</v>
      </c>
      <c r="C2507" s="116">
        <v>6387.5</v>
      </c>
      <c r="D2507" s="116">
        <v>6344.25</v>
      </c>
      <c r="E2507" s="116">
        <v>6352.15</v>
      </c>
      <c r="F2507" s="116">
        <v>6387.5</v>
      </c>
      <c r="G2507">
        <v>6616</v>
      </c>
      <c r="H2507" s="116"/>
      <c r="I2507" s="116"/>
      <c r="L2507" s="170">
        <v>45693</v>
      </c>
      <c r="M2507" s="116">
        <v>6384.5</v>
      </c>
      <c r="N2507" s="116">
        <v>6443.95</v>
      </c>
      <c r="O2507" s="116">
        <v>6345.05</v>
      </c>
      <c r="P2507" s="116">
        <v>6371.1</v>
      </c>
      <c r="Q2507" s="116">
        <v>6384.5</v>
      </c>
      <c r="R2507">
        <v>66079</v>
      </c>
    </row>
    <row r="2508" spans="1:18" x14ac:dyDescent="0.25">
      <c r="A2508" s="170">
        <v>45694</v>
      </c>
      <c r="B2508" s="116">
        <v>6475.9</v>
      </c>
      <c r="C2508" s="116">
        <v>6423.5</v>
      </c>
      <c r="D2508" s="116">
        <v>6365.9</v>
      </c>
      <c r="E2508" s="116">
        <v>6365.9</v>
      </c>
      <c r="F2508" s="116">
        <v>6423.5</v>
      </c>
      <c r="G2508">
        <v>8237</v>
      </c>
      <c r="H2508" s="116"/>
      <c r="I2508" s="116"/>
      <c r="L2508" s="170">
        <v>45694</v>
      </c>
      <c r="M2508" s="116">
        <v>6421.9</v>
      </c>
      <c r="N2508" s="116">
        <v>6478.15</v>
      </c>
      <c r="O2508" s="116">
        <v>6372.05</v>
      </c>
      <c r="P2508" s="116">
        <v>6400</v>
      </c>
      <c r="Q2508" s="116">
        <v>6421.9</v>
      </c>
      <c r="R2508">
        <v>82289</v>
      </c>
    </row>
    <row r="2509" spans="1:18" x14ac:dyDescent="0.25">
      <c r="A2509" s="170">
        <v>45695</v>
      </c>
      <c r="B2509" s="116">
        <v>6450</v>
      </c>
      <c r="C2509" s="116">
        <v>6432.75</v>
      </c>
      <c r="D2509" s="116">
        <v>6331.4</v>
      </c>
      <c r="E2509" s="116">
        <v>6429.8</v>
      </c>
      <c r="F2509" s="116">
        <v>6432.75</v>
      </c>
      <c r="G2509">
        <v>6615</v>
      </c>
      <c r="H2509" s="116"/>
      <c r="I2509" s="116"/>
      <c r="L2509" s="170">
        <v>45695</v>
      </c>
      <c r="M2509" s="116">
        <v>6436.6</v>
      </c>
      <c r="N2509" s="116">
        <v>6455.25</v>
      </c>
      <c r="O2509" s="116">
        <v>6332.05</v>
      </c>
      <c r="P2509" s="116">
        <v>6421.9</v>
      </c>
      <c r="Q2509" s="116">
        <v>6436.6</v>
      </c>
      <c r="R2509">
        <v>64931</v>
      </c>
    </row>
    <row r="2510" spans="1:18" x14ac:dyDescent="0.25">
      <c r="A2510" s="170">
        <v>45698</v>
      </c>
      <c r="B2510" s="116">
        <v>6432.75</v>
      </c>
      <c r="C2510" s="116">
        <v>6378.35</v>
      </c>
      <c r="D2510" s="116">
        <v>6336</v>
      </c>
      <c r="E2510" s="116">
        <v>6432.75</v>
      </c>
      <c r="F2510" s="116">
        <v>6378.35</v>
      </c>
      <c r="G2510">
        <v>3149</v>
      </c>
      <c r="H2510" s="116"/>
      <c r="I2510" s="116"/>
      <c r="L2510" s="170">
        <v>45698</v>
      </c>
      <c r="M2510" s="116">
        <v>6377.4</v>
      </c>
      <c r="N2510" s="116">
        <v>6425</v>
      </c>
      <c r="O2510" s="116">
        <v>6335.25</v>
      </c>
      <c r="P2510" s="116">
        <v>6415</v>
      </c>
      <c r="Q2510" s="116">
        <v>6377.4</v>
      </c>
      <c r="R2510">
        <v>60322</v>
      </c>
    </row>
    <row r="2511" spans="1:18" x14ac:dyDescent="0.25">
      <c r="A2511" s="170">
        <v>45699</v>
      </c>
      <c r="B2511" s="116">
        <v>6409.95</v>
      </c>
      <c r="C2511" s="116">
        <v>6117.9</v>
      </c>
      <c r="D2511" s="116">
        <v>6100.35</v>
      </c>
      <c r="E2511" s="116">
        <v>6409.95</v>
      </c>
      <c r="F2511" s="116">
        <v>6117.9</v>
      </c>
      <c r="G2511">
        <v>8901</v>
      </c>
      <c r="H2511" s="116"/>
      <c r="I2511" s="116"/>
      <c r="L2511" s="170">
        <v>45699</v>
      </c>
      <c r="M2511" s="116">
        <v>6116.75</v>
      </c>
      <c r="N2511" s="116">
        <v>6399.95</v>
      </c>
      <c r="O2511" s="116">
        <v>6100</v>
      </c>
      <c r="P2511" s="116">
        <v>6399.95</v>
      </c>
      <c r="Q2511" s="116">
        <v>6116.75</v>
      </c>
      <c r="R2511">
        <v>100616</v>
      </c>
    </row>
    <row r="2512" spans="1:18" x14ac:dyDescent="0.25">
      <c r="A2512" s="170">
        <v>45700</v>
      </c>
      <c r="B2512" s="116">
        <v>6170.95</v>
      </c>
      <c r="C2512" s="116">
        <v>6149.1</v>
      </c>
      <c r="D2512" s="116">
        <v>6028.8</v>
      </c>
      <c r="E2512" s="116">
        <v>6116.7</v>
      </c>
      <c r="F2512" s="116">
        <v>6149.1</v>
      </c>
      <c r="G2512">
        <v>14895</v>
      </c>
      <c r="H2512" s="116"/>
      <c r="I2512" s="116"/>
      <c r="L2512" s="170">
        <v>45700</v>
      </c>
      <c r="M2512" s="116">
        <v>6154.05</v>
      </c>
      <c r="N2512" s="116">
        <v>6170</v>
      </c>
      <c r="O2512" s="116">
        <v>6032.5</v>
      </c>
      <c r="P2512" s="116">
        <v>6110</v>
      </c>
      <c r="Q2512" s="116">
        <v>6154.05</v>
      </c>
      <c r="R2512">
        <v>130838</v>
      </c>
    </row>
    <row r="2513" spans="1:18" x14ac:dyDescent="0.25">
      <c r="A2513" s="170">
        <v>45701</v>
      </c>
      <c r="B2513" s="116">
        <v>6211</v>
      </c>
      <c r="C2513" s="116">
        <v>6141.95</v>
      </c>
      <c r="D2513" s="116">
        <v>6087.8</v>
      </c>
      <c r="E2513" s="116">
        <v>6211</v>
      </c>
      <c r="F2513" s="116">
        <v>6141.95</v>
      </c>
      <c r="G2513">
        <v>5671</v>
      </c>
      <c r="H2513" s="116"/>
      <c r="I2513" s="116"/>
      <c r="L2513" s="170">
        <v>45701</v>
      </c>
      <c r="M2513" s="116">
        <v>6134.35</v>
      </c>
      <c r="N2513" s="116">
        <v>6199.95</v>
      </c>
      <c r="O2513" s="116">
        <v>6082</v>
      </c>
      <c r="P2513" s="116">
        <v>6199.95</v>
      </c>
      <c r="Q2513" s="116">
        <v>6134.35</v>
      </c>
      <c r="R2513">
        <v>135495</v>
      </c>
    </row>
    <row r="2514" spans="1:18" x14ac:dyDescent="0.25">
      <c r="A2514" s="170">
        <v>45702</v>
      </c>
      <c r="B2514" s="116">
        <v>6220.3</v>
      </c>
      <c r="C2514" s="116">
        <v>6173.9</v>
      </c>
      <c r="D2514" s="116">
        <v>6086.4</v>
      </c>
      <c r="E2514" s="116">
        <v>6163.4</v>
      </c>
      <c r="F2514" s="116">
        <v>6173.9</v>
      </c>
      <c r="G2514">
        <v>6428</v>
      </c>
      <c r="H2514" s="116"/>
      <c r="I2514" s="116"/>
      <c r="L2514" s="170">
        <v>45702</v>
      </c>
      <c r="M2514" s="116">
        <v>6174</v>
      </c>
      <c r="N2514" s="116">
        <v>6225</v>
      </c>
      <c r="O2514" s="116">
        <v>6081.05</v>
      </c>
      <c r="P2514" s="116">
        <v>6145.05</v>
      </c>
      <c r="Q2514" s="116">
        <v>6174</v>
      </c>
      <c r="R2514">
        <v>130626</v>
      </c>
    </row>
    <row r="2515" spans="1:18" x14ac:dyDescent="0.25">
      <c r="A2515" s="170">
        <v>45705</v>
      </c>
      <c r="B2515" s="116">
        <v>6173.9</v>
      </c>
      <c r="C2515" s="116">
        <v>6146.65</v>
      </c>
      <c r="D2515" s="116">
        <v>6045.8</v>
      </c>
      <c r="E2515" s="116">
        <v>6173.85</v>
      </c>
      <c r="F2515" s="116">
        <v>6146.65</v>
      </c>
      <c r="G2515">
        <v>4351</v>
      </c>
      <c r="H2515" s="116"/>
      <c r="I2515" s="116"/>
      <c r="L2515" s="170">
        <v>45705</v>
      </c>
      <c r="M2515" s="116">
        <v>6146.85</v>
      </c>
      <c r="N2515" s="116">
        <v>6176.35</v>
      </c>
      <c r="O2515" s="116">
        <v>6042.85</v>
      </c>
      <c r="P2515" s="116">
        <v>6156</v>
      </c>
      <c r="Q2515" s="116">
        <v>6146.85</v>
      </c>
      <c r="R2515">
        <v>73576</v>
      </c>
    </row>
    <row r="2516" spans="1:18" x14ac:dyDescent="0.25">
      <c r="A2516" s="170">
        <v>45706</v>
      </c>
      <c r="B2516" s="116">
        <v>6166</v>
      </c>
      <c r="C2516" s="116">
        <v>6101.3</v>
      </c>
      <c r="D2516" s="116">
        <v>6049.6</v>
      </c>
      <c r="E2516" s="116">
        <v>6165.25</v>
      </c>
      <c r="F2516" s="116">
        <v>6101.3</v>
      </c>
      <c r="G2516">
        <v>2752</v>
      </c>
      <c r="H2516" s="116"/>
      <c r="I2516" s="116"/>
      <c r="L2516" s="170">
        <v>45706</v>
      </c>
      <c r="M2516" s="116">
        <v>6097.45</v>
      </c>
      <c r="N2516" s="116">
        <v>6175.65</v>
      </c>
      <c r="O2516" s="116">
        <v>6045.05</v>
      </c>
      <c r="P2516" s="116">
        <v>6146.85</v>
      </c>
      <c r="Q2516" s="116">
        <v>6097.45</v>
      </c>
      <c r="R2516">
        <v>72228</v>
      </c>
    </row>
    <row r="2517" spans="1:18" x14ac:dyDescent="0.25">
      <c r="A2517" s="170">
        <v>45707</v>
      </c>
      <c r="B2517" s="116">
        <v>6174.95</v>
      </c>
      <c r="C2517" s="116">
        <v>6017.45</v>
      </c>
      <c r="D2517" s="116">
        <v>5969.7</v>
      </c>
      <c r="E2517" s="116">
        <v>6174.95</v>
      </c>
      <c r="F2517" s="116">
        <v>6017.45</v>
      </c>
      <c r="G2517">
        <v>12458</v>
      </c>
      <c r="H2517" s="116"/>
      <c r="I2517" s="116"/>
      <c r="L2517" s="170">
        <v>45707</v>
      </c>
      <c r="M2517" s="116">
        <v>6017.6</v>
      </c>
      <c r="N2517" s="116">
        <v>6130.8</v>
      </c>
      <c r="O2517" s="116">
        <v>5967.15</v>
      </c>
      <c r="P2517" s="116">
        <v>6120</v>
      </c>
      <c r="Q2517" s="116">
        <v>6017.6</v>
      </c>
      <c r="R2517">
        <v>159802</v>
      </c>
    </row>
    <row r="2518" spans="1:18" x14ac:dyDescent="0.25">
      <c r="A2518" s="170">
        <v>45708</v>
      </c>
      <c r="B2518" s="116">
        <v>6080</v>
      </c>
      <c r="C2518" s="116">
        <v>6023.25</v>
      </c>
      <c r="D2518" s="116">
        <v>5988</v>
      </c>
      <c r="E2518" s="116">
        <v>6001.65</v>
      </c>
      <c r="F2518" s="116">
        <v>6023.25</v>
      </c>
      <c r="G2518">
        <v>2819</v>
      </c>
      <c r="H2518" s="116"/>
      <c r="I2518" s="116"/>
      <c r="L2518" s="170">
        <v>45708</v>
      </c>
      <c r="M2518" s="116">
        <v>6023.65</v>
      </c>
      <c r="N2518" s="116">
        <v>6080</v>
      </c>
      <c r="O2518" s="116">
        <v>5980.6</v>
      </c>
      <c r="P2518" s="116">
        <v>6024</v>
      </c>
      <c r="Q2518" s="116">
        <v>6023.65</v>
      </c>
      <c r="R2518">
        <v>79633</v>
      </c>
    </row>
    <row r="2519" spans="1:18" x14ac:dyDescent="0.25">
      <c r="A2519" s="170">
        <v>45709</v>
      </c>
      <c r="B2519" s="116">
        <v>6080</v>
      </c>
      <c r="C2519" s="116">
        <v>5954</v>
      </c>
      <c r="D2519" s="116">
        <v>5933.55</v>
      </c>
      <c r="E2519" s="116">
        <v>6023.25</v>
      </c>
      <c r="F2519" s="116">
        <v>5954</v>
      </c>
      <c r="G2519">
        <v>5878</v>
      </c>
      <c r="H2519" s="116"/>
      <c r="I2519" s="116"/>
      <c r="L2519" s="170">
        <v>45709</v>
      </c>
      <c r="M2519" s="116">
        <v>5960.45</v>
      </c>
      <c r="N2519" s="116">
        <v>6080.25</v>
      </c>
      <c r="O2519" s="116">
        <v>5931.05</v>
      </c>
      <c r="P2519" s="116">
        <v>6024.8</v>
      </c>
      <c r="Q2519" s="116">
        <v>5960.45</v>
      </c>
      <c r="R2519">
        <v>101884</v>
      </c>
    </row>
    <row r="2520" spans="1:18" x14ac:dyDescent="0.25">
      <c r="A2520" s="170">
        <v>45712</v>
      </c>
      <c r="B2520" s="116">
        <v>5970.25</v>
      </c>
      <c r="C2520" s="116">
        <v>5854.55</v>
      </c>
      <c r="D2520" s="116">
        <v>5785.65</v>
      </c>
      <c r="E2520" s="116">
        <v>5954.05</v>
      </c>
      <c r="F2520" s="116">
        <v>5854.55</v>
      </c>
      <c r="G2520">
        <v>7094</v>
      </c>
      <c r="H2520" s="116"/>
      <c r="I2520" s="116"/>
      <c r="L2520" s="170">
        <v>45712</v>
      </c>
      <c r="M2520" s="116">
        <v>5851.8</v>
      </c>
      <c r="N2520" s="116">
        <v>5960.45</v>
      </c>
      <c r="O2520" s="116">
        <v>5782</v>
      </c>
      <c r="P2520" s="116">
        <v>5960.45</v>
      </c>
      <c r="Q2520" s="116">
        <v>5851.8</v>
      </c>
      <c r="R2520">
        <v>151226</v>
      </c>
    </row>
    <row r="2521" spans="1:18" x14ac:dyDescent="0.25">
      <c r="A2521" s="170">
        <v>45713</v>
      </c>
      <c r="B2521" s="116">
        <v>5878</v>
      </c>
      <c r="C2521" s="116">
        <v>5694.75</v>
      </c>
      <c r="D2521" s="116">
        <v>5675</v>
      </c>
      <c r="E2521" s="116">
        <v>5853</v>
      </c>
      <c r="F2521" s="116">
        <v>5694.75</v>
      </c>
      <c r="G2521">
        <v>18358</v>
      </c>
      <c r="H2521" s="116"/>
      <c r="I2521" s="116"/>
      <c r="L2521" s="170">
        <v>45713</v>
      </c>
      <c r="M2521" s="116">
        <v>5695.65</v>
      </c>
      <c r="N2521" s="116">
        <v>5877.7</v>
      </c>
      <c r="O2521" s="116">
        <v>5675</v>
      </c>
      <c r="P2521" s="116">
        <v>5851.8</v>
      </c>
      <c r="Q2521" s="116">
        <v>5695.65</v>
      </c>
      <c r="R2521">
        <v>162406</v>
      </c>
    </row>
    <row r="2522" spans="1:18" x14ac:dyDescent="0.25">
      <c r="A2522" s="170">
        <v>45715</v>
      </c>
      <c r="B2522" s="116">
        <v>5719.95</v>
      </c>
      <c r="C2522" s="116">
        <v>5559.5</v>
      </c>
      <c r="D2522" s="116">
        <v>5516</v>
      </c>
      <c r="E2522" s="116">
        <v>5694</v>
      </c>
      <c r="F2522" s="116">
        <v>5559.5</v>
      </c>
      <c r="G2522">
        <v>9462</v>
      </c>
      <c r="H2522" s="116"/>
      <c r="I2522" s="116"/>
      <c r="L2522" s="170">
        <v>45715</v>
      </c>
      <c r="M2522" s="116">
        <v>5563.15</v>
      </c>
      <c r="N2522" s="116">
        <v>5721.55</v>
      </c>
      <c r="O2522" s="116">
        <v>5513.45</v>
      </c>
      <c r="P2522" s="116">
        <v>5695.65</v>
      </c>
      <c r="Q2522" s="116">
        <v>5563.15</v>
      </c>
      <c r="R2522">
        <v>182977</v>
      </c>
    </row>
    <row r="2523" spans="1:18" x14ac:dyDescent="0.25">
      <c r="A2523" s="170">
        <v>45716</v>
      </c>
      <c r="B2523" s="116">
        <v>5575.05</v>
      </c>
      <c r="C2523" s="116">
        <v>5412.5</v>
      </c>
      <c r="D2523" s="116">
        <v>5306</v>
      </c>
      <c r="E2523" s="116">
        <v>5539.75</v>
      </c>
      <c r="F2523" s="116">
        <v>5412.5</v>
      </c>
      <c r="G2523">
        <v>16027</v>
      </c>
      <c r="H2523" s="116"/>
      <c r="I2523" s="116"/>
      <c r="L2523" s="170">
        <v>45716</v>
      </c>
      <c r="M2523" s="116">
        <v>5411.1</v>
      </c>
      <c r="N2523" s="116">
        <v>5563</v>
      </c>
      <c r="O2523" s="116">
        <v>5302.55</v>
      </c>
      <c r="P2523" s="116">
        <v>5514.1</v>
      </c>
      <c r="Q2523" s="116">
        <v>5411.1</v>
      </c>
      <c r="R2523">
        <v>337674</v>
      </c>
    </row>
    <row r="2524" spans="1:18" x14ac:dyDescent="0.25">
      <c r="A2524" s="170">
        <v>45719</v>
      </c>
      <c r="B2524" s="116">
        <v>5476.85</v>
      </c>
      <c r="C2524" s="116">
        <v>5455.05</v>
      </c>
      <c r="D2524" s="116">
        <v>5360.6</v>
      </c>
      <c r="E2524" s="116">
        <v>5429.6</v>
      </c>
      <c r="F2524" s="116">
        <v>5455.05</v>
      </c>
      <c r="G2524">
        <v>24035</v>
      </c>
      <c r="H2524" s="116"/>
      <c r="I2524" s="116"/>
      <c r="L2524" s="170">
        <v>45719</v>
      </c>
      <c r="M2524" s="116">
        <v>5456.1</v>
      </c>
      <c r="N2524" s="116">
        <v>5477</v>
      </c>
      <c r="O2524" s="116">
        <v>5362.85</v>
      </c>
      <c r="P2524" s="116">
        <v>5416.05</v>
      </c>
      <c r="Q2524" s="116">
        <v>5456.1</v>
      </c>
      <c r="R2524">
        <v>162308</v>
      </c>
    </row>
    <row r="2525" spans="1:18" x14ac:dyDescent="0.25">
      <c r="A2525" s="170">
        <v>45720</v>
      </c>
      <c r="B2525" s="116">
        <v>5475.95</v>
      </c>
      <c r="C2525" s="116">
        <v>5387.8</v>
      </c>
      <c r="D2525" s="116">
        <v>5351.05</v>
      </c>
      <c r="E2525" s="116">
        <v>5455.05</v>
      </c>
      <c r="F2525" s="116">
        <v>5387.8</v>
      </c>
      <c r="G2525">
        <v>7623</v>
      </c>
      <c r="H2525" s="116"/>
      <c r="I2525" s="116"/>
      <c r="L2525" s="170">
        <v>45720</v>
      </c>
      <c r="M2525" s="116">
        <v>5389.05</v>
      </c>
      <c r="N2525" s="116">
        <v>5481</v>
      </c>
      <c r="O2525" s="116">
        <v>5350</v>
      </c>
      <c r="P2525" s="116">
        <v>5443</v>
      </c>
      <c r="Q2525" s="116">
        <v>5389.05</v>
      </c>
      <c r="R2525">
        <v>141837</v>
      </c>
    </row>
    <row r="2526" spans="1:18" x14ac:dyDescent="0.25">
      <c r="A2526" s="170">
        <v>45721</v>
      </c>
      <c r="B2526" s="116">
        <v>5568.85</v>
      </c>
      <c r="C2526" s="116">
        <v>5556.9</v>
      </c>
      <c r="D2526" s="116">
        <v>5427.85</v>
      </c>
      <c r="E2526" s="116">
        <v>5459.9</v>
      </c>
      <c r="F2526" s="116">
        <v>5556.9</v>
      </c>
      <c r="G2526">
        <v>6957</v>
      </c>
      <c r="H2526" s="116"/>
      <c r="I2526" s="116"/>
      <c r="L2526" s="170">
        <v>45721</v>
      </c>
      <c r="M2526" s="116">
        <v>5553.4</v>
      </c>
      <c r="N2526" s="116">
        <v>5569</v>
      </c>
      <c r="O2526" s="116">
        <v>5400.15</v>
      </c>
      <c r="P2526" s="116">
        <v>5410</v>
      </c>
      <c r="Q2526" s="116">
        <v>5553.4</v>
      </c>
      <c r="R2526">
        <v>141754</v>
      </c>
    </row>
    <row r="2527" spans="1:18" x14ac:dyDescent="0.25">
      <c r="A2527" s="170">
        <v>45722</v>
      </c>
      <c r="B2527" s="116">
        <v>5697.95</v>
      </c>
      <c r="C2527" s="116">
        <v>5636.3</v>
      </c>
      <c r="D2527" s="116">
        <v>5600.75</v>
      </c>
      <c r="E2527" s="116">
        <v>5697.95</v>
      </c>
      <c r="F2527" s="116">
        <v>5636.3</v>
      </c>
      <c r="G2527">
        <v>10887</v>
      </c>
      <c r="H2527" s="116"/>
      <c r="I2527" s="116"/>
      <c r="L2527" s="170">
        <v>45722</v>
      </c>
      <c r="M2527" s="116">
        <v>5638.3</v>
      </c>
      <c r="N2527" s="116">
        <v>5694.35</v>
      </c>
      <c r="O2527" s="116">
        <v>5603</v>
      </c>
      <c r="P2527" s="116">
        <v>5647</v>
      </c>
      <c r="Q2527" s="116">
        <v>5638.3</v>
      </c>
      <c r="R2527">
        <v>107832</v>
      </c>
    </row>
    <row r="2528" spans="1:18" x14ac:dyDescent="0.25">
      <c r="A2528" s="170">
        <v>45723</v>
      </c>
      <c r="B2528" s="116">
        <v>5699.95</v>
      </c>
      <c r="C2528" s="116">
        <v>5621.95</v>
      </c>
      <c r="D2528" s="116">
        <v>5604.9</v>
      </c>
      <c r="E2528" s="116">
        <v>5699.95</v>
      </c>
      <c r="F2528" s="116">
        <v>5621.95</v>
      </c>
      <c r="G2528">
        <v>6169</v>
      </c>
      <c r="H2528" s="116"/>
      <c r="I2528" s="116"/>
      <c r="L2528" s="170">
        <v>45723</v>
      </c>
      <c r="M2528" s="116">
        <v>5624.15</v>
      </c>
      <c r="N2528" s="116">
        <v>5689</v>
      </c>
      <c r="O2528" s="116">
        <v>5601</v>
      </c>
      <c r="P2528" s="116">
        <v>5688</v>
      </c>
      <c r="Q2528" s="116">
        <v>5624.15</v>
      </c>
      <c r="R2528">
        <v>110794</v>
      </c>
    </row>
    <row r="2529" spans="1:18" x14ac:dyDescent="0.25">
      <c r="A2529" s="170">
        <v>45726</v>
      </c>
      <c r="B2529" s="116">
        <v>5691.95</v>
      </c>
      <c r="C2529" s="116">
        <v>5501.15</v>
      </c>
      <c r="D2529" s="116">
        <v>5470</v>
      </c>
      <c r="E2529" s="116">
        <v>5660</v>
      </c>
      <c r="F2529" s="116">
        <v>5501.15</v>
      </c>
      <c r="G2529">
        <v>4429</v>
      </c>
      <c r="H2529" s="116"/>
      <c r="I2529" s="116"/>
      <c r="L2529" s="170">
        <v>45726</v>
      </c>
      <c r="M2529" s="116">
        <v>5503.5</v>
      </c>
      <c r="N2529" s="116">
        <v>5689</v>
      </c>
      <c r="O2529" s="116">
        <v>5465</v>
      </c>
      <c r="P2529" s="116">
        <v>5659</v>
      </c>
      <c r="Q2529" s="116">
        <v>5503.5</v>
      </c>
      <c r="R2529">
        <v>106381</v>
      </c>
    </row>
    <row r="2530" spans="1:18" x14ac:dyDescent="0.25">
      <c r="A2530" s="170">
        <v>45727</v>
      </c>
      <c r="B2530" s="116">
        <v>5480.5</v>
      </c>
      <c r="C2530" s="116">
        <v>5422.65</v>
      </c>
      <c r="D2530" s="116">
        <v>5393</v>
      </c>
      <c r="E2530" s="116">
        <v>5465.95</v>
      </c>
      <c r="F2530" s="116">
        <v>5422.65</v>
      </c>
      <c r="G2530">
        <v>3921</v>
      </c>
      <c r="H2530" s="116"/>
      <c r="I2530" s="116"/>
      <c r="L2530" s="170">
        <v>45727</v>
      </c>
      <c r="M2530" s="116">
        <v>5420.05</v>
      </c>
      <c r="N2530" s="116">
        <v>5480</v>
      </c>
      <c r="O2530" s="116">
        <v>5389.95</v>
      </c>
      <c r="P2530" s="116">
        <v>5453.05</v>
      </c>
      <c r="Q2530" s="116">
        <v>5420.05</v>
      </c>
      <c r="R2530">
        <v>96855</v>
      </c>
    </row>
    <row r="2531" spans="1:18" x14ac:dyDescent="0.25">
      <c r="A2531" s="170">
        <v>45728</v>
      </c>
      <c r="B2531" s="116">
        <v>5438.75</v>
      </c>
      <c r="C2531" s="116">
        <v>5302.15</v>
      </c>
      <c r="D2531" s="116">
        <v>5239.75</v>
      </c>
      <c r="E2531" s="116">
        <v>5437.2</v>
      </c>
      <c r="F2531" s="116">
        <v>5302.15</v>
      </c>
      <c r="G2531">
        <v>19367</v>
      </c>
      <c r="H2531" s="116"/>
      <c r="I2531" s="116"/>
      <c r="L2531" s="170">
        <v>45728</v>
      </c>
      <c r="M2531" s="116">
        <v>5303.85</v>
      </c>
      <c r="N2531" s="116">
        <v>5450</v>
      </c>
      <c r="O2531" s="116">
        <v>5242</v>
      </c>
      <c r="P2531" s="116">
        <v>5421.05</v>
      </c>
      <c r="Q2531" s="116">
        <v>5303.85</v>
      </c>
      <c r="R2531">
        <v>171254</v>
      </c>
    </row>
    <row r="2532" spans="1:18" x14ac:dyDescent="0.25">
      <c r="A2532" s="170">
        <v>45729</v>
      </c>
      <c r="B2532" s="116">
        <v>5368</v>
      </c>
      <c r="C2532" s="116">
        <v>5237.3</v>
      </c>
      <c r="D2532" s="116">
        <v>5221.8999999999996</v>
      </c>
      <c r="E2532" s="116">
        <v>5305.55</v>
      </c>
      <c r="F2532" s="116">
        <v>5237.3</v>
      </c>
      <c r="G2532">
        <v>9489</v>
      </c>
      <c r="H2532" s="116"/>
      <c r="I2532" s="116"/>
      <c r="L2532" s="170">
        <v>45729</v>
      </c>
      <c r="M2532" s="116">
        <v>5236.75</v>
      </c>
      <c r="N2532" s="116">
        <v>5373.95</v>
      </c>
      <c r="O2532" s="116">
        <v>5225</v>
      </c>
      <c r="P2532" s="116">
        <v>5310.9</v>
      </c>
      <c r="Q2532" s="116">
        <v>5236.75</v>
      </c>
      <c r="R2532">
        <v>126288</v>
      </c>
    </row>
    <row r="2533" spans="1:18" x14ac:dyDescent="0.25">
      <c r="A2533" s="170">
        <v>45733</v>
      </c>
      <c r="B2533" s="116">
        <v>5283.9</v>
      </c>
      <c r="C2533" s="116">
        <v>5170.8999999999996</v>
      </c>
      <c r="D2533" s="116">
        <v>5160</v>
      </c>
      <c r="E2533" s="116">
        <v>5237.3</v>
      </c>
      <c r="F2533" s="116">
        <v>5170.8999999999996</v>
      </c>
      <c r="G2533">
        <v>17248</v>
      </c>
      <c r="H2533" s="116"/>
      <c r="I2533" s="116"/>
      <c r="L2533" s="170">
        <v>45733</v>
      </c>
      <c r="M2533" s="116">
        <v>5174.45</v>
      </c>
      <c r="N2533" s="116">
        <v>5283.3</v>
      </c>
      <c r="O2533" s="116">
        <v>5157.7</v>
      </c>
      <c r="P2533" s="116">
        <v>5236.75</v>
      </c>
      <c r="Q2533" s="116">
        <v>5174.45</v>
      </c>
      <c r="R2533">
        <v>139134</v>
      </c>
    </row>
    <row r="2534" spans="1:18" x14ac:dyDescent="0.25">
      <c r="A2534" s="170">
        <v>45734</v>
      </c>
      <c r="B2534" s="116">
        <v>5310.95</v>
      </c>
      <c r="C2534" s="116">
        <v>5270.8</v>
      </c>
      <c r="D2534" s="116">
        <v>5199</v>
      </c>
      <c r="E2534" s="116">
        <v>5215.1000000000004</v>
      </c>
      <c r="F2534" s="116">
        <v>5270.8</v>
      </c>
      <c r="G2534">
        <v>12781</v>
      </c>
      <c r="H2534" s="116"/>
      <c r="I2534" s="116"/>
      <c r="L2534" s="170">
        <v>45734</v>
      </c>
      <c r="M2534" s="116">
        <v>5269.35</v>
      </c>
      <c r="N2534" s="116">
        <v>5310</v>
      </c>
      <c r="O2534" s="116">
        <v>5198</v>
      </c>
      <c r="P2534" s="116">
        <v>5200</v>
      </c>
      <c r="Q2534" s="116">
        <v>5269.35</v>
      </c>
      <c r="R2534">
        <v>147911</v>
      </c>
    </row>
    <row r="2535" spans="1:18" x14ac:dyDescent="0.25">
      <c r="A2535" s="170">
        <v>45735</v>
      </c>
      <c r="B2535" s="116">
        <v>5397.4</v>
      </c>
      <c r="C2535" s="116">
        <v>5367.05</v>
      </c>
      <c r="D2535" s="116">
        <v>5224.3</v>
      </c>
      <c r="E2535" s="116">
        <v>5299.95</v>
      </c>
      <c r="F2535" s="116">
        <v>5367.05</v>
      </c>
      <c r="G2535">
        <v>21715</v>
      </c>
      <c r="H2535" s="116"/>
      <c r="I2535" s="116"/>
      <c r="L2535" s="170">
        <v>45735</v>
      </c>
      <c r="M2535" s="116">
        <v>5366.3</v>
      </c>
      <c r="N2535" s="116">
        <v>5390.9</v>
      </c>
      <c r="O2535" s="116">
        <v>5225</v>
      </c>
      <c r="P2535" s="116">
        <v>5269</v>
      </c>
      <c r="Q2535" s="116">
        <v>5366.3</v>
      </c>
      <c r="R2535">
        <v>183836</v>
      </c>
    </row>
    <row r="2536" spans="1:18" x14ac:dyDescent="0.25">
      <c r="A2536" s="170">
        <v>45736</v>
      </c>
      <c r="B2536" s="116">
        <v>5499.75</v>
      </c>
      <c r="C2536" s="116">
        <v>5376.3</v>
      </c>
      <c r="D2536" s="116">
        <v>5360.1</v>
      </c>
      <c r="E2536" s="116">
        <v>5414.95</v>
      </c>
      <c r="F2536" s="116">
        <v>5376.3</v>
      </c>
      <c r="G2536">
        <v>14753</v>
      </c>
      <c r="H2536" s="116"/>
      <c r="I2536" s="116"/>
      <c r="L2536" s="170">
        <v>45736</v>
      </c>
      <c r="M2536" s="116">
        <v>5377.35</v>
      </c>
      <c r="N2536" s="116">
        <v>5498.95</v>
      </c>
      <c r="O2536" s="116">
        <v>5359.6</v>
      </c>
      <c r="P2536" s="116">
        <v>5400</v>
      </c>
      <c r="Q2536" s="116">
        <v>5377.35</v>
      </c>
      <c r="R2536">
        <v>139775</v>
      </c>
    </row>
    <row r="2537" spans="1:18" x14ac:dyDescent="0.25">
      <c r="A2537" s="170">
        <v>45737</v>
      </c>
      <c r="B2537" s="116">
        <v>5511</v>
      </c>
      <c r="C2537" s="116">
        <v>5465.55</v>
      </c>
      <c r="D2537" s="116">
        <v>5333</v>
      </c>
      <c r="E2537" s="116">
        <v>5409.6</v>
      </c>
      <c r="F2537" s="116">
        <v>5465.55</v>
      </c>
      <c r="G2537">
        <v>13953</v>
      </c>
      <c r="H2537" s="116"/>
      <c r="I2537" s="116"/>
      <c r="L2537" s="170">
        <v>45737</v>
      </c>
      <c r="M2537" s="116">
        <v>5462.95</v>
      </c>
      <c r="N2537" s="116">
        <v>5512</v>
      </c>
      <c r="O2537" s="116">
        <v>5322</v>
      </c>
      <c r="P2537" s="116">
        <v>5395</v>
      </c>
      <c r="Q2537" s="116">
        <v>5462.95</v>
      </c>
      <c r="R2537">
        <v>252810</v>
      </c>
    </row>
    <row r="2538" spans="1:18" x14ac:dyDescent="0.25">
      <c r="A2538" s="170">
        <v>45740</v>
      </c>
      <c r="B2538" s="116">
        <v>5662</v>
      </c>
      <c r="C2538" s="116">
        <v>5629.5</v>
      </c>
      <c r="D2538" s="116">
        <v>5403.05</v>
      </c>
      <c r="E2538" s="116">
        <v>5465.55</v>
      </c>
      <c r="F2538" s="116">
        <v>5629.5</v>
      </c>
      <c r="G2538">
        <v>31874</v>
      </c>
      <c r="H2538" s="116"/>
      <c r="I2538" s="116"/>
      <c r="L2538" s="170">
        <v>45740</v>
      </c>
      <c r="M2538" s="116">
        <v>5629.95</v>
      </c>
      <c r="N2538" s="116">
        <v>5664.8</v>
      </c>
      <c r="O2538" s="116">
        <v>5403.65</v>
      </c>
      <c r="P2538" s="116">
        <v>5470</v>
      </c>
      <c r="Q2538" s="116">
        <v>5629.95</v>
      </c>
      <c r="R2538">
        <v>291530</v>
      </c>
    </row>
    <row r="2539" spans="1:18" x14ac:dyDescent="0.25">
      <c r="A2539" s="170">
        <v>45741</v>
      </c>
      <c r="B2539" s="116">
        <v>5740</v>
      </c>
      <c r="C2539" s="116">
        <v>5497.3</v>
      </c>
      <c r="D2539" s="116">
        <v>5480</v>
      </c>
      <c r="E2539" s="116">
        <v>5665.2</v>
      </c>
      <c r="F2539" s="116">
        <v>5497.3</v>
      </c>
      <c r="G2539">
        <v>15102</v>
      </c>
      <c r="H2539" s="116"/>
      <c r="I2539" s="116"/>
      <c r="L2539" s="170">
        <v>45741</v>
      </c>
      <c r="M2539" s="116">
        <v>5496.95</v>
      </c>
      <c r="N2539" s="116">
        <v>5742.95</v>
      </c>
      <c r="O2539" s="116">
        <v>5479</v>
      </c>
      <c r="P2539" s="116">
        <v>5700</v>
      </c>
      <c r="Q2539" s="116">
        <v>5496.95</v>
      </c>
      <c r="R2539">
        <v>331857</v>
      </c>
    </row>
    <row r="2540" spans="1:18" x14ac:dyDescent="0.25">
      <c r="A2540" s="170">
        <v>45742</v>
      </c>
      <c r="B2540" s="116">
        <v>5624</v>
      </c>
      <c r="C2540" s="116">
        <v>5565.85</v>
      </c>
      <c r="D2540" s="116">
        <v>5474.6</v>
      </c>
      <c r="E2540" s="116">
        <v>5548.45</v>
      </c>
      <c r="F2540" s="116">
        <v>5565.85</v>
      </c>
      <c r="G2540">
        <v>29017</v>
      </c>
      <c r="H2540" s="116"/>
      <c r="I2540" s="116"/>
      <c r="L2540" s="170">
        <v>45742</v>
      </c>
      <c r="M2540" s="116">
        <v>5567</v>
      </c>
      <c r="N2540" s="116">
        <v>5625</v>
      </c>
      <c r="O2540" s="116">
        <v>5474.9</v>
      </c>
      <c r="P2540" s="116">
        <v>5520</v>
      </c>
      <c r="Q2540" s="116">
        <v>5567</v>
      </c>
      <c r="R2540">
        <v>218301</v>
      </c>
    </row>
    <row r="2541" spans="1:18" x14ac:dyDescent="0.25">
      <c r="A2541" s="170">
        <v>45743</v>
      </c>
      <c r="B2541" s="116">
        <v>5581</v>
      </c>
      <c r="C2541" s="116">
        <v>5418.3</v>
      </c>
      <c r="D2541" s="116">
        <v>5400</v>
      </c>
      <c r="E2541" s="116">
        <v>5531</v>
      </c>
      <c r="F2541" s="116">
        <v>5418.3</v>
      </c>
      <c r="G2541">
        <v>26895</v>
      </c>
      <c r="H2541" s="116"/>
      <c r="I2541" s="116"/>
      <c r="L2541" s="170">
        <v>45743</v>
      </c>
      <c r="M2541" s="116">
        <v>5417.8</v>
      </c>
      <c r="N2541" s="116">
        <v>5582.15</v>
      </c>
      <c r="O2541" s="116">
        <v>5400</v>
      </c>
      <c r="P2541" s="116">
        <v>5500</v>
      </c>
      <c r="Q2541" s="116">
        <v>5417.8</v>
      </c>
      <c r="R2541">
        <v>356071</v>
      </c>
    </row>
    <row r="2542" spans="1:18" x14ac:dyDescent="0.25">
      <c r="A2542" s="170">
        <v>45744</v>
      </c>
      <c r="B2542" s="116">
        <v>5436.4</v>
      </c>
      <c r="C2542" s="116">
        <v>5216.3</v>
      </c>
      <c r="D2542" s="116">
        <v>5200</v>
      </c>
      <c r="E2542" s="116">
        <v>5418</v>
      </c>
      <c r="F2542" s="116">
        <v>5216.3</v>
      </c>
      <c r="G2542">
        <v>50076</v>
      </c>
      <c r="H2542" s="116"/>
      <c r="I2542" s="116"/>
      <c r="L2542" s="170">
        <v>45744</v>
      </c>
      <c r="M2542" s="116">
        <v>5214.6000000000004</v>
      </c>
      <c r="N2542" s="116">
        <v>5437.05</v>
      </c>
      <c r="O2542" s="116">
        <v>5200</v>
      </c>
      <c r="P2542" s="116">
        <v>5398.05</v>
      </c>
      <c r="Q2542" s="116">
        <v>5214.6000000000004</v>
      </c>
      <c r="R2542">
        <v>529718</v>
      </c>
    </row>
    <row r="2543" spans="1:18" x14ac:dyDescent="0.25">
      <c r="A2543" s="170">
        <v>45748</v>
      </c>
      <c r="B2543" s="116">
        <v>5200</v>
      </c>
      <c r="C2543" s="116">
        <v>5069.75</v>
      </c>
      <c r="D2543" s="116">
        <v>5043</v>
      </c>
      <c r="E2543" s="116">
        <v>5173.1499999999996</v>
      </c>
      <c r="F2543" s="116">
        <v>5069.75</v>
      </c>
      <c r="G2543">
        <v>48203</v>
      </c>
      <c r="H2543" s="116"/>
      <c r="I2543" s="116"/>
      <c r="L2543" s="170">
        <v>45748</v>
      </c>
      <c r="M2543" s="116">
        <v>5069.6000000000004</v>
      </c>
      <c r="N2543" s="116">
        <v>5199</v>
      </c>
      <c r="O2543" s="116">
        <v>5042</v>
      </c>
      <c r="P2543" s="116">
        <v>5195.6000000000004</v>
      </c>
      <c r="Q2543" s="116">
        <v>5069.6000000000004</v>
      </c>
      <c r="R2543">
        <v>424060</v>
      </c>
    </row>
    <row r="2544" spans="1:18" x14ac:dyDescent="0.25">
      <c r="A2544" s="170">
        <v>45749</v>
      </c>
      <c r="B2544" s="116">
        <v>5243.75</v>
      </c>
      <c r="C2544" s="116">
        <v>5231.55</v>
      </c>
      <c r="D2544" s="116">
        <v>5050</v>
      </c>
      <c r="E2544" s="116">
        <v>5070.1499999999996</v>
      </c>
      <c r="F2544" s="116">
        <v>5231.55</v>
      </c>
      <c r="G2544">
        <v>30063</v>
      </c>
      <c r="H2544" s="116"/>
      <c r="I2544" s="116"/>
      <c r="L2544" s="170">
        <v>45749</v>
      </c>
      <c r="M2544" s="116">
        <v>5229.95</v>
      </c>
      <c r="N2544" s="116">
        <v>5238.2</v>
      </c>
      <c r="O2544" s="116">
        <v>5044.3500000000004</v>
      </c>
      <c r="P2544" s="116">
        <v>5092.1499999999996</v>
      </c>
      <c r="Q2544" s="116">
        <v>5229.95</v>
      </c>
      <c r="R2544">
        <v>278492</v>
      </c>
    </row>
    <row r="2545" spans="1:18" x14ac:dyDescent="0.25">
      <c r="A2545" s="170">
        <v>45750</v>
      </c>
      <c r="B2545" s="116">
        <v>5240.95</v>
      </c>
      <c r="C2545" s="116">
        <v>5202.6499999999996</v>
      </c>
      <c r="D2545" s="116">
        <v>5131</v>
      </c>
      <c r="E2545" s="116">
        <v>5170.25</v>
      </c>
      <c r="F2545" s="116">
        <v>5202.6499999999996</v>
      </c>
      <c r="G2545">
        <v>23033</v>
      </c>
      <c r="H2545" s="116"/>
      <c r="I2545" s="116"/>
      <c r="L2545" s="170">
        <v>45750</v>
      </c>
      <c r="M2545" s="116">
        <v>5194.3999999999996</v>
      </c>
      <c r="N2545" s="116">
        <v>5244.55</v>
      </c>
      <c r="O2545" s="116">
        <v>5111.45</v>
      </c>
      <c r="P2545" s="116">
        <v>5180</v>
      </c>
      <c r="Q2545" s="116">
        <v>5194.3999999999996</v>
      </c>
      <c r="R2545">
        <v>306377</v>
      </c>
    </row>
    <row r="2546" spans="1:18" x14ac:dyDescent="0.25">
      <c r="A2546" s="170">
        <v>45751</v>
      </c>
      <c r="B2546" s="116">
        <v>5182.6000000000004</v>
      </c>
      <c r="C2546" s="116">
        <v>5058.7</v>
      </c>
      <c r="D2546" s="116">
        <v>5007</v>
      </c>
      <c r="E2546" s="116">
        <v>5150.3999999999996</v>
      </c>
      <c r="F2546" s="116">
        <v>5058.7</v>
      </c>
      <c r="G2546">
        <v>29689</v>
      </c>
      <c r="H2546" s="116"/>
      <c r="I2546" s="116"/>
      <c r="L2546" s="170">
        <v>45751</v>
      </c>
      <c r="M2546" s="116">
        <v>5056.6499999999996</v>
      </c>
      <c r="N2546" s="116">
        <v>5183.25</v>
      </c>
      <c r="O2546" s="116">
        <v>5004.3500000000004</v>
      </c>
      <c r="P2546" s="116">
        <v>5180</v>
      </c>
      <c r="Q2546" s="116">
        <v>5056.6499999999996</v>
      </c>
      <c r="R2546">
        <v>323433</v>
      </c>
    </row>
    <row r="2547" spans="1:18" x14ac:dyDescent="0.25">
      <c r="A2547" s="170">
        <v>45754</v>
      </c>
      <c r="B2547" s="116">
        <v>4904.8999999999996</v>
      </c>
      <c r="C2547" s="116">
        <v>4814.8</v>
      </c>
      <c r="D2547" s="116">
        <v>4601.05</v>
      </c>
      <c r="E2547" s="116">
        <v>4601.05</v>
      </c>
      <c r="F2547" s="116">
        <v>4814.8</v>
      </c>
      <c r="G2547">
        <v>61684</v>
      </c>
      <c r="H2547" s="116"/>
      <c r="I2547" s="116"/>
      <c r="L2547" s="170">
        <v>45754</v>
      </c>
      <c r="M2547" s="116">
        <v>4808.3</v>
      </c>
      <c r="N2547" s="116">
        <v>4900</v>
      </c>
      <c r="O2547" s="116">
        <v>4700</v>
      </c>
      <c r="P2547" s="116">
        <v>4790</v>
      </c>
      <c r="Q2547" s="116">
        <v>4808.3</v>
      </c>
      <c r="R2547">
        <v>345270</v>
      </c>
    </row>
    <row r="2548" spans="1:18" x14ac:dyDescent="0.25">
      <c r="A2548" s="170">
        <v>45755</v>
      </c>
      <c r="B2548" s="116">
        <v>5016.45</v>
      </c>
      <c r="C2548" s="116">
        <v>4867.6499999999996</v>
      </c>
      <c r="D2548" s="116">
        <v>4762.95</v>
      </c>
      <c r="E2548" s="116">
        <v>4924.7</v>
      </c>
      <c r="F2548" s="116">
        <v>4867.6499999999996</v>
      </c>
      <c r="G2548">
        <v>31601</v>
      </c>
      <c r="H2548" s="116"/>
      <c r="I2548" s="116"/>
      <c r="L2548" s="170">
        <v>45755</v>
      </c>
      <c r="M2548" s="116">
        <v>4869.3999999999996</v>
      </c>
      <c r="N2548" s="116">
        <v>5014.25</v>
      </c>
      <c r="O2548" s="116">
        <v>4760</v>
      </c>
      <c r="P2548" s="116">
        <v>4910.05</v>
      </c>
      <c r="Q2548" s="116">
        <v>4869.3999999999996</v>
      </c>
      <c r="R2548">
        <v>246320</v>
      </c>
    </row>
    <row r="2549" spans="1:18" x14ac:dyDescent="0.25">
      <c r="A2549" s="170">
        <v>45756</v>
      </c>
      <c r="B2549" s="116">
        <v>4868</v>
      </c>
      <c r="C2549" s="116">
        <v>4755.1499999999996</v>
      </c>
      <c r="D2549" s="116">
        <v>4731</v>
      </c>
      <c r="E2549" s="116">
        <v>4867.5</v>
      </c>
      <c r="F2549" s="116">
        <v>4755.1499999999996</v>
      </c>
      <c r="G2549">
        <v>14707</v>
      </c>
      <c r="H2549" s="116"/>
      <c r="I2549" s="116"/>
      <c r="L2549" s="170">
        <v>45756</v>
      </c>
      <c r="M2549" s="116">
        <v>4755.75</v>
      </c>
      <c r="N2549" s="116">
        <v>4870</v>
      </c>
      <c r="O2549" s="116">
        <v>4729.05</v>
      </c>
      <c r="P2549" s="116">
        <v>4857</v>
      </c>
      <c r="Q2549" s="116">
        <v>4755.75</v>
      </c>
      <c r="R2549">
        <v>206934</v>
      </c>
    </row>
    <row r="2550" spans="1:18" x14ac:dyDescent="0.25">
      <c r="A2550" s="170">
        <v>45758</v>
      </c>
      <c r="B2550" s="116">
        <v>4883</v>
      </c>
      <c r="C2550" s="116">
        <v>4752.1000000000004</v>
      </c>
      <c r="D2550" s="116">
        <v>4709.55</v>
      </c>
      <c r="E2550" s="116">
        <v>4795.55</v>
      </c>
      <c r="F2550" s="116">
        <v>4752.1000000000004</v>
      </c>
      <c r="G2550">
        <v>16783</v>
      </c>
      <c r="H2550" s="116"/>
      <c r="I2550" s="116"/>
      <c r="L2550" s="170">
        <v>45758</v>
      </c>
      <c r="M2550" s="116">
        <v>4752.05</v>
      </c>
      <c r="N2550" s="116">
        <v>4897</v>
      </c>
      <c r="O2550" s="116">
        <v>4709</v>
      </c>
      <c r="P2550" s="116">
        <v>4762</v>
      </c>
      <c r="Q2550" s="116">
        <v>4752.05</v>
      </c>
      <c r="R2550">
        <v>308561</v>
      </c>
    </row>
    <row r="2551" spans="1:18" x14ac:dyDescent="0.25">
      <c r="A2551" s="170">
        <v>45762</v>
      </c>
      <c r="B2551" s="116">
        <v>4972.05</v>
      </c>
      <c r="C2551" s="116">
        <v>4939.8999999999996</v>
      </c>
      <c r="D2551" s="116">
        <v>4800</v>
      </c>
      <c r="E2551" s="116">
        <v>4864.8500000000004</v>
      </c>
      <c r="F2551" s="116">
        <v>4939.8999999999996</v>
      </c>
      <c r="G2551">
        <v>39412</v>
      </c>
      <c r="H2551" s="116"/>
      <c r="I2551" s="116"/>
      <c r="L2551" s="170">
        <v>45762</v>
      </c>
      <c r="M2551" s="116">
        <v>4931</v>
      </c>
      <c r="N2551" s="116">
        <v>4973.5</v>
      </c>
      <c r="O2551" s="116">
        <v>4801</v>
      </c>
      <c r="P2551" s="116">
        <v>4849</v>
      </c>
      <c r="Q2551" s="116">
        <v>4931</v>
      </c>
      <c r="R2551">
        <v>334703</v>
      </c>
    </row>
    <row r="2552" spans="1:18" x14ac:dyDescent="0.25">
      <c r="A2552" s="170">
        <v>45763</v>
      </c>
      <c r="B2552" s="116">
        <v>4969.8500000000004</v>
      </c>
      <c r="C2552" s="116">
        <v>4930.5</v>
      </c>
      <c r="D2552" s="116">
        <v>4855</v>
      </c>
      <c r="E2552" s="116">
        <v>4969.8500000000004</v>
      </c>
      <c r="F2552" s="116">
        <v>4930.5</v>
      </c>
      <c r="G2552">
        <v>30537</v>
      </c>
      <c r="H2552" s="116"/>
      <c r="I2552" s="116"/>
      <c r="L2552" s="170">
        <v>45763</v>
      </c>
      <c r="M2552" s="116">
        <v>4929</v>
      </c>
      <c r="N2552" s="116">
        <v>4948</v>
      </c>
      <c r="O2552" s="116">
        <v>4853</v>
      </c>
      <c r="P2552" s="116">
        <v>4948</v>
      </c>
      <c r="Q2552" s="116">
        <v>4929</v>
      </c>
      <c r="R2552">
        <v>333482</v>
      </c>
    </row>
    <row r="2553" spans="1:18" x14ac:dyDescent="0.25">
      <c r="A2553" s="170">
        <v>45764</v>
      </c>
      <c r="B2553" s="116">
        <v>4937.95</v>
      </c>
      <c r="C2553" s="116">
        <v>4899.75</v>
      </c>
      <c r="D2553" s="116">
        <v>4827.05</v>
      </c>
      <c r="E2553" s="116">
        <v>4919.6000000000004</v>
      </c>
      <c r="F2553" s="116">
        <v>4899.75</v>
      </c>
      <c r="G2553">
        <v>33794</v>
      </c>
      <c r="H2553" s="116"/>
      <c r="I2553" s="116"/>
      <c r="L2553" s="170">
        <v>45764</v>
      </c>
      <c r="M2553" s="116">
        <v>4900.5</v>
      </c>
      <c r="N2553" s="116">
        <v>4936</v>
      </c>
      <c r="O2553" s="116">
        <v>4826.5</v>
      </c>
      <c r="P2553" s="116">
        <v>4906</v>
      </c>
      <c r="Q2553" s="116">
        <v>4900.5</v>
      </c>
      <c r="R2553">
        <v>363566</v>
      </c>
    </row>
    <row r="2554" spans="1:18" x14ac:dyDescent="0.25">
      <c r="A2554" s="170">
        <v>45768</v>
      </c>
      <c r="B2554" s="116">
        <v>5399.05</v>
      </c>
      <c r="C2554" s="116">
        <v>5344.55</v>
      </c>
      <c r="D2554" s="116">
        <v>4801</v>
      </c>
      <c r="E2554" s="116">
        <v>4801</v>
      </c>
      <c r="F2554" s="116">
        <v>5344.55</v>
      </c>
      <c r="G2554">
        <v>197825</v>
      </c>
      <c r="H2554" s="116"/>
      <c r="I2554" s="116"/>
      <c r="L2554" s="170">
        <v>45768</v>
      </c>
      <c r="M2554" s="116">
        <v>5342</v>
      </c>
      <c r="N2554" s="116">
        <v>5396.5</v>
      </c>
      <c r="O2554" s="116">
        <v>4805</v>
      </c>
      <c r="P2554" s="116">
        <v>4805</v>
      </c>
      <c r="Q2554" s="116">
        <v>5342</v>
      </c>
      <c r="R2554">
        <v>2852407</v>
      </c>
    </row>
    <row r="2555" spans="1:18" x14ac:dyDescent="0.25">
      <c r="A2555" s="170">
        <v>45769</v>
      </c>
      <c r="B2555" s="116">
        <v>5494.7</v>
      </c>
      <c r="C2555" s="116">
        <v>5479.55</v>
      </c>
      <c r="D2555" s="116">
        <v>5251.8</v>
      </c>
      <c r="E2555" s="116">
        <v>5349.2</v>
      </c>
      <c r="F2555" s="116">
        <v>5479.55</v>
      </c>
      <c r="G2555">
        <v>100230</v>
      </c>
      <c r="H2555" s="116"/>
      <c r="I2555" s="116"/>
      <c r="L2555" s="170">
        <v>45769</v>
      </c>
      <c r="M2555" s="116">
        <v>5480</v>
      </c>
      <c r="N2555" s="116">
        <v>5495.5</v>
      </c>
      <c r="O2555" s="116">
        <v>5268.5</v>
      </c>
      <c r="P2555" s="116">
        <v>5335</v>
      </c>
      <c r="Q2555" s="116">
        <v>5480</v>
      </c>
      <c r="R2555">
        <v>888502</v>
      </c>
    </row>
    <row r="2556" spans="1:18" x14ac:dyDescent="0.25">
      <c r="A2556" s="170">
        <v>45770</v>
      </c>
      <c r="B2556" s="116">
        <v>5675</v>
      </c>
      <c r="C2556" s="116">
        <v>5663.8</v>
      </c>
      <c r="D2556" s="116">
        <v>5471.75</v>
      </c>
      <c r="E2556" s="116">
        <v>5499.15</v>
      </c>
      <c r="F2556" s="116">
        <v>5663.8</v>
      </c>
      <c r="G2556">
        <v>69626</v>
      </c>
      <c r="H2556" s="116"/>
      <c r="I2556" s="116"/>
      <c r="L2556" s="170">
        <v>45770</v>
      </c>
      <c r="M2556" s="116">
        <v>5664.5</v>
      </c>
      <c r="N2556" s="116">
        <v>5678.5</v>
      </c>
      <c r="O2556" s="116">
        <v>5465</v>
      </c>
      <c r="P2556" s="116">
        <v>5480</v>
      </c>
      <c r="Q2556" s="116">
        <v>5664.5</v>
      </c>
      <c r="R2556">
        <v>820053</v>
      </c>
    </row>
    <row r="2557" spans="1:18" x14ac:dyDescent="0.25">
      <c r="A2557" s="170">
        <v>45771</v>
      </c>
      <c r="B2557" s="116">
        <v>5940</v>
      </c>
      <c r="C2557" s="116">
        <v>5918.1</v>
      </c>
      <c r="D2557" s="116">
        <v>5665</v>
      </c>
      <c r="E2557" s="116">
        <v>5677</v>
      </c>
      <c r="F2557" s="116">
        <v>5918.1</v>
      </c>
      <c r="G2557">
        <v>100966</v>
      </c>
      <c r="H2557" s="116"/>
      <c r="I2557" s="116"/>
      <c r="L2557" s="170">
        <v>45771</v>
      </c>
      <c r="M2557" s="116">
        <v>5918</v>
      </c>
      <c r="N2557" s="116">
        <v>5940</v>
      </c>
      <c r="O2557" s="116">
        <v>5664</v>
      </c>
      <c r="P2557" s="116">
        <v>5678</v>
      </c>
      <c r="Q2557" s="116">
        <v>5918</v>
      </c>
      <c r="R2557">
        <v>1253303</v>
      </c>
    </row>
    <row r="2558" spans="1:18" x14ac:dyDescent="0.25">
      <c r="A2558" s="170">
        <v>45772</v>
      </c>
      <c r="B2558" s="116">
        <v>5959.95</v>
      </c>
      <c r="C2558" s="116">
        <v>5610.05</v>
      </c>
      <c r="D2558" s="116">
        <v>5590</v>
      </c>
      <c r="E2558" s="116">
        <v>5948.1</v>
      </c>
      <c r="F2558" s="116">
        <v>5610.05</v>
      </c>
      <c r="G2558">
        <v>79548</v>
      </c>
      <c r="H2558" s="116"/>
      <c r="I2558" s="116"/>
      <c r="L2558" s="170">
        <v>45772</v>
      </c>
      <c r="M2558" s="116">
        <v>5612.5</v>
      </c>
      <c r="N2558" s="116">
        <v>5958</v>
      </c>
      <c r="O2558" s="116">
        <v>5593</v>
      </c>
      <c r="P2558" s="116">
        <v>5949.5</v>
      </c>
      <c r="Q2558" s="116">
        <v>5612.5</v>
      </c>
      <c r="R2558">
        <v>610205</v>
      </c>
    </row>
    <row r="2559" spans="1:18" x14ac:dyDescent="0.25">
      <c r="A2559" s="170">
        <v>45775</v>
      </c>
      <c r="B2559" s="116">
        <v>5710</v>
      </c>
      <c r="C2559" s="116">
        <v>5690.65</v>
      </c>
      <c r="D2559" s="116">
        <v>5567.65</v>
      </c>
      <c r="E2559" s="116">
        <v>5612.25</v>
      </c>
      <c r="F2559" s="116">
        <v>5690.65</v>
      </c>
      <c r="G2559">
        <v>24514</v>
      </c>
      <c r="H2559" s="116"/>
      <c r="I2559" s="116"/>
      <c r="L2559" s="170">
        <v>45775</v>
      </c>
      <c r="M2559" s="116">
        <v>5689</v>
      </c>
      <c r="N2559" s="116">
        <v>5708</v>
      </c>
      <c r="O2559" s="116">
        <v>5568</v>
      </c>
      <c r="P2559" s="116">
        <v>5612.5</v>
      </c>
      <c r="Q2559" s="116">
        <v>5689</v>
      </c>
      <c r="R2559">
        <v>332068</v>
      </c>
    </row>
    <row r="2560" spans="1:18" x14ac:dyDescent="0.25">
      <c r="A2560" s="170">
        <v>45776</v>
      </c>
      <c r="B2560" s="116">
        <v>5818.4</v>
      </c>
      <c r="C2560" s="116">
        <v>5762.35</v>
      </c>
      <c r="D2560" s="116">
        <v>5710</v>
      </c>
      <c r="E2560" s="116">
        <v>5735.9</v>
      </c>
      <c r="F2560" s="116">
        <v>5762.35</v>
      </c>
      <c r="G2560">
        <v>29986</v>
      </c>
      <c r="H2560" s="116"/>
      <c r="I2560" s="116"/>
      <c r="L2560" s="170">
        <v>45776</v>
      </c>
      <c r="M2560" s="116">
        <v>5764</v>
      </c>
      <c r="N2560" s="116">
        <v>5817</v>
      </c>
      <c r="O2560" s="116">
        <v>5702.5</v>
      </c>
      <c r="P2560" s="116">
        <v>5702.5</v>
      </c>
      <c r="Q2560" s="116">
        <v>5764</v>
      </c>
      <c r="R2560">
        <v>246518</v>
      </c>
    </row>
    <row r="2561" spans="1:18" x14ac:dyDescent="0.25">
      <c r="A2561" s="170">
        <v>45777</v>
      </c>
      <c r="B2561" s="116">
        <v>5800</v>
      </c>
      <c r="C2561" s="116">
        <v>5763.9</v>
      </c>
      <c r="D2561" s="116">
        <v>5655.35</v>
      </c>
      <c r="E2561" s="116">
        <v>5775</v>
      </c>
      <c r="F2561" s="116">
        <v>5763.9</v>
      </c>
      <c r="G2561">
        <v>9143</v>
      </c>
      <c r="H2561" s="116"/>
      <c r="I2561" s="116"/>
      <c r="L2561" s="170">
        <v>45777</v>
      </c>
      <c r="M2561" s="116">
        <v>5766</v>
      </c>
      <c r="N2561" s="116">
        <v>5800</v>
      </c>
      <c r="O2561" s="116">
        <v>5655</v>
      </c>
      <c r="P2561" s="116">
        <v>5765</v>
      </c>
      <c r="Q2561" s="116">
        <v>5766</v>
      </c>
      <c r="R2561">
        <v>216288</v>
      </c>
    </row>
    <row r="2562" spans="1:18" x14ac:dyDescent="0.25">
      <c r="A2562" s="170">
        <v>45779</v>
      </c>
      <c r="B2562" s="116">
        <v>5876</v>
      </c>
      <c r="C2562" s="116">
        <v>5820.75</v>
      </c>
      <c r="D2562" s="116">
        <v>5725.65</v>
      </c>
      <c r="E2562" s="116">
        <v>5725.65</v>
      </c>
      <c r="F2562" s="116">
        <v>5820.75</v>
      </c>
      <c r="G2562">
        <v>20755</v>
      </c>
      <c r="H2562" s="116"/>
      <c r="I2562" s="116"/>
      <c r="L2562" s="170">
        <v>45779</v>
      </c>
      <c r="M2562" s="116">
        <v>5821</v>
      </c>
      <c r="N2562" s="116">
        <v>5879</v>
      </c>
      <c r="O2562" s="116">
        <v>5727.5</v>
      </c>
      <c r="P2562" s="116">
        <v>5750</v>
      </c>
      <c r="Q2562" s="116">
        <v>5821</v>
      </c>
      <c r="R2562">
        <v>234289</v>
      </c>
    </row>
    <row r="2563" spans="1:18" x14ac:dyDescent="0.25">
      <c r="A2563" s="170">
        <v>45782</v>
      </c>
      <c r="B2563" s="116">
        <v>5859.95</v>
      </c>
      <c r="C2563" s="116">
        <v>5816.3</v>
      </c>
      <c r="D2563" s="116">
        <v>5788.1</v>
      </c>
      <c r="E2563" s="116">
        <v>5840</v>
      </c>
      <c r="F2563" s="116">
        <v>5816.3</v>
      </c>
      <c r="G2563">
        <v>7762</v>
      </c>
      <c r="H2563" s="116"/>
      <c r="I2563" s="116"/>
      <c r="L2563" s="170">
        <v>45782</v>
      </c>
      <c r="M2563" s="116">
        <v>5817</v>
      </c>
      <c r="N2563" s="116">
        <v>5857</v>
      </c>
      <c r="O2563" s="116">
        <v>5785</v>
      </c>
      <c r="P2563" s="116">
        <v>5845</v>
      </c>
      <c r="Q2563" s="116">
        <v>5817</v>
      </c>
      <c r="R2563">
        <v>118811</v>
      </c>
    </row>
    <row r="2564" spans="1:18" x14ac:dyDescent="0.25">
      <c r="A2564" s="170">
        <v>45783</v>
      </c>
      <c r="B2564" s="116">
        <v>5852</v>
      </c>
      <c r="C2564" s="116">
        <v>5700.5</v>
      </c>
      <c r="D2564" s="116">
        <v>5678.1</v>
      </c>
      <c r="E2564" s="116">
        <v>5848.85</v>
      </c>
      <c r="F2564" s="116">
        <v>5700.5</v>
      </c>
      <c r="G2564">
        <v>7509</v>
      </c>
      <c r="H2564" s="116"/>
      <c r="I2564" s="116"/>
      <c r="L2564" s="170">
        <v>45783</v>
      </c>
      <c r="M2564" s="116">
        <v>5700</v>
      </c>
      <c r="N2564" s="116">
        <v>5857.5</v>
      </c>
      <c r="O2564" s="116">
        <v>5680</v>
      </c>
      <c r="P2564" s="116">
        <v>5830</v>
      </c>
      <c r="Q2564" s="116">
        <v>5700</v>
      </c>
      <c r="R2564">
        <v>148067</v>
      </c>
    </row>
    <row r="2565" spans="1:18" x14ac:dyDescent="0.25">
      <c r="A2565" s="170">
        <v>45784</v>
      </c>
      <c r="B2565" s="116">
        <v>5773.4</v>
      </c>
      <c r="C2565" s="116">
        <v>5758.5</v>
      </c>
      <c r="D2565" s="116">
        <v>5555.55</v>
      </c>
      <c r="E2565" s="116">
        <v>5555.55</v>
      </c>
      <c r="F2565" s="116">
        <v>5758.5</v>
      </c>
      <c r="G2565">
        <v>21550</v>
      </c>
      <c r="H2565" s="116"/>
      <c r="I2565" s="116"/>
      <c r="L2565" s="170">
        <v>45784</v>
      </c>
      <c r="M2565" s="116">
        <v>5758</v>
      </c>
      <c r="N2565" s="116">
        <v>5775</v>
      </c>
      <c r="O2565" s="116">
        <v>5575</v>
      </c>
      <c r="P2565" s="116">
        <v>5589</v>
      </c>
      <c r="Q2565" s="116">
        <v>5758</v>
      </c>
      <c r="R2565">
        <v>132215</v>
      </c>
    </row>
    <row r="2566" spans="1:18" x14ac:dyDescent="0.25">
      <c r="A2566" s="170">
        <v>45785</v>
      </c>
      <c r="B2566" s="116">
        <v>5929.4</v>
      </c>
      <c r="C2566" s="116">
        <v>5696.75</v>
      </c>
      <c r="D2566" s="116">
        <v>5650.5</v>
      </c>
      <c r="E2566" s="116">
        <v>5731.45</v>
      </c>
      <c r="F2566" s="116">
        <v>5696.75</v>
      </c>
      <c r="G2566">
        <v>26533</v>
      </c>
      <c r="H2566" s="116"/>
      <c r="I2566" s="116"/>
      <c r="L2566" s="170">
        <v>45785</v>
      </c>
      <c r="M2566" s="116">
        <v>5711.5</v>
      </c>
      <c r="N2566" s="116">
        <v>5933</v>
      </c>
      <c r="O2566" s="116">
        <v>5656.5</v>
      </c>
      <c r="P2566" s="116">
        <v>5758</v>
      </c>
      <c r="Q2566" s="116">
        <v>5711.5</v>
      </c>
      <c r="R2566">
        <v>235617</v>
      </c>
    </row>
    <row r="2567" spans="1:18" x14ac:dyDescent="0.25">
      <c r="A2567" s="170">
        <v>45786</v>
      </c>
      <c r="B2567" s="116">
        <v>5772.7</v>
      </c>
      <c r="C2567" s="116">
        <v>5738.45</v>
      </c>
      <c r="D2567" s="116">
        <v>5442.75</v>
      </c>
      <c r="E2567" s="116">
        <v>5500.3</v>
      </c>
      <c r="F2567" s="116">
        <v>5738.45</v>
      </c>
      <c r="G2567">
        <v>17242</v>
      </c>
      <c r="H2567" s="116"/>
      <c r="I2567" s="116"/>
      <c r="L2567" s="170">
        <v>45786</v>
      </c>
      <c r="M2567" s="116">
        <v>5738</v>
      </c>
      <c r="N2567" s="116">
        <v>5775</v>
      </c>
      <c r="O2567" s="116">
        <v>5400</v>
      </c>
      <c r="P2567" s="116">
        <v>5400</v>
      </c>
      <c r="Q2567" s="116">
        <v>5738</v>
      </c>
      <c r="R2567">
        <v>311908</v>
      </c>
    </row>
    <row r="2568" spans="1:18" x14ac:dyDescent="0.25">
      <c r="A2568" s="170">
        <v>45789</v>
      </c>
      <c r="B2568" s="116">
        <v>6116</v>
      </c>
      <c r="C2568" s="116">
        <v>6096.9</v>
      </c>
      <c r="D2568" s="116">
        <v>5795.3</v>
      </c>
      <c r="E2568" s="116">
        <v>5840</v>
      </c>
      <c r="F2568" s="116">
        <v>6096.9</v>
      </c>
      <c r="G2568">
        <v>48423</v>
      </c>
      <c r="H2568" s="116"/>
      <c r="I2568" s="116"/>
      <c r="L2568" s="170">
        <v>45789</v>
      </c>
      <c r="M2568" s="116">
        <v>6100</v>
      </c>
      <c r="N2568" s="116">
        <v>6120</v>
      </c>
      <c r="O2568" s="116">
        <v>5794</v>
      </c>
      <c r="P2568" s="116">
        <v>5851.5</v>
      </c>
      <c r="Q2568" s="116">
        <v>6100</v>
      </c>
      <c r="R2568">
        <v>462268</v>
      </c>
    </row>
    <row r="2569" spans="1:18" x14ac:dyDescent="0.25">
      <c r="A2569" s="170">
        <v>45790</v>
      </c>
      <c r="B2569" s="116">
        <v>6132.1</v>
      </c>
      <c r="C2569" s="116">
        <v>5984.05</v>
      </c>
      <c r="D2569" s="116">
        <v>5972.75</v>
      </c>
      <c r="E2569" s="116">
        <v>6091.4</v>
      </c>
      <c r="F2569" s="116">
        <v>5984.05</v>
      </c>
      <c r="G2569">
        <v>15474</v>
      </c>
      <c r="H2569" s="116"/>
      <c r="I2569" s="116"/>
      <c r="L2569" s="170">
        <v>45790</v>
      </c>
      <c r="M2569" s="116">
        <v>5986</v>
      </c>
      <c r="N2569" s="116">
        <v>6124.5</v>
      </c>
      <c r="O2569" s="116">
        <v>5973</v>
      </c>
      <c r="P2569" s="116">
        <v>6109.5</v>
      </c>
      <c r="Q2569" s="116">
        <v>5986</v>
      </c>
      <c r="R2569">
        <v>222313</v>
      </c>
    </row>
    <row r="2570" spans="1:18" x14ac:dyDescent="0.25">
      <c r="A2570" s="170">
        <v>45791</v>
      </c>
      <c r="B2570" s="116">
        <v>6134.85</v>
      </c>
      <c r="C2570" s="116">
        <v>6096.5</v>
      </c>
      <c r="D2570" s="116">
        <v>5983.3</v>
      </c>
      <c r="E2570" s="116">
        <v>6046.95</v>
      </c>
      <c r="F2570" s="116">
        <v>6096.5</v>
      </c>
      <c r="G2570">
        <v>13632</v>
      </c>
      <c r="H2570" s="116"/>
      <c r="I2570" s="116"/>
      <c r="L2570" s="170">
        <v>45791</v>
      </c>
      <c r="M2570" s="116">
        <v>6100.5</v>
      </c>
      <c r="N2570" s="116">
        <v>6134</v>
      </c>
      <c r="O2570" s="116">
        <v>5981</v>
      </c>
      <c r="P2570" s="116">
        <v>6040.5</v>
      </c>
      <c r="Q2570" s="116">
        <v>6100.5</v>
      </c>
      <c r="R2570">
        <v>419269</v>
      </c>
    </row>
    <row r="2571" spans="1:18" x14ac:dyDescent="0.25">
      <c r="A2571" s="170">
        <v>45792</v>
      </c>
      <c r="B2571" s="116">
        <v>6210</v>
      </c>
      <c r="C2571" s="116">
        <v>6177.4</v>
      </c>
      <c r="D2571" s="116">
        <v>6060.65</v>
      </c>
      <c r="E2571" s="116">
        <v>6129.95</v>
      </c>
      <c r="F2571" s="116">
        <v>6177.4</v>
      </c>
      <c r="G2571">
        <v>17129</v>
      </c>
      <c r="H2571" s="116"/>
      <c r="I2571" s="116"/>
      <c r="L2571" s="170">
        <v>45792</v>
      </c>
      <c r="M2571" s="116">
        <v>6180.5</v>
      </c>
      <c r="N2571" s="116">
        <v>6210</v>
      </c>
      <c r="O2571" s="116">
        <v>6061.5</v>
      </c>
      <c r="P2571" s="116">
        <v>6100.5</v>
      </c>
      <c r="Q2571" s="116">
        <v>6180.5</v>
      </c>
      <c r="R2571">
        <v>257339</v>
      </c>
    </row>
    <row r="2572" spans="1:18" x14ac:dyDescent="0.25">
      <c r="A2572" s="170">
        <v>45793</v>
      </c>
      <c r="B2572" s="116">
        <v>6230.1</v>
      </c>
      <c r="C2572" s="116">
        <v>6212.6</v>
      </c>
      <c r="D2572" s="116">
        <v>6164.25</v>
      </c>
      <c r="E2572" s="116">
        <v>6225.1</v>
      </c>
      <c r="F2572" s="116">
        <v>6212.6</v>
      </c>
      <c r="G2572">
        <v>9724</v>
      </c>
      <c r="H2572" s="116"/>
      <c r="I2572" s="116"/>
      <c r="L2572" s="170">
        <v>45793</v>
      </c>
      <c r="M2572" s="116">
        <v>6212</v>
      </c>
      <c r="N2572" s="116">
        <v>6228</v>
      </c>
      <c r="O2572" s="116">
        <v>6165</v>
      </c>
      <c r="P2572" s="116">
        <v>6219.5</v>
      </c>
      <c r="Q2572" s="116">
        <v>6212</v>
      </c>
      <c r="R2572">
        <v>140760</v>
      </c>
    </row>
    <row r="2573" spans="1:18" x14ac:dyDescent="0.25">
      <c r="A2573" s="170">
        <v>45796</v>
      </c>
      <c r="B2573" s="116">
        <v>6275</v>
      </c>
      <c r="C2573" s="116">
        <v>6239.35</v>
      </c>
      <c r="D2573" s="116">
        <v>6173.7</v>
      </c>
      <c r="E2573" s="116">
        <v>6217.5</v>
      </c>
      <c r="F2573" s="116">
        <v>6239.35</v>
      </c>
      <c r="G2573">
        <v>19148</v>
      </c>
      <c r="H2573" s="116"/>
      <c r="I2573" s="116"/>
      <c r="L2573" s="170">
        <v>45796</v>
      </c>
      <c r="M2573" s="116">
        <v>6245</v>
      </c>
      <c r="N2573" s="116">
        <v>6275.5</v>
      </c>
      <c r="O2573" s="116">
        <v>6175.5</v>
      </c>
      <c r="P2573" s="116">
        <v>6229.5</v>
      </c>
      <c r="Q2573" s="116">
        <v>6245</v>
      </c>
      <c r="R2573">
        <v>145251</v>
      </c>
    </row>
    <row r="2574" spans="1:18" x14ac:dyDescent="0.25">
      <c r="A2574" s="170">
        <v>45797</v>
      </c>
      <c r="B2574" s="116">
        <v>6315.75</v>
      </c>
      <c r="C2574" s="116">
        <v>6196.8</v>
      </c>
      <c r="D2574" s="116">
        <v>6179.25</v>
      </c>
      <c r="E2574" s="116">
        <v>6290</v>
      </c>
      <c r="F2574" s="116">
        <v>6196.8</v>
      </c>
      <c r="G2574">
        <v>17799</v>
      </c>
      <c r="H2574" s="116"/>
      <c r="I2574" s="116"/>
      <c r="L2574" s="170">
        <v>45797</v>
      </c>
      <c r="M2574" s="116">
        <v>6195.5</v>
      </c>
      <c r="N2574" s="116">
        <v>6319.5</v>
      </c>
      <c r="O2574" s="116">
        <v>6170</v>
      </c>
      <c r="P2574" s="116">
        <v>6309</v>
      </c>
      <c r="Q2574" s="116">
        <v>6195.5</v>
      </c>
      <c r="R2574">
        <v>250930</v>
      </c>
    </row>
    <row r="2575" spans="1:18" x14ac:dyDescent="0.25">
      <c r="A2575" s="170">
        <v>45798</v>
      </c>
      <c r="B2575" s="116">
        <v>6211.35</v>
      </c>
      <c r="C2575" s="116">
        <v>6181.55</v>
      </c>
      <c r="D2575" s="116">
        <v>6126.1</v>
      </c>
      <c r="E2575" s="116">
        <v>6177.2</v>
      </c>
      <c r="F2575" s="116">
        <v>6181.55</v>
      </c>
      <c r="G2575">
        <v>17515</v>
      </c>
      <c r="H2575" s="116"/>
      <c r="I2575" s="116"/>
      <c r="L2575" s="170">
        <v>45798</v>
      </c>
      <c r="M2575" s="116">
        <v>6184.5</v>
      </c>
      <c r="N2575" s="116">
        <v>6216.5</v>
      </c>
      <c r="O2575" s="116">
        <v>6126</v>
      </c>
      <c r="P2575" s="116">
        <v>6195.5</v>
      </c>
      <c r="Q2575" s="116">
        <v>6184.5</v>
      </c>
      <c r="R2575">
        <v>105149</v>
      </c>
    </row>
    <row r="2576" spans="1:18" x14ac:dyDescent="0.25">
      <c r="A2576" s="170">
        <v>45799</v>
      </c>
      <c r="B2576" s="116">
        <v>6212.45</v>
      </c>
      <c r="C2576" s="116">
        <v>6201.35</v>
      </c>
      <c r="D2576" s="116">
        <v>6139.85</v>
      </c>
      <c r="E2576" s="116">
        <v>6199.8</v>
      </c>
      <c r="F2576" s="116">
        <v>6201.35</v>
      </c>
      <c r="G2576">
        <v>5204</v>
      </c>
      <c r="H2576" s="116"/>
      <c r="I2576" s="116"/>
      <c r="L2576" s="170">
        <v>45799</v>
      </c>
      <c r="M2576" s="116">
        <v>6202.5</v>
      </c>
      <c r="N2576" s="116">
        <v>6215</v>
      </c>
      <c r="O2576" s="116">
        <v>6135</v>
      </c>
      <c r="P2576" s="116">
        <v>6180</v>
      </c>
      <c r="Q2576" s="116">
        <v>6202.5</v>
      </c>
      <c r="R2576">
        <v>104618</v>
      </c>
    </row>
    <row r="2577" spans="1:18" x14ac:dyDescent="0.25">
      <c r="A2577" s="170">
        <v>45800</v>
      </c>
      <c r="B2577" s="116">
        <v>6305.25</v>
      </c>
      <c r="C2577" s="116">
        <v>6286.95</v>
      </c>
      <c r="D2577" s="116">
        <v>6200.05</v>
      </c>
      <c r="E2577" s="116">
        <v>6200.05</v>
      </c>
      <c r="F2577" s="116">
        <v>6286.95</v>
      </c>
      <c r="G2577">
        <v>9279</v>
      </c>
      <c r="H2577" s="116"/>
      <c r="I2577" s="116"/>
      <c r="L2577" s="170">
        <v>45800</v>
      </c>
      <c r="M2577" s="116">
        <v>6290.5</v>
      </c>
      <c r="N2577" s="116">
        <v>6304.5</v>
      </c>
      <c r="O2577" s="116">
        <v>6202.5</v>
      </c>
      <c r="P2577" s="116">
        <v>6210</v>
      </c>
      <c r="Q2577" s="116">
        <v>6290.5</v>
      </c>
      <c r="R2577">
        <v>158757</v>
      </c>
    </row>
    <row r="2578" spans="1:18" x14ac:dyDescent="0.25">
      <c r="A2578" s="170">
        <v>45803</v>
      </c>
      <c r="B2578" s="116">
        <v>6451</v>
      </c>
      <c r="C2578" s="116">
        <v>6426.45</v>
      </c>
      <c r="D2578" s="116">
        <v>6280</v>
      </c>
      <c r="E2578" s="116">
        <v>6304</v>
      </c>
      <c r="F2578" s="116">
        <v>6426.45</v>
      </c>
      <c r="G2578">
        <v>15654</v>
      </c>
      <c r="H2578" s="116"/>
      <c r="I2578" s="116"/>
      <c r="L2578" s="170">
        <v>45803</v>
      </c>
      <c r="M2578" s="116">
        <v>6431.5</v>
      </c>
      <c r="N2578" s="116">
        <v>6453.5</v>
      </c>
      <c r="O2578" s="116">
        <v>6278</v>
      </c>
      <c r="P2578" s="116">
        <v>6300</v>
      </c>
      <c r="Q2578" s="116">
        <v>6431.5</v>
      </c>
      <c r="R2578">
        <v>211742</v>
      </c>
    </row>
    <row r="2579" spans="1:18" x14ac:dyDescent="0.25">
      <c r="A2579" s="170">
        <v>45804</v>
      </c>
      <c r="B2579" s="116">
        <v>6499.25</v>
      </c>
      <c r="C2579" s="116">
        <v>6413.9</v>
      </c>
      <c r="D2579" s="116">
        <v>6363.15</v>
      </c>
      <c r="E2579" s="116">
        <v>6499.25</v>
      </c>
      <c r="F2579" s="116">
        <v>6413.9</v>
      </c>
      <c r="G2579">
        <v>6986</v>
      </c>
      <c r="H2579" s="116"/>
      <c r="I2579" s="116"/>
      <c r="L2579" s="170">
        <v>45804</v>
      </c>
      <c r="M2579" s="116">
        <v>6410</v>
      </c>
      <c r="N2579" s="116">
        <v>6470</v>
      </c>
      <c r="O2579" s="116">
        <v>6365</v>
      </c>
      <c r="P2579" s="116">
        <v>6445</v>
      </c>
      <c r="Q2579" s="116">
        <v>6410</v>
      </c>
      <c r="R2579">
        <v>148800</v>
      </c>
    </row>
    <row r="2580" spans="1:18" x14ac:dyDescent="0.25">
      <c r="A2580" s="170">
        <v>45805</v>
      </c>
      <c r="B2580" s="116">
        <v>6478</v>
      </c>
      <c r="C2580" s="116">
        <v>6467.75</v>
      </c>
      <c r="D2580" s="116">
        <v>6359.15</v>
      </c>
      <c r="E2580" s="116">
        <v>6428</v>
      </c>
      <c r="F2580" s="116">
        <v>6467.75</v>
      </c>
      <c r="G2580">
        <v>20619</v>
      </c>
      <c r="H2580" s="116"/>
      <c r="I2580" s="116"/>
      <c r="L2580" s="170">
        <v>45805</v>
      </c>
      <c r="M2580" s="116">
        <v>6471</v>
      </c>
      <c r="N2580" s="116">
        <v>6500</v>
      </c>
      <c r="O2580" s="116">
        <v>6354.5</v>
      </c>
      <c r="P2580" s="116">
        <v>6420</v>
      </c>
      <c r="Q2580" s="116">
        <v>6471</v>
      </c>
      <c r="R2580">
        <v>175553</v>
      </c>
    </row>
    <row r="2581" spans="1:18" x14ac:dyDescent="0.25">
      <c r="A2581" s="170">
        <v>45806</v>
      </c>
      <c r="B2581" s="116">
        <v>6543.15</v>
      </c>
      <c r="C2581" s="116">
        <v>6501.95</v>
      </c>
      <c r="D2581" s="116">
        <v>6422.05</v>
      </c>
      <c r="E2581" s="116">
        <v>6543.15</v>
      </c>
      <c r="F2581" s="116">
        <v>6501.95</v>
      </c>
      <c r="G2581">
        <v>9208</v>
      </c>
      <c r="H2581" s="116"/>
      <c r="I2581" s="116"/>
      <c r="L2581" s="170">
        <v>45806</v>
      </c>
      <c r="M2581" s="116">
        <v>6499.5</v>
      </c>
      <c r="N2581" s="116">
        <v>6535</v>
      </c>
      <c r="O2581" s="116">
        <v>6421</v>
      </c>
      <c r="P2581" s="116">
        <v>6475</v>
      </c>
      <c r="Q2581" s="116">
        <v>6499.5</v>
      </c>
      <c r="R2581">
        <v>171811</v>
      </c>
    </row>
    <row r="2582" spans="1:18" x14ac:dyDescent="0.25">
      <c r="A2582" s="170">
        <v>45807</v>
      </c>
      <c r="B2582" s="116">
        <v>6514.95</v>
      </c>
      <c r="C2582" s="116">
        <v>6435.5</v>
      </c>
      <c r="D2582" s="116">
        <v>6400</v>
      </c>
      <c r="E2582" s="116">
        <v>6480.65</v>
      </c>
      <c r="F2582" s="116">
        <v>6435.5</v>
      </c>
      <c r="G2582">
        <v>15979</v>
      </c>
      <c r="H2582" s="116"/>
      <c r="I2582" s="116"/>
      <c r="L2582" s="170">
        <v>45807</v>
      </c>
      <c r="M2582" s="116">
        <v>6439.5</v>
      </c>
      <c r="N2582" s="116">
        <v>6520</v>
      </c>
      <c r="O2582" s="116">
        <v>6395.5</v>
      </c>
      <c r="P2582" s="116">
        <v>6512.5</v>
      </c>
      <c r="Q2582" s="116">
        <v>6439.5</v>
      </c>
      <c r="R2582">
        <v>209158</v>
      </c>
    </row>
    <row r="2583" spans="1:18" x14ac:dyDescent="0.25">
      <c r="A2583" s="170">
        <v>45810</v>
      </c>
      <c r="B2583" s="116">
        <v>6479.7</v>
      </c>
      <c r="C2583" s="116">
        <v>6413.35</v>
      </c>
      <c r="D2583" s="116">
        <v>6360</v>
      </c>
      <c r="E2583" s="116">
        <v>6479.7</v>
      </c>
      <c r="F2583" s="116">
        <v>6413.35</v>
      </c>
      <c r="G2583">
        <v>4140</v>
      </c>
      <c r="H2583" s="116"/>
      <c r="I2583" s="116"/>
      <c r="L2583" s="170">
        <v>45810</v>
      </c>
      <c r="M2583" s="116">
        <v>6417</v>
      </c>
      <c r="N2583" s="116">
        <v>6469</v>
      </c>
      <c r="O2583" s="116">
        <v>6357.5</v>
      </c>
      <c r="P2583" s="116">
        <v>6412.5</v>
      </c>
      <c r="Q2583" s="116">
        <v>6417</v>
      </c>
      <c r="R2583">
        <v>114010</v>
      </c>
    </row>
    <row r="2584" spans="1:18" x14ac:dyDescent="0.25">
      <c r="A2584" s="170">
        <v>45811</v>
      </c>
      <c r="B2584" s="116">
        <v>6436.2</v>
      </c>
      <c r="C2584" s="116">
        <v>6402.6</v>
      </c>
      <c r="D2584" s="116">
        <v>6360.1</v>
      </c>
      <c r="E2584" s="116">
        <v>6436.2</v>
      </c>
      <c r="F2584" s="116">
        <v>6402.6</v>
      </c>
      <c r="G2584">
        <v>9336</v>
      </c>
      <c r="H2584" s="116"/>
      <c r="I2584" s="116"/>
      <c r="L2584" s="170">
        <v>45811</v>
      </c>
      <c r="M2584" s="116">
        <v>6407</v>
      </c>
      <c r="N2584" s="116">
        <v>6436.5</v>
      </c>
      <c r="O2584" s="116">
        <v>6359.5</v>
      </c>
      <c r="P2584" s="116">
        <v>6417</v>
      </c>
      <c r="Q2584" s="116">
        <v>6407</v>
      </c>
      <c r="R2584">
        <v>127200</v>
      </c>
    </row>
    <row r="2585" spans="1:18" x14ac:dyDescent="0.25">
      <c r="A2585" s="170">
        <v>45812</v>
      </c>
      <c r="B2585" s="116">
        <v>6463.7</v>
      </c>
      <c r="C2585" s="116">
        <v>6444.05</v>
      </c>
      <c r="D2585" s="116">
        <v>6375</v>
      </c>
      <c r="E2585" s="116">
        <v>6401.6</v>
      </c>
      <c r="F2585" s="116">
        <v>6444.05</v>
      </c>
      <c r="G2585">
        <v>5096</v>
      </c>
      <c r="H2585" s="116"/>
      <c r="I2585" s="116"/>
      <c r="L2585" s="170">
        <v>45812</v>
      </c>
      <c r="M2585" s="116">
        <v>6447.5</v>
      </c>
      <c r="N2585" s="116">
        <v>6464</v>
      </c>
      <c r="O2585" s="116">
        <v>6371.5</v>
      </c>
      <c r="P2585" s="116">
        <v>6418</v>
      </c>
      <c r="Q2585" s="116">
        <v>6447.5</v>
      </c>
      <c r="R2585">
        <v>81617</v>
      </c>
    </row>
    <row r="2586" spans="1:18" x14ac:dyDescent="0.25">
      <c r="A2586" s="170">
        <v>45813</v>
      </c>
      <c r="B2586" s="116">
        <v>6500</v>
      </c>
      <c r="C2586" s="116">
        <v>6490.25</v>
      </c>
      <c r="D2586" s="116">
        <v>6447.8</v>
      </c>
      <c r="E2586" s="116">
        <v>6484.9</v>
      </c>
      <c r="F2586" s="116">
        <v>6490.25</v>
      </c>
      <c r="G2586">
        <v>5893</v>
      </c>
      <c r="H2586" s="116"/>
      <c r="I2586" s="116"/>
      <c r="L2586" s="170">
        <v>45813</v>
      </c>
      <c r="M2586" s="116">
        <v>6491.5</v>
      </c>
      <c r="N2586" s="116">
        <v>6500</v>
      </c>
      <c r="O2586" s="116">
        <v>6446</v>
      </c>
      <c r="P2586" s="116">
        <v>6467</v>
      </c>
      <c r="Q2586" s="116">
        <v>6491.5</v>
      </c>
      <c r="R2586">
        <v>91106</v>
      </c>
    </row>
    <row r="2587" spans="1:18" x14ac:dyDescent="0.25">
      <c r="A2587" s="170">
        <v>45814</v>
      </c>
      <c r="B2587" s="116">
        <v>6516</v>
      </c>
      <c r="C2587" s="116">
        <v>6469.45</v>
      </c>
      <c r="D2587" s="116">
        <v>6441.5</v>
      </c>
      <c r="E2587" s="116">
        <v>6490.95</v>
      </c>
      <c r="F2587" s="116">
        <v>6469.45</v>
      </c>
      <c r="G2587">
        <v>6177</v>
      </c>
      <c r="H2587" s="116"/>
      <c r="I2587" s="116"/>
      <c r="L2587" s="170">
        <v>45814</v>
      </c>
      <c r="M2587" s="116">
        <v>6473</v>
      </c>
      <c r="N2587" s="116">
        <v>6520</v>
      </c>
      <c r="O2587" s="116">
        <v>6430.5</v>
      </c>
      <c r="P2587" s="116">
        <v>6520</v>
      </c>
      <c r="Q2587" s="116">
        <v>6473</v>
      </c>
      <c r="R2587">
        <v>71389</v>
      </c>
    </row>
    <row r="2588" spans="1:18" x14ac:dyDescent="0.25">
      <c r="A2588" s="170">
        <v>45817</v>
      </c>
      <c r="B2588" s="116">
        <v>6640</v>
      </c>
      <c r="C2588" s="116">
        <v>6630.45</v>
      </c>
      <c r="D2588" s="116">
        <v>6501.6</v>
      </c>
      <c r="E2588" s="116">
        <v>6505</v>
      </c>
      <c r="F2588" s="116">
        <v>6630.45</v>
      </c>
      <c r="G2588">
        <v>6635</v>
      </c>
      <c r="H2588" s="116"/>
      <c r="I2588" s="116"/>
      <c r="L2588" s="170">
        <v>45817</v>
      </c>
      <c r="M2588" s="116">
        <v>6631.5</v>
      </c>
      <c r="N2588" s="116">
        <v>6643</v>
      </c>
      <c r="O2588" s="116">
        <v>6500</v>
      </c>
      <c r="P2588" s="116">
        <v>6505.5</v>
      </c>
      <c r="Q2588" s="116">
        <v>6631.5</v>
      </c>
      <c r="R2588">
        <v>161923</v>
      </c>
    </row>
    <row r="2589" spans="1:18" x14ac:dyDescent="0.25">
      <c r="A2589" s="170">
        <v>45818</v>
      </c>
      <c r="B2589" s="116">
        <v>6733.5</v>
      </c>
      <c r="C2589" s="116">
        <v>6703.5</v>
      </c>
      <c r="D2589" s="116">
        <v>6650.05</v>
      </c>
      <c r="E2589" s="116">
        <v>6698.95</v>
      </c>
      <c r="F2589" s="116">
        <v>6703.5</v>
      </c>
      <c r="G2589">
        <v>10301</v>
      </c>
      <c r="H2589" s="116"/>
      <c r="I2589" s="116"/>
      <c r="L2589" s="170">
        <v>45818</v>
      </c>
      <c r="M2589" s="116">
        <v>6705</v>
      </c>
      <c r="N2589" s="116">
        <v>6735</v>
      </c>
      <c r="O2589" s="116">
        <v>6651.5</v>
      </c>
      <c r="P2589" s="116">
        <v>6680</v>
      </c>
      <c r="Q2589" s="116">
        <v>6705</v>
      </c>
      <c r="R2589">
        <v>223010</v>
      </c>
    </row>
    <row r="2590" spans="1:18" x14ac:dyDescent="0.25">
      <c r="A2590" s="170">
        <v>45819</v>
      </c>
      <c r="B2590" s="116">
        <v>6700</v>
      </c>
      <c r="C2590" s="116">
        <v>6625.25</v>
      </c>
      <c r="D2590" s="116">
        <v>6589.45</v>
      </c>
      <c r="E2590" s="116">
        <v>6700</v>
      </c>
      <c r="F2590" s="116">
        <v>6625.25</v>
      </c>
      <c r="G2590">
        <v>6861</v>
      </c>
      <c r="H2590" s="116"/>
      <c r="I2590" s="116"/>
      <c r="L2590" s="170">
        <v>45819</v>
      </c>
      <c r="M2590" s="116">
        <v>6624.5</v>
      </c>
      <c r="N2590" s="116">
        <v>6680</v>
      </c>
      <c r="O2590" s="116">
        <v>6590</v>
      </c>
      <c r="P2590" s="116">
        <v>6670</v>
      </c>
      <c r="Q2590" s="116">
        <v>6624.5</v>
      </c>
      <c r="R2590">
        <v>167351</v>
      </c>
    </row>
    <row r="2591" spans="1:18" x14ac:dyDescent="0.25">
      <c r="A2591" s="170">
        <v>45820</v>
      </c>
      <c r="B2591" s="116">
        <v>6641.5</v>
      </c>
      <c r="C2591" s="116">
        <v>6469.65</v>
      </c>
      <c r="D2591" s="116">
        <v>6435</v>
      </c>
      <c r="E2591" s="116">
        <v>6641.05</v>
      </c>
      <c r="F2591" s="116">
        <v>6469.65</v>
      </c>
      <c r="G2591">
        <v>12269</v>
      </c>
      <c r="H2591" s="116"/>
      <c r="I2591" s="116"/>
      <c r="L2591" s="170">
        <v>45820</v>
      </c>
      <c r="M2591" s="116">
        <v>6473.5</v>
      </c>
      <c r="N2591" s="116">
        <v>6647</v>
      </c>
      <c r="O2591" s="116">
        <v>6426</v>
      </c>
      <c r="P2591" s="116">
        <v>6647</v>
      </c>
      <c r="Q2591" s="116">
        <v>6473.5</v>
      </c>
      <c r="R2591">
        <v>173877</v>
      </c>
    </row>
    <row r="2592" spans="1:18" x14ac:dyDescent="0.25">
      <c r="A2592" s="170">
        <v>45821</v>
      </c>
      <c r="B2592" s="116">
        <v>6460.25</v>
      </c>
      <c r="C2592" s="116">
        <v>6392.7</v>
      </c>
      <c r="D2592" s="116">
        <v>6311</v>
      </c>
      <c r="E2592" s="116">
        <v>6379.6</v>
      </c>
      <c r="F2592" s="116">
        <v>6392.7</v>
      </c>
      <c r="G2592">
        <v>5328</v>
      </c>
      <c r="H2592" s="116"/>
      <c r="I2592" s="116"/>
      <c r="L2592" s="170">
        <v>45821</v>
      </c>
      <c r="M2592" s="116">
        <v>6392.5</v>
      </c>
      <c r="N2592" s="116">
        <v>6459.5</v>
      </c>
      <c r="O2592" s="116">
        <v>6299.5</v>
      </c>
      <c r="P2592" s="116">
        <v>6300</v>
      </c>
      <c r="Q2592" s="116">
        <v>6392.5</v>
      </c>
      <c r="R2592">
        <v>90117</v>
      </c>
    </row>
    <row r="2593" spans="1:18" x14ac:dyDescent="0.25">
      <c r="A2593" s="170">
        <v>45824</v>
      </c>
      <c r="B2593" s="116">
        <v>6414.75</v>
      </c>
      <c r="C2593" s="116">
        <v>6376</v>
      </c>
      <c r="D2593" s="116">
        <v>6228.2</v>
      </c>
      <c r="E2593" s="116">
        <v>6342.95</v>
      </c>
      <c r="F2593" s="116">
        <v>6376</v>
      </c>
      <c r="G2593">
        <v>16084</v>
      </c>
      <c r="H2593" s="116"/>
      <c r="I2593" s="116"/>
      <c r="L2593" s="170">
        <v>45824</v>
      </c>
      <c r="M2593" s="116">
        <v>6377</v>
      </c>
      <c r="N2593" s="116">
        <v>6420</v>
      </c>
      <c r="O2593" s="116">
        <v>6229</v>
      </c>
      <c r="P2593" s="116">
        <v>6361</v>
      </c>
      <c r="Q2593" s="116">
        <v>6377</v>
      </c>
      <c r="R2593">
        <v>121345</v>
      </c>
    </row>
    <row r="2594" spans="1:18" x14ac:dyDescent="0.25">
      <c r="A2594" s="170">
        <v>45825</v>
      </c>
      <c r="B2594" s="116">
        <v>6448.95</v>
      </c>
      <c r="C2594" s="116">
        <v>6418.9</v>
      </c>
      <c r="D2594" s="116">
        <v>6372</v>
      </c>
      <c r="E2594" s="116">
        <v>6372</v>
      </c>
      <c r="F2594" s="116">
        <v>6418.9</v>
      </c>
      <c r="G2594">
        <v>6300</v>
      </c>
      <c r="H2594" s="116"/>
      <c r="I2594" s="116"/>
      <c r="L2594" s="170">
        <v>45825</v>
      </c>
      <c r="M2594" s="116">
        <v>6418</v>
      </c>
      <c r="N2594" s="116">
        <v>6450</v>
      </c>
      <c r="O2594" s="116">
        <v>6362</v>
      </c>
      <c r="P2594" s="116">
        <v>6377</v>
      </c>
      <c r="Q2594" s="116">
        <v>6418</v>
      </c>
      <c r="R2594">
        <v>112049</v>
      </c>
    </row>
    <row r="2595" spans="1:18" x14ac:dyDescent="0.25">
      <c r="A2595" s="170">
        <v>45826</v>
      </c>
      <c r="B2595" s="116">
        <v>6466.75</v>
      </c>
      <c r="C2595" s="116">
        <v>6446</v>
      </c>
      <c r="D2595" s="116">
        <v>6350</v>
      </c>
      <c r="E2595" s="116">
        <v>6422.25</v>
      </c>
      <c r="F2595" s="116">
        <v>6446</v>
      </c>
      <c r="G2595">
        <v>8504</v>
      </c>
      <c r="H2595" s="116"/>
      <c r="I2595" s="116"/>
      <c r="L2595" s="170">
        <v>45826</v>
      </c>
      <c r="M2595" s="116">
        <v>6449.5</v>
      </c>
      <c r="N2595" s="116">
        <v>6470</v>
      </c>
      <c r="O2595" s="116">
        <v>6350</v>
      </c>
      <c r="P2595" s="116">
        <v>6419</v>
      </c>
      <c r="Q2595" s="116">
        <v>6449.5</v>
      </c>
      <c r="R2595">
        <v>98354</v>
      </c>
    </row>
    <row r="2596" spans="1:18" x14ac:dyDescent="0.25">
      <c r="A2596" s="170">
        <v>45827</v>
      </c>
      <c r="B2596" s="116">
        <v>6533.8</v>
      </c>
      <c r="C2596" s="116">
        <v>6215.8</v>
      </c>
      <c r="D2596" s="116">
        <v>6202.35</v>
      </c>
      <c r="E2596" s="116">
        <v>6533.8</v>
      </c>
      <c r="F2596" s="116">
        <v>6215.8</v>
      </c>
      <c r="G2596">
        <v>8605</v>
      </c>
      <c r="H2596" s="116"/>
      <c r="I2596" s="116"/>
      <c r="L2596" s="170">
        <v>45827</v>
      </c>
      <c r="M2596" s="116">
        <v>6220</v>
      </c>
      <c r="N2596" s="116">
        <v>6487</v>
      </c>
      <c r="O2596" s="116">
        <v>6208</v>
      </c>
      <c r="P2596" s="116">
        <v>6485.5</v>
      </c>
      <c r="Q2596" s="116">
        <v>6220</v>
      </c>
      <c r="R2596">
        <v>202630</v>
      </c>
    </row>
    <row r="2597" spans="1:18" x14ac:dyDescent="0.25">
      <c r="A2597" s="170">
        <v>45828</v>
      </c>
      <c r="B2597" s="116">
        <v>6332.6</v>
      </c>
      <c r="C2597" s="116">
        <v>6319.85</v>
      </c>
      <c r="D2597" s="116">
        <v>6207.65</v>
      </c>
      <c r="E2597" s="116">
        <v>6250</v>
      </c>
      <c r="F2597" s="116">
        <v>6319.85</v>
      </c>
      <c r="G2597">
        <v>5784</v>
      </c>
      <c r="H2597" s="116"/>
      <c r="I2597" s="116"/>
      <c r="L2597" s="170">
        <v>45828</v>
      </c>
      <c r="M2597" s="116">
        <v>6319</v>
      </c>
      <c r="N2597" s="116">
        <v>6335</v>
      </c>
      <c r="O2597" s="116">
        <v>6200.5</v>
      </c>
      <c r="P2597" s="116">
        <v>6246</v>
      </c>
      <c r="Q2597" s="116">
        <v>6319</v>
      </c>
      <c r="R2597">
        <v>189963</v>
      </c>
    </row>
    <row r="2598" spans="1:18" x14ac:dyDescent="0.25">
      <c r="A2598" s="170">
        <v>45831</v>
      </c>
      <c r="B2598" s="116">
        <v>6341.5</v>
      </c>
      <c r="C2598" s="116">
        <v>6313.9</v>
      </c>
      <c r="D2598" s="116">
        <v>6162.5</v>
      </c>
      <c r="E2598" s="116">
        <v>6211.95</v>
      </c>
      <c r="F2598" s="116">
        <v>6313.9</v>
      </c>
      <c r="G2598">
        <v>11697</v>
      </c>
      <c r="H2598" s="116"/>
      <c r="I2598" s="116"/>
      <c r="L2598" s="170">
        <v>45831</v>
      </c>
      <c r="M2598" s="116">
        <v>6313</v>
      </c>
      <c r="N2598" s="116">
        <v>6345</v>
      </c>
      <c r="O2598" s="116">
        <v>6164.5</v>
      </c>
      <c r="P2598" s="116">
        <v>6221</v>
      </c>
      <c r="Q2598" s="116">
        <v>6313</v>
      </c>
      <c r="R2598">
        <v>107858</v>
      </c>
    </row>
    <row r="2599" spans="1:18" x14ac:dyDescent="0.25">
      <c r="A2599" s="170">
        <v>45832</v>
      </c>
      <c r="B2599" s="116">
        <v>6400</v>
      </c>
      <c r="C2599" s="116">
        <v>6271.85</v>
      </c>
      <c r="D2599" s="116">
        <v>6204.05</v>
      </c>
      <c r="E2599" s="116">
        <v>6330.2</v>
      </c>
      <c r="F2599" s="116">
        <v>6271.85</v>
      </c>
      <c r="G2599">
        <v>17493</v>
      </c>
      <c r="H2599" s="116"/>
      <c r="I2599" s="116"/>
      <c r="L2599" s="170">
        <v>45832</v>
      </c>
      <c r="M2599" s="116">
        <v>6266</v>
      </c>
      <c r="N2599" s="116">
        <v>6410</v>
      </c>
      <c r="O2599" s="116">
        <v>6204</v>
      </c>
      <c r="P2599" s="116">
        <v>6410</v>
      </c>
      <c r="Q2599" s="116">
        <v>6266</v>
      </c>
      <c r="R2599">
        <v>203298</v>
      </c>
    </row>
    <row r="2600" spans="1:18" x14ac:dyDescent="0.25">
      <c r="A2600" s="170">
        <v>45833</v>
      </c>
      <c r="B2600" s="116">
        <v>6297.5</v>
      </c>
      <c r="C2600" s="116">
        <v>6266.3</v>
      </c>
      <c r="D2600" s="116">
        <v>6212</v>
      </c>
      <c r="E2600" s="116">
        <v>6264</v>
      </c>
      <c r="F2600" s="116">
        <v>6266.3</v>
      </c>
      <c r="G2600">
        <v>10279</v>
      </c>
      <c r="H2600" s="116"/>
      <c r="I2600" s="116"/>
      <c r="L2600" s="170">
        <v>45833</v>
      </c>
      <c r="M2600" s="116">
        <v>6266.5</v>
      </c>
      <c r="N2600" s="116">
        <v>6302.5</v>
      </c>
      <c r="O2600" s="116">
        <v>6210.5</v>
      </c>
      <c r="P2600" s="116">
        <v>6266</v>
      </c>
      <c r="Q2600" s="116">
        <v>6266.5</v>
      </c>
      <c r="R2600">
        <v>134175</v>
      </c>
    </row>
    <row r="2601" spans="1:18" x14ac:dyDescent="0.25">
      <c r="A2601" s="170">
        <v>45834</v>
      </c>
      <c r="B2601" s="116">
        <v>6292.55</v>
      </c>
      <c r="C2601" s="116">
        <v>6273.65</v>
      </c>
      <c r="D2601" s="116">
        <v>6202.6</v>
      </c>
      <c r="E2601" s="116">
        <v>6268.2</v>
      </c>
      <c r="F2601" s="116">
        <v>6273.65</v>
      </c>
      <c r="G2601">
        <v>6169</v>
      </c>
      <c r="H2601" s="116"/>
      <c r="I2601" s="116"/>
      <c r="L2601" s="170">
        <v>45834</v>
      </c>
      <c r="M2601" s="116">
        <v>6274.5</v>
      </c>
      <c r="N2601" s="116">
        <v>6295</v>
      </c>
      <c r="O2601" s="116">
        <v>6201</v>
      </c>
      <c r="P2601" s="116">
        <v>6275</v>
      </c>
      <c r="Q2601" s="116">
        <v>6274.5</v>
      </c>
      <c r="R2601">
        <v>126030</v>
      </c>
    </row>
    <row r="2602" spans="1:18" x14ac:dyDescent="0.25">
      <c r="A2602" s="170">
        <v>45835</v>
      </c>
      <c r="B2602" s="116">
        <v>6380.5</v>
      </c>
      <c r="C2602" s="116">
        <v>6345.6</v>
      </c>
      <c r="D2602" s="116">
        <v>6286.1</v>
      </c>
      <c r="E2602" s="116">
        <v>6329.95</v>
      </c>
      <c r="F2602" s="116">
        <v>6345.6</v>
      </c>
      <c r="G2602">
        <v>7674</v>
      </c>
      <c r="H2602" s="116"/>
      <c r="I2602" s="116"/>
      <c r="L2602" s="170">
        <v>45835</v>
      </c>
      <c r="M2602" s="116">
        <v>6345</v>
      </c>
      <c r="N2602" s="116">
        <v>6380</v>
      </c>
      <c r="O2602" s="116">
        <v>6282</v>
      </c>
      <c r="P2602" s="116">
        <v>6295</v>
      </c>
      <c r="Q2602" s="116">
        <v>6345</v>
      </c>
      <c r="R2602">
        <v>191698</v>
      </c>
    </row>
    <row r="2603" spans="1:18" x14ac:dyDescent="0.25">
      <c r="A2603" s="170">
        <v>45838</v>
      </c>
      <c r="B2603" s="116">
        <v>6374.4</v>
      </c>
      <c r="C2603" s="116">
        <v>6310</v>
      </c>
      <c r="D2603" s="116">
        <v>6282</v>
      </c>
      <c r="E2603" s="116">
        <v>6350.35</v>
      </c>
      <c r="F2603" s="116">
        <v>6310</v>
      </c>
      <c r="G2603">
        <v>7088</v>
      </c>
      <c r="H2603" s="116"/>
      <c r="I2603" s="116"/>
      <c r="L2603" s="170">
        <v>45838</v>
      </c>
      <c r="M2603" s="116">
        <v>6310</v>
      </c>
      <c r="N2603" s="116">
        <v>6376.5</v>
      </c>
      <c r="O2603" s="116">
        <v>6282</v>
      </c>
      <c r="P2603" s="116">
        <v>6358.5</v>
      </c>
      <c r="Q2603" s="116">
        <v>6310</v>
      </c>
      <c r="R2603">
        <v>95468</v>
      </c>
    </row>
    <row r="2604" spans="1:18" x14ac:dyDescent="0.25">
      <c r="A2604" s="170">
        <v>45839</v>
      </c>
      <c r="B2604" s="116">
        <v>6340</v>
      </c>
      <c r="C2604" s="116">
        <v>6208.5</v>
      </c>
      <c r="D2604" s="116">
        <v>6133.6</v>
      </c>
      <c r="E2604" s="116">
        <v>6310.25</v>
      </c>
      <c r="F2604" s="116">
        <v>6208.5</v>
      </c>
      <c r="G2604">
        <v>8377</v>
      </c>
      <c r="H2604" s="116"/>
      <c r="I2604" s="116"/>
      <c r="L2604" s="170">
        <v>45839</v>
      </c>
      <c r="M2604" s="116">
        <v>6208.5</v>
      </c>
      <c r="N2604" s="116">
        <v>6343</v>
      </c>
      <c r="O2604" s="116">
        <v>6130.5</v>
      </c>
      <c r="P2604" s="116">
        <v>6330</v>
      </c>
      <c r="Q2604" s="116">
        <v>6208.5</v>
      </c>
      <c r="R2604">
        <v>243499</v>
      </c>
    </row>
    <row r="2605" spans="1:18" x14ac:dyDescent="0.25">
      <c r="A2605" s="170">
        <v>45840</v>
      </c>
      <c r="B2605" s="116">
        <v>6201</v>
      </c>
      <c r="C2605" s="116">
        <v>6166.9</v>
      </c>
      <c r="D2605" s="116">
        <v>6063.1</v>
      </c>
      <c r="E2605" s="116">
        <v>6200.15</v>
      </c>
      <c r="F2605" s="116">
        <v>6166.9</v>
      </c>
      <c r="G2605">
        <v>19072</v>
      </c>
      <c r="H2605" s="116"/>
      <c r="I2605" s="116"/>
      <c r="L2605" s="170">
        <v>45840</v>
      </c>
      <c r="M2605" s="116">
        <v>6185</v>
      </c>
      <c r="N2605" s="116">
        <v>6208</v>
      </c>
      <c r="O2605" s="116">
        <v>6062.5</v>
      </c>
      <c r="P2605" s="116">
        <v>6208</v>
      </c>
      <c r="Q2605" s="116">
        <v>6185</v>
      </c>
      <c r="R2605">
        <v>262330</v>
      </c>
    </row>
    <row r="2606" spans="1:18" x14ac:dyDescent="0.25">
      <c r="A2606" s="170">
        <v>45841</v>
      </c>
      <c r="B2606" s="116">
        <v>6259</v>
      </c>
      <c r="C2606" s="116">
        <v>6216.95</v>
      </c>
      <c r="D2606" s="116">
        <v>6170</v>
      </c>
      <c r="E2606" s="116">
        <v>6170</v>
      </c>
      <c r="F2606" s="116">
        <v>6216.95</v>
      </c>
      <c r="G2606">
        <v>3984</v>
      </c>
      <c r="H2606" s="116"/>
      <c r="I2606" s="116"/>
      <c r="L2606" s="170">
        <v>45841</v>
      </c>
      <c r="M2606" s="116">
        <v>6215</v>
      </c>
      <c r="N2606" s="116">
        <v>6260</v>
      </c>
      <c r="O2606" s="116">
        <v>6159</v>
      </c>
      <c r="P2606" s="116">
        <v>6160</v>
      </c>
      <c r="Q2606" s="116">
        <v>6215</v>
      </c>
      <c r="R2606">
        <v>126180</v>
      </c>
    </row>
    <row r="2607" spans="1:18" x14ac:dyDescent="0.25">
      <c r="A2607" s="170">
        <v>45842</v>
      </c>
      <c r="B2607" s="116">
        <v>6242.95</v>
      </c>
      <c r="C2607" s="116">
        <v>6208.4</v>
      </c>
      <c r="D2607" s="116">
        <v>6151</v>
      </c>
      <c r="E2607" s="116">
        <v>6217.15</v>
      </c>
      <c r="F2607" s="116">
        <v>6208.4</v>
      </c>
      <c r="G2607">
        <v>7848</v>
      </c>
      <c r="H2607" s="116"/>
      <c r="I2607" s="116"/>
      <c r="L2607" s="170">
        <v>45842</v>
      </c>
      <c r="M2607" s="116">
        <v>6209</v>
      </c>
      <c r="N2607" s="116">
        <v>6244</v>
      </c>
      <c r="O2607" s="116">
        <v>6151</v>
      </c>
      <c r="P2607" s="116">
        <v>6230</v>
      </c>
      <c r="Q2607" s="116">
        <v>6209</v>
      </c>
      <c r="R2607">
        <v>97329</v>
      </c>
    </row>
    <row r="2608" spans="1:18" x14ac:dyDescent="0.25">
      <c r="A2608" s="170">
        <v>45845</v>
      </c>
      <c r="B2608" s="116">
        <v>6215</v>
      </c>
      <c r="C2608" s="116">
        <v>6173.4</v>
      </c>
      <c r="D2608" s="116">
        <v>6154.05</v>
      </c>
      <c r="E2608" s="116">
        <v>6215</v>
      </c>
      <c r="F2608" s="116">
        <v>6173.4</v>
      </c>
      <c r="G2608">
        <v>3747</v>
      </c>
      <c r="H2608" s="116"/>
      <c r="I2608" s="116"/>
      <c r="L2608" s="170">
        <v>45845</v>
      </c>
      <c r="M2608" s="116">
        <v>6175</v>
      </c>
      <c r="N2608" s="116">
        <v>6210</v>
      </c>
      <c r="O2608" s="116">
        <v>6155.5</v>
      </c>
      <c r="P2608" s="116">
        <v>6209</v>
      </c>
      <c r="Q2608" s="116">
        <v>6175</v>
      </c>
      <c r="R2608">
        <v>150035</v>
      </c>
    </row>
    <row r="2609" spans="1:18" x14ac:dyDescent="0.25">
      <c r="A2609" s="170">
        <v>45846</v>
      </c>
      <c r="B2609" s="116">
        <v>6193</v>
      </c>
      <c r="C2609" s="116">
        <v>6172.05</v>
      </c>
      <c r="D2609" s="116">
        <v>6094</v>
      </c>
      <c r="E2609" s="116">
        <v>6174.3</v>
      </c>
      <c r="F2609" s="116">
        <v>6172.05</v>
      </c>
      <c r="G2609">
        <v>3252</v>
      </c>
      <c r="H2609" s="116"/>
      <c r="I2609" s="116"/>
      <c r="L2609" s="170">
        <v>45846</v>
      </c>
      <c r="M2609" s="116">
        <v>6171.5</v>
      </c>
      <c r="N2609" s="116">
        <v>6195.5</v>
      </c>
      <c r="O2609" s="116">
        <v>6092</v>
      </c>
      <c r="P2609" s="116">
        <v>6187.5</v>
      </c>
      <c r="Q2609" s="116">
        <v>6171.5</v>
      </c>
      <c r="R2609">
        <v>169573</v>
      </c>
    </row>
    <row r="2610" spans="1:18" x14ac:dyDescent="0.25">
      <c r="A2610" s="170">
        <v>45847</v>
      </c>
      <c r="B2610" s="116">
        <v>6180.75</v>
      </c>
      <c r="C2610" s="116">
        <v>6149.2</v>
      </c>
      <c r="D2610" s="116">
        <v>6110.5</v>
      </c>
      <c r="E2610" s="116">
        <v>6175</v>
      </c>
      <c r="F2610" s="116">
        <v>6149.2</v>
      </c>
      <c r="G2610">
        <v>8849</v>
      </c>
      <c r="H2610" s="116"/>
      <c r="I2610" s="116"/>
      <c r="L2610" s="170">
        <v>45847</v>
      </c>
      <c r="M2610" s="116">
        <v>6152</v>
      </c>
      <c r="N2610" s="116">
        <v>6187.5</v>
      </c>
      <c r="O2610" s="116">
        <v>6110.5</v>
      </c>
      <c r="P2610" s="116">
        <v>6171.5</v>
      </c>
      <c r="Q2610" s="116">
        <v>6152</v>
      </c>
      <c r="R2610">
        <v>126766</v>
      </c>
    </row>
    <row r="2611" spans="1:18" x14ac:dyDescent="0.25">
      <c r="A2611" s="170">
        <v>45848</v>
      </c>
      <c r="B2611" s="116">
        <v>6170.4</v>
      </c>
      <c r="C2611" s="116">
        <v>6139.65</v>
      </c>
      <c r="D2611" s="116">
        <v>6052.8</v>
      </c>
      <c r="E2611" s="116">
        <v>6149.15</v>
      </c>
      <c r="F2611" s="116">
        <v>6139.65</v>
      </c>
      <c r="G2611">
        <v>9359</v>
      </c>
      <c r="H2611" s="116"/>
      <c r="I2611" s="116"/>
      <c r="L2611" s="170">
        <v>45848</v>
      </c>
      <c r="M2611" s="116">
        <v>6137.5</v>
      </c>
      <c r="N2611" s="116">
        <v>6174</v>
      </c>
      <c r="O2611" s="116">
        <v>6052.5</v>
      </c>
      <c r="P2611" s="116">
        <v>6130</v>
      </c>
      <c r="Q2611" s="116">
        <v>6137.5</v>
      </c>
      <c r="R2611">
        <v>218296</v>
      </c>
    </row>
    <row r="2612" spans="1:18" x14ac:dyDescent="0.25">
      <c r="A2612" s="170">
        <v>45849</v>
      </c>
      <c r="B2612" s="116">
        <v>6089</v>
      </c>
      <c r="C2612" s="116">
        <v>6067.3</v>
      </c>
      <c r="D2612" s="116">
        <v>5679</v>
      </c>
      <c r="E2612" s="116">
        <v>5724.95</v>
      </c>
      <c r="F2612" s="116">
        <v>6067.3</v>
      </c>
      <c r="G2612">
        <v>96134</v>
      </c>
      <c r="H2612" s="116"/>
      <c r="I2612" s="116"/>
      <c r="L2612" s="170">
        <v>45849</v>
      </c>
      <c r="M2612" s="116">
        <v>6066</v>
      </c>
      <c r="N2612" s="116">
        <v>6084.5</v>
      </c>
      <c r="O2612" s="116">
        <v>5660</v>
      </c>
      <c r="P2612" s="116">
        <v>5666</v>
      </c>
      <c r="Q2612" s="116">
        <v>6066</v>
      </c>
      <c r="R2612">
        <v>1578498</v>
      </c>
    </row>
    <row r="2613" spans="1:18" x14ac:dyDescent="0.25">
      <c r="A2613" s="170">
        <v>45852</v>
      </c>
      <c r="B2613" s="116">
        <v>6200</v>
      </c>
      <c r="C2613" s="116">
        <v>6181.35</v>
      </c>
      <c r="D2613" s="116">
        <v>6008.4</v>
      </c>
      <c r="E2613" s="116">
        <v>6025</v>
      </c>
      <c r="F2613" s="116">
        <v>6181.35</v>
      </c>
      <c r="G2613">
        <v>39648</v>
      </c>
      <c r="H2613" s="116"/>
      <c r="I2613" s="116"/>
      <c r="L2613" s="170">
        <v>45852</v>
      </c>
      <c r="M2613" s="116">
        <v>6179</v>
      </c>
      <c r="N2613" s="116">
        <v>6202.5</v>
      </c>
      <c r="O2613" s="116">
        <v>6002</v>
      </c>
      <c r="P2613" s="116">
        <v>6026</v>
      </c>
      <c r="Q2613" s="116">
        <v>6179</v>
      </c>
      <c r="R2613">
        <v>423728</v>
      </c>
    </row>
    <row r="2614" spans="1:18" x14ac:dyDescent="0.25">
      <c r="A2614" s="170">
        <v>45853</v>
      </c>
      <c r="B2614" s="116">
        <v>6423.1</v>
      </c>
      <c r="C2614" s="116">
        <v>6376.45</v>
      </c>
      <c r="D2614" s="116">
        <v>6150.2</v>
      </c>
      <c r="E2614" s="116">
        <v>6150.2</v>
      </c>
      <c r="F2614" s="116">
        <v>6376.45</v>
      </c>
      <c r="G2614">
        <v>64593</v>
      </c>
      <c r="H2614" s="116"/>
      <c r="I2614" s="116"/>
      <c r="L2614" s="170">
        <v>45853</v>
      </c>
      <c r="M2614" s="116">
        <v>6380</v>
      </c>
      <c r="N2614" s="116">
        <v>6425</v>
      </c>
      <c r="O2614" s="116">
        <v>6180</v>
      </c>
      <c r="P2614" s="116">
        <v>6185</v>
      </c>
      <c r="Q2614" s="116">
        <v>6380</v>
      </c>
      <c r="R2614">
        <v>770631</v>
      </c>
    </row>
    <row r="2615" spans="1:18" x14ac:dyDescent="0.25">
      <c r="A2615" s="170">
        <v>45854</v>
      </c>
      <c r="B2615" s="116">
        <v>6420.5</v>
      </c>
      <c r="C2615" s="116">
        <v>6310.3</v>
      </c>
      <c r="D2615" s="116">
        <v>6297.45</v>
      </c>
      <c r="E2615" s="116">
        <v>6420</v>
      </c>
      <c r="F2615" s="116">
        <v>6310.3</v>
      </c>
      <c r="G2615">
        <v>11026</v>
      </c>
      <c r="H2615" s="116"/>
      <c r="I2615" s="116"/>
      <c r="L2615" s="170">
        <v>45854</v>
      </c>
      <c r="M2615" s="116">
        <v>6311</v>
      </c>
      <c r="N2615" s="116">
        <v>6439.5</v>
      </c>
      <c r="O2615" s="116">
        <v>6296</v>
      </c>
      <c r="P2615" s="116">
        <v>6439.5</v>
      </c>
      <c r="Q2615" s="116">
        <v>6311</v>
      </c>
      <c r="R2615">
        <v>160852</v>
      </c>
    </row>
    <row r="2616" spans="1:18" x14ac:dyDescent="0.25">
      <c r="A2616" s="170">
        <v>45855</v>
      </c>
      <c r="B2616" s="116">
        <v>6336.3</v>
      </c>
      <c r="C2616" s="116">
        <v>6196.85</v>
      </c>
      <c r="D2616" s="116">
        <v>6185.7</v>
      </c>
      <c r="E2616" s="116">
        <v>6336.3</v>
      </c>
      <c r="F2616" s="116">
        <v>6196.85</v>
      </c>
      <c r="G2616">
        <v>8435</v>
      </c>
      <c r="H2616" s="116"/>
      <c r="I2616" s="116"/>
      <c r="L2616" s="170">
        <v>45855</v>
      </c>
      <c r="M2616" s="116">
        <v>6196.5</v>
      </c>
      <c r="N2616" s="116">
        <v>6321.5</v>
      </c>
      <c r="O2616" s="116">
        <v>6184</v>
      </c>
      <c r="P2616" s="116">
        <v>6313</v>
      </c>
      <c r="Q2616" s="116">
        <v>6196.5</v>
      </c>
      <c r="R2616">
        <v>151809</v>
      </c>
    </row>
    <row r="2617" spans="1:18" x14ac:dyDescent="0.25">
      <c r="A2617" s="170">
        <v>45856</v>
      </c>
      <c r="B2617" s="116">
        <v>6224.7</v>
      </c>
      <c r="C2617" s="116">
        <v>6163.75</v>
      </c>
      <c r="D2617" s="116">
        <v>6122.25</v>
      </c>
      <c r="E2617" s="116">
        <v>6196.85</v>
      </c>
      <c r="F2617" s="116">
        <v>6163.75</v>
      </c>
      <c r="G2617">
        <v>12589</v>
      </c>
      <c r="H2617" s="116"/>
      <c r="I2617" s="116"/>
      <c r="L2617" s="170">
        <v>45856</v>
      </c>
      <c r="M2617" s="116">
        <v>6166</v>
      </c>
      <c r="N2617" s="116">
        <v>6225</v>
      </c>
      <c r="O2617" s="116">
        <v>6125</v>
      </c>
      <c r="P2617" s="116">
        <v>6196.5</v>
      </c>
      <c r="Q2617" s="116">
        <v>6166</v>
      </c>
      <c r="R2617">
        <v>148243</v>
      </c>
    </row>
    <row r="2618" spans="1:18" x14ac:dyDescent="0.25">
      <c r="A2618" s="170">
        <v>45859</v>
      </c>
      <c r="B2618" s="116">
        <v>6228.9</v>
      </c>
      <c r="C2618" s="116">
        <v>6192.1</v>
      </c>
      <c r="D2618" s="116">
        <v>6130</v>
      </c>
      <c r="E2618" s="116">
        <v>6163.95</v>
      </c>
      <c r="F2618" s="116">
        <v>6192.1</v>
      </c>
      <c r="G2618">
        <v>6254</v>
      </c>
      <c r="H2618" s="116"/>
      <c r="I2618" s="116"/>
      <c r="L2618" s="170">
        <v>45859</v>
      </c>
      <c r="M2618" s="116">
        <v>6198.5</v>
      </c>
      <c r="N2618" s="116">
        <v>6234.5</v>
      </c>
      <c r="O2618" s="116">
        <v>6124.5</v>
      </c>
      <c r="P2618" s="116">
        <v>6166</v>
      </c>
      <c r="Q2618" s="116">
        <v>6198.5</v>
      </c>
      <c r="R2618">
        <v>94884</v>
      </c>
    </row>
    <row r="2619" spans="1:18" x14ac:dyDescent="0.25">
      <c r="A2619" s="170">
        <v>45860</v>
      </c>
      <c r="B2619" s="116">
        <v>6227.85</v>
      </c>
      <c r="C2619" s="116">
        <v>6209.15</v>
      </c>
      <c r="D2619" s="116">
        <v>6178</v>
      </c>
      <c r="E2619" s="116">
        <v>6209</v>
      </c>
      <c r="F2619" s="116">
        <v>6209.15</v>
      </c>
      <c r="G2619">
        <v>17223</v>
      </c>
      <c r="H2619" s="116"/>
      <c r="I2619" s="116"/>
      <c r="L2619" s="170">
        <v>45860</v>
      </c>
      <c r="M2619" s="116">
        <v>6210</v>
      </c>
      <c r="N2619" s="116">
        <v>6229</v>
      </c>
      <c r="O2619" s="116">
        <v>6175</v>
      </c>
      <c r="P2619" s="116">
        <v>6208</v>
      </c>
      <c r="Q2619" s="116">
        <v>6210</v>
      </c>
      <c r="R2619">
        <v>117799</v>
      </c>
    </row>
    <row r="2620" spans="1:18" x14ac:dyDescent="0.25">
      <c r="A2620" s="170">
        <v>45861</v>
      </c>
      <c r="B2620" s="116">
        <v>6251.2</v>
      </c>
      <c r="C2620" s="116">
        <v>6231.15</v>
      </c>
      <c r="D2620" s="116">
        <v>6192.6</v>
      </c>
      <c r="E2620" s="116">
        <v>6228.15</v>
      </c>
      <c r="F2620" s="116">
        <v>6231.15</v>
      </c>
      <c r="G2620">
        <v>4582</v>
      </c>
      <c r="H2620" s="116"/>
      <c r="I2620" s="116"/>
      <c r="L2620" s="170">
        <v>45861</v>
      </c>
      <c r="M2620" s="116">
        <v>6235.5</v>
      </c>
      <c r="N2620" s="116">
        <v>6259</v>
      </c>
      <c r="O2620" s="116">
        <v>6190</v>
      </c>
      <c r="P2620" s="116">
        <v>6210</v>
      </c>
      <c r="Q2620" s="116">
        <v>6235.5</v>
      </c>
      <c r="R2620">
        <v>98161</v>
      </c>
    </row>
    <row r="2621" spans="1:18" x14ac:dyDescent="0.25">
      <c r="A2621" s="170">
        <v>45862</v>
      </c>
      <c r="B2621" s="116">
        <v>6255.15</v>
      </c>
      <c r="C2621" s="116">
        <v>6227.45</v>
      </c>
      <c r="D2621" s="116">
        <v>6177.95</v>
      </c>
      <c r="E2621" s="116">
        <v>6231.15</v>
      </c>
      <c r="F2621" s="116">
        <v>6227.45</v>
      </c>
      <c r="G2621">
        <v>5425</v>
      </c>
      <c r="H2621" s="116"/>
      <c r="I2621" s="116"/>
      <c r="L2621" s="170">
        <v>45862</v>
      </c>
      <c r="M2621" s="116">
        <v>6226</v>
      </c>
      <c r="N2621" s="116">
        <v>6259.5</v>
      </c>
      <c r="O2621" s="116">
        <v>6176.5</v>
      </c>
      <c r="P2621" s="116">
        <v>6235.5</v>
      </c>
      <c r="Q2621" s="116">
        <v>6226</v>
      </c>
      <c r="R2621">
        <v>99684</v>
      </c>
    </row>
    <row r="2622" spans="1:18" x14ac:dyDescent="0.25">
      <c r="A2622" s="170">
        <v>45863</v>
      </c>
      <c r="B2622" s="116">
        <v>6255</v>
      </c>
      <c r="C2622" s="116">
        <v>6063.85</v>
      </c>
      <c r="D2622" s="116">
        <v>6031.05</v>
      </c>
      <c r="E2622" s="116">
        <v>6227.45</v>
      </c>
      <c r="F2622" s="116">
        <v>6063.85</v>
      </c>
      <c r="G2622">
        <v>12414</v>
      </c>
      <c r="H2622" s="116"/>
      <c r="I2622" s="116"/>
      <c r="L2622" s="170">
        <v>45863</v>
      </c>
      <c r="M2622" s="116">
        <v>6062</v>
      </c>
      <c r="N2622" s="116">
        <v>6257</v>
      </c>
      <c r="O2622" s="116">
        <v>6031</v>
      </c>
      <c r="P2622" s="116">
        <v>6226</v>
      </c>
      <c r="Q2622" s="116">
        <v>6062</v>
      </c>
      <c r="R2622">
        <v>102809</v>
      </c>
    </row>
    <row r="2623" spans="1:18" x14ac:dyDescent="0.25">
      <c r="A2623" s="170">
        <v>45866</v>
      </c>
      <c r="B2623" s="116">
        <v>6129</v>
      </c>
      <c r="C2623" s="116">
        <v>6033.95</v>
      </c>
      <c r="D2623" s="116">
        <v>6014.3</v>
      </c>
      <c r="E2623" s="116">
        <v>6122.4</v>
      </c>
      <c r="F2623" s="116">
        <v>6033.95</v>
      </c>
      <c r="G2623">
        <v>23825</v>
      </c>
      <c r="H2623" s="116"/>
      <c r="I2623" s="116"/>
      <c r="L2623" s="170">
        <v>45866</v>
      </c>
      <c r="M2623" s="116">
        <v>6035.5</v>
      </c>
      <c r="N2623" s="116">
        <v>6131.5</v>
      </c>
      <c r="O2623" s="116">
        <v>6016.5</v>
      </c>
      <c r="P2623" s="116">
        <v>6090</v>
      </c>
      <c r="Q2623" s="116">
        <v>6035.5</v>
      </c>
      <c r="R2623">
        <v>157018</v>
      </c>
    </row>
    <row r="2624" spans="1:18" x14ac:dyDescent="0.25">
      <c r="A2624" s="170">
        <v>45867</v>
      </c>
      <c r="B2624" s="116">
        <v>6103.85</v>
      </c>
      <c r="C2624" s="116">
        <v>6092.6</v>
      </c>
      <c r="D2624" s="116">
        <v>5978.7</v>
      </c>
      <c r="E2624" s="116">
        <v>6000.55</v>
      </c>
      <c r="F2624" s="116">
        <v>6092.6</v>
      </c>
      <c r="G2624">
        <v>5913</v>
      </c>
      <c r="H2624" s="116"/>
      <c r="I2624" s="116"/>
      <c r="L2624" s="170">
        <v>45867</v>
      </c>
      <c r="M2624" s="116">
        <v>6090.5</v>
      </c>
      <c r="N2624" s="116">
        <v>6106.5</v>
      </c>
      <c r="O2624" s="116">
        <v>5977.5</v>
      </c>
      <c r="P2624" s="116">
        <v>6009.5</v>
      </c>
      <c r="Q2624" s="116">
        <v>6090.5</v>
      </c>
      <c r="R2624">
        <v>108186</v>
      </c>
    </row>
    <row r="2625" spans="1:18" x14ac:dyDescent="0.25">
      <c r="A2625" s="170">
        <v>45868</v>
      </c>
      <c r="B2625" s="116">
        <v>6164.95</v>
      </c>
      <c r="C2625" s="116">
        <v>6097.85</v>
      </c>
      <c r="D2625" s="116">
        <v>6060.55</v>
      </c>
      <c r="E2625" s="116">
        <v>6092.35</v>
      </c>
      <c r="F2625" s="116">
        <v>6097.85</v>
      </c>
      <c r="G2625">
        <v>8405</v>
      </c>
      <c r="H2625" s="116"/>
      <c r="I2625" s="116"/>
      <c r="L2625" s="170">
        <v>45868</v>
      </c>
      <c r="M2625" s="116">
        <v>6101</v>
      </c>
      <c r="N2625" s="116">
        <v>6169.5</v>
      </c>
      <c r="O2625" s="116">
        <v>6062</v>
      </c>
      <c r="P2625" s="116">
        <v>6070</v>
      </c>
      <c r="Q2625" s="116">
        <v>6101</v>
      </c>
      <c r="R2625">
        <v>95734</v>
      </c>
    </row>
    <row r="2626" spans="1:18" x14ac:dyDescent="0.25">
      <c r="A2626" s="170">
        <v>45869</v>
      </c>
      <c r="B2626" s="116">
        <v>6136.7</v>
      </c>
      <c r="C2626" s="116">
        <v>6096.5</v>
      </c>
      <c r="D2626" s="116">
        <v>6000.1</v>
      </c>
      <c r="E2626" s="116">
        <v>6050.05</v>
      </c>
      <c r="F2626" s="116">
        <v>6096.5</v>
      </c>
      <c r="G2626">
        <v>5039</v>
      </c>
      <c r="H2626" s="116"/>
      <c r="I2626" s="116"/>
      <c r="L2626" s="170">
        <v>45869</v>
      </c>
      <c r="M2626" s="116">
        <v>6093.5</v>
      </c>
      <c r="N2626" s="116">
        <v>6138.5</v>
      </c>
      <c r="O2626" s="116">
        <v>6001</v>
      </c>
      <c r="P2626" s="116">
        <v>6084</v>
      </c>
      <c r="Q2626" s="116">
        <v>6093.5</v>
      </c>
      <c r="R2626">
        <v>138299</v>
      </c>
    </row>
    <row r="2627" spans="1:18" x14ac:dyDescent="0.25">
      <c r="A2627" s="170">
        <v>45870</v>
      </c>
      <c r="B2627" s="116">
        <v>6096.05</v>
      </c>
      <c r="C2627" s="116">
        <v>6046.8</v>
      </c>
      <c r="D2627" s="116">
        <v>6020.75</v>
      </c>
      <c r="E2627" s="116">
        <v>6096.05</v>
      </c>
      <c r="F2627" s="116">
        <v>6046.8</v>
      </c>
      <c r="G2627">
        <v>6236</v>
      </c>
      <c r="H2627" s="116"/>
      <c r="I2627" s="116"/>
      <c r="L2627" s="170">
        <v>45870</v>
      </c>
      <c r="M2627" s="116">
        <v>6054.5</v>
      </c>
      <c r="N2627" s="116">
        <v>6087.5</v>
      </c>
      <c r="O2627" s="116">
        <v>6021</v>
      </c>
      <c r="P2627" s="116">
        <v>6087.5</v>
      </c>
      <c r="Q2627" s="116">
        <v>6054.5</v>
      </c>
      <c r="R2627">
        <v>126921</v>
      </c>
    </row>
    <row r="2628" spans="1:18" x14ac:dyDescent="0.25">
      <c r="A2628" s="170">
        <v>45873</v>
      </c>
      <c r="B2628" s="116">
        <v>6070.85</v>
      </c>
      <c r="C2628" s="116">
        <v>6030</v>
      </c>
      <c r="D2628" s="116">
        <v>5974.15</v>
      </c>
      <c r="E2628" s="116">
        <v>6000.35</v>
      </c>
      <c r="F2628" s="116">
        <v>6030</v>
      </c>
      <c r="G2628">
        <v>6113</v>
      </c>
      <c r="H2628" s="116"/>
      <c r="I2628" s="116"/>
      <c r="L2628" s="170">
        <v>45873</v>
      </c>
      <c r="M2628" s="116">
        <v>6031</v>
      </c>
      <c r="N2628" s="116">
        <v>6078</v>
      </c>
      <c r="O2628" s="116">
        <v>5973</v>
      </c>
      <c r="P2628" s="116">
        <v>6022</v>
      </c>
      <c r="Q2628" s="116">
        <v>6031</v>
      </c>
      <c r="R2628">
        <v>145412</v>
      </c>
    </row>
    <row r="2629" spans="1:18" x14ac:dyDescent="0.25">
      <c r="A2629" s="170">
        <v>45874</v>
      </c>
      <c r="B2629" s="116">
        <v>6051</v>
      </c>
      <c r="C2629" s="116">
        <v>5959.05</v>
      </c>
      <c r="D2629" s="116">
        <v>5948.05</v>
      </c>
      <c r="E2629" s="116">
        <v>6000.2</v>
      </c>
      <c r="F2629" s="116">
        <v>5959.05</v>
      </c>
      <c r="G2629">
        <v>3145</v>
      </c>
      <c r="H2629" s="116"/>
      <c r="I2629" s="116"/>
      <c r="L2629" s="170">
        <v>45874</v>
      </c>
      <c r="M2629" s="116">
        <v>5961.5</v>
      </c>
      <c r="N2629" s="116">
        <v>6055</v>
      </c>
      <c r="O2629" s="116">
        <v>5941.5</v>
      </c>
      <c r="P2629" s="116">
        <v>6036</v>
      </c>
      <c r="Q2629" s="116">
        <v>5961.5</v>
      </c>
      <c r="R2629">
        <v>86273</v>
      </c>
    </row>
    <row r="2630" spans="1:18" x14ac:dyDescent="0.25">
      <c r="A2630" s="170">
        <v>45875</v>
      </c>
      <c r="B2630" s="116">
        <v>5970</v>
      </c>
      <c r="C2630" s="116">
        <v>5816.85</v>
      </c>
      <c r="D2630" s="116">
        <v>5800</v>
      </c>
      <c r="E2630" s="116">
        <v>5970</v>
      </c>
      <c r="F2630" s="116">
        <v>5816.85</v>
      </c>
      <c r="G2630">
        <v>5633</v>
      </c>
      <c r="H2630" s="116"/>
      <c r="I2630" s="116"/>
      <c r="L2630" s="170">
        <v>45875</v>
      </c>
      <c r="M2630" s="116">
        <v>5816</v>
      </c>
      <c r="N2630" s="116">
        <v>5972</v>
      </c>
      <c r="O2630" s="116">
        <v>5800</v>
      </c>
      <c r="P2630" s="116">
        <v>5968.5</v>
      </c>
      <c r="Q2630" s="116">
        <v>5816</v>
      </c>
      <c r="R2630">
        <v>120782</v>
      </c>
    </row>
    <row r="2631" spans="1:18" x14ac:dyDescent="0.25">
      <c r="A2631" s="170">
        <v>45876</v>
      </c>
      <c r="B2631" s="116">
        <v>5895</v>
      </c>
      <c r="C2631" s="116">
        <v>5872.85</v>
      </c>
      <c r="D2631" s="116">
        <v>5735</v>
      </c>
      <c r="E2631" s="116">
        <v>5790.15</v>
      </c>
      <c r="F2631" s="116">
        <v>5872.85</v>
      </c>
      <c r="G2631">
        <v>13608</v>
      </c>
      <c r="H2631" s="116"/>
      <c r="I2631" s="116"/>
      <c r="L2631" s="170">
        <v>45876</v>
      </c>
      <c r="M2631" s="116">
        <v>5865</v>
      </c>
      <c r="N2631" s="116">
        <v>5892</v>
      </c>
      <c r="O2631" s="116">
        <v>5733</v>
      </c>
      <c r="P2631" s="116">
        <v>5805</v>
      </c>
      <c r="Q2631" s="116">
        <v>5865</v>
      </c>
      <c r="R2631">
        <v>107906</v>
      </c>
    </row>
    <row r="2632" spans="1:18" x14ac:dyDescent="0.25">
      <c r="A2632" s="170">
        <v>45877</v>
      </c>
      <c r="B2632" s="116">
        <v>5869.45</v>
      </c>
      <c r="C2632" s="116">
        <v>5759.1</v>
      </c>
      <c r="D2632" s="116">
        <v>5741.2</v>
      </c>
      <c r="E2632" s="116">
        <v>5867.5</v>
      </c>
      <c r="F2632" s="116">
        <v>5759.1</v>
      </c>
      <c r="G2632">
        <v>9579</v>
      </c>
      <c r="H2632" s="116"/>
      <c r="I2632" s="116"/>
      <c r="L2632" s="170">
        <v>45877</v>
      </c>
      <c r="M2632" s="116">
        <v>5759.5</v>
      </c>
      <c r="N2632" s="116">
        <v>5871</v>
      </c>
      <c r="O2632" s="116">
        <v>5735</v>
      </c>
      <c r="P2632" s="116">
        <v>5850</v>
      </c>
      <c r="Q2632" s="116">
        <v>5759.5</v>
      </c>
      <c r="R2632">
        <v>66575</v>
      </c>
    </row>
    <row r="2633" spans="1:18" x14ac:dyDescent="0.25">
      <c r="A2633" s="170">
        <v>45880</v>
      </c>
      <c r="B2633" s="116">
        <v>5799.5</v>
      </c>
      <c r="C2633" s="116">
        <v>5674.3</v>
      </c>
      <c r="D2633" s="116">
        <v>5665</v>
      </c>
      <c r="E2633" s="116">
        <v>5799.5</v>
      </c>
      <c r="F2633" s="116">
        <v>5674.3</v>
      </c>
      <c r="G2633">
        <v>5118</v>
      </c>
      <c r="H2633" s="116"/>
      <c r="I2633" s="116"/>
      <c r="L2633" s="170">
        <v>45880</v>
      </c>
      <c r="M2633" s="116">
        <v>5676.5</v>
      </c>
      <c r="N2633" s="116">
        <v>5769.5</v>
      </c>
      <c r="O2633" s="116">
        <v>5665</v>
      </c>
      <c r="P2633" s="116">
        <v>5759.5</v>
      </c>
      <c r="Q2633" s="116">
        <v>5676.5</v>
      </c>
      <c r="R2633">
        <v>101170</v>
      </c>
    </row>
    <row r="2634" spans="1:18" x14ac:dyDescent="0.25">
      <c r="A2634" s="170">
        <v>45881</v>
      </c>
      <c r="B2634" s="116">
        <v>5729.85</v>
      </c>
      <c r="C2634" s="116">
        <v>5615.25</v>
      </c>
      <c r="D2634" s="116">
        <v>5610</v>
      </c>
      <c r="E2634" s="116">
        <v>5674.4</v>
      </c>
      <c r="F2634" s="116">
        <v>5615.25</v>
      </c>
      <c r="G2634">
        <v>4411</v>
      </c>
      <c r="H2634" s="116"/>
      <c r="I2634" s="116"/>
      <c r="L2634" s="170">
        <v>45881</v>
      </c>
      <c r="M2634" s="116">
        <v>5617.5</v>
      </c>
      <c r="N2634" s="116">
        <v>5730</v>
      </c>
      <c r="O2634" s="116">
        <v>5611</v>
      </c>
      <c r="P2634" s="116">
        <v>5683</v>
      </c>
      <c r="Q2634" s="116">
        <v>5617.5</v>
      </c>
      <c r="R2634">
        <v>92704</v>
      </c>
    </row>
    <row r="2635" spans="1:18" x14ac:dyDescent="0.25">
      <c r="A2635" s="170">
        <v>45882</v>
      </c>
      <c r="B2635" s="116">
        <v>5728.45</v>
      </c>
      <c r="C2635" s="116">
        <v>5674.5</v>
      </c>
      <c r="D2635" s="116">
        <v>5584</v>
      </c>
      <c r="E2635" s="116">
        <v>5615.95</v>
      </c>
      <c r="F2635" s="116">
        <v>5674.5</v>
      </c>
      <c r="G2635">
        <v>4377</v>
      </c>
      <c r="H2635" s="116"/>
      <c r="I2635" s="116"/>
      <c r="L2635" s="170">
        <v>45882</v>
      </c>
      <c r="M2635" s="116">
        <v>5671</v>
      </c>
      <c r="N2635" s="116">
        <v>5733</v>
      </c>
      <c r="O2635" s="116">
        <v>5581.5</v>
      </c>
      <c r="P2635" s="116">
        <v>5639.5</v>
      </c>
      <c r="Q2635" s="116">
        <v>5671</v>
      </c>
      <c r="R2635">
        <v>114397</v>
      </c>
    </row>
    <row r="2636" spans="1:18" x14ac:dyDescent="0.25">
      <c r="A2636" s="170">
        <v>45883</v>
      </c>
      <c r="B2636" s="116">
        <v>5763.8</v>
      </c>
      <c r="C2636" s="116">
        <v>5678.8</v>
      </c>
      <c r="D2636" s="116">
        <v>5665.45</v>
      </c>
      <c r="E2636" s="116">
        <v>5674.7</v>
      </c>
      <c r="F2636" s="116">
        <v>5678.8</v>
      </c>
      <c r="G2636">
        <v>8122</v>
      </c>
      <c r="H2636" s="116"/>
      <c r="I2636" s="116"/>
      <c r="L2636" s="170">
        <v>45883</v>
      </c>
      <c r="M2636" s="116">
        <v>5681.5</v>
      </c>
      <c r="N2636" s="116">
        <v>5767.5</v>
      </c>
      <c r="O2636" s="116">
        <v>5665</v>
      </c>
      <c r="P2636" s="116">
        <v>5694.5</v>
      </c>
      <c r="Q2636" s="116">
        <v>5681.5</v>
      </c>
      <c r="R2636">
        <v>88786</v>
      </c>
    </row>
    <row r="2637" spans="1:18" x14ac:dyDescent="0.25">
      <c r="A2637" s="170">
        <v>45887</v>
      </c>
      <c r="B2637" s="116">
        <v>5800</v>
      </c>
      <c r="C2637" s="116">
        <v>5679.15</v>
      </c>
      <c r="D2637" s="116">
        <v>5668</v>
      </c>
      <c r="E2637" s="116">
        <v>5715</v>
      </c>
      <c r="F2637" s="116">
        <v>5679.15</v>
      </c>
      <c r="G2637">
        <v>8103</v>
      </c>
      <c r="H2637" s="116"/>
      <c r="I2637" s="116"/>
      <c r="L2637" s="170">
        <v>45887</v>
      </c>
      <c r="M2637" s="116">
        <v>5677.5</v>
      </c>
      <c r="N2637" s="116">
        <v>5800</v>
      </c>
      <c r="O2637" s="116">
        <v>5663.5</v>
      </c>
      <c r="P2637" s="116">
        <v>5725</v>
      </c>
      <c r="Q2637" s="116">
        <v>5677.5</v>
      </c>
      <c r="R2637">
        <v>120374</v>
      </c>
    </row>
    <row r="2638" spans="1:18" x14ac:dyDescent="0.25">
      <c r="A2638" s="170">
        <v>45888</v>
      </c>
      <c r="B2638" s="116">
        <v>5739.15</v>
      </c>
      <c r="C2638" s="116">
        <v>5726.1</v>
      </c>
      <c r="D2638" s="116">
        <v>5617.55</v>
      </c>
      <c r="E2638" s="116">
        <v>5729.1</v>
      </c>
      <c r="F2638" s="116">
        <v>5726.1</v>
      </c>
      <c r="G2638">
        <v>8197</v>
      </c>
      <c r="H2638" s="116"/>
      <c r="I2638" s="116"/>
      <c r="L2638" s="170">
        <v>45888</v>
      </c>
      <c r="M2638" s="116">
        <v>5726.5</v>
      </c>
      <c r="N2638" s="116">
        <v>5744</v>
      </c>
      <c r="O2638" s="116">
        <v>5617</v>
      </c>
      <c r="P2638" s="116">
        <v>5692</v>
      </c>
      <c r="Q2638" s="116">
        <v>5726.5</v>
      </c>
      <c r="R2638">
        <v>90475</v>
      </c>
    </row>
    <row r="2639" spans="1:18" x14ac:dyDescent="0.25">
      <c r="A2639" s="170">
        <v>45889</v>
      </c>
      <c r="B2639" s="116">
        <v>5826.1</v>
      </c>
      <c r="C2639" s="116">
        <v>5744.25</v>
      </c>
      <c r="D2639" s="116">
        <v>5692</v>
      </c>
      <c r="E2639" s="116">
        <v>5752.45</v>
      </c>
      <c r="F2639" s="116">
        <v>5744.25</v>
      </c>
      <c r="G2639">
        <v>6207</v>
      </c>
      <c r="H2639" s="116"/>
      <c r="I2639" s="116"/>
      <c r="L2639" s="170">
        <v>45889</v>
      </c>
      <c r="M2639" s="116">
        <v>5745.5</v>
      </c>
      <c r="N2639" s="116">
        <v>5824.5</v>
      </c>
      <c r="O2639" s="116">
        <v>5690.5</v>
      </c>
      <c r="P2639" s="116">
        <v>5744.5</v>
      </c>
      <c r="Q2639" s="116">
        <v>5745.5</v>
      </c>
      <c r="R2639">
        <v>136215</v>
      </c>
    </row>
    <row r="2640" spans="1:18" x14ac:dyDescent="0.25">
      <c r="A2640" s="170">
        <v>45890</v>
      </c>
      <c r="B2640" s="116">
        <v>5772.75</v>
      </c>
      <c r="C2640" s="116">
        <v>5661.25</v>
      </c>
      <c r="D2640" s="116">
        <v>5651.65</v>
      </c>
      <c r="E2640" s="116">
        <v>5772.75</v>
      </c>
      <c r="F2640" s="116">
        <v>5661.25</v>
      </c>
      <c r="G2640">
        <v>4550</v>
      </c>
      <c r="H2640" s="116"/>
      <c r="I2640" s="116"/>
      <c r="L2640" s="170">
        <v>45890</v>
      </c>
      <c r="M2640" s="116">
        <v>5659</v>
      </c>
      <c r="N2640" s="116">
        <v>5770</v>
      </c>
      <c r="O2640" s="116">
        <v>5650</v>
      </c>
      <c r="P2640" s="116">
        <v>5760</v>
      </c>
      <c r="Q2640" s="116">
        <v>5659</v>
      </c>
      <c r="R2640">
        <v>124725</v>
      </c>
    </row>
    <row r="2641" spans="1:18" x14ac:dyDescent="0.25">
      <c r="A2641" s="170">
        <v>45891</v>
      </c>
      <c r="B2641" s="116">
        <v>5659.1</v>
      </c>
      <c r="C2641" s="116">
        <v>5579.25</v>
      </c>
      <c r="D2641" s="116">
        <v>5555.75</v>
      </c>
      <c r="E2641" s="116">
        <v>5659.1</v>
      </c>
      <c r="F2641" s="116">
        <v>5579.25</v>
      </c>
      <c r="G2641">
        <v>13931</v>
      </c>
      <c r="H2641" s="116"/>
      <c r="I2641" s="116"/>
      <c r="L2641" s="170">
        <v>45891</v>
      </c>
      <c r="M2641" s="116">
        <v>5579.5</v>
      </c>
      <c r="N2641" s="116">
        <v>5659</v>
      </c>
      <c r="O2641" s="116">
        <v>5555.5</v>
      </c>
      <c r="P2641" s="116">
        <v>5659</v>
      </c>
      <c r="Q2641" s="116">
        <v>5579.5</v>
      </c>
      <c r="R2641">
        <v>163567</v>
      </c>
    </row>
    <row r="2642" spans="1:18" x14ac:dyDescent="0.25">
      <c r="A2642" s="170">
        <v>45894</v>
      </c>
      <c r="B2642" s="116">
        <v>5640.45</v>
      </c>
      <c r="C2642" s="116">
        <v>5550.2</v>
      </c>
      <c r="D2642" s="116">
        <v>5530</v>
      </c>
      <c r="E2642" s="116">
        <v>5600</v>
      </c>
      <c r="F2642" s="116">
        <v>5550.2</v>
      </c>
      <c r="G2642">
        <v>9289</v>
      </c>
      <c r="H2642" s="116"/>
      <c r="I2642" s="116"/>
      <c r="L2642" s="170">
        <v>45894</v>
      </c>
      <c r="M2642" s="116">
        <v>5546.5</v>
      </c>
      <c r="N2642" s="116">
        <v>5638</v>
      </c>
      <c r="O2642" s="116">
        <v>5525.5</v>
      </c>
      <c r="P2642" s="116">
        <v>5600</v>
      </c>
      <c r="Q2642" s="116">
        <v>5546.5</v>
      </c>
      <c r="R2642">
        <v>149309</v>
      </c>
    </row>
    <row r="2643" spans="1:18" x14ac:dyDescent="0.25">
      <c r="A2643" s="170">
        <v>45895</v>
      </c>
      <c r="B2643" s="116">
        <v>5577.7</v>
      </c>
      <c r="C2643" s="116">
        <v>5477.85</v>
      </c>
      <c r="D2643" s="116">
        <v>5452.65</v>
      </c>
      <c r="E2643" s="116">
        <v>5540</v>
      </c>
      <c r="F2643" s="116">
        <v>5477.85</v>
      </c>
      <c r="G2643">
        <v>12045</v>
      </c>
      <c r="H2643" s="116"/>
      <c r="I2643" s="116"/>
      <c r="L2643" s="170">
        <v>45895</v>
      </c>
      <c r="M2643" s="116">
        <v>5478.5</v>
      </c>
      <c r="N2643" s="116">
        <v>5579.5</v>
      </c>
      <c r="O2643" s="116">
        <v>5455</v>
      </c>
      <c r="P2643" s="116">
        <v>5540</v>
      </c>
      <c r="Q2643" s="116">
        <v>5478.5</v>
      </c>
      <c r="R2643">
        <v>156243</v>
      </c>
    </row>
    <row r="2644" spans="1:18" x14ac:dyDescent="0.25">
      <c r="A2644" s="170">
        <v>45897</v>
      </c>
      <c r="B2644" s="116">
        <v>5504.65</v>
      </c>
      <c r="C2644" s="116">
        <v>5340.45</v>
      </c>
      <c r="D2644" s="116">
        <v>5321.2</v>
      </c>
      <c r="E2644" s="116">
        <v>5504.65</v>
      </c>
      <c r="F2644" s="116">
        <v>5340.45</v>
      </c>
      <c r="G2644">
        <v>8058</v>
      </c>
      <c r="H2644" s="116"/>
      <c r="I2644" s="116"/>
      <c r="L2644" s="170">
        <v>45897</v>
      </c>
      <c r="M2644" s="116">
        <v>5338</v>
      </c>
      <c r="N2644" s="116">
        <v>5490</v>
      </c>
      <c r="O2644" s="116">
        <v>5320</v>
      </c>
      <c r="P2644" s="116">
        <v>5490</v>
      </c>
      <c r="Q2644" s="116">
        <v>5338</v>
      </c>
      <c r="R2644">
        <v>146049</v>
      </c>
    </row>
    <row r="2645" spans="1:18" x14ac:dyDescent="0.25">
      <c r="A2645" s="170">
        <v>45898</v>
      </c>
      <c r="B2645" s="116">
        <v>5340.45</v>
      </c>
      <c r="C2645" s="116">
        <v>5232.5</v>
      </c>
      <c r="D2645" s="116">
        <v>5222</v>
      </c>
      <c r="E2645" s="116">
        <v>5335</v>
      </c>
      <c r="F2645" s="116">
        <v>5232.5</v>
      </c>
      <c r="G2645">
        <v>18397</v>
      </c>
      <c r="H2645" s="116"/>
      <c r="I2645" s="116"/>
      <c r="L2645" s="170">
        <v>45898</v>
      </c>
      <c r="M2645" s="116">
        <v>5234</v>
      </c>
      <c r="N2645" s="116">
        <v>5343</v>
      </c>
      <c r="O2645" s="116">
        <v>5221</v>
      </c>
      <c r="P2645" s="116">
        <v>5338</v>
      </c>
      <c r="Q2645" s="116">
        <v>5234</v>
      </c>
      <c r="R2645">
        <v>201277</v>
      </c>
    </row>
    <row r="2646" spans="1:18" x14ac:dyDescent="0.25">
      <c r="A2646" s="170">
        <v>45901</v>
      </c>
      <c r="B2646" s="116">
        <v>5384.95</v>
      </c>
      <c r="C2646" s="116">
        <v>5357.15</v>
      </c>
      <c r="D2646" s="116">
        <v>5250.15</v>
      </c>
      <c r="E2646" s="116">
        <v>5250.15</v>
      </c>
      <c r="F2646" s="116">
        <v>5357.15</v>
      </c>
      <c r="G2646">
        <v>8043</v>
      </c>
      <c r="H2646" s="116"/>
      <c r="I2646" s="116"/>
      <c r="L2646" s="170">
        <v>45901</v>
      </c>
      <c r="M2646" s="116">
        <v>5357</v>
      </c>
      <c r="N2646" s="116">
        <v>5384</v>
      </c>
      <c r="O2646" s="116">
        <v>5251</v>
      </c>
      <c r="P2646" s="116">
        <v>5274.5</v>
      </c>
      <c r="Q2646" s="116">
        <v>5357</v>
      </c>
      <c r="R2646">
        <v>162133</v>
      </c>
    </row>
    <row r="2647" spans="1:18" x14ac:dyDescent="0.25">
      <c r="A2647" s="170">
        <v>45902</v>
      </c>
      <c r="B2647" s="116">
        <v>5440</v>
      </c>
      <c r="C2647" s="116">
        <v>5423.7</v>
      </c>
      <c r="D2647" s="116">
        <v>5307</v>
      </c>
      <c r="E2647" s="116">
        <v>5391</v>
      </c>
      <c r="F2647" s="116">
        <v>5423.7</v>
      </c>
      <c r="G2647">
        <v>15309</v>
      </c>
      <c r="H2647" s="116"/>
      <c r="I2647" s="116"/>
      <c r="L2647" s="170">
        <v>45902</v>
      </c>
      <c r="M2647" s="116">
        <v>5425.5</v>
      </c>
      <c r="N2647" s="116">
        <v>5439</v>
      </c>
      <c r="O2647" s="116">
        <v>5304.5</v>
      </c>
      <c r="P2647" s="116">
        <v>5395</v>
      </c>
      <c r="Q2647" s="116">
        <v>5425.5</v>
      </c>
      <c r="R2647">
        <v>162068</v>
      </c>
    </row>
    <row r="2648" spans="1:18" x14ac:dyDescent="0.25">
      <c r="A2648" s="170">
        <v>45903</v>
      </c>
      <c r="B2648" s="116">
        <v>5477.75</v>
      </c>
      <c r="C2648" s="116">
        <v>5428.55</v>
      </c>
      <c r="D2648" s="116">
        <v>5392.3</v>
      </c>
      <c r="E2648" s="116">
        <v>5477.75</v>
      </c>
      <c r="F2648" s="116">
        <v>5428.55</v>
      </c>
      <c r="G2648">
        <v>5476</v>
      </c>
      <c r="H2648" s="116"/>
      <c r="I2648" s="116"/>
      <c r="L2648" s="170">
        <v>45903</v>
      </c>
      <c r="M2648" s="116">
        <v>5427.5</v>
      </c>
      <c r="N2648" s="116">
        <v>5474.5</v>
      </c>
      <c r="O2648" s="116">
        <v>5394</v>
      </c>
      <c r="P2648" s="116">
        <v>5449</v>
      </c>
      <c r="Q2648" s="116">
        <v>5427.5</v>
      </c>
      <c r="R2648">
        <v>102124</v>
      </c>
    </row>
    <row r="2649" spans="1:18" x14ac:dyDescent="0.25">
      <c r="A2649" s="170">
        <v>45904</v>
      </c>
      <c r="B2649" s="116">
        <v>5490</v>
      </c>
      <c r="C2649" s="116">
        <v>5427.8</v>
      </c>
      <c r="D2649" s="116">
        <v>5370</v>
      </c>
      <c r="E2649" s="116">
        <v>5489.95</v>
      </c>
      <c r="F2649" s="116">
        <v>5427.8</v>
      </c>
      <c r="G2649">
        <v>10279</v>
      </c>
      <c r="H2649" s="116"/>
      <c r="I2649" s="116"/>
      <c r="L2649" s="170">
        <v>45904</v>
      </c>
      <c r="M2649" s="116">
        <v>5428</v>
      </c>
      <c r="N2649" s="116">
        <v>5493</v>
      </c>
      <c r="O2649" s="116">
        <v>5366.5</v>
      </c>
      <c r="P2649" s="116">
        <v>5473</v>
      </c>
      <c r="Q2649" s="116">
        <v>5428</v>
      </c>
      <c r="R2649">
        <v>149976</v>
      </c>
    </row>
    <row r="2650" spans="1:18" x14ac:dyDescent="0.25">
      <c r="A2650" s="170">
        <v>45905</v>
      </c>
      <c r="B2650" s="116">
        <v>5489</v>
      </c>
      <c r="C2650" s="116">
        <v>5453.95</v>
      </c>
      <c r="D2650" s="116">
        <v>5366.25</v>
      </c>
      <c r="E2650" s="116">
        <v>5444.95</v>
      </c>
      <c r="F2650" s="116">
        <v>5453.95</v>
      </c>
      <c r="G2650">
        <v>6127</v>
      </c>
      <c r="H2650" s="116"/>
      <c r="I2650" s="116"/>
      <c r="L2650" s="170">
        <v>45905</v>
      </c>
      <c r="M2650" s="116">
        <v>5451</v>
      </c>
      <c r="N2650" s="116">
        <v>5486.5</v>
      </c>
      <c r="O2650" s="116">
        <v>5360</v>
      </c>
      <c r="P2650" s="116">
        <v>5438</v>
      </c>
      <c r="Q2650" s="116">
        <v>5451</v>
      </c>
      <c r="R2650">
        <v>129172</v>
      </c>
    </row>
    <row r="2651" spans="1:18" x14ac:dyDescent="0.25">
      <c r="A2651" s="170">
        <v>45908</v>
      </c>
      <c r="B2651" s="116">
        <v>5499.5</v>
      </c>
      <c r="C2651" s="116">
        <v>5468.6</v>
      </c>
      <c r="D2651" s="116">
        <v>5445.9</v>
      </c>
      <c r="E2651" s="116">
        <v>5470.15</v>
      </c>
      <c r="F2651" s="116">
        <v>5468.6</v>
      </c>
      <c r="G2651">
        <v>10783</v>
      </c>
      <c r="H2651" s="116"/>
      <c r="I2651" s="116"/>
      <c r="L2651" s="170">
        <v>45908</v>
      </c>
      <c r="M2651" s="116">
        <v>5469.5</v>
      </c>
      <c r="N2651" s="116">
        <v>5500</v>
      </c>
      <c r="O2651" s="116">
        <v>5448.5</v>
      </c>
      <c r="P2651" s="116">
        <v>5480</v>
      </c>
      <c r="Q2651" s="116">
        <v>5469.5</v>
      </c>
      <c r="R2651">
        <v>67959</v>
      </c>
    </row>
    <row r="2652" spans="1:18" x14ac:dyDescent="0.25">
      <c r="A2652" s="170">
        <v>45909</v>
      </c>
      <c r="B2652" s="116">
        <v>5680</v>
      </c>
      <c r="C2652" s="116">
        <v>5556.9</v>
      </c>
      <c r="D2652" s="116">
        <v>5483</v>
      </c>
      <c r="E2652" s="116">
        <v>5514.85</v>
      </c>
      <c r="F2652" s="116">
        <v>5556.9</v>
      </c>
      <c r="G2652">
        <v>24021</v>
      </c>
      <c r="H2652" s="116"/>
      <c r="I2652" s="116"/>
      <c r="L2652" s="170">
        <v>45909</v>
      </c>
      <c r="M2652" s="116">
        <v>5553.5</v>
      </c>
      <c r="N2652" s="116">
        <v>5681.5</v>
      </c>
      <c r="O2652" s="116">
        <v>5475.5</v>
      </c>
      <c r="P2652" s="116">
        <v>5489</v>
      </c>
      <c r="Q2652" s="116">
        <v>5553.5</v>
      </c>
      <c r="R2652">
        <v>401718</v>
      </c>
    </row>
    <row r="2653" spans="1:18" x14ac:dyDescent="0.25">
      <c r="A2653" s="170">
        <v>45910</v>
      </c>
      <c r="B2653" s="116">
        <v>5863.4</v>
      </c>
      <c r="C2653" s="116">
        <v>5843.45</v>
      </c>
      <c r="D2653" s="116">
        <v>5597.45</v>
      </c>
      <c r="E2653" s="116">
        <v>5597.45</v>
      </c>
      <c r="F2653" s="116">
        <v>5843.45</v>
      </c>
      <c r="G2653">
        <v>71388</v>
      </c>
      <c r="H2653" s="116"/>
      <c r="I2653" s="116"/>
      <c r="L2653" s="170">
        <v>45910</v>
      </c>
      <c r="M2653" s="116">
        <v>5843.5</v>
      </c>
      <c r="N2653" s="116">
        <v>5860</v>
      </c>
      <c r="O2653" s="116">
        <v>5590</v>
      </c>
      <c r="P2653" s="116">
        <v>5590</v>
      </c>
      <c r="Q2653" s="116">
        <v>5843.5</v>
      </c>
      <c r="R2653">
        <v>596016</v>
      </c>
    </row>
    <row r="2654" spans="1:18" x14ac:dyDescent="0.25">
      <c r="A2654" s="170">
        <v>45911</v>
      </c>
      <c r="B2654" s="116">
        <v>5849.95</v>
      </c>
      <c r="C2654" s="116">
        <v>5751.65</v>
      </c>
      <c r="D2654" s="116">
        <v>5745</v>
      </c>
      <c r="E2654" s="116">
        <v>5849.95</v>
      </c>
      <c r="F2654" s="116">
        <v>5751.65</v>
      </c>
      <c r="G2654">
        <v>9664</v>
      </c>
      <c r="H2654" s="116"/>
      <c r="I2654" s="116"/>
      <c r="L2654" s="170">
        <v>45911</v>
      </c>
      <c r="M2654" s="116">
        <v>5752.5</v>
      </c>
      <c r="N2654" s="116">
        <v>5850</v>
      </c>
      <c r="O2654" s="116">
        <v>5746</v>
      </c>
      <c r="P2654" s="116">
        <v>5843.5</v>
      </c>
      <c r="Q2654" s="116">
        <v>5752.5</v>
      </c>
      <c r="R2654">
        <v>133727</v>
      </c>
    </row>
    <row r="2655" spans="1:18" x14ac:dyDescent="0.25">
      <c r="A2655" s="170">
        <v>45912</v>
      </c>
      <c r="B2655" s="116">
        <v>5788.5</v>
      </c>
      <c r="C2655" s="116">
        <v>5719</v>
      </c>
      <c r="D2655" s="116">
        <v>5661</v>
      </c>
      <c r="E2655" s="116">
        <v>5745.15</v>
      </c>
      <c r="F2655" s="116">
        <v>5719</v>
      </c>
      <c r="G2655">
        <v>13568</v>
      </c>
      <c r="H2655" s="116"/>
      <c r="I2655" s="116"/>
      <c r="L2655" s="170">
        <v>45912</v>
      </c>
      <c r="M2655" s="116">
        <v>5721.5</v>
      </c>
      <c r="N2655" s="116">
        <v>5786</v>
      </c>
      <c r="O2655" s="116">
        <v>5661</v>
      </c>
      <c r="P2655" s="116">
        <v>5752.5</v>
      </c>
      <c r="Q2655" s="116">
        <v>5721.5</v>
      </c>
      <c r="R2655">
        <v>141104</v>
      </c>
    </row>
    <row r="2656" spans="1:18" x14ac:dyDescent="0.25">
      <c r="A2656" s="170">
        <v>45915</v>
      </c>
      <c r="B2656" s="116">
        <v>5749.8</v>
      </c>
      <c r="C2656" s="116">
        <v>5687.25</v>
      </c>
      <c r="D2656" s="116">
        <v>5660</v>
      </c>
      <c r="E2656" s="116">
        <v>5749.8</v>
      </c>
      <c r="F2656" s="116">
        <v>5687.25</v>
      </c>
      <c r="G2656">
        <v>4923</v>
      </c>
      <c r="H2656" s="116"/>
      <c r="I2656" s="116"/>
      <c r="L2656" s="170">
        <v>45915</v>
      </c>
      <c r="M2656" s="116">
        <v>5685</v>
      </c>
      <c r="N2656" s="116">
        <v>5749.5</v>
      </c>
      <c r="O2656" s="116">
        <v>5660</v>
      </c>
      <c r="P2656" s="116">
        <v>5721.5</v>
      </c>
      <c r="Q2656" s="116">
        <v>5685</v>
      </c>
      <c r="R2656">
        <v>108324</v>
      </c>
    </row>
    <row r="2657" spans="1:18" x14ac:dyDescent="0.25">
      <c r="A2657" s="170">
        <v>45916</v>
      </c>
      <c r="B2657" s="116">
        <v>5720</v>
      </c>
      <c r="C2657" s="116">
        <v>5704.95</v>
      </c>
      <c r="D2657" s="116">
        <v>5644.15</v>
      </c>
      <c r="E2657" s="116">
        <v>5700</v>
      </c>
      <c r="F2657" s="116">
        <v>5704.95</v>
      </c>
      <c r="G2657">
        <v>10872</v>
      </c>
      <c r="H2657" s="116"/>
      <c r="I2657" s="116"/>
      <c r="L2657" s="170">
        <v>45916</v>
      </c>
      <c r="M2657" s="116">
        <v>5707</v>
      </c>
      <c r="N2657" s="116">
        <v>5722</v>
      </c>
      <c r="O2657" s="116">
        <v>5640</v>
      </c>
      <c r="P2657" s="116">
        <v>5707</v>
      </c>
      <c r="Q2657" s="116">
        <v>5707</v>
      </c>
      <c r="R2657">
        <v>114558</v>
      </c>
    </row>
    <row r="2658" spans="1:18" x14ac:dyDescent="0.25">
      <c r="A2658" s="170">
        <v>45917</v>
      </c>
      <c r="B2658" s="116">
        <v>5765</v>
      </c>
      <c r="C2658" s="116">
        <v>5682.45</v>
      </c>
      <c r="D2658" s="116">
        <v>5666.05</v>
      </c>
      <c r="E2658" s="116">
        <v>5722.4</v>
      </c>
      <c r="F2658" s="116">
        <v>5682.45</v>
      </c>
      <c r="G2658">
        <v>8255</v>
      </c>
      <c r="H2658" s="116"/>
      <c r="I2658" s="116"/>
      <c r="L2658" s="170">
        <v>45917</v>
      </c>
      <c r="M2658" s="116">
        <v>5683</v>
      </c>
      <c r="N2658" s="116">
        <v>5768</v>
      </c>
      <c r="O2658" s="116">
        <v>5664</v>
      </c>
      <c r="P2658" s="116">
        <v>5722</v>
      </c>
      <c r="Q2658" s="116">
        <v>5683</v>
      </c>
      <c r="R2658">
        <v>126105</v>
      </c>
    </row>
    <row r="2659" spans="1:18" x14ac:dyDescent="0.25">
      <c r="A2659" s="170">
        <v>45918</v>
      </c>
      <c r="B2659" s="116">
        <v>5782.85</v>
      </c>
      <c r="C2659" s="116">
        <v>5730.95</v>
      </c>
      <c r="D2659" s="116">
        <v>5694.1</v>
      </c>
      <c r="E2659" s="116">
        <v>5710</v>
      </c>
      <c r="F2659" s="116">
        <v>5730.95</v>
      </c>
      <c r="G2659">
        <v>14322</v>
      </c>
      <c r="H2659" s="116"/>
      <c r="I2659" s="116"/>
      <c r="L2659" s="170">
        <v>45918</v>
      </c>
      <c r="M2659" s="116">
        <v>5733.5</v>
      </c>
      <c r="N2659" s="116">
        <v>5782</v>
      </c>
      <c r="O2659" s="116">
        <v>5691</v>
      </c>
      <c r="P2659" s="116">
        <v>5710</v>
      </c>
      <c r="Q2659" s="116">
        <v>5733.5</v>
      </c>
      <c r="R2659">
        <v>164737</v>
      </c>
    </row>
    <row r="2660" spans="1:18" x14ac:dyDescent="0.25">
      <c r="A2660" s="170">
        <v>45919</v>
      </c>
      <c r="B2660" s="116">
        <v>5753.95</v>
      </c>
      <c r="C2660" s="116">
        <v>5720.45</v>
      </c>
      <c r="D2660" s="116">
        <v>5690</v>
      </c>
      <c r="E2660" s="116">
        <v>5753.95</v>
      </c>
      <c r="F2660" s="116">
        <v>5720.45</v>
      </c>
      <c r="G2660">
        <v>12063</v>
      </c>
      <c r="H2660" s="116"/>
      <c r="I2660" s="116"/>
      <c r="L2660" s="170">
        <v>45919</v>
      </c>
      <c r="M2660" s="116">
        <v>5722.5</v>
      </c>
      <c r="N2660" s="116">
        <v>5753</v>
      </c>
      <c r="O2660" s="116">
        <v>5690</v>
      </c>
      <c r="P2660" s="116">
        <v>5735</v>
      </c>
      <c r="Q2660" s="116">
        <v>5722.5</v>
      </c>
      <c r="R2660">
        <v>155191</v>
      </c>
    </row>
    <row r="2661" spans="1:18" x14ac:dyDescent="0.25">
      <c r="A2661" s="170">
        <v>45922</v>
      </c>
      <c r="B2661" s="116">
        <v>5693.5</v>
      </c>
      <c r="C2661" s="116">
        <v>5604.2</v>
      </c>
      <c r="D2661" s="116">
        <v>5566.4</v>
      </c>
      <c r="E2661" s="116">
        <v>5611.7</v>
      </c>
      <c r="F2661" s="116">
        <v>5604.2</v>
      </c>
      <c r="G2661">
        <v>12074</v>
      </c>
      <c r="H2661" s="116"/>
      <c r="I2661" s="116"/>
      <c r="L2661" s="170">
        <v>45922</v>
      </c>
      <c r="M2661" s="116">
        <v>5607</v>
      </c>
      <c r="N2661" s="116">
        <v>5699.5</v>
      </c>
      <c r="O2661" s="116">
        <v>5565</v>
      </c>
      <c r="P2661" s="116">
        <v>5699.5</v>
      </c>
      <c r="Q2661" s="116">
        <v>5607</v>
      </c>
      <c r="R2661">
        <v>188343</v>
      </c>
    </row>
    <row r="2662" spans="1:18" x14ac:dyDescent="0.25">
      <c r="A2662" s="170">
        <v>45923</v>
      </c>
      <c r="B2662" s="116">
        <v>5699</v>
      </c>
      <c r="C2662" s="116">
        <v>5555.75</v>
      </c>
      <c r="D2662" s="116">
        <v>5501.8</v>
      </c>
      <c r="E2662" s="116">
        <v>5601.05</v>
      </c>
      <c r="F2662" s="116">
        <v>5555.75</v>
      </c>
      <c r="G2662">
        <v>6677</v>
      </c>
      <c r="H2662" s="116"/>
      <c r="I2662" s="116"/>
      <c r="L2662" s="170">
        <v>45923</v>
      </c>
      <c r="M2662" s="116">
        <v>5555.5</v>
      </c>
      <c r="N2662" s="116">
        <v>5640</v>
      </c>
      <c r="O2662" s="116">
        <v>5501</v>
      </c>
      <c r="P2662" s="116">
        <v>5595</v>
      </c>
      <c r="Q2662" s="116">
        <v>5555.5</v>
      </c>
      <c r="R2662">
        <v>136231</v>
      </c>
    </row>
    <row r="2663" spans="1:18" x14ac:dyDescent="0.25">
      <c r="A2663" s="170">
        <v>45924</v>
      </c>
      <c r="B2663" s="116">
        <v>5585.75</v>
      </c>
      <c r="C2663" s="116">
        <v>5503.75</v>
      </c>
      <c r="D2663" s="116">
        <v>5489.5</v>
      </c>
      <c r="E2663" s="116">
        <v>5555.75</v>
      </c>
      <c r="F2663" s="116">
        <v>5503.75</v>
      </c>
      <c r="G2663">
        <v>11012</v>
      </c>
      <c r="H2663" s="116"/>
      <c r="I2663" s="116"/>
      <c r="L2663" s="170">
        <v>45924</v>
      </c>
      <c r="M2663" s="116">
        <v>5504.5</v>
      </c>
      <c r="N2663" s="116">
        <v>5581</v>
      </c>
      <c r="O2663" s="116">
        <v>5492</v>
      </c>
      <c r="P2663" s="116">
        <v>5570</v>
      </c>
      <c r="Q2663" s="116">
        <v>5504.5</v>
      </c>
      <c r="R2663">
        <v>136459</v>
      </c>
    </row>
    <row r="2664" spans="1:18" x14ac:dyDescent="0.25">
      <c r="A2664" s="170">
        <v>45925</v>
      </c>
      <c r="B2664" s="116">
        <v>5545</v>
      </c>
      <c r="C2664" s="116">
        <v>5451</v>
      </c>
      <c r="D2664" s="116">
        <v>5430.6</v>
      </c>
      <c r="E2664" s="116">
        <v>5500</v>
      </c>
      <c r="F2664" s="116">
        <v>5451</v>
      </c>
      <c r="G2664">
        <v>6229</v>
      </c>
      <c r="H2664" s="116"/>
      <c r="I2664" s="116"/>
      <c r="L2664" s="170">
        <v>45925</v>
      </c>
      <c r="M2664" s="116">
        <v>5461.5</v>
      </c>
      <c r="N2664" s="116">
        <v>5549.5</v>
      </c>
      <c r="O2664" s="116">
        <v>5430</v>
      </c>
      <c r="P2664" s="116">
        <v>5500</v>
      </c>
      <c r="Q2664" s="116">
        <v>5461.5</v>
      </c>
      <c r="R2664">
        <v>135297</v>
      </c>
    </row>
    <row r="2665" spans="1:18" x14ac:dyDescent="0.25">
      <c r="A2665" s="170">
        <v>45926</v>
      </c>
      <c r="B2665" s="116">
        <v>5463.3</v>
      </c>
      <c r="C2665" s="116">
        <v>5300.9</v>
      </c>
      <c r="D2665" s="116">
        <v>5289</v>
      </c>
      <c r="E2665" s="116">
        <v>5436.6</v>
      </c>
      <c r="F2665" s="116">
        <v>5300.9</v>
      </c>
      <c r="G2665">
        <v>8347</v>
      </c>
      <c r="H2665" s="116"/>
      <c r="I2665" s="116"/>
      <c r="L2665" s="170">
        <v>45926</v>
      </c>
      <c r="M2665" s="116">
        <v>5303</v>
      </c>
      <c r="N2665" s="116">
        <v>5460</v>
      </c>
      <c r="O2665" s="116">
        <v>5295</v>
      </c>
      <c r="P2665" s="116">
        <v>5451</v>
      </c>
      <c r="Q2665" s="116">
        <v>5303</v>
      </c>
      <c r="R2665">
        <v>155688</v>
      </c>
    </row>
    <row r="2666" spans="1:18" x14ac:dyDescent="0.25">
      <c r="A2666" s="170">
        <v>45929</v>
      </c>
      <c r="B2666" s="116">
        <v>5388.85</v>
      </c>
      <c r="C2666" s="116">
        <v>5300.65</v>
      </c>
      <c r="D2666" s="116">
        <v>5262.55</v>
      </c>
      <c r="E2666" s="116">
        <v>5388.85</v>
      </c>
      <c r="F2666" s="116">
        <v>5300.65</v>
      </c>
      <c r="G2666">
        <v>7616</v>
      </c>
      <c r="H2666" s="116"/>
      <c r="I2666" s="116"/>
      <c r="L2666" s="170">
        <v>45929</v>
      </c>
      <c r="M2666" s="116">
        <v>5301</v>
      </c>
      <c r="N2666" s="116">
        <v>5369.5</v>
      </c>
      <c r="O2666" s="116">
        <v>5258.5</v>
      </c>
      <c r="P2666" s="116">
        <v>5303</v>
      </c>
      <c r="Q2666" s="116">
        <v>5301</v>
      </c>
      <c r="R2666">
        <v>131890</v>
      </c>
    </row>
    <row r="2667" spans="1:18" x14ac:dyDescent="0.25">
      <c r="A2667" s="170">
        <v>45930</v>
      </c>
      <c r="B2667" s="116">
        <v>5322.9</v>
      </c>
      <c r="C2667" s="116">
        <v>5227.05</v>
      </c>
      <c r="D2667" s="116">
        <v>5211.05</v>
      </c>
      <c r="E2667" s="116">
        <v>5302.05</v>
      </c>
      <c r="F2667" s="116">
        <v>5227.05</v>
      </c>
      <c r="G2667">
        <v>24181</v>
      </c>
      <c r="H2667" s="116"/>
      <c r="I2667" s="116"/>
      <c r="L2667" s="170">
        <v>45930</v>
      </c>
      <c r="M2667" s="116">
        <v>5227</v>
      </c>
      <c r="N2667" s="116">
        <v>5322</v>
      </c>
      <c r="O2667" s="116">
        <v>5210</v>
      </c>
      <c r="P2667" s="116">
        <v>5315</v>
      </c>
      <c r="Q2667" s="116">
        <v>5227</v>
      </c>
      <c r="R2667">
        <v>270642</v>
      </c>
    </row>
    <row r="2668" spans="1:18" x14ac:dyDescent="0.25">
      <c r="A2668" s="170">
        <v>45931</v>
      </c>
      <c r="B2668" s="116">
        <v>5299.95</v>
      </c>
      <c r="C2668" s="116">
        <v>5226.75</v>
      </c>
      <c r="D2668" s="116">
        <v>5177.5</v>
      </c>
      <c r="E2668" s="116">
        <v>5299.95</v>
      </c>
      <c r="F2668" s="116">
        <v>5226.75</v>
      </c>
      <c r="G2668">
        <v>19070</v>
      </c>
      <c r="H2668" s="116"/>
      <c r="I2668" s="116"/>
      <c r="L2668" s="170">
        <v>45931</v>
      </c>
      <c r="M2668" s="116">
        <v>5226</v>
      </c>
      <c r="N2668" s="116">
        <v>5266.5</v>
      </c>
      <c r="O2668" s="116">
        <v>5176</v>
      </c>
      <c r="P2668" s="116">
        <v>5266.5</v>
      </c>
      <c r="Q2668" s="116">
        <v>5226</v>
      </c>
      <c r="R2668">
        <v>172390</v>
      </c>
    </row>
    <row r="2669" spans="1:18" x14ac:dyDescent="0.25">
      <c r="A2669" s="170">
        <v>45933</v>
      </c>
      <c r="B2669" s="116">
        <v>5370</v>
      </c>
      <c r="C2669" s="116">
        <v>5355.85</v>
      </c>
      <c r="D2669" s="116">
        <v>5190.05</v>
      </c>
      <c r="E2669" s="116">
        <v>5208.7</v>
      </c>
      <c r="F2669" s="116">
        <v>5355.85</v>
      </c>
      <c r="G2669">
        <v>16713</v>
      </c>
      <c r="H2669" s="116"/>
      <c r="I2669" s="116"/>
      <c r="L2669" s="170">
        <v>45933</v>
      </c>
      <c r="M2669" s="116">
        <v>5355.5</v>
      </c>
      <c r="N2669" s="116">
        <v>5369</v>
      </c>
      <c r="O2669" s="116">
        <v>5190</v>
      </c>
      <c r="P2669" s="116">
        <v>5222.5</v>
      </c>
      <c r="Q2669" s="116">
        <v>5355.5</v>
      </c>
      <c r="R2669">
        <v>170657</v>
      </c>
    </row>
    <row r="2670" spans="1:18" x14ac:dyDescent="0.25">
      <c r="A2670" s="170">
        <v>45936</v>
      </c>
      <c r="B2670" s="116">
        <v>5434.5</v>
      </c>
      <c r="C2670" s="116">
        <v>5394.5</v>
      </c>
      <c r="D2670" s="116">
        <v>5300</v>
      </c>
      <c r="E2670" s="116">
        <v>5360.2</v>
      </c>
      <c r="F2670" s="116">
        <v>5394.5</v>
      </c>
      <c r="G2670">
        <v>14701</v>
      </c>
      <c r="H2670" s="116"/>
      <c r="I2670" s="116"/>
      <c r="L2670" s="170">
        <v>45936</v>
      </c>
      <c r="M2670" s="116">
        <v>5394</v>
      </c>
      <c r="N2670" s="116">
        <v>5435</v>
      </c>
      <c r="O2670" s="116">
        <v>5297.5</v>
      </c>
      <c r="P2670" s="116">
        <v>5389.5</v>
      </c>
      <c r="Q2670" s="116">
        <v>5394</v>
      </c>
      <c r="R2670">
        <v>163367</v>
      </c>
    </row>
    <row r="2671" spans="1:18" x14ac:dyDescent="0.25">
      <c r="A2671" s="170">
        <v>45937</v>
      </c>
      <c r="B2671" s="116">
        <v>5448.45</v>
      </c>
      <c r="C2671" s="116">
        <v>5388.35</v>
      </c>
      <c r="D2671" s="116">
        <v>5314.6</v>
      </c>
      <c r="E2671" s="116">
        <v>5448.45</v>
      </c>
      <c r="F2671" s="116">
        <v>5388.35</v>
      </c>
      <c r="G2671">
        <v>13036</v>
      </c>
      <c r="H2671" s="116"/>
      <c r="I2671" s="116"/>
      <c r="L2671" s="170">
        <v>45937</v>
      </c>
      <c r="M2671" s="116">
        <v>5389.5</v>
      </c>
      <c r="N2671" s="116">
        <v>5427.5</v>
      </c>
      <c r="O2671" s="116">
        <v>5313.5</v>
      </c>
      <c r="P2671" s="116">
        <v>5420</v>
      </c>
      <c r="Q2671" s="116">
        <v>5389.5</v>
      </c>
      <c r="R2671">
        <v>158874</v>
      </c>
    </row>
    <row r="2672" spans="1:18" x14ac:dyDescent="0.25">
      <c r="A2672" s="170">
        <v>45938</v>
      </c>
      <c r="B2672" s="116">
        <v>5550</v>
      </c>
      <c r="C2672" s="116">
        <v>5459.75</v>
      </c>
      <c r="D2672" s="116">
        <v>5352.25</v>
      </c>
      <c r="E2672" s="116">
        <v>5390</v>
      </c>
      <c r="F2672" s="116">
        <v>5459.75</v>
      </c>
      <c r="G2672">
        <v>23904</v>
      </c>
      <c r="H2672" s="116"/>
      <c r="I2672" s="116"/>
      <c r="L2672" s="170">
        <v>45938</v>
      </c>
      <c r="M2672" s="116">
        <v>5460</v>
      </c>
      <c r="N2672" s="116">
        <v>5553</v>
      </c>
      <c r="O2672" s="116">
        <v>5346.5</v>
      </c>
      <c r="P2672" s="116">
        <v>5389.5</v>
      </c>
      <c r="Q2672" s="116">
        <v>5460</v>
      </c>
      <c r="R2672">
        <v>378764</v>
      </c>
    </row>
    <row r="2673" spans="1:18" x14ac:dyDescent="0.25">
      <c r="A2673" s="170">
        <v>45939</v>
      </c>
      <c r="B2673" s="116">
        <v>5606.95</v>
      </c>
      <c r="C2673" s="116">
        <v>5573.15</v>
      </c>
      <c r="D2673" s="116">
        <v>5435</v>
      </c>
      <c r="E2673" s="116">
        <v>5466.3</v>
      </c>
      <c r="F2673" s="116">
        <v>5573.15</v>
      </c>
      <c r="G2673">
        <v>17607</v>
      </c>
      <c r="H2673" s="116"/>
      <c r="I2673" s="116"/>
      <c r="L2673" s="170">
        <v>45939</v>
      </c>
      <c r="M2673" s="116">
        <v>5573</v>
      </c>
      <c r="N2673" s="116">
        <v>5604</v>
      </c>
      <c r="O2673" s="116">
        <v>5433</v>
      </c>
      <c r="P2673" s="116">
        <v>5460</v>
      </c>
      <c r="Q2673" s="116">
        <v>5573</v>
      </c>
      <c r="R2673">
        <v>361874</v>
      </c>
    </row>
    <row r="2674" spans="1:18" x14ac:dyDescent="0.25">
      <c r="A2674" s="170">
        <v>45940</v>
      </c>
      <c r="B2674" s="116">
        <v>5616.5</v>
      </c>
      <c r="C2674" s="116">
        <v>5406.8</v>
      </c>
      <c r="D2674" s="116">
        <v>5395</v>
      </c>
      <c r="E2674" s="116">
        <v>5573.15</v>
      </c>
      <c r="F2674" s="116">
        <v>5406.8</v>
      </c>
      <c r="G2674">
        <v>46387</v>
      </c>
      <c r="H2674" s="116"/>
      <c r="I2674" s="116"/>
      <c r="L2674" s="170">
        <v>45940</v>
      </c>
      <c r="M2674" s="116">
        <v>5407.5</v>
      </c>
      <c r="N2674" s="116">
        <v>5622</v>
      </c>
      <c r="O2674" s="116">
        <v>5400</v>
      </c>
      <c r="P2674" s="116">
        <v>5549.5</v>
      </c>
      <c r="Q2674" s="116">
        <v>5407.5</v>
      </c>
      <c r="R2674">
        <v>791616</v>
      </c>
    </row>
    <row r="2675" spans="1:18" x14ac:dyDescent="0.25">
      <c r="A2675" s="170">
        <v>45943</v>
      </c>
      <c r="B2675" s="116">
        <v>5390</v>
      </c>
      <c r="C2675" s="116">
        <v>5352.35</v>
      </c>
      <c r="D2675" s="116">
        <v>5297.4</v>
      </c>
      <c r="E2675" s="116">
        <v>5353.2</v>
      </c>
      <c r="F2675" s="116">
        <v>5352.35</v>
      </c>
      <c r="G2675">
        <v>11448</v>
      </c>
      <c r="H2675" s="116"/>
      <c r="I2675" s="116"/>
      <c r="L2675" s="170">
        <v>45943</v>
      </c>
      <c r="M2675" s="116">
        <v>5352</v>
      </c>
      <c r="N2675" s="116">
        <v>5390.5</v>
      </c>
      <c r="O2675" s="116">
        <v>5295</v>
      </c>
      <c r="P2675" s="116">
        <v>5369.5</v>
      </c>
      <c r="Q2675" s="116">
        <v>5352</v>
      </c>
      <c r="R2675">
        <v>232299</v>
      </c>
    </row>
    <row r="2676" spans="1:18" x14ac:dyDescent="0.25">
      <c r="A2676" s="170">
        <v>45944</v>
      </c>
      <c r="B2676" s="116">
        <v>5405.7</v>
      </c>
      <c r="C2676" s="116">
        <v>5331.75</v>
      </c>
      <c r="D2676" s="116">
        <v>5314</v>
      </c>
      <c r="E2676" s="116">
        <v>5352.55</v>
      </c>
      <c r="F2676" s="116">
        <v>5331.75</v>
      </c>
      <c r="G2676">
        <v>14090</v>
      </c>
      <c r="H2676" s="116"/>
      <c r="I2676" s="116"/>
      <c r="L2676" s="170">
        <v>45944</v>
      </c>
      <c r="M2676" s="116">
        <v>5335</v>
      </c>
      <c r="N2676" s="116">
        <v>5410</v>
      </c>
      <c r="O2676" s="116">
        <v>5312.5</v>
      </c>
      <c r="P2676" s="116">
        <v>5370</v>
      </c>
      <c r="Q2676" s="116">
        <v>5335</v>
      </c>
      <c r="R2676">
        <v>174112</v>
      </c>
    </row>
    <row r="2677" spans="1:18" x14ac:dyDescent="0.25">
      <c r="A2677" s="170">
        <v>45945</v>
      </c>
      <c r="B2677" s="116">
        <v>5381.85</v>
      </c>
      <c r="C2677" s="116">
        <v>5366.15</v>
      </c>
      <c r="D2677" s="116">
        <v>5320.35</v>
      </c>
      <c r="E2677" s="116">
        <v>5320.35</v>
      </c>
      <c r="F2677" s="116">
        <v>5366.15</v>
      </c>
      <c r="G2677">
        <v>5262</v>
      </c>
      <c r="H2677" s="116"/>
      <c r="I2677" s="116"/>
      <c r="L2677" s="170">
        <v>45945</v>
      </c>
      <c r="M2677" s="116">
        <v>5367.5</v>
      </c>
      <c r="N2677" s="116">
        <v>5382.5</v>
      </c>
      <c r="O2677" s="116">
        <v>5320.5</v>
      </c>
      <c r="P2677" s="116">
        <v>5335</v>
      </c>
      <c r="Q2677" s="116">
        <v>5367.5</v>
      </c>
      <c r="R2677">
        <v>141704</v>
      </c>
    </row>
    <row r="2678" spans="1:18" x14ac:dyDescent="0.25">
      <c r="A2678" s="170">
        <v>45946</v>
      </c>
      <c r="B2678" s="116">
        <v>5425</v>
      </c>
      <c r="C2678" s="116">
        <v>5404.1</v>
      </c>
      <c r="D2678" s="116">
        <v>5357</v>
      </c>
      <c r="E2678" s="116">
        <v>5369.15</v>
      </c>
      <c r="F2678" s="116">
        <v>5404.1</v>
      </c>
      <c r="G2678">
        <v>6988</v>
      </c>
      <c r="H2678" s="116"/>
      <c r="I2678" s="116"/>
      <c r="L2678" s="170">
        <v>45946</v>
      </c>
      <c r="M2678" s="116">
        <v>5403.5</v>
      </c>
      <c r="N2678" s="116">
        <v>5430</v>
      </c>
      <c r="O2678" s="116">
        <v>5355</v>
      </c>
      <c r="P2678" s="116">
        <v>5388</v>
      </c>
      <c r="Q2678" s="116">
        <v>5403.5</v>
      </c>
      <c r="R2678">
        <v>122296</v>
      </c>
    </row>
    <row r="2679" spans="1:18" x14ac:dyDescent="0.25">
      <c r="A2679" s="170">
        <v>45947</v>
      </c>
      <c r="B2679" s="116">
        <v>5415</v>
      </c>
      <c r="C2679" s="116">
        <v>5369.35</v>
      </c>
      <c r="D2679" s="116">
        <v>5338</v>
      </c>
      <c r="E2679" s="116">
        <v>5404.1</v>
      </c>
      <c r="F2679" s="116">
        <v>5369.35</v>
      </c>
      <c r="G2679">
        <v>10659</v>
      </c>
      <c r="H2679" s="116"/>
      <c r="I2679" s="116"/>
      <c r="L2679" s="170">
        <v>45947</v>
      </c>
      <c r="M2679" s="116">
        <v>5369.5</v>
      </c>
      <c r="N2679" s="116">
        <v>5420</v>
      </c>
      <c r="O2679" s="116">
        <v>5335.5</v>
      </c>
      <c r="P2679" s="116">
        <v>5403.5</v>
      </c>
      <c r="Q2679" s="116">
        <v>5369.5</v>
      </c>
      <c r="R2679">
        <v>193891</v>
      </c>
    </row>
    <row r="2680" spans="1:18" x14ac:dyDescent="0.25">
      <c r="A2680" s="170">
        <v>45950</v>
      </c>
      <c r="B2680" s="116">
        <v>5421.9</v>
      </c>
      <c r="C2680" s="116">
        <v>5399.95</v>
      </c>
      <c r="D2680" s="116">
        <v>5350.65</v>
      </c>
      <c r="E2680" s="116">
        <v>5350.65</v>
      </c>
      <c r="F2680" s="116">
        <v>5399.95</v>
      </c>
      <c r="G2680">
        <v>2261</v>
      </c>
      <c r="H2680" s="116"/>
      <c r="I2680" s="116"/>
      <c r="L2680" s="170">
        <v>45950</v>
      </c>
      <c r="M2680" s="116">
        <v>5397.5</v>
      </c>
      <c r="N2680" s="116">
        <v>5425</v>
      </c>
      <c r="O2680" s="116">
        <v>5351.5</v>
      </c>
      <c r="P2680" s="116">
        <v>5369.5</v>
      </c>
      <c r="Q2680" s="116">
        <v>5397.5</v>
      </c>
      <c r="R2680">
        <v>91698</v>
      </c>
    </row>
    <row r="2681" spans="1:18" x14ac:dyDescent="0.25">
      <c r="A2681" s="170">
        <v>45951</v>
      </c>
      <c r="B2681" s="116">
        <v>5438.1</v>
      </c>
      <c r="C2681" s="116">
        <v>5366.6</v>
      </c>
      <c r="D2681" s="116">
        <v>5272.55</v>
      </c>
      <c r="E2681" s="116">
        <v>5406.1</v>
      </c>
      <c r="F2681" s="116">
        <v>5366.6</v>
      </c>
      <c r="G2681">
        <v>7339</v>
      </c>
      <c r="H2681" s="116"/>
      <c r="I2681" s="116"/>
      <c r="L2681" s="170">
        <v>45951</v>
      </c>
      <c r="M2681" s="116">
        <v>5354.5</v>
      </c>
      <c r="N2681" s="116">
        <v>5445</v>
      </c>
      <c r="O2681" s="116">
        <v>5270</v>
      </c>
      <c r="P2681" s="116">
        <v>5424.5</v>
      </c>
      <c r="Q2681" s="116">
        <v>5354.5</v>
      </c>
      <c r="R2681">
        <v>46044</v>
      </c>
    </row>
    <row r="2682" spans="1:18" x14ac:dyDescent="0.25">
      <c r="A2682" s="170">
        <v>45953</v>
      </c>
      <c r="B2682" s="116">
        <v>5489</v>
      </c>
      <c r="C2682" s="116">
        <v>5471.75</v>
      </c>
      <c r="D2682" s="116">
        <v>5370</v>
      </c>
      <c r="E2682" s="116">
        <v>5375.4</v>
      </c>
      <c r="F2682" s="116">
        <v>5471.75</v>
      </c>
      <c r="G2682">
        <v>25273</v>
      </c>
      <c r="H2682" s="116"/>
      <c r="I2682" s="116"/>
      <c r="L2682" s="170">
        <v>45953</v>
      </c>
      <c r="M2682" s="116">
        <v>5471</v>
      </c>
      <c r="N2682" s="116">
        <v>5490</v>
      </c>
      <c r="O2682" s="116">
        <v>5364.5</v>
      </c>
      <c r="P2682" s="116">
        <v>5401.5</v>
      </c>
      <c r="Q2682" s="116">
        <v>5471</v>
      </c>
      <c r="R2682">
        <v>289323</v>
      </c>
    </row>
    <row r="2683" spans="1:18" x14ac:dyDescent="0.25">
      <c r="A2683" s="170">
        <v>45954</v>
      </c>
      <c r="B2683" s="116">
        <v>5568.85</v>
      </c>
      <c r="C2683" s="116">
        <v>5544.5</v>
      </c>
      <c r="D2683" s="116">
        <v>5464.55</v>
      </c>
      <c r="E2683" s="116">
        <v>5504.5</v>
      </c>
      <c r="F2683" s="116">
        <v>5544.5</v>
      </c>
      <c r="G2683">
        <v>32442</v>
      </c>
      <c r="H2683" s="116"/>
      <c r="I2683" s="116"/>
      <c r="L2683" s="170">
        <v>45954</v>
      </c>
      <c r="M2683" s="116">
        <v>5544</v>
      </c>
      <c r="N2683" s="116">
        <v>5569</v>
      </c>
      <c r="O2683" s="116">
        <v>5462</v>
      </c>
      <c r="P2683" s="116">
        <v>5499.5</v>
      </c>
      <c r="Q2683" s="116">
        <v>5544</v>
      </c>
      <c r="R2683">
        <v>216677</v>
      </c>
    </row>
    <row r="2684" spans="1:18" x14ac:dyDescent="0.25">
      <c r="A2684" s="170">
        <v>45957</v>
      </c>
      <c r="B2684" s="116">
        <v>5624.1</v>
      </c>
      <c r="C2684" s="116">
        <v>5586.25</v>
      </c>
      <c r="D2684" s="116">
        <v>5516.9</v>
      </c>
      <c r="E2684" s="116">
        <v>5544.5</v>
      </c>
      <c r="F2684" s="116">
        <v>5586.25</v>
      </c>
      <c r="G2684">
        <v>24801</v>
      </c>
      <c r="H2684" s="116"/>
      <c r="I2684" s="116"/>
      <c r="L2684" s="170">
        <v>45957</v>
      </c>
      <c r="M2684" s="116">
        <v>5585.5</v>
      </c>
      <c r="N2684" s="116">
        <v>5625</v>
      </c>
      <c r="O2684" s="116">
        <v>5520</v>
      </c>
      <c r="P2684" s="116">
        <v>5549</v>
      </c>
      <c r="Q2684" s="116">
        <v>5585.5</v>
      </c>
      <c r="R2684">
        <v>212923</v>
      </c>
    </row>
    <row r="2685" spans="1:18" x14ac:dyDescent="0.25">
      <c r="A2685" s="170">
        <v>45958</v>
      </c>
      <c r="B2685" s="116">
        <v>5590.5</v>
      </c>
      <c r="C2685" s="116">
        <v>5545.5</v>
      </c>
      <c r="D2685" s="116">
        <v>5521.55</v>
      </c>
      <c r="E2685" s="116">
        <v>5587</v>
      </c>
      <c r="F2685" s="116">
        <v>5545.5</v>
      </c>
      <c r="G2685">
        <v>7876</v>
      </c>
      <c r="H2685" s="116"/>
      <c r="I2685" s="116"/>
      <c r="L2685" s="170">
        <v>45958</v>
      </c>
      <c r="M2685" s="116">
        <v>5545</v>
      </c>
      <c r="N2685" s="116">
        <v>5600</v>
      </c>
      <c r="O2685" s="116">
        <v>5521.5</v>
      </c>
      <c r="P2685" s="116">
        <v>5600</v>
      </c>
      <c r="Q2685" s="116">
        <v>5545</v>
      </c>
      <c r="R2685">
        <v>138538</v>
      </c>
    </row>
    <row r="2686" spans="1:18" x14ac:dyDescent="0.25">
      <c r="A2686" s="170">
        <v>45959</v>
      </c>
      <c r="B2686" s="116">
        <v>5566</v>
      </c>
      <c r="C2686" s="116">
        <v>5537.35</v>
      </c>
      <c r="D2686" s="116">
        <v>5491.45</v>
      </c>
      <c r="E2686" s="116">
        <v>5544.65</v>
      </c>
      <c r="F2686" s="116">
        <v>5537.35</v>
      </c>
      <c r="G2686">
        <v>10915</v>
      </c>
      <c r="H2686" s="116"/>
      <c r="I2686" s="116"/>
      <c r="L2686" s="170">
        <v>45959</v>
      </c>
      <c r="M2686" s="116">
        <v>5538.5</v>
      </c>
      <c r="N2686" s="116">
        <v>5574.5</v>
      </c>
      <c r="O2686" s="116">
        <v>5492</v>
      </c>
      <c r="P2686" s="116">
        <v>5556.5</v>
      </c>
      <c r="Q2686" s="116">
        <v>5538.5</v>
      </c>
      <c r="R2686">
        <v>81128</v>
      </c>
    </row>
    <row r="2687" spans="1:18" x14ac:dyDescent="0.25">
      <c r="A2687" s="170">
        <v>45960</v>
      </c>
      <c r="B2687" s="116">
        <v>5594.4</v>
      </c>
      <c r="C2687" s="116">
        <v>5539.55</v>
      </c>
      <c r="D2687" s="116">
        <v>5502.05</v>
      </c>
      <c r="E2687" s="116">
        <v>5594.4</v>
      </c>
      <c r="F2687" s="116">
        <v>5539.55</v>
      </c>
      <c r="G2687">
        <v>5931</v>
      </c>
      <c r="H2687" s="116"/>
      <c r="I2687" s="116"/>
      <c r="L2687" s="170">
        <v>45960</v>
      </c>
      <c r="M2687" s="116">
        <v>5539.5</v>
      </c>
      <c r="N2687" s="116">
        <v>5587</v>
      </c>
      <c r="O2687" s="116">
        <v>5502.5</v>
      </c>
      <c r="P2687" s="116">
        <v>5555</v>
      </c>
      <c r="Q2687" s="116">
        <v>5539.5</v>
      </c>
      <c r="R2687">
        <v>123485</v>
      </c>
    </row>
    <row r="2688" spans="1:18" x14ac:dyDescent="0.25">
      <c r="A2688" s="170">
        <v>45961</v>
      </c>
      <c r="B2688" s="116">
        <v>5539.5</v>
      </c>
      <c r="C2688" s="116">
        <v>5457.35</v>
      </c>
      <c r="D2688" s="116">
        <v>5440</v>
      </c>
      <c r="E2688" s="116">
        <v>5539.5</v>
      </c>
      <c r="F2688" s="116">
        <v>5457.35</v>
      </c>
      <c r="G2688">
        <v>6992</v>
      </c>
      <c r="H2688" s="116"/>
      <c r="I2688" s="116"/>
      <c r="L2688" s="170">
        <v>45961</v>
      </c>
      <c r="M2688" s="116">
        <v>5454.5</v>
      </c>
      <c r="N2688" s="116">
        <v>5539.5</v>
      </c>
      <c r="O2688" s="116">
        <v>5412.5</v>
      </c>
      <c r="P2688" s="116">
        <v>5539.5</v>
      </c>
      <c r="Q2688" s="116">
        <v>5454.5</v>
      </c>
      <c r="R2688">
        <v>87662</v>
      </c>
    </row>
    <row r="2689" spans="1:18" x14ac:dyDescent="0.25">
      <c r="A2689" s="170">
        <v>45964</v>
      </c>
      <c r="B2689" s="116">
        <v>5460</v>
      </c>
      <c r="C2689" s="116">
        <v>5437.25</v>
      </c>
      <c r="D2689" s="116">
        <v>5392.7</v>
      </c>
      <c r="E2689" s="116">
        <v>5457.3</v>
      </c>
      <c r="F2689" s="116">
        <v>5437.25</v>
      </c>
      <c r="G2689">
        <v>9139</v>
      </c>
      <c r="H2689" s="116"/>
      <c r="I2689" s="116"/>
      <c r="L2689" s="170">
        <v>45964</v>
      </c>
      <c r="M2689" s="116">
        <v>5434</v>
      </c>
      <c r="N2689" s="116">
        <v>5455</v>
      </c>
      <c r="O2689" s="116">
        <v>5394.5</v>
      </c>
      <c r="P2689" s="116">
        <v>5453</v>
      </c>
      <c r="Q2689" s="116">
        <v>5434</v>
      </c>
      <c r="R2689">
        <v>67952</v>
      </c>
    </row>
    <row r="2690" spans="1:18" x14ac:dyDescent="0.25">
      <c r="A2690" s="170">
        <v>45965</v>
      </c>
      <c r="B2690" s="116">
        <v>5461.25</v>
      </c>
      <c r="C2690" s="116">
        <v>5377.25</v>
      </c>
      <c r="D2690" s="116">
        <v>5360</v>
      </c>
      <c r="E2690" s="116">
        <v>5435</v>
      </c>
      <c r="F2690" s="116">
        <v>5377.25</v>
      </c>
      <c r="G2690">
        <v>7843</v>
      </c>
      <c r="H2690" s="116"/>
      <c r="I2690" s="116"/>
      <c r="L2690" s="170">
        <v>45965</v>
      </c>
      <c r="M2690" s="116">
        <v>5381</v>
      </c>
      <c r="N2690" s="116">
        <v>5464</v>
      </c>
      <c r="O2690" s="116">
        <v>5360</v>
      </c>
      <c r="P2690" s="116">
        <v>5440</v>
      </c>
      <c r="Q2690" s="116">
        <v>5381</v>
      </c>
      <c r="R2690">
        <v>89899</v>
      </c>
    </row>
    <row r="2691" spans="1:18" x14ac:dyDescent="0.25">
      <c r="A2691" s="170">
        <v>45967</v>
      </c>
      <c r="B2691" s="116">
        <v>5389.95</v>
      </c>
      <c r="C2691" s="116">
        <v>5239.5</v>
      </c>
      <c r="D2691" s="116">
        <v>5220</v>
      </c>
      <c r="E2691" s="116">
        <v>5389.95</v>
      </c>
      <c r="F2691" s="116">
        <v>5239.5</v>
      </c>
      <c r="G2691">
        <v>21569</v>
      </c>
      <c r="H2691" s="116"/>
      <c r="I2691" s="116"/>
      <c r="L2691" s="170">
        <v>45967</v>
      </c>
      <c r="M2691" s="116">
        <v>5242.5</v>
      </c>
      <c r="N2691" s="116">
        <v>5379.5</v>
      </c>
      <c r="O2691" s="116">
        <v>5221</v>
      </c>
      <c r="P2691" s="116">
        <v>5379.5</v>
      </c>
      <c r="Q2691" s="116">
        <v>5242.5</v>
      </c>
      <c r="R2691">
        <v>222332</v>
      </c>
    </row>
    <row r="2692" spans="1:18" x14ac:dyDescent="0.25">
      <c r="A2692" s="170">
        <v>45968</v>
      </c>
      <c r="B2692" s="116">
        <v>5212</v>
      </c>
      <c r="C2692" s="116">
        <v>5181.1000000000004</v>
      </c>
      <c r="D2692" s="116">
        <v>5125.3999999999996</v>
      </c>
      <c r="E2692" s="116">
        <v>5212</v>
      </c>
      <c r="F2692" s="116">
        <v>5181.1000000000004</v>
      </c>
      <c r="G2692">
        <v>8244</v>
      </c>
      <c r="H2692" s="116"/>
      <c r="I2692" s="116"/>
      <c r="L2692" s="170">
        <v>45968</v>
      </c>
      <c r="M2692" s="116">
        <v>5180</v>
      </c>
      <c r="N2692" s="116">
        <v>5213</v>
      </c>
      <c r="O2692" s="116">
        <v>5126.5</v>
      </c>
      <c r="P2692" s="116">
        <v>5213</v>
      </c>
      <c r="Q2692" s="116">
        <v>5180</v>
      </c>
      <c r="R2692">
        <v>172150</v>
      </c>
    </row>
    <row r="2693" spans="1:18" x14ac:dyDescent="0.25">
      <c r="A2693" s="170">
        <v>45971</v>
      </c>
      <c r="B2693" s="116">
        <v>5246</v>
      </c>
      <c r="C2693" s="116">
        <v>5209.45</v>
      </c>
      <c r="D2693" s="116">
        <v>5152</v>
      </c>
      <c r="E2693" s="116">
        <v>5182.6499999999996</v>
      </c>
      <c r="F2693" s="116">
        <v>5209.45</v>
      </c>
      <c r="G2693">
        <v>8832</v>
      </c>
      <c r="H2693" s="116"/>
      <c r="I2693" s="116"/>
      <c r="L2693" s="170">
        <v>45971</v>
      </c>
      <c r="M2693" s="116">
        <v>5207</v>
      </c>
      <c r="N2693" s="116">
        <v>5249</v>
      </c>
      <c r="O2693" s="116">
        <v>5151</v>
      </c>
      <c r="P2693" s="116">
        <v>5180</v>
      </c>
      <c r="Q2693" s="116">
        <v>5207</v>
      </c>
      <c r="R2693">
        <v>110874</v>
      </c>
    </row>
    <row r="2694" spans="1:18" x14ac:dyDescent="0.25">
      <c r="A2694" s="170">
        <v>45972</v>
      </c>
      <c r="B2694" s="116">
        <v>5305.2</v>
      </c>
      <c r="C2694" s="116">
        <v>5283.75</v>
      </c>
      <c r="D2694" s="116">
        <v>5175</v>
      </c>
      <c r="E2694" s="116">
        <v>5180.25</v>
      </c>
      <c r="F2694" s="116">
        <v>5283.75</v>
      </c>
      <c r="G2694">
        <v>10396</v>
      </c>
      <c r="H2694" s="116"/>
      <c r="I2694" s="116"/>
      <c r="L2694" s="170">
        <v>45972</v>
      </c>
      <c r="M2694" s="116">
        <v>5283.5</v>
      </c>
      <c r="N2694" s="116">
        <v>5306.5</v>
      </c>
      <c r="O2694" s="116">
        <v>5174</v>
      </c>
      <c r="P2694" s="116">
        <v>5206.5</v>
      </c>
      <c r="Q2694" s="116">
        <v>5283.5</v>
      </c>
      <c r="R2694">
        <v>102792</v>
      </c>
    </row>
    <row r="2695" spans="1:18" x14ac:dyDescent="0.25">
      <c r="A2695" s="170">
        <v>45973</v>
      </c>
      <c r="B2695" s="116">
        <v>5479.95</v>
      </c>
      <c r="C2695" s="116">
        <v>5390.3</v>
      </c>
      <c r="D2695" s="116">
        <v>5264.2</v>
      </c>
      <c r="E2695" s="116">
        <v>5275</v>
      </c>
      <c r="F2695" s="116">
        <v>5390.3</v>
      </c>
      <c r="G2695">
        <v>20169</v>
      </c>
      <c r="H2695" s="116"/>
      <c r="I2695" s="116"/>
      <c r="L2695" s="170">
        <v>45973</v>
      </c>
      <c r="M2695" s="116">
        <v>5388</v>
      </c>
      <c r="N2695" s="116">
        <v>5480</v>
      </c>
      <c r="O2695" s="116">
        <v>5269</v>
      </c>
      <c r="P2695" s="116">
        <v>5283.5</v>
      </c>
      <c r="Q2695" s="116">
        <v>5388</v>
      </c>
      <c r="R2695">
        <v>208841</v>
      </c>
    </row>
    <row r="2696" spans="1:18" x14ac:dyDescent="0.25">
      <c r="A2696" s="170">
        <v>45974</v>
      </c>
      <c r="B2696" s="116">
        <v>5410</v>
      </c>
      <c r="C2696" s="116">
        <v>5307.2</v>
      </c>
      <c r="D2696" s="116">
        <v>5300.65</v>
      </c>
      <c r="E2696" s="116">
        <v>5392.1</v>
      </c>
      <c r="F2696" s="116">
        <v>5307.2</v>
      </c>
      <c r="G2696">
        <v>7711</v>
      </c>
      <c r="H2696" s="116"/>
      <c r="I2696" s="116"/>
      <c r="L2696" s="170">
        <v>45974</v>
      </c>
      <c r="M2696" s="116">
        <v>5307.5</v>
      </c>
      <c r="N2696" s="116">
        <v>5422.5</v>
      </c>
      <c r="O2696" s="116">
        <v>5300</v>
      </c>
      <c r="P2696" s="116">
        <v>5408.5</v>
      </c>
      <c r="Q2696" s="116">
        <v>5307.5</v>
      </c>
      <c r="R2696">
        <v>72589</v>
      </c>
    </row>
    <row r="2697" spans="1:18" x14ac:dyDescent="0.25">
      <c r="A2697" s="170">
        <v>45975</v>
      </c>
      <c r="B2697" s="116">
        <v>5306.8</v>
      </c>
      <c r="C2697" s="116">
        <v>5262.9</v>
      </c>
      <c r="D2697" s="116">
        <v>5233.8</v>
      </c>
      <c r="E2697" s="116">
        <v>5306.8</v>
      </c>
      <c r="F2697" s="116">
        <v>5262.9</v>
      </c>
      <c r="G2697">
        <v>6092</v>
      </c>
      <c r="H2697" s="116"/>
      <c r="I2697" s="116"/>
      <c r="L2697" s="170">
        <v>45975</v>
      </c>
      <c r="M2697" s="116">
        <v>5266.5</v>
      </c>
      <c r="N2697" s="116">
        <v>5306.5</v>
      </c>
      <c r="O2697" s="116">
        <v>5234.5</v>
      </c>
      <c r="P2697" s="116">
        <v>5300</v>
      </c>
      <c r="Q2697" s="116">
        <v>5266.5</v>
      </c>
      <c r="R2697">
        <v>125968</v>
      </c>
    </row>
    <row r="2698" spans="1:18" x14ac:dyDescent="0.25">
      <c r="A2698" s="170">
        <v>45978</v>
      </c>
      <c r="B2698" s="116">
        <v>5309.65</v>
      </c>
      <c r="C2698" s="116">
        <v>5299.65</v>
      </c>
      <c r="D2698" s="116">
        <v>5200</v>
      </c>
      <c r="E2698" s="116">
        <v>5262.9</v>
      </c>
      <c r="F2698" s="116">
        <v>5299.65</v>
      </c>
      <c r="G2698">
        <v>5197</v>
      </c>
      <c r="H2698" s="116"/>
      <c r="I2698" s="116"/>
      <c r="L2698" s="170">
        <v>45978</v>
      </c>
      <c r="M2698" s="116">
        <v>5303</v>
      </c>
      <c r="N2698" s="116">
        <v>5312</v>
      </c>
      <c r="O2698" s="116">
        <v>5200</v>
      </c>
      <c r="P2698" s="116">
        <v>5266.5</v>
      </c>
      <c r="Q2698" s="116">
        <v>5303</v>
      </c>
      <c r="R2698">
        <v>135921</v>
      </c>
    </row>
    <row r="2699" spans="1:18" x14ac:dyDescent="0.25">
      <c r="A2699" s="170">
        <v>45979</v>
      </c>
      <c r="B2699" s="116">
        <v>5345.95</v>
      </c>
      <c r="C2699" s="116">
        <v>5279.3</v>
      </c>
      <c r="D2699" s="116">
        <v>5263</v>
      </c>
      <c r="E2699" s="116">
        <v>5329.75</v>
      </c>
      <c r="F2699" s="116">
        <v>5279.3</v>
      </c>
      <c r="G2699">
        <v>17919</v>
      </c>
      <c r="H2699" s="116"/>
      <c r="I2699" s="116"/>
      <c r="L2699" s="170">
        <v>45979</v>
      </c>
      <c r="M2699" s="116">
        <v>5277</v>
      </c>
      <c r="N2699" s="116">
        <v>5349</v>
      </c>
      <c r="O2699" s="116">
        <v>5260</v>
      </c>
      <c r="P2699" s="116">
        <v>5302</v>
      </c>
      <c r="Q2699" s="116">
        <v>5277</v>
      </c>
      <c r="R2699">
        <v>134520</v>
      </c>
    </row>
    <row r="2700" spans="1:18" x14ac:dyDescent="0.25">
      <c r="A2700" s="170">
        <v>45980</v>
      </c>
      <c r="B2700" s="116">
        <v>5388.05</v>
      </c>
      <c r="C2700" s="116">
        <v>5349.05</v>
      </c>
      <c r="D2700" s="116">
        <v>5253.7</v>
      </c>
      <c r="E2700" s="116">
        <v>5255.05</v>
      </c>
      <c r="F2700" s="116">
        <v>5349.05</v>
      </c>
      <c r="G2700">
        <v>14303</v>
      </c>
      <c r="H2700" s="116"/>
      <c r="I2700" s="116"/>
      <c r="L2700" s="170">
        <v>45980</v>
      </c>
      <c r="M2700" s="116">
        <v>5347.5</v>
      </c>
      <c r="N2700" s="116">
        <v>5385</v>
      </c>
      <c r="O2700" s="116">
        <v>5251.5</v>
      </c>
      <c r="P2700" s="116">
        <v>5270</v>
      </c>
      <c r="Q2700" s="116">
        <v>5347.5</v>
      </c>
      <c r="R2700">
        <v>137005</v>
      </c>
    </row>
    <row r="2701" spans="1:18" x14ac:dyDescent="0.25">
      <c r="A2701" s="170">
        <v>45981</v>
      </c>
      <c r="B2701" s="116">
        <v>5417.55</v>
      </c>
      <c r="C2701" s="116">
        <v>5375.75</v>
      </c>
      <c r="D2701" s="116">
        <v>5333.9</v>
      </c>
      <c r="E2701" s="116">
        <v>5417.55</v>
      </c>
      <c r="F2701" s="116">
        <v>5375.75</v>
      </c>
      <c r="G2701">
        <v>12672</v>
      </c>
      <c r="H2701" s="116"/>
      <c r="I2701" s="116"/>
      <c r="L2701" s="170">
        <v>45981</v>
      </c>
      <c r="M2701" s="116">
        <v>5366.5</v>
      </c>
      <c r="N2701" s="116">
        <v>5399</v>
      </c>
      <c r="O2701" s="116">
        <v>5336</v>
      </c>
      <c r="P2701" s="116">
        <v>5399</v>
      </c>
      <c r="Q2701" s="116">
        <v>5366.5</v>
      </c>
      <c r="R2701">
        <v>161695</v>
      </c>
    </row>
    <row r="2702" spans="1:18" x14ac:dyDescent="0.25">
      <c r="A2702" s="170">
        <v>45982</v>
      </c>
      <c r="B2702" s="116">
        <v>5365</v>
      </c>
      <c r="C2702" s="116">
        <v>5319.05</v>
      </c>
      <c r="D2702" s="116">
        <v>5301</v>
      </c>
      <c r="E2702" s="116">
        <v>5318.9</v>
      </c>
      <c r="F2702" s="116">
        <v>5319.05</v>
      </c>
      <c r="G2702">
        <v>8395</v>
      </c>
      <c r="H2702" s="116"/>
      <c r="I2702" s="116"/>
      <c r="L2702" s="170">
        <v>45982</v>
      </c>
      <c r="M2702" s="116">
        <v>5320.5</v>
      </c>
      <c r="N2702" s="116">
        <v>5366.5</v>
      </c>
      <c r="O2702" s="116">
        <v>5300</v>
      </c>
      <c r="P2702" s="116">
        <v>5324</v>
      </c>
      <c r="Q2702" s="116">
        <v>5320.5</v>
      </c>
      <c r="R2702">
        <v>162673</v>
      </c>
    </row>
    <row r="2703" spans="1:18" x14ac:dyDescent="0.25">
      <c r="A2703" s="170">
        <v>45985</v>
      </c>
      <c r="B2703" s="116">
        <v>5484.3</v>
      </c>
      <c r="C2703" s="116">
        <v>5235</v>
      </c>
      <c r="D2703" s="116">
        <v>5134.6000000000004</v>
      </c>
      <c r="E2703" s="116">
        <v>5484.3</v>
      </c>
      <c r="F2703" s="116">
        <v>5235</v>
      </c>
      <c r="G2703">
        <v>31238</v>
      </c>
      <c r="H2703" s="116"/>
      <c r="I2703" s="116"/>
      <c r="L2703" s="170">
        <v>45985</v>
      </c>
      <c r="M2703" s="116">
        <v>5231</v>
      </c>
      <c r="N2703" s="116">
        <v>5405</v>
      </c>
      <c r="O2703" s="116">
        <v>5129</v>
      </c>
      <c r="P2703" s="116">
        <v>5326</v>
      </c>
      <c r="Q2703" s="116">
        <v>5231</v>
      </c>
      <c r="R2703">
        <v>5075701</v>
      </c>
    </row>
    <row r="2704" spans="1:18" x14ac:dyDescent="0.25">
      <c r="A2704" s="170">
        <v>45986</v>
      </c>
      <c r="B2704" s="116">
        <v>5211.95</v>
      </c>
      <c r="C2704" s="116">
        <v>5163.6000000000004</v>
      </c>
      <c r="D2704" s="116">
        <v>5152.05</v>
      </c>
      <c r="E2704" s="116">
        <v>5165</v>
      </c>
      <c r="F2704" s="116">
        <v>5163.6000000000004</v>
      </c>
      <c r="G2704">
        <v>10437</v>
      </c>
      <c r="H2704" s="116"/>
      <c r="I2704" s="116"/>
      <c r="L2704" s="170">
        <v>45986</v>
      </c>
      <c r="M2704" s="116">
        <v>5164</v>
      </c>
      <c r="N2704" s="116">
        <v>5213</v>
      </c>
      <c r="O2704" s="116">
        <v>5150</v>
      </c>
      <c r="P2704" s="116">
        <v>5165</v>
      </c>
      <c r="Q2704" s="116">
        <v>5164</v>
      </c>
      <c r="R2704">
        <v>188860</v>
      </c>
    </row>
    <row r="2705" spans="1:18" x14ac:dyDescent="0.25">
      <c r="A2705" s="170">
        <v>45987</v>
      </c>
      <c r="B2705" s="116">
        <v>5247.7</v>
      </c>
      <c r="C2705" s="116">
        <v>5230.8</v>
      </c>
      <c r="D2705" s="116">
        <v>5130.05</v>
      </c>
      <c r="E2705" s="116">
        <v>5166.95</v>
      </c>
      <c r="F2705" s="116">
        <v>5230.8</v>
      </c>
      <c r="G2705">
        <v>5478</v>
      </c>
      <c r="H2705" s="116"/>
      <c r="I2705" s="116"/>
      <c r="L2705" s="170">
        <v>45987</v>
      </c>
      <c r="M2705" s="116">
        <v>5229.5</v>
      </c>
      <c r="N2705" s="116">
        <v>5244</v>
      </c>
      <c r="O2705" s="116">
        <v>5125</v>
      </c>
      <c r="P2705" s="116">
        <v>5174.5</v>
      </c>
      <c r="Q2705" s="116">
        <v>5229.5</v>
      </c>
      <c r="R2705">
        <v>169001</v>
      </c>
    </row>
    <row r="2706" spans="1:18" x14ac:dyDescent="0.25">
      <c r="A2706" s="170">
        <v>45988</v>
      </c>
      <c r="B2706" s="116">
        <v>5260.4</v>
      </c>
      <c r="C2706" s="116">
        <v>5194.3500000000004</v>
      </c>
      <c r="D2706" s="116">
        <v>5166.3999999999996</v>
      </c>
      <c r="E2706" s="116">
        <v>5200.45</v>
      </c>
      <c r="F2706" s="116">
        <v>5194.3500000000004</v>
      </c>
      <c r="G2706">
        <v>8090</v>
      </c>
      <c r="H2706" s="116"/>
      <c r="I2706" s="116"/>
      <c r="L2706" s="170">
        <v>45988</v>
      </c>
      <c r="M2706" s="116">
        <v>5197</v>
      </c>
      <c r="N2706" s="116">
        <v>5261.5</v>
      </c>
      <c r="O2706" s="116">
        <v>5165</v>
      </c>
      <c r="P2706" s="116">
        <v>5231.5</v>
      </c>
      <c r="Q2706" s="116">
        <v>5197</v>
      </c>
      <c r="R2706">
        <v>106818</v>
      </c>
    </row>
    <row r="2707" spans="1:18" x14ac:dyDescent="0.25">
      <c r="A2707" s="170">
        <v>45989</v>
      </c>
      <c r="B2707" s="116">
        <v>5202.95</v>
      </c>
      <c r="C2707" s="116">
        <v>5157.2</v>
      </c>
      <c r="D2707" s="116">
        <v>5150</v>
      </c>
      <c r="E2707" s="116">
        <v>5199</v>
      </c>
      <c r="F2707" s="116">
        <v>5157.2</v>
      </c>
      <c r="G2707">
        <v>4011</v>
      </c>
      <c r="H2707" s="116"/>
      <c r="I2707" s="116"/>
      <c r="L2707" s="170">
        <v>45989</v>
      </c>
      <c r="M2707" s="116">
        <v>5158.5</v>
      </c>
      <c r="N2707" s="116">
        <v>5206</v>
      </c>
      <c r="O2707" s="116">
        <v>5150</v>
      </c>
      <c r="P2707" s="116">
        <v>5205.5</v>
      </c>
      <c r="Q2707" s="116">
        <v>5158.5</v>
      </c>
      <c r="R2707">
        <v>136784</v>
      </c>
    </row>
    <row r="2708" spans="1:18" x14ac:dyDescent="0.25">
      <c r="A2708" s="170">
        <v>45992</v>
      </c>
      <c r="B2708" s="116">
        <v>5185</v>
      </c>
      <c r="C2708" s="116">
        <v>5121.95</v>
      </c>
      <c r="D2708" s="116">
        <v>5106.8500000000004</v>
      </c>
      <c r="E2708" s="116">
        <v>5176.05</v>
      </c>
      <c r="F2708" s="116">
        <v>5121.95</v>
      </c>
      <c r="G2708">
        <v>5543</v>
      </c>
      <c r="H2708" s="116"/>
      <c r="I2708" s="116"/>
      <c r="L2708" s="170">
        <v>45992</v>
      </c>
      <c r="M2708" s="116">
        <v>5123</v>
      </c>
      <c r="N2708" s="116">
        <v>5194</v>
      </c>
      <c r="O2708" s="116">
        <v>5106</v>
      </c>
      <c r="P2708" s="116">
        <v>5183.5</v>
      </c>
      <c r="Q2708" s="116">
        <v>5123</v>
      </c>
      <c r="R2708">
        <v>110148</v>
      </c>
    </row>
    <row r="2709" spans="1:18" x14ac:dyDescent="0.25">
      <c r="A2709" s="170">
        <v>45993</v>
      </c>
      <c r="B2709">
        <v>5184.95</v>
      </c>
      <c r="C2709">
        <v>5129.3999999999996</v>
      </c>
      <c r="D2709">
        <v>5097.25</v>
      </c>
      <c r="E2709">
        <v>5184.95</v>
      </c>
      <c r="F2709">
        <v>5129.3999999999996</v>
      </c>
      <c r="G2709">
        <v>3345</v>
      </c>
      <c r="H2709" s="116"/>
      <c r="I2709" s="116"/>
      <c r="L2709" s="170">
        <v>45993</v>
      </c>
      <c r="M2709" s="116">
        <v>5127</v>
      </c>
      <c r="N2709" s="116">
        <v>5166.5</v>
      </c>
      <c r="O2709" s="116">
        <v>5097</v>
      </c>
      <c r="P2709" s="116">
        <v>5123</v>
      </c>
      <c r="Q2709" s="116">
        <v>5127</v>
      </c>
      <c r="R2709">
        <v>227935</v>
      </c>
    </row>
    <row r="2710" spans="1:18" x14ac:dyDescent="0.25">
      <c r="A2710" s="170">
        <v>45994</v>
      </c>
      <c r="B2710">
        <v>5228.95</v>
      </c>
      <c r="C2710">
        <v>5177.1499999999996</v>
      </c>
      <c r="D2710">
        <v>5127.1000000000004</v>
      </c>
      <c r="E2710">
        <v>5129.3999999999996</v>
      </c>
      <c r="F2710">
        <v>5177.1499999999996</v>
      </c>
      <c r="G2710">
        <v>15436</v>
      </c>
      <c r="H2710" s="116"/>
      <c r="I2710" s="116"/>
      <c r="L2710" s="170">
        <v>45994</v>
      </c>
      <c r="M2710" s="116">
        <v>5174.5</v>
      </c>
      <c r="N2710" s="116">
        <v>5229</v>
      </c>
      <c r="O2710" s="116">
        <v>5130</v>
      </c>
      <c r="P2710" s="116">
        <v>5130</v>
      </c>
      <c r="Q2710" s="116">
        <v>5174.5</v>
      </c>
      <c r="R2710">
        <v>289306</v>
      </c>
    </row>
    <row r="2711" spans="1:18" x14ac:dyDescent="0.25">
      <c r="A2711" s="170">
        <v>45995</v>
      </c>
      <c r="B2711">
        <v>5258</v>
      </c>
      <c r="C2711">
        <v>5215.8</v>
      </c>
      <c r="D2711">
        <v>5165.7</v>
      </c>
      <c r="E2711">
        <v>5174.5</v>
      </c>
      <c r="F2711">
        <v>5215.8</v>
      </c>
      <c r="G2711">
        <v>9649</v>
      </c>
      <c r="H2711" s="116"/>
      <c r="I2711" s="116"/>
      <c r="L2711" s="170">
        <v>45995</v>
      </c>
      <c r="M2711" s="116">
        <v>5216.5</v>
      </c>
      <c r="N2711" s="116">
        <v>5258</v>
      </c>
      <c r="O2711" s="116">
        <v>5170.5</v>
      </c>
      <c r="P2711" s="116">
        <v>5171.5</v>
      </c>
      <c r="Q2711" s="116">
        <v>5216.5</v>
      </c>
      <c r="R2711">
        <v>273807</v>
      </c>
    </row>
    <row r="2712" spans="1:18" x14ac:dyDescent="0.25">
      <c r="A2712" s="170">
        <v>45996</v>
      </c>
      <c r="B2712">
        <v>5267</v>
      </c>
      <c r="C2712">
        <v>5216.6499999999996</v>
      </c>
      <c r="D2712">
        <v>5198</v>
      </c>
      <c r="E2712">
        <v>5242.55</v>
      </c>
      <c r="F2712">
        <v>5216.6499999999996</v>
      </c>
      <c r="G2712">
        <v>4748</v>
      </c>
      <c r="H2712" s="116"/>
      <c r="I2712" s="116"/>
      <c r="L2712" s="170">
        <v>45996</v>
      </c>
      <c r="M2712" s="116">
        <v>5217.5</v>
      </c>
      <c r="N2712" s="116">
        <v>5269</v>
      </c>
      <c r="O2712" s="116">
        <v>5196</v>
      </c>
      <c r="P2712" s="116">
        <v>5220</v>
      </c>
      <c r="Q2712" s="116">
        <v>5217.5</v>
      </c>
      <c r="R2712">
        <v>262396</v>
      </c>
    </row>
    <row r="2713" spans="1:18" x14ac:dyDescent="0.25">
      <c r="A2713" s="170">
        <v>45999</v>
      </c>
      <c r="B2713">
        <v>5224.5</v>
      </c>
      <c r="C2713">
        <v>5036.5</v>
      </c>
      <c r="D2713">
        <v>5008.05</v>
      </c>
      <c r="E2713">
        <v>5200.25</v>
      </c>
      <c r="F2713">
        <v>5036.5</v>
      </c>
      <c r="G2713">
        <v>5238</v>
      </c>
      <c r="H2713" s="116"/>
      <c r="I2713" s="116"/>
      <c r="L2713" s="170">
        <v>45999</v>
      </c>
      <c r="M2713" s="116">
        <v>5034.5</v>
      </c>
      <c r="N2713" s="116">
        <v>5229.5</v>
      </c>
      <c r="O2713" s="116">
        <v>5008</v>
      </c>
      <c r="P2713" s="116">
        <v>5217.5</v>
      </c>
      <c r="Q2713" s="116">
        <v>5034.5</v>
      </c>
      <c r="R2713">
        <v>242850</v>
      </c>
    </row>
    <row r="2714" spans="1:18" x14ac:dyDescent="0.25">
      <c r="A2714" s="170">
        <v>46000</v>
      </c>
      <c r="B2714">
        <v>5034.95</v>
      </c>
      <c r="C2714">
        <v>4979.55</v>
      </c>
      <c r="D2714">
        <v>4950.1000000000004</v>
      </c>
      <c r="E2714">
        <v>5020</v>
      </c>
      <c r="F2714">
        <v>4979.55</v>
      </c>
      <c r="G2714">
        <v>13518</v>
      </c>
      <c r="H2714" s="116"/>
      <c r="I2714" s="116"/>
      <c r="L2714" s="170">
        <v>46000</v>
      </c>
      <c r="M2714" s="116">
        <v>4979.5</v>
      </c>
      <c r="N2714" s="116">
        <v>5035</v>
      </c>
      <c r="O2714" s="116">
        <v>4948</v>
      </c>
      <c r="P2714" s="116">
        <v>5034</v>
      </c>
      <c r="Q2714" s="116">
        <v>4979.5</v>
      </c>
      <c r="R2714">
        <v>146223</v>
      </c>
    </row>
    <row r="2715" spans="1:18" x14ac:dyDescent="0.25">
      <c r="A2715" s="170">
        <v>46001</v>
      </c>
      <c r="B2715">
        <v>5001.05</v>
      </c>
      <c r="C2715">
        <v>4863.1499999999996</v>
      </c>
      <c r="D2715">
        <v>4855.2</v>
      </c>
      <c r="E2715">
        <v>5001</v>
      </c>
      <c r="F2715">
        <v>4863.1499999999996</v>
      </c>
      <c r="G2715">
        <v>17572</v>
      </c>
      <c r="H2715" s="116"/>
      <c r="I2715" s="116"/>
      <c r="L2715" s="170">
        <v>46001</v>
      </c>
      <c r="M2715" s="116">
        <v>4863</v>
      </c>
      <c r="N2715" s="116">
        <v>5003</v>
      </c>
      <c r="O2715" s="116">
        <v>4855</v>
      </c>
      <c r="P2715" s="116">
        <v>5002.5</v>
      </c>
      <c r="Q2715" s="116">
        <v>4863</v>
      </c>
      <c r="R2715">
        <v>183782</v>
      </c>
    </row>
    <row r="2716" spans="1:18" x14ac:dyDescent="0.25">
      <c r="A2716" s="170">
        <v>46002</v>
      </c>
      <c r="B2716">
        <v>5026.3999999999996</v>
      </c>
      <c r="C2716">
        <v>5016.3</v>
      </c>
      <c r="D2716">
        <v>4863.5</v>
      </c>
      <c r="E2716">
        <v>4915.8</v>
      </c>
      <c r="F2716">
        <v>5016.3</v>
      </c>
      <c r="G2716">
        <v>13737</v>
      </c>
      <c r="H2716" s="116"/>
      <c r="I2716" s="116"/>
      <c r="L2716" s="170">
        <v>46002</v>
      </c>
      <c r="M2716" s="116">
        <v>5016.5</v>
      </c>
      <c r="N2716" s="116">
        <v>5026.5</v>
      </c>
      <c r="O2716" s="116">
        <v>4864</v>
      </c>
      <c r="P2716" s="116">
        <v>4895</v>
      </c>
      <c r="Q2716" s="116">
        <v>5016.5</v>
      </c>
      <c r="R2716">
        <v>139396</v>
      </c>
    </row>
    <row r="2717" spans="1:18" x14ac:dyDescent="0.25">
      <c r="A2717" s="170">
        <v>46003</v>
      </c>
      <c r="B2717">
        <v>5039.45</v>
      </c>
      <c r="C2717">
        <v>5029.6499999999996</v>
      </c>
      <c r="D2717">
        <v>4991</v>
      </c>
      <c r="E2717">
        <v>5030</v>
      </c>
      <c r="F2717">
        <v>5029.6499999999996</v>
      </c>
      <c r="G2717">
        <v>5079</v>
      </c>
      <c r="H2717" s="116"/>
      <c r="I2717" s="116"/>
      <c r="L2717" s="170">
        <v>46003</v>
      </c>
      <c r="M2717" s="116">
        <v>5030.5</v>
      </c>
      <c r="N2717" s="116">
        <v>5040</v>
      </c>
      <c r="O2717" s="116">
        <v>4988.5</v>
      </c>
      <c r="P2717" s="116">
        <v>5026.5</v>
      </c>
      <c r="Q2717" s="116">
        <v>5030.5</v>
      </c>
      <c r="R2717">
        <v>82176</v>
      </c>
    </row>
    <row r="2718" spans="1:18" x14ac:dyDescent="0.25">
      <c r="A2718" s="170">
        <v>46006</v>
      </c>
      <c r="B2718">
        <v>5122.1499999999996</v>
      </c>
      <c r="C2718">
        <v>5048.3</v>
      </c>
      <c r="D2718">
        <v>5018</v>
      </c>
      <c r="E2718">
        <v>5030.2</v>
      </c>
      <c r="F2718">
        <v>5048.3</v>
      </c>
      <c r="G2718">
        <v>5305</v>
      </c>
      <c r="H2718" s="116"/>
      <c r="I2718" s="116"/>
      <c r="L2718" s="170">
        <v>46006</v>
      </c>
      <c r="M2718" s="116">
        <v>5048.5</v>
      </c>
      <c r="N2718" s="116">
        <v>5126</v>
      </c>
      <c r="O2718" s="116">
        <v>5016</v>
      </c>
      <c r="P2718" s="116">
        <v>5045.5</v>
      </c>
      <c r="Q2718" s="116">
        <v>5048.5</v>
      </c>
      <c r="R2718">
        <v>114281</v>
      </c>
    </row>
    <row r="2719" spans="1:18" x14ac:dyDescent="0.25">
      <c r="A2719" s="170">
        <v>46007</v>
      </c>
      <c r="B2719">
        <v>5032</v>
      </c>
      <c r="C2719">
        <v>4991.3500000000004</v>
      </c>
      <c r="D2719">
        <v>4980.1000000000004</v>
      </c>
      <c r="E2719">
        <v>5017.95</v>
      </c>
      <c r="F2719">
        <v>4991.3500000000004</v>
      </c>
      <c r="G2719">
        <v>3092</v>
      </c>
      <c r="H2719" s="116"/>
      <c r="I2719" s="116"/>
      <c r="L2719" s="170">
        <v>46007</v>
      </c>
      <c r="M2719" s="116">
        <v>4998</v>
      </c>
      <c r="N2719" s="116">
        <v>5044</v>
      </c>
      <c r="O2719" s="116">
        <v>4980</v>
      </c>
      <c r="P2719" s="116">
        <v>5044</v>
      </c>
      <c r="Q2719" s="116">
        <v>4998</v>
      </c>
      <c r="R2719">
        <v>66003</v>
      </c>
    </row>
    <row r="2720" spans="1:18" x14ac:dyDescent="0.25">
      <c r="A2720" s="170">
        <v>46008</v>
      </c>
      <c r="B2720">
        <v>5050</v>
      </c>
      <c r="C2720">
        <v>4968</v>
      </c>
      <c r="D2720">
        <v>4955</v>
      </c>
      <c r="E2720">
        <v>5010</v>
      </c>
      <c r="F2720">
        <v>4968</v>
      </c>
      <c r="G2720">
        <v>3794</v>
      </c>
      <c r="H2720" s="116"/>
      <c r="I2720" s="116"/>
      <c r="L2720" s="170">
        <v>46008</v>
      </c>
      <c r="M2720" s="116">
        <v>4968.5</v>
      </c>
      <c r="N2720" s="116">
        <v>5052.5</v>
      </c>
      <c r="O2720" s="116">
        <v>4950.5</v>
      </c>
      <c r="P2720" s="116">
        <v>5000</v>
      </c>
      <c r="Q2720" s="116">
        <v>4968.5</v>
      </c>
      <c r="R2720">
        <v>72380</v>
      </c>
    </row>
    <row r="2721" spans="1:18" x14ac:dyDescent="0.25">
      <c r="A2721" s="170">
        <v>46009</v>
      </c>
      <c r="B2721">
        <v>5045</v>
      </c>
      <c r="C2721">
        <v>5013.95</v>
      </c>
      <c r="D2721">
        <v>4935</v>
      </c>
      <c r="E2721">
        <v>4968.75</v>
      </c>
      <c r="F2721">
        <v>5013.95</v>
      </c>
      <c r="G2721">
        <v>6853</v>
      </c>
      <c r="H2721" s="116"/>
      <c r="I2721" s="116"/>
      <c r="L2721" s="170">
        <v>46009</v>
      </c>
      <c r="M2721" s="116">
        <v>5013.5</v>
      </c>
      <c r="N2721" s="116">
        <v>5049.5</v>
      </c>
      <c r="O2721" s="116">
        <v>4934.5</v>
      </c>
      <c r="P2721" s="116">
        <v>4980</v>
      </c>
      <c r="Q2721" s="116">
        <v>5013.5</v>
      </c>
      <c r="R2721">
        <v>105540</v>
      </c>
    </row>
    <row r="2722" spans="1:18" x14ac:dyDescent="0.25">
      <c r="A2722" s="170">
        <v>46010</v>
      </c>
      <c r="B2722">
        <v>5449.5</v>
      </c>
      <c r="C2722">
        <v>5412.3</v>
      </c>
      <c r="D2722">
        <v>5065.1000000000004</v>
      </c>
      <c r="E2722">
        <v>5100.05</v>
      </c>
      <c r="F2722">
        <v>5412.3</v>
      </c>
      <c r="G2722">
        <v>101589</v>
      </c>
      <c r="H2722" s="116"/>
      <c r="I2722" s="116"/>
      <c r="L2722" s="170">
        <v>46010</v>
      </c>
      <c r="M2722" s="116">
        <v>5413.5</v>
      </c>
      <c r="N2722" s="116">
        <v>5450</v>
      </c>
      <c r="O2722" s="116">
        <v>5062</v>
      </c>
      <c r="P2722" s="116">
        <v>5116</v>
      </c>
      <c r="Q2722" s="116">
        <v>5413.5</v>
      </c>
      <c r="R2722">
        <v>1773370</v>
      </c>
    </row>
    <row r="2723" spans="1:18" x14ac:dyDescent="0.25">
      <c r="A2723" s="170">
        <v>46013</v>
      </c>
      <c r="B2723">
        <v>5506.8</v>
      </c>
      <c r="C2723">
        <v>5457.4</v>
      </c>
      <c r="D2723">
        <v>5393.1</v>
      </c>
      <c r="E2723">
        <v>5439.3</v>
      </c>
      <c r="F2723">
        <v>5457.4</v>
      </c>
      <c r="G2723">
        <v>20298</v>
      </c>
      <c r="H2723" s="116"/>
      <c r="I2723" s="116"/>
      <c r="L2723" s="170">
        <v>46013</v>
      </c>
      <c r="M2723" s="116">
        <v>5458.5</v>
      </c>
      <c r="N2723" s="116">
        <v>5506.5</v>
      </c>
      <c r="O2723" s="116">
        <v>5397.5</v>
      </c>
      <c r="P2723" s="116">
        <v>5410.5</v>
      </c>
      <c r="Q2723" s="116">
        <v>5458.5</v>
      </c>
      <c r="R2723">
        <v>455234</v>
      </c>
    </row>
    <row r="2724" spans="1:18" x14ac:dyDescent="0.25">
      <c r="A2724" s="170">
        <v>46014</v>
      </c>
      <c r="B2724">
        <v>5498</v>
      </c>
      <c r="C2724">
        <v>5428.65</v>
      </c>
      <c r="D2724">
        <v>5403.05</v>
      </c>
      <c r="E2724">
        <v>5498</v>
      </c>
      <c r="F2724">
        <v>5428.65</v>
      </c>
      <c r="G2724">
        <v>9662</v>
      </c>
      <c r="H2724" s="116"/>
      <c r="I2724" s="116"/>
      <c r="L2724" s="170">
        <v>46014</v>
      </c>
      <c r="M2724" s="116">
        <v>5429</v>
      </c>
      <c r="N2724" s="116">
        <v>5483.5</v>
      </c>
      <c r="O2724" s="116">
        <v>5402.5</v>
      </c>
      <c r="P2724" s="116">
        <v>5440</v>
      </c>
      <c r="Q2724" s="116">
        <v>5429</v>
      </c>
      <c r="R2724">
        <v>159234</v>
      </c>
    </row>
    <row r="2725" spans="1:18" x14ac:dyDescent="0.25">
      <c r="A2725" s="170">
        <v>46015</v>
      </c>
      <c r="B2725">
        <v>5434.95</v>
      </c>
      <c r="C2725">
        <v>5379.55</v>
      </c>
      <c r="D2725">
        <v>5353</v>
      </c>
      <c r="E2725">
        <v>5434.95</v>
      </c>
      <c r="F2725">
        <v>5379.55</v>
      </c>
      <c r="G2725">
        <v>6974</v>
      </c>
      <c r="H2725" s="116"/>
      <c r="I2725" s="116"/>
      <c r="L2725" s="170">
        <v>46015</v>
      </c>
      <c r="M2725" s="116">
        <v>5387.5</v>
      </c>
      <c r="N2725" s="116">
        <v>5435</v>
      </c>
      <c r="O2725" s="116">
        <v>5363</v>
      </c>
      <c r="P2725" s="116">
        <v>5429.5</v>
      </c>
      <c r="Q2725" s="116">
        <v>5387.5</v>
      </c>
      <c r="R2725">
        <v>96729</v>
      </c>
    </row>
    <row r="2726" spans="1:18" x14ac:dyDescent="0.25">
      <c r="A2726" s="170">
        <v>46017</v>
      </c>
      <c r="B2726">
        <v>5426.95</v>
      </c>
      <c r="C2726">
        <v>5344.95</v>
      </c>
      <c r="D2726">
        <v>5336</v>
      </c>
      <c r="E2726">
        <v>5355.2</v>
      </c>
      <c r="F2726">
        <v>5344.95</v>
      </c>
      <c r="G2726">
        <v>6161</v>
      </c>
      <c r="H2726" s="116"/>
      <c r="I2726" s="116"/>
      <c r="L2726" s="170">
        <v>46017</v>
      </c>
      <c r="M2726" s="116">
        <v>5348</v>
      </c>
      <c r="N2726" s="116">
        <v>5425</v>
      </c>
      <c r="O2726" s="116">
        <v>5335</v>
      </c>
      <c r="P2726" s="116">
        <v>5370</v>
      </c>
      <c r="Q2726" s="116">
        <v>5348</v>
      </c>
      <c r="R2726">
        <v>84561</v>
      </c>
    </row>
    <row r="2727" spans="1:18" x14ac:dyDescent="0.25">
      <c r="A2727" s="170">
        <v>46020</v>
      </c>
      <c r="B2727">
        <v>5373</v>
      </c>
      <c r="C2727">
        <v>5315.7</v>
      </c>
      <c r="D2727">
        <v>5280</v>
      </c>
      <c r="E2727">
        <v>5304</v>
      </c>
      <c r="F2727">
        <v>5315.7</v>
      </c>
      <c r="G2727">
        <v>4535</v>
      </c>
      <c r="H2727" s="116"/>
      <c r="I2727" s="116"/>
      <c r="L2727" s="170">
        <v>46020</v>
      </c>
      <c r="M2727" s="116">
        <v>5315.5</v>
      </c>
      <c r="N2727" s="116">
        <v>5369.5</v>
      </c>
      <c r="O2727" s="116">
        <v>5279.5</v>
      </c>
      <c r="P2727" s="116">
        <v>5349</v>
      </c>
      <c r="Q2727" s="116">
        <v>5315.5</v>
      </c>
      <c r="R2727">
        <v>96723</v>
      </c>
    </row>
    <row r="2728" spans="1:18" x14ac:dyDescent="0.25">
      <c r="A2728" s="170">
        <v>46021</v>
      </c>
      <c r="B2728">
        <v>5333.8</v>
      </c>
      <c r="C2728">
        <v>5192.55</v>
      </c>
      <c r="D2728">
        <v>5178</v>
      </c>
      <c r="E2728">
        <v>5301.3</v>
      </c>
      <c r="F2728">
        <v>5192.55</v>
      </c>
      <c r="G2728">
        <v>12561</v>
      </c>
      <c r="H2728" s="116"/>
      <c r="I2728" s="116"/>
      <c r="L2728" s="170">
        <v>46021</v>
      </c>
      <c r="M2728" s="116">
        <v>5193</v>
      </c>
      <c r="N2728" s="116">
        <v>5342</v>
      </c>
      <c r="O2728" s="116">
        <v>5175.5</v>
      </c>
      <c r="P2728" s="116">
        <v>5318</v>
      </c>
      <c r="Q2728" s="116">
        <v>5193</v>
      </c>
      <c r="R2728">
        <v>141898</v>
      </c>
    </row>
    <row r="2729" spans="1:18" x14ac:dyDescent="0.25">
      <c r="A2729" s="170">
        <v>46022</v>
      </c>
      <c r="B2729">
        <v>5261</v>
      </c>
      <c r="C2729">
        <v>5239.05</v>
      </c>
      <c r="D2729">
        <v>5178.1000000000004</v>
      </c>
      <c r="E2729">
        <v>5192.6000000000004</v>
      </c>
      <c r="F2729">
        <v>5239.05</v>
      </c>
      <c r="G2729">
        <v>3174</v>
      </c>
      <c r="H2729" s="116"/>
      <c r="I2729" s="116"/>
      <c r="L2729" s="170">
        <v>46022</v>
      </c>
      <c r="M2729" s="116">
        <v>5240.5</v>
      </c>
      <c r="N2729" s="116">
        <v>5264</v>
      </c>
      <c r="O2729" s="116">
        <v>5180</v>
      </c>
      <c r="P2729" s="116">
        <v>5193</v>
      </c>
      <c r="Q2729" s="116">
        <v>5240.5</v>
      </c>
      <c r="R2729">
        <v>82797</v>
      </c>
    </row>
    <row r="2730" spans="1:18" x14ac:dyDescent="0.25">
      <c r="A2730" s="170">
        <v>46023</v>
      </c>
      <c r="B2730">
        <v>5240.55</v>
      </c>
      <c r="C2730">
        <v>5211.95</v>
      </c>
      <c r="D2730">
        <v>5190</v>
      </c>
      <c r="E2730">
        <v>5240.55</v>
      </c>
      <c r="F2730">
        <v>5211.95</v>
      </c>
      <c r="G2730">
        <v>1587</v>
      </c>
      <c r="H2730" s="116"/>
      <c r="I2730" s="116"/>
      <c r="L2730" s="170">
        <v>46023</v>
      </c>
      <c r="M2730" s="116">
        <v>5211.5</v>
      </c>
      <c r="N2730" s="116">
        <v>5253</v>
      </c>
      <c r="O2730" s="116">
        <v>5185</v>
      </c>
      <c r="P2730" s="116">
        <v>5250</v>
      </c>
      <c r="Q2730" s="116">
        <v>5211.5</v>
      </c>
      <c r="R2730">
        <v>45872</v>
      </c>
    </row>
    <row r="2731" spans="1:18" x14ac:dyDescent="0.25">
      <c r="A2731" s="170">
        <v>46024</v>
      </c>
      <c r="B2731">
        <v>5379.95</v>
      </c>
      <c r="C2731">
        <v>5337.1</v>
      </c>
      <c r="D2731">
        <v>5196.6499999999996</v>
      </c>
      <c r="E2731">
        <v>5200.95</v>
      </c>
      <c r="F2731">
        <v>5337.1</v>
      </c>
      <c r="G2731">
        <v>10231</v>
      </c>
      <c r="H2731" s="116"/>
      <c r="I2731" s="116"/>
      <c r="L2731" s="170">
        <v>46024</v>
      </c>
      <c r="M2731" s="116">
        <v>5337.5</v>
      </c>
      <c r="N2731" s="116">
        <v>5377.5</v>
      </c>
      <c r="O2731" s="116">
        <v>5197.5</v>
      </c>
      <c r="P2731" s="116">
        <v>5211.5</v>
      </c>
      <c r="Q2731" s="116">
        <v>5337.5</v>
      </c>
      <c r="R2731">
        <v>126422</v>
      </c>
    </row>
    <row r="2732" spans="1:18" x14ac:dyDescent="0.25">
      <c r="A2732" s="170">
        <v>46027</v>
      </c>
      <c r="B2732">
        <v>5397.25</v>
      </c>
      <c r="C2732">
        <v>5359.5</v>
      </c>
      <c r="D2732">
        <v>5297.1</v>
      </c>
      <c r="E2732">
        <v>5370</v>
      </c>
      <c r="F2732">
        <v>5359.5</v>
      </c>
      <c r="G2732">
        <v>6928</v>
      </c>
      <c r="H2732" s="116"/>
      <c r="I2732" s="116"/>
      <c r="L2732" s="170">
        <v>46027</v>
      </c>
      <c r="M2732" s="116">
        <v>5363.5</v>
      </c>
      <c r="N2732" s="116">
        <v>5398</v>
      </c>
      <c r="O2732" s="116">
        <v>5292.5</v>
      </c>
      <c r="P2732" s="116">
        <v>5368.5</v>
      </c>
      <c r="Q2732" s="116">
        <v>5363.5</v>
      </c>
      <c r="R2732">
        <v>150166</v>
      </c>
    </row>
    <row r="2733" spans="1:18" x14ac:dyDescent="0.25">
      <c r="A2733" s="170">
        <v>46028</v>
      </c>
      <c r="B2733">
        <v>5390.05</v>
      </c>
      <c r="C2733">
        <v>5343.15</v>
      </c>
      <c r="D2733">
        <v>5309.55</v>
      </c>
      <c r="E2733">
        <v>5350.35</v>
      </c>
      <c r="F2733">
        <v>5343.15</v>
      </c>
      <c r="G2733">
        <v>2857</v>
      </c>
      <c r="H2733" s="116"/>
      <c r="I2733" s="116"/>
      <c r="L2733" s="170">
        <v>46028</v>
      </c>
      <c r="M2733" s="116">
        <v>5345</v>
      </c>
      <c r="N2733" s="116">
        <v>5392.5</v>
      </c>
      <c r="O2733" s="116">
        <v>5309.5</v>
      </c>
      <c r="P2733" s="116">
        <v>5350</v>
      </c>
      <c r="Q2733" s="116">
        <v>5345</v>
      </c>
      <c r="R2733">
        <v>92573</v>
      </c>
    </row>
    <row r="2734" spans="1:18" x14ac:dyDescent="0.25">
      <c r="A2734" s="170">
        <v>46029</v>
      </c>
      <c r="B2734">
        <v>5918.7</v>
      </c>
      <c r="C2734">
        <v>5851.55</v>
      </c>
      <c r="D2734">
        <v>5325.15</v>
      </c>
      <c r="E2734">
        <v>5325.15</v>
      </c>
      <c r="F2734">
        <v>5851.55</v>
      </c>
      <c r="G2734">
        <v>118447</v>
      </c>
      <c r="H2734" s="116"/>
      <c r="I2734" s="116"/>
      <c r="L2734" s="170">
        <v>46029</v>
      </c>
      <c r="M2734" s="116">
        <v>5853</v>
      </c>
      <c r="N2734" s="116">
        <v>5923</v>
      </c>
      <c r="O2734" s="116">
        <v>5336</v>
      </c>
      <c r="P2734" s="116">
        <v>5340</v>
      </c>
      <c r="Q2734" s="116">
        <v>5853</v>
      </c>
      <c r="R2734">
        <v>2893997</v>
      </c>
    </row>
    <row r="2735" spans="1:18" x14ac:dyDescent="0.25">
      <c r="A2735" s="170">
        <v>46030</v>
      </c>
      <c r="B2735">
        <v>5949.95</v>
      </c>
      <c r="C2735">
        <v>5718.1</v>
      </c>
      <c r="D2735">
        <v>5648.1</v>
      </c>
      <c r="E2735">
        <v>5888.3</v>
      </c>
      <c r="F2735">
        <v>5718.1</v>
      </c>
      <c r="G2735">
        <v>59321</v>
      </c>
      <c r="H2735" s="116"/>
      <c r="I2735" s="116"/>
      <c r="L2735" s="170">
        <v>46030</v>
      </c>
      <c r="M2735" s="116">
        <v>5716.5</v>
      </c>
      <c r="N2735" s="116">
        <v>5950</v>
      </c>
      <c r="O2735" s="116">
        <v>5645.5</v>
      </c>
      <c r="P2735" s="116">
        <v>5853</v>
      </c>
      <c r="Q2735" s="116">
        <v>5716.5</v>
      </c>
      <c r="R2735">
        <v>1039700</v>
      </c>
    </row>
    <row r="2736" spans="1:18" x14ac:dyDescent="0.25">
      <c r="A2736" s="170">
        <v>46031</v>
      </c>
      <c r="B2736">
        <v>5831</v>
      </c>
      <c r="C2736">
        <v>5687.65</v>
      </c>
      <c r="D2736">
        <v>5646.3</v>
      </c>
      <c r="E2736">
        <v>5668.7</v>
      </c>
      <c r="F2736">
        <v>5687.65</v>
      </c>
      <c r="G2736">
        <v>45277</v>
      </c>
      <c r="H2736" s="116"/>
      <c r="I2736" s="116"/>
      <c r="L2736" s="170">
        <v>46031</v>
      </c>
      <c r="M2736" s="116">
        <v>5691</v>
      </c>
      <c r="N2736" s="116">
        <v>5836.5</v>
      </c>
      <c r="O2736" s="116">
        <v>5646</v>
      </c>
      <c r="P2736" s="116">
        <v>5662</v>
      </c>
      <c r="Q2736" s="116">
        <v>5691</v>
      </c>
      <c r="R2736">
        <v>533373</v>
      </c>
    </row>
    <row r="2737" spans="1:18" x14ac:dyDescent="0.25">
      <c r="A2737" s="170">
        <v>46034</v>
      </c>
      <c r="B2737">
        <v>5759</v>
      </c>
      <c r="C2737">
        <v>5695.45</v>
      </c>
      <c r="D2737">
        <v>5584.65</v>
      </c>
      <c r="E2737">
        <v>5601.9</v>
      </c>
      <c r="F2737">
        <v>5695.45</v>
      </c>
      <c r="G2737">
        <v>17636</v>
      </c>
      <c r="H2737" s="116"/>
      <c r="I2737" s="116"/>
      <c r="L2737" s="170">
        <v>46034</v>
      </c>
      <c r="M2737" s="116">
        <v>5693.5</v>
      </c>
      <c r="N2737" s="116">
        <v>5762.5</v>
      </c>
      <c r="O2737" s="116">
        <v>5582.5</v>
      </c>
      <c r="P2737" s="116">
        <v>5650</v>
      </c>
      <c r="Q2737" s="116">
        <v>5693.5</v>
      </c>
      <c r="R2737">
        <v>301050</v>
      </c>
    </row>
    <row r="2738" spans="1:18" x14ac:dyDescent="0.25">
      <c r="A2738" s="170">
        <v>46035</v>
      </c>
      <c r="B2738">
        <v>5822.45</v>
      </c>
      <c r="C2738">
        <v>5796.15</v>
      </c>
      <c r="D2738">
        <v>5685</v>
      </c>
      <c r="E2738">
        <v>5749.85</v>
      </c>
      <c r="F2738">
        <v>5796.15</v>
      </c>
      <c r="G2738">
        <v>37110</v>
      </c>
      <c r="H2738" s="116"/>
      <c r="I2738" s="116"/>
      <c r="L2738" s="170">
        <v>46035</v>
      </c>
      <c r="M2738" s="116">
        <v>5793</v>
      </c>
      <c r="N2738" s="116">
        <v>5824</v>
      </c>
      <c r="O2738" s="116">
        <v>5681</v>
      </c>
      <c r="P2738" s="116">
        <v>5744</v>
      </c>
      <c r="Q2738" s="116">
        <v>5793</v>
      </c>
      <c r="R2738">
        <v>384976</v>
      </c>
    </row>
    <row r="2739" spans="1:18" x14ac:dyDescent="0.25">
      <c r="A2739" s="170">
        <v>46036</v>
      </c>
      <c r="B2739">
        <v>5767.2</v>
      </c>
      <c r="C2739">
        <v>5501.9</v>
      </c>
      <c r="D2739">
        <v>5470</v>
      </c>
      <c r="E2739">
        <v>5739.2</v>
      </c>
      <c r="F2739">
        <v>5501.9</v>
      </c>
      <c r="G2739">
        <v>63407</v>
      </c>
      <c r="H2739" s="116"/>
      <c r="I2739" s="116"/>
      <c r="L2739" s="170">
        <v>46036</v>
      </c>
      <c r="M2739" s="116">
        <v>5505</v>
      </c>
      <c r="N2739" s="116">
        <v>5766</v>
      </c>
      <c r="O2739" s="116">
        <v>5467</v>
      </c>
      <c r="P2739" s="116">
        <v>5700</v>
      </c>
      <c r="Q2739" s="116">
        <v>5505</v>
      </c>
      <c r="R2739">
        <v>922269</v>
      </c>
    </row>
    <row r="2740" spans="1:18" x14ac:dyDescent="0.25">
      <c r="A2740" s="170">
        <v>46038</v>
      </c>
      <c r="B2740">
        <v>5689</v>
      </c>
      <c r="C2740">
        <v>5612.4</v>
      </c>
      <c r="D2740">
        <v>5480</v>
      </c>
      <c r="E2740">
        <v>5501.9</v>
      </c>
      <c r="F2740">
        <v>5612.4</v>
      </c>
      <c r="G2740">
        <v>87078</v>
      </c>
      <c r="H2740" s="116"/>
      <c r="I2740" s="116"/>
      <c r="L2740" s="170">
        <v>46038</v>
      </c>
      <c r="M2740" s="116">
        <v>5605.5</v>
      </c>
      <c r="N2740" s="116">
        <v>5693</v>
      </c>
      <c r="O2740" s="116">
        <v>5480</v>
      </c>
      <c r="P2740" s="116">
        <v>5505</v>
      </c>
      <c r="Q2740" s="116">
        <v>5605.5</v>
      </c>
      <c r="R2740">
        <v>595759</v>
      </c>
    </row>
    <row r="2741" spans="1:18" x14ac:dyDescent="0.25">
      <c r="A2741" s="170">
        <v>46041</v>
      </c>
      <c r="B2741">
        <v>5612.4</v>
      </c>
      <c r="C2741">
        <v>5563.35</v>
      </c>
      <c r="D2741">
        <v>5487</v>
      </c>
      <c r="E2741">
        <v>5609.95</v>
      </c>
      <c r="F2741">
        <v>5563.35</v>
      </c>
      <c r="G2741">
        <v>14401</v>
      </c>
      <c r="H2741" s="116"/>
      <c r="I2741" s="116"/>
      <c r="L2741" s="170">
        <v>46041</v>
      </c>
      <c r="M2741" s="116">
        <v>5563</v>
      </c>
      <c r="N2741" s="116">
        <v>5614.5</v>
      </c>
      <c r="O2741" s="116">
        <v>5486.5</v>
      </c>
      <c r="P2741" s="116">
        <v>5604.5</v>
      </c>
      <c r="Q2741" s="116">
        <v>5563</v>
      </c>
      <c r="R2741">
        <v>260863</v>
      </c>
    </row>
    <row r="2742" spans="1:18" x14ac:dyDescent="0.25">
      <c r="A2742" s="170">
        <v>46042</v>
      </c>
      <c r="B2742">
        <v>5564.05</v>
      </c>
      <c r="C2742">
        <v>5388.35</v>
      </c>
      <c r="D2742">
        <v>5368.4</v>
      </c>
      <c r="E2742">
        <v>5560.55</v>
      </c>
      <c r="F2742">
        <v>5388.35</v>
      </c>
      <c r="G2742">
        <v>22107</v>
      </c>
      <c r="H2742" s="116"/>
      <c r="I2742" s="116"/>
      <c r="L2742" s="170">
        <v>46042</v>
      </c>
      <c r="M2742" s="116">
        <v>5387</v>
      </c>
      <c r="N2742" s="116">
        <v>5566</v>
      </c>
      <c r="O2742" s="116">
        <v>5361</v>
      </c>
      <c r="P2742" s="116">
        <v>5565</v>
      </c>
      <c r="Q2742" s="116">
        <v>5387</v>
      </c>
      <c r="R2742">
        <v>268719</v>
      </c>
    </row>
    <row r="2743" spans="1:18" x14ac:dyDescent="0.25">
      <c r="A2743" s="170">
        <v>46043</v>
      </c>
      <c r="B2743">
        <v>5449.55</v>
      </c>
      <c r="C2743">
        <v>5346.1</v>
      </c>
      <c r="D2743">
        <v>5281.65</v>
      </c>
      <c r="E2743">
        <v>5302</v>
      </c>
      <c r="F2743">
        <v>5346.1</v>
      </c>
      <c r="G2743">
        <v>19625</v>
      </c>
      <c r="H2743" s="116"/>
      <c r="I2743" s="116"/>
      <c r="L2743" s="170">
        <v>46043</v>
      </c>
      <c r="M2743" s="116">
        <v>5347.5</v>
      </c>
      <c r="N2743" s="116">
        <v>5449.5</v>
      </c>
      <c r="O2743" s="116">
        <v>5280.5</v>
      </c>
      <c r="P2743" s="116">
        <v>5367</v>
      </c>
      <c r="Q2743" s="116">
        <v>5347.5</v>
      </c>
      <c r="R2743">
        <v>396287</v>
      </c>
    </row>
    <row r="2744" spans="1:18" x14ac:dyDescent="0.25">
      <c r="A2744" s="170">
        <v>46044</v>
      </c>
      <c r="B2744">
        <v>5545</v>
      </c>
      <c r="C2744">
        <v>5467.85</v>
      </c>
      <c r="D2744">
        <v>5357.1</v>
      </c>
      <c r="E2744">
        <v>5357.1</v>
      </c>
      <c r="F2744">
        <v>5467.85</v>
      </c>
      <c r="G2744">
        <v>9300</v>
      </c>
      <c r="H2744" s="116"/>
      <c r="I2744" s="116"/>
      <c r="L2744" s="170">
        <v>46044</v>
      </c>
      <c r="M2744" s="116">
        <v>5464</v>
      </c>
      <c r="N2744" s="116">
        <v>5547.5</v>
      </c>
      <c r="O2744" s="116">
        <v>5373</v>
      </c>
      <c r="P2744" s="116">
        <v>5375</v>
      </c>
      <c r="Q2744" s="116">
        <v>5464</v>
      </c>
      <c r="R2744">
        <v>377733</v>
      </c>
    </row>
    <row r="2745" spans="1:18" x14ac:dyDescent="0.25">
      <c r="A2745" s="170">
        <v>46045</v>
      </c>
      <c r="B2745">
        <v>5506.65</v>
      </c>
      <c r="C2745">
        <v>5409.55</v>
      </c>
      <c r="D2745">
        <v>5376.6</v>
      </c>
      <c r="E2745">
        <v>5462.45</v>
      </c>
      <c r="F2745">
        <v>5409.55</v>
      </c>
      <c r="G2745">
        <v>11329</v>
      </c>
      <c r="H2745" s="116"/>
      <c r="I2745" s="116"/>
      <c r="L2745" s="170">
        <v>46045</v>
      </c>
      <c r="M2745" s="116">
        <v>5409.5</v>
      </c>
      <c r="N2745" s="116">
        <v>5507.5</v>
      </c>
      <c r="O2745" s="116">
        <v>5374.5</v>
      </c>
      <c r="P2745" s="116">
        <v>5474</v>
      </c>
      <c r="Q2745" s="116">
        <v>5409.5</v>
      </c>
      <c r="R2745">
        <v>194177</v>
      </c>
    </row>
    <row r="2746" spans="1:18" x14ac:dyDescent="0.25">
      <c r="A2746" s="170">
        <v>46049</v>
      </c>
      <c r="B2746">
        <v>5450</v>
      </c>
      <c r="C2746">
        <v>5417.9</v>
      </c>
      <c r="D2746">
        <v>5339.35</v>
      </c>
      <c r="E2746">
        <v>5365.45</v>
      </c>
      <c r="F2746">
        <v>5417.9</v>
      </c>
      <c r="G2746">
        <v>23981</v>
      </c>
      <c r="H2746" s="116"/>
      <c r="I2746" s="116"/>
      <c r="L2746" s="170">
        <v>46049</v>
      </c>
      <c r="M2746" s="116">
        <v>5415</v>
      </c>
      <c r="N2746" s="116">
        <v>5445</v>
      </c>
      <c r="O2746" s="116">
        <v>5340</v>
      </c>
      <c r="P2746" s="116">
        <v>5404</v>
      </c>
      <c r="Q2746" s="116">
        <v>5415</v>
      </c>
      <c r="R2746">
        <v>188198</v>
      </c>
    </row>
    <row r="2747" spans="1:18" x14ac:dyDescent="0.25">
      <c r="A2747" s="170">
        <v>46050</v>
      </c>
      <c r="B2747">
        <v>5450</v>
      </c>
      <c r="C2747">
        <v>5388.5</v>
      </c>
      <c r="D2747">
        <v>5353</v>
      </c>
      <c r="E2747">
        <v>5418.05</v>
      </c>
      <c r="F2747">
        <v>5388.5</v>
      </c>
      <c r="G2747">
        <v>10374</v>
      </c>
      <c r="H2747" s="116"/>
      <c r="I2747" s="116"/>
      <c r="L2747" s="170">
        <v>46050</v>
      </c>
      <c r="M2747" s="116">
        <v>5391</v>
      </c>
      <c r="N2747" s="116">
        <v>5453.5</v>
      </c>
      <c r="O2747" s="116">
        <v>5350.5</v>
      </c>
      <c r="P2747" s="116">
        <v>5438</v>
      </c>
      <c r="Q2747" s="116">
        <v>5391</v>
      </c>
      <c r="R2747">
        <v>121318</v>
      </c>
    </row>
    <row r="2748" spans="1:18" x14ac:dyDescent="0.25">
      <c r="A2748" s="170">
        <v>46051</v>
      </c>
      <c r="B2748">
        <v>5397.4</v>
      </c>
      <c r="C2748">
        <v>5333.3</v>
      </c>
      <c r="D2748">
        <v>5264.9</v>
      </c>
      <c r="E2748">
        <v>5385.95</v>
      </c>
      <c r="F2748">
        <v>5333.3</v>
      </c>
      <c r="G2748">
        <v>6724</v>
      </c>
      <c r="H2748" s="116"/>
      <c r="I2748" s="116"/>
      <c r="L2748" s="170">
        <v>46051</v>
      </c>
      <c r="M2748" s="116">
        <v>5332</v>
      </c>
      <c r="N2748" s="116">
        <v>5405.5</v>
      </c>
      <c r="O2748" s="116">
        <v>5263</v>
      </c>
      <c r="P2748" s="116">
        <v>5395</v>
      </c>
      <c r="Q2748" s="116">
        <v>5332</v>
      </c>
      <c r="R2748">
        <v>209744</v>
      </c>
    </row>
    <row r="2749" spans="1:18" x14ac:dyDescent="0.25">
      <c r="A2749" s="170">
        <v>46052</v>
      </c>
      <c r="B2749">
        <v>5334.65</v>
      </c>
      <c r="C2749">
        <v>5321.05</v>
      </c>
      <c r="D2749">
        <v>5245</v>
      </c>
      <c r="E2749">
        <v>5316.1</v>
      </c>
      <c r="F2749">
        <v>5321.05</v>
      </c>
      <c r="G2749">
        <v>8758</v>
      </c>
      <c r="H2749" s="116"/>
      <c r="I2749" s="116"/>
      <c r="L2749" s="170">
        <v>46052</v>
      </c>
      <c r="M2749" s="116">
        <v>5323.5</v>
      </c>
      <c r="N2749" s="116">
        <v>5333</v>
      </c>
      <c r="O2749" s="116">
        <v>5241.5</v>
      </c>
      <c r="P2749" s="116">
        <v>5324</v>
      </c>
      <c r="Q2749" s="116">
        <v>5323.5</v>
      </c>
      <c r="R2749">
        <v>166386</v>
      </c>
    </row>
    <row r="2750" spans="1:18" x14ac:dyDescent="0.25">
      <c r="A2750" s="170">
        <v>46054</v>
      </c>
      <c r="B2750">
        <v>5579</v>
      </c>
      <c r="C2750">
        <v>5415.7</v>
      </c>
      <c r="D2750">
        <v>5286.75</v>
      </c>
      <c r="E2750">
        <v>5321</v>
      </c>
      <c r="F2750">
        <v>5415.7</v>
      </c>
      <c r="G2750">
        <v>14302</v>
      </c>
      <c r="H2750" s="116"/>
      <c r="I2750" s="116"/>
      <c r="L2750" s="170">
        <v>46054</v>
      </c>
      <c r="M2750" s="116">
        <v>5421</v>
      </c>
      <c r="N2750" s="116">
        <v>5570</v>
      </c>
      <c r="O2750" s="116">
        <v>5281</v>
      </c>
      <c r="P2750" s="116">
        <v>5317.5</v>
      </c>
      <c r="Q2750" s="116">
        <v>5421</v>
      </c>
      <c r="R2750">
        <v>334294</v>
      </c>
    </row>
    <row r="2751" spans="1:18" x14ac:dyDescent="0.25">
      <c r="A2751" s="170">
        <v>46055</v>
      </c>
      <c r="B2751">
        <v>5464.75</v>
      </c>
      <c r="C2751">
        <v>5440.6</v>
      </c>
      <c r="D2751">
        <v>5344.8</v>
      </c>
      <c r="E2751">
        <v>5463.55</v>
      </c>
      <c r="F2751">
        <v>5440.6</v>
      </c>
      <c r="G2751">
        <v>6444</v>
      </c>
      <c r="H2751" s="116"/>
      <c r="I2751" s="116"/>
      <c r="L2751" s="170">
        <v>46055</v>
      </c>
      <c r="M2751" s="116">
        <v>5440</v>
      </c>
      <c r="N2751" s="116">
        <v>5450.5</v>
      </c>
      <c r="O2751" s="116">
        <v>5344</v>
      </c>
      <c r="P2751" s="116">
        <v>5448</v>
      </c>
      <c r="Q2751" s="116">
        <v>5440</v>
      </c>
      <c r="R2751">
        <v>192320</v>
      </c>
    </row>
    <row r="2752" spans="1:18" x14ac:dyDescent="0.25">
      <c r="A2752" s="170">
        <v>46056</v>
      </c>
      <c r="B2752">
        <v>5636.95</v>
      </c>
      <c r="C2752">
        <v>5507.4</v>
      </c>
      <c r="D2752">
        <v>5450</v>
      </c>
      <c r="E2752">
        <v>5542.35</v>
      </c>
      <c r="F2752">
        <v>5507.4</v>
      </c>
      <c r="G2752">
        <v>13609</v>
      </c>
      <c r="H2752" s="116"/>
      <c r="I2752" s="116"/>
      <c r="L2752" s="170">
        <v>46056</v>
      </c>
      <c r="M2752" s="116">
        <v>5508</v>
      </c>
      <c r="N2752" s="116">
        <v>5636.5</v>
      </c>
      <c r="O2752" s="116">
        <v>5450</v>
      </c>
      <c r="P2752" s="116">
        <v>5600</v>
      </c>
      <c r="Q2752" s="116">
        <v>5508</v>
      </c>
      <c r="R2752">
        <v>201609</v>
      </c>
    </row>
    <row r="2753" spans="1:18" x14ac:dyDescent="0.25">
      <c r="A2753" s="170">
        <v>46057</v>
      </c>
      <c r="B2753">
        <v>5536.15</v>
      </c>
      <c r="C2753">
        <v>5519.1</v>
      </c>
      <c r="D2753">
        <v>5312.05</v>
      </c>
      <c r="E2753">
        <v>5476.9</v>
      </c>
      <c r="F2753">
        <v>5519.1</v>
      </c>
      <c r="G2753">
        <v>12616</v>
      </c>
      <c r="H2753" s="116"/>
      <c r="I2753" s="116"/>
      <c r="L2753" s="170">
        <v>46057</v>
      </c>
      <c r="M2753" s="116">
        <v>5510</v>
      </c>
      <c r="N2753" s="116">
        <v>5531.5</v>
      </c>
      <c r="O2753" s="116">
        <v>5310</v>
      </c>
      <c r="P2753" s="116">
        <v>5408</v>
      </c>
      <c r="Q2753" s="116">
        <v>5510</v>
      </c>
      <c r="R2753">
        <v>360048</v>
      </c>
    </row>
    <row r="2754" spans="1:18" x14ac:dyDescent="0.25">
      <c r="A2754" s="170">
        <v>46058</v>
      </c>
      <c r="B2754">
        <v>5559.7</v>
      </c>
      <c r="C2754">
        <v>5407.15</v>
      </c>
      <c r="D2754">
        <v>5376.95</v>
      </c>
      <c r="E2754">
        <v>5500</v>
      </c>
      <c r="F2754">
        <v>5407.15</v>
      </c>
      <c r="G2754">
        <v>10232</v>
      </c>
      <c r="H2754" s="116"/>
      <c r="I2754" s="116"/>
      <c r="L2754" s="170">
        <v>46058</v>
      </c>
      <c r="M2754" s="116">
        <v>5406</v>
      </c>
      <c r="N2754" s="116">
        <v>5565</v>
      </c>
      <c r="O2754" s="116">
        <v>5374.5</v>
      </c>
      <c r="P2754" s="116">
        <v>5497</v>
      </c>
      <c r="Q2754" s="116">
        <v>5406</v>
      </c>
      <c r="R2754">
        <v>207397</v>
      </c>
    </row>
    <row r="2755" spans="1:18" x14ac:dyDescent="0.25">
      <c r="A2755" s="170">
        <v>46059</v>
      </c>
      <c r="B2755">
        <v>5385.05</v>
      </c>
      <c r="C2755">
        <v>5197.95</v>
      </c>
      <c r="D2755">
        <v>5123.05</v>
      </c>
      <c r="E2755">
        <v>5385.05</v>
      </c>
      <c r="F2755">
        <v>5197.95</v>
      </c>
      <c r="G2755">
        <v>21997</v>
      </c>
      <c r="H2755" s="116"/>
      <c r="I2755" s="116"/>
      <c r="L2755" s="170">
        <v>46059</v>
      </c>
      <c r="M2755" s="116">
        <v>5198.5</v>
      </c>
      <c r="N2755" s="116">
        <v>5390</v>
      </c>
      <c r="O2755" s="116">
        <v>5120</v>
      </c>
      <c r="P2755" s="116">
        <v>5390</v>
      </c>
      <c r="Q2755" s="116">
        <v>5198.5</v>
      </c>
      <c r="R2755">
        <v>426399</v>
      </c>
    </row>
    <row r="2756" spans="1:18" x14ac:dyDescent="0.25">
      <c r="A2756" s="170">
        <v>46062</v>
      </c>
      <c r="B2756">
        <v>5282.65</v>
      </c>
      <c r="C2756">
        <v>5233.7</v>
      </c>
      <c r="D2756">
        <v>5205</v>
      </c>
      <c r="E2756">
        <v>5222.05</v>
      </c>
      <c r="F2756">
        <v>5233.7</v>
      </c>
      <c r="G2756">
        <v>7013</v>
      </c>
      <c r="H2756" s="116"/>
      <c r="I2756" s="116"/>
      <c r="L2756" s="170">
        <v>46062</v>
      </c>
      <c r="M2756" s="116">
        <v>5233</v>
      </c>
      <c r="N2756" s="116">
        <v>5284</v>
      </c>
      <c r="O2756" s="116">
        <v>5200.5</v>
      </c>
      <c r="P2756" s="116">
        <v>5229</v>
      </c>
      <c r="Q2756" s="116">
        <v>5233</v>
      </c>
      <c r="R2756">
        <v>165677</v>
      </c>
    </row>
    <row r="2757" spans="1:18" x14ac:dyDescent="0.25">
      <c r="A2757" s="170">
        <v>46063</v>
      </c>
      <c r="B2757">
        <v>5393.65</v>
      </c>
      <c r="C2757">
        <v>5385.75</v>
      </c>
      <c r="D2757">
        <v>5220.45</v>
      </c>
      <c r="E2757">
        <v>5283.5</v>
      </c>
      <c r="F2757">
        <v>5385.75</v>
      </c>
      <c r="G2757">
        <v>21149</v>
      </c>
      <c r="H2757" s="116"/>
      <c r="I2757" s="116"/>
      <c r="L2757" s="170">
        <v>46063</v>
      </c>
      <c r="M2757" s="116">
        <v>5381</v>
      </c>
      <c r="N2757" s="116">
        <v>5394.5</v>
      </c>
      <c r="O2757" s="116">
        <v>5228</v>
      </c>
      <c r="P2757" s="116">
        <v>5260</v>
      </c>
      <c r="Q2757" s="116">
        <v>5381</v>
      </c>
      <c r="R2757">
        <v>213253</v>
      </c>
    </row>
    <row r="2758" spans="1:18" x14ac:dyDescent="0.25">
      <c r="A2758" s="170">
        <v>46064</v>
      </c>
      <c r="B2758">
        <v>5390</v>
      </c>
      <c r="C2758">
        <v>5249</v>
      </c>
      <c r="D2758">
        <v>5226</v>
      </c>
      <c r="E2758">
        <v>5390</v>
      </c>
      <c r="F2758">
        <v>5249</v>
      </c>
      <c r="G2758">
        <v>9026</v>
      </c>
      <c r="H2758" s="116"/>
      <c r="I2758" s="116"/>
      <c r="L2758" s="170">
        <v>46064</v>
      </c>
      <c r="M2758" s="116">
        <v>5250.5</v>
      </c>
      <c r="N2758" s="116">
        <v>5398.5</v>
      </c>
      <c r="O2758" s="116">
        <v>5221</v>
      </c>
      <c r="P2758" s="116">
        <v>5385</v>
      </c>
      <c r="Q2758" s="116">
        <v>5250.5</v>
      </c>
      <c r="R2758">
        <v>158972</v>
      </c>
    </row>
    <row r="2759" spans="1:18" x14ac:dyDescent="0.25">
      <c r="A2759" s="170">
        <v>46065</v>
      </c>
      <c r="B2759">
        <v>5247.75</v>
      </c>
      <c r="C2759">
        <v>4974.05</v>
      </c>
      <c r="D2759">
        <v>4957</v>
      </c>
      <c r="E2759">
        <v>5247.75</v>
      </c>
      <c r="F2759">
        <v>4974.05</v>
      </c>
      <c r="G2759">
        <v>33515</v>
      </c>
      <c r="H2759" s="116"/>
      <c r="I2759" s="116"/>
      <c r="L2759" s="170">
        <v>46065</v>
      </c>
      <c r="M2759" s="116">
        <v>4976</v>
      </c>
      <c r="N2759" s="116">
        <v>5224.5</v>
      </c>
      <c r="O2759" s="116">
        <v>4955.5</v>
      </c>
      <c r="P2759" s="116">
        <v>5206</v>
      </c>
      <c r="Q2759" s="116">
        <v>4976</v>
      </c>
      <c r="R2759">
        <v>564653</v>
      </c>
    </row>
    <row r="2760" spans="1:18" x14ac:dyDescent="0.25">
      <c r="A2760" s="170">
        <v>46066</v>
      </c>
      <c r="B2760">
        <v>4925</v>
      </c>
      <c r="C2760">
        <v>4821.1499999999996</v>
      </c>
      <c r="D2760">
        <v>4755</v>
      </c>
      <c r="E2760">
        <v>4925</v>
      </c>
      <c r="F2760">
        <v>4821.1499999999996</v>
      </c>
      <c r="G2760">
        <v>19900</v>
      </c>
      <c r="H2760" s="116"/>
      <c r="I2760" s="116"/>
      <c r="L2760" s="170">
        <v>46066</v>
      </c>
      <c r="M2760" s="116">
        <v>4824</v>
      </c>
      <c r="N2760" s="116">
        <v>4891.5</v>
      </c>
      <c r="O2760" s="116">
        <v>4755</v>
      </c>
      <c r="P2760" s="116">
        <v>4850</v>
      </c>
      <c r="Q2760" s="116">
        <v>4824</v>
      </c>
      <c r="R2760">
        <v>441804</v>
      </c>
    </row>
    <row r="2761" spans="1:18" x14ac:dyDescent="0.25">
      <c r="A2761" s="170">
        <v>46069</v>
      </c>
      <c r="B2761">
        <v>4842.1499999999996</v>
      </c>
      <c r="C2761">
        <v>4826.3999999999996</v>
      </c>
      <c r="D2761">
        <v>4750</v>
      </c>
      <c r="E2761">
        <v>4833.7</v>
      </c>
      <c r="F2761">
        <v>4826.3999999999996</v>
      </c>
      <c r="G2761">
        <v>10190</v>
      </c>
      <c r="H2761" s="116"/>
      <c r="I2761" s="116"/>
      <c r="L2761" s="170">
        <v>46069</v>
      </c>
      <c r="M2761" s="116">
        <v>4821</v>
      </c>
      <c r="N2761" s="116">
        <v>4845</v>
      </c>
      <c r="O2761" s="116">
        <v>4750</v>
      </c>
      <c r="P2761" s="116">
        <v>4824</v>
      </c>
      <c r="Q2761" s="116">
        <v>4821</v>
      </c>
      <c r="R2761">
        <v>215518</v>
      </c>
    </row>
    <row r="2762" spans="1:18" x14ac:dyDescent="0.25">
      <c r="A2762" s="170">
        <v>46070</v>
      </c>
      <c r="B2762">
        <v>5044.3500000000004</v>
      </c>
      <c r="C2762">
        <v>4912.3500000000004</v>
      </c>
      <c r="D2762">
        <v>4806.3999999999996</v>
      </c>
      <c r="E2762">
        <v>4826.3500000000004</v>
      </c>
      <c r="F2762">
        <v>4912.3500000000004</v>
      </c>
      <c r="G2762">
        <v>22564</v>
      </c>
      <c r="H2762" s="116"/>
      <c r="I2762" s="116"/>
      <c r="L2762" s="170">
        <v>46070</v>
      </c>
      <c r="M2762" s="116">
        <v>4919</v>
      </c>
      <c r="N2762" s="116">
        <v>5044</v>
      </c>
      <c r="O2762" s="116">
        <v>4806.5</v>
      </c>
      <c r="P2762" s="116">
        <v>4820.5</v>
      </c>
      <c r="Q2762" s="116">
        <v>4919</v>
      </c>
      <c r="R2762">
        <v>423010</v>
      </c>
    </row>
    <row r="2763" spans="1:18" x14ac:dyDescent="0.25">
      <c r="A2763" s="170">
        <v>46071</v>
      </c>
      <c r="B2763">
        <v>4949.95</v>
      </c>
      <c r="C2763">
        <v>4889</v>
      </c>
      <c r="D2763">
        <v>4820</v>
      </c>
      <c r="E2763">
        <v>4949.95</v>
      </c>
      <c r="F2763">
        <v>4889</v>
      </c>
      <c r="G2763">
        <v>15133</v>
      </c>
      <c r="H2763" s="116"/>
      <c r="I2763" s="116"/>
      <c r="L2763" s="170">
        <v>46071</v>
      </c>
      <c r="M2763" s="116">
        <v>4885</v>
      </c>
      <c r="N2763" s="116">
        <v>4940</v>
      </c>
      <c r="O2763" s="116">
        <v>4821</v>
      </c>
      <c r="P2763" s="116">
        <v>4940</v>
      </c>
      <c r="Q2763" s="116">
        <v>4885</v>
      </c>
      <c r="R2763">
        <v>181973</v>
      </c>
    </row>
    <row r="2764" spans="1:18" x14ac:dyDescent="0.25">
      <c r="A2764" s="170">
        <v>46072</v>
      </c>
      <c r="B2764">
        <v>4978.75</v>
      </c>
      <c r="C2764">
        <v>4839.8999999999996</v>
      </c>
      <c r="D2764">
        <v>4818</v>
      </c>
      <c r="E2764">
        <v>4884</v>
      </c>
      <c r="F2764">
        <v>4839.8999999999996</v>
      </c>
      <c r="G2764">
        <v>27007</v>
      </c>
      <c r="H2764" s="116"/>
      <c r="I2764" s="116"/>
      <c r="L2764" s="170">
        <v>46072</v>
      </c>
      <c r="M2764" s="116">
        <v>4839.5</v>
      </c>
      <c r="N2764" s="116">
        <v>4981</v>
      </c>
      <c r="O2764" s="116">
        <v>4812</v>
      </c>
      <c r="P2764" s="116">
        <v>4889.5</v>
      </c>
      <c r="Q2764" s="116">
        <v>4839.5</v>
      </c>
      <c r="R2764">
        <v>282759</v>
      </c>
    </row>
    <row r="2765" spans="1:18" x14ac:dyDescent="0.25">
      <c r="A2765" s="170">
        <v>46073</v>
      </c>
      <c r="B2765">
        <v>4908</v>
      </c>
      <c r="C2765">
        <v>4858.25</v>
      </c>
      <c r="D2765">
        <v>4790</v>
      </c>
      <c r="E2765">
        <v>4840</v>
      </c>
      <c r="F2765">
        <v>4858.25</v>
      </c>
      <c r="G2765">
        <v>14065</v>
      </c>
      <c r="H2765" s="116"/>
      <c r="I2765" s="116"/>
      <c r="L2765" s="170">
        <v>46073</v>
      </c>
      <c r="M2765" s="116">
        <v>4859</v>
      </c>
      <c r="N2765" s="116">
        <v>4910</v>
      </c>
      <c r="O2765" s="116">
        <v>4788</v>
      </c>
      <c r="P2765" s="116">
        <v>4830</v>
      </c>
      <c r="Q2765" s="116">
        <v>4859</v>
      </c>
      <c r="R2765">
        <v>227011</v>
      </c>
    </row>
    <row r="2766" spans="1:18" x14ac:dyDescent="0.25">
      <c r="A2766" s="170">
        <v>46076</v>
      </c>
      <c r="B2766">
        <v>4868</v>
      </c>
      <c r="C2766">
        <v>4711.7</v>
      </c>
      <c r="D2766">
        <v>4680</v>
      </c>
      <c r="E2766">
        <v>4852.45</v>
      </c>
      <c r="F2766">
        <v>4711.7</v>
      </c>
      <c r="G2766">
        <v>18863</v>
      </c>
      <c r="H2766" s="116"/>
      <c r="I2766" s="116"/>
      <c r="L2766" s="170">
        <v>46076</v>
      </c>
      <c r="M2766" s="116">
        <v>4714</v>
      </c>
      <c r="N2766" s="116">
        <v>4873</v>
      </c>
      <c r="O2766" s="116">
        <v>4679</v>
      </c>
      <c r="P2766" s="116">
        <v>4845.5</v>
      </c>
      <c r="Q2766" s="116">
        <v>4714</v>
      </c>
      <c r="R2766">
        <v>327068</v>
      </c>
    </row>
    <row r="2767" spans="1:18" x14ac:dyDescent="0.25">
      <c r="A2767" s="170">
        <v>46077</v>
      </c>
      <c r="B2767">
        <v>4698</v>
      </c>
      <c r="C2767">
        <v>4497.95</v>
      </c>
      <c r="D2767">
        <v>4455.6000000000004</v>
      </c>
      <c r="E2767">
        <v>4690</v>
      </c>
      <c r="F2767">
        <v>4497.95</v>
      </c>
      <c r="G2767">
        <v>25392</v>
      </c>
      <c r="H2767" s="116"/>
      <c r="I2767" s="116"/>
      <c r="L2767" s="170">
        <v>46077</v>
      </c>
      <c r="M2767" s="116">
        <v>4498</v>
      </c>
      <c r="N2767" s="116">
        <v>4700</v>
      </c>
      <c r="O2767" s="116">
        <v>4455</v>
      </c>
      <c r="P2767" s="116">
        <v>4675.5</v>
      </c>
      <c r="Q2767" s="116">
        <v>4498</v>
      </c>
      <c r="R2767">
        <v>465584</v>
      </c>
    </row>
    <row r="2768" spans="1:18" x14ac:dyDescent="0.25">
      <c r="A2768" s="170">
        <v>46078</v>
      </c>
      <c r="B2768">
        <v>4670</v>
      </c>
      <c r="C2768">
        <v>4577.6000000000004</v>
      </c>
      <c r="D2768">
        <v>4501.1000000000004</v>
      </c>
      <c r="E2768">
        <v>4501.1000000000004</v>
      </c>
      <c r="F2768">
        <v>4577.6000000000004</v>
      </c>
      <c r="G2768">
        <v>15312</v>
      </c>
      <c r="H2768" s="116"/>
      <c r="I2768" s="116"/>
      <c r="L2768" s="170">
        <v>46078</v>
      </c>
      <c r="M2768" s="116">
        <v>4577</v>
      </c>
      <c r="N2768" s="116">
        <v>4670</v>
      </c>
      <c r="O2768" s="116">
        <v>4524</v>
      </c>
      <c r="P2768" s="116">
        <v>4524.5</v>
      </c>
      <c r="Q2768" s="116">
        <v>4577</v>
      </c>
      <c r="R2768">
        <v>433884</v>
      </c>
    </row>
    <row r="2769" spans="1:18" x14ac:dyDescent="0.25">
      <c r="A2769" s="170">
        <v>46079</v>
      </c>
      <c r="B2769">
        <v>4696</v>
      </c>
      <c r="C2769">
        <v>4506.45</v>
      </c>
      <c r="D2769">
        <v>4472.75</v>
      </c>
      <c r="E2769">
        <v>4588.05</v>
      </c>
      <c r="F2769">
        <v>4506.45</v>
      </c>
      <c r="G2769">
        <v>31741</v>
      </c>
      <c r="H2769" s="116"/>
      <c r="I2769" s="116"/>
      <c r="L2769" s="170">
        <v>46079</v>
      </c>
      <c r="M2769" s="116">
        <v>4507.5</v>
      </c>
      <c r="N2769" s="116">
        <v>4696</v>
      </c>
      <c r="O2769" s="116">
        <v>4470.5</v>
      </c>
      <c r="P2769" s="116">
        <v>4600</v>
      </c>
      <c r="Q2769" s="116">
        <v>4507.5</v>
      </c>
      <c r="R2769">
        <v>469675</v>
      </c>
    </row>
    <row r="2770" spans="1:18" x14ac:dyDescent="0.25">
      <c r="A2770" s="170">
        <v>46080</v>
      </c>
      <c r="B2770">
        <v>4598.05</v>
      </c>
      <c r="C2770">
        <v>4512.3999999999996</v>
      </c>
      <c r="D2770">
        <v>4493.5</v>
      </c>
      <c r="E2770">
        <v>4559.8999999999996</v>
      </c>
      <c r="F2770">
        <v>4512.3999999999996</v>
      </c>
      <c r="G2770">
        <v>13266</v>
      </c>
      <c r="H2770" s="116"/>
      <c r="I2770" s="116"/>
      <c r="L2770" s="170">
        <v>46080</v>
      </c>
      <c r="M2770" s="116">
        <v>4513</v>
      </c>
      <c r="N2770" s="116">
        <v>4596</v>
      </c>
      <c r="O2770" s="116">
        <v>4490.5</v>
      </c>
      <c r="P2770" s="116">
        <v>4522</v>
      </c>
      <c r="Q2770" s="116">
        <v>4513</v>
      </c>
      <c r="R2770">
        <v>345149</v>
      </c>
    </row>
    <row r="2771" spans="1:18" x14ac:dyDescent="0.25">
      <c r="A2771" s="170">
        <v>46083</v>
      </c>
      <c r="B2771">
        <v>4529.6000000000004</v>
      </c>
      <c r="C2771">
        <v>4450.95</v>
      </c>
      <c r="D2771">
        <v>4325</v>
      </c>
      <c r="E2771">
        <v>4370.3999999999996</v>
      </c>
      <c r="F2771">
        <v>4450.95</v>
      </c>
      <c r="G2771">
        <v>17231</v>
      </c>
      <c r="H2771" s="116"/>
      <c r="I2771" s="116"/>
      <c r="L2771" s="170">
        <v>46083</v>
      </c>
      <c r="M2771" s="116">
        <v>4449.3</v>
      </c>
      <c r="N2771" s="116">
        <v>4529</v>
      </c>
      <c r="O2771" s="116">
        <v>4317.7</v>
      </c>
      <c r="P2771" s="116">
        <v>4317.7</v>
      </c>
      <c r="Q2771" s="116">
        <v>4449.3</v>
      </c>
      <c r="R2771">
        <v>303080</v>
      </c>
    </row>
    <row r="2772" spans="1:18" x14ac:dyDescent="0.25">
      <c r="A2772" s="170">
        <v>46085</v>
      </c>
      <c r="B2772">
        <v>4448.8500000000004</v>
      </c>
      <c r="C2772">
        <v>4355</v>
      </c>
      <c r="D2772">
        <v>4319.7</v>
      </c>
      <c r="E2772">
        <v>4401.1000000000004</v>
      </c>
      <c r="F2772">
        <v>4355</v>
      </c>
      <c r="G2772">
        <v>23347</v>
      </c>
      <c r="H2772" s="116"/>
      <c r="I2772" s="116"/>
      <c r="L2772" s="170">
        <v>46085</v>
      </c>
      <c r="M2772" s="116">
        <v>4357.7</v>
      </c>
      <c r="N2772" s="116">
        <v>4448</v>
      </c>
      <c r="O2772" s="116">
        <v>4318</v>
      </c>
      <c r="P2772" s="116">
        <v>4415</v>
      </c>
      <c r="Q2772" s="116">
        <v>4357.7</v>
      </c>
      <c r="R2772">
        <v>279451</v>
      </c>
    </row>
    <row r="2773" spans="1:18" x14ac:dyDescent="0.25">
      <c r="A2773" s="170">
        <v>46086</v>
      </c>
      <c r="B2773">
        <v>4421</v>
      </c>
      <c r="C2773">
        <v>4401.2</v>
      </c>
      <c r="D2773">
        <v>4335.25</v>
      </c>
      <c r="E2773">
        <v>4361.05</v>
      </c>
      <c r="F2773">
        <v>4401.2</v>
      </c>
      <c r="G2773">
        <v>5657</v>
      </c>
      <c r="H2773" s="116"/>
      <c r="I2773" s="116"/>
      <c r="L2773" s="170">
        <v>46086</v>
      </c>
      <c r="M2773" s="116">
        <v>4400</v>
      </c>
      <c r="N2773" s="116">
        <v>4424</v>
      </c>
      <c r="O2773" s="116">
        <v>4334.3999999999996</v>
      </c>
      <c r="P2773" s="116">
        <v>4400</v>
      </c>
      <c r="Q2773" s="116">
        <v>4400</v>
      </c>
      <c r="R2773">
        <v>199593</v>
      </c>
    </row>
    <row r="2774" spans="1:18" x14ac:dyDescent="0.25">
      <c r="A2774" s="170">
        <v>46087</v>
      </c>
      <c r="B2774">
        <v>4488.95</v>
      </c>
      <c r="C2774">
        <v>4329.75</v>
      </c>
      <c r="D2774">
        <v>4323</v>
      </c>
      <c r="E2774">
        <v>4424.95</v>
      </c>
      <c r="F2774">
        <v>4329.75</v>
      </c>
      <c r="G2774">
        <v>19236</v>
      </c>
      <c r="H2774" s="116"/>
      <c r="I2774" s="116"/>
      <c r="L2774" s="170">
        <v>46087</v>
      </c>
      <c r="M2774" s="116">
        <v>4330.2</v>
      </c>
      <c r="N2774" s="116">
        <v>4490</v>
      </c>
      <c r="O2774" s="116">
        <v>4321</v>
      </c>
      <c r="P2774" s="116">
        <v>4420</v>
      </c>
      <c r="Q2774" s="116">
        <v>4330.2</v>
      </c>
      <c r="R2774">
        <v>267961</v>
      </c>
    </row>
    <row r="2775" spans="1:18" x14ac:dyDescent="0.25">
      <c r="A2775" s="170">
        <v>46090</v>
      </c>
      <c r="B2775">
        <v>4320</v>
      </c>
      <c r="C2775">
        <v>4300.2</v>
      </c>
      <c r="D2775">
        <v>4222.2</v>
      </c>
      <c r="E2775">
        <v>4309.7</v>
      </c>
      <c r="F2775">
        <v>4300.2</v>
      </c>
      <c r="G2775">
        <v>8889</v>
      </c>
      <c r="H2775" s="116"/>
      <c r="I2775" s="116"/>
      <c r="L2775" s="170">
        <v>46090</v>
      </c>
      <c r="M2775" s="116">
        <v>4303.7</v>
      </c>
      <c r="N2775" s="116">
        <v>4321.3</v>
      </c>
      <c r="O2775" s="116">
        <v>4221.5</v>
      </c>
      <c r="P2775" s="116">
        <v>4295</v>
      </c>
      <c r="Q2775" s="116">
        <v>4303.7</v>
      </c>
      <c r="R2775">
        <v>197809</v>
      </c>
    </row>
    <row r="2776" spans="1:18" x14ac:dyDescent="0.25">
      <c r="A2776" s="170">
        <v>46091</v>
      </c>
      <c r="B2776">
        <v>4374</v>
      </c>
      <c r="C2776">
        <v>4360.75</v>
      </c>
      <c r="D2776">
        <v>4266</v>
      </c>
      <c r="E2776">
        <v>4373.45</v>
      </c>
      <c r="F2776">
        <v>4360.75</v>
      </c>
      <c r="G2776">
        <v>6848</v>
      </c>
      <c r="H2776" s="116"/>
      <c r="I2776" s="116"/>
      <c r="L2776" s="170">
        <v>46091</v>
      </c>
      <c r="M2776" s="116">
        <v>4356.6000000000004</v>
      </c>
      <c r="N2776" s="116">
        <v>4380</v>
      </c>
      <c r="O2776" s="116">
        <v>4265</v>
      </c>
      <c r="P2776" s="116">
        <v>4352</v>
      </c>
      <c r="Q2776" s="116">
        <v>4356.6000000000004</v>
      </c>
      <c r="R2776">
        <v>241362</v>
      </c>
    </row>
    <row r="2777" spans="1:18" x14ac:dyDescent="0.25">
      <c r="A2777" s="170">
        <v>46092</v>
      </c>
      <c r="B2777">
        <v>4421.6000000000004</v>
      </c>
      <c r="C2777">
        <v>4343.7</v>
      </c>
      <c r="D2777">
        <v>4325</v>
      </c>
      <c r="E2777">
        <v>4376.6000000000004</v>
      </c>
      <c r="F2777">
        <v>4343.7</v>
      </c>
      <c r="G2777">
        <v>13617</v>
      </c>
      <c r="H2777" s="116"/>
      <c r="I2777" s="116"/>
      <c r="L2777" s="170">
        <v>46092</v>
      </c>
      <c r="M2777" s="116">
        <v>4343.3999999999996</v>
      </c>
      <c r="N2777" s="116">
        <v>4425</v>
      </c>
      <c r="O2777" s="116">
        <v>4325</v>
      </c>
      <c r="P2777" s="116">
        <v>4377.7</v>
      </c>
      <c r="Q2777" s="116">
        <v>4343.3999999999996</v>
      </c>
      <c r="R2777">
        <v>218308</v>
      </c>
    </row>
    <row r="2778" spans="1:18" x14ac:dyDescent="0.25">
      <c r="A2778" s="170">
        <v>46093</v>
      </c>
      <c r="B2778">
        <v>4379.8500000000004</v>
      </c>
      <c r="C2778">
        <v>4327.5</v>
      </c>
      <c r="D2778">
        <v>4254.3</v>
      </c>
      <c r="E2778">
        <v>4343</v>
      </c>
      <c r="F2778">
        <v>4327.5</v>
      </c>
      <c r="G2778">
        <v>20391</v>
      </c>
      <c r="H2778" s="116"/>
      <c r="I2778" s="116"/>
      <c r="L2778" s="170">
        <v>46093</v>
      </c>
      <c r="M2778" s="116">
        <v>4330</v>
      </c>
      <c r="N2778" s="116">
        <v>4380</v>
      </c>
      <c r="O2778" s="116">
        <v>4253</v>
      </c>
      <c r="P2778" s="116">
        <v>4340</v>
      </c>
      <c r="Q2778" s="116">
        <v>4330</v>
      </c>
      <c r="R2778">
        <v>227665</v>
      </c>
    </row>
    <row r="2779" spans="1:18" x14ac:dyDescent="0.25">
      <c r="A2779" s="170">
        <v>46094</v>
      </c>
      <c r="B2779">
        <v>4327.5</v>
      </c>
      <c r="C2779">
        <v>4253.2</v>
      </c>
      <c r="D2779">
        <v>4235.5</v>
      </c>
      <c r="E2779">
        <v>4327.5</v>
      </c>
      <c r="F2779">
        <v>4253.2</v>
      </c>
      <c r="G2779">
        <v>8834</v>
      </c>
      <c r="H2779" s="116"/>
      <c r="I2779" s="116"/>
      <c r="L2779" s="170">
        <v>46094</v>
      </c>
      <c r="M2779" s="116">
        <v>4255</v>
      </c>
      <c r="N2779" s="116">
        <v>4327</v>
      </c>
      <c r="O2779" s="116">
        <v>4234.8999999999996</v>
      </c>
      <c r="P2779" s="116">
        <v>4325</v>
      </c>
      <c r="Q2779" s="116">
        <v>4255</v>
      </c>
      <c r="R2779">
        <v>185443</v>
      </c>
    </row>
    <row r="2780" spans="1:18" x14ac:dyDescent="0.25">
      <c r="A2780" s="170">
        <v>46097</v>
      </c>
      <c r="B2780">
        <v>4253.2</v>
      </c>
      <c r="C2780">
        <v>4198.45</v>
      </c>
      <c r="D2780">
        <v>4118.45</v>
      </c>
      <c r="E2780">
        <v>4252.45</v>
      </c>
      <c r="F2780">
        <v>4198.45</v>
      </c>
      <c r="G2780">
        <v>25863</v>
      </c>
      <c r="H2780" s="116"/>
      <c r="I2780" s="116"/>
      <c r="L2780" s="170">
        <v>46097</v>
      </c>
      <c r="M2780" s="116">
        <v>4202.2</v>
      </c>
      <c r="N2780" s="116">
        <v>4255</v>
      </c>
      <c r="O2780" s="116">
        <v>4118.2</v>
      </c>
      <c r="P2780" s="116">
        <v>4233.7</v>
      </c>
      <c r="Q2780" s="116">
        <v>4202.2</v>
      </c>
      <c r="R2780">
        <v>407416</v>
      </c>
    </row>
    <row r="2781" spans="1:18" x14ac:dyDescent="0.25">
      <c r="A2781" s="170">
        <v>46098</v>
      </c>
      <c r="B2781">
        <v>4218.3500000000004</v>
      </c>
      <c r="C2781">
        <v>4101.95</v>
      </c>
      <c r="D2781">
        <v>4052</v>
      </c>
      <c r="E2781">
        <v>4202.95</v>
      </c>
      <c r="F2781">
        <v>4101.95</v>
      </c>
      <c r="G2781">
        <v>20844</v>
      </c>
      <c r="H2781" s="116"/>
      <c r="I2781" s="116"/>
      <c r="L2781" s="170">
        <v>46098</v>
      </c>
      <c r="M2781" s="116">
        <v>4103.6000000000004</v>
      </c>
      <c r="N2781" s="116">
        <v>4218</v>
      </c>
      <c r="O2781" s="116">
        <v>4050.9</v>
      </c>
      <c r="P2781" s="116">
        <v>4210</v>
      </c>
      <c r="Q2781" s="116">
        <v>4103.6000000000004</v>
      </c>
      <c r="R2781">
        <v>479527</v>
      </c>
    </row>
    <row r="2782" spans="1:18" x14ac:dyDescent="0.25">
      <c r="A2782" s="170">
        <v>46099</v>
      </c>
      <c r="B2782">
        <v>4321.5</v>
      </c>
      <c r="C2782">
        <v>4206.1000000000004</v>
      </c>
      <c r="D2782">
        <v>4107</v>
      </c>
      <c r="E2782">
        <v>4115</v>
      </c>
      <c r="F2782">
        <v>4206.1000000000004</v>
      </c>
      <c r="G2782">
        <v>22100</v>
      </c>
      <c r="H2782" s="116"/>
      <c r="I2782" s="116"/>
      <c r="L2782" s="170">
        <v>46099</v>
      </c>
      <c r="M2782" s="116">
        <v>4207.3999999999996</v>
      </c>
      <c r="N2782" s="116">
        <v>4321.1000000000004</v>
      </c>
      <c r="O2782" s="116">
        <v>4112</v>
      </c>
      <c r="P2782" s="116">
        <v>4112</v>
      </c>
      <c r="Q2782" s="116">
        <v>4207.3999999999996</v>
      </c>
      <c r="R2782">
        <v>609173</v>
      </c>
    </row>
    <row r="2783" spans="1:18" x14ac:dyDescent="0.25">
      <c r="A2783" s="170">
        <v>46100</v>
      </c>
      <c r="B2783">
        <v>4194.6499999999996</v>
      </c>
      <c r="C2783">
        <v>4038.1</v>
      </c>
      <c r="D2783">
        <v>4023</v>
      </c>
      <c r="E2783">
        <v>4194.6499999999996</v>
      </c>
      <c r="F2783">
        <v>4038.1</v>
      </c>
      <c r="G2783">
        <v>15263</v>
      </c>
      <c r="H2783" s="116"/>
      <c r="I2783" s="116"/>
      <c r="L2783" s="170">
        <v>46100</v>
      </c>
      <c r="M2783" s="116">
        <v>4039.3</v>
      </c>
      <c r="N2783" s="116">
        <v>4178.1000000000004</v>
      </c>
      <c r="O2783" s="116">
        <v>4021.6</v>
      </c>
      <c r="P2783" s="116">
        <v>4178.1000000000004</v>
      </c>
      <c r="Q2783" s="116">
        <v>4039.3</v>
      </c>
      <c r="R2783">
        <v>365192</v>
      </c>
    </row>
    <row r="2784" spans="1:18" x14ac:dyDescent="0.25">
      <c r="A2784" s="170">
        <v>46101</v>
      </c>
      <c r="B2784">
        <v>4276.8</v>
      </c>
      <c r="C2784">
        <v>4237.3</v>
      </c>
      <c r="D2784">
        <v>4106.3999999999996</v>
      </c>
      <c r="E2784">
        <v>4153.25</v>
      </c>
      <c r="F2784">
        <v>4237.3</v>
      </c>
      <c r="G2784">
        <v>33286</v>
      </c>
      <c r="H2784" s="116"/>
      <c r="I2784" s="116"/>
      <c r="L2784" s="170">
        <v>46101</v>
      </c>
      <c r="M2784" s="116">
        <v>4237.7</v>
      </c>
      <c r="N2784" s="116">
        <v>4280</v>
      </c>
      <c r="O2784" s="116">
        <v>4105</v>
      </c>
      <c r="P2784" s="116">
        <v>4107.8999999999996</v>
      </c>
      <c r="Q2784" s="116">
        <v>4237.7</v>
      </c>
      <c r="R2784">
        <v>826879</v>
      </c>
    </row>
    <row r="2785" spans="1:18" x14ac:dyDescent="0.25">
      <c r="A2785" s="170">
        <v>46104</v>
      </c>
      <c r="B2785">
        <v>4198.55</v>
      </c>
      <c r="C2785">
        <v>4125.95</v>
      </c>
      <c r="D2785">
        <v>4111</v>
      </c>
      <c r="E2785">
        <v>4198.55</v>
      </c>
      <c r="F2785">
        <v>4125.95</v>
      </c>
      <c r="G2785">
        <v>18877</v>
      </c>
      <c r="H2785" s="116"/>
      <c r="I2785" s="116"/>
      <c r="L2785" s="170">
        <v>46104</v>
      </c>
      <c r="M2785" s="116">
        <v>4130.6000000000004</v>
      </c>
      <c r="N2785" s="116">
        <v>4190</v>
      </c>
      <c r="O2785" s="116">
        <v>4111</v>
      </c>
      <c r="P2785" s="116">
        <v>4190</v>
      </c>
      <c r="Q2785" s="116">
        <v>4130.6000000000004</v>
      </c>
      <c r="R2785">
        <v>299035</v>
      </c>
    </row>
    <row r="2786" spans="1:18" x14ac:dyDescent="0.25">
      <c r="A2786" s="170">
        <v>46105</v>
      </c>
      <c r="B2786">
        <v>4274</v>
      </c>
      <c r="C2786">
        <v>4178.5</v>
      </c>
      <c r="D2786">
        <v>4101.1000000000004</v>
      </c>
      <c r="E2786">
        <v>4248.75</v>
      </c>
      <c r="F2786">
        <v>4178.5</v>
      </c>
      <c r="G2786">
        <v>13311</v>
      </c>
      <c r="H2786" s="116"/>
      <c r="I2786" s="116"/>
      <c r="L2786" s="170">
        <v>46105</v>
      </c>
      <c r="M2786" s="116">
        <v>4180.2</v>
      </c>
      <c r="N2786" s="116">
        <v>4280</v>
      </c>
      <c r="O2786" s="116">
        <v>4100</v>
      </c>
      <c r="P2786" s="116">
        <v>4216</v>
      </c>
      <c r="Q2786" s="116">
        <v>4180.2</v>
      </c>
      <c r="R2786">
        <v>291011</v>
      </c>
    </row>
    <row r="2787" spans="1:18" x14ac:dyDescent="0.25">
      <c r="A2787" s="170">
        <v>46106</v>
      </c>
      <c r="B2787">
        <v>4282.2</v>
      </c>
      <c r="C2787">
        <v>4212.6499999999996</v>
      </c>
      <c r="D2787">
        <v>4188.55</v>
      </c>
      <c r="E2787">
        <v>4282.2</v>
      </c>
      <c r="F2787">
        <v>4212.6499999999996</v>
      </c>
      <c r="G2787">
        <v>10470</v>
      </c>
      <c r="H2787" s="116"/>
      <c r="I2787" s="116"/>
      <c r="L2787" s="170">
        <v>46106</v>
      </c>
      <c r="M2787" s="116">
        <v>4213.3999999999996</v>
      </c>
      <c r="N2787" s="116">
        <v>4288</v>
      </c>
      <c r="O2787" s="116">
        <v>4187.5</v>
      </c>
      <c r="P2787" s="116">
        <v>4205.6000000000004</v>
      </c>
      <c r="Q2787" s="116">
        <v>4213.3999999999996</v>
      </c>
      <c r="R2787">
        <v>262185</v>
      </c>
    </row>
    <row r="2788" spans="1:18" x14ac:dyDescent="0.25">
      <c r="A2788" s="170">
        <v>46108</v>
      </c>
      <c r="B2788">
        <v>4262.2</v>
      </c>
      <c r="C2788">
        <v>4160.6499999999996</v>
      </c>
      <c r="D2788">
        <v>4140</v>
      </c>
      <c r="E2788">
        <v>4208.8999999999996</v>
      </c>
      <c r="F2788">
        <v>4160.6499999999996</v>
      </c>
      <c r="G2788">
        <v>13854</v>
      </c>
      <c r="H2788" s="116"/>
      <c r="I2788" s="116"/>
      <c r="L2788" s="170">
        <v>46108</v>
      </c>
      <c r="M2788" s="116">
        <v>4160.8</v>
      </c>
      <c r="N2788" s="116">
        <v>4264.6000000000004</v>
      </c>
      <c r="O2788" s="116">
        <v>4140</v>
      </c>
      <c r="P2788" s="116">
        <v>4190.1000000000004</v>
      </c>
      <c r="Q2788" s="116">
        <v>4160.8</v>
      </c>
      <c r="R2788">
        <v>325398</v>
      </c>
    </row>
    <row r="2789" spans="1:18" x14ac:dyDescent="0.25">
      <c r="A2789" s="170">
        <v>46111</v>
      </c>
      <c r="B2789">
        <v>4143.8</v>
      </c>
      <c r="C2789">
        <v>3977.25</v>
      </c>
      <c r="D2789">
        <v>3970</v>
      </c>
      <c r="E2789">
        <v>4143.8</v>
      </c>
      <c r="F2789">
        <v>3977.25</v>
      </c>
      <c r="G2789">
        <v>18453</v>
      </c>
      <c r="H2789" s="116"/>
      <c r="I2789" s="116"/>
      <c r="L2789" s="170">
        <v>46111</v>
      </c>
      <c r="M2789" s="116">
        <v>3976.6</v>
      </c>
      <c r="N2789" s="116">
        <v>4130</v>
      </c>
      <c r="O2789" s="116">
        <v>3966.2</v>
      </c>
      <c r="P2789" s="116">
        <v>4125</v>
      </c>
      <c r="Q2789" s="116">
        <v>3976.6</v>
      </c>
      <c r="R2789">
        <v>346542</v>
      </c>
    </row>
    <row r="2790" spans="1:18" x14ac:dyDescent="0.25">
      <c r="A2790" s="170">
        <v>46113</v>
      </c>
      <c r="B2790">
        <v>4215</v>
      </c>
      <c r="C2790">
        <v>4128.2</v>
      </c>
      <c r="D2790">
        <v>4048.75</v>
      </c>
      <c r="E2790">
        <v>4078.2</v>
      </c>
      <c r="F2790">
        <v>4128.2</v>
      </c>
      <c r="G2790">
        <v>25222</v>
      </c>
      <c r="H2790" s="116"/>
      <c r="I2790" s="116"/>
      <c r="L2790" s="170">
        <v>46113</v>
      </c>
      <c r="M2790" s="116">
        <v>4127.1000000000004</v>
      </c>
      <c r="N2790" s="116">
        <v>4217.8999999999996</v>
      </c>
      <c r="O2790" s="116">
        <v>4051</v>
      </c>
      <c r="P2790" s="116">
        <v>4109.3</v>
      </c>
      <c r="Q2790" s="116">
        <v>4127.1000000000004</v>
      </c>
      <c r="R2790">
        <v>263560</v>
      </c>
    </row>
    <row r="2791" spans="1:18" x14ac:dyDescent="0.25">
      <c r="A2791" s="170">
        <v>46114</v>
      </c>
      <c r="B2791">
        <v>4255</v>
      </c>
      <c r="C2791">
        <v>4242.5</v>
      </c>
      <c r="D2791">
        <v>4024</v>
      </c>
      <c r="E2791">
        <v>4102.6499999999996</v>
      </c>
      <c r="F2791">
        <v>4242.5</v>
      </c>
      <c r="G2791">
        <v>20739</v>
      </c>
      <c r="H2791" s="116"/>
      <c r="I2791" s="116"/>
      <c r="L2791" s="170">
        <v>46114</v>
      </c>
      <c r="M2791" s="116">
        <v>4241.3</v>
      </c>
      <c r="N2791" s="116">
        <v>4254.2</v>
      </c>
      <c r="O2791" s="116">
        <v>4023.6</v>
      </c>
      <c r="P2791" s="116">
        <v>4100</v>
      </c>
      <c r="Q2791" s="116">
        <v>4241.3</v>
      </c>
      <c r="R2791">
        <v>282399</v>
      </c>
    </row>
    <row r="2792" spans="1:18" x14ac:dyDescent="0.25">
      <c r="A2792" s="170">
        <v>46118</v>
      </c>
      <c r="B2792">
        <v>4299.95</v>
      </c>
      <c r="C2792">
        <v>4272.2</v>
      </c>
      <c r="D2792">
        <v>4219.6000000000004</v>
      </c>
      <c r="E2792">
        <v>4240.05</v>
      </c>
      <c r="F2792">
        <v>4272.2</v>
      </c>
      <c r="G2792">
        <v>20389</v>
      </c>
      <c r="H2792" s="116"/>
      <c r="I2792" s="116"/>
      <c r="L2792" s="170">
        <v>46118</v>
      </c>
      <c r="M2792" s="116">
        <v>4272.3</v>
      </c>
      <c r="N2792" s="116">
        <v>4300</v>
      </c>
      <c r="O2792" s="116">
        <v>4221</v>
      </c>
      <c r="P2792" s="116">
        <v>4243</v>
      </c>
      <c r="Q2792" s="116">
        <v>4272.3</v>
      </c>
      <c r="R2792">
        <v>204565</v>
      </c>
    </row>
    <row r="2793" spans="1:18" x14ac:dyDescent="0.25">
      <c r="A2793" s="170">
        <v>46119</v>
      </c>
      <c r="B2793">
        <v>4379.45</v>
      </c>
      <c r="C2793">
        <v>4357.3</v>
      </c>
      <c r="D2793">
        <v>4210</v>
      </c>
      <c r="E2793">
        <v>4274.45</v>
      </c>
      <c r="F2793">
        <v>4357.3</v>
      </c>
      <c r="G2793">
        <v>16007</v>
      </c>
      <c r="H2793" s="116"/>
      <c r="I2793" s="116"/>
      <c r="L2793" s="170">
        <v>46119</v>
      </c>
      <c r="M2793" s="116">
        <v>4357.6000000000004</v>
      </c>
      <c r="N2793" s="116">
        <v>4379</v>
      </c>
      <c r="O2793" s="116">
        <v>4206.1000000000004</v>
      </c>
      <c r="P2793" s="116">
        <v>4254.8</v>
      </c>
      <c r="Q2793" s="116">
        <v>4357.6000000000004</v>
      </c>
      <c r="R2793">
        <v>395906</v>
      </c>
    </row>
    <row r="2794" spans="1:18" x14ac:dyDescent="0.25">
      <c r="A2794" s="170">
        <v>46120</v>
      </c>
      <c r="B2794">
        <v>4499.8</v>
      </c>
      <c r="C2794">
        <v>4427.1000000000004</v>
      </c>
      <c r="D2794">
        <v>4387.3</v>
      </c>
      <c r="E2794">
        <v>4499.8</v>
      </c>
      <c r="F2794">
        <v>4427.1000000000004</v>
      </c>
      <c r="G2794">
        <v>16420</v>
      </c>
      <c r="H2794" s="116"/>
      <c r="I2794" s="116"/>
      <c r="L2794" s="170">
        <v>46120</v>
      </c>
      <c r="M2794" s="116">
        <v>4434.3999999999996</v>
      </c>
      <c r="N2794" s="116">
        <v>4490</v>
      </c>
      <c r="O2794" s="116">
        <v>4388</v>
      </c>
      <c r="P2794" s="116">
        <v>4490</v>
      </c>
      <c r="Q2794" s="116">
        <v>4434.3999999999996</v>
      </c>
      <c r="R2794">
        <v>203424</v>
      </c>
    </row>
    <row r="2795" spans="1:18" x14ac:dyDescent="0.25">
      <c r="A2795" s="170">
        <v>46121</v>
      </c>
      <c r="B2795">
        <v>4470.8999999999996</v>
      </c>
      <c r="C2795">
        <v>4454.1000000000004</v>
      </c>
      <c r="D2795">
        <v>4360</v>
      </c>
      <c r="E2795">
        <v>4460</v>
      </c>
      <c r="F2795">
        <v>4454.1000000000004</v>
      </c>
      <c r="G2795">
        <v>7857</v>
      </c>
      <c r="H2795" s="116"/>
      <c r="I2795" s="116"/>
      <c r="L2795" s="170">
        <v>46121</v>
      </c>
      <c r="M2795" s="116">
        <v>4452</v>
      </c>
      <c r="N2795" s="116">
        <v>4475</v>
      </c>
      <c r="O2795" s="116">
        <v>4360</v>
      </c>
      <c r="P2795" s="116">
        <v>4448.8999999999996</v>
      </c>
      <c r="Q2795" s="116">
        <v>4452</v>
      </c>
      <c r="R2795">
        <v>197459</v>
      </c>
    </row>
    <row r="2796" spans="1:18" x14ac:dyDescent="0.25">
      <c r="A2796" s="170">
        <v>46122</v>
      </c>
      <c r="B2796">
        <v>4474.8999999999996</v>
      </c>
      <c r="C2796">
        <v>4444.55</v>
      </c>
      <c r="D2796">
        <v>4375.6000000000004</v>
      </c>
      <c r="E2796">
        <v>4455.45</v>
      </c>
      <c r="F2796">
        <v>4444.55</v>
      </c>
      <c r="G2796">
        <v>14781</v>
      </c>
      <c r="H2796" s="116"/>
      <c r="I2796" s="116"/>
      <c r="L2796" s="170">
        <v>46122</v>
      </c>
      <c r="M2796" s="116">
        <v>4445.3</v>
      </c>
      <c r="N2796" s="116">
        <v>4490</v>
      </c>
      <c r="O2796" s="116">
        <v>4375</v>
      </c>
      <c r="P2796" s="116">
        <v>4490</v>
      </c>
      <c r="Q2796" s="116">
        <v>4445.3</v>
      </c>
      <c r="R2796">
        <v>200289</v>
      </c>
    </row>
    <row r="2797" spans="1:18" x14ac:dyDescent="0.25">
      <c r="A2797" s="170">
        <v>46125</v>
      </c>
      <c r="B2797">
        <v>4429.6499999999996</v>
      </c>
      <c r="C2797">
        <v>4411.2</v>
      </c>
      <c r="D2797">
        <v>4336.3</v>
      </c>
      <c r="E2797">
        <v>4394.3999999999996</v>
      </c>
      <c r="F2797">
        <v>4411.2</v>
      </c>
      <c r="G2797">
        <v>6278</v>
      </c>
      <c r="H2797" s="116"/>
      <c r="I2797" s="116"/>
      <c r="L2797" s="170">
        <v>46125</v>
      </c>
      <c r="M2797" s="116">
        <v>4411.3999999999996</v>
      </c>
      <c r="N2797" s="116">
        <v>4429.5</v>
      </c>
      <c r="O2797" s="116">
        <v>4335</v>
      </c>
      <c r="P2797" s="116">
        <v>4380</v>
      </c>
      <c r="Q2797" s="116">
        <v>4411.3999999999996</v>
      </c>
      <c r="R2797">
        <v>126520</v>
      </c>
    </row>
    <row r="2798" spans="1:18" x14ac:dyDescent="0.25">
      <c r="A2798" s="170">
        <v>46127</v>
      </c>
      <c r="B2798">
        <v>4560</v>
      </c>
      <c r="C2798">
        <v>4540.8500000000004</v>
      </c>
      <c r="D2798">
        <v>4433.95</v>
      </c>
      <c r="E2798">
        <v>4499.2</v>
      </c>
      <c r="F2798">
        <v>4540.8500000000004</v>
      </c>
      <c r="G2798">
        <v>10693</v>
      </c>
      <c r="H2798" s="116"/>
      <c r="I2798" s="116"/>
      <c r="L2798" s="170">
        <v>46127</v>
      </c>
      <c r="M2798" s="116">
        <v>4540.6000000000004</v>
      </c>
      <c r="N2798" s="116">
        <v>4560</v>
      </c>
      <c r="O2798" s="116">
        <v>4436</v>
      </c>
      <c r="P2798" s="116">
        <v>4455</v>
      </c>
      <c r="Q2798" s="116">
        <v>4540.6000000000004</v>
      </c>
      <c r="R2798">
        <v>236100</v>
      </c>
    </row>
    <row r="2799" spans="1:18" x14ac:dyDescent="0.25">
      <c r="A2799" s="170">
        <v>46128</v>
      </c>
      <c r="B2799">
        <v>4635</v>
      </c>
      <c r="C2799">
        <v>4593.8999999999996</v>
      </c>
      <c r="D2799">
        <v>4512</v>
      </c>
      <c r="E2799">
        <v>4590</v>
      </c>
      <c r="F2799">
        <v>4593.8999999999996</v>
      </c>
      <c r="G2799">
        <v>20510</v>
      </c>
      <c r="H2799" s="116"/>
      <c r="I2799" s="116"/>
      <c r="L2799" s="170">
        <v>46128</v>
      </c>
      <c r="M2799" s="116">
        <v>4593.6000000000004</v>
      </c>
      <c r="N2799" s="116">
        <v>4639.6000000000004</v>
      </c>
      <c r="O2799" s="116">
        <v>4511.1000000000004</v>
      </c>
      <c r="P2799" s="116">
        <v>4590.2</v>
      </c>
      <c r="Q2799" s="116">
        <v>4593.6000000000004</v>
      </c>
      <c r="R2799">
        <v>304117</v>
      </c>
    </row>
    <row r="2800" spans="1:18" x14ac:dyDescent="0.25">
      <c r="A2800" s="170">
        <v>46129</v>
      </c>
      <c r="B2800">
        <v>4750</v>
      </c>
      <c r="C2800">
        <v>4591.55</v>
      </c>
      <c r="D2800">
        <v>4565.3999999999996</v>
      </c>
      <c r="E2800">
        <v>4593.6000000000004</v>
      </c>
      <c r="F2800">
        <v>4591.55</v>
      </c>
      <c r="G2800">
        <v>30052</v>
      </c>
      <c r="H2800" s="116"/>
      <c r="I2800" s="116"/>
      <c r="L2800" s="170">
        <v>46129</v>
      </c>
      <c r="M2800" s="116">
        <v>4592.5</v>
      </c>
      <c r="N2800" s="116">
        <v>4753.6000000000004</v>
      </c>
      <c r="O2800" s="116">
        <v>4567.6000000000004</v>
      </c>
      <c r="P2800" s="116">
        <v>4592</v>
      </c>
      <c r="Q2800" s="116">
        <v>4592.5</v>
      </c>
      <c r="R2800">
        <v>366696</v>
      </c>
    </row>
    <row r="2801" spans="1:18" x14ac:dyDescent="0.25">
      <c r="A2801" s="170">
        <v>46132</v>
      </c>
      <c r="B2801">
        <v>4594.95</v>
      </c>
      <c r="C2801">
        <v>4512.1499999999996</v>
      </c>
      <c r="D2801">
        <v>4488</v>
      </c>
      <c r="E2801">
        <v>4594.95</v>
      </c>
      <c r="F2801">
        <v>4512.1499999999996</v>
      </c>
      <c r="G2801">
        <v>11040</v>
      </c>
      <c r="H2801" s="116"/>
      <c r="I2801" s="116"/>
      <c r="L2801" s="170">
        <v>46132</v>
      </c>
      <c r="M2801" s="116">
        <v>4516.6000000000004</v>
      </c>
      <c r="N2801" s="116">
        <v>4589.8</v>
      </c>
      <c r="O2801" s="116">
        <v>4485.1000000000004</v>
      </c>
      <c r="P2801" s="116">
        <v>4582.3</v>
      </c>
      <c r="Q2801" s="116">
        <v>4516.6000000000004</v>
      </c>
      <c r="R2801">
        <v>250514</v>
      </c>
    </row>
    <row r="2802" spans="1:18" x14ac:dyDescent="0.25">
      <c r="A2802" s="170">
        <v>46133</v>
      </c>
      <c r="B2802">
        <v>4666.8999999999996</v>
      </c>
      <c r="C2802">
        <v>4650.3</v>
      </c>
      <c r="D2802">
        <v>4518</v>
      </c>
      <c r="E2802">
        <v>4532.55</v>
      </c>
      <c r="F2802">
        <v>4650.3</v>
      </c>
      <c r="G2802">
        <v>12197</v>
      </c>
      <c r="H2802" s="116"/>
      <c r="I2802" s="116"/>
      <c r="L2802" s="170">
        <v>46133</v>
      </c>
      <c r="M2802" s="116">
        <v>4650.7</v>
      </c>
      <c r="N2802" s="116">
        <v>4670</v>
      </c>
      <c r="O2802" s="116">
        <v>4516.6000000000004</v>
      </c>
      <c r="P2802" s="116">
        <v>4517.1000000000004</v>
      </c>
      <c r="Q2802" s="116">
        <v>4650.7</v>
      </c>
      <c r="R2802">
        <v>349882</v>
      </c>
    </row>
    <row r="2803" spans="1:18" x14ac:dyDescent="0.25">
      <c r="A2803" s="170">
        <v>46134</v>
      </c>
      <c r="B2803">
        <v>4639.8999999999996</v>
      </c>
      <c r="C2803">
        <v>4362.6499999999996</v>
      </c>
      <c r="D2803">
        <v>4350.8999999999996</v>
      </c>
      <c r="E2803">
        <v>4639.8999999999996</v>
      </c>
      <c r="F2803">
        <v>4362.6499999999996</v>
      </c>
      <c r="G2803">
        <v>80756</v>
      </c>
      <c r="H2803" s="116"/>
      <c r="I2803" s="116"/>
      <c r="L2803" s="170">
        <v>46134</v>
      </c>
      <c r="M2803" s="116">
        <v>4362.5</v>
      </c>
      <c r="N2803" s="116">
        <v>4589.6000000000004</v>
      </c>
      <c r="O2803" s="116">
        <v>4350</v>
      </c>
      <c r="P2803" s="116">
        <v>4589.6000000000004</v>
      </c>
      <c r="Q2803" s="116">
        <v>4362.5</v>
      </c>
      <c r="R2803">
        <v>1796463</v>
      </c>
    </row>
    <row r="2804" spans="1:18" x14ac:dyDescent="0.25">
      <c r="A2804" s="170">
        <v>46135</v>
      </c>
      <c r="B2804">
        <v>4380</v>
      </c>
      <c r="C2804">
        <v>4235.25</v>
      </c>
      <c r="D2804">
        <v>4213</v>
      </c>
      <c r="E2804">
        <v>4350.05</v>
      </c>
      <c r="F2804">
        <v>4235.25</v>
      </c>
      <c r="G2804">
        <v>48949</v>
      </c>
      <c r="H2804" s="116"/>
      <c r="I2804" s="116"/>
      <c r="L2804" s="170">
        <v>46135</v>
      </c>
      <c r="M2804" s="116">
        <v>4233.5</v>
      </c>
      <c r="N2804" s="116">
        <v>4381</v>
      </c>
      <c r="O2804" s="116">
        <v>4211</v>
      </c>
      <c r="P2804" s="116">
        <v>4355</v>
      </c>
      <c r="Q2804" s="116">
        <v>4233.5</v>
      </c>
      <c r="R2804">
        <v>655925</v>
      </c>
    </row>
    <row r="2805" spans="1:18" x14ac:dyDescent="0.25">
      <c r="A2805" s="170">
        <v>46136</v>
      </c>
      <c r="B2805">
        <v>4296.55</v>
      </c>
      <c r="C2805">
        <v>4196.5</v>
      </c>
      <c r="D2805">
        <v>4159.05</v>
      </c>
      <c r="E2805">
        <v>4207.1499999999996</v>
      </c>
      <c r="F2805">
        <v>4196.5</v>
      </c>
      <c r="G2805">
        <v>39969</v>
      </c>
      <c r="H2805" s="116"/>
      <c r="I2805" s="116"/>
      <c r="L2805" s="170">
        <v>46136</v>
      </c>
      <c r="M2805" s="116">
        <v>4193</v>
      </c>
      <c r="N2805" s="116">
        <v>4298.3</v>
      </c>
      <c r="O2805" s="116">
        <v>4157.7</v>
      </c>
      <c r="P2805" s="116">
        <v>4233.5</v>
      </c>
      <c r="Q2805" s="116">
        <v>4193</v>
      </c>
      <c r="R2805">
        <v>412945</v>
      </c>
    </row>
    <row r="2806" spans="1:18" x14ac:dyDescent="0.25">
      <c r="A2806" s="170">
        <v>46139</v>
      </c>
      <c r="B2806">
        <v>4282</v>
      </c>
      <c r="C2806">
        <v>4188.45</v>
      </c>
      <c r="D2806">
        <v>4181</v>
      </c>
      <c r="E2806">
        <v>4197.3500000000004</v>
      </c>
      <c r="F2806">
        <v>4188.45</v>
      </c>
      <c r="G2806">
        <v>32839</v>
      </c>
      <c r="H2806" s="116"/>
      <c r="I2806" s="116"/>
      <c r="L2806" s="170">
        <v>46139</v>
      </c>
      <c r="M2806" s="116">
        <v>4188.7</v>
      </c>
      <c r="N2806" s="116">
        <v>4283.3999999999996</v>
      </c>
      <c r="O2806" s="116">
        <v>4180</v>
      </c>
      <c r="P2806" s="116">
        <v>4204.8999999999996</v>
      </c>
      <c r="Q2806" s="116">
        <v>4188.7</v>
      </c>
      <c r="R2806">
        <v>632056</v>
      </c>
    </row>
    <row r="2807" spans="1:18" x14ac:dyDescent="0.25">
      <c r="A2807" s="170">
        <v>46140</v>
      </c>
      <c r="B2807">
        <v>4242.8500000000004</v>
      </c>
      <c r="C2807">
        <v>4130.3500000000004</v>
      </c>
      <c r="D2807">
        <v>4105.75</v>
      </c>
      <c r="E2807">
        <v>4242.8500000000004</v>
      </c>
      <c r="F2807">
        <v>4130.3500000000004</v>
      </c>
      <c r="G2807">
        <v>26366</v>
      </c>
      <c r="H2807" s="116"/>
      <c r="I2807" s="116"/>
      <c r="L2807" s="170">
        <v>46140</v>
      </c>
      <c r="M2807" s="116">
        <v>4131.6000000000004</v>
      </c>
      <c r="N2807" s="116">
        <v>4208.3999999999996</v>
      </c>
      <c r="O2807" s="116">
        <v>4105.5</v>
      </c>
      <c r="P2807" s="116">
        <v>4188.7</v>
      </c>
      <c r="Q2807" s="116">
        <v>4131.6000000000004</v>
      </c>
      <c r="R2807">
        <v>329648</v>
      </c>
    </row>
    <row r="2808" spans="1:18" x14ac:dyDescent="0.25">
      <c r="A2808" s="170">
        <v>46141</v>
      </c>
      <c r="B2808">
        <v>4200.75</v>
      </c>
      <c r="C2808">
        <v>4146.05</v>
      </c>
      <c r="D2808">
        <v>4138.25</v>
      </c>
      <c r="E2808">
        <v>4149.95</v>
      </c>
      <c r="F2808">
        <v>4146.05</v>
      </c>
      <c r="G2808">
        <v>8485</v>
      </c>
      <c r="H2808" s="116"/>
      <c r="I2808" s="116"/>
      <c r="L2808" s="170">
        <v>46141</v>
      </c>
      <c r="M2808" s="116">
        <v>4148.3999999999996</v>
      </c>
      <c r="N2808" s="116">
        <v>4199.3</v>
      </c>
      <c r="O2808" s="116">
        <v>4137</v>
      </c>
      <c r="P2808" s="116">
        <v>4141</v>
      </c>
      <c r="Q2808" s="116">
        <v>4148.3999999999996</v>
      </c>
      <c r="R2808">
        <v>282871</v>
      </c>
    </row>
    <row r="2809" spans="1:18" x14ac:dyDescent="0.25">
      <c r="A2809" s="170">
        <v>46142</v>
      </c>
      <c r="B2809">
        <v>4170.75</v>
      </c>
      <c r="C2809">
        <v>4132.8</v>
      </c>
      <c r="D2809">
        <v>4096.05</v>
      </c>
      <c r="E2809">
        <v>4158.3500000000004</v>
      </c>
      <c r="F2809">
        <v>4132.8</v>
      </c>
      <c r="G2809">
        <v>13653</v>
      </c>
      <c r="H2809" s="116"/>
      <c r="I2809" s="116"/>
      <c r="L2809" s="170">
        <v>46142</v>
      </c>
      <c r="M2809" s="116">
        <v>4129.8999999999996</v>
      </c>
      <c r="N2809" s="116">
        <v>4171.3999999999996</v>
      </c>
      <c r="O2809" s="116">
        <v>4090</v>
      </c>
      <c r="P2809" s="116">
        <v>4148.3999999999996</v>
      </c>
      <c r="Q2809" s="116">
        <v>4129.8999999999996</v>
      </c>
      <c r="R2809">
        <v>267038</v>
      </c>
    </row>
    <row r="2810" spans="1:18" x14ac:dyDescent="0.25">
      <c r="A2810" s="170">
        <v>46146</v>
      </c>
      <c r="B2810">
        <v>4187</v>
      </c>
      <c r="C2810">
        <v>4178.95</v>
      </c>
      <c r="D2810">
        <v>4128.05</v>
      </c>
      <c r="E2810">
        <v>4140.2</v>
      </c>
      <c r="F2810">
        <v>4178.95</v>
      </c>
      <c r="G2810">
        <v>18331</v>
      </c>
      <c r="H2810" s="116"/>
      <c r="I2810" s="116"/>
      <c r="L2810" s="170">
        <v>46146</v>
      </c>
      <c r="M2810" s="116">
        <v>4178.7</v>
      </c>
      <c r="N2810" s="116">
        <v>4190</v>
      </c>
      <c r="O2810" s="116">
        <v>4127.3</v>
      </c>
      <c r="P2810" s="116">
        <v>4150</v>
      </c>
      <c r="Q2810" s="116">
        <v>4178.7</v>
      </c>
      <c r="R2810">
        <v>187805</v>
      </c>
    </row>
    <row r="2811" spans="1:18" x14ac:dyDescent="0.25">
      <c r="A2811" s="170">
        <v>46147</v>
      </c>
      <c r="B2811">
        <v>4225</v>
      </c>
      <c r="C2811">
        <v>4217.55</v>
      </c>
      <c r="D2811">
        <v>4146.3</v>
      </c>
      <c r="E2811">
        <v>4146.3</v>
      </c>
      <c r="F2811">
        <v>4217.55</v>
      </c>
      <c r="G2811">
        <v>17348</v>
      </c>
      <c r="H2811" s="116"/>
      <c r="I2811" s="116"/>
      <c r="L2811" s="170">
        <v>46147</v>
      </c>
      <c r="M2811" s="116">
        <v>4219.3999999999996</v>
      </c>
      <c r="N2811" s="116">
        <v>4227.5</v>
      </c>
      <c r="O2811" s="116">
        <v>4151</v>
      </c>
      <c r="P2811" s="116">
        <v>4171.8999999999996</v>
      </c>
      <c r="Q2811" s="116">
        <v>4219.3999999999996</v>
      </c>
      <c r="R2811">
        <v>176943</v>
      </c>
    </row>
    <row r="2812" spans="1:18" x14ac:dyDescent="0.25">
      <c r="A2812" s="170">
        <v>46148</v>
      </c>
      <c r="B2812">
        <v>4315.5</v>
      </c>
      <c r="C2812">
        <v>4281.45</v>
      </c>
      <c r="D2812">
        <v>4220.25</v>
      </c>
      <c r="E2812">
        <v>4220.25</v>
      </c>
      <c r="F2812">
        <v>4281.45</v>
      </c>
      <c r="G2812">
        <v>13980</v>
      </c>
      <c r="H2812" s="116"/>
      <c r="I2812" s="116"/>
      <c r="L2812" s="170">
        <v>46148</v>
      </c>
      <c r="M2812" s="116">
        <v>4281.3</v>
      </c>
      <c r="N2812" s="116">
        <v>4318</v>
      </c>
      <c r="O2812" s="116">
        <v>4240.2</v>
      </c>
      <c r="P2812" s="116">
        <v>4248.5</v>
      </c>
      <c r="Q2812" s="116">
        <v>4281.3</v>
      </c>
      <c r="R2812">
        <v>287870</v>
      </c>
    </row>
    <row r="2813" spans="1:18" x14ac:dyDescent="0.25">
      <c r="A2813" s="170">
        <v>46149</v>
      </c>
      <c r="B2813">
        <v>4330</v>
      </c>
      <c r="C2813">
        <v>4295.3500000000004</v>
      </c>
      <c r="D2813">
        <v>4264.8999999999996</v>
      </c>
      <c r="E2813">
        <v>4283.3999999999996</v>
      </c>
      <c r="F2813">
        <v>4295.3500000000004</v>
      </c>
      <c r="G2813">
        <v>17360</v>
      </c>
      <c r="H2813" s="116"/>
      <c r="I2813" s="116"/>
      <c r="L2813" s="170">
        <v>46149</v>
      </c>
      <c r="M2813" s="116">
        <v>4297.3999999999996</v>
      </c>
      <c r="N2813" s="116">
        <v>4328.7</v>
      </c>
      <c r="O2813" s="116">
        <v>4265</v>
      </c>
      <c r="P2813" s="116">
        <v>4305</v>
      </c>
      <c r="Q2813" s="116">
        <v>4297.3999999999996</v>
      </c>
      <c r="R2813">
        <v>182289</v>
      </c>
    </row>
    <row r="2814" spans="1:18" x14ac:dyDescent="0.25">
      <c r="A2814" s="170">
        <v>46150</v>
      </c>
      <c r="B2814">
        <v>4347</v>
      </c>
      <c r="C2814">
        <v>4319.8500000000004</v>
      </c>
      <c r="D2814">
        <v>4270</v>
      </c>
      <c r="E2814">
        <v>4291.05</v>
      </c>
      <c r="F2814">
        <v>4319.8500000000004</v>
      </c>
      <c r="G2814">
        <v>9948</v>
      </c>
      <c r="H2814" s="116"/>
      <c r="I2814" s="116"/>
      <c r="L2814" s="170">
        <v>46150</v>
      </c>
      <c r="M2814" s="116">
        <v>4319.6000000000004</v>
      </c>
      <c r="N2814" s="116">
        <v>4347.3999999999996</v>
      </c>
      <c r="O2814" s="116">
        <v>4271</v>
      </c>
      <c r="P2814" s="116">
        <v>4275</v>
      </c>
      <c r="Q2814" s="116">
        <v>4319.6000000000004</v>
      </c>
      <c r="R2814">
        <v>204444</v>
      </c>
    </row>
    <row r="2815" spans="1:18" x14ac:dyDescent="0.25">
      <c r="A2815" s="170">
        <v>46153</v>
      </c>
      <c r="B2815">
        <v>4325.45</v>
      </c>
      <c r="C2815">
        <v>4243.25</v>
      </c>
      <c r="D2815">
        <v>4239.6499999999996</v>
      </c>
      <c r="E2815">
        <v>4320.1000000000004</v>
      </c>
      <c r="F2815">
        <v>4243.25</v>
      </c>
      <c r="G2815">
        <v>17275</v>
      </c>
      <c r="H2815" s="116"/>
      <c r="I2815" s="116"/>
      <c r="L2815" s="170">
        <v>46153</v>
      </c>
      <c r="M2815" s="116">
        <v>4245.1000000000004</v>
      </c>
      <c r="N2815" s="116">
        <v>4331.8999999999996</v>
      </c>
      <c r="O2815" s="116">
        <v>4240</v>
      </c>
      <c r="P2815" s="116">
        <v>4331.8999999999996</v>
      </c>
      <c r="Q2815" s="116">
        <v>4245.1000000000004</v>
      </c>
      <c r="R2815">
        <v>163877</v>
      </c>
    </row>
    <row r="2816" spans="1:18" x14ac:dyDescent="0.25">
      <c r="A2816" s="170">
        <v>46154</v>
      </c>
      <c r="B2816">
        <v>4229.8500000000004</v>
      </c>
      <c r="C2816">
        <v>4081.4</v>
      </c>
      <c r="D2816">
        <v>4076.1</v>
      </c>
      <c r="E2816">
        <v>4229.8500000000004</v>
      </c>
      <c r="F2816">
        <v>4081.4</v>
      </c>
      <c r="G2816">
        <v>13801</v>
      </c>
      <c r="H2816" s="116"/>
      <c r="I2816" s="116"/>
      <c r="L2816" s="170">
        <v>46154</v>
      </c>
      <c r="M2816" s="116">
        <v>4082.2</v>
      </c>
      <c r="N2816" s="116">
        <v>4223.8999999999996</v>
      </c>
      <c r="O2816" s="116">
        <v>4075.1</v>
      </c>
      <c r="P2816" s="116">
        <v>4219.8999999999996</v>
      </c>
      <c r="Q2816" s="116">
        <v>4082.2</v>
      </c>
      <c r="R2816">
        <v>305282</v>
      </c>
    </row>
    <row r="2817" spans="1:18" x14ac:dyDescent="0.25">
      <c r="A2817" s="170">
        <v>46155</v>
      </c>
      <c r="B2817">
        <v>4089.25</v>
      </c>
      <c r="C2817">
        <v>4033.95</v>
      </c>
      <c r="D2817">
        <v>4020.5</v>
      </c>
      <c r="E2817">
        <v>4070.4</v>
      </c>
      <c r="F2817">
        <v>4033.95</v>
      </c>
      <c r="G2817">
        <v>9292</v>
      </c>
      <c r="H2817" s="116"/>
      <c r="I2817" s="116"/>
      <c r="L2817" s="170">
        <v>46155</v>
      </c>
      <c r="M2817" s="116">
        <v>4034.2</v>
      </c>
      <c r="N2817" s="116">
        <v>4094</v>
      </c>
      <c r="O2817" s="116">
        <v>4019.8</v>
      </c>
      <c r="P2817" s="116">
        <v>4082.2</v>
      </c>
      <c r="Q2817" s="116">
        <v>4034.2</v>
      </c>
      <c r="R2817">
        <v>207466</v>
      </c>
    </row>
    <row r="2818" spans="1:18" x14ac:dyDescent="0.25">
      <c r="A2818" s="170">
        <v>46156</v>
      </c>
      <c r="B2818">
        <v>4055</v>
      </c>
      <c r="C2818">
        <v>4023.6</v>
      </c>
      <c r="D2818">
        <v>3945</v>
      </c>
      <c r="E2818">
        <v>4050</v>
      </c>
      <c r="F2818">
        <v>4023.6</v>
      </c>
      <c r="G2818">
        <v>13722</v>
      </c>
      <c r="H2818" s="116"/>
      <c r="I2818" s="116"/>
      <c r="L2818" s="170">
        <v>46156</v>
      </c>
      <c r="M2818" s="116">
        <v>4025.6</v>
      </c>
      <c r="N2818" s="116">
        <v>4056</v>
      </c>
      <c r="O2818" s="116">
        <v>3945</v>
      </c>
      <c r="P2818" s="116">
        <v>4050</v>
      </c>
      <c r="Q2818" s="116">
        <v>4025.6</v>
      </c>
      <c r="R2818">
        <v>278082</v>
      </c>
    </row>
    <row r="2819" spans="1:18" x14ac:dyDescent="0.25">
      <c r="A2819" s="170">
        <v>46157</v>
      </c>
      <c r="B2819">
        <v>4141.8</v>
      </c>
      <c r="C2819">
        <v>4123.6499999999996</v>
      </c>
      <c r="D2819">
        <v>4023.5</v>
      </c>
      <c r="E2819">
        <v>4025.1</v>
      </c>
      <c r="F2819">
        <v>4123.6499999999996</v>
      </c>
      <c r="G2819">
        <v>13914</v>
      </c>
      <c r="H2819" s="116"/>
      <c r="I2819" s="116"/>
      <c r="L2819" s="170">
        <v>46157</v>
      </c>
      <c r="M2819" s="116">
        <v>4125.6000000000004</v>
      </c>
      <c r="N2819" s="116">
        <v>4140.5</v>
      </c>
      <c r="O2819" s="116">
        <v>4012.1</v>
      </c>
      <c r="P2819" s="116">
        <v>4030</v>
      </c>
      <c r="Q2819" s="116">
        <v>4125.6000000000004</v>
      </c>
      <c r="R2819">
        <v>279144</v>
      </c>
    </row>
    <row r="2820" spans="1:18" x14ac:dyDescent="0.25">
      <c r="A2820" s="170">
        <v>46160</v>
      </c>
      <c r="B2820">
        <v>4160</v>
      </c>
      <c r="C2820">
        <v>4154.95</v>
      </c>
      <c r="D2820">
        <v>4040</v>
      </c>
      <c r="E2820">
        <v>4144</v>
      </c>
      <c r="F2820">
        <v>4154.95</v>
      </c>
      <c r="G2820">
        <v>11408</v>
      </c>
      <c r="H2820" s="116"/>
      <c r="I2820" s="116"/>
      <c r="L2820" s="170">
        <v>46160</v>
      </c>
      <c r="M2820" s="116">
        <v>4154.6000000000004</v>
      </c>
      <c r="N2820" s="116">
        <v>4160</v>
      </c>
      <c r="O2820" s="116">
        <v>4037.4</v>
      </c>
      <c r="P2820" s="116">
        <v>4126.1000000000004</v>
      </c>
      <c r="Q2820" s="116">
        <v>4154.6000000000004</v>
      </c>
      <c r="R2820">
        <v>230350</v>
      </c>
    </row>
    <row r="2821" spans="1:18" x14ac:dyDescent="0.25">
      <c r="A2821" s="170">
        <v>46161</v>
      </c>
      <c r="B2821">
        <v>4275.05</v>
      </c>
      <c r="C2821">
        <v>4184.6499999999996</v>
      </c>
      <c r="D2821">
        <v>4167.45</v>
      </c>
      <c r="E2821">
        <v>4173.75</v>
      </c>
      <c r="F2821">
        <v>4184.6499999999996</v>
      </c>
      <c r="G2821">
        <v>19437</v>
      </c>
      <c r="H2821" s="116"/>
      <c r="I2821" s="116"/>
      <c r="L2821" s="170">
        <v>46161</v>
      </c>
      <c r="M2821" s="116">
        <v>4186.1000000000004</v>
      </c>
      <c r="N2821" s="116">
        <v>4276.5</v>
      </c>
      <c r="O2821" s="116">
        <v>4175</v>
      </c>
      <c r="P2821" s="116">
        <v>4175</v>
      </c>
      <c r="Q2821" s="116">
        <v>4186.1000000000004</v>
      </c>
      <c r="R2821">
        <v>318470</v>
      </c>
    </row>
    <row r="2822" spans="1:18" x14ac:dyDescent="0.25">
      <c r="A2822" s="170">
        <v>46162</v>
      </c>
      <c r="B2822">
        <v>4212.7</v>
      </c>
      <c r="C2822">
        <v>4169.2</v>
      </c>
      <c r="D2822">
        <v>4140</v>
      </c>
      <c r="E2822">
        <v>4182.5</v>
      </c>
      <c r="F2822">
        <v>4169.2</v>
      </c>
      <c r="G2822">
        <v>6619</v>
      </c>
      <c r="H2822" s="116"/>
      <c r="I2822" s="116"/>
      <c r="L2822" s="170">
        <v>46162</v>
      </c>
      <c r="M2822" s="116">
        <v>4175.1000000000004</v>
      </c>
      <c r="N2822" s="116">
        <v>4219.8999999999996</v>
      </c>
      <c r="O2822" s="116">
        <v>4138.2</v>
      </c>
      <c r="P2822" s="116">
        <v>4180</v>
      </c>
      <c r="Q2822" s="116">
        <v>4175.1000000000004</v>
      </c>
      <c r="R2822">
        <v>173872</v>
      </c>
    </row>
    <row r="2823" spans="1:18" x14ac:dyDescent="0.25">
      <c r="A2823" s="170">
        <v>46163</v>
      </c>
      <c r="B2823">
        <v>4249.8</v>
      </c>
      <c r="C2823">
        <v>4213.8999999999996</v>
      </c>
      <c r="D2823">
        <v>4183</v>
      </c>
      <c r="E2823">
        <v>4249.8</v>
      </c>
      <c r="F2823">
        <v>4213.8999999999996</v>
      </c>
      <c r="G2823">
        <v>5823</v>
      </c>
      <c r="H2823" s="116"/>
      <c r="I2823" s="116"/>
      <c r="L2823" s="170">
        <v>46163</v>
      </c>
      <c r="M2823" s="116">
        <v>4217.7</v>
      </c>
      <c r="N2823" s="116">
        <v>4236.1000000000004</v>
      </c>
      <c r="O2823" s="116">
        <v>4182.6000000000004</v>
      </c>
      <c r="P2823" s="116">
        <v>4214.8999999999996</v>
      </c>
      <c r="Q2823" s="116">
        <v>4217.7</v>
      </c>
      <c r="R2823">
        <v>140584</v>
      </c>
    </row>
    <row r="2824" spans="1:18" x14ac:dyDescent="0.25">
      <c r="A2824" s="170">
        <v>46164</v>
      </c>
      <c r="B2824">
        <v>4315.25</v>
      </c>
      <c r="C2824">
        <v>4309.45</v>
      </c>
      <c r="D2824">
        <v>4176.7</v>
      </c>
      <c r="E2824">
        <v>4243.6499999999996</v>
      </c>
      <c r="F2824">
        <v>4309.45</v>
      </c>
      <c r="G2824">
        <v>8674</v>
      </c>
      <c r="H2824" s="116"/>
      <c r="I2824" s="116"/>
      <c r="L2824" s="170">
        <v>46164</v>
      </c>
      <c r="M2824" s="116">
        <v>4311.1000000000004</v>
      </c>
      <c r="N2824" s="116">
        <v>4320</v>
      </c>
      <c r="O2824" s="116">
        <v>4177.3</v>
      </c>
      <c r="P2824" s="116">
        <v>4220</v>
      </c>
      <c r="Q2824" s="116">
        <v>4311.1000000000004</v>
      </c>
      <c r="R2824">
        <v>273949</v>
      </c>
    </row>
    <row r="2825" spans="1:18" x14ac:dyDescent="0.25">
      <c r="A2825" s="170">
        <v>46167</v>
      </c>
      <c r="B2825">
        <v>4394</v>
      </c>
      <c r="C2825">
        <v>4326.55</v>
      </c>
      <c r="D2825">
        <v>4300.6499999999996</v>
      </c>
      <c r="E2825">
        <v>4361.8</v>
      </c>
      <c r="F2825">
        <v>4326.55</v>
      </c>
      <c r="G2825">
        <v>14766</v>
      </c>
      <c r="H2825" s="116"/>
      <c r="I2825" s="116"/>
      <c r="L2825" s="170">
        <v>46167</v>
      </c>
      <c r="M2825" s="116">
        <v>4327.2</v>
      </c>
      <c r="N2825" s="116">
        <v>4394</v>
      </c>
      <c r="O2825" s="116">
        <v>4300</v>
      </c>
      <c r="P2825" s="116">
        <v>4355.1000000000004</v>
      </c>
      <c r="Q2825" s="116">
        <v>4327.2</v>
      </c>
      <c r="R2825">
        <v>287410</v>
      </c>
    </row>
    <row r="2826" spans="1:18" x14ac:dyDescent="0.25">
      <c r="A2826" s="170">
        <v>46168</v>
      </c>
      <c r="B2826">
        <v>4354.5</v>
      </c>
      <c r="C2826">
        <v>4336</v>
      </c>
      <c r="D2826">
        <v>4309.95</v>
      </c>
      <c r="E2826">
        <v>4309.95</v>
      </c>
      <c r="F2826">
        <v>4336</v>
      </c>
      <c r="G2826">
        <v>6733</v>
      </c>
      <c r="H2826" s="116"/>
      <c r="I2826" s="116"/>
      <c r="L2826" s="170">
        <v>46168</v>
      </c>
      <c r="M2826" s="116">
        <v>4335.6000000000004</v>
      </c>
      <c r="N2826" s="116">
        <v>4353</v>
      </c>
      <c r="O2826" s="116">
        <v>4310</v>
      </c>
      <c r="P2826" s="116">
        <v>4310.2</v>
      </c>
      <c r="Q2826" s="116">
        <v>4335.6000000000004</v>
      </c>
      <c r="R2826">
        <v>191626</v>
      </c>
    </row>
    <row r="2827" spans="1:18" x14ac:dyDescent="0.25">
      <c r="A2827" s="170">
        <v>46169</v>
      </c>
      <c r="B2827">
        <v>4372.45</v>
      </c>
      <c r="C2827">
        <v>4330.8999999999996</v>
      </c>
      <c r="D2827">
        <v>4321</v>
      </c>
      <c r="E2827">
        <v>4341.45</v>
      </c>
      <c r="F2827">
        <v>4330.8999999999996</v>
      </c>
      <c r="G2827">
        <v>13348</v>
      </c>
      <c r="H2827" s="116"/>
      <c r="I2827" s="116"/>
      <c r="L2827" s="170">
        <v>46169</v>
      </c>
      <c r="M2827" s="116">
        <v>4331.2</v>
      </c>
      <c r="N2827" s="116">
        <v>4369.8999999999996</v>
      </c>
      <c r="O2827" s="116">
        <v>4321</v>
      </c>
      <c r="P2827" s="116">
        <v>4345</v>
      </c>
      <c r="Q2827" s="116">
        <v>4331.2</v>
      </c>
      <c r="R2827">
        <v>172636</v>
      </c>
    </row>
    <row r="2828" spans="1:18" x14ac:dyDescent="0.25">
      <c r="A2828" s="170">
        <v>46171</v>
      </c>
      <c r="B2828">
        <v>4425</v>
      </c>
      <c r="C2828">
        <v>4286.3</v>
      </c>
      <c r="D2828">
        <v>4265.1499999999996</v>
      </c>
      <c r="E2828">
        <v>4399.1499999999996</v>
      </c>
      <c r="F2828">
        <v>4286.3</v>
      </c>
      <c r="G2828">
        <v>11966</v>
      </c>
      <c r="H2828" s="116"/>
      <c r="I2828" s="116"/>
      <c r="L2828" s="170">
        <v>46171</v>
      </c>
      <c r="M2828" s="116">
        <v>4285.3999999999996</v>
      </c>
      <c r="N2828" s="116">
        <v>4424.6000000000004</v>
      </c>
      <c r="O2828" s="116">
        <v>4265</v>
      </c>
      <c r="P2828" s="116">
        <v>4370</v>
      </c>
      <c r="Q2828" s="116">
        <v>4285.3999999999996</v>
      </c>
      <c r="R2828">
        <v>290950</v>
      </c>
    </row>
    <row r="2829" spans="1:18" x14ac:dyDescent="0.25">
      <c r="A2829" s="170">
        <v>46174</v>
      </c>
      <c r="B2829">
        <v>4385.95</v>
      </c>
      <c r="C2829">
        <v>4302.05</v>
      </c>
      <c r="D2829">
        <v>4290</v>
      </c>
      <c r="E2829">
        <v>4342.6000000000004</v>
      </c>
      <c r="F2829">
        <v>4302.05</v>
      </c>
      <c r="G2829">
        <v>23171</v>
      </c>
      <c r="H2829" s="116"/>
      <c r="I2829" s="116"/>
      <c r="L2829" s="170">
        <v>46174</v>
      </c>
      <c r="M2829" s="116">
        <v>4302.8999999999996</v>
      </c>
      <c r="N2829" s="116">
        <v>4380</v>
      </c>
      <c r="O2829" s="116">
        <v>4290.6000000000004</v>
      </c>
      <c r="P2829" s="116">
        <v>4306.8999999999996</v>
      </c>
      <c r="Q2829" s="116">
        <v>4302.8999999999996</v>
      </c>
      <c r="R2829">
        <v>204874</v>
      </c>
    </row>
    <row r="2830" spans="1:18" x14ac:dyDescent="0.25">
      <c r="A2830" s="170">
        <v>46175</v>
      </c>
      <c r="B2830">
        <v>4541.25</v>
      </c>
      <c r="C2830">
        <v>4530.45</v>
      </c>
      <c r="D2830">
        <v>4305</v>
      </c>
      <c r="E2830">
        <v>4305</v>
      </c>
      <c r="F2830">
        <v>4530.45</v>
      </c>
      <c r="G2830">
        <v>42338</v>
      </c>
      <c r="H2830" s="116"/>
      <c r="I2830" s="116"/>
      <c r="L2830" s="170">
        <v>46175</v>
      </c>
      <c r="M2830" s="116">
        <v>4530.3</v>
      </c>
      <c r="N2830" s="116">
        <v>4542.8</v>
      </c>
      <c r="O2830" s="116">
        <v>4301</v>
      </c>
      <c r="P2830" s="116">
        <v>4301</v>
      </c>
      <c r="Q2830" s="116">
        <v>4530.3</v>
      </c>
      <c r="R2830">
        <v>940780</v>
      </c>
    </row>
    <row r="2831" spans="1:18" x14ac:dyDescent="0.25">
      <c r="A2831" s="170">
        <v>46176</v>
      </c>
      <c r="B2831">
        <v>4515.05</v>
      </c>
      <c r="C2831">
        <v>4346.3500000000004</v>
      </c>
      <c r="D2831">
        <v>4289.3999999999996</v>
      </c>
      <c r="E2831">
        <v>4515</v>
      </c>
      <c r="F2831">
        <v>4346.3500000000004</v>
      </c>
      <c r="G2831">
        <v>33571</v>
      </c>
      <c r="H2831" s="116"/>
      <c r="I2831" s="116"/>
      <c r="L2831" s="170">
        <v>46176</v>
      </c>
      <c r="M2831" s="116">
        <v>4347</v>
      </c>
      <c r="N2831" s="116">
        <v>4497.8999999999996</v>
      </c>
      <c r="O2831" s="116">
        <v>4287</v>
      </c>
      <c r="P2831" s="116">
        <v>4496.1000000000004</v>
      </c>
      <c r="Q2831" s="116">
        <v>4347</v>
      </c>
      <c r="R2831">
        <v>498745</v>
      </c>
    </row>
    <row r="2832" spans="1:18" x14ac:dyDescent="0.25">
      <c r="A2832" s="170">
        <v>46177</v>
      </c>
      <c r="B2832">
        <v>4322.1499999999996</v>
      </c>
      <c r="C2832">
        <v>4294</v>
      </c>
      <c r="D2832">
        <v>4266</v>
      </c>
      <c r="E2832">
        <v>4308.1000000000004</v>
      </c>
      <c r="F2832">
        <v>4294</v>
      </c>
      <c r="G2832">
        <v>9111</v>
      </c>
      <c r="H2832" s="116"/>
      <c r="I2832" s="116"/>
      <c r="L2832" s="170">
        <v>46177</v>
      </c>
      <c r="M2832" s="116">
        <v>4295.2</v>
      </c>
      <c r="N2832" s="116">
        <v>4322.5</v>
      </c>
      <c r="O2832" s="116">
        <v>4266.5</v>
      </c>
      <c r="P2832" s="116">
        <v>4320</v>
      </c>
      <c r="Q2832" s="116">
        <v>4295.2</v>
      </c>
      <c r="R2832">
        <v>331580</v>
      </c>
    </row>
    <row r="2833" spans="1:18" x14ac:dyDescent="0.25">
      <c r="A2833" s="170">
        <v>46178</v>
      </c>
      <c r="B2833">
        <v>4367.1000000000004</v>
      </c>
      <c r="C2833">
        <v>4299.8999999999996</v>
      </c>
      <c r="D2833">
        <v>4274</v>
      </c>
      <c r="E2833">
        <v>4344.8</v>
      </c>
      <c r="F2833">
        <v>4299.8999999999996</v>
      </c>
      <c r="G2833">
        <v>8904</v>
      </c>
      <c r="H2833" s="116"/>
      <c r="I2833" s="116"/>
      <c r="L2833" s="170">
        <v>46178</v>
      </c>
      <c r="M2833" s="116">
        <v>4301.1000000000004</v>
      </c>
      <c r="N2833" s="116">
        <v>4365</v>
      </c>
      <c r="O2833" s="116">
        <v>4272.1000000000004</v>
      </c>
      <c r="P2833" s="116">
        <v>4343</v>
      </c>
      <c r="Q2833" s="116">
        <v>4301.1000000000004</v>
      </c>
      <c r="R2833">
        <v>169218</v>
      </c>
    </row>
    <row r="2834" spans="1:18" x14ac:dyDescent="0.25">
      <c r="A2834" s="170">
        <v>46181</v>
      </c>
      <c r="B2834">
        <v>4300</v>
      </c>
      <c r="C2834">
        <v>4256.8500000000004</v>
      </c>
      <c r="D2834">
        <v>4223.5</v>
      </c>
      <c r="E2834">
        <v>4291.6000000000004</v>
      </c>
      <c r="F2834">
        <v>4256.8500000000004</v>
      </c>
      <c r="G2834">
        <v>9418</v>
      </c>
      <c r="H2834" s="116"/>
      <c r="I2834" s="116"/>
      <c r="L2834" s="170">
        <v>46181</v>
      </c>
      <c r="M2834" s="116">
        <v>4255.3999999999996</v>
      </c>
      <c r="N2834" s="116">
        <v>4301</v>
      </c>
      <c r="O2834" s="116">
        <v>4227.8</v>
      </c>
      <c r="P2834" s="116">
        <v>4266.1000000000004</v>
      </c>
      <c r="Q2834" s="116">
        <v>4255.3999999999996</v>
      </c>
      <c r="R2834">
        <v>144317</v>
      </c>
    </row>
    <row r="2835" spans="1:18" x14ac:dyDescent="0.25">
      <c r="A2835" s="170">
        <v>46182</v>
      </c>
      <c r="B2835">
        <v>4287</v>
      </c>
      <c r="C2835">
        <v>4258.3500000000004</v>
      </c>
      <c r="D2835">
        <v>4205.55</v>
      </c>
      <c r="E2835">
        <v>4286.95</v>
      </c>
      <c r="F2835">
        <v>4258.3500000000004</v>
      </c>
      <c r="G2835">
        <v>13458</v>
      </c>
      <c r="H2835" s="116"/>
      <c r="I2835" s="116"/>
      <c r="L2835" s="170">
        <v>46182</v>
      </c>
      <c r="M2835" s="116">
        <v>4257.2</v>
      </c>
      <c r="N2835" s="116">
        <v>4285.8999999999996</v>
      </c>
      <c r="O2835" s="116">
        <v>4205</v>
      </c>
      <c r="P2835" s="116">
        <v>4285</v>
      </c>
      <c r="Q2835" s="116">
        <v>4257.2</v>
      </c>
      <c r="R2835">
        <v>162583</v>
      </c>
    </row>
    <row r="2836" spans="1:18" x14ac:dyDescent="0.25">
      <c r="A2836" s="170">
        <v>46183</v>
      </c>
      <c r="B2836">
        <v>4215.75</v>
      </c>
      <c r="C2836">
        <v>4093</v>
      </c>
      <c r="D2836">
        <v>4080</v>
      </c>
      <c r="E2836">
        <v>4205</v>
      </c>
      <c r="F2836">
        <v>4093</v>
      </c>
      <c r="G2836">
        <v>25008</v>
      </c>
      <c r="H2836" s="116"/>
      <c r="I2836" s="116"/>
      <c r="L2836" s="170">
        <v>46183</v>
      </c>
      <c r="M2836" s="116">
        <v>4092.2</v>
      </c>
      <c r="N2836" s="116">
        <v>4215.3999999999996</v>
      </c>
      <c r="O2836" s="116">
        <v>4075.8</v>
      </c>
      <c r="P2836" s="116">
        <v>4205.2</v>
      </c>
      <c r="Q2836" s="116">
        <v>4092.2</v>
      </c>
      <c r="R2836">
        <v>265490</v>
      </c>
    </row>
    <row r="2837" spans="1:18" x14ac:dyDescent="0.25">
      <c r="A2837" s="170">
        <v>46184</v>
      </c>
      <c r="B2837">
        <v>4092.05</v>
      </c>
      <c r="C2837">
        <v>4008.8</v>
      </c>
      <c r="D2837">
        <v>3985</v>
      </c>
      <c r="E2837">
        <v>4092.05</v>
      </c>
      <c r="F2837">
        <v>4008.8</v>
      </c>
      <c r="G2837">
        <v>21530</v>
      </c>
      <c r="H2837" s="116"/>
      <c r="I2837" s="116"/>
      <c r="L2837" s="170">
        <v>46184</v>
      </c>
      <c r="M2837" s="116">
        <v>4009.1</v>
      </c>
      <c r="N2837" s="116">
        <v>4080</v>
      </c>
      <c r="O2837" s="116">
        <v>3981</v>
      </c>
      <c r="P2837" s="116">
        <v>4080</v>
      </c>
      <c r="Q2837" s="116">
        <v>4009.1</v>
      </c>
      <c r="R2837">
        <v>209559</v>
      </c>
    </row>
    <row r="2838" spans="1:18" x14ac:dyDescent="0.25">
      <c r="A2838" s="170">
        <v>46185</v>
      </c>
      <c r="B2838">
        <v>4074.95</v>
      </c>
      <c r="C2838">
        <v>4064.5</v>
      </c>
      <c r="D2838">
        <v>4014.85</v>
      </c>
      <c r="E2838">
        <v>4059.5</v>
      </c>
      <c r="F2838">
        <v>4064.5</v>
      </c>
      <c r="G2838">
        <v>10543</v>
      </c>
      <c r="H2838" s="116"/>
      <c r="I2838" s="116"/>
      <c r="L2838" s="170">
        <v>46185</v>
      </c>
      <c r="M2838" s="116">
        <v>4064.9</v>
      </c>
      <c r="N2838" s="116">
        <v>4075</v>
      </c>
      <c r="O2838" s="116">
        <v>4012.1</v>
      </c>
      <c r="P2838" s="116">
        <v>4050.4</v>
      </c>
      <c r="Q2838" s="116">
        <v>4064.9</v>
      </c>
      <c r="R2838">
        <v>133157</v>
      </c>
    </row>
    <row r="2839" spans="1:18" x14ac:dyDescent="0.25">
      <c r="A2839" s="170">
        <v>46188</v>
      </c>
      <c r="B2839">
        <v>4154.95</v>
      </c>
      <c r="C2839">
        <v>4068.6</v>
      </c>
      <c r="D2839">
        <v>4056.6</v>
      </c>
      <c r="E2839">
        <v>4154.95</v>
      </c>
      <c r="F2839">
        <v>4068.6</v>
      </c>
      <c r="G2839">
        <v>9874</v>
      </c>
      <c r="H2839" s="116"/>
      <c r="I2839" s="116"/>
      <c r="L2839" s="170">
        <v>46188</v>
      </c>
      <c r="M2839" s="116">
        <v>4068.2</v>
      </c>
      <c r="N2839" s="116">
        <v>4140</v>
      </c>
      <c r="O2839" s="116">
        <v>4057</v>
      </c>
      <c r="P2839" s="116">
        <v>4120</v>
      </c>
      <c r="Q2839" s="116">
        <v>4068.2</v>
      </c>
      <c r="R2839">
        <v>194208</v>
      </c>
    </row>
    <row r="2840" spans="1:18" x14ac:dyDescent="0.25">
      <c r="A2840" s="170">
        <v>46189</v>
      </c>
      <c r="B2840">
        <v>4123.95</v>
      </c>
      <c r="C2840">
        <v>4118.2</v>
      </c>
      <c r="D2840">
        <v>4074.65</v>
      </c>
      <c r="E2840">
        <v>4081.1</v>
      </c>
      <c r="F2840">
        <v>4118.2</v>
      </c>
      <c r="G2840">
        <v>14593</v>
      </c>
      <c r="H2840" s="116"/>
      <c r="I2840" s="116"/>
      <c r="L2840" s="170">
        <v>46189</v>
      </c>
      <c r="M2840" s="116">
        <v>4119</v>
      </c>
      <c r="N2840" s="116">
        <v>4125</v>
      </c>
      <c r="O2840" s="116">
        <v>4071</v>
      </c>
      <c r="P2840" s="116">
        <v>4089.9</v>
      </c>
      <c r="Q2840" s="116">
        <v>4119</v>
      </c>
      <c r="R2840">
        <v>142275</v>
      </c>
    </row>
    <row r="2841" spans="1:18" x14ac:dyDescent="0.25">
      <c r="A2841" s="170">
        <v>46190</v>
      </c>
      <c r="B2841">
        <v>4151.5</v>
      </c>
      <c r="C2841">
        <v>4093.5</v>
      </c>
      <c r="D2841">
        <v>4025</v>
      </c>
      <c r="E2841">
        <v>4139.45</v>
      </c>
      <c r="F2841">
        <v>4093.5</v>
      </c>
      <c r="G2841">
        <v>12234</v>
      </c>
      <c r="H2841" s="116"/>
      <c r="I2841" s="116"/>
      <c r="L2841" s="170">
        <v>46190</v>
      </c>
      <c r="M2841" s="116">
        <v>4094.6</v>
      </c>
      <c r="N2841" s="116">
        <v>4157</v>
      </c>
      <c r="O2841" s="116">
        <v>4022.5</v>
      </c>
      <c r="P2841" s="116">
        <v>4122.1000000000004</v>
      </c>
      <c r="Q2841" s="116">
        <v>4094.6</v>
      </c>
      <c r="R2841">
        <v>267544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2026-06-17T16:47:10Z</dcterms:modified>
  <cp:category/>
  <cp:contentStatus/>
</cp:coreProperties>
</file>